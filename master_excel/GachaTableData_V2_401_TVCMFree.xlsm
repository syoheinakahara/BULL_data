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5800" tabRatio="943" activeTab="3"/>
  </bookViews>
  <sheets>
    <sheet name="確率の考え方" sheetId="110" r:id="rId1"/>
    <sheet name="Sheet1" sheetId="107" r:id="rId2"/>
    <sheet name="output" sheetId="103" r:id="rId3"/>
    <sheet name="input_401010" sheetId="157" r:id="rId4"/>
    <sheet name="tables_401010" sheetId="158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4" hidden="1">tables_401010!$A$1:$V$294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0" i="157" l="1"/>
  <c r="A2" i="157"/>
  <c r="O3" i="158"/>
  <c r="O5" i="158"/>
  <c r="O7" i="158"/>
  <c r="O9" i="158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4" i="158"/>
  <c r="O45" i="158"/>
  <c r="O46" i="158"/>
  <c r="O47" i="158"/>
  <c r="O48" i="158"/>
  <c r="O49" i="158"/>
  <c r="O50" i="158"/>
  <c r="O51" i="158"/>
  <c r="G20" i="157"/>
  <c r="H20" i="157"/>
  <c r="O52" i="158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O138" i="158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F41" i="157"/>
  <c r="G41" i="157"/>
  <c r="D3" i="158"/>
  <c r="E3" i="158"/>
  <c r="D4" i="158"/>
  <c r="E4" i="158"/>
  <c r="D5" i="158"/>
  <c r="E5" i="158"/>
  <c r="D6" i="158"/>
  <c r="E6" i="158"/>
  <c r="D7" i="158"/>
  <c r="E7" i="158"/>
  <c r="D8" i="158"/>
  <c r="E8" i="158"/>
  <c r="D9" i="158"/>
  <c r="E9" i="158"/>
  <c r="D10" i="158"/>
  <c r="E10" i="158"/>
  <c r="D11" i="158"/>
  <c r="E11" i="158"/>
  <c r="D12" i="158"/>
  <c r="E12" i="158"/>
  <c r="D13" i="158"/>
  <c r="E13" i="158"/>
  <c r="D14" i="158"/>
  <c r="E14" i="158"/>
  <c r="D15" i="158"/>
  <c r="E15" i="158"/>
  <c r="D16" i="158"/>
  <c r="E16" i="158"/>
  <c r="D17" i="158"/>
  <c r="E17" i="158"/>
  <c r="D18" i="158"/>
  <c r="E18" i="158"/>
  <c r="D19" i="158"/>
  <c r="E19" i="158"/>
  <c r="D20" i="158"/>
  <c r="E20" i="158"/>
  <c r="D21" i="158"/>
  <c r="E21" i="158"/>
  <c r="D22" i="158"/>
  <c r="E22" i="158"/>
  <c r="D23" i="158"/>
  <c r="E23" i="158"/>
  <c r="D24" i="158"/>
  <c r="E24" i="158"/>
  <c r="D25" i="158"/>
  <c r="E25" i="158"/>
  <c r="D26" i="158"/>
  <c r="E26" i="158"/>
  <c r="D27" i="158"/>
  <c r="E27" i="158"/>
  <c r="D28" i="158"/>
  <c r="E28" i="158"/>
  <c r="D29" i="158"/>
  <c r="E29" i="158"/>
  <c r="D30" i="158"/>
  <c r="E30" i="158"/>
  <c r="D31" i="158"/>
  <c r="E31" i="158"/>
  <c r="D32" i="158"/>
  <c r="E32" i="158"/>
  <c r="D33" i="158"/>
  <c r="E33" i="158"/>
  <c r="D34" i="158"/>
  <c r="E34" i="158"/>
  <c r="D35" i="158"/>
  <c r="E35" i="158"/>
  <c r="D36" i="158"/>
  <c r="E36" i="158"/>
  <c r="D37" i="158"/>
  <c r="E37" i="158"/>
  <c r="D38" i="158"/>
  <c r="E38" i="158"/>
  <c r="D39" i="158"/>
  <c r="E39" i="158"/>
  <c r="D40" i="158"/>
  <c r="E40" i="158"/>
  <c r="D41" i="158"/>
  <c r="E41" i="158"/>
  <c r="D42" i="158"/>
  <c r="E42" i="158"/>
  <c r="D43" i="158"/>
  <c r="E43" i="158"/>
  <c r="D44" i="158"/>
  <c r="E44" i="158"/>
  <c r="D45" i="158"/>
  <c r="E45" i="158"/>
  <c r="D46" i="158"/>
  <c r="E46" i="158"/>
  <c r="D47" i="158"/>
  <c r="E47" i="158"/>
  <c r="D48" i="158"/>
  <c r="E48" i="158"/>
  <c r="D49" i="158"/>
  <c r="E49" i="158"/>
  <c r="D50" i="158"/>
  <c r="E50" i="158"/>
  <c r="D51" i="158"/>
  <c r="E51" i="158"/>
  <c r="D52" i="158"/>
  <c r="E52" i="158"/>
  <c r="D53" i="158"/>
  <c r="E53" i="158"/>
  <c r="D54" i="158"/>
  <c r="E54" i="158"/>
  <c r="D55" i="158"/>
  <c r="E55" i="158"/>
  <c r="D56" i="158"/>
  <c r="E56" i="158"/>
  <c r="D57" i="158"/>
  <c r="E57" i="158"/>
  <c r="D58" i="158"/>
  <c r="E58" i="158"/>
  <c r="D59" i="158"/>
  <c r="E59" i="158"/>
  <c r="D60" i="158"/>
  <c r="E60" i="158"/>
  <c r="D61" i="158"/>
  <c r="E61" i="158"/>
  <c r="D62" i="158"/>
  <c r="E62" i="158"/>
  <c r="D63" i="158"/>
  <c r="E63" i="158"/>
  <c r="D64" i="158"/>
  <c r="E64" i="158"/>
  <c r="D65" i="158"/>
  <c r="E65" i="158"/>
  <c r="D66" i="158"/>
  <c r="E66" i="158"/>
  <c r="D67" i="158"/>
  <c r="E67" i="158"/>
  <c r="D68" i="158"/>
  <c r="E68" i="158"/>
  <c r="D69" i="158"/>
  <c r="E69" i="158"/>
  <c r="D70" i="158"/>
  <c r="E70" i="158"/>
  <c r="D71" i="158"/>
  <c r="E71" i="158"/>
  <c r="D72" i="158"/>
  <c r="E72" i="158"/>
  <c r="D73" i="158"/>
  <c r="E73" i="158"/>
  <c r="D74" i="158"/>
  <c r="E74" i="158"/>
  <c r="D75" i="158"/>
  <c r="E75" i="158"/>
  <c r="D76" i="158"/>
  <c r="E76" i="158"/>
  <c r="D77" i="158"/>
  <c r="E77" i="158"/>
  <c r="D78" i="158"/>
  <c r="E78" i="158"/>
  <c r="D79" i="158"/>
  <c r="E79" i="158"/>
  <c r="D80" i="158"/>
  <c r="E80" i="158"/>
  <c r="D81" i="158"/>
  <c r="E81" i="158"/>
  <c r="D82" i="158"/>
  <c r="E82" i="158"/>
  <c r="D83" i="158"/>
  <c r="E83" i="158"/>
  <c r="D84" i="158"/>
  <c r="E84" i="158"/>
  <c r="D85" i="158"/>
  <c r="E85" i="158"/>
  <c r="D86" i="158"/>
  <c r="E86" i="158"/>
  <c r="D87" i="158"/>
  <c r="E87" i="158"/>
  <c r="D88" i="158"/>
  <c r="E88" i="158"/>
  <c r="D89" i="158"/>
  <c r="E89" i="158"/>
  <c r="D90" i="158"/>
  <c r="E90" i="158"/>
  <c r="D91" i="158"/>
  <c r="E91" i="158"/>
  <c r="D92" i="158"/>
  <c r="E92" i="158"/>
  <c r="D93" i="158"/>
  <c r="E93" i="158"/>
  <c r="D94" i="158"/>
  <c r="E94" i="158"/>
  <c r="D95" i="158"/>
  <c r="E95" i="158"/>
  <c r="D96" i="158"/>
  <c r="E96" i="158"/>
  <c r="D97" i="158"/>
  <c r="E97" i="158"/>
  <c r="D98" i="158"/>
  <c r="E98" i="158"/>
  <c r="D99" i="158"/>
  <c r="E99" i="158"/>
  <c r="D100" i="158"/>
  <c r="E100" i="158"/>
  <c r="D101" i="158"/>
  <c r="E101" i="158"/>
  <c r="D102" i="158"/>
  <c r="E102" i="158"/>
  <c r="D103" i="158"/>
  <c r="E103" i="158"/>
  <c r="D104" i="158"/>
  <c r="E104" i="158"/>
  <c r="D105" i="158"/>
  <c r="E105" i="158"/>
  <c r="D106" i="158"/>
  <c r="E106" i="158"/>
  <c r="D107" i="158"/>
  <c r="E107" i="158"/>
  <c r="D108" i="158"/>
  <c r="E108" i="158"/>
  <c r="D109" i="158"/>
  <c r="E109" i="158"/>
  <c r="D110" i="158"/>
  <c r="E110" i="158"/>
  <c r="D111" i="158"/>
  <c r="E111" i="158"/>
  <c r="D112" i="158"/>
  <c r="E112" i="158"/>
  <c r="D113" i="158"/>
  <c r="E113" i="158"/>
  <c r="D114" i="158"/>
  <c r="E114" i="158"/>
  <c r="D115" i="158"/>
  <c r="E115" i="158"/>
  <c r="D116" i="158"/>
  <c r="E116" i="158"/>
  <c r="D117" i="158"/>
  <c r="E117" i="158"/>
  <c r="D118" i="158"/>
  <c r="E118" i="158"/>
  <c r="D119" i="158"/>
  <c r="E119" i="158"/>
  <c r="D120" i="158"/>
  <c r="E120" i="158"/>
  <c r="D121" i="158"/>
  <c r="E121" i="158"/>
  <c r="D122" i="158"/>
  <c r="E122" i="158"/>
  <c r="D123" i="158"/>
  <c r="E123" i="158"/>
  <c r="D124" i="158"/>
  <c r="E124" i="158"/>
  <c r="D125" i="158"/>
  <c r="E125" i="158"/>
  <c r="D126" i="158"/>
  <c r="E126" i="158"/>
  <c r="D127" i="158"/>
  <c r="E127" i="158"/>
  <c r="D128" i="158"/>
  <c r="E128" i="158"/>
  <c r="D129" i="158"/>
  <c r="E129" i="158"/>
  <c r="D130" i="158"/>
  <c r="E130" i="158"/>
  <c r="D131" i="158"/>
  <c r="E131" i="158"/>
  <c r="D132" i="158"/>
  <c r="E132" i="158"/>
  <c r="D133" i="158"/>
  <c r="E133" i="158"/>
  <c r="D134" i="158"/>
  <c r="E134" i="158"/>
  <c r="D135" i="158"/>
  <c r="E135" i="158"/>
  <c r="D136" i="158"/>
  <c r="E136" i="158"/>
  <c r="D137" i="158"/>
  <c r="E137" i="158"/>
  <c r="D138" i="158"/>
  <c r="E138" i="158"/>
  <c r="D139" i="158"/>
  <c r="E139" i="158"/>
  <c r="D140" i="158"/>
  <c r="E140" i="158"/>
  <c r="D141" i="158"/>
  <c r="E141" i="158"/>
  <c r="D142" i="158"/>
  <c r="E142" i="158"/>
  <c r="D143" i="158"/>
  <c r="E143" i="158"/>
  <c r="D144" i="158"/>
  <c r="E144" i="158"/>
  <c r="D145" i="158"/>
  <c r="E145" i="158"/>
  <c r="D146" i="158"/>
  <c r="E146" i="158"/>
  <c r="D147" i="158"/>
  <c r="E147" i="158"/>
  <c r="D148" i="158"/>
  <c r="E148" i="158"/>
  <c r="D149" i="158"/>
  <c r="E149" i="158"/>
  <c r="D150" i="158"/>
  <c r="E150" i="158"/>
  <c r="D151" i="158"/>
  <c r="E151" i="158"/>
  <c r="D152" i="158"/>
  <c r="E152" i="158"/>
  <c r="D153" i="158"/>
  <c r="E153" i="158"/>
  <c r="D154" i="158"/>
  <c r="E154" i="158"/>
  <c r="D155" i="158"/>
  <c r="E155" i="158"/>
  <c r="D156" i="158"/>
  <c r="E156" i="158"/>
  <c r="D157" i="158"/>
  <c r="E157" i="158"/>
  <c r="D158" i="158"/>
  <c r="E158" i="158"/>
  <c r="D159" i="158"/>
  <c r="E159" i="158"/>
  <c r="D160" i="158"/>
  <c r="E160" i="158"/>
  <c r="D161" i="158"/>
  <c r="E161" i="158"/>
  <c r="D162" i="158"/>
  <c r="E162" i="158"/>
  <c r="D163" i="158"/>
  <c r="E163" i="158"/>
  <c r="D164" i="158"/>
  <c r="E164" i="158"/>
  <c r="D165" i="158"/>
  <c r="E165" i="158"/>
  <c r="D166" i="158"/>
  <c r="E166" i="158"/>
  <c r="D167" i="158"/>
  <c r="E167" i="158"/>
  <c r="D168" i="158"/>
  <c r="E168" i="158"/>
  <c r="D169" i="158"/>
  <c r="E169" i="158"/>
  <c r="D170" i="158"/>
  <c r="E170" i="158"/>
  <c r="D171" i="158"/>
  <c r="E171" i="158"/>
  <c r="D172" i="158"/>
  <c r="E172" i="158"/>
  <c r="D173" i="158"/>
  <c r="E173" i="158"/>
  <c r="D174" i="158"/>
  <c r="E174" i="158"/>
  <c r="D175" i="158"/>
  <c r="E175" i="158"/>
  <c r="D176" i="158"/>
  <c r="E176" i="158"/>
  <c r="D177" i="158"/>
  <c r="E177" i="158"/>
  <c r="D178" i="158"/>
  <c r="E178" i="158"/>
  <c r="D179" i="158"/>
  <c r="E179" i="158"/>
  <c r="D180" i="158"/>
  <c r="E180" i="158"/>
  <c r="D181" i="158"/>
  <c r="E181" i="158"/>
  <c r="D182" i="158"/>
  <c r="E182" i="158"/>
  <c r="D183" i="158"/>
  <c r="E183" i="158"/>
  <c r="D184" i="158"/>
  <c r="E184" i="158"/>
  <c r="D185" i="158"/>
  <c r="E185" i="158"/>
  <c r="D186" i="158"/>
  <c r="E186" i="158"/>
  <c r="D187" i="158"/>
  <c r="E187" i="158"/>
  <c r="D188" i="158"/>
  <c r="E188" i="158"/>
  <c r="D189" i="158"/>
  <c r="E189" i="158"/>
  <c r="D190" i="158"/>
  <c r="E190" i="158"/>
  <c r="D191" i="158"/>
  <c r="E191" i="158"/>
  <c r="D192" i="158"/>
  <c r="E192" i="158"/>
  <c r="D193" i="158"/>
  <c r="E193" i="158"/>
  <c r="D194" i="158"/>
  <c r="E194" i="158"/>
  <c r="D195" i="158"/>
  <c r="E195" i="158"/>
  <c r="D196" i="158"/>
  <c r="E196" i="158"/>
  <c r="D197" i="158"/>
  <c r="E197" i="158"/>
  <c r="D198" i="158"/>
  <c r="E198" i="158"/>
  <c r="D199" i="158"/>
  <c r="E199" i="158"/>
  <c r="D200" i="158"/>
  <c r="E200" i="158"/>
  <c r="D201" i="158"/>
  <c r="E201" i="158"/>
  <c r="D202" i="158"/>
  <c r="E202" i="158"/>
  <c r="D203" i="158"/>
  <c r="E203" i="158"/>
  <c r="D204" i="158"/>
  <c r="E204" i="158"/>
  <c r="D205" i="158"/>
  <c r="E205" i="158"/>
  <c r="D206" i="158"/>
  <c r="E206" i="158"/>
  <c r="D207" i="158"/>
  <c r="E207" i="158"/>
  <c r="D208" i="158"/>
  <c r="E208" i="158"/>
  <c r="D209" i="158"/>
  <c r="E209" i="158"/>
  <c r="D210" i="158"/>
  <c r="E210" i="158"/>
  <c r="D211" i="158"/>
  <c r="E211" i="158"/>
  <c r="D212" i="158"/>
  <c r="E212" i="158"/>
  <c r="D213" i="158"/>
  <c r="E213" i="158"/>
  <c r="D214" i="158"/>
  <c r="E214" i="158"/>
  <c r="D215" i="158"/>
  <c r="E215" i="158"/>
  <c r="D216" i="158"/>
  <c r="E216" i="158"/>
  <c r="D217" i="158"/>
  <c r="E217" i="158"/>
  <c r="D218" i="158"/>
  <c r="E218" i="158"/>
  <c r="D219" i="158"/>
  <c r="E219" i="158"/>
  <c r="D220" i="158"/>
  <c r="E220" i="158"/>
  <c r="D221" i="158"/>
  <c r="E221" i="158"/>
  <c r="D222" i="158"/>
  <c r="E222" i="158"/>
  <c r="D223" i="158"/>
  <c r="E223" i="158"/>
  <c r="D224" i="158"/>
  <c r="E224" i="158"/>
  <c r="D225" i="158"/>
  <c r="E225" i="158"/>
  <c r="D226" i="158"/>
  <c r="E226" i="158"/>
  <c r="D227" i="158"/>
  <c r="E227" i="158"/>
  <c r="D228" i="158"/>
  <c r="E228" i="158"/>
  <c r="D229" i="158"/>
  <c r="E229" i="158"/>
  <c r="D230" i="158"/>
  <c r="E230" i="158"/>
  <c r="D231" i="158"/>
  <c r="E231" i="158"/>
  <c r="D232" i="158"/>
  <c r="E232" i="158"/>
  <c r="D233" i="158"/>
  <c r="E233" i="158"/>
  <c r="D234" i="158"/>
  <c r="E234" i="158"/>
  <c r="D235" i="158"/>
  <c r="E235" i="158"/>
  <c r="D236" i="158"/>
  <c r="E236" i="158"/>
  <c r="D237" i="158"/>
  <c r="E237" i="158"/>
  <c r="D238" i="158"/>
  <c r="E238" i="158"/>
  <c r="D239" i="158"/>
  <c r="E239" i="158"/>
  <c r="D240" i="158"/>
  <c r="E240" i="158"/>
  <c r="D241" i="158"/>
  <c r="E241" i="158"/>
  <c r="D242" i="158"/>
  <c r="E242" i="158"/>
  <c r="D243" i="158"/>
  <c r="E243" i="158"/>
  <c r="D244" i="158"/>
  <c r="E244" i="158"/>
  <c r="D245" i="158"/>
  <c r="E245" i="158"/>
  <c r="D246" i="158"/>
  <c r="E246" i="158"/>
  <c r="D247" i="158"/>
  <c r="E247" i="158"/>
  <c r="D248" i="158"/>
  <c r="E248" i="158"/>
  <c r="D249" i="158"/>
  <c r="E249" i="158"/>
  <c r="D250" i="158"/>
  <c r="E250" i="158"/>
  <c r="D251" i="158"/>
  <c r="E251" i="158"/>
  <c r="D252" i="158"/>
  <c r="E252" i="158"/>
  <c r="D253" i="158"/>
  <c r="E253" i="158"/>
  <c r="D254" i="158"/>
  <c r="E254" i="158"/>
  <c r="D255" i="158"/>
  <c r="E255" i="158"/>
  <c r="D256" i="158"/>
  <c r="E256" i="158"/>
  <c r="D257" i="158"/>
  <c r="E257" i="158"/>
  <c r="D258" i="158"/>
  <c r="E258" i="158"/>
  <c r="D259" i="158"/>
  <c r="E259" i="158"/>
  <c r="D260" i="158"/>
  <c r="E260" i="158"/>
  <c r="D261" i="158"/>
  <c r="E261" i="158"/>
  <c r="D262" i="158"/>
  <c r="E262" i="158"/>
  <c r="D263" i="158"/>
  <c r="E263" i="158"/>
  <c r="D264" i="158"/>
  <c r="E264" i="158"/>
  <c r="D265" i="158"/>
  <c r="E265" i="158"/>
  <c r="D266" i="158"/>
  <c r="E266" i="158"/>
  <c r="D267" i="158"/>
  <c r="E267" i="158"/>
  <c r="D268" i="158"/>
  <c r="E268" i="158"/>
  <c r="D269" i="158"/>
  <c r="E269" i="158"/>
  <c r="D270" i="158"/>
  <c r="E270" i="158"/>
  <c r="D271" i="158"/>
  <c r="E271" i="158"/>
  <c r="D272" i="158"/>
  <c r="E272" i="158"/>
  <c r="D273" i="158"/>
  <c r="E273" i="158"/>
  <c r="D274" i="158"/>
  <c r="E274" i="158"/>
  <c r="D275" i="158"/>
  <c r="E275" i="158"/>
  <c r="D276" i="158"/>
  <c r="E276" i="158"/>
  <c r="D277" i="158"/>
  <c r="E277" i="158"/>
  <c r="D278" i="158"/>
  <c r="E278" i="158"/>
  <c r="D279" i="158"/>
  <c r="E279" i="158"/>
  <c r="D280" i="158"/>
  <c r="E280" i="158"/>
  <c r="D281" i="158"/>
  <c r="E281" i="158"/>
  <c r="D282" i="158"/>
  <c r="E282" i="158"/>
  <c r="D283" i="158"/>
  <c r="E283" i="158"/>
  <c r="D284" i="158"/>
  <c r="E284" i="158"/>
  <c r="D285" i="158"/>
  <c r="E285" i="158"/>
  <c r="D286" i="158"/>
  <c r="E286" i="158"/>
  <c r="D287" i="158"/>
  <c r="E287" i="158"/>
  <c r="D288" i="158"/>
  <c r="E288" i="158"/>
  <c r="D289" i="158"/>
  <c r="E289" i="158"/>
  <c r="D290" i="158"/>
  <c r="E290" i="158"/>
  <c r="D291" i="158"/>
  <c r="E291" i="158"/>
  <c r="D292" i="158"/>
  <c r="E292" i="158"/>
  <c r="D293" i="158"/>
  <c r="E293" i="158"/>
  <c r="D294" i="158"/>
  <c r="E294" i="158"/>
  <c r="D295" i="158"/>
  <c r="E295" i="158"/>
  <c r="D296" i="158"/>
  <c r="E296" i="158"/>
  <c r="D297" i="158"/>
  <c r="E297" i="158"/>
  <c r="D298" i="158"/>
  <c r="E298" i="158"/>
  <c r="D299" i="158"/>
  <c r="E299" i="158"/>
  <c r="D300" i="158"/>
  <c r="E300" i="158"/>
  <c r="D301" i="158"/>
  <c r="E301" i="158"/>
  <c r="D302" i="158"/>
  <c r="E302" i="158"/>
  <c r="D303" i="158"/>
  <c r="E303" i="158"/>
  <c r="D304" i="158"/>
  <c r="E304" i="158"/>
  <c r="D305" i="158"/>
  <c r="E305" i="158"/>
  <c r="D306" i="158"/>
  <c r="E306" i="158"/>
  <c r="D307" i="158"/>
  <c r="E307" i="158"/>
  <c r="D308" i="158"/>
  <c r="E308" i="158"/>
  <c r="D309" i="158"/>
  <c r="E309" i="158"/>
  <c r="E2" i="158"/>
  <c r="D2" i="158"/>
  <c r="I305" i="158"/>
  <c r="J305" i="158"/>
  <c r="F305" i="158"/>
  <c r="C305" i="158"/>
  <c r="H305" i="158"/>
  <c r="K305" i="158"/>
  <c r="L305" i="158"/>
  <c r="M305" i="158"/>
  <c r="N305" i="158"/>
  <c r="I306" i="158"/>
  <c r="J306" i="158"/>
  <c r="F306" i="158"/>
  <c r="C306" i="158"/>
  <c r="I307" i="158"/>
  <c r="J307" i="158"/>
  <c r="F307" i="158"/>
  <c r="C307" i="158"/>
  <c r="I308" i="158"/>
  <c r="J308" i="158"/>
  <c r="F308" i="158"/>
  <c r="C308" i="158"/>
  <c r="I309" i="158"/>
  <c r="J309" i="158"/>
  <c r="F309" i="158"/>
  <c r="C309" i="158"/>
  <c r="C2" i="158"/>
  <c r="C3" i="158"/>
  <c r="C4" i="158"/>
  <c r="C5" i="158"/>
  <c r="C6" i="158"/>
  <c r="C7" i="158"/>
  <c r="C8" i="158"/>
  <c r="C9" i="158"/>
  <c r="C10" i="158"/>
  <c r="C11" i="158"/>
  <c r="C12" i="158"/>
  <c r="C13" i="158"/>
  <c r="C14" i="158"/>
  <c r="C15" i="158"/>
  <c r="C16" i="158"/>
  <c r="C17" i="158"/>
  <c r="C18" i="158"/>
  <c r="C19" i="158"/>
  <c r="C20" i="158"/>
  <c r="C21" i="158"/>
  <c r="C22" i="158"/>
  <c r="C23" i="158"/>
  <c r="C24" i="158"/>
  <c r="C25" i="158"/>
  <c r="C26" i="158"/>
  <c r="C27" i="158"/>
  <c r="C28" i="158"/>
  <c r="C29" i="158"/>
  <c r="C30" i="158"/>
  <c r="C31" i="158"/>
  <c r="C32" i="158"/>
  <c r="C33" i="158"/>
  <c r="C34" i="158"/>
  <c r="C35" i="158"/>
  <c r="C36" i="158"/>
  <c r="C37" i="158"/>
  <c r="C38" i="158"/>
  <c r="C39" i="158"/>
  <c r="C40" i="158"/>
  <c r="C41" i="158"/>
  <c r="C42" i="158"/>
  <c r="C43" i="158"/>
  <c r="C44" i="158"/>
  <c r="C45" i="158"/>
  <c r="C46" i="158"/>
  <c r="C47" i="158"/>
  <c r="C48" i="158"/>
  <c r="C49" i="158"/>
  <c r="C50" i="158"/>
  <c r="C51" i="158"/>
  <c r="C52" i="158"/>
  <c r="C53" i="158"/>
  <c r="C54" i="158"/>
  <c r="C55" i="158"/>
  <c r="C56" i="158"/>
  <c r="C57" i="158"/>
  <c r="C58" i="158"/>
  <c r="C59" i="158"/>
  <c r="C60" i="158"/>
  <c r="C61" i="158"/>
  <c r="C62" i="158"/>
  <c r="C63" i="158"/>
  <c r="C64" i="158"/>
  <c r="C65" i="158"/>
  <c r="C66" i="158"/>
  <c r="C67" i="158"/>
  <c r="C68" i="158"/>
  <c r="C69" i="158"/>
  <c r="C70" i="158"/>
  <c r="C71" i="158"/>
  <c r="C72" i="158"/>
  <c r="C73" i="158"/>
  <c r="C74" i="158"/>
  <c r="C75" i="158"/>
  <c r="C76" i="158"/>
  <c r="C77" i="158"/>
  <c r="C78" i="158"/>
  <c r="C79" i="158"/>
  <c r="C80" i="158"/>
  <c r="C81" i="158"/>
  <c r="C82" i="158"/>
  <c r="C83" i="158"/>
  <c r="C84" i="158"/>
  <c r="C85" i="158"/>
  <c r="C86" i="158"/>
  <c r="C87" i="158"/>
  <c r="C88" i="158"/>
  <c r="C89" i="158"/>
  <c r="C90" i="158"/>
  <c r="C91" i="158"/>
  <c r="C92" i="158"/>
  <c r="C93" i="158"/>
  <c r="C94" i="158"/>
  <c r="C95" i="158"/>
  <c r="C96" i="158"/>
  <c r="C97" i="158"/>
  <c r="C98" i="158"/>
  <c r="C99" i="158"/>
  <c r="C100" i="158"/>
  <c r="C101" i="158"/>
  <c r="C102" i="158"/>
  <c r="C103" i="158"/>
  <c r="C104" i="158"/>
  <c r="C105" i="158"/>
  <c r="C106" i="158"/>
  <c r="C107" i="158"/>
  <c r="C108" i="158"/>
  <c r="C109" i="158"/>
  <c r="C110" i="158"/>
  <c r="C111" i="158"/>
  <c r="C112" i="158"/>
  <c r="C113" i="158"/>
  <c r="C114" i="158"/>
  <c r="C115" i="158"/>
  <c r="C116" i="158"/>
  <c r="C117" i="158"/>
  <c r="C118" i="158"/>
  <c r="C119" i="158"/>
  <c r="C120" i="158"/>
  <c r="C121" i="158"/>
  <c r="C122" i="158"/>
  <c r="C123" i="158"/>
  <c r="C124" i="158"/>
  <c r="C125" i="158"/>
  <c r="C126" i="158"/>
  <c r="C127" i="158"/>
  <c r="C128" i="158"/>
  <c r="C129" i="158"/>
  <c r="C130" i="158"/>
  <c r="C131" i="158"/>
  <c r="C132" i="158"/>
  <c r="C133" i="158"/>
  <c r="C134" i="158"/>
  <c r="C135" i="158"/>
  <c r="C136" i="158"/>
  <c r="C137" i="158"/>
  <c r="C138" i="158"/>
  <c r="C139" i="158"/>
  <c r="C140" i="158"/>
  <c r="C141" i="158"/>
  <c r="C142" i="158"/>
  <c r="C143" i="158"/>
  <c r="C144" i="158"/>
  <c r="C145" i="158"/>
  <c r="C146" i="158"/>
  <c r="C147" i="158"/>
  <c r="C148" i="158"/>
  <c r="C149" i="158"/>
  <c r="C150" i="158"/>
  <c r="C151" i="158"/>
  <c r="C152" i="158"/>
  <c r="C153" i="158"/>
  <c r="C154" i="158"/>
  <c r="C155" i="158"/>
  <c r="C156" i="158"/>
  <c r="C157" i="158"/>
  <c r="C158" i="158"/>
  <c r="C159" i="158"/>
  <c r="C160" i="158"/>
  <c r="C161" i="158"/>
  <c r="C162" i="158"/>
  <c r="C163" i="158"/>
  <c r="C164" i="158"/>
  <c r="C165" i="158"/>
  <c r="C166" i="158"/>
  <c r="C167" i="158"/>
  <c r="C168" i="158"/>
  <c r="C169" i="158"/>
  <c r="C170" i="158"/>
  <c r="C171" i="158"/>
  <c r="C172" i="158"/>
  <c r="C173" i="158"/>
  <c r="C174" i="158"/>
  <c r="C175" i="158"/>
  <c r="C176" i="158"/>
  <c r="C177" i="158"/>
  <c r="C178" i="158"/>
  <c r="C179" i="158"/>
  <c r="C180" i="158"/>
  <c r="C181" i="158"/>
  <c r="C182" i="158"/>
  <c r="C183" i="158"/>
  <c r="C184" i="158"/>
  <c r="C185" i="158"/>
  <c r="C186" i="158"/>
  <c r="C187" i="158"/>
  <c r="C188" i="158"/>
  <c r="C189" i="158"/>
  <c r="C190" i="158"/>
  <c r="C191" i="158"/>
  <c r="C192" i="158"/>
  <c r="C193" i="158"/>
  <c r="C194" i="158"/>
  <c r="C195" i="158"/>
  <c r="C196" i="158"/>
  <c r="C197" i="158"/>
  <c r="C198" i="158"/>
  <c r="C199" i="158"/>
  <c r="C200" i="158"/>
  <c r="C201" i="158"/>
  <c r="C202" i="158"/>
  <c r="C203" i="158"/>
  <c r="C204" i="158"/>
  <c r="C205" i="158"/>
  <c r="C206" i="158"/>
  <c r="C207" i="158"/>
  <c r="C208" i="158"/>
  <c r="C209" i="158"/>
  <c r="C210" i="158"/>
  <c r="C211" i="158"/>
  <c r="C212" i="158"/>
  <c r="C213" i="158"/>
  <c r="C214" i="158"/>
  <c r="C215" i="158"/>
  <c r="C216" i="158"/>
  <c r="C217" i="158"/>
  <c r="C218" i="158"/>
  <c r="C219" i="158"/>
  <c r="C220" i="158"/>
  <c r="C221" i="158"/>
  <c r="C222" i="158"/>
  <c r="C223" i="158"/>
  <c r="C224" i="158"/>
  <c r="C225" i="158"/>
  <c r="C226" i="158"/>
  <c r="C227" i="158"/>
  <c r="C228" i="158"/>
  <c r="C229" i="158"/>
  <c r="C230" i="158"/>
  <c r="C231" i="158"/>
  <c r="C232" i="158"/>
  <c r="C233" i="158"/>
  <c r="C234" i="158"/>
  <c r="C235" i="158"/>
  <c r="C236" i="158"/>
  <c r="C237" i="158"/>
  <c r="C238" i="158"/>
  <c r="C239" i="158"/>
  <c r="C240" i="158"/>
  <c r="C241" i="158"/>
  <c r="C242" i="158"/>
  <c r="C243" i="158"/>
  <c r="C244" i="158"/>
  <c r="C245" i="158"/>
  <c r="C246" i="158"/>
  <c r="C247" i="158"/>
  <c r="C248" i="158"/>
  <c r="C249" i="158"/>
  <c r="C250" i="158"/>
  <c r="C251" i="158"/>
  <c r="C252" i="158"/>
  <c r="C253" i="158"/>
  <c r="C254" i="158"/>
  <c r="C255" i="158"/>
  <c r="C256" i="158"/>
  <c r="C257" i="158"/>
  <c r="C258" i="158"/>
  <c r="C259" i="158"/>
  <c r="C260" i="158"/>
  <c r="C261" i="158"/>
  <c r="C262" i="158"/>
  <c r="C263" i="158"/>
  <c r="C264" i="158"/>
  <c r="C265" i="158"/>
  <c r="C266" i="158"/>
  <c r="C267" i="158"/>
  <c r="C268" i="158"/>
  <c r="C269" i="158"/>
  <c r="C270" i="158"/>
  <c r="C271" i="158"/>
  <c r="C272" i="158"/>
  <c r="C273" i="158"/>
  <c r="C274" i="158"/>
  <c r="C275" i="158"/>
  <c r="C276" i="158"/>
  <c r="C277" i="158"/>
  <c r="C278" i="158"/>
  <c r="C279" i="158"/>
  <c r="C280" i="158"/>
  <c r="C281" i="158"/>
  <c r="C282" i="158"/>
  <c r="C283" i="158"/>
  <c r="C284" i="158"/>
  <c r="C285" i="158"/>
  <c r="C286" i="158"/>
  <c r="C287" i="158"/>
  <c r="C288" i="158"/>
  <c r="C289" i="158"/>
  <c r="C290" i="158"/>
  <c r="C291" i="158"/>
  <c r="C292" i="158"/>
  <c r="C293" i="158"/>
  <c r="C294" i="158"/>
  <c r="C295" i="158"/>
  <c r="C296" i="158"/>
  <c r="C297" i="158"/>
  <c r="C298" i="158"/>
  <c r="C299" i="158"/>
  <c r="C300" i="158"/>
  <c r="C301" i="158"/>
  <c r="C302" i="158"/>
  <c r="C303" i="158"/>
  <c r="C304" i="158"/>
  <c r="F5" i="157"/>
  <c r="F6" i="157"/>
  <c r="A3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2" i="157"/>
  <c r="E23" i="157"/>
  <c r="B23" i="157"/>
  <c r="B22" i="157"/>
  <c r="G22" i="157"/>
  <c r="H22" i="157"/>
  <c r="E19" i="157"/>
  <c r="B19" i="157"/>
  <c r="E24" i="157"/>
  <c r="B24" i="157"/>
  <c r="B17" i="157"/>
  <c r="G17" i="157"/>
  <c r="E17" i="157"/>
  <c r="H17" i="157"/>
  <c r="E18" i="157"/>
  <c r="B18" i="157"/>
  <c r="G18" i="157"/>
  <c r="H18" i="157"/>
  <c r="G24" i="157"/>
  <c r="H24" i="157"/>
  <c r="E25" i="157"/>
  <c r="B25" i="157"/>
  <c r="G25" i="157"/>
  <c r="H25" i="157"/>
  <c r="E26" i="157"/>
  <c r="B26" i="157"/>
  <c r="G26" i="157"/>
  <c r="H26" i="157"/>
  <c r="G19" i="157"/>
  <c r="H19" i="157"/>
  <c r="E20" i="157"/>
  <c r="E5" i="157"/>
  <c r="E28" i="157"/>
  <c r="B28" i="157"/>
  <c r="E29" i="157"/>
  <c r="B29" i="157"/>
  <c r="B21" i="157"/>
  <c r="G21" i="157"/>
  <c r="E21" i="157"/>
  <c r="H21" i="157"/>
  <c r="E27" i="157"/>
  <c r="B27" i="157"/>
  <c r="G27" i="157"/>
  <c r="H27" i="157"/>
  <c r="G28" i="157"/>
  <c r="H28" i="157"/>
  <c r="G23" i="157"/>
  <c r="H23" i="157"/>
  <c r="G29" i="157"/>
  <c r="H29" i="157"/>
  <c r="P305" i="158"/>
  <c r="H306" i="158"/>
  <c r="K306" i="158"/>
  <c r="L306" i="158"/>
  <c r="M306" i="158"/>
  <c r="N306" i="158"/>
  <c r="P306" i="158"/>
  <c r="H307" i="158"/>
  <c r="K307" i="158"/>
  <c r="L307" i="158"/>
  <c r="M307" i="158"/>
  <c r="N307" i="158"/>
  <c r="P307" i="158"/>
  <c r="H308" i="158"/>
  <c r="K308" i="158"/>
  <c r="L308" i="158"/>
  <c r="M308" i="158"/>
  <c r="N308" i="158"/>
  <c r="P308" i="158"/>
  <c r="H309" i="158"/>
  <c r="K309" i="158"/>
  <c r="L309" i="158"/>
  <c r="M309" i="158"/>
  <c r="N309" i="158"/>
  <c r="P309" i="158"/>
  <c r="A305" i="158"/>
  <c r="A306" i="158"/>
  <c r="A307" i="158"/>
  <c r="A308" i="158"/>
  <c r="A309" i="158"/>
  <c r="E4" i="103"/>
  <c r="C4" i="103"/>
  <c r="I2" i="158"/>
  <c r="J2" i="158"/>
  <c r="I3" i="158"/>
  <c r="J3" i="158"/>
  <c r="I4" i="158"/>
  <c r="J4" i="158"/>
  <c r="I5" i="158"/>
  <c r="J5" i="158"/>
  <c r="I6" i="158"/>
  <c r="J6" i="158"/>
  <c r="I7" i="158"/>
  <c r="J7" i="158"/>
  <c r="I8" i="158"/>
  <c r="J8" i="158"/>
  <c r="I9" i="158"/>
  <c r="J9" i="158"/>
  <c r="I10" i="158"/>
  <c r="J10" i="158"/>
  <c r="I11" i="158"/>
  <c r="J11" i="158"/>
  <c r="I12" i="158"/>
  <c r="J12" i="158"/>
  <c r="I13" i="158"/>
  <c r="J13" i="158"/>
  <c r="I14" i="158"/>
  <c r="J14" i="158"/>
  <c r="I15" i="158"/>
  <c r="J15" i="158"/>
  <c r="I16" i="158"/>
  <c r="J16" i="158"/>
  <c r="I17" i="158"/>
  <c r="J17" i="158"/>
  <c r="I18" i="158"/>
  <c r="J18" i="158"/>
  <c r="I19" i="158"/>
  <c r="J19" i="158"/>
  <c r="I20" i="158"/>
  <c r="J20" i="158"/>
  <c r="I21" i="158"/>
  <c r="J21" i="158"/>
  <c r="I22" i="158"/>
  <c r="J22" i="158"/>
  <c r="I23" i="158"/>
  <c r="J23" i="158"/>
  <c r="I24" i="158"/>
  <c r="J24" i="158"/>
  <c r="I25" i="158"/>
  <c r="J25" i="158"/>
  <c r="I26" i="158"/>
  <c r="J26" i="158"/>
  <c r="I27" i="158"/>
  <c r="J27" i="158"/>
  <c r="I28" i="158"/>
  <c r="J28" i="158"/>
  <c r="I29" i="158"/>
  <c r="J29" i="158"/>
  <c r="I30" i="158"/>
  <c r="J30" i="158"/>
  <c r="I31" i="158"/>
  <c r="J31" i="158"/>
  <c r="I32" i="158"/>
  <c r="J32" i="158"/>
  <c r="I33" i="158"/>
  <c r="J33" i="158"/>
  <c r="I34" i="158"/>
  <c r="J34" i="158"/>
  <c r="I35" i="158"/>
  <c r="J35" i="158"/>
  <c r="I36" i="158"/>
  <c r="J36" i="158"/>
  <c r="I37" i="158"/>
  <c r="J37" i="158"/>
  <c r="I38" i="158"/>
  <c r="J38" i="158"/>
  <c r="I39" i="158"/>
  <c r="J39" i="158"/>
  <c r="I40" i="158"/>
  <c r="J40" i="158"/>
  <c r="I41" i="158"/>
  <c r="J41" i="158"/>
  <c r="I42" i="158"/>
  <c r="J42" i="158"/>
  <c r="I43" i="158"/>
  <c r="J43" i="158"/>
  <c r="I44" i="158"/>
  <c r="J44" i="158"/>
  <c r="I45" i="158"/>
  <c r="J45" i="158"/>
  <c r="I46" i="158"/>
  <c r="J46" i="158"/>
  <c r="I47" i="158"/>
  <c r="J47" i="158"/>
  <c r="I48" i="158"/>
  <c r="J48" i="158"/>
  <c r="I49" i="158"/>
  <c r="J49" i="158"/>
  <c r="I50" i="158"/>
  <c r="J50" i="158"/>
  <c r="I51" i="158"/>
  <c r="J51" i="158"/>
  <c r="I52" i="158"/>
  <c r="J52" i="158"/>
  <c r="I53" i="158"/>
  <c r="J53" i="158"/>
  <c r="I54" i="158"/>
  <c r="J54" i="158"/>
  <c r="I55" i="158"/>
  <c r="J55" i="158"/>
  <c r="I56" i="158"/>
  <c r="J56" i="158"/>
  <c r="I57" i="158"/>
  <c r="J57" i="158"/>
  <c r="I58" i="158"/>
  <c r="J58" i="158"/>
  <c r="I59" i="158"/>
  <c r="J59" i="158"/>
  <c r="I60" i="158"/>
  <c r="J60" i="158"/>
  <c r="I61" i="158"/>
  <c r="J61" i="158"/>
  <c r="I62" i="158"/>
  <c r="J62" i="158"/>
  <c r="I63" i="158"/>
  <c r="J63" i="158"/>
  <c r="I64" i="158"/>
  <c r="J64" i="158"/>
  <c r="I65" i="158"/>
  <c r="J65" i="158"/>
  <c r="I66" i="158"/>
  <c r="J66" i="158"/>
  <c r="I67" i="158"/>
  <c r="J67" i="158"/>
  <c r="I68" i="158"/>
  <c r="J68" i="158"/>
  <c r="I69" i="158"/>
  <c r="J69" i="158"/>
  <c r="I70" i="158"/>
  <c r="J70" i="158"/>
  <c r="I71" i="158"/>
  <c r="J71" i="158"/>
  <c r="I72" i="158"/>
  <c r="J72" i="158"/>
  <c r="I73" i="158"/>
  <c r="J73" i="158"/>
  <c r="I74" i="158"/>
  <c r="J74" i="158"/>
  <c r="I75" i="158"/>
  <c r="J75" i="158"/>
  <c r="I76" i="158"/>
  <c r="J76" i="158"/>
  <c r="I77" i="158"/>
  <c r="J77" i="158"/>
  <c r="I78" i="158"/>
  <c r="J78" i="158"/>
  <c r="I79" i="158"/>
  <c r="J79" i="158"/>
  <c r="I80" i="158"/>
  <c r="J80" i="158"/>
  <c r="I81" i="158"/>
  <c r="J81" i="158"/>
  <c r="I82" i="158"/>
  <c r="J82" i="158"/>
  <c r="I83" i="158"/>
  <c r="J83" i="158"/>
  <c r="I84" i="158"/>
  <c r="J84" i="158"/>
  <c r="I85" i="158"/>
  <c r="J85" i="158"/>
  <c r="I86" i="158"/>
  <c r="J86" i="158"/>
  <c r="I87" i="158"/>
  <c r="J87" i="158"/>
  <c r="I88" i="158"/>
  <c r="J88" i="158"/>
  <c r="I89" i="158"/>
  <c r="J89" i="158"/>
  <c r="I90" i="158"/>
  <c r="J90" i="158"/>
  <c r="I91" i="158"/>
  <c r="J91" i="158"/>
  <c r="I92" i="158"/>
  <c r="J92" i="158"/>
  <c r="I93" i="158"/>
  <c r="J93" i="158"/>
  <c r="I94" i="158"/>
  <c r="J94" i="158"/>
  <c r="I95" i="158"/>
  <c r="J95" i="158"/>
  <c r="I96" i="158"/>
  <c r="J96" i="158"/>
  <c r="I97" i="158"/>
  <c r="J97" i="158"/>
  <c r="I98" i="158"/>
  <c r="J98" i="158"/>
  <c r="I99" i="158"/>
  <c r="J99" i="158"/>
  <c r="I100" i="158"/>
  <c r="J100" i="158"/>
  <c r="I101" i="158"/>
  <c r="J101" i="158"/>
  <c r="I102" i="158"/>
  <c r="J102" i="158"/>
  <c r="I103" i="158"/>
  <c r="J103" i="158"/>
  <c r="I104" i="158"/>
  <c r="J104" i="158"/>
  <c r="I105" i="158"/>
  <c r="J105" i="158"/>
  <c r="I106" i="158"/>
  <c r="J106" i="158"/>
  <c r="I107" i="158"/>
  <c r="J107" i="158"/>
  <c r="I108" i="158"/>
  <c r="J108" i="158"/>
  <c r="I109" i="158"/>
  <c r="J109" i="158"/>
  <c r="I110" i="158"/>
  <c r="J110" i="158"/>
  <c r="I111" i="158"/>
  <c r="J111" i="158"/>
  <c r="I112" i="158"/>
  <c r="J112" i="158"/>
  <c r="I113" i="158"/>
  <c r="J113" i="158"/>
  <c r="I114" i="158"/>
  <c r="J114" i="158"/>
  <c r="I115" i="158"/>
  <c r="J115" i="158"/>
  <c r="I116" i="158"/>
  <c r="J116" i="158"/>
  <c r="I117" i="158"/>
  <c r="J117" i="158"/>
  <c r="I118" i="158"/>
  <c r="J118" i="158"/>
  <c r="I119" i="158"/>
  <c r="J119" i="158"/>
  <c r="I120" i="158"/>
  <c r="J120" i="158"/>
  <c r="I121" i="158"/>
  <c r="J121" i="158"/>
  <c r="I122" i="158"/>
  <c r="J122" i="158"/>
  <c r="I123" i="158"/>
  <c r="J123" i="158"/>
  <c r="I124" i="158"/>
  <c r="J124" i="158"/>
  <c r="I125" i="158"/>
  <c r="J125" i="158"/>
  <c r="I126" i="158"/>
  <c r="J126" i="158"/>
  <c r="I127" i="158"/>
  <c r="J127" i="158"/>
  <c r="I128" i="158"/>
  <c r="J128" i="158"/>
  <c r="I129" i="158"/>
  <c r="J129" i="158"/>
  <c r="I130" i="158"/>
  <c r="J130" i="158"/>
  <c r="I131" i="158"/>
  <c r="J131" i="158"/>
  <c r="I132" i="158"/>
  <c r="J132" i="158"/>
  <c r="I133" i="158"/>
  <c r="J133" i="158"/>
  <c r="I134" i="158"/>
  <c r="J134" i="158"/>
  <c r="I135" i="158"/>
  <c r="J135" i="158"/>
  <c r="I136" i="158"/>
  <c r="J136" i="158"/>
  <c r="I137" i="158"/>
  <c r="J137" i="158"/>
  <c r="I138" i="158"/>
  <c r="J138" i="158"/>
  <c r="I139" i="158"/>
  <c r="J139" i="158"/>
  <c r="I140" i="158"/>
  <c r="J140" i="158"/>
  <c r="I141" i="158"/>
  <c r="J141" i="158"/>
  <c r="I142" i="158"/>
  <c r="J142" i="158"/>
  <c r="I143" i="158"/>
  <c r="J143" i="158"/>
  <c r="I144" i="158"/>
  <c r="J144" i="158"/>
  <c r="I145" i="158"/>
  <c r="J145" i="158"/>
  <c r="I146" i="158"/>
  <c r="J146" i="158"/>
  <c r="I147" i="158"/>
  <c r="J147" i="158"/>
  <c r="I148" i="158"/>
  <c r="J148" i="158"/>
  <c r="I149" i="158"/>
  <c r="J149" i="158"/>
  <c r="I150" i="158"/>
  <c r="J150" i="158"/>
  <c r="I151" i="158"/>
  <c r="J151" i="158"/>
  <c r="I152" i="158"/>
  <c r="J152" i="158"/>
  <c r="I153" i="158"/>
  <c r="J153" i="158"/>
  <c r="I154" i="158"/>
  <c r="J154" i="158"/>
  <c r="I155" i="158"/>
  <c r="J155" i="158"/>
  <c r="I156" i="158"/>
  <c r="J156" i="158"/>
  <c r="I157" i="158"/>
  <c r="J157" i="158"/>
  <c r="I158" i="158"/>
  <c r="J158" i="158"/>
  <c r="I159" i="158"/>
  <c r="J159" i="158"/>
  <c r="I160" i="158"/>
  <c r="J160" i="158"/>
  <c r="I161" i="158"/>
  <c r="J161" i="158"/>
  <c r="I162" i="158"/>
  <c r="J162" i="158"/>
  <c r="I163" i="158"/>
  <c r="J163" i="158"/>
  <c r="I164" i="158"/>
  <c r="J164" i="158"/>
  <c r="I165" i="158"/>
  <c r="J165" i="158"/>
  <c r="I166" i="158"/>
  <c r="J166" i="158"/>
  <c r="I167" i="158"/>
  <c r="J167" i="158"/>
  <c r="I168" i="158"/>
  <c r="J168" i="158"/>
  <c r="I169" i="158"/>
  <c r="J169" i="158"/>
  <c r="I170" i="158"/>
  <c r="J170" i="158"/>
  <c r="I171" i="158"/>
  <c r="J171" i="158"/>
  <c r="I172" i="158"/>
  <c r="J172" i="158"/>
  <c r="I173" i="158"/>
  <c r="J173" i="158"/>
  <c r="I174" i="158"/>
  <c r="J174" i="158"/>
  <c r="I175" i="158"/>
  <c r="J175" i="158"/>
  <c r="I176" i="158"/>
  <c r="J176" i="158"/>
  <c r="I177" i="158"/>
  <c r="J177" i="158"/>
  <c r="I178" i="158"/>
  <c r="J178" i="158"/>
  <c r="I179" i="158"/>
  <c r="J179" i="158"/>
  <c r="I180" i="158"/>
  <c r="J180" i="158"/>
  <c r="I181" i="158"/>
  <c r="J181" i="158"/>
  <c r="I182" i="158"/>
  <c r="J182" i="158"/>
  <c r="I183" i="158"/>
  <c r="J183" i="158"/>
  <c r="I184" i="158"/>
  <c r="J184" i="158"/>
  <c r="I185" i="158"/>
  <c r="J185" i="158"/>
  <c r="I186" i="158"/>
  <c r="J186" i="158"/>
  <c r="I187" i="158"/>
  <c r="J187" i="158"/>
  <c r="I188" i="158"/>
  <c r="J188" i="158"/>
  <c r="I189" i="158"/>
  <c r="J189" i="158"/>
  <c r="I190" i="158"/>
  <c r="J190" i="158"/>
  <c r="I191" i="158"/>
  <c r="J191" i="158"/>
  <c r="I192" i="158"/>
  <c r="J192" i="158"/>
  <c r="I193" i="158"/>
  <c r="J193" i="158"/>
  <c r="I194" i="158"/>
  <c r="J194" i="158"/>
  <c r="I195" i="158"/>
  <c r="J195" i="158"/>
  <c r="I196" i="158"/>
  <c r="J196" i="158"/>
  <c r="I197" i="158"/>
  <c r="J197" i="158"/>
  <c r="I198" i="158"/>
  <c r="J198" i="158"/>
  <c r="I199" i="158"/>
  <c r="J199" i="158"/>
  <c r="I200" i="158"/>
  <c r="J200" i="158"/>
  <c r="I201" i="158"/>
  <c r="J201" i="158"/>
  <c r="I202" i="158"/>
  <c r="J202" i="158"/>
  <c r="I203" i="158"/>
  <c r="J203" i="158"/>
  <c r="I204" i="158"/>
  <c r="J204" i="158"/>
  <c r="I205" i="158"/>
  <c r="J205" i="158"/>
  <c r="I206" i="158"/>
  <c r="J206" i="158"/>
  <c r="I207" i="158"/>
  <c r="J207" i="158"/>
  <c r="I208" i="158"/>
  <c r="J208" i="158"/>
  <c r="I209" i="158"/>
  <c r="J209" i="158"/>
  <c r="I210" i="158"/>
  <c r="J210" i="158"/>
  <c r="I211" i="158"/>
  <c r="J211" i="158"/>
  <c r="I212" i="158"/>
  <c r="J212" i="158"/>
  <c r="I213" i="158"/>
  <c r="J213" i="158"/>
  <c r="I214" i="158"/>
  <c r="J214" i="158"/>
  <c r="I215" i="158"/>
  <c r="J215" i="158"/>
  <c r="I216" i="158"/>
  <c r="J216" i="158"/>
  <c r="I217" i="158"/>
  <c r="J217" i="158"/>
  <c r="I218" i="158"/>
  <c r="J218" i="158"/>
  <c r="I219" i="158"/>
  <c r="J219" i="158"/>
  <c r="I220" i="158"/>
  <c r="J220" i="158"/>
  <c r="I221" i="158"/>
  <c r="J221" i="158"/>
  <c r="I222" i="158"/>
  <c r="J222" i="158"/>
  <c r="I223" i="158"/>
  <c r="J223" i="158"/>
  <c r="I224" i="158"/>
  <c r="J224" i="158"/>
  <c r="I225" i="158"/>
  <c r="J225" i="158"/>
  <c r="I226" i="158"/>
  <c r="J226" i="158"/>
  <c r="I227" i="158"/>
  <c r="J227" i="158"/>
  <c r="I228" i="158"/>
  <c r="J228" i="158"/>
  <c r="I229" i="158"/>
  <c r="J229" i="158"/>
  <c r="I230" i="158"/>
  <c r="J230" i="158"/>
  <c r="I231" i="158"/>
  <c r="J231" i="158"/>
  <c r="I232" i="158"/>
  <c r="J232" i="158"/>
  <c r="I233" i="158"/>
  <c r="J233" i="158"/>
  <c r="I234" i="158"/>
  <c r="J234" i="158"/>
  <c r="I235" i="158"/>
  <c r="J235" i="158"/>
  <c r="I236" i="158"/>
  <c r="J236" i="158"/>
  <c r="I237" i="158"/>
  <c r="J237" i="158"/>
  <c r="I238" i="158"/>
  <c r="J238" i="158"/>
  <c r="I239" i="158"/>
  <c r="J239" i="158"/>
  <c r="I240" i="158"/>
  <c r="J240" i="158"/>
  <c r="I241" i="158"/>
  <c r="J241" i="158"/>
  <c r="I242" i="158"/>
  <c r="J242" i="158"/>
  <c r="I243" i="158"/>
  <c r="J243" i="158"/>
  <c r="I244" i="158"/>
  <c r="J244" i="158"/>
  <c r="I245" i="158"/>
  <c r="J245" i="158"/>
  <c r="I246" i="158"/>
  <c r="J246" i="158"/>
  <c r="I247" i="158"/>
  <c r="J247" i="158"/>
  <c r="I248" i="158"/>
  <c r="J248" i="158"/>
  <c r="I249" i="158"/>
  <c r="J249" i="158"/>
  <c r="I250" i="158"/>
  <c r="J250" i="158"/>
  <c r="I251" i="158"/>
  <c r="J251" i="158"/>
  <c r="I252" i="158"/>
  <c r="J252" i="158"/>
  <c r="I253" i="158"/>
  <c r="J253" i="158"/>
  <c r="I254" i="158"/>
  <c r="J254" i="158"/>
  <c r="I255" i="158"/>
  <c r="J255" i="158"/>
  <c r="I256" i="158"/>
  <c r="J256" i="158"/>
  <c r="I257" i="158"/>
  <c r="J257" i="158"/>
  <c r="I258" i="158"/>
  <c r="J258" i="158"/>
  <c r="I259" i="158"/>
  <c r="J259" i="158"/>
  <c r="I260" i="158"/>
  <c r="J260" i="158"/>
  <c r="I261" i="158"/>
  <c r="J261" i="158"/>
  <c r="I262" i="158"/>
  <c r="J262" i="158"/>
  <c r="I263" i="158"/>
  <c r="J263" i="158"/>
  <c r="I264" i="158"/>
  <c r="J264" i="158"/>
  <c r="I265" i="158"/>
  <c r="J265" i="158"/>
  <c r="I266" i="158"/>
  <c r="J266" i="158"/>
  <c r="I267" i="158"/>
  <c r="J267" i="158"/>
  <c r="I268" i="158"/>
  <c r="J268" i="158"/>
  <c r="I269" i="158"/>
  <c r="J269" i="158"/>
  <c r="I270" i="158"/>
  <c r="J270" i="158"/>
  <c r="I271" i="158"/>
  <c r="J271" i="158"/>
  <c r="I272" i="158"/>
  <c r="J272" i="158"/>
  <c r="I273" i="158"/>
  <c r="J273" i="158"/>
  <c r="I274" i="158"/>
  <c r="J274" i="158"/>
  <c r="I275" i="158"/>
  <c r="J275" i="158"/>
  <c r="I276" i="158"/>
  <c r="J276" i="158"/>
  <c r="I277" i="158"/>
  <c r="J277" i="158"/>
  <c r="I278" i="158"/>
  <c r="J278" i="158"/>
  <c r="I279" i="158"/>
  <c r="J279" i="158"/>
  <c r="I280" i="158"/>
  <c r="J280" i="158"/>
  <c r="I281" i="158"/>
  <c r="J281" i="158"/>
  <c r="I282" i="158"/>
  <c r="J282" i="158"/>
  <c r="I283" i="158"/>
  <c r="J283" i="158"/>
  <c r="I284" i="158"/>
  <c r="J284" i="158"/>
  <c r="I285" i="158"/>
  <c r="J285" i="158"/>
  <c r="I286" i="158"/>
  <c r="J286" i="158"/>
  <c r="I287" i="158"/>
  <c r="J287" i="158"/>
  <c r="I288" i="158"/>
  <c r="J288" i="158"/>
  <c r="I289" i="158"/>
  <c r="J289" i="158"/>
  <c r="I290" i="158"/>
  <c r="J290" i="158"/>
  <c r="I291" i="158"/>
  <c r="J291" i="158"/>
  <c r="I292" i="158"/>
  <c r="J292" i="158"/>
  <c r="I293" i="158"/>
  <c r="J293" i="158"/>
  <c r="I294" i="158"/>
  <c r="J294" i="158"/>
  <c r="I295" i="158"/>
  <c r="J295" i="158"/>
  <c r="I296" i="158"/>
  <c r="J296" i="158"/>
  <c r="I297" i="158"/>
  <c r="J297" i="158"/>
  <c r="I298" i="158"/>
  <c r="J298" i="158"/>
  <c r="I299" i="158"/>
  <c r="J299" i="158"/>
  <c r="I300" i="158"/>
  <c r="J300" i="158"/>
  <c r="I301" i="158"/>
  <c r="J301" i="158"/>
  <c r="I302" i="158"/>
  <c r="J302" i="158"/>
  <c r="I303" i="158"/>
  <c r="J303" i="158"/>
  <c r="I304" i="158"/>
  <c r="J304" i="158"/>
  <c r="B30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A300" i="158"/>
  <c r="F300" i="158"/>
  <c r="H300" i="158"/>
  <c r="K300" i="158"/>
  <c r="L300" i="158"/>
  <c r="M300" i="158"/>
  <c r="N300" i="158"/>
  <c r="F301" i="158"/>
  <c r="F302" i="158"/>
  <c r="F303" i="158"/>
  <c r="F304" i="158"/>
  <c r="R3" i="157"/>
  <c r="R4" i="157"/>
  <c r="R5" i="157"/>
  <c r="R6" i="157"/>
  <c r="R7" i="157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<sst xmlns="http://schemas.openxmlformats.org/spreadsheetml/2006/main" count="398" uniqueCount="251">
  <si>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</si>
  <si>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</si>
  <si>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</si>
  <si>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</si>
  <si>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</si>
  <si>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</si>
  <si>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</si>
  <si>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</si>
  <si>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</si>
  <si>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</si>
  <si>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</si>
  <si>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</si>
  <si>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</si>
  <si>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</si>
  <si>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</si>
  <si>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</si>
  <si>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</si>
  <si>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</si>
  <si>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</si>
  <si>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</si>
  <si>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</si>
  <si>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</si>
  <si>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</si>
  <si>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</si>
  <si>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</si>
  <si>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</si>
  <si>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</si>
  <si>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</si>
  <si>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</si>
  <si>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</si>
  <si>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</si>
  <si>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</si>
  <si>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</si>
  <si>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</si>
  <si>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</si>
  <si>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</si>
  <si>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</si>
  <si>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</si>
  <si>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</si>
  <si>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</si>
  <si>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</si>
  <si>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</si>
  <si>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</si>
  <si>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</si>
  <si>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</si>
  <si>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</si>
  <si>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</si>
  <si>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</si>
  <si>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</si>
  <si>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</si>
  <si>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</si>
  <si>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</si>
  <si>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</si>
  <si>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</si>
  <si>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</si>
  <si>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</si>
  <si>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</si>
  <si>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</si>
  <si>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</si>
  <si>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</si>
  <si>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</si>
  <si>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</si>
  <si>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</si>
  <si>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</si>
  <si>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</si>
  <si>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</si>
  <si>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</si>
  <si>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</si>
  <si>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</si>
  <si>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</si>
  <si>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</si>
  <si>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</si>
  <si>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</si>
  <si>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</si>
  <si>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</si>
  <si>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</si>
  <si>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</si>
  <si>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</si>
  <si>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</si>
  <si>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</si>
  <si>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</si>
  <si>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</si>
  <si>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</si>
  <si>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</si>
  <si>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</si>
  <si>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</si>
  <si>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</si>
  <si>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</si>
  <si>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</si>
  <si>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</si>
  <si>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</si>
  <si>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</si>
  <si>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</si>
  <si>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</si>
  <si>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</si>
  <si>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</si>
  <si>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</si>
  <si>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</si>
  <si>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</si>
  <si>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</si>
  <si>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</si>
  <si>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</si>
  <si>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</si>
  <si>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</si>
  <si>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</si>
  <si>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</si>
  <si>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</si>
  <si>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</si>
  <si>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</si>
  <si>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</si>
  <si>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</si>
  <si>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</si>
  <si>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</si>
  <si>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</si>
  <si>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</si>
  <si>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</si>
  <si>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</si>
  <si>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</si>
  <si>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</si>
  <si>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</si>
  <si>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</si>
  <si>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</si>
  <si>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</si>
  <si>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</si>
  <si>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</si>
  <si>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</si>
  <si>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</si>
  <si>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</si>
  <si>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</si>
  <si>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</si>
  <si>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</si>
  <si>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</si>
  <si>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</si>
  <si>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</si>
  <si>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</si>
  <si>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</si>
  <si>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</si>
  <si>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</si>
  <si>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</si>
  <si>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</si>
  <si>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</si>
  <si>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</si>
  <si>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</si>
  <si>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</si>
  <si>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</si>
  <si>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</si>
  <si>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</si>
  <si>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</si>
  <si>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</si>
  <si>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</si>
  <si>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</si>
  <si>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</si>
  <si>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</si>
  <si>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</si>
  <si>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</si>
  <si>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</si>
  <si>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</si>
  <si>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</si>
  <si>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</si>
  <si>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</si>
  <si>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</si>
  <si>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</si>
  <si>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</si>
  <si>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</si>
  <si>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</si>
  <si>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</si>
  <si>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</si>
  <si>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</si>
  <si>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</si>
  <si>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</si>
  <si>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</si>
  <si>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</si>
  <si>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</si>
  <si>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</si>
  <si>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</si>
  <si>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</si>
  <si>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</si>
  <si>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</si>
  <si>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</si>
  <si>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</si>
  <si>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</si>
  <si>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</si>
  <si>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</si>
  <si>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</si>
  <si>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</si>
  <si>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</si>
  <si>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</si>
  <si>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</si>
  <si>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</si>
  <si>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</si>
  <si>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</si>
  <si>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</si>
  <si>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</si>
  <si>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</si>
  <si>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</si>
  <si>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</si>
  <si>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</si>
  <si>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</si>
  <si>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</si>
  <si>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</si>
  <si>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</si>
  <si>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</si>
  <si>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</si>
  <si>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</si>
  <si>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</si>
  <si>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</si>
  <si>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</si>
  <si>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</si>
  <si>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</si>
  <si>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</si>
  <si>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</si>
  <si>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</si>
  <si>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</si>
  <si>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</si>
  <si>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</si>
  <si>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</si>
  <si>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</si>
  <si>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</si>
  <si>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</si>
  <si>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</si>
  <si>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</si>
  <si>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</si>
  <si>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</si>
  <si>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</si>
  <si>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</si>
  <si>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</si>
  <si>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</si>
  <si>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</si>
  <si>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</si>
  <si>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</si>
  <si>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</si>
  <si>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</si>
  <si>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</si>
  <si>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</si>
  <si>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</si>
  <si>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</si>
  <si>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</si>
  <si>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</si>
  <si>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</si>
  <si>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</si>
  <si>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</si>
  <si>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</si>
  <si>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</si>
  <si>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</si>
  <si>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</si>
  <si>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</si>
  <si>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</si>
  <si>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tables_391100</t>
    <phoneticPr fontId="22"/>
  </si>
  <si>
    <t>tables_391011</t>
    <phoneticPr fontId="22"/>
  </si>
  <si>
    <t>gacha_select_tables_</t>
    <phoneticPr fontId="22"/>
  </si>
  <si>
    <t>tables_401010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</si>
</sst>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</cellStyleXfs>
  <cellXfs count="98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0" fontId="4" fillId="4" borderId="1" xfId="2978" applyFont="1" applyFill="1" applyBorder="1"/>
    <xf numFmtId="183" fontId="0" fillId="4" borderId="1" xfId="0" applyNumberFormat="1" applyFill="1" applyBorder="1"/>
    <xf numFmtId="0" fontId="3" fillId="4" borderId="1" xfId="2978" applyFont="1" applyFill="1" applyBorder="1"/>
    <xf numFmtId="0" fontId="2" fillId="0" borderId="1" xfId="2978" applyFont="1" applyBorder="1"/>
    <xf numFmtId="0" fontId="1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クリムト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4</v>
          </cell>
          <cell r="J1107" t="str">
            <v>PremiumS</v>
          </cell>
          <cell r="K1107" t="str">
            <v>technical</v>
          </cell>
          <cell r="L1107" t="str">
            <v>テクニカルタイプ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5</v>
          </cell>
          <cell r="J1108" t="str">
            <v>PremiumS</v>
          </cell>
          <cell r="K1108" t="str">
            <v>technical</v>
          </cell>
          <cell r="L1108" t="str">
            <v>テクニカルタイプ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6</v>
          </cell>
          <cell r="J1130" t="str">
            <v>PremiumSS</v>
          </cell>
          <cell r="K1130" t="str">
            <v>balance</v>
          </cell>
          <cell r="L1130" t="str">
            <v>バランスタイプ</v>
          </cell>
          <cell r="M1130" t="str">
            <v>academia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green</v>
          </cell>
          <cell r="I1131">
            <v>6</v>
          </cell>
          <cell r="J1131" t="str">
            <v>PremiumSS</v>
          </cell>
          <cell r="K1131" t="str">
            <v>balance</v>
          </cell>
          <cell r="L1131" t="str">
            <v>バランスタイプ</v>
          </cell>
          <cell r="M1131" t="str">
            <v>academia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blue</v>
          </cell>
          <cell r="I1132">
            <v>6</v>
          </cell>
          <cell r="J1132" t="str">
            <v>PremiumSS</v>
          </cell>
          <cell r="K1132" t="str">
            <v>balance</v>
          </cell>
          <cell r="L1132" t="str">
            <v>バランスタイプ</v>
          </cell>
          <cell r="M1132" t="str">
            <v>academia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yellow</v>
          </cell>
          <cell r="I1133">
            <v>6</v>
          </cell>
          <cell r="J1133" t="str">
            <v>PremiumSS</v>
          </cell>
          <cell r="K1133" t="str">
            <v>balance</v>
          </cell>
          <cell r="L1133" t="str">
            <v>バランスタイプ</v>
          </cell>
          <cell r="M1133" t="str">
            <v>academia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red</v>
          </cell>
          <cell r="I1134">
            <v>6</v>
          </cell>
          <cell r="J1134" t="str">
            <v>PremiumSS</v>
          </cell>
          <cell r="K1134" t="str">
            <v>balance</v>
          </cell>
          <cell r="L1134" t="str">
            <v>バランスタイプ</v>
          </cell>
          <cell r="M1134" t="str">
            <v>academia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green</v>
          </cell>
          <cell r="I1135">
            <v>6</v>
          </cell>
          <cell r="J1135" t="str">
            <v>PremiumSS</v>
          </cell>
          <cell r="K1135" t="str">
            <v>balance</v>
          </cell>
          <cell r="L1135" t="str">
            <v>バランスタイプ</v>
          </cell>
          <cell r="M1135" t="str">
            <v>academia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blue</v>
          </cell>
          <cell r="I1136">
            <v>6</v>
          </cell>
          <cell r="J1136" t="str">
            <v>PremiumSS</v>
          </cell>
          <cell r="K1136" t="str">
            <v>balance</v>
          </cell>
          <cell r="L1136" t="str">
            <v>バランスタイプ</v>
          </cell>
          <cell r="M1136" t="str">
            <v>academia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yellow</v>
          </cell>
          <cell r="I1137">
            <v>6</v>
          </cell>
          <cell r="J1137" t="str">
            <v>PremiumSS</v>
          </cell>
          <cell r="K1137" t="str">
            <v>balance</v>
          </cell>
          <cell r="L1137" t="str">
            <v>バランスタイプ</v>
          </cell>
          <cell r="M1137" t="str">
            <v>academia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6</v>
          </cell>
          <cell r="J1138" t="str">
            <v>PremiumSS</v>
          </cell>
          <cell r="K1138" t="str">
            <v>balance</v>
          </cell>
          <cell r="L1138" t="str">
            <v>バランスタイプ</v>
          </cell>
          <cell r="M1138" t="str">
            <v>academia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green</v>
          </cell>
          <cell r="I1139">
            <v>6</v>
          </cell>
          <cell r="J1139" t="str">
            <v>PremiumSS</v>
          </cell>
          <cell r="K1139" t="str">
            <v>balance</v>
          </cell>
          <cell r="L1139" t="str">
            <v>バランスタイプ</v>
          </cell>
          <cell r="M1139" t="str">
            <v>academia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blue</v>
          </cell>
          <cell r="I1140">
            <v>6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academia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yellow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academia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red</v>
          </cell>
          <cell r="I1142">
            <v>6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academia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green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academia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blue</v>
          </cell>
          <cell r="I1144">
            <v>6</v>
          </cell>
          <cell r="J1144" t="str">
            <v>PremiumSS</v>
          </cell>
          <cell r="K1144" t="str">
            <v>balance</v>
          </cell>
          <cell r="L1144" t="str">
            <v>バランスタイプ</v>
          </cell>
          <cell r="M1144" t="str">
            <v>academia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6</v>
          </cell>
          <cell r="J1145" t="str">
            <v>PremiumSS</v>
          </cell>
          <cell r="K1145" t="str">
            <v>balance</v>
          </cell>
          <cell r="L1145" t="str">
            <v>バランスタイプ</v>
          </cell>
          <cell r="M1145" t="str">
            <v>academia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4" sqref="F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7" t="s">
        <v>241</v>
      </c>
      <c r="B2" s="61" t="s">
        <v>110</v>
      </c>
      <c r="C2" s="50" t="str">
        <f t="shared" ref="C2" si="0">RIGHT(F2,6)</f>
        <v>391100</v>
      </c>
      <c r="D2" s="19" t="s">
        <v>45</v>
      </c>
      <c r="E2" s="17" t="str">
        <f t="shared" ref="E2" si="1">B2&amp;C2&amp;D2</f>
        <v>gacha_select_tables_391100.tmp</v>
      </c>
      <c r="F2" s="93" t="s">
        <v>247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246</v>
      </c>
      <c r="B3" s="61" t="s">
        <v>110</v>
      </c>
      <c r="C3" s="50" t="str">
        <f t="shared" ref="C3:C7" si="2">RIGHT(F3,6)</f>
        <v>401010</v>
      </c>
      <c r="D3" s="19" t="s">
        <v>45</v>
      </c>
      <c r="E3" s="17" t="str">
        <f t="shared" ref="E3:E10" si="3">B3&amp;C3&amp;D3</f>
        <v>gacha_select_tables_401010.tmp</v>
      </c>
      <c r="F3" s="97" t="s">
        <v>250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7" t="s">
        <v>241</v>
      </c>
      <c r="B4" s="96" t="s">
        <v>249</v>
      </c>
      <c r="C4" s="50" t="str">
        <f>RIGHT(F4,6)</f>
        <v>391011</v>
      </c>
      <c r="D4" s="19" t="s">
        <v>45</v>
      </c>
      <c r="E4" s="17" t="str">
        <f>B4&amp;C4&amp;D4</f>
        <v>gacha_select_tables_391011.tmp</v>
      </c>
      <c r="F4" s="95" t="s">
        <v>248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tabSelected="1" workbookViewId="0">
      <selection activeCell="H37" sqref="H3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401010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VLOOKUP(L3,tables_401010!B:C,2,FALSE)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VLOOKUP(L4,tables_401010!B:C,2,FALSE)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1.0416666666666667E-3</v>
      </c>
      <c r="F5">
        <f>(COUNTIF(tables_401010!C:C,input_401010!A28)+COUNTIF(tables_401010!C:C,input_401010!A29))</f>
        <v>48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VLOOKUP(L5,tables_401010!B:C,2,FALSE)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1.0795454545454546E-2</v>
      </c>
      <c r="F6">
        <f>(COUNTIF(tables_401010!C:C,input_401010!A25)+COUNTIF(tables_401010!C:C,input_401010!A18)+COUNTIF(tables_401010!C:C,input_401010!A20)+COUNTIF(tables_401010!C:C,input_401010!A22))</f>
        <v>88</v>
      </c>
      <c r="H6" s="89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VLOOKUP(L6,tables_401010!B:C,2,FALSE)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VLOOKUP(L7,tables_401010!B:C,2,FALSE)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VLOOKUP(L8,tables_401010!B:C,2,FALSE)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VLOOKUP(L9,tables_401010!B:C,2,FALSE)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VLOOKUP(L10,tables_401010!B:C,2,FALSE)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VLOOKUP(L11,tables_401010!B:C,2,FALSE)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VLOOKUP(L12,tables_401010!B:C,2,FALSE)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VLOOKUP(L13,tables_401010!B:C,2,FALSE)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VLOOKUP(L14,tables_401010!B:C,2,FALSE)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VLOOKUP(L15,tables_401010!B:C,2,FALSE)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VLOOKUP(L16,tables_401010!B:C,2,FALSE)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0.1977272727272727</v>
      </c>
      <c r="C17" s="85">
        <f t="shared" ref="C17:C31" si="2">SUMIF(Q:Q,A17,N:N)</f>
        <v>0</v>
      </c>
      <c r="D17" s="74">
        <f t="shared" ref="D17:D32" si="3">B17-C17</f>
        <v>0.1977272727272727</v>
      </c>
      <c r="E17">
        <f>COUNTIF(tables_401010!C:C,input_401010!A17)-COUNTIF(Q:Q,A17)</f>
        <v>20</v>
      </c>
      <c r="F17" s="43">
        <f>IFERROR(B17/E17,0)</f>
        <v>9.8863636363636341E-3</v>
      </c>
      <c r="G17">
        <f t="shared" ref="G17:G31" si="4">A$36*B17</f>
        <v>2087999.9999999998</v>
      </c>
      <c r="H17">
        <f t="shared" ref="H17:H31" si="5">IFERROR(ROUND(G17/E17,5),0)</f>
        <v>104400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VLOOKUP(L17,tables_401010!B:C,2,FALSE)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1.8181818181818216E-2</v>
      </c>
      <c r="C18" s="85">
        <f t="shared" si="2"/>
        <v>0</v>
      </c>
      <c r="D18" s="74">
        <f t="shared" si="3"/>
        <v>1.8181818181818216E-2</v>
      </c>
      <c r="E18">
        <f>COUNTIF(tables_401010!C:C,input_401010!A18)-COUNTIF(Q:Q,A18)</f>
        <v>20</v>
      </c>
      <c r="F18" s="43">
        <f>IFERROR(B18/E18,0)</f>
        <v>9.0909090909091082E-4</v>
      </c>
      <c r="G18">
        <f t="shared" si="4"/>
        <v>192000.00000000035</v>
      </c>
      <c r="H18">
        <f t="shared" si="5"/>
        <v>9600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VLOOKUP(L18,tables_401010!B:C,2,FALSE)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0.2806818181818182</v>
      </c>
      <c r="C19" s="85">
        <f t="shared" si="2"/>
        <v>0</v>
      </c>
      <c r="D19" s="74">
        <f t="shared" si="3"/>
        <v>0.2806818181818182</v>
      </c>
      <c r="E19">
        <f>COUNTIF(tables_401010!C:C,input_401010!A19)-COUNTIF(Q:Q,A19)</f>
        <v>52</v>
      </c>
      <c r="F19" s="43">
        <f t="shared" ref="F19:F31" si="8">IFERROR(B19/E19,0)</f>
        <v>5.3977272727272728E-3</v>
      </c>
      <c r="G19">
        <f t="shared" si="4"/>
        <v>2964000</v>
      </c>
      <c r="H19">
        <f t="shared" si="5"/>
        <v>57000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VLOOKUP(L19,tables_401010!B:C,2,FALSE)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E$6*E20*B$6+E34</f>
        <v>0.26160984848484853</v>
      </c>
      <c r="C20" s="85">
        <f t="shared" si="2"/>
        <v>0</v>
      </c>
      <c r="D20" s="74">
        <f t="shared" si="3"/>
        <v>0.26160984848484853</v>
      </c>
      <c r="E20">
        <f>COUNTIF(tables_401010!C:C,input_401010!A20)-COUNTIF(Q:Q,A20)</f>
        <v>52</v>
      </c>
      <c r="F20" s="43">
        <f t="shared" si="8"/>
        <v>5.0309586247086254E-3</v>
      </c>
      <c r="G20">
        <f t="shared" si="4"/>
        <v>2762600.0000000005</v>
      </c>
      <c r="H20">
        <f t="shared" si="5"/>
        <v>53126.92308</v>
      </c>
      <c r="I20">
        <f t="shared" si="6"/>
        <v>0.92308000000048196</v>
      </c>
      <c r="J20">
        <f t="shared" si="7"/>
        <v>1.0833297222336935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VLOOKUP(L20,tables_401010!B:C,2,FALSE)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1.9071969696969702E-2</v>
      </c>
      <c r="C21" s="85">
        <f t="shared" si="2"/>
        <v>0</v>
      </c>
      <c r="D21" s="74">
        <f t="shared" si="3"/>
        <v>1.9071969696969702E-2</v>
      </c>
      <c r="E21">
        <f>COUNTIF(tables_401010!C:C,input_401010!A21)-COUNTIF(Q:Q,A21)</f>
        <v>52</v>
      </c>
      <c r="F21" s="43">
        <f t="shared" si="8"/>
        <v>3.6676864801864814E-4</v>
      </c>
      <c r="G21">
        <f t="shared" si="4"/>
        <v>201400.00000000006</v>
      </c>
      <c r="H21">
        <f t="shared" si="5"/>
        <v>3873.07692</v>
      </c>
      <c r="I21">
        <f t="shared" si="6"/>
        <v>7.6919999999972788E-2</v>
      </c>
      <c r="J21">
        <f t="shared" si="7"/>
        <v>13.000520020805432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0.12306818181818183</v>
      </c>
      <c r="C22" s="85">
        <f t="shared" si="2"/>
        <v>0</v>
      </c>
      <c r="D22" s="74">
        <f t="shared" si="3"/>
        <v>0.12306818181818183</v>
      </c>
      <c r="E22">
        <f>COUNTIF(tables_401010!C:C,input_401010!A22)-COUNTIF(Q:Q,A22)</f>
        <v>12</v>
      </c>
      <c r="F22" s="43">
        <f t="shared" si="8"/>
        <v>1.0255681818181818E-2</v>
      </c>
      <c r="G22">
        <f t="shared" si="4"/>
        <v>1299600</v>
      </c>
      <c r="H22">
        <f t="shared" si="5"/>
        <v>108300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6.4772727272727273E-3</v>
      </c>
      <c r="C23" s="85">
        <f t="shared" si="2"/>
        <v>0</v>
      </c>
      <c r="D23" s="74">
        <f t="shared" si="3"/>
        <v>6.4772727272727273E-3</v>
      </c>
      <c r="E23">
        <f>COUNTIF(tables_401010!C:C,input_401010!A23)-COUNTIF(Q:Q,A23)</f>
        <v>12</v>
      </c>
      <c r="F23" s="43">
        <f t="shared" si="8"/>
        <v>5.3977272727272728E-4</v>
      </c>
      <c r="G23">
        <f t="shared" si="4"/>
        <v>68400</v>
      </c>
      <c r="H23">
        <f t="shared" si="5"/>
        <v>5700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2.1590909090909091E-2</v>
      </c>
      <c r="C24" s="85">
        <f t="shared" si="2"/>
        <v>0</v>
      </c>
      <c r="D24" s="74">
        <f t="shared" si="3"/>
        <v>2.1590909090909091E-2</v>
      </c>
      <c r="E24">
        <f>COUNTIF(tables_401010!C:C,input_401010!A24)-COUNTIF(Q:Q,A24)</f>
        <v>4</v>
      </c>
      <c r="F24" s="43">
        <f t="shared" si="8"/>
        <v>5.3977272727272728E-3</v>
      </c>
      <c r="G24">
        <f t="shared" si="4"/>
        <v>228000</v>
      </c>
      <c r="H24">
        <f t="shared" si="5"/>
        <v>57000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1.9431818181818182E-2</v>
      </c>
      <c r="C25" s="85">
        <f t="shared" si="2"/>
        <v>0</v>
      </c>
      <c r="D25" s="74">
        <f t="shared" si="3"/>
        <v>1.9431818181818182E-2</v>
      </c>
      <c r="E25">
        <f>COUNTIF(tables_401010!C:C,input_401010!A25)-COUNTIF(Q:Q,A25)</f>
        <v>4</v>
      </c>
      <c r="F25" s="43">
        <f t="shared" si="8"/>
        <v>4.8579545454545455E-3</v>
      </c>
      <c r="G25">
        <f t="shared" si="4"/>
        <v>205200</v>
      </c>
      <c r="H25">
        <f t="shared" si="5"/>
        <v>51300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2.1590909090909091E-3</v>
      </c>
      <c r="C26" s="85">
        <f t="shared" si="2"/>
        <v>0</v>
      </c>
      <c r="D26" s="74">
        <f t="shared" si="3"/>
        <v>2.1590909090909091E-3</v>
      </c>
      <c r="E26">
        <f>COUNTIF(tables_401010!C:C,input_401010!A26)-COUNTIF(Q:Q,A26)</f>
        <v>4</v>
      </c>
      <c r="F26" s="43">
        <f t="shared" si="8"/>
        <v>5.3977272727272728E-4</v>
      </c>
      <c r="G26">
        <f t="shared" si="4"/>
        <v>22800</v>
      </c>
      <c r="H26">
        <f t="shared" si="5"/>
        <v>5700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2.7708333333333331E-2</v>
      </c>
      <c r="C27" s="85">
        <f t="shared" si="2"/>
        <v>0</v>
      </c>
      <c r="D27" s="74">
        <f t="shared" si="3"/>
        <v>2.7708333333333331E-2</v>
      </c>
      <c r="E27">
        <f>COUNTIF(tables_401010!C:C,input_401010!A27)-COUNTIF(Q:Q,A27)</f>
        <v>28</v>
      </c>
      <c r="F27" s="43">
        <f>IFERROR(B27/E27,0)</f>
        <v>9.895833333333332E-4</v>
      </c>
      <c r="G27">
        <f t="shared" si="4"/>
        <v>292600</v>
      </c>
      <c r="H27">
        <f t="shared" si="5"/>
        <v>10450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1.4583333333333334E-3</v>
      </c>
      <c r="C28" s="85">
        <f t="shared" si="2"/>
        <v>0</v>
      </c>
      <c r="D28" s="74">
        <f t="shared" si="3"/>
        <v>1.4583333333333334E-3</v>
      </c>
      <c r="E28">
        <f>COUNTIF(tables_401010!C:C,input_401010!A28)-COUNTIF(Q:Q,A28)</f>
        <v>28</v>
      </c>
      <c r="F28" s="43">
        <f t="shared" si="8"/>
        <v>5.2083333333333337E-5</v>
      </c>
      <c r="G28">
        <f t="shared" si="4"/>
        <v>15400</v>
      </c>
      <c r="H28">
        <f t="shared" si="5"/>
        <v>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2.0833333333333332E-2</v>
      </c>
      <c r="C29" s="85">
        <f t="shared" si="2"/>
        <v>0</v>
      </c>
      <c r="D29" s="74">
        <f t="shared" si="3"/>
        <v>2.0833333333333332E-2</v>
      </c>
      <c r="E29">
        <f>COUNTIF(tables_401010!C:C,input_401010!A29)-COUNTIF(Q:Q,A29)</f>
        <v>20</v>
      </c>
      <c r="F29" s="43">
        <f t="shared" si="8"/>
        <v>1.0416666666666667E-3</v>
      </c>
      <c r="G29">
        <f t="shared" si="4"/>
        <v>220000</v>
      </c>
      <c r="H29">
        <f t="shared" si="5"/>
        <v>11000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COUNTIF(tables_401010!C:C,input_401010!A30)-COUNTIF(Q:Q,A30)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COUNTIF(tables_401010!C:C,input_401010!A31)-COUNTIF(Q:Q,A31)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8.9962121212121549E-3</v>
      </c>
    </row>
    <row r="35" spans="1:7" x14ac:dyDescent="0.15">
      <c r="A35" t="s">
        <v>73</v>
      </c>
    </row>
    <row r="36" spans="1:7" x14ac:dyDescent="0.15">
      <c r="A36" s="31">
        <f>LCM(F5-I5,F6-I6)*1000*2*2*5</f>
        <v>10560000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SUMIF(tables_401010!C:C,input_401010!A40,tables_401010!O:O)</f>
        <v>2964000</v>
      </c>
      <c r="C40" s="54">
        <f t="shared" ref="C40:C46" ca="1" si="9">B40/B$47</f>
        <v>0.47530468248877467</v>
      </c>
      <c r="E40">
        <v>3</v>
      </c>
      <c r="F40">
        <f ca="1">SUMIF(tables_401010!J:J,input_401010!E40,tables_401010!O:O)</f>
        <v>5280000</v>
      </c>
      <c r="G40">
        <f ca="1">F40/A36</f>
        <v>0.5</v>
      </c>
    </row>
    <row r="41" spans="1:7" x14ac:dyDescent="0.15">
      <c r="A41" s="33" t="s">
        <v>104</v>
      </c>
      <c r="B41">
        <f ca="1">SUMIF(tables_401010!C:C,input_401010!A41,tables_401010!O:O)</f>
        <v>2762600.0001600026</v>
      </c>
      <c r="C41" s="54">
        <f t="shared" ca="1" si="9"/>
        <v>0.44300833870429784</v>
      </c>
      <c r="E41">
        <v>4</v>
      </c>
      <c r="F41">
        <f ca="1">SUMIF(tables_401010!J:J,input_401010!E41,tables_401010!O:O)</f>
        <v>4752000.0001600031</v>
      </c>
      <c r="G41">
        <f ca="1">F41/A36</f>
        <v>0.45000000001515178</v>
      </c>
    </row>
    <row r="42" spans="1:7" x14ac:dyDescent="0.15">
      <c r="A42" s="33" t="s">
        <v>106</v>
      </c>
      <c r="B42">
        <f ca="1">SUMIF(tables_401010!C:C,input_401010!A42,tables_401010!O:O)</f>
        <v>292600</v>
      </c>
      <c r="C42" s="54">
        <f t="shared" ca="1" si="9"/>
        <v>4.6921103271327751E-2</v>
      </c>
      <c r="E42">
        <v>5</v>
      </c>
      <c r="F42">
        <f ca="1">SUMIF(tables_401010!J:J,input_401010!E42,tables_401010!O:O)</f>
        <v>527999.99983999995</v>
      </c>
      <c r="G42">
        <f ca="1">F42/A36</f>
        <v>4.9999999984848477E-2</v>
      </c>
    </row>
    <row r="43" spans="1:7" x14ac:dyDescent="0.15">
      <c r="A43" s="33" t="s">
        <v>109</v>
      </c>
      <c r="B43">
        <f>SUMIF(tables_401010!C:C,input_401010!A43,tables_401010!O:O)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SUMIF(tables_401010!C:C,input_401010!A44,tables_401010!O:O)</f>
        <v>201399.99983999997</v>
      </c>
      <c r="C44" s="54">
        <f t="shared" ca="1" si="9"/>
        <v>3.2296343784477211E-2</v>
      </c>
      <c r="E44" t="s">
        <v>54</v>
      </c>
      <c r="F44" s="55"/>
    </row>
    <row r="45" spans="1:7" x14ac:dyDescent="0.15">
      <c r="A45" s="33" t="s">
        <v>107</v>
      </c>
      <c r="B45">
        <f ca="1">SUMIF(tables_401010!C:C,input_401010!A45,tables_401010!O:O)</f>
        <v>15400</v>
      </c>
      <c r="C45" s="54">
        <f t="shared" ca="1" si="9"/>
        <v>2.4695317511225132E-3</v>
      </c>
      <c r="E45" t="s">
        <v>204</v>
      </c>
      <c r="F45" s="55">
        <f ca="1">SUMIF(tables_401010!I:I,input_401010!E45,tables_401010!P:P)</f>
        <v>0.21590909090909099</v>
      </c>
    </row>
    <row r="46" spans="1:7" x14ac:dyDescent="0.15">
      <c r="A46" s="33" t="s">
        <v>108</v>
      </c>
      <c r="B46">
        <f>SUMIF(tables_401010!C:C,input_401010!A46,tables_401010!O:O)</f>
        <v>0</v>
      </c>
      <c r="C46" s="54">
        <f t="shared" ca="1" si="9"/>
        <v>0</v>
      </c>
      <c r="E46" t="s">
        <v>205</v>
      </c>
      <c r="F46" s="55">
        <f ca="1">SUMIF(tables_401010!I:I,input_401010!E46,tables_401010!P:P)</f>
        <v>0.21590909090909099</v>
      </c>
    </row>
    <row r="47" spans="1:7" x14ac:dyDescent="0.15">
      <c r="A47" s="39" t="s">
        <v>59</v>
      </c>
      <c r="B47">
        <f ca="1">SUM(B40:B46)</f>
        <v>6236000.0000000028</v>
      </c>
      <c r="C47" s="55">
        <f ca="1">SUM(C40:C46)</f>
        <v>1</v>
      </c>
      <c r="E47" t="s">
        <v>206</v>
      </c>
      <c r="F47" s="55">
        <f ca="1">SUMIF(tables_401010!I:I,input_401010!E47,tables_401010!P:P)</f>
        <v>0.51818181818181841</v>
      </c>
    </row>
    <row r="48" spans="1:7" x14ac:dyDescent="0.15">
      <c r="E48" t="s">
        <v>207</v>
      </c>
      <c r="F48" s="55">
        <f ca="1">SUMIF(tables_401010!I:I,input_401010!E48,tables_401010!P:P)</f>
        <v>4.8958333333333381E-2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09"/>
  <sheetViews>
    <sheetView showGridLines="0" zoomScale="75" zoomScaleNormal="75" zoomScalePageLayoutView="75" workbookViewId="0">
      <pane ySplit="1" topLeftCell="A289" activePane="bottomLeft" state="frozen"/>
      <selection activeCell="H276" sqref="H276"/>
      <selection pane="bottomLeft" activeCell="E308" sqref="E30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input_401010!A$2</f>
        <v>401010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IFERROR(VLOOKUP(B2,input_401010!L:R,7,FALSE),VLOOKUP(tables_401010!C2,input_401010!A:H,8,FALSE))</f>
        <v>104400</v>
      </c>
      <c r="P2" s="46">
        <f t="shared" ref="P2:P65" ca="1" si="1">O2/SUM(O:O)</f>
        <v>9.8863636363636358E-3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input_401010!A$2</f>
        <v>401010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IFERROR(VLOOKUP(B3,input_401010!L:R,7,FALSE),VLOOKUP(tables_401010!C3,input_401010!A:H,8,FALSE))</f>
        <v>9600</v>
      </c>
      <c r="P3" s="46">
        <f t="shared" ca="1" si="1"/>
        <v>9.0909090909090909E-4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input_401010!A$2</f>
        <v>401010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IFERROR(VLOOKUP(B4,input_401010!L:R,7,FALSE),VLOOKUP(tables_401010!C4,input_401010!A:H,8,FALSE))</f>
        <v>104400</v>
      </c>
      <c r="P4" s="46">
        <f t="shared" ca="1" si="1"/>
        <v>9.8863636363636358E-3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input_401010!A$2</f>
        <v>401010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IFERROR(VLOOKUP(B5,input_401010!L:R,7,FALSE),VLOOKUP(tables_401010!C5,input_401010!A:H,8,FALSE))</f>
        <v>9600</v>
      </c>
      <c r="P5" s="46">
        <f t="shared" ca="1" si="1"/>
        <v>9.0909090909090909E-4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input_401010!A$2</f>
        <v>401010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IFERROR(VLOOKUP(B6,input_401010!L:R,7,FALSE),VLOOKUP(tables_401010!C6,input_401010!A:H,8,FALSE))</f>
        <v>104400</v>
      </c>
      <c r="P6" s="46">
        <f t="shared" ca="1" si="1"/>
        <v>9.8863636363636358E-3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input_401010!A$2</f>
        <v>401010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IFERROR(VLOOKUP(B7,input_401010!L:R,7,FALSE),VLOOKUP(tables_401010!C7,input_401010!A:H,8,FALSE))</f>
        <v>9600</v>
      </c>
      <c r="P7" s="46">
        <f t="shared" ca="1" si="1"/>
        <v>9.0909090909090909E-4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input_401010!A$2</f>
        <v>401010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IFERROR(VLOOKUP(B8,input_401010!L:R,7,FALSE),VLOOKUP(tables_401010!C8,input_401010!A:H,8,FALSE))</f>
        <v>104400</v>
      </c>
      <c r="P8" s="46">
        <f t="shared" ca="1" si="1"/>
        <v>9.8863636363636358E-3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input_401010!A$2</f>
        <v>401010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IFERROR(VLOOKUP(B9,input_401010!L:R,7,FALSE),VLOOKUP(tables_401010!C9,input_401010!A:H,8,FALSE))</f>
        <v>9600</v>
      </c>
      <c r="P9" s="46">
        <f t="shared" ca="1" si="1"/>
        <v>9.0909090909090909E-4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input_401010!A$2</f>
        <v>401010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IFERROR(VLOOKUP(B10,input_401010!L:R,7,FALSE),VLOOKUP(tables_401010!C10,input_401010!A:H,8,FALSE))</f>
        <v>104400</v>
      </c>
      <c r="P10" s="46">
        <f t="shared" ca="1" si="1"/>
        <v>9.8863636363636358E-3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input_401010!A$2</f>
        <v>401010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IFERROR(VLOOKUP(B11,input_401010!L:R,7,FALSE),VLOOKUP(tables_401010!C11,input_401010!A:H,8,FALSE))</f>
        <v>9600</v>
      </c>
      <c r="P11" s="46">
        <f t="shared" ca="1" si="1"/>
        <v>9.0909090909090909E-4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input_401010!A$2</f>
        <v>401010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IFERROR(VLOOKUP(B12,input_401010!L:R,7,FALSE),VLOOKUP(tables_401010!C12,input_401010!A:H,8,FALSE))</f>
        <v>104400</v>
      </c>
      <c r="P12" s="46">
        <f t="shared" ca="1" si="1"/>
        <v>9.8863636363636358E-3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input_401010!A$2</f>
        <v>401010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IFERROR(VLOOKUP(B13,input_401010!L:R,7,FALSE),VLOOKUP(tables_401010!C13,input_401010!A:H,8,FALSE))</f>
        <v>9600</v>
      </c>
      <c r="P13" s="46">
        <f t="shared" ca="1" si="1"/>
        <v>9.0909090909090909E-4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input_401010!A$2</f>
        <v>401010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IFERROR(VLOOKUP(B14,input_401010!L:R,7,FALSE),VLOOKUP(tables_401010!C14,input_401010!A:H,8,FALSE))</f>
        <v>104400</v>
      </c>
      <c r="P14" s="46">
        <f t="shared" ca="1" si="1"/>
        <v>9.8863636363636358E-3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input_401010!A$2</f>
        <v>401010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IFERROR(VLOOKUP(B15,input_401010!L:R,7,FALSE),VLOOKUP(tables_401010!C15,input_401010!A:H,8,FALSE))</f>
        <v>9600</v>
      </c>
      <c r="P15" s="46">
        <f t="shared" ca="1" si="1"/>
        <v>9.0909090909090909E-4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input_401010!A$2</f>
        <v>401010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IFERROR(VLOOKUP(B16,input_401010!L:R,7,FALSE),VLOOKUP(tables_401010!C16,input_401010!A:H,8,FALSE))</f>
        <v>104400</v>
      </c>
      <c r="P16" s="46">
        <f t="shared" ca="1" si="1"/>
        <v>9.8863636363636358E-3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input_401010!A$2</f>
        <v>401010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IFERROR(VLOOKUP(B17,input_401010!L:R,7,FALSE),VLOOKUP(tables_401010!C17,input_401010!A:H,8,FALSE))</f>
        <v>9600</v>
      </c>
      <c r="P17" s="46">
        <f t="shared" ca="1" si="1"/>
        <v>9.0909090909090909E-4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input_401010!A$2</f>
        <v>401010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IFERROR(VLOOKUP(B18,input_401010!L:R,7,FALSE),VLOOKUP(tables_401010!C18,input_401010!A:H,8,FALSE))</f>
        <v>104400</v>
      </c>
      <c r="P18" s="46">
        <f t="shared" ca="1" si="1"/>
        <v>9.8863636363636358E-3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input_401010!A$2</f>
        <v>401010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IFERROR(VLOOKUP(B19,input_401010!L:R,7,FALSE),VLOOKUP(tables_401010!C19,input_401010!A:H,8,FALSE))</f>
        <v>9600</v>
      </c>
      <c r="P19" s="46">
        <f t="shared" ca="1" si="1"/>
        <v>9.0909090909090909E-4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input_401010!A$2</f>
        <v>401010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IFERROR(VLOOKUP(B20,input_401010!L:R,7,FALSE),VLOOKUP(tables_401010!C20,input_401010!A:H,8,FALSE))</f>
        <v>104400</v>
      </c>
      <c r="P20" s="46">
        <f t="shared" ca="1" si="1"/>
        <v>9.8863636363636358E-3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input_401010!A$2</f>
        <v>401010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IFERROR(VLOOKUP(B21,input_401010!L:R,7,FALSE),VLOOKUP(tables_401010!C21,input_401010!A:H,8,FALSE))</f>
        <v>9600</v>
      </c>
      <c r="P21" s="46">
        <f t="shared" ca="1" si="1"/>
        <v>9.0909090909090909E-4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input_401010!A$2</f>
        <v>401010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IFERROR(VLOOKUP(B22,input_401010!L:R,7,FALSE),VLOOKUP(tables_401010!C22,input_401010!A:H,8,FALSE))</f>
        <v>104400</v>
      </c>
      <c r="P22" s="46">
        <f t="shared" ca="1" si="1"/>
        <v>9.8863636363636358E-3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input_401010!A$2</f>
        <v>401010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IFERROR(VLOOKUP(B23,input_401010!L:R,7,FALSE),VLOOKUP(tables_401010!C23,input_401010!A:H,8,FALSE))</f>
        <v>9600</v>
      </c>
      <c r="P23" s="46">
        <f t="shared" ca="1" si="1"/>
        <v>9.0909090909090909E-4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input_401010!A$2</f>
        <v>401010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IFERROR(VLOOKUP(B24,input_401010!L:R,7,FALSE),VLOOKUP(tables_401010!C24,input_401010!A:H,8,FALSE))</f>
        <v>104400</v>
      </c>
      <c r="P24" s="46">
        <f t="shared" ca="1" si="1"/>
        <v>9.8863636363636358E-3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input_401010!A$2</f>
        <v>401010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IFERROR(VLOOKUP(B25,input_401010!L:R,7,FALSE),VLOOKUP(tables_401010!C25,input_401010!A:H,8,FALSE))</f>
        <v>9600</v>
      </c>
      <c r="P25" s="46">
        <f t="shared" ca="1" si="1"/>
        <v>9.0909090909090909E-4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input_401010!A$2</f>
        <v>401010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IFERROR(VLOOKUP(B26,input_401010!L:R,7,FALSE),VLOOKUP(tables_401010!C26,input_401010!A:H,8,FALSE))</f>
        <v>104400</v>
      </c>
      <c r="P26" s="46">
        <f t="shared" ca="1" si="1"/>
        <v>9.8863636363636358E-3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input_401010!A$2</f>
        <v>401010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IFERROR(VLOOKUP(B27,input_401010!L:R,7,FALSE),VLOOKUP(tables_401010!C27,input_401010!A:H,8,FALSE))</f>
        <v>9600</v>
      </c>
      <c r="P27" s="46">
        <f t="shared" ca="1" si="1"/>
        <v>9.0909090909090909E-4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input_401010!A$2</f>
        <v>401010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IFERROR(VLOOKUP(B28,input_401010!L:R,7,FALSE),VLOOKUP(tables_401010!C28,input_401010!A:H,8,FALSE))</f>
        <v>104400</v>
      </c>
      <c r="P28" s="46">
        <f t="shared" ca="1" si="1"/>
        <v>9.8863636363636358E-3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input_401010!A$2</f>
        <v>401010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IFERROR(VLOOKUP(B29,input_401010!L:R,7,FALSE),VLOOKUP(tables_401010!C29,input_401010!A:H,8,FALSE))</f>
        <v>9600</v>
      </c>
      <c r="P29" s="46">
        <f t="shared" ca="1" si="1"/>
        <v>9.0909090909090909E-4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input_401010!A$2</f>
        <v>401010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IFERROR(VLOOKUP(B30,input_401010!L:R,7,FALSE),VLOOKUP(tables_401010!C30,input_401010!A:H,8,FALSE))</f>
        <v>104400</v>
      </c>
      <c r="P30" s="46">
        <f t="shared" ca="1" si="1"/>
        <v>9.8863636363636358E-3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input_401010!A$2</f>
        <v>401010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IFERROR(VLOOKUP(B31,input_401010!L:R,7,FALSE),VLOOKUP(tables_401010!C31,input_401010!A:H,8,FALSE))</f>
        <v>9600</v>
      </c>
      <c r="P31" s="46">
        <f t="shared" ca="1" si="1"/>
        <v>9.0909090909090909E-4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input_401010!A$2</f>
        <v>401010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IFERROR(VLOOKUP(B32,input_401010!L:R,7,FALSE),VLOOKUP(tables_401010!C32,input_401010!A:H,8,FALSE))</f>
        <v>104400</v>
      </c>
      <c r="P32" s="46">
        <f t="shared" ca="1" si="1"/>
        <v>9.8863636363636358E-3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input_401010!A$2</f>
        <v>401010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IFERROR(VLOOKUP(B33,input_401010!L:R,7,FALSE),VLOOKUP(tables_401010!C33,input_401010!A:H,8,FALSE))</f>
        <v>9600</v>
      </c>
      <c r="P33" s="46">
        <f t="shared" ca="1" si="1"/>
        <v>9.0909090909090909E-4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input_401010!A$2</f>
        <v>401010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IFERROR(VLOOKUP(B34,input_401010!L:R,7,FALSE),VLOOKUP(tables_401010!C34,input_401010!A:H,8,FALSE))</f>
        <v>104400</v>
      </c>
      <c r="P34" s="46">
        <f t="shared" ca="1" si="1"/>
        <v>9.8863636363636358E-3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input_401010!A$2</f>
        <v>401010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IFERROR(VLOOKUP(B35,input_401010!L:R,7,FALSE),VLOOKUP(tables_401010!C35,input_401010!A:H,8,FALSE))</f>
        <v>9600</v>
      </c>
      <c r="P35" s="46">
        <f t="shared" ca="1" si="1"/>
        <v>9.0909090909090909E-4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input_401010!A$2</f>
        <v>401010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IFERROR(VLOOKUP(B36,input_401010!L:R,7,FALSE),VLOOKUP(tables_401010!C36,input_401010!A:H,8,FALSE))</f>
        <v>104400</v>
      </c>
      <c r="P36" s="46">
        <f t="shared" ca="1" si="1"/>
        <v>9.8863636363636358E-3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input_401010!A$2</f>
        <v>401010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IFERROR(VLOOKUP(B37,input_401010!L:R,7,FALSE),VLOOKUP(tables_401010!C37,input_401010!A:H,8,FALSE))</f>
        <v>9600</v>
      </c>
      <c r="P37" s="46">
        <f t="shared" ca="1" si="1"/>
        <v>9.0909090909090909E-4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input_401010!A$2</f>
        <v>401010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IFERROR(VLOOKUP(B38,input_401010!L:R,7,FALSE),VLOOKUP(tables_401010!C38,input_401010!A:H,8,FALSE))</f>
        <v>104400</v>
      </c>
      <c r="P38" s="46">
        <f t="shared" ca="1" si="1"/>
        <v>9.8863636363636358E-3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input_401010!A$2</f>
        <v>401010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IFERROR(VLOOKUP(B39,input_401010!L:R,7,FALSE),VLOOKUP(tables_401010!C39,input_401010!A:H,8,FALSE))</f>
        <v>9600</v>
      </c>
      <c r="P39" s="46">
        <f t="shared" ca="1" si="1"/>
        <v>9.0909090909090909E-4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input_401010!A$2</f>
        <v>401010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IFERROR(VLOOKUP(B40,input_401010!L:R,7,FALSE),VLOOKUP(tables_401010!C40,input_401010!A:H,8,FALSE))</f>
        <v>104400</v>
      </c>
      <c r="P40" s="46">
        <f t="shared" ca="1" si="1"/>
        <v>9.8863636363636358E-3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input_401010!A$2</f>
        <v>401010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IFERROR(VLOOKUP(B41,input_401010!L:R,7,FALSE),VLOOKUP(tables_401010!C41,input_401010!A:H,8,FALSE))</f>
        <v>9600</v>
      </c>
      <c r="P41" s="46">
        <f t="shared" ca="1" si="1"/>
        <v>9.0909090909090909E-4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input_401010!A$2</f>
        <v>401010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IFERROR(VLOOKUP(B42,input_401010!L:R,7,FALSE),VLOOKUP(tables_401010!C42,input_401010!A:H,8,FALSE))</f>
        <v>57000</v>
      </c>
      <c r="P42" s="46">
        <f t="shared" ca="1" si="1"/>
        <v>5.3977272727272728E-3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input_401010!A$2</f>
        <v>401010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IFERROR(VLOOKUP(B43,input_401010!L:R,7,FALSE),VLOOKUP(tables_401010!C43,input_401010!A:H,8,FALSE))</f>
        <v>51300</v>
      </c>
      <c r="P43" s="46">
        <f t="shared" ca="1" si="1"/>
        <v>4.8579545454545455E-3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input_401010!A$2</f>
        <v>401010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IFERROR(VLOOKUP(B44,input_401010!L:R,7,FALSE),VLOOKUP(tables_401010!C44,input_401010!A:H,8,FALSE))</f>
        <v>5700</v>
      </c>
      <c r="P44" s="46">
        <f t="shared" ca="1" si="1"/>
        <v>5.3977272727272728E-4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input_401010!A$2</f>
        <v>401010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IFERROR(VLOOKUP(B45,input_401010!L:R,7,FALSE),VLOOKUP(tables_401010!C45,input_401010!A:H,8,FALSE))</f>
        <v>57000</v>
      </c>
      <c r="P45" s="46">
        <f t="shared" ca="1" si="1"/>
        <v>5.3977272727272728E-3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input_401010!A$2</f>
        <v>401010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IFERROR(VLOOKUP(B46,input_401010!L:R,7,FALSE),VLOOKUP(tables_401010!C46,input_401010!A:H,8,FALSE))</f>
        <v>51300</v>
      </c>
      <c r="P46" s="46">
        <f t="shared" ca="1" si="1"/>
        <v>4.8579545454545455E-3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input_401010!A$2</f>
        <v>401010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IFERROR(VLOOKUP(B47,input_401010!L:R,7,FALSE),VLOOKUP(tables_401010!C47,input_401010!A:H,8,FALSE))</f>
        <v>5700</v>
      </c>
      <c r="P47" s="46">
        <f t="shared" ca="1" si="1"/>
        <v>5.3977272727272728E-4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input_401010!A$2</f>
        <v>401010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IFERROR(VLOOKUP(B48,input_401010!L:R,7,FALSE),VLOOKUP(tables_401010!C48,input_401010!A:H,8,FALSE))</f>
        <v>57000</v>
      </c>
      <c r="P48" s="46">
        <f t="shared" ca="1" si="1"/>
        <v>5.3977272727272728E-3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input_401010!A$2</f>
        <v>401010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IFERROR(VLOOKUP(B49,input_401010!L:R,7,FALSE),VLOOKUP(tables_401010!C49,input_401010!A:H,8,FALSE))</f>
        <v>51300</v>
      </c>
      <c r="P49" s="46">
        <f t="shared" ca="1" si="1"/>
        <v>4.8579545454545455E-3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input_401010!A$2</f>
        <v>401010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IFERROR(VLOOKUP(B50,input_401010!L:R,7,FALSE),VLOOKUP(tables_401010!C50,input_401010!A:H,8,FALSE))</f>
        <v>5700</v>
      </c>
      <c r="P50" s="46">
        <f t="shared" ca="1" si="1"/>
        <v>5.3977272727272728E-4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input_401010!A$2</f>
        <v>401010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IFERROR(VLOOKUP(B51,input_401010!L:R,7,FALSE),VLOOKUP(tables_401010!C51,input_401010!A:H,8,FALSE))</f>
        <v>57000</v>
      </c>
      <c r="P51" s="46">
        <f t="shared" ca="1" si="1"/>
        <v>5.3977272727272728E-3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input_401010!A$2</f>
        <v>401010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IFERROR(VLOOKUP(B52,input_401010!L:R,7,FALSE),VLOOKUP(tables_401010!C52,input_401010!A:H,8,FALSE))</f>
        <v>53126.92308</v>
      </c>
      <c r="P52" s="46">
        <f t="shared" ca="1" si="1"/>
        <v>5.030958625E-3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input_401010!A$2</f>
        <v>401010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IFERROR(VLOOKUP(B53,input_401010!L:R,7,FALSE),VLOOKUP(tables_401010!C53,input_401010!A:H,8,FALSE))</f>
        <v>3873.07692</v>
      </c>
      <c r="P53" s="46">
        <f t="shared" ca="1" si="1"/>
        <v>3.6676864772727271E-4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input_401010!A$2</f>
        <v>401010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IFERROR(VLOOKUP(B54,input_401010!L:R,7,FALSE),VLOOKUP(tables_401010!C54,input_401010!A:H,8,FALSE))</f>
        <v>57000</v>
      </c>
      <c r="P54" s="46">
        <f t="shared" ca="1" si="1"/>
        <v>5.3977272727272728E-3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input_401010!A$2</f>
        <v>401010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IFERROR(VLOOKUP(B55,input_401010!L:R,7,FALSE),VLOOKUP(tables_401010!C55,input_401010!A:H,8,FALSE))</f>
        <v>53126.92308</v>
      </c>
      <c r="P55" s="46">
        <f t="shared" ca="1" si="1"/>
        <v>5.030958625E-3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input_401010!A$2</f>
        <v>401010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IFERROR(VLOOKUP(B56,input_401010!L:R,7,FALSE),VLOOKUP(tables_401010!C56,input_401010!A:H,8,FALSE))</f>
        <v>3873.07692</v>
      </c>
      <c r="P56" s="46">
        <f t="shared" ca="1" si="1"/>
        <v>3.6676864772727271E-4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input_401010!A$2</f>
        <v>401010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IFERROR(VLOOKUP(B57,input_401010!L:R,7,FALSE),VLOOKUP(tables_401010!C57,input_401010!A:H,8,FALSE))</f>
        <v>57000</v>
      </c>
      <c r="P57" s="46">
        <f t="shared" ca="1" si="1"/>
        <v>5.3977272727272728E-3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input_401010!A$2</f>
        <v>401010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IFERROR(VLOOKUP(B58,input_401010!L:R,7,FALSE),VLOOKUP(tables_401010!C58,input_401010!A:H,8,FALSE))</f>
        <v>53126.92308</v>
      </c>
      <c r="P58" s="46">
        <f t="shared" ca="1" si="1"/>
        <v>5.030958625E-3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input_401010!A$2</f>
        <v>401010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IFERROR(VLOOKUP(B59,input_401010!L:R,7,FALSE),VLOOKUP(tables_401010!C59,input_401010!A:H,8,FALSE))</f>
        <v>3873.07692</v>
      </c>
      <c r="P59" s="46">
        <f t="shared" ca="1" si="1"/>
        <v>3.6676864772727271E-4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input_401010!A$2</f>
        <v>401010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IFERROR(VLOOKUP(B60,input_401010!L:R,7,FALSE),VLOOKUP(tables_401010!C60,input_401010!A:H,8,FALSE))</f>
        <v>57000</v>
      </c>
      <c r="P60" s="46">
        <f t="shared" ca="1" si="1"/>
        <v>5.3977272727272728E-3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input_401010!A$2</f>
        <v>401010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IFERROR(VLOOKUP(B61,input_401010!L:R,7,FALSE),VLOOKUP(tables_401010!C61,input_401010!A:H,8,FALSE))</f>
        <v>53126.92308</v>
      </c>
      <c r="P61" s="46">
        <f t="shared" ca="1" si="1"/>
        <v>5.030958625E-3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input_401010!A$2</f>
        <v>401010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IFERROR(VLOOKUP(B62,input_401010!L:R,7,FALSE),VLOOKUP(tables_401010!C62,input_401010!A:H,8,FALSE))</f>
        <v>3873.07692</v>
      </c>
      <c r="P62" s="46">
        <f t="shared" ca="1" si="1"/>
        <v>3.6676864772727271E-4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input_401010!A$2</f>
        <v>401010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IFERROR(VLOOKUP(B63,input_401010!L:R,7,FALSE),VLOOKUP(tables_401010!C63,input_401010!A:H,8,FALSE))</f>
        <v>57000</v>
      </c>
      <c r="P63" s="46">
        <f t="shared" ca="1" si="1"/>
        <v>5.3977272727272728E-3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input_401010!A$2</f>
        <v>401010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IFERROR(VLOOKUP(B64,input_401010!L:R,7,FALSE),VLOOKUP(tables_401010!C64,input_401010!A:H,8,FALSE))</f>
        <v>53126.92308</v>
      </c>
      <c r="P64" s="46">
        <f t="shared" ca="1" si="1"/>
        <v>5.030958625E-3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input_401010!A$2</f>
        <v>401010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IFERROR(VLOOKUP(B65,input_401010!L:R,7,FALSE),VLOOKUP(tables_401010!C65,input_401010!A:H,8,FALSE))</f>
        <v>3873.07692</v>
      </c>
      <c r="P65" s="46">
        <f t="shared" ca="1" si="1"/>
        <v>3.6676864772727271E-4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input_401010!A$2</f>
        <v>401010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IFERROR(VLOOKUP(B66,input_401010!L:R,7,FALSE),VLOOKUP(tables_401010!C66,input_401010!A:H,8,FALSE))</f>
        <v>57000</v>
      </c>
      <c r="P66" s="46">
        <f t="shared" ref="P66:P129" ca="1" si="4">O66/SUM(O:O)</f>
        <v>5.3977272727272728E-3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input_401010!A$2</f>
        <v>401010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IFERROR(VLOOKUP(B67,input_401010!L:R,7,FALSE),VLOOKUP(tables_401010!C67,input_401010!A:H,8,FALSE))</f>
        <v>53126.92308</v>
      </c>
      <c r="P67" s="46">
        <f t="shared" ca="1" si="4"/>
        <v>5.030958625E-3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input_401010!A$2</f>
        <v>401010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IFERROR(VLOOKUP(B68,input_401010!L:R,7,FALSE),VLOOKUP(tables_401010!C68,input_401010!A:H,8,FALSE))</f>
        <v>3873.07692</v>
      </c>
      <c r="P68" s="46">
        <f t="shared" ca="1" si="4"/>
        <v>3.6676864772727271E-4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input_401010!A$2</f>
        <v>401010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IFERROR(VLOOKUP(B69,input_401010!L:R,7,FALSE),VLOOKUP(tables_401010!C69,input_401010!A:H,8,FALSE))</f>
        <v>57000</v>
      </c>
      <c r="P69" s="46">
        <f t="shared" ca="1" si="4"/>
        <v>5.3977272727272728E-3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input_401010!A$2</f>
        <v>401010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IFERROR(VLOOKUP(B70,input_401010!L:R,7,FALSE),VLOOKUP(tables_401010!C70,input_401010!A:H,8,FALSE))</f>
        <v>53126.92308</v>
      </c>
      <c r="P70" s="46">
        <f t="shared" ca="1" si="4"/>
        <v>5.030958625E-3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input_401010!A$2</f>
        <v>401010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IFERROR(VLOOKUP(B71,input_401010!L:R,7,FALSE),VLOOKUP(tables_401010!C71,input_401010!A:H,8,FALSE))</f>
        <v>3873.07692</v>
      </c>
      <c r="P71" s="46">
        <f t="shared" ca="1" si="4"/>
        <v>3.6676864772727271E-4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input_401010!A$2</f>
        <v>401010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IFERROR(VLOOKUP(B72,input_401010!L:R,7,FALSE),VLOOKUP(tables_401010!C72,input_401010!A:H,8,FALSE))</f>
        <v>57000</v>
      </c>
      <c r="P72" s="46">
        <f t="shared" ca="1" si="4"/>
        <v>5.3977272727272728E-3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input_401010!A$2</f>
        <v>401010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IFERROR(VLOOKUP(B73,input_401010!L:R,7,FALSE),VLOOKUP(tables_401010!C73,input_401010!A:H,8,FALSE))</f>
        <v>53126.92308</v>
      </c>
      <c r="P73" s="46">
        <f t="shared" ca="1" si="4"/>
        <v>5.030958625E-3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input_401010!A$2</f>
        <v>401010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IFERROR(VLOOKUP(B74,input_401010!L:R,7,FALSE),VLOOKUP(tables_401010!C74,input_401010!A:H,8,FALSE))</f>
        <v>3873.07692</v>
      </c>
      <c r="P74" s="46">
        <f t="shared" ca="1" si="4"/>
        <v>3.6676864772727271E-4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input_401010!A$2</f>
        <v>401010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IFERROR(VLOOKUP(B75,input_401010!L:R,7,FALSE),VLOOKUP(tables_401010!C75,input_401010!A:H,8,FALSE))</f>
        <v>57000</v>
      </c>
      <c r="P75" s="46">
        <f t="shared" ca="1" si="4"/>
        <v>5.3977272727272728E-3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input_401010!A$2</f>
        <v>401010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IFERROR(VLOOKUP(B76,input_401010!L:R,7,FALSE),VLOOKUP(tables_401010!C76,input_401010!A:H,8,FALSE))</f>
        <v>53126.92308</v>
      </c>
      <c r="P76" s="46">
        <f t="shared" ca="1" si="4"/>
        <v>5.030958625E-3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input_401010!A$2</f>
        <v>401010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IFERROR(VLOOKUP(B77,input_401010!L:R,7,FALSE),VLOOKUP(tables_401010!C77,input_401010!A:H,8,FALSE))</f>
        <v>3873.07692</v>
      </c>
      <c r="P77" s="46">
        <f t="shared" ca="1" si="4"/>
        <v>3.6676864772727271E-4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input_401010!A$2</f>
        <v>401010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IFERROR(VLOOKUP(B78,input_401010!L:R,7,FALSE),VLOOKUP(tables_401010!C78,input_401010!A:H,8,FALSE))</f>
        <v>57000</v>
      </c>
      <c r="P78" s="46">
        <f t="shared" ca="1" si="4"/>
        <v>5.3977272727272728E-3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input_401010!A$2</f>
        <v>401010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IFERROR(VLOOKUP(B79,input_401010!L:R,7,FALSE),VLOOKUP(tables_401010!C79,input_401010!A:H,8,FALSE))</f>
        <v>53126.92308</v>
      </c>
      <c r="P79" s="46">
        <f t="shared" ca="1" si="4"/>
        <v>5.030958625E-3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input_401010!A$2</f>
        <v>401010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IFERROR(VLOOKUP(B80,input_401010!L:R,7,FALSE),VLOOKUP(tables_401010!C80,input_401010!A:H,8,FALSE))</f>
        <v>3873.07692</v>
      </c>
      <c r="P80" s="46">
        <f t="shared" ca="1" si="4"/>
        <v>3.6676864772727271E-4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input_401010!A$2</f>
        <v>401010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IFERROR(VLOOKUP(B81,input_401010!L:R,7,FALSE),VLOOKUP(tables_401010!C81,input_401010!A:H,8,FALSE))</f>
        <v>57000</v>
      </c>
      <c r="P81" s="46">
        <f t="shared" ca="1" si="4"/>
        <v>5.3977272727272728E-3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input_401010!A$2</f>
        <v>401010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IFERROR(VLOOKUP(B82,input_401010!L:R,7,FALSE),VLOOKUP(tables_401010!C82,input_401010!A:H,8,FALSE))</f>
        <v>53126.92308</v>
      </c>
      <c r="P82" s="46">
        <f t="shared" ca="1" si="4"/>
        <v>5.030958625E-3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input_401010!A$2</f>
        <v>401010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IFERROR(VLOOKUP(B83,input_401010!L:R,7,FALSE),VLOOKUP(tables_401010!C83,input_401010!A:H,8,FALSE))</f>
        <v>3873.07692</v>
      </c>
      <c r="P83" s="46">
        <f t="shared" ca="1" si="4"/>
        <v>3.6676864772727271E-4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input_401010!A$2</f>
        <v>401010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IFERROR(VLOOKUP(B84,input_401010!L:R,7,FALSE),VLOOKUP(tables_401010!C84,input_401010!A:H,8,FALSE))</f>
        <v>57000</v>
      </c>
      <c r="P84" s="46">
        <f t="shared" ca="1" si="4"/>
        <v>5.3977272727272728E-3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input_401010!A$2</f>
        <v>401010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IFERROR(VLOOKUP(B85,input_401010!L:R,7,FALSE),VLOOKUP(tables_401010!C85,input_401010!A:H,8,FALSE))</f>
        <v>53126.92308</v>
      </c>
      <c r="P85" s="46">
        <f t="shared" ca="1" si="4"/>
        <v>5.030958625E-3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input_401010!A$2</f>
        <v>401010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IFERROR(VLOOKUP(B86,input_401010!L:R,7,FALSE),VLOOKUP(tables_401010!C86,input_401010!A:H,8,FALSE))</f>
        <v>3873.07692</v>
      </c>
      <c r="P86" s="46">
        <f t="shared" ca="1" si="4"/>
        <v>3.6676864772727271E-4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input_401010!A$2</f>
        <v>401010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IFERROR(VLOOKUP(B87,input_401010!L:R,7,FALSE),VLOOKUP(tables_401010!C87,input_401010!A:H,8,FALSE))</f>
        <v>57000</v>
      </c>
      <c r="P87" s="46">
        <f t="shared" ca="1" si="4"/>
        <v>5.3977272727272728E-3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input_401010!A$2</f>
        <v>401010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IFERROR(VLOOKUP(B88,input_401010!L:R,7,FALSE),VLOOKUP(tables_401010!C88,input_401010!A:H,8,FALSE))</f>
        <v>53126.92308</v>
      </c>
      <c r="P88" s="46">
        <f t="shared" ca="1" si="4"/>
        <v>5.030958625E-3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input_401010!A$2</f>
        <v>401010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IFERROR(VLOOKUP(B89,input_401010!L:R,7,FALSE),VLOOKUP(tables_401010!C89,input_401010!A:H,8,FALSE))</f>
        <v>3873.07692</v>
      </c>
      <c r="P89" s="46">
        <f t="shared" ca="1" si="4"/>
        <v>3.6676864772727271E-4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input_401010!A$2</f>
        <v>401010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IFERROR(VLOOKUP(B90,input_401010!L:R,7,FALSE),VLOOKUP(tables_401010!C90,input_401010!A:H,8,FALSE))</f>
        <v>57000</v>
      </c>
      <c r="P90" s="46">
        <f t="shared" ca="1" si="4"/>
        <v>5.3977272727272728E-3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input_401010!A$2</f>
        <v>401010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IFERROR(VLOOKUP(B91,input_401010!L:R,7,FALSE),VLOOKUP(tables_401010!C91,input_401010!A:H,8,FALSE))</f>
        <v>53126.92308</v>
      </c>
      <c r="P91" s="46">
        <f t="shared" ca="1" si="4"/>
        <v>5.030958625E-3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input_401010!A$2</f>
        <v>401010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IFERROR(VLOOKUP(B92,input_401010!L:R,7,FALSE),VLOOKUP(tables_401010!C92,input_401010!A:H,8,FALSE))</f>
        <v>3873.07692</v>
      </c>
      <c r="P92" s="46">
        <f t="shared" ca="1" si="4"/>
        <v>3.6676864772727271E-4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input_401010!A$2</f>
        <v>401010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IFERROR(VLOOKUP(B93,input_401010!L:R,7,FALSE),VLOOKUP(tables_401010!C93,input_401010!A:H,8,FALSE))</f>
        <v>57000</v>
      </c>
      <c r="P93" s="46">
        <f t="shared" ca="1" si="4"/>
        <v>5.3977272727272728E-3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input_401010!A$2</f>
        <v>401010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IFERROR(VLOOKUP(B94,input_401010!L:R,7,FALSE),VLOOKUP(tables_401010!C94,input_401010!A:H,8,FALSE))</f>
        <v>53126.92308</v>
      </c>
      <c r="P94" s="46">
        <f t="shared" ca="1" si="4"/>
        <v>5.030958625E-3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input_401010!A$2</f>
        <v>401010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IFERROR(VLOOKUP(B95,input_401010!L:R,7,FALSE),VLOOKUP(tables_401010!C95,input_401010!A:H,8,FALSE))</f>
        <v>3873.07692</v>
      </c>
      <c r="P95" s="46">
        <f t="shared" ca="1" si="4"/>
        <v>3.6676864772727271E-4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input_401010!A$2</f>
        <v>401010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IFERROR(VLOOKUP(B96,input_401010!L:R,7,FALSE),VLOOKUP(tables_401010!C96,input_401010!A:H,8,FALSE))</f>
        <v>57000</v>
      </c>
      <c r="P96" s="46">
        <f t="shared" ca="1" si="4"/>
        <v>5.3977272727272728E-3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input_401010!A$2</f>
        <v>401010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IFERROR(VLOOKUP(B97,input_401010!L:R,7,FALSE),VLOOKUP(tables_401010!C97,input_401010!A:H,8,FALSE))</f>
        <v>53126.92308</v>
      </c>
      <c r="P97" s="46">
        <f t="shared" ca="1" si="4"/>
        <v>5.030958625E-3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input_401010!A$2</f>
        <v>401010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IFERROR(VLOOKUP(B98,input_401010!L:R,7,FALSE),VLOOKUP(tables_401010!C98,input_401010!A:H,8,FALSE))</f>
        <v>3873.07692</v>
      </c>
      <c r="P98" s="46">
        <f t="shared" ca="1" si="4"/>
        <v>3.6676864772727271E-4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input_401010!A$2</f>
        <v>401010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IFERROR(VLOOKUP(B99,input_401010!L:R,7,FALSE),VLOOKUP(tables_401010!C99,input_401010!A:H,8,FALSE))</f>
        <v>57000</v>
      </c>
      <c r="P99" s="46">
        <f t="shared" ca="1" si="4"/>
        <v>5.3977272727272728E-3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input_401010!A$2</f>
        <v>401010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IFERROR(VLOOKUP(B100,input_401010!L:R,7,FALSE),VLOOKUP(tables_401010!C100,input_401010!A:H,8,FALSE))</f>
        <v>53126.92308</v>
      </c>
      <c r="P100" s="46">
        <f t="shared" ca="1" si="4"/>
        <v>5.030958625E-3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input_401010!A$2</f>
        <v>401010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IFERROR(VLOOKUP(B101,input_401010!L:R,7,FALSE),VLOOKUP(tables_401010!C101,input_401010!A:H,8,FALSE))</f>
        <v>3873.07692</v>
      </c>
      <c r="P101" s="46">
        <f t="shared" ca="1" si="4"/>
        <v>3.6676864772727271E-4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input_401010!A$2</f>
        <v>401010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IFERROR(VLOOKUP(B102,input_401010!L:R,7,FALSE),VLOOKUP(tables_401010!C102,input_401010!A:H,8,FALSE))</f>
        <v>57000</v>
      </c>
      <c r="P102" s="46">
        <f t="shared" ca="1" si="4"/>
        <v>5.3977272727272728E-3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input_401010!A$2</f>
        <v>401010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IFERROR(VLOOKUP(B103,input_401010!L:R,7,FALSE),VLOOKUP(tables_401010!C103,input_401010!A:H,8,FALSE))</f>
        <v>53126.92308</v>
      </c>
      <c r="P103" s="46">
        <f t="shared" ca="1" si="4"/>
        <v>5.030958625E-3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input_401010!A$2</f>
        <v>401010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IFERROR(VLOOKUP(B104,input_401010!L:R,7,FALSE),VLOOKUP(tables_401010!C104,input_401010!A:H,8,FALSE))</f>
        <v>3873.07692</v>
      </c>
      <c r="P104" s="46">
        <f t="shared" ca="1" si="4"/>
        <v>3.6676864772727271E-4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input_401010!A$2</f>
        <v>401010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IFERROR(VLOOKUP(B105,input_401010!L:R,7,FALSE),VLOOKUP(tables_401010!C105,input_401010!A:H,8,FALSE))</f>
        <v>57000</v>
      </c>
      <c r="P105" s="46">
        <f t="shared" ca="1" si="4"/>
        <v>5.3977272727272728E-3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input_401010!A$2</f>
        <v>401010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IFERROR(VLOOKUP(B106,input_401010!L:R,7,FALSE),VLOOKUP(tables_401010!C106,input_401010!A:H,8,FALSE))</f>
        <v>53126.92308</v>
      </c>
      <c r="P106" s="46">
        <f t="shared" ca="1" si="4"/>
        <v>5.030958625E-3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input_401010!A$2</f>
        <v>401010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IFERROR(VLOOKUP(B107,input_401010!L:R,7,FALSE),VLOOKUP(tables_401010!C107,input_401010!A:H,8,FALSE))</f>
        <v>3873.07692</v>
      </c>
      <c r="P107" s="46">
        <f t="shared" ca="1" si="4"/>
        <v>3.6676864772727271E-4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input_401010!A$2</f>
        <v>401010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IFERROR(VLOOKUP(B108,input_401010!L:R,7,FALSE),VLOOKUP(tables_401010!C108,input_401010!A:H,8,FALSE))</f>
        <v>57000</v>
      </c>
      <c r="P108" s="46">
        <f t="shared" ca="1" si="4"/>
        <v>5.3977272727272728E-3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input_401010!A$2</f>
        <v>401010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IFERROR(VLOOKUP(B109,input_401010!L:R,7,FALSE),VLOOKUP(tables_401010!C109,input_401010!A:H,8,FALSE))</f>
        <v>53126.92308</v>
      </c>
      <c r="P109" s="46">
        <f t="shared" ca="1" si="4"/>
        <v>5.030958625E-3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input_401010!A$2</f>
        <v>401010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IFERROR(VLOOKUP(B110,input_401010!L:R,7,FALSE),VLOOKUP(tables_401010!C110,input_401010!A:H,8,FALSE))</f>
        <v>3873.07692</v>
      </c>
      <c r="P110" s="46">
        <f t="shared" ca="1" si="4"/>
        <v>3.6676864772727271E-4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input_401010!A$2</f>
        <v>401010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IFERROR(VLOOKUP(B111,input_401010!L:R,7,FALSE),VLOOKUP(tables_401010!C111,input_401010!A:H,8,FALSE))</f>
        <v>57000</v>
      </c>
      <c r="P111" s="46">
        <f t="shared" ca="1" si="4"/>
        <v>5.3977272727272728E-3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input_401010!A$2</f>
        <v>401010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IFERROR(VLOOKUP(B112,input_401010!L:R,7,FALSE),VLOOKUP(tables_401010!C112,input_401010!A:H,8,FALSE))</f>
        <v>51300</v>
      </c>
      <c r="P112" s="46">
        <f t="shared" ca="1" si="4"/>
        <v>4.8579545454545455E-3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input_401010!A$2</f>
        <v>401010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IFERROR(VLOOKUP(B113,input_401010!L:R,7,FALSE),VLOOKUP(tables_401010!C113,input_401010!A:H,8,FALSE))</f>
        <v>5700</v>
      </c>
      <c r="P113" s="46">
        <f t="shared" ca="1" si="4"/>
        <v>5.3977272727272728E-4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input_401010!A$2</f>
        <v>401010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IFERROR(VLOOKUP(B114,input_401010!L:R,7,FALSE),VLOOKUP(tables_401010!C114,input_401010!A:H,8,FALSE))</f>
        <v>57000</v>
      </c>
      <c r="P114" s="46">
        <f t="shared" ca="1" si="4"/>
        <v>5.3977272727272728E-3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input_401010!A$2</f>
        <v>401010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IFERROR(VLOOKUP(B115,input_401010!L:R,7,FALSE),VLOOKUP(tables_401010!C115,input_401010!A:H,8,FALSE))</f>
        <v>53126.92308</v>
      </c>
      <c r="P115" s="46">
        <f t="shared" ca="1" si="4"/>
        <v>5.030958625E-3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input_401010!A$2</f>
        <v>401010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IFERROR(VLOOKUP(B116,input_401010!L:R,7,FALSE),VLOOKUP(tables_401010!C116,input_401010!A:H,8,FALSE))</f>
        <v>3873.07692</v>
      </c>
      <c r="P116" s="46">
        <f t="shared" ca="1" si="4"/>
        <v>3.6676864772727271E-4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input_401010!A$2</f>
        <v>401010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IFERROR(VLOOKUP(B117,input_401010!L:R,7,FALSE),VLOOKUP(tables_401010!C117,input_401010!A:H,8,FALSE))</f>
        <v>57000</v>
      </c>
      <c r="P117" s="46">
        <f t="shared" ca="1" si="4"/>
        <v>5.3977272727272728E-3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input_401010!A$2</f>
        <v>401010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IFERROR(VLOOKUP(B118,input_401010!L:R,7,FALSE),VLOOKUP(tables_401010!C118,input_401010!A:H,8,FALSE))</f>
        <v>53126.92308</v>
      </c>
      <c r="P118" s="46">
        <f t="shared" ca="1" si="4"/>
        <v>5.030958625E-3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input_401010!A$2</f>
        <v>401010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IFERROR(VLOOKUP(B119,input_401010!L:R,7,FALSE),VLOOKUP(tables_401010!C119,input_401010!A:H,8,FALSE))</f>
        <v>3873.07692</v>
      </c>
      <c r="P119" s="46">
        <f t="shared" ca="1" si="4"/>
        <v>3.6676864772727271E-4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input_401010!A$2</f>
        <v>401010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IFERROR(VLOOKUP(B120,input_401010!L:R,7,FALSE),VLOOKUP(tables_401010!C120,input_401010!A:H,8,FALSE))</f>
        <v>57000</v>
      </c>
      <c r="P120" s="46">
        <f t="shared" ca="1" si="4"/>
        <v>5.3977272727272728E-3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input_401010!A$2</f>
        <v>401010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IFERROR(VLOOKUP(B121,input_401010!L:R,7,FALSE),VLOOKUP(tables_401010!C121,input_401010!A:H,8,FALSE))</f>
        <v>53126.92308</v>
      </c>
      <c r="P121" s="46">
        <f t="shared" ca="1" si="4"/>
        <v>5.030958625E-3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input_401010!A$2</f>
        <v>401010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IFERROR(VLOOKUP(B122,input_401010!L:R,7,FALSE),VLOOKUP(tables_401010!C122,input_401010!A:H,8,FALSE))</f>
        <v>3873.07692</v>
      </c>
      <c r="P122" s="46">
        <f t="shared" ca="1" si="4"/>
        <v>3.6676864772727271E-4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input_401010!A$2</f>
        <v>401010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IFERROR(VLOOKUP(B123,input_401010!L:R,7,FALSE),VLOOKUP(tables_401010!C123,input_401010!A:H,8,FALSE))</f>
        <v>57000</v>
      </c>
      <c r="P123" s="46">
        <f t="shared" ca="1" si="4"/>
        <v>5.3977272727272728E-3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input_401010!A$2</f>
        <v>401010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IFERROR(VLOOKUP(B124,input_401010!L:R,7,FALSE),VLOOKUP(tables_401010!C124,input_401010!A:H,8,FALSE))</f>
        <v>53126.92308</v>
      </c>
      <c r="P124" s="46">
        <f t="shared" ca="1" si="4"/>
        <v>5.030958625E-3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input_401010!A$2</f>
        <v>401010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IFERROR(VLOOKUP(B125,input_401010!L:R,7,FALSE),VLOOKUP(tables_401010!C125,input_401010!A:H,8,FALSE))</f>
        <v>3873.07692</v>
      </c>
      <c r="P125" s="46">
        <f t="shared" ca="1" si="4"/>
        <v>3.6676864772727271E-4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input_401010!A$2</f>
        <v>401010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IFERROR(VLOOKUP(B126,input_401010!L:R,7,FALSE),VLOOKUP(tables_401010!C126,input_401010!A:H,8,FALSE))</f>
        <v>57000</v>
      </c>
      <c r="P126" s="46">
        <f t="shared" ca="1" si="4"/>
        <v>5.3977272727272728E-3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input_401010!A$2</f>
        <v>401010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IFERROR(VLOOKUP(B127,input_401010!L:R,7,FALSE),VLOOKUP(tables_401010!C127,input_401010!A:H,8,FALSE))</f>
        <v>53126.92308</v>
      </c>
      <c r="P127" s="46">
        <f t="shared" ca="1" si="4"/>
        <v>5.030958625E-3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input_401010!A$2</f>
        <v>401010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IFERROR(VLOOKUP(B128,input_401010!L:R,7,FALSE),VLOOKUP(tables_401010!C128,input_401010!A:H,8,FALSE))</f>
        <v>3873.07692</v>
      </c>
      <c r="P128" s="46">
        <f t="shared" ca="1" si="4"/>
        <v>3.6676864772727271E-4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input_401010!A$2</f>
        <v>401010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IFERROR(VLOOKUP(B129,input_401010!L:R,7,FALSE),VLOOKUP(tables_401010!C129,input_401010!A:H,8,FALSE))</f>
        <v>57000</v>
      </c>
      <c r="P129" s="46">
        <f t="shared" ca="1" si="4"/>
        <v>5.3977272727272728E-3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input_401010!A$2</f>
        <v>401010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IFERROR(VLOOKUP(B130,input_401010!L:R,7,FALSE),VLOOKUP(tables_401010!C130,input_401010!A:H,8,FALSE))</f>
        <v>53126.92308</v>
      </c>
      <c r="P130" s="46">
        <f t="shared" ref="P130:P193" ca="1" si="7">O130/SUM(O:O)</f>
        <v>5.030958625E-3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input_401010!A$2</f>
        <v>401010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IFERROR(VLOOKUP(B131,input_401010!L:R,7,FALSE),VLOOKUP(tables_401010!C131,input_401010!A:H,8,FALSE))</f>
        <v>3873.07692</v>
      </c>
      <c r="P131" s="46">
        <f t="shared" ca="1" si="7"/>
        <v>3.6676864772727271E-4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input_401010!A$2</f>
        <v>401010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IFERROR(VLOOKUP(B132,input_401010!L:R,7,FALSE),VLOOKUP(tables_401010!C132,input_401010!A:H,8,FALSE))</f>
        <v>57000</v>
      </c>
      <c r="P132" s="46">
        <f t="shared" ca="1" si="7"/>
        <v>5.3977272727272728E-3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input_401010!A$2</f>
        <v>401010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IFERROR(VLOOKUP(B133,input_401010!L:R,7,FALSE),VLOOKUP(tables_401010!C133,input_401010!A:H,8,FALSE))</f>
        <v>53126.92308</v>
      </c>
      <c r="P133" s="46">
        <f t="shared" ca="1" si="7"/>
        <v>5.030958625E-3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input_401010!A$2</f>
        <v>401010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IFERROR(VLOOKUP(B134,input_401010!L:R,7,FALSE),VLOOKUP(tables_401010!C134,input_401010!A:H,8,FALSE))</f>
        <v>3873.07692</v>
      </c>
      <c r="P134" s="46">
        <f t="shared" ca="1" si="7"/>
        <v>3.6676864772727271E-4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input_401010!A$2</f>
        <v>401010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IFERROR(VLOOKUP(B135,input_401010!L:R,7,FALSE),VLOOKUP(tables_401010!C135,input_401010!A:H,8,FALSE))</f>
        <v>57000</v>
      </c>
      <c r="P135" s="46">
        <f t="shared" ca="1" si="7"/>
        <v>5.3977272727272728E-3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input_401010!A$2</f>
        <v>401010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IFERROR(VLOOKUP(B136,input_401010!L:R,7,FALSE),VLOOKUP(tables_401010!C136,input_401010!A:H,8,FALSE))</f>
        <v>53126.92308</v>
      </c>
      <c r="P136" s="46">
        <f t="shared" ca="1" si="7"/>
        <v>5.030958625E-3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input_401010!A$2</f>
        <v>401010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IFERROR(VLOOKUP(B137,input_401010!L:R,7,FALSE),VLOOKUP(tables_401010!C137,input_401010!A:H,8,FALSE))</f>
        <v>3873.07692</v>
      </c>
      <c r="P137" s="46">
        <f t="shared" ca="1" si="7"/>
        <v>3.6676864772727271E-4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input_401010!A$2</f>
        <v>401010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IFERROR(VLOOKUP(B138,input_401010!L:R,7,FALSE),VLOOKUP(tables_401010!C138,input_401010!A:H,8,FALSE))</f>
        <v>10450</v>
      </c>
      <c r="P138" s="46">
        <f t="shared" ca="1" si="7"/>
        <v>9.8958333333333342E-4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input_401010!A$2</f>
        <v>401010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IFERROR(VLOOKUP(B139,input_401010!L:R,7,FALSE),VLOOKUP(tables_401010!C139,input_401010!A:H,8,FALSE))</f>
        <v>550</v>
      </c>
      <c r="P139" s="46">
        <f t="shared" ca="1" si="7"/>
        <v>5.2083333333333337E-5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input_401010!A$2</f>
        <v>401010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IFERROR(VLOOKUP(B140,input_401010!L:R,7,FALSE),VLOOKUP(tables_401010!C140,input_401010!A:H,8,FALSE))</f>
        <v>10450</v>
      </c>
      <c r="P140" s="46">
        <f t="shared" ca="1" si="7"/>
        <v>9.8958333333333342E-4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input_401010!A$2</f>
        <v>401010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IFERROR(VLOOKUP(B141,input_401010!L:R,7,FALSE),VLOOKUP(tables_401010!C141,input_401010!A:H,8,FALSE))</f>
        <v>550</v>
      </c>
      <c r="P141" s="46">
        <f t="shared" ca="1" si="7"/>
        <v>5.2083333333333337E-5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input_401010!A$2</f>
        <v>401010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IFERROR(VLOOKUP(B142,input_401010!L:R,7,FALSE),VLOOKUP(tables_401010!C142,input_401010!A:H,8,FALSE))</f>
        <v>10450</v>
      </c>
      <c r="P142" s="46">
        <f t="shared" ca="1" si="7"/>
        <v>9.8958333333333342E-4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input_401010!A$2</f>
        <v>401010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IFERROR(VLOOKUP(B143,input_401010!L:R,7,FALSE),VLOOKUP(tables_401010!C143,input_401010!A:H,8,FALSE))</f>
        <v>550</v>
      </c>
      <c r="P143" s="46">
        <f t="shared" ca="1" si="7"/>
        <v>5.2083333333333337E-5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input_401010!A$2</f>
        <v>401010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IFERROR(VLOOKUP(B144,input_401010!L:R,7,FALSE),VLOOKUP(tables_401010!C144,input_401010!A:H,8,FALSE))</f>
        <v>10450</v>
      </c>
      <c r="P144" s="46">
        <f t="shared" ca="1" si="7"/>
        <v>9.8958333333333342E-4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input_401010!A$2</f>
        <v>401010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IFERROR(VLOOKUP(B145,input_401010!L:R,7,FALSE),VLOOKUP(tables_401010!C145,input_401010!A:H,8,FALSE))</f>
        <v>550</v>
      </c>
      <c r="P145" s="46">
        <f t="shared" ca="1" si="7"/>
        <v>5.2083333333333337E-5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input_401010!A$2</f>
        <v>401010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IFERROR(VLOOKUP(B146,input_401010!L:R,7,FALSE),VLOOKUP(tables_401010!C146,input_401010!A:H,8,FALSE))</f>
        <v>57000</v>
      </c>
      <c r="P146" s="46">
        <f t="shared" ca="1" si="7"/>
        <v>5.3977272727272728E-3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input_401010!A$2</f>
        <v>401010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IFERROR(VLOOKUP(B147,input_401010!L:R,7,FALSE),VLOOKUP(tables_401010!C147,input_401010!A:H,8,FALSE))</f>
        <v>53126.92308</v>
      </c>
      <c r="P147" s="46">
        <f t="shared" ca="1" si="7"/>
        <v>5.030958625E-3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input_401010!A$2</f>
        <v>401010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IFERROR(VLOOKUP(B148,input_401010!L:R,7,FALSE),VLOOKUP(tables_401010!C148,input_401010!A:H,8,FALSE))</f>
        <v>3873.07692</v>
      </c>
      <c r="P148" s="46">
        <f t="shared" ca="1" si="7"/>
        <v>3.6676864772727271E-4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input_401010!A$2</f>
        <v>401010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IFERROR(VLOOKUP(B149,input_401010!L:R,7,FALSE),VLOOKUP(tables_401010!C149,input_401010!A:H,8,FALSE))</f>
        <v>10450</v>
      </c>
      <c r="P149" s="46">
        <f t="shared" ca="1" si="7"/>
        <v>9.8958333333333342E-4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input_401010!A$2</f>
        <v>401010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IFERROR(VLOOKUP(B150,input_401010!L:R,7,FALSE),VLOOKUP(tables_401010!C150,input_401010!A:H,8,FALSE))</f>
        <v>550</v>
      </c>
      <c r="P150" s="46">
        <f t="shared" ca="1" si="7"/>
        <v>5.2083333333333337E-5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input_401010!A$2</f>
        <v>401010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IFERROR(VLOOKUP(B151,input_401010!L:R,7,FALSE),VLOOKUP(tables_401010!C151,input_401010!A:H,8,FALSE))</f>
        <v>10450</v>
      </c>
      <c r="P151" s="46">
        <f t="shared" ca="1" si="7"/>
        <v>9.8958333333333342E-4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input_401010!A$2</f>
        <v>401010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IFERROR(VLOOKUP(B152,input_401010!L:R,7,FALSE),VLOOKUP(tables_401010!C152,input_401010!A:H,8,FALSE))</f>
        <v>550</v>
      </c>
      <c r="P152" s="46">
        <f t="shared" ca="1" si="7"/>
        <v>5.2083333333333337E-5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input_401010!A$2</f>
        <v>401010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IFERROR(VLOOKUP(B153,input_401010!L:R,7,FALSE),VLOOKUP(tables_401010!C153,input_401010!A:H,8,FALSE))</f>
        <v>57000</v>
      </c>
      <c r="P153" s="46">
        <f t="shared" ca="1" si="7"/>
        <v>5.3977272727272728E-3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input_401010!A$2</f>
        <v>401010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IFERROR(VLOOKUP(B154,input_401010!L:R,7,FALSE),VLOOKUP(tables_401010!C154,input_401010!A:H,8,FALSE))</f>
        <v>53126.92308</v>
      </c>
      <c r="P154" s="46">
        <f t="shared" ca="1" si="7"/>
        <v>5.030958625E-3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input_401010!A$2</f>
        <v>401010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IFERROR(VLOOKUP(B155,input_401010!L:R,7,FALSE),VLOOKUP(tables_401010!C155,input_401010!A:H,8,FALSE))</f>
        <v>3873.07692</v>
      </c>
      <c r="P155" s="46">
        <f t="shared" ca="1" si="7"/>
        <v>3.6676864772727271E-4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input_401010!A$2</f>
        <v>401010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IFERROR(VLOOKUP(B156,input_401010!L:R,7,FALSE),VLOOKUP(tables_401010!C156,input_401010!A:H,8,FALSE))</f>
        <v>10450</v>
      </c>
      <c r="P156" s="46">
        <f t="shared" ca="1" si="7"/>
        <v>9.8958333333333342E-4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input_401010!A$2</f>
        <v>401010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IFERROR(VLOOKUP(B157,input_401010!L:R,7,FALSE),VLOOKUP(tables_401010!C157,input_401010!A:H,8,FALSE))</f>
        <v>550</v>
      </c>
      <c r="P157" s="46">
        <f t="shared" ca="1" si="7"/>
        <v>5.2083333333333337E-5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input_401010!A$2</f>
        <v>401010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IFERROR(VLOOKUP(B158,input_401010!L:R,7,FALSE),VLOOKUP(tables_401010!C158,input_401010!A:H,8,FALSE))</f>
        <v>57000</v>
      </c>
      <c r="P158" s="46">
        <f t="shared" ca="1" si="7"/>
        <v>5.3977272727272728E-3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input_401010!A$2</f>
        <v>401010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IFERROR(VLOOKUP(B159,input_401010!L:R,7,FALSE),VLOOKUP(tables_401010!C159,input_401010!A:H,8,FALSE))</f>
        <v>53126.92308</v>
      </c>
      <c r="P159" s="46">
        <f t="shared" ca="1" si="7"/>
        <v>5.030958625E-3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input_401010!A$2</f>
        <v>401010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IFERROR(VLOOKUP(B160,input_401010!L:R,7,FALSE),VLOOKUP(tables_401010!C160,input_401010!A:H,8,FALSE))</f>
        <v>3873.07692</v>
      </c>
      <c r="P160" s="46">
        <f t="shared" ca="1" si="7"/>
        <v>3.6676864772727271E-4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input_401010!A$2</f>
        <v>401010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IFERROR(VLOOKUP(B161,input_401010!L:R,7,FALSE),VLOOKUP(tables_401010!C161,input_401010!A:H,8,FALSE))</f>
        <v>57000</v>
      </c>
      <c r="P161" s="46">
        <f t="shared" ca="1" si="7"/>
        <v>5.3977272727272728E-3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input_401010!A$2</f>
        <v>401010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IFERROR(VLOOKUP(B162,input_401010!L:R,7,FALSE),VLOOKUP(tables_401010!C162,input_401010!A:H,8,FALSE))</f>
        <v>53126.92308</v>
      </c>
      <c r="P162" s="46">
        <f t="shared" ca="1" si="7"/>
        <v>5.030958625E-3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input_401010!A$2</f>
        <v>401010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IFERROR(VLOOKUP(B163,input_401010!L:R,7,FALSE),VLOOKUP(tables_401010!C163,input_401010!A:H,8,FALSE))</f>
        <v>3873.07692</v>
      </c>
      <c r="P163" s="46">
        <f t="shared" ca="1" si="7"/>
        <v>3.6676864772727271E-4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input_401010!A$2</f>
        <v>401010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IFERROR(VLOOKUP(B164,input_401010!L:R,7,FALSE),VLOOKUP(tables_401010!C164,input_401010!A:H,8,FALSE))</f>
        <v>10450</v>
      </c>
      <c r="P164" s="46">
        <f t="shared" ca="1" si="7"/>
        <v>9.8958333333333342E-4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input_401010!A$2</f>
        <v>401010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IFERROR(VLOOKUP(B165,input_401010!L:R,7,FALSE),VLOOKUP(tables_401010!C165,input_401010!A:H,8,FALSE))</f>
        <v>550</v>
      </c>
      <c r="P165" s="46">
        <f t="shared" ca="1" si="7"/>
        <v>5.2083333333333337E-5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input_401010!A$2</f>
        <v>401010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IFERROR(VLOOKUP(B166,input_401010!L:R,7,FALSE),VLOOKUP(tables_401010!C166,input_401010!A:H,8,FALSE))</f>
        <v>57000</v>
      </c>
      <c r="P166" s="46">
        <f t="shared" ca="1" si="7"/>
        <v>5.3977272727272728E-3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input_401010!A$2</f>
        <v>401010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IFERROR(VLOOKUP(B167,input_401010!L:R,7,FALSE),VLOOKUP(tables_401010!C167,input_401010!A:H,8,FALSE))</f>
        <v>53126.92308</v>
      </c>
      <c r="P167" s="46">
        <f t="shared" ca="1" si="7"/>
        <v>5.030958625E-3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input_401010!A$2</f>
        <v>401010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IFERROR(VLOOKUP(B168,input_401010!L:R,7,FALSE),VLOOKUP(tables_401010!C168,input_401010!A:H,8,FALSE))</f>
        <v>3873.07692</v>
      </c>
      <c r="P168" s="46">
        <f t="shared" ca="1" si="7"/>
        <v>3.6676864772727271E-4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input_401010!A$2</f>
        <v>401010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IFERROR(VLOOKUP(B169,input_401010!L:R,7,FALSE),VLOOKUP(tables_401010!C169,input_401010!A:H,8,FALSE))</f>
        <v>10450</v>
      </c>
      <c r="P169" s="46">
        <f t="shared" ca="1" si="7"/>
        <v>9.8958333333333342E-4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input_401010!A$2</f>
        <v>401010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IFERROR(VLOOKUP(B170,input_401010!L:R,7,FALSE),VLOOKUP(tables_401010!C170,input_401010!A:H,8,FALSE))</f>
        <v>550</v>
      </c>
      <c r="P170" s="46">
        <f t="shared" ca="1" si="7"/>
        <v>5.2083333333333337E-5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input_401010!A$2</f>
        <v>401010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IFERROR(VLOOKUP(B171,input_401010!L:R,7,FALSE),VLOOKUP(tables_401010!C171,input_401010!A:H,8,FALSE))</f>
        <v>57000</v>
      </c>
      <c r="P171" s="46">
        <f t="shared" ca="1" si="7"/>
        <v>5.3977272727272728E-3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input_401010!A$2</f>
        <v>401010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IFERROR(VLOOKUP(B172,input_401010!L:R,7,FALSE),VLOOKUP(tables_401010!C172,input_401010!A:H,8,FALSE))</f>
        <v>53126.92308</v>
      </c>
      <c r="P172" s="46">
        <f t="shared" ca="1" si="7"/>
        <v>5.030958625E-3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input_401010!A$2</f>
        <v>401010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IFERROR(VLOOKUP(B173,input_401010!L:R,7,FALSE),VLOOKUP(tables_401010!C173,input_401010!A:H,8,FALSE))</f>
        <v>3873.07692</v>
      </c>
      <c r="P173" s="46">
        <f t="shared" ca="1" si="7"/>
        <v>3.6676864772727271E-4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input_401010!A$2</f>
        <v>401010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IFERROR(VLOOKUP(B174,input_401010!L:R,7,FALSE),VLOOKUP(tables_401010!C174,input_401010!A:H,8,FALSE))</f>
        <v>10450</v>
      </c>
      <c r="P174" s="46">
        <f t="shared" ca="1" si="7"/>
        <v>9.8958333333333342E-4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input_401010!A$2</f>
        <v>401010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IFERROR(VLOOKUP(B175,input_401010!L:R,7,FALSE),VLOOKUP(tables_401010!C175,input_401010!A:H,8,FALSE))</f>
        <v>550</v>
      </c>
      <c r="P175" s="46">
        <f t="shared" ca="1" si="7"/>
        <v>5.2083333333333337E-5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input_401010!A$2</f>
        <v>401010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IFERROR(VLOOKUP(B176,input_401010!L:R,7,FALSE),VLOOKUP(tables_401010!C176,input_401010!A:H,8,FALSE))</f>
        <v>10450</v>
      </c>
      <c r="P176" s="46">
        <f t="shared" ca="1" si="7"/>
        <v>9.8958333333333342E-4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input_401010!A$2</f>
        <v>401010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IFERROR(VLOOKUP(B177,input_401010!L:R,7,FALSE),VLOOKUP(tables_401010!C177,input_401010!A:H,8,FALSE))</f>
        <v>550</v>
      </c>
      <c r="P177" s="46">
        <f t="shared" ca="1" si="7"/>
        <v>5.2083333333333337E-5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input_401010!A$2</f>
        <v>401010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IFERROR(VLOOKUP(B178,input_401010!L:R,7,FALSE),VLOOKUP(tables_401010!C178,input_401010!A:H,8,FALSE))</f>
        <v>57000</v>
      </c>
      <c r="P178" s="46">
        <f t="shared" ca="1" si="7"/>
        <v>5.3977272727272728E-3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input_401010!A$2</f>
        <v>401010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IFERROR(VLOOKUP(B179,input_401010!L:R,7,FALSE),VLOOKUP(tables_401010!C179,input_401010!A:H,8,FALSE))</f>
        <v>53126.92308</v>
      </c>
      <c r="P179" s="46">
        <f t="shared" ca="1" si="7"/>
        <v>5.030958625E-3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input_401010!A$2</f>
        <v>401010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IFERROR(VLOOKUP(B180,input_401010!L:R,7,FALSE),VLOOKUP(tables_401010!C180,input_401010!A:H,8,FALSE))</f>
        <v>3873.07692</v>
      </c>
      <c r="P180" s="46">
        <f t="shared" ca="1" si="7"/>
        <v>3.6676864772727271E-4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input_401010!A$2</f>
        <v>401010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IFERROR(VLOOKUP(B181,input_401010!L:R,7,FALSE),VLOOKUP(tables_401010!C181,input_401010!A:H,8,FALSE))</f>
        <v>57000</v>
      </c>
      <c r="P181" s="46">
        <f t="shared" ca="1" si="7"/>
        <v>5.3977272727272728E-3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input_401010!A$2</f>
        <v>401010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IFERROR(VLOOKUP(B182,input_401010!L:R,7,FALSE),VLOOKUP(tables_401010!C182,input_401010!A:H,8,FALSE))</f>
        <v>53126.92308</v>
      </c>
      <c r="P182" s="46">
        <f t="shared" ca="1" si="7"/>
        <v>5.030958625E-3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input_401010!A$2</f>
        <v>401010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IFERROR(VLOOKUP(B183,input_401010!L:R,7,FALSE),VLOOKUP(tables_401010!C183,input_401010!A:H,8,FALSE))</f>
        <v>3873.07692</v>
      </c>
      <c r="P183" s="46">
        <f t="shared" ca="1" si="7"/>
        <v>3.6676864772727271E-4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input_401010!A$2</f>
        <v>401010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IFERROR(VLOOKUP(B184,input_401010!L:R,7,FALSE),VLOOKUP(tables_401010!C184,input_401010!A:H,8,FALSE))</f>
        <v>10450</v>
      </c>
      <c r="P184" s="46">
        <f t="shared" ca="1" si="7"/>
        <v>9.8958333333333342E-4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input_401010!A$2</f>
        <v>401010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IFERROR(VLOOKUP(B185,input_401010!L:R,7,FALSE),VLOOKUP(tables_401010!C185,input_401010!A:H,8,FALSE))</f>
        <v>550</v>
      </c>
      <c r="P185" s="46">
        <f t="shared" ca="1" si="7"/>
        <v>5.2083333333333337E-5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input_401010!A$2</f>
        <v>401010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IFERROR(VLOOKUP(B186,input_401010!L:R,7,FALSE),VLOOKUP(tables_401010!C186,input_401010!A:H,8,FALSE))</f>
        <v>57000</v>
      </c>
      <c r="P186" s="46">
        <f t="shared" ca="1" si="7"/>
        <v>5.3977272727272728E-3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input_401010!A$2</f>
        <v>401010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IFERROR(VLOOKUP(B187,input_401010!L:R,7,FALSE),VLOOKUP(tables_401010!C187,input_401010!A:H,8,FALSE))</f>
        <v>53126.92308</v>
      </c>
      <c r="P187" s="46">
        <f t="shared" ca="1" si="7"/>
        <v>5.030958625E-3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input_401010!A$2</f>
        <v>401010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IFERROR(VLOOKUP(B188,input_401010!L:R,7,FALSE),VLOOKUP(tables_401010!C188,input_401010!A:H,8,FALSE))</f>
        <v>3873.07692</v>
      </c>
      <c r="P188" s="46">
        <f t="shared" ca="1" si="7"/>
        <v>3.6676864772727271E-4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input_401010!A$2</f>
        <v>401010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IFERROR(VLOOKUP(B189,input_401010!L:R,7,FALSE),VLOOKUP(tables_401010!C189,input_401010!A:H,8,FALSE))</f>
        <v>10450</v>
      </c>
      <c r="P189" s="46">
        <f t="shared" ca="1" si="7"/>
        <v>9.8958333333333342E-4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input_401010!A$2</f>
        <v>401010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IFERROR(VLOOKUP(B190,input_401010!L:R,7,FALSE),VLOOKUP(tables_401010!C190,input_401010!A:H,8,FALSE))</f>
        <v>550</v>
      </c>
      <c r="P190" s="46">
        <f t="shared" ca="1" si="7"/>
        <v>5.2083333333333337E-5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input_401010!A$2</f>
        <v>401010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IFERROR(VLOOKUP(B191,input_401010!L:R,7,FALSE),VLOOKUP(tables_401010!C191,input_401010!A:H,8,FALSE))</f>
        <v>10450</v>
      </c>
      <c r="P191" s="46">
        <f t="shared" ca="1" si="7"/>
        <v>9.8958333333333342E-4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input_401010!A$2</f>
        <v>401010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IFERROR(VLOOKUP(B192,input_401010!L:R,7,FALSE),VLOOKUP(tables_401010!C192,input_401010!A:H,8,FALSE))</f>
        <v>550</v>
      </c>
      <c r="P192" s="46">
        <f t="shared" ca="1" si="7"/>
        <v>5.2083333333333337E-5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input_401010!A$2</f>
        <v>401010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IFERROR(VLOOKUP(B193,input_401010!L:R,7,FALSE),VLOOKUP(tables_401010!C193,input_401010!A:H,8,FALSE))</f>
        <v>57000</v>
      </c>
      <c r="P193" s="46">
        <f t="shared" ca="1" si="7"/>
        <v>5.3977272727272728E-3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input_401010!A$2</f>
        <v>401010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IFERROR(VLOOKUP(B194,input_401010!L:R,7,FALSE),VLOOKUP(tables_401010!C194,input_401010!A:H,8,FALSE))</f>
        <v>53126.92308</v>
      </c>
      <c r="P194" s="46">
        <f t="shared" ref="P194:P257" ca="1" si="10">O194/SUM(O:O)</f>
        <v>5.030958625E-3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input_401010!A$2</f>
        <v>401010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IFERROR(VLOOKUP(B195,input_401010!L:R,7,FALSE),VLOOKUP(tables_401010!C195,input_401010!A:H,8,FALSE))</f>
        <v>3873.07692</v>
      </c>
      <c r="P195" s="46">
        <f t="shared" ca="1" si="10"/>
        <v>3.6676864772727271E-4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input_401010!A$2</f>
        <v>401010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IFERROR(VLOOKUP(B196,input_401010!L:R,7,FALSE),VLOOKUP(tables_401010!C196,input_401010!A:H,8,FALSE))</f>
        <v>10450</v>
      </c>
      <c r="P196" s="46">
        <f t="shared" ca="1" si="10"/>
        <v>9.8958333333333342E-4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input_401010!A$2</f>
        <v>401010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IFERROR(VLOOKUP(B197,input_401010!L:R,7,FALSE),VLOOKUP(tables_401010!C197,input_401010!A:H,8,FALSE))</f>
        <v>550</v>
      </c>
      <c r="P197" s="46">
        <f t="shared" ca="1" si="10"/>
        <v>5.2083333333333337E-5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input_401010!A$2</f>
        <v>401010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IFERROR(VLOOKUP(B198,input_401010!L:R,7,FALSE),VLOOKUP(tables_401010!C198,input_401010!A:H,8,FALSE))</f>
        <v>57000</v>
      </c>
      <c r="P198" s="46">
        <f t="shared" ca="1" si="10"/>
        <v>5.3977272727272728E-3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input_401010!A$2</f>
        <v>401010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IFERROR(VLOOKUP(B199,input_401010!L:R,7,FALSE),VLOOKUP(tables_401010!C199,input_401010!A:H,8,FALSE))</f>
        <v>53126.92308</v>
      </c>
      <c r="P199" s="46">
        <f t="shared" ca="1" si="10"/>
        <v>5.030958625E-3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input_401010!A$2</f>
        <v>401010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IFERROR(VLOOKUP(B200,input_401010!L:R,7,FALSE),VLOOKUP(tables_401010!C200,input_401010!A:H,8,FALSE))</f>
        <v>3873.07692</v>
      </c>
      <c r="P200" s="46">
        <f t="shared" ca="1" si="10"/>
        <v>3.6676864772727271E-4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input_401010!A$2</f>
        <v>401010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IFERROR(VLOOKUP(B201,input_401010!L:R,7,FALSE),VLOOKUP(tables_401010!C201,input_401010!A:H,8,FALSE))</f>
        <v>10450</v>
      </c>
      <c r="P201" s="46">
        <f t="shared" ca="1" si="10"/>
        <v>9.8958333333333342E-4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input_401010!A$2</f>
        <v>401010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IFERROR(VLOOKUP(B202,input_401010!L:R,7,FALSE),VLOOKUP(tables_401010!C202,input_401010!A:H,8,FALSE))</f>
        <v>550</v>
      </c>
      <c r="P202" s="46">
        <f t="shared" ca="1" si="10"/>
        <v>5.2083333333333337E-5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input_401010!A$2</f>
        <v>401010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IFERROR(VLOOKUP(B203,input_401010!L:R,7,FALSE),VLOOKUP(tables_401010!C203,input_401010!A:H,8,FALSE))</f>
        <v>57000</v>
      </c>
      <c r="P203" s="46">
        <f t="shared" ca="1" si="10"/>
        <v>5.3977272727272728E-3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input_401010!A$2</f>
        <v>401010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IFERROR(VLOOKUP(B204,input_401010!L:R,7,FALSE),VLOOKUP(tables_401010!C204,input_401010!A:H,8,FALSE))</f>
        <v>53126.92308</v>
      </c>
      <c r="P204" s="46">
        <f t="shared" ca="1" si="10"/>
        <v>5.030958625E-3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input_401010!A$2</f>
        <v>401010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IFERROR(VLOOKUP(B205,input_401010!L:R,7,FALSE),VLOOKUP(tables_401010!C205,input_401010!A:H,8,FALSE))</f>
        <v>3873.07692</v>
      </c>
      <c r="P205" s="46">
        <f t="shared" ca="1" si="10"/>
        <v>3.6676864772727271E-4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input_401010!A$2</f>
        <v>401010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IFERROR(VLOOKUP(B206,input_401010!L:R,7,FALSE),VLOOKUP(tables_401010!C206,input_401010!A:H,8,FALSE))</f>
        <v>10450</v>
      </c>
      <c r="P206" s="46">
        <f t="shared" ca="1" si="10"/>
        <v>9.8958333333333342E-4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input_401010!A$2</f>
        <v>401010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IFERROR(VLOOKUP(B207,input_401010!L:R,7,FALSE),VLOOKUP(tables_401010!C207,input_401010!A:H,8,FALSE))</f>
        <v>550</v>
      </c>
      <c r="P207" s="46">
        <f t="shared" ca="1" si="10"/>
        <v>5.2083333333333337E-5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input_401010!A$2</f>
        <v>401010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IFERROR(VLOOKUP(B208,input_401010!L:R,7,FALSE),VLOOKUP(tables_401010!C208,input_401010!A:H,8,FALSE))</f>
        <v>10450</v>
      </c>
      <c r="P208" s="46">
        <f t="shared" ca="1" si="10"/>
        <v>9.8958333333333342E-4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input_401010!A$2</f>
        <v>401010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IFERROR(VLOOKUP(B209,input_401010!L:R,7,FALSE),VLOOKUP(tables_401010!C209,input_401010!A:H,8,FALSE))</f>
        <v>550</v>
      </c>
      <c r="P209" s="46">
        <f t="shared" ca="1" si="10"/>
        <v>5.2083333333333337E-5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input_401010!A$2</f>
        <v>401010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IFERROR(VLOOKUP(B210,input_401010!L:R,7,FALSE),VLOOKUP(tables_401010!C210,input_401010!A:H,8,FALSE))</f>
        <v>57000</v>
      </c>
      <c r="P210" s="46">
        <f t="shared" ca="1" si="10"/>
        <v>5.3977272727272728E-3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input_401010!A$2</f>
        <v>401010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IFERROR(VLOOKUP(B211,input_401010!L:R,7,FALSE),VLOOKUP(tables_401010!C211,input_401010!A:H,8,FALSE))</f>
        <v>53126.92308</v>
      </c>
      <c r="P211" s="46">
        <f t="shared" ca="1" si="10"/>
        <v>5.030958625E-3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input_401010!A$2</f>
        <v>401010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IFERROR(VLOOKUP(B212,input_401010!L:R,7,FALSE),VLOOKUP(tables_401010!C212,input_401010!A:H,8,FALSE))</f>
        <v>3873.07692</v>
      </c>
      <c r="P212" s="46">
        <f t="shared" ca="1" si="10"/>
        <v>3.6676864772727271E-4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input_401010!A$2</f>
        <v>401010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IFERROR(VLOOKUP(B213,input_401010!L:R,7,FALSE),VLOOKUP(tables_401010!C213,input_401010!A:H,8,FALSE))</f>
        <v>10450</v>
      </c>
      <c r="P213" s="46">
        <f t="shared" ca="1" si="10"/>
        <v>9.8958333333333342E-4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input_401010!A$2</f>
        <v>401010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IFERROR(VLOOKUP(B214,input_401010!L:R,7,FALSE),VLOOKUP(tables_401010!C214,input_401010!A:H,8,FALSE))</f>
        <v>550</v>
      </c>
      <c r="P214" s="46">
        <f t="shared" ca="1" si="10"/>
        <v>5.2083333333333337E-5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input_401010!A$2</f>
        <v>401010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IFERROR(VLOOKUP(B215,input_401010!L:R,7,FALSE),VLOOKUP(tables_401010!C215,input_401010!A:H,8,FALSE))</f>
        <v>10450</v>
      </c>
      <c r="P215" s="46">
        <f t="shared" ca="1" si="10"/>
        <v>9.8958333333333342E-4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input_401010!A$2</f>
        <v>401010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IFERROR(VLOOKUP(B216,input_401010!L:R,7,FALSE),VLOOKUP(tables_401010!C216,input_401010!A:H,8,FALSE))</f>
        <v>550</v>
      </c>
      <c r="P216" s="46">
        <f t="shared" ca="1" si="10"/>
        <v>5.2083333333333337E-5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input_401010!A$2</f>
        <v>401010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IFERROR(VLOOKUP(B217,input_401010!L:R,7,FALSE),VLOOKUP(tables_401010!C217,input_401010!A:H,8,FALSE))</f>
        <v>57000</v>
      </c>
      <c r="P217" s="46">
        <f t="shared" ca="1" si="10"/>
        <v>5.3977272727272728E-3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input_401010!A$2</f>
        <v>401010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IFERROR(VLOOKUP(B218,input_401010!L:R,7,FALSE),VLOOKUP(tables_401010!C218,input_401010!A:H,8,FALSE))</f>
        <v>53126.92308</v>
      </c>
      <c r="P218" s="46">
        <f t="shared" ca="1" si="10"/>
        <v>5.030958625E-3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input_401010!A$2</f>
        <v>401010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IFERROR(VLOOKUP(B219,input_401010!L:R,7,FALSE),VLOOKUP(tables_401010!C219,input_401010!A:H,8,FALSE))</f>
        <v>3873.07692</v>
      </c>
      <c r="P219" s="46">
        <f t="shared" ca="1" si="10"/>
        <v>3.6676864772727271E-4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input_401010!A$2</f>
        <v>401010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IFERROR(VLOOKUP(B220,input_401010!L:R,7,FALSE),VLOOKUP(tables_401010!C220,input_401010!A:H,8,FALSE))</f>
        <v>57000</v>
      </c>
      <c r="P220" s="46">
        <f t="shared" ca="1" si="10"/>
        <v>5.3977272727272728E-3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input_401010!A$2</f>
        <v>401010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IFERROR(VLOOKUP(B221,input_401010!L:R,7,FALSE),VLOOKUP(tables_401010!C221,input_401010!A:H,8,FALSE))</f>
        <v>53126.92308</v>
      </c>
      <c r="P221" s="46">
        <f t="shared" ca="1" si="10"/>
        <v>5.030958625E-3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input_401010!A$2</f>
        <v>401010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IFERROR(VLOOKUP(B222,input_401010!L:R,7,FALSE),VLOOKUP(tables_401010!C222,input_401010!A:H,8,FALSE))</f>
        <v>3873.07692</v>
      </c>
      <c r="P222" s="46">
        <f t="shared" ca="1" si="10"/>
        <v>3.6676864772727271E-4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input_401010!A$2</f>
        <v>401010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IFERROR(VLOOKUP(B223,input_401010!L:R,7,FALSE),VLOOKUP(tables_401010!C223,input_401010!A:H,8,FALSE))</f>
        <v>10450</v>
      </c>
      <c r="P223" s="46">
        <f t="shared" ca="1" si="10"/>
        <v>9.8958333333333342E-4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input_401010!A$2</f>
        <v>401010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IFERROR(VLOOKUP(B224,input_401010!L:R,7,FALSE),VLOOKUP(tables_401010!C224,input_401010!A:H,8,FALSE))</f>
        <v>550</v>
      </c>
      <c r="P224" s="46">
        <f t="shared" ca="1" si="10"/>
        <v>5.2083333333333337E-5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input_401010!A$2</f>
        <v>401010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IFERROR(VLOOKUP(B225,input_401010!L:R,7,FALSE),VLOOKUP(tables_401010!C225,input_401010!A:H,8,FALSE))</f>
        <v>57000</v>
      </c>
      <c r="P225" s="46">
        <f t="shared" ca="1" si="10"/>
        <v>5.3977272727272728E-3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input_401010!A$2</f>
        <v>401010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IFERROR(VLOOKUP(B226,input_401010!L:R,7,FALSE),VLOOKUP(tables_401010!C226,input_401010!A:H,8,FALSE))</f>
        <v>53126.92308</v>
      </c>
      <c r="P226" s="46">
        <f t="shared" ca="1" si="10"/>
        <v>5.030958625E-3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input_401010!A$2</f>
        <v>401010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IFERROR(VLOOKUP(B227,input_401010!L:R,7,FALSE),VLOOKUP(tables_401010!C227,input_401010!A:H,8,FALSE))</f>
        <v>3873.07692</v>
      </c>
      <c r="P227" s="46">
        <f t="shared" ca="1" si="10"/>
        <v>3.6676864772727271E-4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input_401010!A$2</f>
        <v>401010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IFERROR(VLOOKUP(B228,input_401010!L:R,7,FALSE),VLOOKUP(tables_401010!C228,input_401010!A:H,8,FALSE))</f>
        <v>57000</v>
      </c>
      <c r="P228" s="46">
        <f t="shared" ca="1" si="10"/>
        <v>5.3977272727272728E-3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input_401010!A$2</f>
        <v>401010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IFERROR(VLOOKUP(B229,input_401010!L:R,7,FALSE),VLOOKUP(tables_401010!C229,input_401010!A:H,8,FALSE))</f>
        <v>53126.92308</v>
      </c>
      <c r="P229" s="46">
        <f t="shared" ca="1" si="10"/>
        <v>5.030958625E-3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input_401010!A$2</f>
        <v>401010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IFERROR(VLOOKUP(B230,input_401010!L:R,7,FALSE),VLOOKUP(tables_401010!C230,input_401010!A:H,8,FALSE))</f>
        <v>3873.07692</v>
      </c>
      <c r="P230" s="46">
        <f t="shared" ca="1" si="10"/>
        <v>3.6676864772727271E-4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input_401010!A$2</f>
        <v>401010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IFERROR(VLOOKUP(B231,input_401010!L:R,7,FALSE),VLOOKUP(tables_401010!C231,input_401010!A:H,8,FALSE))</f>
        <v>10450</v>
      </c>
      <c r="P231" s="46">
        <f t="shared" ca="1" si="10"/>
        <v>9.8958333333333342E-4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input_401010!A$2</f>
        <v>401010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IFERROR(VLOOKUP(B232,input_401010!L:R,7,FALSE),VLOOKUP(tables_401010!C232,input_401010!A:H,8,FALSE))</f>
        <v>550</v>
      </c>
      <c r="P232" s="46">
        <f t="shared" ca="1" si="10"/>
        <v>5.2083333333333337E-5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input_401010!A$2</f>
        <v>401010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IFERROR(VLOOKUP(B233,input_401010!L:R,7,FALSE),VLOOKUP(tables_401010!C233,input_401010!A:H,8,FALSE))</f>
        <v>57000</v>
      </c>
      <c r="P233" s="46">
        <f t="shared" ca="1" si="10"/>
        <v>5.3977272727272728E-3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input_401010!A$2</f>
        <v>401010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IFERROR(VLOOKUP(B234,input_401010!L:R,7,FALSE),VLOOKUP(tables_401010!C234,input_401010!A:H,8,FALSE))</f>
        <v>53126.92308</v>
      </c>
      <c r="P234" s="46">
        <f t="shared" ca="1" si="10"/>
        <v>5.030958625E-3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input_401010!A$2</f>
        <v>401010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IFERROR(VLOOKUP(B235,input_401010!L:R,7,FALSE),VLOOKUP(tables_401010!C235,input_401010!A:H,8,FALSE))</f>
        <v>3873.07692</v>
      </c>
      <c r="P235" s="46">
        <f t="shared" ca="1" si="10"/>
        <v>3.6676864772727271E-4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input_401010!A$2</f>
        <v>401010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IFERROR(VLOOKUP(B236,input_401010!L:R,7,FALSE),VLOOKUP(tables_401010!C236,input_401010!A:H,8,FALSE))</f>
        <v>10450</v>
      </c>
      <c r="P236" s="46">
        <f t="shared" ca="1" si="10"/>
        <v>9.8958333333333342E-4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input_401010!A$2</f>
        <v>401010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IFERROR(VLOOKUP(B237,input_401010!L:R,7,FALSE),VLOOKUP(tables_401010!C237,input_401010!A:H,8,FALSE))</f>
        <v>550</v>
      </c>
      <c r="P237" s="46">
        <f t="shared" ca="1" si="10"/>
        <v>5.2083333333333337E-5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input_401010!A$2</f>
        <v>401010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IFERROR(VLOOKUP(B238,input_401010!L:R,7,FALSE),VLOOKUP(tables_401010!C238,input_401010!A:H,8,FALSE))</f>
        <v>10450</v>
      </c>
      <c r="P238" s="46">
        <f t="shared" ca="1" si="10"/>
        <v>9.8958333333333342E-4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input_401010!A$2</f>
        <v>401010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IFERROR(VLOOKUP(B239,input_401010!L:R,7,FALSE),VLOOKUP(tables_401010!C239,input_401010!A:H,8,FALSE))</f>
        <v>550</v>
      </c>
      <c r="P239" s="46">
        <f t="shared" ca="1" si="10"/>
        <v>5.2083333333333337E-5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input_401010!A$2</f>
        <v>401010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IFERROR(VLOOKUP(B240,input_401010!L:R,7,FALSE),VLOOKUP(tables_401010!C240,input_401010!A:H,8,FALSE))</f>
        <v>57000</v>
      </c>
      <c r="P240" s="46">
        <f t="shared" ca="1" si="10"/>
        <v>5.3977272727272728E-3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input_401010!A$2</f>
        <v>401010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IFERROR(VLOOKUP(B241,input_401010!L:R,7,FALSE),VLOOKUP(tables_401010!C241,input_401010!A:H,8,FALSE))</f>
        <v>53126.92308</v>
      </c>
      <c r="P241" s="46">
        <f t="shared" ca="1" si="10"/>
        <v>5.030958625E-3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input_401010!A$2</f>
        <v>401010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IFERROR(VLOOKUP(B242,input_401010!L:R,7,FALSE),VLOOKUP(tables_401010!C242,input_401010!A:H,8,FALSE))</f>
        <v>3873.07692</v>
      </c>
      <c r="P242" s="46">
        <f t="shared" ca="1" si="10"/>
        <v>3.6676864772727271E-4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input_401010!A$2</f>
        <v>401010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IFERROR(VLOOKUP(B243,input_401010!L:R,7,FALSE),VLOOKUP(tables_401010!C243,input_401010!A:H,8,FALSE))</f>
        <v>57000</v>
      </c>
      <c r="P243" s="46">
        <f t="shared" ca="1" si="10"/>
        <v>5.3977272727272728E-3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input_401010!A$2</f>
        <v>401010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IFERROR(VLOOKUP(B244,input_401010!L:R,7,FALSE),VLOOKUP(tables_401010!C244,input_401010!A:H,8,FALSE))</f>
        <v>53126.92308</v>
      </c>
      <c r="P244" s="46">
        <f t="shared" ca="1" si="10"/>
        <v>5.030958625E-3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input_401010!A$2</f>
        <v>401010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IFERROR(VLOOKUP(B245,input_401010!L:R,7,FALSE),VLOOKUP(tables_401010!C245,input_401010!A:H,8,FALSE))</f>
        <v>3873.07692</v>
      </c>
      <c r="P245" s="46">
        <f t="shared" ca="1" si="10"/>
        <v>3.6676864772727271E-4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input_401010!A$2</f>
        <v>401010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IFERROR(VLOOKUP(B246,input_401010!L:R,7,FALSE),VLOOKUP(tables_401010!C246,input_401010!A:H,8,FALSE))</f>
        <v>57000</v>
      </c>
      <c r="P246" s="46">
        <f t="shared" ca="1" si="10"/>
        <v>5.3977272727272728E-3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input_401010!A$2</f>
        <v>401010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IFERROR(VLOOKUP(B247,input_401010!L:R,7,FALSE),VLOOKUP(tables_401010!C247,input_401010!A:H,8,FALSE))</f>
        <v>53126.92308</v>
      </c>
      <c r="P247" s="46">
        <f t="shared" ca="1" si="10"/>
        <v>5.030958625E-3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input_401010!A$2</f>
        <v>401010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IFERROR(VLOOKUP(B248,input_401010!L:R,7,FALSE),VLOOKUP(tables_401010!C248,input_401010!A:H,8,FALSE))</f>
        <v>3873.07692</v>
      </c>
      <c r="P248" s="46">
        <f t="shared" ca="1" si="10"/>
        <v>3.6676864772727271E-4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input_401010!A$2</f>
        <v>401010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IFERROR(VLOOKUP(B249,input_401010!L:R,7,FALSE),VLOOKUP(tables_401010!C249,input_401010!A:H,8,FALSE))</f>
        <v>57000</v>
      </c>
      <c r="P249" s="46">
        <f t="shared" ca="1" si="10"/>
        <v>5.3977272727272728E-3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input_401010!A$2</f>
        <v>401010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IFERROR(VLOOKUP(B250,input_401010!L:R,7,FALSE),VLOOKUP(tables_401010!C250,input_401010!A:H,8,FALSE))</f>
        <v>53126.92308</v>
      </c>
      <c r="P250" s="46">
        <f t="shared" ca="1" si="10"/>
        <v>5.030958625E-3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input_401010!A$2</f>
        <v>401010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IFERROR(VLOOKUP(B251,input_401010!L:R,7,FALSE),VLOOKUP(tables_401010!C251,input_401010!A:H,8,FALSE))</f>
        <v>3873.07692</v>
      </c>
      <c r="P251" s="46">
        <f t="shared" ca="1" si="10"/>
        <v>3.6676864772727271E-4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input_401010!A$2</f>
        <v>401010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IFERROR(VLOOKUP(B252,input_401010!L:R,7,FALSE),VLOOKUP(tables_401010!C252,input_401010!A:H,8,FALSE))</f>
        <v>10450</v>
      </c>
      <c r="P252" s="46">
        <f t="shared" ca="1" si="10"/>
        <v>9.8958333333333342E-4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input_401010!A$2</f>
        <v>401010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IFERROR(VLOOKUP(B253,input_401010!L:R,7,FALSE),VLOOKUP(tables_401010!C253,input_401010!A:H,8,FALSE))</f>
        <v>550</v>
      </c>
      <c r="P253" s="46">
        <f t="shared" ca="1" si="10"/>
        <v>5.2083333333333337E-5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input_401010!A$2</f>
        <v>401010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IFERROR(VLOOKUP(B254,input_401010!L:R,7,FALSE),VLOOKUP(tables_401010!C254,input_401010!A:H,8,FALSE))</f>
        <v>10450</v>
      </c>
      <c r="P254" s="46">
        <f t="shared" ca="1" si="10"/>
        <v>9.8958333333333342E-4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input_401010!A$2</f>
        <v>401010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IFERROR(VLOOKUP(B255,input_401010!L:R,7,FALSE),VLOOKUP(tables_401010!C255,input_401010!A:H,8,FALSE))</f>
        <v>550</v>
      </c>
      <c r="P255" s="46">
        <f t="shared" ca="1" si="10"/>
        <v>5.2083333333333337E-5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input_401010!A$2</f>
        <v>401010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IFERROR(VLOOKUP(B256,input_401010!L:R,7,FALSE),VLOOKUP(tables_401010!C256,input_401010!A:H,8,FALSE))</f>
        <v>108300</v>
      </c>
      <c r="P256" s="46">
        <f t="shared" ca="1" si="10"/>
        <v>1.0255681818181818E-2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input_401010!A$2</f>
        <v>401010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IFERROR(VLOOKUP(B257,input_401010!L:R,7,FALSE),VLOOKUP(tables_401010!C257,input_401010!A:H,8,FALSE))</f>
        <v>5700</v>
      </c>
      <c r="P257" s="46">
        <f t="shared" ca="1" si="10"/>
        <v>5.3977272727272728E-4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input_401010!A$2</f>
        <v>401010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IFERROR(VLOOKUP(B258,input_401010!L:R,7,FALSE),VLOOKUP(tables_401010!C258,input_401010!A:H,8,FALSE))</f>
        <v>108300</v>
      </c>
      <c r="P258" s="46">
        <f t="shared" ref="P258:P294" ca="1" si="13">O258/SUM(O:O)</f>
        <v>1.0255681818181818E-2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input_401010!A$2</f>
        <v>401010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IFERROR(VLOOKUP(B259,input_401010!L:R,7,FALSE),VLOOKUP(tables_401010!C259,input_401010!A:H,8,FALSE))</f>
        <v>5700</v>
      </c>
      <c r="P259" s="46">
        <f t="shared" ca="1" si="13"/>
        <v>5.3977272727272728E-4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input_401010!A$2</f>
        <v>401010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IFERROR(VLOOKUP(B260,input_401010!L:R,7,FALSE),VLOOKUP(tables_401010!C260,input_401010!A:H,8,FALSE))</f>
        <v>11000</v>
      </c>
      <c r="P260" s="46">
        <f t="shared" ca="1" si="13"/>
        <v>1.0416666666666667E-3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input_401010!A$2</f>
        <v>401010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IFERROR(VLOOKUP(B261,input_401010!L:R,7,FALSE),VLOOKUP(tables_401010!C261,input_401010!A:H,8,FALSE))</f>
        <v>11000</v>
      </c>
      <c r="P261" s="46">
        <f t="shared" ca="1" si="13"/>
        <v>1.0416666666666667E-3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input_401010!A$2</f>
        <v>401010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IFERROR(VLOOKUP(B262,input_401010!L:R,7,FALSE),VLOOKUP(tables_401010!C262,input_401010!A:H,8,FALSE))</f>
        <v>10450</v>
      </c>
      <c r="P262" s="46">
        <f t="shared" ca="1" si="13"/>
        <v>9.8958333333333342E-4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input_401010!A$2</f>
        <v>401010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IFERROR(VLOOKUP(B263,input_401010!L:R,7,FALSE),VLOOKUP(tables_401010!C263,input_401010!A:H,8,FALSE))</f>
        <v>550</v>
      </c>
      <c r="P263" s="46">
        <f t="shared" ca="1" si="13"/>
        <v>5.2083333333333337E-5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input_401010!A$2</f>
        <v>401010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IFERROR(VLOOKUP(B264,input_401010!L:R,7,FALSE),VLOOKUP(tables_401010!C264,input_401010!A:H,8,FALSE))</f>
        <v>10450</v>
      </c>
      <c r="P264" s="46">
        <f t="shared" ca="1" si="13"/>
        <v>9.8958333333333342E-4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input_401010!A$2</f>
        <v>401010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IFERROR(VLOOKUP(B265,input_401010!L:R,7,FALSE),VLOOKUP(tables_401010!C265,input_401010!A:H,8,FALSE))</f>
        <v>550</v>
      </c>
      <c r="P265" s="46">
        <f t="shared" ca="1" si="13"/>
        <v>5.2083333333333337E-5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input_401010!A$2</f>
        <v>401010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IFERROR(VLOOKUP(B266,input_401010!L:R,7,FALSE),VLOOKUP(tables_401010!C266,input_401010!A:H,8,FALSE))</f>
        <v>57000</v>
      </c>
      <c r="P266" s="46">
        <f t="shared" ca="1" si="13"/>
        <v>5.3977272727272728E-3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input_401010!A$2</f>
        <v>401010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IFERROR(VLOOKUP(B267,input_401010!L:R,7,FALSE),VLOOKUP(tables_401010!C267,input_401010!A:H,8,FALSE))</f>
        <v>53126.92308</v>
      </c>
      <c r="P267" s="46">
        <f t="shared" ca="1" si="13"/>
        <v>5.030958625E-3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input_401010!A$2</f>
        <v>401010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IFERROR(VLOOKUP(B268,input_401010!L:R,7,FALSE),VLOOKUP(tables_401010!C268,input_401010!A:H,8,FALSE))</f>
        <v>3873.07692</v>
      </c>
      <c r="P268" s="46">
        <f t="shared" ca="1" si="13"/>
        <v>3.6676864772727271E-4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input_401010!A$2</f>
        <v>401010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IFERROR(VLOOKUP(B269,input_401010!L:R,7,FALSE),VLOOKUP(tables_401010!C269,input_401010!A:H,8,FALSE))</f>
        <v>57000</v>
      </c>
      <c r="P269" s="46">
        <f t="shared" ca="1" si="13"/>
        <v>5.3977272727272728E-3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input_401010!A$2</f>
        <v>401010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IFERROR(VLOOKUP(B270,input_401010!L:R,7,FALSE),VLOOKUP(tables_401010!C270,input_401010!A:H,8,FALSE))</f>
        <v>53126.92308</v>
      </c>
      <c r="P270" s="46">
        <f t="shared" ca="1" si="13"/>
        <v>5.030958625E-3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input_401010!A$2</f>
        <v>401010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IFERROR(VLOOKUP(B271,input_401010!L:R,7,FALSE),VLOOKUP(tables_401010!C271,input_401010!A:H,8,FALSE))</f>
        <v>3873.07692</v>
      </c>
      <c r="P271" s="46">
        <f t="shared" ca="1" si="13"/>
        <v>3.6676864772727271E-4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input_401010!A$2</f>
        <v>401010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IFERROR(VLOOKUP(B272,input_401010!L:R,7,FALSE),VLOOKUP(tables_401010!C272,input_401010!A:H,8,FALSE))</f>
        <v>11000</v>
      </c>
      <c r="P272" s="46">
        <f t="shared" ca="1" si="13"/>
        <v>1.0416666666666667E-3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input_401010!A$2</f>
        <v>401010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IFERROR(VLOOKUP(B273,input_401010!L:R,7,FALSE),VLOOKUP(tables_401010!C273,input_401010!A:H,8,FALSE))</f>
        <v>11000</v>
      </c>
      <c r="P273" s="46">
        <f t="shared" ca="1" si="13"/>
        <v>1.0416666666666667E-3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input_401010!A$2</f>
        <v>401010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IFERROR(VLOOKUP(B274,input_401010!L:R,7,FALSE),VLOOKUP(tables_401010!C274,input_401010!A:H,8,FALSE))</f>
        <v>108300</v>
      </c>
      <c r="P274" s="46">
        <f t="shared" ca="1" si="13"/>
        <v>1.0255681818181818E-2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input_401010!A$2</f>
        <v>401010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IFERROR(VLOOKUP(B275,input_401010!L:R,7,FALSE),VLOOKUP(tables_401010!C275,input_401010!A:H,8,FALSE))</f>
        <v>5700</v>
      </c>
      <c r="P275" s="46">
        <f t="shared" ca="1" si="13"/>
        <v>5.3977272727272728E-4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input_401010!A$2</f>
        <v>401010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IFERROR(VLOOKUP(B276,input_401010!L:R,7,FALSE),VLOOKUP(tables_401010!C276,input_401010!A:H,8,FALSE))</f>
        <v>108300</v>
      </c>
      <c r="P276" s="46">
        <f t="shared" ca="1" si="13"/>
        <v>1.0255681818181818E-2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input_401010!A$2</f>
        <v>401010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IFERROR(VLOOKUP(B277,input_401010!L:R,7,FALSE),VLOOKUP(tables_401010!C277,input_401010!A:H,8,FALSE))</f>
        <v>5700</v>
      </c>
      <c r="P277" s="46">
        <f t="shared" ca="1" si="13"/>
        <v>5.3977272727272728E-4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input_401010!A$2</f>
        <v>401010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IFERROR(VLOOKUP(B278,input_401010!L:R,7,FALSE),VLOOKUP(tables_401010!C278,input_401010!A:H,8,FALSE))</f>
        <v>108300</v>
      </c>
      <c r="P278" s="46">
        <f t="shared" ca="1" si="13"/>
        <v>1.0255681818181818E-2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input_401010!A$2</f>
        <v>401010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IFERROR(VLOOKUP(B279,input_401010!L:R,7,FALSE),VLOOKUP(tables_401010!C279,input_401010!A:H,8,FALSE))</f>
        <v>5700</v>
      </c>
      <c r="P279" s="46">
        <f t="shared" ca="1" si="13"/>
        <v>5.3977272727272728E-4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input_401010!A$2</f>
        <v>401010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IFERROR(VLOOKUP(B280,input_401010!L:R,7,FALSE),VLOOKUP(tables_401010!C280,input_401010!A:H,8,FALSE))</f>
        <v>108300</v>
      </c>
      <c r="P280" s="46">
        <f t="shared" ca="1" si="13"/>
        <v>1.0255681818181818E-2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input_401010!A$2</f>
        <v>401010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IFERROR(VLOOKUP(B281,input_401010!L:R,7,FALSE),VLOOKUP(tables_401010!C281,input_401010!A:H,8,FALSE))</f>
        <v>5700</v>
      </c>
      <c r="P281" s="46">
        <f t="shared" ca="1" si="13"/>
        <v>5.3977272727272728E-4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input_401010!A$2</f>
        <v>401010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IFERROR(VLOOKUP(B282,input_401010!L:R,7,FALSE),VLOOKUP(tables_401010!C282,input_401010!A:H,8,FALSE))</f>
        <v>11000</v>
      </c>
      <c r="P282" s="46">
        <f t="shared" ca="1" si="13"/>
        <v>1.0416666666666667E-3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input_401010!A$2</f>
        <v>401010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IFERROR(VLOOKUP(B283,input_401010!L:R,7,FALSE),VLOOKUP(tables_401010!C283,input_401010!A:H,8,FALSE))</f>
        <v>11000</v>
      </c>
      <c r="P283" s="46">
        <f t="shared" ca="1" si="13"/>
        <v>1.0416666666666667E-3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input_401010!A$2</f>
        <v>401010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IFERROR(VLOOKUP(B284,input_401010!L:R,7,FALSE),VLOOKUP(tables_401010!C284,input_401010!A:H,8,FALSE))</f>
        <v>11000</v>
      </c>
      <c r="P284" s="46">
        <f t="shared" ca="1" si="13"/>
        <v>1.0416666666666667E-3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input_401010!A$2</f>
        <v>401010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IFERROR(VLOOKUP(B285,input_401010!L:R,7,FALSE),VLOOKUP(tables_401010!C285,input_401010!A:H,8,FALSE))</f>
        <v>11000</v>
      </c>
      <c r="P285" s="46">
        <f t="shared" ca="1" si="13"/>
        <v>1.0416666666666667E-3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input_401010!A$2</f>
        <v>401010</v>
      </c>
      <c r="B286" s="5">
        <v>746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IFERROR(VLOOKUP(B286,input_401010!L:R,7,FALSE),VLOOKUP(tables_401010!C286,input_401010!A:H,8,FALSE))</f>
        <v>108300</v>
      </c>
      <c r="P286" s="46">
        <f t="shared" ca="1" si="13"/>
        <v>1.0255681818181818E-2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input_401010!A$2</f>
        <v>401010</v>
      </c>
      <c r="B287" s="5">
        <v>747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IFERROR(VLOOKUP(B287,input_401010!L:R,7,FALSE),VLOOKUP(tables_401010!C287,input_401010!A:H,8,FALSE))</f>
        <v>5700</v>
      </c>
      <c r="P287" s="46">
        <f t="shared" ca="1" si="13"/>
        <v>5.3977272727272728E-4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input_401010!A$2</f>
        <v>401010</v>
      </c>
      <c r="B288" s="5">
        <v>748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IFERROR(VLOOKUP(B288,input_401010!L:R,7,FALSE),VLOOKUP(tables_401010!C288,input_401010!A:H,8,FALSE))</f>
        <v>108300</v>
      </c>
      <c r="P288" s="46">
        <f t="shared" ca="1" si="13"/>
        <v>1.0255681818181818E-2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input_401010!A$2</f>
        <v>401010</v>
      </c>
      <c r="B289" s="5">
        <v>749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IFERROR(VLOOKUP(B289,input_401010!L:R,7,FALSE),VLOOKUP(tables_401010!C289,input_401010!A:H,8,FALSE))</f>
        <v>5700</v>
      </c>
      <c r="P289" s="46">
        <f t="shared" ca="1" si="13"/>
        <v>5.3977272727272728E-4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input_401010!A$2</f>
        <v>401010</v>
      </c>
      <c r="B290" s="5">
        <v>937</v>
      </c>
      <c r="C290" s="7" t="str">
        <f t="shared" ref="C290:C294" si="16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IFERROR(VLOOKUP(B290,input_401010!L:R,7,FALSE),VLOOKUP(tables_401010!C290,input_401010!A:H,8,FALSE))</f>
        <v>11000</v>
      </c>
      <c r="P290" s="46">
        <f t="shared" ca="1" si="13"/>
        <v>1.0416666666666667E-3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input_401010!A$2</f>
        <v>401010</v>
      </c>
      <c r="B291" s="5">
        <v>939</v>
      </c>
      <c r="C291" s="7" t="str">
        <f t="shared" si="16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IFERROR(VLOOKUP(B291,input_401010!L:R,7,FALSE),VLOOKUP(tables_401010!C291,input_401010!A:H,8,FALSE))</f>
        <v>108300</v>
      </c>
      <c r="P291" s="46">
        <f t="shared" ca="1" si="13"/>
        <v>1.0255681818181818E-2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input_401010!A$2</f>
        <v>401010</v>
      </c>
      <c r="B292" s="5">
        <v>940</v>
      </c>
      <c r="C292" s="7" t="str">
        <f t="shared" si="16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IFERROR(VLOOKUP(B292,input_401010!L:R,7,FALSE),VLOOKUP(tables_401010!C292,input_401010!A:H,8,FALSE))</f>
        <v>5700</v>
      </c>
      <c r="P292" s="46">
        <f t="shared" ca="1" si="13"/>
        <v>5.3977272727272728E-4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input_401010!A$2</f>
        <v>401010</v>
      </c>
      <c r="B293" s="5">
        <v>941</v>
      </c>
      <c r="C293" s="7" t="str">
        <f t="shared" si="16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IFERROR(VLOOKUP(B293,input_401010!L:R,7,FALSE),VLOOKUP(tables_401010!C293,input_401010!A:H,8,FALSE))</f>
        <v>11000</v>
      </c>
      <c r="P293" s="46">
        <f t="shared" ca="1" si="13"/>
        <v>1.0416666666666667E-3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input_401010!A$2</f>
        <v>401010</v>
      </c>
      <c r="B294" s="5">
        <v>943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IFERROR(VLOOKUP(B294,input_401010!L:R,7,FALSE),VLOOKUP(tables_401010!C294,input_401010!A:H,8,FALSE))</f>
        <v>11000</v>
      </c>
      <c r="P294" s="46">
        <f t="shared" ca="1" si="13"/>
        <v>1.0416666666666667E-3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input_401010!A$2</f>
        <v>401010</v>
      </c>
      <c r="B295" s="5">
        <v>1012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IFERROR(VLOOKUP(B295,input_401010!L:R,7,FALSE),VLOOKUP(tables_401010!C295,input_401010!A:H,8,FALSE))</f>
        <v>11000</v>
      </c>
      <c r="P295" s="46">
        <f t="shared" ref="P295:P299" ca="1" si="18">O295/SUM(O:O)</f>
        <v>1.0416666666666667E-3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input_401010!A$2</f>
        <v>401010</v>
      </c>
      <c r="B296" s="5">
        <v>1014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IFERROR(VLOOKUP(B296,input_401010!L:R,7,FALSE),VLOOKUP(tables_401010!C296,input_401010!A:H,8,FALSE))</f>
        <v>11000</v>
      </c>
      <c r="P296" s="46">
        <f t="shared" ca="1" si="18"/>
        <v>1.0416666666666667E-3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input_401010!A$2</f>
        <v>401010</v>
      </c>
      <c r="B297" s="5">
        <v>1016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IFERROR(VLOOKUP(B297,input_401010!L:R,7,FALSE),VLOOKUP(tables_401010!C297,input_401010!A:H,8,FALSE))</f>
        <v>108300</v>
      </c>
      <c r="P297" s="46">
        <f t="shared" ca="1" si="18"/>
        <v>1.0255681818181818E-2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input_401010!A$2</f>
        <v>401010</v>
      </c>
      <c r="B298" s="5">
        <v>1017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IFERROR(VLOOKUP(B298,input_401010!L:R,7,FALSE),VLOOKUP(tables_401010!C298,input_401010!A:H,8,FALSE))</f>
        <v>5700</v>
      </c>
      <c r="P298" s="46">
        <f t="shared" ca="1" si="18"/>
        <v>5.3977272727272728E-4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input_401010!A$2</f>
        <v>401010</v>
      </c>
      <c r="B299" s="5">
        <v>1018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IFERROR(VLOOKUP(B299,input_401010!L:R,7,FALSE),VLOOKUP(tables_401010!C299,input_401010!A:H,8,FALSE))</f>
        <v>11000</v>
      </c>
      <c r="P299" s="46">
        <f t="shared" ca="1" si="18"/>
        <v>1.0416666666666667E-3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input_401010!A$2</f>
        <v>401010</v>
      </c>
      <c r="B300" s="5">
        <v>1026</v>
      </c>
      <c r="C300" s="7" t="str">
        <f t="shared" ref="C300:C304" si="19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IFERROR(VLOOKUP(B300,input_401010!L:R,7,FALSE),VLOOKUP(tables_401010!C300,input_401010!A:H,8,FALSE))</f>
        <v>108300</v>
      </c>
      <c r="P300" s="46">
        <f t="shared" ref="P300:P304" ca="1" si="20">O300/SUM(O:O)</f>
        <v>1.0255681818181818E-2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input_401010!A$2</f>
        <v>401010</v>
      </c>
      <c r="B301" s="5">
        <v>1027</v>
      </c>
      <c r="C301" s="7" t="str">
        <f t="shared" si="19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IFERROR(VLOOKUP(B301,input_401010!L:R,7,FALSE),VLOOKUP(tables_401010!C301,input_401010!A:H,8,FALSE))</f>
        <v>5700</v>
      </c>
      <c r="P301" s="46">
        <f t="shared" ca="1" si="20"/>
        <v>5.3977272727272728E-4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input_401010!A$2</f>
        <v>401010</v>
      </c>
      <c r="B302" s="5">
        <v>1028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IFERROR(VLOOKUP(B302,input_401010!L:R,7,FALSE),VLOOKUP(tables_401010!C302,input_401010!A:H,8,FALSE))</f>
        <v>11000</v>
      </c>
      <c r="P302" s="46">
        <f t="shared" ca="1" si="20"/>
        <v>1.0416666666666667E-3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input_401010!A$2</f>
        <v>401010</v>
      </c>
      <c r="B303" s="5">
        <v>1031</v>
      </c>
      <c r="C303" s="7" t="str">
        <f t="shared" si="19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IFERROR(VLOOKUP(B303,input_401010!L:R,7,FALSE),VLOOKUP(tables_401010!C303,input_401010!A:H,8,FALSE))</f>
        <v>11000</v>
      </c>
      <c r="P303" s="46">
        <f t="shared" ca="1" si="20"/>
        <v>1.0416666666666667E-3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input_401010!A$2</f>
        <v>401010</v>
      </c>
      <c r="B304" s="5">
        <v>1033</v>
      </c>
      <c r="C304" s="7" t="str">
        <f t="shared" si="19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IFERROR(VLOOKUP(B304,input_401010!L:R,7,FALSE),VLOOKUP(tables_401010!C304,input_401010!A:H,8,FALSE))</f>
        <v>11000</v>
      </c>
      <c r="P304" s="46">
        <f t="shared" ca="1" si="20"/>
        <v>1.0416666666666667E-3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input_401010!A$2</f>
        <v>401010</v>
      </c>
      <c r="B305" s="5">
        <v>1067</v>
      </c>
      <c r="C305" s="7" t="str">
        <f t="shared" ref="C305:C309" si="21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IFERROR(VLOOKUP(B305,input_401010!L:R,7,FALSE),VLOOKUP(tables_401010!C305,input_401010!A:H,8,FALSE))</f>
        <v>108300</v>
      </c>
      <c r="P305" s="46">
        <f t="shared" ref="P305:P309" ca="1" si="22">O305/SUM(O:O)</f>
        <v>1.0255681818181818E-2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input_401010!A$2</f>
        <v>401010</v>
      </c>
      <c r="B306" s="5">
        <v>1068</v>
      </c>
      <c r="C306" s="7" t="str">
        <f t="shared" si="21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IFERROR(VLOOKUP(B306,input_401010!L:R,7,FALSE),VLOOKUP(tables_401010!C306,input_401010!A:H,8,FALSE))</f>
        <v>5700</v>
      </c>
      <c r="P306" s="46">
        <f t="shared" ca="1" si="22"/>
        <v>5.3977272727272728E-4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input_401010!A$2</f>
        <v>401010</v>
      </c>
      <c r="B307" s="5">
        <v>1069</v>
      </c>
      <c r="C307" s="7" t="str">
        <f t="shared" si="21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IFERROR(VLOOKUP(B307,input_401010!L:R,7,FALSE),VLOOKUP(tables_401010!C307,input_401010!A:H,8,FALSE))</f>
        <v>11000</v>
      </c>
      <c r="P307" s="46">
        <f t="shared" ca="1" si="22"/>
        <v>1.0416666666666667E-3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input_401010!A$2</f>
        <v>401010</v>
      </c>
      <c r="B308" s="5">
        <v>1072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IFERROR(VLOOKUP(B308,input_401010!L:R,7,FALSE),VLOOKUP(tables_401010!C308,input_401010!A:H,8,FALSE))</f>
        <v>11000</v>
      </c>
      <c r="P308" s="46">
        <f t="shared" ca="1" si="22"/>
        <v>1.0416666666666667E-3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input_401010!A$2</f>
        <v>401010</v>
      </c>
      <c r="B309" s="5">
        <v>1074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IFERROR(VLOOKUP(B309,input_401010!L:R,7,FALSE),VLOOKUP(tables_401010!C309,input_401010!A:H,8,FALSE))</f>
        <v>11000</v>
      </c>
      <c r="P309" s="46">
        <f t="shared" ca="1" si="22"/>
        <v>1.0416666666666667E-3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input_401010</vt:lpstr>
      <vt:lpstr>tables_401010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2016-09-01T02:31:24Z</dcterms:modified>
</cp:coreProperties>
</file>