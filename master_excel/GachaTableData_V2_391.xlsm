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940" tabRatio="943" activeTab="4"/>
  </bookViews>
  <sheets>
    <sheet name="確率の考え方" sheetId="110" r:id="rId1"/>
    <sheet name="Sheet1" sheetId="107" r:id="rId2"/>
    <sheet name="output" sheetId="103" r:id="rId3"/>
    <sheet name="input_391010" sheetId="157" r:id="rId4"/>
    <sheet name="input_391011" sheetId="160" r:id="rId5"/>
    <sheet name="tables_391010" sheetId="158" r:id="rId6"/>
    <sheet name="tables_391011" sheetId="161" r:id="rId7"/>
    <sheet name="input_391100" sheetId="153" r:id="rId8"/>
    <sheet name="tables_391100" sheetId="154" r:id="rId9"/>
    <sheet name="tables_settle_390100" sheetId="159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5" hidden="1">tables_391010!$A$1:$V$294</definedName>
    <definedName name="_xlnm._FilterDatabase" localSheetId="6" hidden="1">tables_391011!$A$1:$V$294</definedName>
    <definedName name="_xlnm._FilterDatabase" localSheetId="8" hidden="1">tables_391100!$A$1:$V$294</definedName>
    <definedName name="_xlnm._FilterDatabase" localSheetId="9" hidden="1">tables_settle_390100!$A$1:$V$1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1" i="160" l="1"/>
  <c r="B20" i="160"/>
  <c r="A2" i="160"/>
  <c r="O3" i="161"/>
  <c r="O5" i="161"/>
  <c r="O7" i="161"/>
  <c r="O9" i="161"/>
  <c r="O2" i="161"/>
  <c r="O4" i="161"/>
  <c r="O6" i="161"/>
  <c r="O8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O42" i="161"/>
  <c r="O43" i="161"/>
  <c r="O44" i="161"/>
  <c r="O45" i="161"/>
  <c r="O46" i="161"/>
  <c r="O47" i="161"/>
  <c r="O48" i="161"/>
  <c r="O49" i="161"/>
  <c r="O50" i="161"/>
  <c r="O51" i="161"/>
  <c r="G20" i="160"/>
  <c r="H20" i="160"/>
  <c r="O52" i="161"/>
  <c r="G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O138" i="161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F41" i="160"/>
  <c r="G41" i="160"/>
  <c r="I304" i="161"/>
  <c r="D304" i="161"/>
  <c r="J304" i="161"/>
  <c r="E304" i="161"/>
  <c r="C304" i="161"/>
  <c r="I2" i="161"/>
  <c r="D2" i="161"/>
  <c r="J2" i="161"/>
  <c r="E2" i="161"/>
  <c r="C2" i="161"/>
  <c r="I3" i="161"/>
  <c r="D3" i="161"/>
  <c r="J3" i="161"/>
  <c r="E3" i="161"/>
  <c r="C3" i="161"/>
  <c r="I4" i="161"/>
  <c r="D4" i="161"/>
  <c r="J4" i="161"/>
  <c r="E4" i="161"/>
  <c r="C4" i="161"/>
  <c r="I5" i="161"/>
  <c r="D5" i="161"/>
  <c r="J5" i="161"/>
  <c r="E5" i="161"/>
  <c r="C5" i="161"/>
  <c r="I6" i="161"/>
  <c r="D6" i="161"/>
  <c r="J6" i="161"/>
  <c r="E6" i="161"/>
  <c r="C6" i="161"/>
  <c r="I7" i="161"/>
  <c r="D7" i="161"/>
  <c r="J7" i="161"/>
  <c r="E7" i="161"/>
  <c r="C7" i="161"/>
  <c r="I8" i="161"/>
  <c r="D8" i="161"/>
  <c r="J8" i="161"/>
  <c r="E8" i="161"/>
  <c r="C8" i="161"/>
  <c r="I9" i="161"/>
  <c r="D9" i="161"/>
  <c r="J9" i="161"/>
  <c r="E9" i="161"/>
  <c r="C9" i="161"/>
  <c r="I10" i="161"/>
  <c r="D10" i="161"/>
  <c r="J10" i="161"/>
  <c r="E10" i="161"/>
  <c r="C10" i="161"/>
  <c r="I11" i="161"/>
  <c r="D11" i="161"/>
  <c r="J11" i="161"/>
  <c r="E11" i="161"/>
  <c r="C11" i="161"/>
  <c r="I12" i="161"/>
  <c r="D12" i="161"/>
  <c r="J12" i="161"/>
  <c r="E12" i="161"/>
  <c r="C12" i="161"/>
  <c r="I13" i="161"/>
  <c r="D13" i="161"/>
  <c r="J13" i="161"/>
  <c r="E13" i="161"/>
  <c r="C13" i="161"/>
  <c r="I14" i="161"/>
  <c r="D14" i="161"/>
  <c r="J14" i="161"/>
  <c r="E14" i="161"/>
  <c r="C14" i="161"/>
  <c r="I15" i="161"/>
  <c r="D15" i="161"/>
  <c r="J15" i="161"/>
  <c r="E15" i="161"/>
  <c r="C15" i="161"/>
  <c r="I16" i="161"/>
  <c r="D16" i="161"/>
  <c r="J16" i="161"/>
  <c r="E16" i="161"/>
  <c r="C16" i="161"/>
  <c r="I17" i="161"/>
  <c r="D17" i="161"/>
  <c r="J17" i="161"/>
  <c r="E17" i="161"/>
  <c r="C17" i="161"/>
  <c r="I18" i="161"/>
  <c r="D18" i="161"/>
  <c r="J18" i="161"/>
  <c r="E18" i="161"/>
  <c r="C18" i="161"/>
  <c r="I19" i="161"/>
  <c r="D19" i="161"/>
  <c r="J19" i="161"/>
  <c r="E19" i="161"/>
  <c r="C19" i="161"/>
  <c r="I20" i="161"/>
  <c r="D20" i="161"/>
  <c r="J20" i="161"/>
  <c r="E20" i="161"/>
  <c r="C20" i="161"/>
  <c r="I21" i="161"/>
  <c r="D21" i="161"/>
  <c r="J21" i="161"/>
  <c r="E21" i="161"/>
  <c r="C21" i="161"/>
  <c r="I22" i="161"/>
  <c r="D22" i="161"/>
  <c r="J22" i="161"/>
  <c r="E22" i="161"/>
  <c r="C22" i="161"/>
  <c r="I23" i="161"/>
  <c r="D23" i="161"/>
  <c r="J23" i="161"/>
  <c r="E23" i="161"/>
  <c r="C23" i="161"/>
  <c r="I24" i="161"/>
  <c r="D24" i="161"/>
  <c r="J24" i="161"/>
  <c r="E24" i="161"/>
  <c r="C24" i="161"/>
  <c r="I25" i="161"/>
  <c r="D25" i="161"/>
  <c r="J25" i="161"/>
  <c r="E25" i="161"/>
  <c r="C25" i="161"/>
  <c r="I26" i="161"/>
  <c r="D26" i="161"/>
  <c r="J26" i="161"/>
  <c r="E26" i="161"/>
  <c r="C26" i="161"/>
  <c r="I27" i="161"/>
  <c r="D27" i="161"/>
  <c r="J27" i="161"/>
  <c r="E27" i="161"/>
  <c r="C27" i="161"/>
  <c r="I28" i="161"/>
  <c r="D28" i="161"/>
  <c r="J28" i="161"/>
  <c r="E28" i="161"/>
  <c r="C28" i="161"/>
  <c r="I29" i="161"/>
  <c r="D29" i="161"/>
  <c r="J29" i="161"/>
  <c r="E29" i="161"/>
  <c r="C29" i="161"/>
  <c r="I30" i="161"/>
  <c r="D30" i="161"/>
  <c r="J30" i="161"/>
  <c r="E30" i="161"/>
  <c r="C30" i="161"/>
  <c r="I31" i="161"/>
  <c r="D31" i="161"/>
  <c r="J31" i="161"/>
  <c r="E31" i="161"/>
  <c r="C31" i="161"/>
  <c r="I32" i="161"/>
  <c r="D32" i="161"/>
  <c r="J32" i="161"/>
  <c r="E32" i="161"/>
  <c r="C32" i="161"/>
  <c r="I33" i="161"/>
  <c r="D33" i="161"/>
  <c r="J33" i="161"/>
  <c r="E33" i="161"/>
  <c r="C33" i="161"/>
  <c r="I34" i="161"/>
  <c r="D34" i="161"/>
  <c r="J34" i="161"/>
  <c r="E34" i="161"/>
  <c r="C34" i="161"/>
  <c r="I35" i="161"/>
  <c r="D35" i="161"/>
  <c r="J35" i="161"/>
  <c r="E35" i="161"/>
  <c r="C35" i="161"/>
  <c r="I36" i="161"/>
  <c r="D36" i="161"/>
  <c r="J36" i="161"/>
  <c r="E36" i="161"/>
  <c r="C36" i="161"/>
  <c r="I37" i="161"/>
  <c r="D37" i="161"/>
  <c r="J37" i="161"/>
  <c r="E37" i="161"/>
  <c r="C37" i="161"/>
  <c r="I38" i="161"/>
  <c r="D38" i="161"/>
  <c r="J38" i="161"/>
  <c r="E38" i="161"/>
  <c r="C38" i="161"/>
  <c r="I39" i="161"/>
  <c r="D39" i="161"/>
  <c r="J39" i="161"/>
  <c r="E39" i="161"/>
  <c r="C39" i="161"/>
  <c r="I40" i="161"/>
  <c r="D40" i="161"/>
  <c r="J40" i="161"/>
  <c r="E40" i="161"/>
  <c r="C40" i="161"/>
  <c r="I41" i="161"/>
  <c r="D41" i="161"/>
  <c r="J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D215" i="161"/>
  <c r="J215" i="161"/>
  <c r="E215" i="161"/>
  <c r="C215" i="161"/>
  <c r="I216" i="161"/>
  <c r="D216" i="161"/>
  <c r="J216" i="161"/>
  <c r="E216" i="161"/>
  <c r="C216" i="161"/>
  <c r="I217" i="161"/>
  <c r="D217" i="161"/>
  <c r="J217" i="161"/>
  <c r="E217" i="161"/>
  <c r="C217" i="161"/>
  <c r="I218" i="161"/>
  <c r="D218" i="161"/>
  <c r="J218" i="161"/>
  <c r="E218" i="161"/>
  <c r="C218" i="161"/>
  <c r="I219" i="161"/>
  <c r="D219" i="161"/>
  <c r="J219" i="161"/>
  <c r="E219" i="161"/>
  <c r="C219" i="161"/>
  <c r="I220" i="161"/>
  <c r="D220" i="161"/>
  <c r="J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A304" i="161"/>
  <c r="A303" i="161"/>
  <c r="A302" i="161"/>
  <c r="E23" i="160"/>
  <c r="E6" i="160"/>
  <c r="B23" i="160"/>
  <c r="G23" i="160"/>
  <c r="H23" i="160"/>
  <c r="A301" i="161"/>
  <c r="E22" i="160"/>
  <c r="B22" i="160"/>
  <c r="G22" i="160"/>
  <c r="H22" i="160"/>
  <c r="A300" i="161"/>
  <c r="A299" i="161"/>
  <c r="A298" i="161"/>
  <c r="A297" i="161"/>
  <c r="A296" i="161"/>
  <c r="A295" i="161"/>
  <c r="A294" i="161"/>
  <c r="A293" i="161"/>
  <c r="A292" i="161"/>
  <c r="A291" i="161"/>
  <c r="A290" i="161"/>
  <c r="A289" i="161"/>
  <c r="A288" i="161"/>
  <c r="A287" i="161"/>
  <c r="A286" i="161"/>
  <c r="A285" i="161"/>
  <c r="A284" i="161"/>
  <c r="A283" i="161"/>
  <c r="A282" i="161"/>
  <c r="A281" i="161"/>
  <c r="A280" i="161"/>
  <c r="A279" i="161"/>
  <c r="A278" i="161"/>
  <c r="A277" i="161"/>
  <c r="A276" i="161"/>
  <c r="A275" i="161"/>
  <c r="A274" i="161"/>
  <c r="A273" i="161"/>
  <c r="A272" i="161"/>
  <c r="E21" i="160"/>
  <c r="A271" i="161"/>
  <c r="E20" i="160"/>
  <c r="A270" i="161"/>
  <c r="E19" i="160"/>
  <c r="B19" i="160"/>
  <c r="G19" i="160"/>
  <c r="H19" i="160"/>
  <c r="A269" i="161"/>
  <c r="A268" i="161"/>
  <c r="A267" i="161"/>
  <c r="A266" i="161"/>
  <c r="E28" i="160"/>
  <c r="B28" i="160"/>
  <c r="G28" i="160"/>
  <c r="H28" i="160"/>
  <c r="A265" i="161"/>
  <c r="E27" i="160"/>
  <c r="B27" i="160"/>
  <c r="G27" i="160"/>
  <c r="H27" i="160"/>
  <c r="A264" i="161"/>
  <c r="A263" i="161"/>
  <c r="A262" i="161"/>
  <c r="A261" i="161"/>
  <c r="A260" i="161"/>
  <c r="A259" i="161"/>
  <c r="A258" i="161"/>
  <c r="A257" i="161"/>
  <c r="A256" i="161"/>
  <c r="A255" i="161"/>
  <c r="A254" i="161"/>
  <c r="A253" i="161"/>
  <c r="A252" i="161"/>
  <c r="A251" i="161"/>
  <c r="A250" i="161"/>
  <c r="A249" i="161"/>
  <c r="A248" i="161"/>
  <c r="A247" i="161"/>
  <c r="A246" i="161"/>
  <c r="A245" i="161"/>
  <c r="A244" i="161"/>
  <c r="A243" i="161"/>
  <c r="A242" i="161"/>
  <c r="A241" i="161"/>
  <c r="A240" i="161"/>
  <c r="A239" i="161"/>
  <c r="A238" i="161"/>
  <c r="A237" i="161"/>
  <c r="A236" i="161"/>
  <c r="A235" i="161"/>
  <c r="A234" i="161"/>
  <c r="A233" i="161"/>
  <c r="A232" i="161"/>
  <c r="A231" i="161"/>
  <c r="A230" i="161"/>
  <c r="A229" i="161"/>
  <c r="A228" i="161"/>
  <c r="A227" i="161"/>
  <c r="A226" i="161"/>
  <c r="A225" i="161"/>
  <c r="A224" i="161"/>
  <c r="A223" i="161"/>
  <c r="A222" i="161"/>
  <c r="A221" i="161"/>
  <c r="A220" i="161"/>
  <c r="A219" i="161"/>
  <c r="A218" i="161"/>
  <c r="A217" i="161"/>
  <c r="A216" i="161"/>
  <c r="A215" i="161"/>
  <c r="A214" i="161"/>
  <c r="A213" i="161"/>
  <c r="A212" i="161"/>
  <c r="A211" i="161"/>
  <c r="A210" i="161"/>
  <c r="A209" i="161"/>
  <c r="A208" i="161"/>
  <c r="A207" i="161"/>
  <c r="A206" i="161"/>
  <c r="A205" i="161"/>
  <c r="A204" i="161"/>
  <c r="A203" i="161"/>
  <c r="A202" i="161"/>
  <c r="A201" i="161"/>
  <c r="A200" i="161"/>
  <c r="A199" i="161"/>
  <c r="A198" i="161"/>
  <c r="A197" i="161"/>
  <c r="A196" i="161"/>
  <c r="A195" i="161"/>
  <c r="A194" i="161"/>
  <c r="A193" i="161"/>
  <c r="A192" i="161"/>
  <c r="A191" i="161"/>
  <c r="A190" i="161"/>
  <c r="A189" i="161"/>
  <c r="A188" i="161"/>
  <c r="A187" i="161"/>
  <c r="A186" i="161"/>
  <c r="A185" i="161"/>
  <c r="A184" i="161"/>
  <c r="A183" i="161"/>
  <c r="A182" i="161"/>
  <c r="A181" i="161"/>
  <c r="A180" i="161"/>
  <c r="A179" i="161"/>
  <c r="A178" i="161"/>
  <c r="A177" i="161"/>
  <c r="A176" i="161"/>
  <c r="A175" i="161"/>
  <c r="A174" i="161"/>
  <c r="A173" i="161"/>
  <c r="A172" i="161"/>
  <c r="A171" i="161"/>
  <c r="A170" i="161"/>
  <c r="A169" i="161"/>
  <c r="A168" i="161"/>
  <c r="A167" i="161"/>
  <c r="A166" i="161"/>
  <c r="A165" i="161"/>
  <c r="A164" i="161"/>
  <c r="A163" i="161"/>
  <c r="A162" i="161"/>
  <c r="A161" i="161"/>
  <c r="A160" i="161"/>
  <c r="A159" i="161"/>
  <c r="A158" i="161"/>
  <c r="A157" i="161"/>
  <c r="A156" i="161"/>
  <c r="A155" i="161"/>
  <c r="A154" i="161"/>
  <c r="A153" i="161"/>
  <c r="A152" i="161"/>
  <c r="A151" i="161"/>
  <c r="A150" i="161"/>
  <c r="A149" i="161"/>
  <c r="A148" i="161"/>
  <c r="A147" i="161"/>
  <c r="A146" i="161"/>
  <c r="A145" i="161"/>
  <c r="A144" i="161"/>
  <c r="A143" i="161"/>
  <c r="A142" i="161"/>
  <c r="A141" i="161"/>
  <c r="A140" i="161"/>
  <c r="A139" i="161"/>
  <c r="A138" i="161"/>
  <c r="A137" i="161"/>
  <c r="A136" i="161"/>
  <c r="A135" i="161"/>
  <c r="A134" i="161"/>
  <c r="A133" i="161"/>
  <c r="A132" i="161"/>
  <c r="A131" i="161"/>
  <c r="A130" i="161"/>
  <c r="A129" i="161"/>
  <c r="A128" i="161"/>
  <c r="A127" i="161"/>
  <c r="A126" i="161"/>
  <c r="A125" i="161"/>
  <c r="A124" i="161"/>
  <c r="A123" i="161"/>
  <c r="A122" i="161"/>
  <c r="A121" i="161"/>
  <c r="A120" i="161"/>
  <c r="A119" i="161"/>
  <c r="A118" i="161"/>
  <c r="A117" i="161"/>
  <c r="A116" i="161"/>
  <c r="A115" i="161"/>
  <c r="A114" i="161"/>
  <c r="E26" i="160"/>
  <c r="B26" i="160"/>
  <c r="G26" i="160"/>
  <c r="H26" i="160"/>
  <c r="A113" i="161"/>
  <c r="E25" i="160"/>
  <c r="B25" i="160"/>
  <c r="G25" i="160"/>
  <c r="H25" i="160"/>
  <c r="A112" i="161"/>
  <c r="E24" i="160"/>
  <c r="B24" i="160"/>
  <c r="G24" i="160"/>
  <c r="H24" i="160"/>
  <c r="A111" i="161"/>
  <c r="A110" i="161"/>
  <c r="A109" i="161"/>
  <c r="A108" i="161"/>
  <c r="A107" i="161"/>
  <c r="A106" i="161"/>
  <c r="A105" i="161"/>
  <c r="A104" i="161"/>
  <c r="A103" i="161"/>
  <c r="A102" i="161"/>
  <c r="A101" i="161"/>
  <c r="A100" i="161"/>
  <c r="A99" i="161"/>
  <c r="A98" i="161"/>
  <c r="A97" i="161"/>
  <c r="A96" i="161"/>
  <c r="A95" i="161"/>
  <c r="A94" i="161"/>
  <c r="A93" i="161"/>
  <c r="A92" i="161"/>
  <c r="A91" i="161"/>
  <c r="A90" i="161"/>
  <c r="A89" i="161"/>
  <c r="A88" i="161"/>
  <c r="A87" i="161"/>
  <c r="A86" i="161"/>
  <c r="A85" i="161"/>
  <c r="A84" i="161"/>
  <c r="A83" i="161"/>
  <c r="A82" i="161"/>
  <c r="A81" i="161"/>
  <c r="A80" i="161"/>
  <c r="A79" i="161"/>
  <c r="A78" i="161"/>
  <c r="A77" i="161"/>
  <c r="A76" i="161"/>
  <c r="A75" i="161"/>
  <c r="A74" i="161"/>
  <c r="A73" i="161"/>
  <c r="A72" i="161"/>
  <c r="A71" i="161"/>
  <c r="A70" i="161"/>
  <c r="A69" i="161"/>
  <c r="A68" i="161"/>
  <c r="A67" i="161"/>
  <c r="A66" i="161"/>
  <c r="A65" i="161"/>
  <c r="A64" i="161"/>
  <c r="A63" i="161"/>
  <c r="A62" i="161"/>
  <c r="A61" i="161"/>
  <c r="A60" i="161"/>
  <c r="A59" i="161"/>
  <c r="A58" i="161"/>
  <c r="A57" i="161"/>
  <c r="A56" i="161"/>
  <c r="A55" i="161"/>
  <c r="A54" i="161"/>
  <c r="A53" i="161"/>
  <c r="A52" i="161"/>
  <c r="A51" i="161"/>
  <c r="A50" i="161"/>
  <c r="A49" i="161"/>
  <c r="A48" i="161"/>
  <c r="A47" i="161"/>
  <c r="A46" i="161"/>
  <c r="A45" i="161"/>
  <c r="A44" i="161"/>
  <c r="A43" i="161"/>
  <c r="A42" i="161"/>
  <c r="E18" i="160"/>
  <c r="B17" i="160"/>
  <c r="B18" i="160"/>
  <c r="G18" i="160"/>
  <c r="H18" i="160"/>
  <c r="A41" i="161"/>
  <c r="G17" i="160"/>
  <c r="E17" i="160"/>
  <c r="H17" i="160"/>
  <c r="A40" i="161"/>
  <c r="A39" i="161"/>
  <c r="A38" i="161"/>
  <c r="A37" i="161"/>
  <c r="A36" i="161"/>
  <c r="A35" i="161"/>
  <c r="A34" i="161"/>
  <c r="A33" i="161"/>
  <c r="A32" i="161"/>
  <c r="A31" i="161"/>
  <c r="A30" i="161"/>
  <c r="A29" i="161"/>
  <c r="A28" i="161"/>
  <c r="A27" i="161"/>
  <c r="A26" i="161"/>
  <c r="A25" i="161"/>
  <c r="A24" i="161"/>
  <c r="A23" i="161"/>
  <c r="A22" i="161"/>
  <c r="A21" i="161"/>
  <c r="A20" i="161"/>
  <c r="A19" i="161"/>
  <c r="A18" i="161"/>
  <c r="A17" i="161"/>
  <c r="A16" i="161"/>
  <c r="A15" i="161"/>
  <c r="A14" i="161"/>
  <c r="A13" i="161"/>
  <c r="A12" i="161"/>
  <c r="A11" i="161"/>
  <c r="A10" i="161"/>
  <c r="A9" i="161"/>
  <c r="A8" i="161"/>
  <c r="A7" i="161"/>
  <c r="A6" i="161"/>
  <c r="A5" i="161"/>
  <c r="A4" i="161"/>
  <c r="A3" i="161"/>
  <c r="A2" i="161"/>
  <c r="E4" i="103"/>
  <c r="C4" i="103"/>
  <c r="B30" i="153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27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B30" i="160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3" i="157"/>
  <c r="B23" i="157"/>
  <c r="E26" i="157"/>
  <c r="B26" i="157"/>
  <c r="F5" i="157"/>
  <c r="E5" i="157"/>
  <c r="E28" i="157"/>
  <c r="B28" i="157"/>
  <c r="E29" i="157"/>
  <c r="B29" i="157"/>
  <c r="B21" i="157"/>
  <c r="B30" i="157"/>
  <c r="E27" i="157"/>
  <c r="B27" i="157"/>
  <c r="E25" i="157"/>
  <c r="B25" i="157"/>
  <c r="E24" i="157"/>
  <c r="B24" i="157"/>
  <c r="E22" i="157"/>
  <c r="B22" i="157"/>
  <c r="E19" i="157"/>
  <c r="B19" i="157"/>
  <c r="B17" i="157"/>
  <c r="E18" i="157"/>
  <c r="B18" i="157"/>
  <c r="A2" i="157"/>
  <c r="A36" i="157"/>
  <c r="G27" i="157"/>
  <c r="H27" i="157"/>
  <c r="G17" i="157"/>
  <c r="E17" i="157"/>
  <c r="H17" i="157"/>
  <c r="G18" i="157"/>
  <c r="H18" i="157"/>
  <c r="G24" i="157"/>
  <c r="H24" i="157"/>
  <c r="G25" i="157"/>
  <c r="H25" i="157"/>
  <c r="G26" i="157"/>
  <c r="H26" i="157"/>
  <c r="G19" i="157"/>
  <c r="H19" i="157"/>
  <c r="G20" i="157"/>
  <c r="H20" i="157"/>
  <c r="G21" i="157"/>
  <c r="E21" i="157"/>
  <c r="H21" i="157"/>
  <c r="G28" i="157"/>
  <c r="H28" i="157"/>
  <c r="G22" i="157"/>
  <c r="H22" i="157"/>
  <c r="G23" i="157"/>
  <c r="H23" i="157"/>
  <c r="G29" i="157"/>
  <c r="H29" i="157"/>
  <c r="P138" i="161"/>
  <c r="P139" i="161"/>
  <c r="P140" i="161"/>
  <c r="P141" i="161"/>
  <c r="P2" i="161"/>
  <c r="P3" i="161"/>
  <c r="P4" i="161"/>
  <c r="P5" i="161"/>
  <c r="P6" i="161"/>
  <c r="P7" i="161"/>
  <c r="P8" i="161"/>
  <c r="P9" i="161"/>
  <c r="P10" i="161"/>
  <c r="P11" i="161"/>
  <c r="P12" i="161"/>
  <c r="P13" i="161"/>
  <c r="P14" i="161"/>
  <c r="P15" i="161"/>
  <c r="P16" i="161"/>
  <c r="P17" i="161"/>
  <c r="P18" i="161"/>
  <c r="P19" i="161"/>
  <c r="P20" i="161"/>
  <c r="P21" i="161"/>
  <c r="P22" i="161"/>
  <c r="P23" i="161"/>
  <c r="P24" i="161"/>
  <c r="P25" i="161"/>
  <c r="P26" i="161"/>
  <c r="P27" i="161"/>
  <c r="P28" i="161"/>
  <c r="P29" i="161"/>
  <c r="P30" i="161"/>
  <c r="P31" i="161"/>
  <c r="P32" i="161"/>
  <c r="P33" i="161"/>
  <c r="P34" i="161"/>
  <c r="P35" i="161"/>
  <c r="P36" i="161"/>
  <c r="P37" i="161"/>
  <c r="P38" i="161"/>
  <c r="P39" i="161"/>
  <c r="P40" i="161"/>
  <c r="P41" i="161"/>
  <c r="P42" i="161"/>
  <c r="P43" i="161"/>
  <c r="P44" i="161"/>
  <c r="P45" i="161"/>
  <c r="P46" i="161"/>
  <c r="P47" i="161"/>
  <c r="P48" i="161"/>
  <c r="P49" i="161"/>
  <c r="P50" i="161"/>
  <c r="P51" i="161"/>
  <c r="P52" i="161"/>
  <c r="P53" i="161"/>
  <c r="P54" i="161"/>
  <c r="P55" i="161"/>
  <c r="P56" i="161"/>
  <c r="P57" i="161"/>
  <c r="P58" i="161"/>
  <c r="P59" i="161"/>
  <c r="P60" i="161"/>
  <c r="P61" i="161"/>
  <c r="P62" i="161"/>
  <c r="P63" i="161"/>
  <c r="P64" i="161"/>
  <c r="P65" i="161"/>
  <c r="P66" i="161"/>
  <c r="P67" i="161"/>
  <c r="P68" i="161"/>
  <c r="P69" i="161"/>
  <c r="P70" i="161"/>
  <c r="P71" i="161"/>
  <c r="P72" i="161"/>
  <c r="P73" i="161"/>
  <c r="P74" i="161"/>
  <c r="P75" i="161"/>
  <c r="P76" i="161"/>
  <c r="P77" i="161"/>
  <c r="P78" i="161"/>
  <c r="P79" i="161"/>
  <c r="P80" i="161"/>
  <c r="P81" i="161"/>
  <c r="P82" i="161"/>
  <c r="P83" i="161"/>
  <c r="P84" i="161"/>
  <c r="P85" i="161"/>
  <c r="P86" i="161"/>
  <c r="P87" i="161"/>
  <c r="P88" i="161"/>
  <c r="P89" i="161"/>
  <c r="P90" i="161"/>
  <c r="P91" i="161"/>
  <c r="P92" i="161"/>
  <c r="P93" i="161"/>
  <c r="P94" i="161"/>
  <c r="P95" i="161"/>
  <c r="P96" i="161"/>
  <c r="P97" i="161"/>
  <c r="P98" i="161"/>
  <c r="P99" i="161"/>
  <c r="P100" i="161"/>
  <c r="P101" i="161"/>
  <c r="P102" i="161"/>
  <c r="P103" i="161"/>
  <c r="P104" i="161"/>
  <c r="P105" i="161"/>
  <c r="P106" i="161"/>
  <c r="P107" i="161"/>
  <c r="P108" i="161"/>
  <c r="P109" i="161"/>
  <c r="P110" i="161"/>
  <c r="P111" i="161"/>
  <c r="P112" i="161"/>
  <c r="P113" i="161"/>
  <c r="P114" i="161"/>
  <c r="P115" i="161"/>
  <c r="P116" i="161"/>
  <c r="P117" i="161"/>
  <c r="P118" i="161"/>
  <c r="P119" i="161"/>
  <c r="P120" i="161"/>
  <c r="P121" i="161"/>
  <c r="P122" i="161"/>
  <c r="P123" i="161"/>
  <c r="P124" i="161"/>
  <c r="P125" i="161"/>
  <c r="P126" i="161"/>
  <c r="P127" i="161"/>
  <c r="P128" i="161"/>
  <c r="P129" i="161"/>
  <c r="P130" i="161"/>
  <c r="P131" i="161"/>
  <c r="P132" i="161"/>
  <c r="P133" i="161"/>
  <c r="P134" i="161"/>
  <c r="P135" i="161"/>
  <c r="P136" i="161"/>
  <c r="P137" i="161"/>
  <c r="P142" i="161"/>
  <c r="P143" i="161"/>
  <c r="P144" i="161"/>
  <c r="P145" i="161"/>
  <c r="P146" i="161"/>
  <c r="P147" i="161"/>
  <c r="P148" i="161"/>
  <c r="P149" i="161"/>
  <c r="P150" i="161"/>
  <c r="P151" i="161"/>
  <c r="P152" i="161"/>
  <c r="P153" i="161"/>
  <c r="P154" i="161"/>
  <c r="P155" i="161"/>
  <c r="P156" i="161"/>
  <c r="P157" i="161"/>
  <c r="P158" i="161"/>
  <c r="P159" i="161"/>
  <c r="P160" i="161"/>
  <c r="P161" i="161"/>
  <c r="P162" i="161"/>
  <c r="P163" i="161"/>
  <c r="P164" i="161"/>
  <c r="P165" i="161"/>
  <c r="P166" i="161"/>
  <c r="P167" i="161"/>
  <c r="P168" i="161"/>
  <c r="P169" i="161"/>
  <c r="P170" i="161"/>
  <c r="P171" i="161"/>
  <c r="P172" i="161"/>
  <c r="P173" i="161"/>
  <c r="P174" i="161"/>
  <c r="P175" i="161"/>
  <c r="P176" i="161"/>
  <c r="P177" i="161"/>
  <c r="P178" i="161"/>
  <c r="P179" i="161"/>
  <c r="P180" i="161"/>
  <c r="P181" i="161"/>
  <c r="P182" i="161"/>
  <c r="P183" i="161"/>
  <c r="P184" i="161"/>
  <c r="P185" i="161"/>
  <c r="P186" i="161"/>
  <c r="P187" i="161"/>
  <c r="P188" i="161"/>
  <c r="P189" i="161"/>
  <c r="P190" i="161"/>
  <c r="P191" i="161"/>
  <c r="P192" i="161"/>
  <c r="P193" i="161"/>
  <c r="P194" i="161"/>
  <c r="P195" i="161"/>
  <c r="P196" i="161"/>
  <c r="P197" i="161"/>
  <c r="P198" i="161"/>
  <c r="P199" i="161"/>
  <c r="P200" i="161"/>
  <c r="P201" i="161"/>
  <c r="P202" i="161"/>
  <c r="P203" i="161"/>
  <c r="P204" i="161"/>
  <c r="P205" i="161"/>
  <c r="P206" i="161"/>
  <c r="P207" i="161"/>
  <c r="P208" i="161"/>
  <c r="P209" i="161"/>
  <c r="P210" i="161"/>
  <c r="P211" i="161"/>
  <c r="P212" i="161"/>
  <c r="P213" i="161"/>
  <c r="P214" i="161"/>
  <c r="P215" i="161"/>
  <c r="P216" i="161"/>
  <c r="P217" i="161"/>
  <c r="P218" i="161"/>
  <c r="P219" i="161"/>
  <c r="P220" i="161"/>
  <c r="P221" i="161"/>
  <c r="P222" i="161"/>
  <c r="P223" i="161"/>
  <c r="P224" i="161"/>
  <c r="P225" i="161"/>
  <c r="P226" i="161"/>
  <c r="P227" i="161"/>
  <c r="P228" i="161"/>
  <c r="P229" i="161"/>
  <c r="P230" i="161"/>
  <c r="P231" i="161"/>
  <c r="P232" i="161"/>
  <c r="P233" i="161"/>
  <c r="P234" i="161"/>
  <c r="P235" i="161"/>
  <c r="P236" i="161"/>
  <c r="P237" i="161"/>
  <c r="P238" i="161"/>
  <c r="P239" i="161"/>
  <c r="P240" i="161"/>
  <c r="P241" i="161"/>
  <c r="P242" i="161"/>
  <c r="P243" i="161"/>
  <c r="P244" i="161"/>
  <c r="P245" i="161"/>
  <c r="P246" i="161"/>
  <c r="P247" i="161"/>
  <c r="P248" i="161"/>
  <c r="P249" i="161"/>
  <c r="P250" i="161"/>
  <c r="P251" i="161"/>
  <c r="P252" i="161"/>
  <c r="P253" i="161"/>
  <c r="P254" i="161"/>
  <c r="P255" i="161"/>
  <c r="P256" i="161"/>
  <c r="P257" i="161"/>
  <c r="P258" i="161"/>
  <c r="P259" i="161"/>
  <c r="P260" i="161"/>
  <c r="P261" i="161"/>
  <c r="P262" i="161"/>
  <c r="P263" i="161"/>
  <c r="P264" i="161"/>
  <c r="P265" i="161"/>
  <c r="P266" i="161"/>
  <c r="P267" i="161"/>
  <c r="P268" i="161"/>
  <c r="P269" i="161"/>
  <c r="P270" i="161"/>
  <c r="P271" i="161"/>
  <c r="P272" i="161"/>
  <c r="P273" i="161"/>
  <c r="P274" i="161"/>
  <c r="P275" i="161"/>
  <c r="P276" i="161"/>
  <c r="P277" i="161"/>
  <c r="P278" i="161"/>
  <c r="P279" i="161"/>
  <c r="P280" i="161"/>
  <c r="P281" i="161"/>
  <c r="P282" i="161"/>
  <c r="P283" i="161"/>
  <c r="P284" i="161"/>
  <c r="P285" i="161"/>
  <c r="P286" i="161"/>
  <c r="P287" i="161"/>
  <c r="P288" i="161"/>
  <c r="P289" i="161"/>
  <c r="P290" i="161"/>
  <c r="P291" i="161"/>
  <c r="P292" i="161"/>
  <c r="P293" i="161"/>
  <c r="P294" i="161"/>
  <c r="P295" i="161"/>
  <c r="P296" i="161"/>
  <c r="P297" i="161"/>
  <c r="P298" i="161"/>
  <c r="P299" i="161"/>
  <c r="P300" i="161"/>
  <c r="P301" i="161"/>
  <c r="P302" i="161"/>
  <c r="P303" i="161"/>
  <c r="P304" i="161"/>
  <c r="F48" i="160"/>
  <c r="F47" i="160"/>
  <c r="F46" i="160"/>
  <c r="B46" i="160"/>
  <c r="F45" i="160"/>
  <c r="B45" i="160"/>
  <c r="B44" i="160"/>
  <c r="B43" i="160"/>
  <c r="F42" i="160"/>
  <c r="B42" i="160"/>
  <c r="B41" i="160"/>
  <c r="F40" i="160"/>
  <c r="B40" i="160"/>
  <c r="E31" i="160"/>
  <c r="E30" i="160"/>
  <c r="F304" i="161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N304" i="161"/>
  <c r="M304" i="161"/>
  <c r="L304" i="161"/>
  <c r="K304" i="161"/>
  <c r="H304" i="161"/>
  <c r="N303" i="161"/>
  <c r="M303" i="161"/>
  <c r="L303" i="161"/>
  <c r="K303" i="161"/>
  <c r="H303" i="161"/>
  <c r="N302" i="161"/>
  <c r="M302" i="161"/>
  <c r="L302" i="161"/>
  <c r="K302" i="161"/>
  <c r="H302" i="161"/>
  <c r="N301" i="161"/>
  <c r="M301" i="161"/>
  <c r="L301" i="161"/>
  <c r="K301" i="161"/>
  <c r="H301" i="161"/>
  <c r="N300" i="161"/>
  <c r="M300" i="161"/>
  <c r="L300" i="161"/>
  <c r="K300" i="161"/>
  <c r="H300" i="161"/>
  <c r="N299" i="161"/>
  <c r="M299" i="161"/>
  <c r="L299" i="161"/>
  <c r="K299" i="161"/>
  <c r="H299" i="161"/>
  <c r="N298" i="161"/>
  <c r="M298" i="161"/>
  <c r="L298" i="161"/>
  <c r="K298" i="161"/>
  <c r="H298" i="161"/>
  <c r="N297" i="161"/>
  <c r="M297" i="161"/>
  <c r="L297" i="161"/>
  <c r="K297" i="161"/>
  <c r="H297" i="161"/>
  <c r="N296" i="161"/>
  <c r="M296" i="161"/>
  <c r="L296" i="161"/>
  <c r="K296" i="161"/>
  <c r="H296" i="161"/>
  <c r="N295" i="161"/>
  <c r="M295" i="161"/>
  <c r="L295" i="161"/>
  <c r="K295" i="161"/>
  <c r="H295" i="161"/>
  <c r="N294" i="161"/>
  <c r="M294" i="161"/>
  <c r="L294" i="161"/>
  <c r="K294" i="161"/>
  <c r="H294" i="161"/>
  <c r="N293" i="161"/>
  <c r="M293" i="161"/>
  <c r="L293" i="161"/>
  <c r="K293" i="161"/>
  <c r="H293" i="161"/>
  <c r="N292" i="161"/>
  <c r="M292" i="161"/>
  <c r="L292" i="161"/>
  <c r="K292" i="161"/>
  <c r="H292" i="161"/>
  <c r="N291" i="161"/>
  <c r="M291" i="161"/>
  <c r="L291" i="161"/>
  <c r="K291" i="161"/>
  <c r="H291" i="161"/>
  <c r="N290" i="161"/>
  <c r="M290" i="161"/>
  <c r="L290" i="161"/>
  <c r="K290" i="161"/>
  <c r="H290" i="161"/>
  <c r="N289" i="161"/>
  <c r="M289" i="161"/>
  <c r="L289" i="161"/>
  <c r="K289" i="161"/>
  <c r="H289" i="161"/>
  <c r="N288" i="161"/>
  <c r="M288" i="161"/>
  <c r="L288" i="161"/>
  <c r="K288" i="161"/>
  <c r="H288" i="161"/>
  <c r="N287" i="161"/>
  <c r="M287" i="161"/>
  <c r="L287" i="161"/>
  <c r="K287" i="161"/>
  <c r="H287" i="161"/>
  <c r="N286" i="161"/>
  <c r="M286" i="161"/>
  <c r="L286" i="161"/>
  <c r="K286" i="161"/>
  <c r="H286" i="161"/>
  <c r="N285" i="161"/>
  <c r="M285" i="161"/>
  <c r="L285" i="161"/>
  <c r="K285" i="161"/>
  <c r="H285" i="161"/>
  <c r="N284" i="161"/>
  <c r="M284" i="161"/>
  <c r="L284" i="161"/>
  <c r="K284" i="161"/>
  <c r="H284" i="161"/>
  <c r="N283" i="161"/>
  <c r="M283" i="161"/>
  <c r="L283" i="161"/>
  <c r="K283" i="161"/>
  <c r="H283" i="161"/>
  <c r="N282" i="161"/>
  <c r="M282" i="161"/>
  <c r="L282" i="161"/>
  <c r="K282" i="161"/>
  <c r="H282" i="161"/>
  <c r="N281" i="161"/>
  <c r="M281" i="161"/>
  <c r="L281" i="161"/>
  <c r="K281" i="161"/>
  <c r="H281" i="161"/>
  <c r="N280" i="161"/>
  <c r="M280" i="161"/>
  <c r="L280" i="161"/>
  <c r="K280" i="161"/>
  <c r="H280" i="161"/>
  <c r="N279" i="161"/>
  <c r="M279" i="161"/>
  <c r="L279" i="161"/>
  <c r="K279" i="161"/>
  <c r="H279" i="161"/>
  <c r="N278" i="161"/>
  <c r="M278" i="161"/>
  <c r="L278" i="161"/>
  <c r="K278" i="161"/>
  <c r="H278" i="161"/>
  <c r="N277" i="161"/>
  <c r="M277" i="161"/>
  <c r="L277" i="161"/>
  <c r="K277" i="161"/>
  <c r="H277" i="161"/>
  <c r="N276" i="161"/>
  <c r="M276" i="161"/>
  <c r="L276" i="161"/>
  <c r="K276" i="161"/>
  <c r="H276" i="161"/>
  <c r="N275" i="161"/>
  <c r="M275" i="161"/>
  <c r="L275" i="161"/>
  <c r="K275" i="161"/>
  <c r="H275" i="161"/>
  <c r="N274" i="161"/>
  <c r="M274" i="161"/>
  <c r="L274" i="161"/>
  <c r="K274" i="161"/>
  <c r="H274" i="161"/>
  <c r="N273" i="161"/>
  <c r="M273" i="161"/>
  <c r="L273" i="161"/>
  <c r="K273" i="161"/>
  <c r="H273" i="161"/>
  <c r="N272" i="161"/>
  <c r="M272" i="161"/>
  <c r="L272" i="161"/>
  <c r="K272" i="161"/>
  <c r="H272" i="161"/>
  <c r="N271" i="161"/>
  <c r="M271" i="161"/>
  <c r="L271" i="161"/>
  <c r="K271" i="161"/>
  <c r="H271" i="161"/>
  <c r="N270" i="161"/>
  <c r="M270" i="161"/>
  <c r="L270" i="161"/>
  <c r="K270" i="161"/>
  <c r="H270" i="161"/>
  <c r="N269" i="161"/>
  <c r="M269" i="161"/>
  <c r="L269" i="161"/>
  <c r="K269" i="161"/>
  <c r="H269" i="161"/>
  <c r="N268" i="161"/>
  <c r="M268" i="161"/>
  <c r="L268" i="161"/>
  <c r="K268" i="161"/>
  <c r="H268" i="161"/>
  <c r="N267" i="161"/>
  <c r="M267" i="161"/>
  <c r="L267" i="161"/>
  <c r="K267" i="161"/>
  <c r="H267" i="161"/>
  <c r="N266" i="161"/>
  <c r="M266" i="161"/>
  <c r="L266" i="161"/>
  <c r="K266" i="161"/>
  <c r="H266" i="161"/>
  <c r="N265" i="161"/>
  <c r="M265" i="161"/>
  <c r="L265" i="161"/>
  <c r="K265" i="161"/>
  <c r="H265" i="161"/>
  <c r="N264" i="161"/>
  <c r="M264" i="161"/>
  <c r="L264" i="161"/>
  <c r="K264" i="161"/>
  <c r="H264" i="161"/>
  <c r="N263" i="161"/>
  <c r="M263" i="161"/>
  <c r="L263" i="161"/>
  <c r="K263" i="161"/>
  <c r="H263" i="161"/>
  <c r="N262" i="161"/>
  <c r="M262" i="161"/>
  <c r="L262" i="161"/>
  <c r="K262" i="161"/>
  <c r="H262" i="161"/>
  <c r="N261" i="161"/>
  <c r="M261" i="161"/>
  <c r="L261" i="161"/>
  <c r="K261" i="161"/>
  <c r="H261" i="161"/>
  <c r="N260" i="161"/>
  <c r="M260" i="161"/>
  <c r="L260" i="161"/>
  <c r="K260" i="161"/>
  <c r="H260" i="161"/>
  <c r="N259" i="161"/>
  <c r="M259" i="161"/>
  <c r="L259" i="161"/>
  <c r="K259" i="161"/>
  <c r="H259" i="161"/>
  <c r="N258" i="161"/>
  <c r="M258" i="161"/>
  <c r="L258" i="161"/>
  <c r="K258" i="161"/>
  <c r="H258" i="161"/>
  <c r="N257" i="161"/>
  <c r="M257" i="161"/>
  <c r="L257" i="161"/>
  <c r="K257" i="161"/>
  <c r="H257" i="161"/>
  <c r="N256" i="161"/>
  <c r="M256" i="161"/>
  <c r="L256" i="161"/>
  <c r="K256" i="161"/>
  <c r="H256" i="161"/>
  <c r="N255" i="161"/>
  <c r="M255" i="161"/>
  <c r="L255" i="161"/>
  <c r="K255" i="161"/>
  <c r="H255" i="161"/>
  <c r="N254" i="161"/>
  <c r="M254" i="161"/>
  <c r="L254" i="161"/>
  <c r="K254" i="161"/>
  <c r="H254" i="161"/>
  <c r="N253" i="161"/>
  <c r="M253" i="161"/>
  <c r="L253" i="161"/>
  <c r="K253" i="161"/>
  <c r="H253" i="161"/>
  <c r="N252" i="161"/>
  <c r="M252" i="161"/>
  <c r="L252" i="161"/>
  <c r="K252" i="161"/>
  <c r="H252" i="161"/>
  <c r="N251" i="161"/>
  <c r="M251" i="161"/>
  <c r="L251" i="161"/>
  <c r="K251" i="161"/>
  <c r="H251" i="161"/>
  <c r="N250" i="161"/>
  <c r="M250" i="161"/>
  <c r="L250" i="161"/>
  <c r="K250" i="161"/>
  <c r="H250" i="161"/>
  <c r="N249" i="161"/>
  <c r="M249" i="161"/>
  <c r="L249" i="161"/>
  <c r="K249" i="161"/>
  <c r="H249" i="161"/>
  <c r="N248" i="161"/>
  <c r="M248" i="161"/>
  <c r="L248" i="161"/>
  <c r="K248" i="161"/>
  <c r="H248" i="161"/>
  <c r="N247" i="161"/>
  <c r="M247" i="161"/>
  <c r="L247" i="161"/>
  <c r="K247" i="161"/>
  <c r="H247" i="161"/>
  <c r="N246" i="161"/>
  <c r="M246" i="161"/>
  <c r="L246" i="161"/>
  <c r="K246" i="161"/>
  <c r="H246" i="161"/>
  <c r="N245" i="161"/>
  <c r="M245" i="161"/>
  <c r="L245" i="161"/>
  <c r="K245" i="161"/>
  <c r="H245" i="161"/>
  <c r="N244" i="161"/>
  <c r="M244" i="161"/>
  <c r="L244" i="161"/>
  <c r="K244" i="161"/>
  <c r="H244" i="161"/>
  <c r="N243" i="161"/>
  <c r="M243" i="161"/>
  <c r="L243" i="161"/>
  <c r="K243" i="161"/>
  <c r="H243" i="161"/>
  <c r="N242" i="161"/>
  <c r="M242" i="161"/>
  <c r="L242" i="161"/>
  <c r="K242" i="161"/>
  <c r="H242" i="161"/>
  <c r="N241" i="161"/>
  <c r="M241" i="161"/>
  <c r="L241" i="161"/>
  <c r="K241" i="161"/>
  <c r="H241" i="161"/>
  <c r="N240" i="161"/>
  <c r="M240" i="161"/>
  <c r="L240" i="161"/>
  <c r="K240" i="161"/>
  <c r="H240" i="161"/>
  <c r="N239" i="161"/>
  <c r="M239" i="161"/>
  <c r="L239" i="161"/>
  <c r="K239" i="161"/>
  <c r="H239" i="161"/>
  <c r="N238" i="161"/>
  <c r="M238" i="161"/>
  <c r="L238" i="161"/>
  <c r="K238" i="161"/>
  <c r="H238" i="161"/>
  <c r="N237" i="161"/>
  <c r="M237" i="161"/>
  <c r="L237" i="161"/>
  <c r="K237" i="161"/>
  <c r="H237" i="161"/>
  <c r="N236" i="161"/>
  <c r="M236" i="161"/>
  <c r="L236" i="161"/>
  <c r="K236" i="161"/>
  <c r="H236" i="161"/>
  <c r="N235" i="161"/>
  <c r="M235" i="161"/>
  <c r="L235" i="161"/>
  <c r="K235" i="161"/>
  <c r="H235" i="161"/>
  <c r="N234" i="161"/>
  <c r="M234" i="161"/>
  <c r="L234" i="161"/>
  <c r="K234" i="161"/>
  <c r="H234" i="161"/>
  <c r="N233" i="161"/>
  <c r="M233" i="161"/>
  <c r="L233" i="161"/>
  <c r="K233" i="161"/>
  <c r="H233" i="161"/>
  <c r="N232" i="161"/>
  <c r="M232" i="161"/>
  <c r="L232" i="161"/>
  <c r="K232" i="161"/>
  <c r="H232" i="161"/>
  <c r="N231" i="161"/>
  <c r="M231" i="161"/>
  <c r="L231" i="161"/>
  <c r="K231" i="161"/>
  <c r="H231" i="161"/>
  <c r="N230" i="161"/>
  <c r="M230" i="161"/>
  <c r="L230" i="161"/>
  <c r="K230" i="161"/>
  <c r="H230" i="161"/>
  <c r="N229" i="161"/>
  <c r="M229" i="161"/>
  <c r="L229" i="161"/>
  <c r="K229" i="161"/>
  <c r="H229" i="161"/>
  <c r="N228" i="161"/>
  <c r="M228" i="161"/>
  <c r="L228" i="161"/>
  <c r="K228" i="161"/>
  <c r="H228" i="161"/>
  <c r="N227" i="161"/>
  <c r="M227" i="161"/>
  <c r="L227" i="161"/>
  <c r="K227" i="161"/>
  <c r="H227" i="161"/>
  <c r="N226" i="161"/>
  <c r="M226" i="161"/>
  <c r="L226" i="161"/>
  <c r="K226" i="161"/>
  <c r="H226" i="161"/>
  <c r="N225" i="161"/>
  <c r="M225" i="161"/>
  <c r="L225" i="161"/>
  <c r="K225" i="161"/>
  <c r="H225" i="161"/>
  <c r="N224" i="161"/>
  <c r="M224" i="161"/>
  <c r="L224" i="161"/>
  <c r="K224" i="161"/>
  <c r="H224" i="161"/>
  <c r="N223" i="161"/>
  <c r="M223" i="161"/>
  <c r="L223" i="161"/>
  <c r="K223" i="161"/>
  <c r="H223" i="161"/>
  <c r="N222" i="161"/>
  <c r="M222" i="161"/>
  <c r="L222" i="161"/>
  <c r="K222" i="161"/>
  <c r="H222" i="161"/>
  <c r="N221" i="161"/>
  <c r="M221" i="161"/>
  <c r="L221" i="161"/>
  <c r="K221" i="161"/>
  <c r="H221" i="161"/>
  <c r="N220" i="161"/>
  <c r="M220" i="161"/>
  <c r="L220" i="161"/>
  <c r="K220" i="161"/>
  <c r="H220" i="161"/>
  <c r="N219" i="161"/>
  <c r="M219" i="161"/>
  <c r="L219" i="161"/>
  <c r="K219" i="161"/>
  <c r="H219" i="161"/>
  <c r="N218" i="161"/>
  <c r="M218" i="161"/>
  <c r="L218" i="161"/>
  <c r="K218" i="161"/>
  <c r="H218" i="161"/>
  <c r="N217" i="161"/>
  <c r="M217" i="161"/>
  <c r="L217" i="161"/>
  <c r="K217" i="161"/>
  <c r="H217" i="161"/>
  <c r="N216" i="161"/>
  <c r="M216" i="161"/>
  <c r="L216" i="161"/>
  <c r="K216" i="161"/>
  <c r="H216" i="161"/>
  <c r="N215" i="161"/>
  <c r="M215" i="161"/>
  <c r="L215" i="161"/>
  <c r="K215" i="161"/>
  <c r="H215" i="161"/>
  <c r="N214" i="161"/>
  <c r="M214" i="161"/>
  <c r="L214" i="161"/>
  <c r="K214" i="161"/>
  <c r="H214" i="161"/>
  <c r="N213" i="161"/>
  <c r="M213" i="161"/>
  <c r="L213" i="161"/>
  <c r="K213" i="161"/>
  <c r="H213" i="161"/>
  <c r="N212" i="161"/>
  <c r="M212" i="161"/>
  <c r="L212" i="161"/>
  <c r="K212" i="161"/>
  <c r="H212" i="161"/>
  <c r="N211" i="161"/>
  <c r="M211" i="161"/>
  <c r="L211" i="161"/>
  <c r="K211" i="161"/>
  <c r="H211" i="161"/>
  <c r="N210" i="161"/>
  <c r="M210" i="161"/>
  <c r="L210" i="161"/>
  <c r="K210" i="161"/>
  <c r="H210" i="161"/>
  <c r="N209" i="161"/>
  <c r="M209" i="161"/>
  <c r="L209" i="161"/>
  <c r="K209" i="161"/>
  <c r="H209" i="161"/>
  <c r="N208" i="161"/>
  <c r="M208" i="161"/>
  <c r="L208" i="161"/>
  <c r="K208" i="161"/>
  <c r="H208" i="161"/>
  <c r="N207" i="161"/>
  <c r="M207" i="161"/>
  <c r="L207" i="161"/>
  <c r="K207" i="161"/>
  <c r="H207" i="161"/>
  <c r="N206" i="161"/>
  <c r="M206" i="161"/>
  <c r="L206" i="161"/>
  <c r="K206" i="161"/>
  <c r="H206" i="161"/>
  <c r="N205" i="161"/>
  <c r="M205" i="161"/>
  <c r="L205" i="161"/>
  <c r="K205" i="161"/>
  <c r="H205" i="161"/>
  <c r="N204" i="161"/>
  <c r="M204" i="161"/>
  <c r="L204" i="161"/>
  <c r="K204" i="161"/>
  <c r="H204" i="161"/>
  <c r="N203" i="161"/>
  <c r="M203" i="161"/>
  <c r="L203" i="161"/>
  <c r="K203" i="161"/>
  <c r="H203" i="161"/>
  <c r="N202" i="161"/>
  <c r="M202" i="161"/>
  <c r="L202" i="161"/>
  <c r="K202" i="161"/>
  <c r="H202" i="161"/>
  <c r="N201" i="161"/>
  <c r="M201" i="161"/>
  <c r="L201" i="161"/>
  <c r="K201" i="161"/>
  <c r="H201" i="161"/>
  <c r="N200" i="161"/>
  <c r="M200" i="161"/>
  <c r="L200" i="161"/>
  <c r="K200" i="161"/>
  <c r="H200" i="161"/>
  <c r="N199" i="161"/>
  <c r="M199" i="161"/>
  <c r="L199" i="161"/>
  <c r="K199" i="161"/>
  <c r="H199" i="161"/>
  <c r="N198" i="161"/>
  <c r="M198" i="161"/>
  <c r="L198" i="161"/>
  <c r="K198" i="161"/>
  <c r="H198" i="161"/>
  <c r="N197" i="161"/>
  <c r="M197" i="161"/>
  <c r="L197" i="161"/>
  <c r="K197" i="161"/>
  <c r="H197" i="161"/>
  <c r="N196" i="161"/>
  <c r="M196" i="161"/>
  <c r="L196" i="161"/>
  <c r="K196" i="161"/>
  <c r="H196" i="161"/>
  <c r="N195" i="161"/>
  <c r="M195" i="161"/>
  <c r="L195" i="161"/>
  <c r="K195" i="161"/>
  <c r="H195" i="161"/>
  <c r="N194" i="161"/>
  <c r="M194" i="161"/>
  <c r="L194" i="161"/>
  <c r="K194" i="161"/>
  <c r="H194" i="161"/>
  <c r="N193" i="161"/>
  <c r="M193" i="161"/>
  <c r="L193" i="161"/>
  <c r="K193" i="161"/>
  <c r="H193" i="161"/>
  <c r="N192" i="161"/>
  <c r="M192" i="161"/>
  <c r="L192" i="161"/>
  <c r="K192" i="161"/>
  <c r="H192" i="161"/>
  <c r="N191" i="161"/>
  <c r="M191" i="161"/>
  <c r="L191" i="161"/>
  <c r="K191" i="161"/>
  <c r="H191" i="161"/>
  <c r="N190" i="161"/>
  <c r="M190" i="161"/>
  <c r="L190" i="161"/>
  <c r="K190" i="161"/>
  <c r="H190" i="161"/>
  <c r="N189" i="161"/>
  <c r="M189" i="161"/>
  <c r="L189" i="161"/>
  <c r="K189" i="161"/>
  <c r="H189" i="161"/>
  <c r="N188" i="161"/>
  <c r="M188" i="161"/>
  <c r="L188" i="161"/>
  <c r="K188" i="161"/>
  <c r="H188" i="161"/>
  <c r="N187" i="161"/>
  <c r="M187" i="161"/>
  <c r="L187" i="161"/>
  <c r="K187" i="161"/>
  <c r="H187" i="161"/>
  <c r="N186" i="161"/>
  <c r="M186" i="161"/>
  <c r="L186" i="161"/>
  <c r="K186" i="161"/>
  <c r="H186" i="161"/>
  <c r="N185" i="161"/>
  <c r="M185" i="161"/>
  <c r="L185" i="161"/>
  <c r="K185" i="161"/>
  <c r="H185" i="161"/>
  <c r="N184" i="161"/>
  <c r="M184" i="161"/>
  <c r="L184" i="161"/>
  <c r="K184" i="161"/>
  <c r="H184" i="161"/>
  <c r="N183" i="161"/>
  <c r="M183" i="161"/>
  <c r="L183" i="161"/>
  <c r="K183" i="161"/>
  <c r="H183" i="161"/>
  <c r="N182" i="161"/>
  <c r="M182" i="161"/>
  <c r="L182" i="161"/>
  <c r="K182" i="161"/>
  <c r="H182" i="161"/>
  <c r="N181" i="161"/>
  <c r="M181" i="161"/>
  <c r="L181" i="161"/>
  <c r="K181" i="161"/>
  <c r="H181" i="161"/>
  <c r="N180" i="161"/>
  <c r="M180" i="161"/>
  <c r="L180" i="161"/>
  <c r="K180" i="161"/>
  <c r="H180" i="161"/>
  <c r="N179" i="161"/>
  <c r="M179" i="161"/>
  <c r="L179" i="161"/>
  <c r="K179" i="161"/>
  <c r="H179" i="161"/>
  <c r="N178" i="161"/>
  <c r="M178" i="161"/>
  <c r="L178" i="161"/>
  <c r="K178" i="161"/>
  <c r="H178" i="161"/>
  <c r="N177" i="161"/>
  <c r="M177" i="161"/>
  <c r="L177" i="161"/>
  <c r="K177" i="161"/>
  <c r="H177" i="161"/>
  <c r="N176" i="161"/>
  <c r="M176" i="161"/>
  <c r="L176" i="161"/>
  <c r="K176" i="161"/>
  <c r="H176" i="161"/>
  <c r="N175" i="161"/>
  <c r="M175" i="161"/>
  <c r="L175" i="161"/>
  <c r="K175" i="161"/>
  <c r="H175" i="161"/>
  <c r="N174" i="161"/>
  <c r="M174" i="161"/>
  <c r="L174" i="161"/>
  <c r="K174" i="161"/>
  <c r="H174" i="161"/>
  <c r="N173" i="161"/>
  <c r="M173" i="161"/>
  <c r="L173" i="161"/>
  <c r="K173" i="161"/>
  <c r="H173" i="161"/>
  <c r="N172" i="161"/>
  <c r="M172" i="161"/>
  <c r="L172" i="161"/>
  <c r="K172" i="161"/>
  <c r="H172" i="161"/>
  <c r="N171" i="161"/>
  <c r="M171" i="161"/>
  <c r="L171" i="161"/>
  <c r="K171" i="161"/>
  <c r="H171" i="161"/>
  <c r="N170" i="161"/>
  <c r="M170" i="161"/>
  <c r="L170" i="161"/>
  <c r="K170" i="161"/>
  <c r="H170" i="161"/>
  <c r="N169" i="161"/>
  <c r="M169" i="161"/>
  <c r="L169" i="161"/>
  <c r="K169" i="161"/>
  <c r="H169" i="161"/>
  <c r="N168" i="161"/>
  <c r="M168" i="161"/>
  <c r="L168" i="161"/>
  <c r="K168" i="161"/>
  <c r="H168" i="161"/>
  <c r="N167" i="161"/>
  <c r="M167" i="161"/>
  <c r="L167" i="161"/>
  <c r="K167" i="161"/>
  <c r="H167" i="161"/>
  <c r="N166" i="161"/>
  <c r="M166" i="161"/>
  <c r="L166" i="161"/>
  <c r="K166" i="161"/>
  <c r="H166" i="161"/>
  <c r="N165" i="161"/>
  <c r="M165" i="161"/>
  <c r="L165" i="161"/>
  <c r="K165" i="161"/>
  <c r="H165" i="161"/>
  <c r="N164" i="161"/>
  <c r="M164" i="161"/>
  <c r="L164" i="161"/>
  <c r="K164" i="161"/>
  <c r="H164" i="161"/>
  <c r="N163" i="161"/>
  <c r="M163" i="161"/>
  <c r="L163" i="161"/>
  <c r="K163" i="161"/>
  <c r="H163" i="161"/>
  <c r="N162" i="161"/>
  <c r="M162" i="161"/>
  <c r="L162" i="161"/>
  <c r="K162" i="161"/>
  <c r="H162" i="161"/>
  <c r="N161" i="161"/>
  <c r="M161" i="161"/>
  <c r="L161" i="161"/>
  <c r="K161" i="161"/>
  <c r="H161" i="161"/>
  <c r="N160" i="161"/>
  <c r="M160" i="161"/>
  <c r="L160" i="161"/>
  <c r="K160" i="161"/>
  <c r="H160" i="161"/>
  <c r="N159" i="161"/>
  <c r="M159" i="161"/>
  <c r="L159" i="161"/>
  <c r="K159" i="161"/>
  <c r="H159" i="161"/>
  <c r="N158" i="161"/>
  <c r="M158" i="161"/>
  <c r="L158" i="161"/>
  <c r="K158" i="161"/>
  <c r="H158" i="161"/>
  <c r="N157" i="161"/>
  <c r="M157" i="161"/>
  <c r="L157" i="161"/>
  <c r="K157" i="161"/>
  <c r="H157" i="161"/>
  <c r="N156" i="161"/>
  <c r="M156" i="161"/>
  <c r="L156" i="161"/>
  <c r="K156" i="161"/>
  <c r="H156" i="161"/>
  <c r="N155" i="161"/>
  <c r="M155" i="161"/>
  <c r="L155" i="161"/>
  <c r="K155" i="161"/>
  <c r="H155" i="161"/>
  <c r="N154" i="161"/>
  <c r="M154" i="161"/>
  <c r="L154" i="161"/>
  <c r="K154" i="161"/>
  <c r="H154" i="161"/>
  <c r="N153" i="161"/>
  <c r="M153" i="161"/>
  <c r="L153" i="161"/>
  <c r="K153" i="161"/>
  <c r="H153" i="161"/>
  <c r="N152" i="161"/>
  <c r="M152" i="161"/>
  <c r="L152" i="161"/>
  <c r="K152" i="161"/>
  <c r="H152" i="161"/>
  <c r="N151" i="161"/>
  <c r="M151" i="161"/>
  <c r="L151" i="161"/>
  <c r="K151" i="161"/>
  <c r="H151" i="161"/>
  <c r="N150" i="161"/>
  <c r="M150" i="161"/>
  <c r="L150" i="161"/>
  <c r="K150" i="161"/>
  <c r="H150" i="161"/>
  <c r="N149" i="161"/>
  <c r="M149" i="161"/>
  <c r="L149" i="161"/>
  <c r="K149" i="161"/>
  <c r="H149" i="161"/>
  <c r="N148" i="161"/>
  <c r="M148" i="161"/>
  <c r="L148" i="161"/>
  <c r="K148" i="161"/>
  <c r="H148" i="161"/>
  <c r="N147" i="161"/>
  <c r="M147" i="161"/>
  <c r="L147" i="161"/>
  <c r="K147" i="161"/>
  <c r="H147" i="161"/>
  <c r="N146" i="161"/>
  <c r="M146" i="161"/>
  <c r="L146" i="161"/>
  <c r="K146" i="161"/>
  <c r="H146" i="161"/>
  <c r="N145" i="161"/>
  <c r="M145" i="161"/>
  <c r="L145" i="161"/>
  <c r="K145" i="161"/>
  <c r="H145" i="161"/>
  <c r="N144" i="161"/>
  <c r="M144" i="161"/>
  <c r="L144" i="161"/>
  <c r="K144" i="161"/>
  <c r="H144" i="161"/>
  <c r="N143" i="161"/>
  <c r="M143" i="161"/>
  <c r="L143" i="161"/>
  <c r="K143" i="161"/>
  <c r="H143" i="161"/>
  <c r="N142" i="161"/>
  <c r="M142" i="161"/>
  <c r="L142" i="161"/>
  <c r="K142" i="161"/>
  <c r="H142" i="161"/>
  <c r="N141" i="161"/>
  <c r="M141" i="161"/>
  <c r="L141" i="161"/>
  <c r="K141" i="161"/>
  <c r="H141" i="161"/>
  <c r="N140" i="161"/>
  <c r="M140" i="161"/>
  <c r="L140" i="161"/>
  <c r="K140" i="161"/>
  <c r="H140" i="161"/>
  <c r="N139" i="161"/>
  <c r="M139" i="161"/>
  <c r="L139" i="161"/>
  <c r="K139" i="161"/>
  <c r="H139" i="161"/>
  <c r="N138" i="161"/>
  <c r="M138" i="161"/>
  <c r="L138" i="161"/>
  <c r="K138" i="161"/>
  <c r="H138" i="161"/>
  <c r="N137" i="161"/>
  <c r="M137" i="161"/>
  <c r="L137" i="161"/>
  <c r="K137" i="161"/>
  <c r="H137" i="161"/>
  <c r="N136" i="161"/>
  <c r="M136" i="161"/>
  <c r="L136" i="161"/>
  <c r="K136" i="161"/>
  <c r="H136" i="161"/>
  <c r="N135" i="161"/>
  <c r="M135" i="161"/>
  <c r="L135" i="161"/>
  <c r="K135" i="161"/>
  <c r="H135" i="161"/>
  <c r="N134" i="161"/>
  <c r="M134" i="161"/>
  <c r="L134" i="161"/>
  <c r="K134" i="161"/>
  <c r="H134" i="161"/>
  <c r="N133" i="161"/>
  <c r="M133" i="161"/>
  <c r="L133" i="161"/>
  <c r="K133" i="161"/>
  <c r="H133" i="161"/>
  <c r="N132" i="161"/>
  <c r="M132" i="161"/>
  <c r="L132" i="161"/>
  <c r="K132" i="161"/>
  <c r="H132" i="161"/>
  <c r="N131" i="161"/>
  <c r="M131" i="161"/>
  <c r="L131" i="161"/>
  <c r="K131" i="161"/>
  <c r="H131" i="161"/>
  <c r="N130" i="161"/>
  <c r="M130" i="161"/>
  <c r="L130" i="161"/>
  <c r="K130" i="161"/>
  <c r="H130" i="161"/>
  <c r="N129" i="161"/>
  <c r="M129" i="161"/>
  <c r="L129" i="161"/>
  <c r="K129" i="161"/>
  <c r="H129" i="161"/>
  <c r="N128" i="161"/>
  <c r="M128" i="161"/>
  <c r="L128" i="161"/>
  <c r="K128" i="161"/>
  <c r="H128" i="161"/>
  <c r="N127" i="161"/>
  <c r="M127" i="161"/>
  <c r="L127" i="161"/>
  <c r="K127" i="161"/>
  <c r="H127" i="161"/>
  <c r="N126" i="161"/>
  <c r="M126" i="161"/>
  <c r="L126" i="161"/>
  <c r="K126" i="161"/>
  <c r="H126" i="161"/>
  <c r="N125" i="161"/>
  <c r="M125" i="161"/>
  <c r="L125" i="161"/>
  <c r="K125" i="161"/>
  <c r="H125" i="161"/>
  <c r="N124" i="161"/>
  <c r="M124" i="161"/>
  <c r="L124" i="161"/>
  <c r="K124" i="161"/>
  <c r="H124" i="161"/>
  <c r="N123" i="161"/>
  <c r="M123" i="161"/>
  <c r="L123" i="161"/>
  <c r="K123" i="161"/>
  <c r="H123" i="161"/>
  <c r="N122" i="161"/>
  <c r="M122" i="161"/>
  <c r="L122" i="161"/>
  <c r="K122" i="161"/>
  <c r="H122" i="161"/>
  <c r="N121" i="161"/>
  <c r="M121" i="161"/>
  <c r="L121" i="161"/>
  <c r="K121" i="161"/>
  <c r="H121" i="161"/>
  <c r="N120" i="161"/>
  <c r="M120" i="161"/>
  <c r="L120" i="161"/>
  <c r="K120" i="161"/>
  <c r="H120" i="161"/>
  <c r="N119" i="161"/>
  <c r="M119" i="161"/>
  <c r="L119" i="161"/>
  <c r="K119" i="161"/>
  <c r="H119" i="161"/>
  <c r="N118" i="161"/>
  <c r="M118" i="161"/>
  <c r="L118" i="161"/>
  <c r="K118" i="161"/>
  <c r="H118" i="161"/>
  <c r="N117" i="161"/>
  <c r="M117" i="161"/>
  <c r="L117" i="161"/>
  <c r="K117" i="161"/>
  <c r="H117" i="161"/>
  <c r="N116" i="161"/>
  <c r="M116" i="161"/>
  <c r="L116" i="161"/>
  <c r="K116" i="161"/>
  <c r="H116" i="161"/>
  <c r="N115" i="161"/>
  <c r="M115" i="161"/>
  <c r="L115" i="161"/>
  <c r="K115" i="161"/>
  <c r="H115" i="161"/>
  <c r="N114" i="161"/>
  <c r="M114" i="161"/>
  <c r="L114" i="161"/>
  <c r="K114" i="161"/>
  <c r="H114" i="161"/>
  <c r="N113" i="161"/>
  <c r="M113" i="161"/>
  <c r="L113" i="161"/>
  <c r="K113" i="161"/>
  <c r="H113" i="161"/>
  <c r="N112" i="161"/>
  <c r="M112" i="161"/>
  <c r="L112" i="161"/>
  <c r="K112" i="161"/>
  <c r="H112" i="161"/>
  <c r="N111" i="161"/>
  <c r="M111" i="161"/>
  <c r="L111" i="161"/>
  <c r="K111" i="161"/>
  <c r="H111" i="161"/>
  <c r="N110" i="161"/>
  <c r="M110" i="161"/>
  <c r="L110" i="161"/>
  <c r="K110" i="161"/>
  <c r="H110" i="161"/>
  <c r="N109" i="161"/>
  <c r="M109" i="161"/>
  <c r="L109" i="161"/>
  <c r="K109" i="161"/>
  <c r="H109" i="161"/>
  <c r="N108" i="161"/>
  <c r="M108" i="161"/>
  <c r="L108" i="161"/>
  <c r="K108" i="161"/>
  <c r="H108" i="161"/>
  <c r="N107" i="161"/>
  <c r="M107" i="161"/>
  <c r="L107" i="161"/>
  <c r="K107" i="161"/>
  <c r="H107" i="161"/>
  <c r="N106" i="161"/>
  <c r="M106" i="161"/>
  <c r="L106" i="161"/>
  <c r="K106" i="161"/>
  <c r="H106" i="161"/>
  <c r="N105" i="161"/>
  <c r="M105" i="161"/>
  <c r="L105" i="161"/>
  <c r="K105" i="161"/>
  <c r="H105" i="161"/>
  <c r="N104" i="161"/>
  <c r="M104" i="161"/>
  <c r="L104" i="161"/>
  <c r="K104" i="161"/>
  <c r="H104" i="161"/>
  <c r="N103" i="161"/>
  <c r="M103" i="161"/>
  <c r="L103" i="161"/>
  <c r="K103" i="161"/>
  <c r="H103" i="161"/>
  <c r="N102" i="161"/>
  <c r="M102" i="161"/>
  <c r="L102" i="161"/>
  <c r="K102" i="161"/>
  <c r="H102" i="161"/>
  <c r="N101" i="161"/>
  <c r="M101" i="161"/>
  <c r="L101" i="161"/>
  <c r="K101" i="161"/>
  <c r="H101" i="161"/>
  <c r="N100" i="161"/>
  <c r="M100" i="161"/>
  <c r="L100" i="161"/>
  <c r="K100" i="161"/>
  <c r="H100" i="161"/>
  <c r="N99" i="161"/>
  <c r="M99" i="161"/>
  <c r="L99" i="161"/>
  <c r="K99" i="161"/>
  <c r="H99" i="161"/>
  <c r="N98" i="161"/>
  <c r="M98" i="161"/>
  <c r="L98" i="161"/>
  <c r="K98" i="161"/>
  <c r="H98" i="161"/>
  <c r="N97" i="161"/>
  <c r="M97" i="161"/>
  <c r="L97" i="161"/>
  <c r="K97" i="161"/>
  <c r="H97" i="161"/>
  <c r="N96" i="161"/>
  <c r="M96" i="161"/>
  <c r="L96" i="161"/>
  <c r="K96" i="161"/>
  <c r="H96" i="161"/>
  <c r="N95" i="161"/>
  <c r="M95" i="161"/>
  <c r="L95" i="161"/>
  <c r="K95" i="161"/>
  <c r="H95" i="161"/>
  <c r="N94" i="161"/>
  <c r="M94" i="161"/>
  <c r="L94" i="161"/>
  <c r="K94" i="161"/>
  <c r="H94" i="161"/>
  <c r="N93" i="161"/>
  <c r="M93" i="161"/>
  <c r="L93" i="161"/>
  <c r="K93" i="161"/>
  <c r="H93" i="161"/>
  <c r="N92" i="161"/>
  <c r="M92" i="161"/>
  <c r="L92" i="161"/>
  <c r="K92" i="161"/>
  <c r="H92" i="161"/>
  <c r="N91" i="161"/>
  <c r="M91" i="161"/>
  <c r="L91" i="161"/>
  <c r="K91" i="161"/>
  <c r="H91" i="161"/>
  <c r="N90" i="161"/>
  <c r="M90" i="161"/>
  <c r="L90" i="161"/>
  <c r="K90" i="161"/>
  <c r="H90" i="161"/>
  <c r="N89" i="161"/>
  <c r="M89" i="161"/>
  <c r="L89" i="161"/>
  <c r="K89" i="161"/>
  <c r="H89" i="161"/>
  <c r="N88" i="161"/>
  <c r="M88" i="161"/>
  <c r="L88" i="161"/>
  <c r="K88" i="161"/>
  <c r="H88" i="161"/>
  <c r="N87" i="161"/>
  <c r="M87" i="161"/>
  <c r="L87" i="161"/>
  <c r="K87" i="161"/>
  <c r="H87" i="161"/>
  <c r="N86" i="161"/>
  <c r="M86" i="161"/>
  <c r="L86" i="161"/>
  <c r="K86" i="161"/>
  <c r="H86" i="161"/>
  <c r="N85" i="161"/>
  <c r="M85" i="161"/>
  <c r="L85" i="161"/>
  <c r="K85" i="161"/>
  <c r="H85" i="161"/>
  <c r="N84" i="161"/>
  <c r="M84" i="161"/>
  <c r="L84" i="161"/>
  <c r="K84" i="161"/>
  <c r="H84" i="161"/>
  <c r="N83" i="161"/>
  <c r="M83" i="161"/>
  <c r="L83" i="161"/>
  <c r="K83" i="161"/>
  <c r="H83" i="161"/>
  <c r="N82" i="161"/>
  <c r="M82" i="161"/>
  <c r="L82" i="161"/>
  <c r="K82" i="161"/>
  <c r="H82" i="161"/>
  <c r="N81" i="161"/>
  <c r="M81" i="161"/>
  <c r="L81" i="161"/>
  <c r="K81" i="161"/>
  <c r="H81" i="161"/>
  <c r="N80" i="161"/>
  <c r="M80" i="161"/>
  <c r="L80" i="161"/>
  <c r="K80" i="161"/>
  <c r="H80" i="161"/>
  <c r="N79" i="161"/>
  <c r="M79" i="161"/>
  <c r="L79" i="161"/>
  <c r="K79" i="161"/>
  <c r="H79" i="161"/>
  <c r="N78" i="161"/>
  <c r="M78" i="161"/>
  <c r="L78" i="161"/>
  <c r="K78" i="161"/>
  <c r="H78" i="161"/>
  <c r="N77" i="161"/>
  <c r="M77" i="161"/>
  <c r="L77" i="161"/>
  <c r="K77" i="161"/>
  <c r="H77" i="161"/>
  <c r="N76" i="161"/>
  <c r="M76" i="161"/>
  <c r="L76" i="161"/>
  <c r="K76" i="161"/>
  <c r="H76" i="161"/>
  <c r="N75" i="161"/>
  <c r="M75" i="161"/>
  <c r="L75" i="161"/>
  <c r="K75" i="161"/>
  <c r="H75" i="161"/>
  <c r="N74" i="161"/>
  <c r="M74" i="161"/>
  <c r="L74" i="161"/>
  <c r="K74" i="161"/>
  <c r="H74" i="161"/>
  <c r="N73" i="161"/>
  <c r="M73" i="161"/>
  <c r="L73" i="161"/>
  <c r="K73" i="161"/>
  <c r="H73" i="161"/>
  <c r="N72" i="161"/>
  <c r="M72" i="161"/>
  <c r="L72" i="161"/>
  <c r="K72" i="161"/>
  <c r="H72" i="161"/>
  <c r="N71" i="161"/>
  <c r="M71" i="161"/>
  <c r="L71" i="161"/>
  <c r="K71" i="161"/>
  <c r="H71" i="161"/>
  <c r="N70" i="161"/>
  <c r="M70" i="161"/>
  <c r="L70" i="161"/>
  <c r="K70" i="161"/>
  <c r="H70" i="161"/>
  <c r="N69" i="161"/>
  <c r="M69" i="161"/>
  <c r="L69" i="161"/>
  <c r="K69" i="161"/>
  <c r="H69" i="161"/>
  <c r="N68" i="161"/>
  <c r="M68" i="161"/>
  <c r="L68" i="161"/>
  <c r="K68" i="161"/>
  <c r="H68" i="161"/>
  <c r="N67" i="161"/>
  <c r="M67" i="161"/>
  <c r="L67" i="161"/>
  <c r="K67" i="161"/>
  <c r="H67" i="161"/>
  <c r="N66" i="161"/>
  <c r="M66" i="161"/>
  <c r="L66" i="161"/>
  <c r="K66" i="161"/>
  <c r="H66" i="161"/>
  <c r="N65" i="161"/>
  <c r="M65" i="161"/>
  <c r="L65" i="161"/>
  <c r="K65" i="161"/>
  <c r="H65" i="161"/>
  <c r="N64" i="161"/>
  <c r="M64" i="161"/>
  <c r="L64" i="161"/>
  <c r="K64" i="161"/>
  <c r="H64" i="161"/>
  <c r="N63" i="161"/>
  <c r="M63" i="161"/>
  <c r="L63" i="161"/>
  <c r="K63" i="161"/>
  <c r="H63" i="161"/>
  <c r="N62" i="161"/>
  <c r="M62" i="161"/>
  <c r="L62" i="161"/>
  <c r="K62" i="161"/>
  <c r="H62" i="161"/>
  <c r="N61" i="161"/>
  <c r="M61" i="161"/>
  <c r="L61" i="161"/>
  <c r="K61" i="161"/>
  <c r="H61" i="161"/>
  <c r="N60" i="161"/>
  <c r="M60" i="161"/>
  <c r="L60" i="161"/>
  <c r="K60" i="161"/>
  <c r="H60" i="161"/>
  <c r="N59" i="161"/>
  <c r="M59" i="161"/>
  <c r="L59" i="161"/>
  <c r="K59" i="161"/>
  <c r="H59" i="161"/>
  <c r="N58" i="161"/>
  <c r="M58" i="161"/>
  <c r="L58" i="161"/>
  <c r="K58" i="161"/>
  <c r="H58" i="161"/>
  <c r="N57" i="161"/>
  <c r="M57" i="161"/>
  <c r="L57" i="161"/>
  <c r="K57" i="161"/>
  <c r="H57" i="161"/>
  <c r="N56" i="161"/>
  <c r="M56" i="161"/>
  <c r="L56" i="161"/>
  <c r="K56" i="161"/>
  <c r="H56" i="161"/>
  <c r="N55" i="161"/>
  <c r="M55" i="161"/>
  <c r="L55" i="161"/>
  <c r="K55" i="161"/>
  <c r="H55" i="161"/>
  <c r="N54" i="161"/>
  <c r="M54" i="161"/>
  <c r="L54" i="161"/>
  <c r="K54" i="161"/>
  <c r="H54" i="161"/>
  <c r="N53" i="161"/>
  <c r="M53" i="161"/>
  <c r="L53" i="161"/>
  <c r="K53" i="161"/>
  <c r="H53" i="161"/>
  <c r="N52" i="161"/>
  <c r="M52" i="161"/>
  <c r="L52" i="161"/>
  <c r="K52" i="161"/>
  <c r="H52" i="161"/>
  <c r="N51" i="161"/>
  <c r="M51" i="161"/>
  <c r="L51" i="161"/>
  <c r="K51" i="161"/>
  <c r="H51" i="161"/>
  <c r="N50" i="161"/>
  <c r="M50" i="161"/>
  <c r="L50" i="161"/>
  <c r="K50" i="161"/>
  <c r="H50" i="161"/>
  <c r="N49" i="161"/>
  <c r="M49" i="161"/>
  <c r="L49" i="161"/>
  <c r="K49" i="161"/>
  <c r="H49" i="161"/>
  <c r="N48" i="161"/>
  <c r="M48" i="161"/>
  <c r="L48" i="161"/>
  <c r="K48" i="161"/>
  <c r="H48" i="161"/>
  <c r="N47" i="161"/>
  <c r="M47" i="161"/>
  <c r="L47" i="161"/>
  <c r="K47" i="161"/>
  <c r="H47" i="161"/>
  <c r="N46" i="161"/>
  <c r="M46" i="161"/>
  <c r="L46" i="161"/>
  <c r="K46" i="161"/>
  <c r="H46" i="161"/>
  <c r="N45" i="161"/>
  <c r="M45" i="161"/>
  <c r="L45" i="161"/>
  <c r="K45" i="161"/>
  <c r="H45" i="161"/>
  <c r="N44" i="161"/>
  <c r="M44" i="161"/>
  <c r="L44" i="161"/>
  <c r="K44" i="161"/>
  <c r="H44" i="161"/>
  <c r="N43" i="161"/>
  <c r="M43" i="161"/>
  <c r="L43" i="161"/>
  <c r="K43" i="161"/>
  <c r="H43" i="161"/>
  <c r="N42" i="161"/>
  <c r="M42" i="161"/>
  <c r="L42" i="161"/>
  <c r="K42" i="161"/>
  <c r="H42" i="161"/>
  <c r="N41" i="161"/>
  <c r="M41" i="161"/>
  <c r="L41" i="161"/>
  <c r="K41" i="161"/>
  <c r="H41" i="161"/>
  <c r="N40" i="161"/>
  <c r="M40" i="161"/>
  <c r="L40" i="161"/>
  <c r="K40" i="161"/>
  <c r="H40" i="161"/>
  <c r="N39" i="161"/>
  <c r="M39" i="161"/>
  <c r="L39" i="161"/>
  <c r="K39" i="161"/>
  <c r="H39" i="161"/>
  <c r="N38" i="161"/>
  <c r="M38" i="161"/>
  <c r="L38" i="161"/>
  <c r="K38" i="161"/>
  <c r="H38" i="161"/>
  <c r="N37" i="161"/>
  <c r="M37" i="161"/>
  <c r="L37" i="161"/>
  <c r="K37" i="161"/>
  <c r="H37" i="161"/>
  <c r="N36" i="161"/>
  <c r="M36" i="161"/>
  <c r="L36" i="161"/>
  <c r="K36" i="161"/>
  <c r="H36" i="161"/>
  <c r="N35" i="161"/>
  <c r="M35" i="161"/>
  <c r="L35" i="161"/>
  <c r="K35" i="161"/>
  <c r="H35" i="161"/>
  <c r="N34" i="161"/>
  <c r="M34" i="161"/>
  <c r="L34" i="161"/>
  <c r="K34" i="161"/>
  <c r="H34" i="161"/>
  <c r="N33" i="161"/>
  <c r="M33" i="161"/>
  <c r="L33" i="161"/>
  <c r="K33" i="161"/>
  <c r="H33" i="161"/>
  <c r="N32" i="161"/>
  <c r="M32" i="161"/>
  <c r="L32" i="161"/>
  <c r="K32" i="161"/>
  <c r="H32" i="161"/>
  <c r="N31" i="161"/>
  <c r="M31" i="161"/>
  <c r="L31" i="161"/>
  <c r="K31" i="161"/>
  <c r="H31" i="161"/>
  <c r="N30" i="161"/>
  <c r="M30" i="161"/>
  <c r="L30" i="161"/>
  <c r="K30" i="161"/>
  <c r="H30" i="161"/>
  <c r="N29" i="161"/>
  <c r="M29" i="161"/>
  <c r="L29" i="161"/>
  <c r="K29" i="161"/>
  <c r="H29" i="161"/>
  <c r="N28" i="161"/>
  <c r="M28" i="161"/>
  <c r="L28" i="161"/>
  <c r="K28" i="161"/>
  <c r="H28" i="161"/>
  <c r="N27" i="161"/>
  <c r="M27" i="161"/>
  <c r="L27" i="161"/>
  <c r="K27" i="161"/>
  <c r="H27" i="161"/>
  <c r="N26" i="161"/>
  <c r="M26" i="161"/>
  <c r="L26" i="161"/>
  <c r="K26" i="161"/>
  <c r="H26" i="161"/>
  <c r="N25" i="161"/>
  <c r="M25" i="161"/>
  <c r="L25" i="161"/>
  <c r="K25" i="161"/>
  <c r="H25" i="161"/>
  <c r="N24" i="161"/>
  <c r="M24" i="161"/>
  <c r="L24" i="161"/>
  <c r="K24" i="161"/>
  <c r="H24" i="161"/>
  <c r="N23" i="161"/>
  <c r="M23" i="161"/>
  <c r="L23" i="161"/>
  <c r="K23" i="161"/>
  <c r="H23" i="161"/>
  <c r="N22" i="161"/>
  <c r="M22" i="161"/>
  <c r="L22" i="161"/>
  <c r="K22" i="161"/>
  <c r="H22" i="161"/>
  <c r="N21" i="161"/>
  <c r="M21" i="161"/>
  <c r="L21" i="161"/>
  <c r="K21" i="161"/>
  <c r="H21" i="161"/>
  <c r="N20" i="161"/>
  <c r="M20" i="161"/>
  <c r="L20" i="161"/>
  <c r="K20" i="161"/>
  <c r="H20" i="161"/>
  <c r="N19" i="161"/>
  <c r="M19" i="161"/>
  <c r="L19" i="161"/>
  <c r="K19" i="161"/>
  <c r="H19" i="161"/>
  <c r="N18" i="161"/>
  <c r="M18" i="161"/>
  <c r="L18" i="161"/>
  <c r="K18" i="161"/>
  <c r="H18" i="161"/>
  <c r="N17" i="161"/>
  <c r="M17" i="161"/>
  <c r="L17" i="161"/>
  <c r="K17" i="161"/>
  <c r="H17" i="161"/>
  <c r="N16" i="161"/>
  <c r="M16" i="161"/>
  <c r="L16" i="161"/>
  <c r="K16" i="161"/>
  <c r="H16" i="161"/>
  <c r="N15" i="161"/>
  <c r="M15" i="161"/>
  <c r="L15" i="161"/>
  <c r="K15" i="161"/>
  <c r="H15" i="161"/>
  <c r="N14" i="161"/>
  <c r="M14" i="161"/>
  <c r="L14" i="161"/>
  <c r="K14" i="161"/>
  <c r="H14" i="161"/>
  <c r="N13" i="161"/>
  <c r="M13" i="161"/>
  <c r="L13" i="161"/>
  <c r="K13" i="161"/>
  <c r="H13" i="161"/>
  <c r="N12" i="161"/>
  <c r="M12" i="161"/>
  <c r="L12" i="161"/>
  <c r="K12" i="161"/>
  <c r="H12" i="161"/>
  <c r="N11" i="161"/>
  <c r="M11" i="161"/>
  <c r="L11" i="161"/>
  <c r="K11" i="161"/>
  <c r="H11" i="161"/>
  <c r="N10" i="161"/>
  <c r="M10" i="161"/>
  <c r="L10" i="161"/>
  <c r="K10" i="161"/>
  <c r="H10" i="161"/>
  <c r="N9" i="161"/>
  <c r="M9" i="161"/>
  <c r="L9" i="161"/>
  <c r="K9" i="161"/>
  <c r="H9" i="161"/>
  <c r="N8" i="161"/>
  <c r="M8" i="161"/>
  <c r="L8" i="161"/>
  <c r="K8" i="161"/>
  <c r="H8" i="161"/>
  <c r="N7" i="161"/>
  <c r="M7" i="161"/>
  <c r="L7" i="161"/>
  <c r="K7" i="161"/>
  <c r="H7" i="161"/>
  <c r="N6" i="161"/>
  <c r="M6" i="161"/>
  <c r="L6" i="161"/>
  <c r="K6" i="161"/>
  <c r="H6" i="161"/>
  <c r="N5" i="161"/>
  <c r="M5" i="161"/>
  <c r="L5" i="161"/>
  <c r="K5" i="161"/>
  <c r="H5" i="161"/>
  <c r="N4" i="161"/>
  <c r="M4" i="161"/>
  <c r="L4" i="161"/>
  <c r="K4" i="161"/>
  <c r="H4" i="161"/>
  <c r="N3" i="161"/>
  <c r="M3" i="161"/>
  <c r="L3" i="161"/>
  <c r="K3" i="161"/>
  <c r="H3" i="161"/>
  <c r="N2" i="161"/>
  <c r="M2" i="161"/>
  <c r="L2" i="161"/>
  <c r="K2" i="161"/>
  <c r="H2" i="161"/>
  <c r="O138" i="158"/>
  <c r="O2" i="158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B47" i="160"/>
  <c r="C40" i="160"/>
  <c r="C41" i="160"/>
  <c r="C42" i="160"/>
  <c r="C43" i="160"/>
  <c r="C44" i="160"/>
  <c r="C45" i="160"/>
  <c r="C46" i="160"/>
  <c r="C47" i="160"/>
  <c r="G42" i="160"/>
  <c r="G40" i="160"/>
  <c r="B5" i="160"/>
  <c r="B10" i="160"/>
  <c r="B6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G31" i="160"/>
  <c r="H31" i="160"/>
  <c r="I31" i="160"/>
  <c r="J31" i="160"/>
  <c r="F31" i="160"/>
  <c r="D31" i="160"/>
  <c r="G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O2" i="159"/>
  <c r="O3" i="159"/>
  <c r="A2" i="153"/>
  <c r="P6" i="159"/>
  <c r="N6" i="159"/>
  <c r="M6" i="159"/>
  <c r="L6" i="159"/>
  <c r="K6" i="159"/>
  <c r="J6" i="159"/>
  <c r="I6" i="159"/>
  <c r="H6" i="159"/>
  <c r="F6" i="159"/>
  <c r="E6" i="159"/>
  <c r="D6" i="159"/>
  <c r="C6" i="159"/>
  <c r="A6" i="159"/>
  <c r="P5" i="159"/>
  <c r="N5" i="159"/>
  <c r="M5" i="159"/>
  <c r="L5" i="159"/>
  <c r="K5" i="159"/>
  <c r="J5" i="159"/>
  <c r="I5" i="159"/>
  <c r="H5" i="159"/>
  <c r="F5" i="159"/>
  <c r="E5" i="159"/>
  <c r="D5" i="159"/>
  <c r="C5" i="159"/>
  <c r="A5" i="159"/>
  <c r="P4" i="159"/>
  <c r="N4" i="159"/>
  <c r="M4" i="159"/>
  <c r="L4" i="159"/>
  <c r="K4" i="159"/>
  <c r="J4" i="159"/>
  <c r="I4" i="159"/>
  <c r="H4" i="159"/>
  <c r="F4" i="159"/>
  <c r="E4" i="159"/>
  <c r="D4" i="159"/>
  <c r="C4" i="159"/>
  <c r="A4" i="159"/>
  <c r="P3" i="159"/>
  <c r="N3" i="159"/>
  <c r="M3" i="159"/>
  <c r="L3" i="159"/>
  <c r="K3" i="159"/>
  <c r="J3" i="159"/>
  <c r="I3" i="159"/>
  <c r="H3" i="159"/>
  <c r="F3" i="159"/>
  <c r="E3" i="159"/>
  <c r="D3" i="159"/>
  <c r="C3" i="159"/>
  <c r="A3" i="159"/>
  <c r="P2" i="159"/>
  <c r="N2" i="159"/>
  <c r="M2" i="159"/>
  <c r="L2" i="159"/>
  <c r="K2" i="159"/>
  <c r="J2" i="159"/>
  <c r="I2" i="159"/>
  <c r="H2" i="159"/>
  <c r="F2" i="159"/>
  <c r="E2" i="159"/>
  <c r="D2" i="159"/>
  <c r="C2" i="159"/>
  <c r="A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A36" i="153"/>
  <c r="G29" i="153"/>
  <c r="H29" i="153"/>
  <c r="R5" i="153"/>
  <c r="R3" i="153"/>
  <c r="E21" i="153"/>
  <c r="G22" i="153"/>
  <c r="H22" i="153"/>
  <c r="O300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G23" i="153"/>
  <c r="H23" i="153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R4" i="153"/>
  <c r="O301" i="154"/>
  <c r="O302" i="154"/>
  <c r="R6" i="153"/>
  <c r="O303" i="154"/>
  <c r="R7" i="153"/>
  <c r="O304" i="154"/>
  <c r="P300" i="154"/>
  <c r="A301" i="154"/>
  <c r="H301" i="154"/>
  <c r="K301" i="154"/>
  <c r="L301" i="154"/>
  <c r="M301" i="154"/>
  <c r="N301" i="154"/>
  <c r="P301" i="154"/>
  <c r="A302" i="154"/>
  <c r="H302" i="154"/>
  <c r="K302" i="154"/>
  <c r="L302" i="154"/>
  <c r="M302" i="154"/>
  <c r="N302" i="154"/>
  <c r="P302" i="154"/>
  <c r="A303" i="154"/>
  <c r="H303" i="154"/>
  <c r="K303" i="154"/>
  <c r="L303" i="154"/>
  <c r="M303" i="154"/>
  <c r="N303" i="154"/>
  <c r="P303" i="154"/>
  <c r="A304" i="154"/>
  <c r="H304" i="154"/>
  <c r="K304" i="154"/>
  <c r="L304" i="154"/>
  <c r="M304" i="154"/>
  <c r="N304" i="154"/>
  <c r="P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R3" i="157"/>
  <c r="R4" i="157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P295" i="154"/>
  <c r="A296" i="154"/>
  <c r="H296" i="154"/>
  <c r="K296" i="154"/>
  <c r="L296" i="154"/>
  <c r="M296" i="154"/>
  <c r="N296" i="154"/>
  <c r="P296" i="154"/>
  <c r="A297" i="154"/>
  <c r="H297" i="154"/>
  <c r="K297" i="154"/>
  <c r="L297" i="154"/>
  <c r="M297" i="154"/>
  <c r="N297" i="154"/>
  <c r="P297" i="154"/>
  <c r="A298" i="154"/>
  <c r="H298" i="154"/>
  <c r="K298" i="154"/>
  <c r="L298" i="154"/>
  <c r="M298" i="154"/>
  <c r="N298" i="154"/>
  <c r="P298" i="154"/>
  <c r="A299" i="154"/>
  <c r="H299" i="154"/>
  <c r="K299" i="154"/>
  <c r="L299" i="154"/>
  <c r="M299" i="154"/>
  <c r="N299" i="154"/>
  <c r="P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" i="154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<sst xmlns="http://schemas.openxmlformats.org/spreadsheetml/2006/main" count="646" uniqueCount="253">
  <si>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</si>
  <si>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</si>
  <si>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</si>
  <si>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</si>
  <si>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</si>
  <si>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</si>
  <si>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</si>
  <si>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</si>
  <si>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</si>
  <si>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</si>
  <si>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</si>
  <si>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</si>
  <si>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</si>
  <si>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</si>
  <si>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</si>
  <si>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</si>
  <si>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</si>
  <si>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</si>
  <si>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</si>
  <si>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</si>
  <si>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</si>
  <si>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</si>
  <si>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</si>
  <si>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</si>
  <si>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</si>
  <si>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</si>
  <si>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</si>
  <si>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</si>
  <si>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</si>
  <si>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</si>
  <si>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</si>
  <si>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</si>
  <si>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</si>
  <si>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</si>
  <si>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</si>
  <si>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</si>
  <si>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</si>
  <si>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</si>
  <si>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</si>
  <si>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</si>
  <si>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</si>
  <si>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</si>
  <si>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</si>
  <si>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</si>
  <si>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</si>
  <si>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</si>
  <si>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</si>
  <si>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</si>
  <si>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</si>
  <si>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</si>
  <si>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</si>
  <si>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</si>
  <si>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</si>
  <si>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</si>
  <si>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</si>
  <si>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</si>
  <si>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</si>
  <si>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</si>
  <si>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</si>
  <si>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</si>
  <si>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</si>
  <si>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</si>
  <si>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</si>
  <si>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</si>
  <si>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</si>
  <si>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</si>
  <si>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</si>
  <si>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</si>
  <si>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</si>
  <si>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</si>
  <si>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</si>
  <si>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</si>
  <si>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</si>
  <si>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</si>
  <si>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</si>
  <si>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</si>
  <si>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</si>
  <si>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</si>
  <si>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</si>
  <si>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</si>
  <si>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</si>
  <si>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</si>
  <si>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</si>
  <si>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</si>
  <si>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</si>
  <si>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</si>
  <si>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</si>
  <si>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</si>
  <si>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</si>
  <si>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</si>
  <si>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</si>
  <si>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</si>
  <si>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</si>
  <si>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</si>
  <si>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</si>
  <si>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</si>
  <si>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</si>
  <si>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</si>
  <si>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</si>
  <si>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</si>
  <si>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</si>
  <si>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</si>
  <si>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</si>
  <si>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</si>
  <si>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</si>
  <si>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</si>
  <si>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</si>
  <si>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</si>
  <si>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</si>
  <si>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</si>
  <si>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</si>
  <si>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</si>
  <si>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</si>
  <si>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</si>
  <si>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</si>
  <si>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</si>
  <si>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</si>
  <si>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</si>
  <si>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</si>
  <si>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</si>
  <si>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</si>
  <si>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</si>
  <si>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</si>
  <si>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</si>
  <si>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</si>
  <si>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</si>
  <si>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</si>
  <si>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</si>
  <si>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</si>
  <si>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</si>
  <si>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</si>
  <si>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</si>
  <si>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</si>
  <si>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</si>
  <si>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</si>
  <si>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</si>
  <si>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</si>
  <si>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</si>
  <si>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</si>
  <si>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</si>
  <si>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</si>
  <si>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</si>
  <si>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</si>
  <si>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</si>
  <si>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</si>
  <si>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</si>
  <si>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</si>
  <si>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</si>
  <si>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</si>
  <si>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</si>
  <si>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</si>
  <si>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</si>
  <si>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</si>
  <si>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</si>
  <si>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</si>
  <si>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</si>
  <si>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</si>
  <si>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</si>
  <si>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</si>
  <si>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</si>
  <si>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</si>
  <si>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</si>
  <si>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</si>
  <si>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</si>
  <si>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</si>
  <si>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</si>
  <si>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</si>
  <si>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</si>
  <si>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</si>
  <si>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</si>
  <si>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</si>
  <si>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</si>
  <si>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</si>
  <si>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</si>
  <si>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</si>
  <si>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</si>
  <si>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</si>
  <si>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</si>
  <si>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</si>
  <si>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</si>
  <si>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</si>
  <si>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</si>
  <si>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</si>
  <si>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</si>
  <si>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</si>
  <si>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</si>
  <si>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</si>
  <si>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</si>
  <si>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</si>
  <si>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</si>
  <si>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</si>
  <si>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</si>
  <si>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</si>
  <si>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</si>
  <si>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</si>
  <si>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</si>
  <si>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</si>
  <si>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</si>
  <si>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</si>
  <si>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</si>
  <si>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</si>
  <si>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</si>
  <si>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</si>
  <si>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</si>
  <si>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</si>
  <si>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</si>
  <si>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</si>
  <si>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</si>
  <si>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</si>
  <si>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</si>
  <si>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</si>
  <si>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</si>
  <si>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</si>
  <si>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</si>
  <si>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</si>
  <si>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</si>
  <si>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</si>
  <si>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</si>
  <si>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</si>
  <si>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</si>
  <si>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</si>
  <si>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</si>
  <si>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</si>
  <si>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</si>
  <si>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</si>
  <si>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</si>
  <si>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</si>
  <si>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</si>
  <si>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</si>
  <si>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</si>
  <si>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</si>
  <si>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</si>
  <si>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</si>
  <si>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</si>
  <si>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</si>
  <si>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</si>
  <si>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</si>
  <si>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</si>
  <si>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</si>
  <si>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</si>
  <si>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</si>
  <si>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</si>
  <si>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</si>
  <si>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</si>
  <si>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</si>
  <si>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</si>
  <si>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</si>
  <si>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</si>
  <si>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tables_391100</t>
    <phoneticPr fontId="22"/>
  </si>
  <si>
    <t>tables_391010</t>
    <phoneticPr fontId="22"/>
  </si>
  <si>
    <t>old</t>
    <phoneticPr fontId="22"/>
  </si>
  <si>
    <t>tables_391011</t>
    <phoneticPr fontId="22"/>
  </si>
  <si>
    <t>gacha_select_tables_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</si>
</sst>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101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7" fillId="33" borderId="1" xfId="2" applyFont="1" applyFill="1" applyBorder="1" applyAlignment="1">
      <alignment vertical="center"/>
    </xf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0" fontId="4" fillId="4" borderId="1" xfId="2978" applyFont="1" applyFill="1" applyBorder="1"/>
    <xf numFmtId="183" fontId="0" fillId="4" borderId="1" xfId="0" applyNumberFormat="1" applyFill="1" applyBorder="1"/>
    <xf numFmtId="0" fontId="3" fillId="0" borderId="1" xfId="3036" applyFont="1" applyBorder="1"/>
    <xf numFmtId="0" fontId="3" fillId="4" borderId="1" xfId="2978" applyFont="1" applyFill="1" applyBorder="1"/>
    <xf numFmtId="0" fontId="2" fillId="0" borderId="1" xfId="2978" applyFont="1" applyBorder="1"/>
    <xf numFmtId="180" fontId="0" fillId="4" borderId="1" xfId="0" applyNumberForma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/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/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ヘルツ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ヘルツ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R5 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R6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4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  <row r="1180">
          <cell r="A1180">
            <v>8031</v>
          </cell>
          <cell r="B1180" t="str">
            <v>ja</v>
          </cell>
          <cell r="C1180" t="str">
            <v>閻羅王</v>
          </cell>
          <cell r="D1180" t="str">
            <v>Expoミク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red</v>
          </cell>
          <cell r="I1180">
            <v>5</v>
          </cell>
          <cell r="J1180" t="str">
            <v>PremiumSS</v>
          </cell>
          <cell r="K1180" t="str">
            <v>balance</v>
          </cell>
          <cell r="L1180" t="str">
            <v>バランスタイプ</v>
          </cell>
          <cell r="M1180" t="str">
            <v>god</v>
          </cell>
        </row>
        <row r="1181">
          <cell r="A1181">
            <v>8032</v>
          </cell>
          <cell r="B1181" t="str">
            <v>ja</v>
          </cell>
          <cell r="C1181" t="str">
            <v>十殿閻羅王</v>
          </cell>
          <cell r="D1181" t="str">
            <v>Expoミク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red</v>
          </cell>
          <cell r="I1181">
            <v>6</v>
          </cell>
          <cell r="J1181" t="str">
            <v>PremiumSS</v>
          </cell>
          <cell r="K1181" t="str">
            <v>balance</v>
          </cell>
          <cell r="L1181" t="str">
            <v>バランスタイプ</v>
          </cell>
          <cell r="M1181" t="str">
            <v>god</v>
          </cell>
        </row>
        <row r="1182">
          <cell r="A1182">
            <v>8033</v>
          </cell>
          <cell r="B1182" t="str">
            <v>ja</v>
          </cell>
          <cell r="C1182" t="str">
            <v>牛頭馬面</v>
          </cell>
          <cell r="D1182" t="str">
            <v>Expoミク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5</v>
          </cell>
          <cell r="J1182" t="str">
            <v>DropWizS</v>
          </cell>
          <cell r="K1182" t="str">
            <v>attack</v>
          </cell>
          <cell r="L1182" t="str">
            <v>攻撃タイプ</v>
          </cell>
          <cell r="M1182" t="str">
            <v>god</v>
          </cell>
        </row>
        <row r="1183">
          <cell r="A1183">
            <v>8034</v>
          </cell>
          <cell r="B1183" t="str">
            <v>ja</v>
          </cell>
          <cell r="C1183" t="str">
            <v>牛頭馬面</v>
          </cell>
          <cell r="D1183" t="str">
            <v>Expoミク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6</v>
          </cell>
          <cell r="J1183" t="str">
            <v>DropWizS</v>
          </cell>
          <cell r="K1183" t="str">
            <v>attack</v>
          </cell>
          <cell r="L1183" t="str">
            <v>攻撃タイプ</v>
          </cell>
          <cell r="M1183" t="str">
            <v>god</v>
          </cell>
        </row>
        <row r="1184">
          <cell r="A1184">
            <v>8035</v>
          </cell>
          <cell r="B1184" t="str">
            <v>ja</v>
          </cell>
          <cell r="C1184" t="str">
            <v>嫦娥</v>
          </cell>
          <cell r="D1184" t="str">
            <v>Expoミク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blue</v>
          </cell>
          <cell r="I1184">
            <v>4</v>
          </cell>
          <cell r="J1184" t="str">
            <v>Drop2N</v>
          </cell>
          <cell r="K1184" t="str">
            <v>heal</v>
          </cell>
          <cell r="L1184" t="str">
            <v>回復タイプ</v>
          </cell>
          <cell r="M1184" t="str">
            <v>unknown</v>
          </cell>
        </row>
        <row r="1185">
          <cell r="A1185">
            <v>8036</v>
          </cell>
          <cell r="B1185" t="str">
            <v>ja</v>
          </cell>
          <cell r="C1185" t="str">
            <v>嫦娥</v>
          </cell>
          <cell r="D1185" t="str">
            <v>Expoミク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blue</v>
          </cell>
          <cell r="I1185">
            <v>4</v>
          </cell>
          <cell r="J1185" t="str">
            <v>Drop2N</v>
          </cell>
          <cell r="K1185" t="str">
            <v>heal</v>
          </cell>
          <cell r="L1185" t="str">
            <v>回復タイプ</v>
          </cell>
          <cell r="M1185" t="str">
            <v>unknown</v>
          </cell>
        </row>
        <row r="1186">
          <cell r="A1186">
            <v>8037</v>
          </cell>
          <cell r="B1186" t="str">
            <v>ja</v>
          </cell>
          <cell r="C1186" t="str">
            <v>后羿</v>
          </cell>
          <cell r="D1186" t="str">
            <v>Expoミク</v>
          </cell>
          <cell r="E1186" t="str">
            <v>執行者</v>
          </cell>
          <cell r="F1186" t="str">
            <v>格好いい</v>
          </cell>
          <cell r="G1186" t="str">
            <v>女性</v>
          </cell>
          <cell r="H1186" t="str">
            <v>blue</v>
          </cell>
          <cell r="I1186">
            <v>4</v>
          </cell>
          <cell r="J1186" t="str">
            <v>Drop2N</v>
          </cell>
          <cell r="K1186" t="str">
            <v>heal</v>
          </cell>
          <cell r="L1186" t="str">
            <v>回復タイプ</v>
          </cell>
          <cell r="M1186" t="str">
            <v>unknown</v>
          </cell>
        </row>
        <row r="1187">
          <cell r="A1187">
            <v>8038</v>
          </cell>
          <cell r="B1187" t="str">
            <v>ja</v>
          </cell>
          <cell r="C1187" t="str">
            <v>后羿</v>
          </cell>
          <cell r="D1187" t="str">
            <v>Expoミク</v>
          </cell>
          <cell r="E1187" t="str">
            <v>執行者</v>
          </cell>
          <cell r="F1187" t="str">
            <v>格好いい</v>
          </cell>
          <cell r="G1187" t="str">
            <v>女性</v>
          </cell>
          <cell r="H1187" t="str">
            <v>blue</v>
          </cell>
          <cell r="I1187">
            <v>4</v>
          </cell>
          <cell r="J1187" t="str">
            <v>Drop2N</v>
          </cell>
          <cell r="K1187" t="str">
            <v>heal</v>
          </cell>
          <cell r="L1187" t="str">
            <v>回復タイプ</v>
          </cell>
          <cell r="M1187" t="str">
            <v>unknown</v>
          </cell>
        </row>
        <row r="1188">
          <cell r="A1188">
            <v>8039</v>
          </cell>
          <cell r="B1188" t="str">
            <v>ja</v>
          </cell>
          <cell r="C1188" t="str">
            <v>何仙姑</v>
          </cell>
          <cell r="D1188" t="str">
            <v>Expoミク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blue</v>
          </cell>
          <cell r="I1188">
            <v>4</v>
          </cell>
          <cell r="J1188" t="str">
            <v>Drop2N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8040</v>
          </cell>
          <cell r="B1189" t="str">
            <v>ja</v>
          </cell>
          <cell r="C1189" t="str">
            <v>何仙姑</v>
          </cell>
          <cell r="D1189" t="str">
            <v>Expoミク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blue</v>
          </cell>
          <cell r="I1189">
            <v>4</v>
          </cell>
          <cell r="J1189" t="str">
            <v>Drop2N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8041</v>
          </cell>
          <cell r="B1190" t="str">
            <v>ja</v>
          </cell>
          <cell r="C1190" t="str">
            <v>藍采和</v>
          </cell>
          <cell r="D1190" t="str">
            <v>Expoミク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blue</v>
          </cell>
          <cell r="I1190">
            <v>4</v>
          </cell>
          <cell r="J1190" t="str">
            <v>Drop2N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8042</v>
          </cell>
          <cell r="B1191" t="str">
            <v>ja</v>
          </cell>
          <cell r="C1191" t="str">
            <v>藍采和</v>
          </cell>
          <cell r="D1191" t="str">
            <v>Expoミク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blue</v>
          </cell>
          <cell r="I1191">
            <v>4</v>
          </cell>
          <cell r="J1191" t="str">
            <v>Drop2N</v>
          </cell>
          <cell r="K1191" t="str">
            <v>heal</v>
          </cell>
          <cell r="L1191" t="str">
            <v>回復タイプ</v>
          </cell>
          <cell r="M1191" t="str">
            <v>unknown</v>
          </cell>
        </row>
        <row r="1192">
          <cell r="A1192">
            <v>8043</v>
          </cell>
          <cell r="B1192" t="str">
            <v>ja</v>
          </cell>
          <cell r="C1192" t="str">
            <v>サンリオキャラ大集合+アザゼル</v>
          </cell>
          <cell r="D1192" t="str">
            <v>サンリオキャラ大集合+アザゼル</v>
          </cell>
          <cell r="E1192" t="str">
            <v>執行者</v>
          </cell>
          <cell r="F1192" t="str">
            <v>格好いい</v>
          </cell>
          <cell r="G1192" t="str">
            <v>女性</v>
          </cell>
          <cell r="H1192" t="str">
            <v>green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ss</v>
          </cell>
        </row>
        <row r="1193">
          <cell r="A1193">
            <v>8044</v>
          </cell>
          <cell r="B1193" t="str">
            <v>ja</v>
          </cell>
          <cell r="C1193" t="str">
            <v>サンリオキャラ大集合+アザゼル</v>
          </cell>
          <cell r="D1193" t="str">
            <v>サンリオキャラ大集合+アザゼル</v>
          </cell>
          <cell r="E1193" t="str">
            <v>執行者</v>
          </cell>
          <cell r="F1193" t="str">
            <v>格好いい</v>
          </cell>
          <cell r="G1193" t="str">
            <v>女性</v>
          </cell>
          <cell r="H1193" t="str">
            <v>green</v>
          </cell>
          <cell r="I1193">
            <v>6</v>
          </cell>
          <cell r="J1193" t="str">
            <v>DropWizS</v>
          </cell>
          <cell r="K1193" t="str">
            <v>technical</v>
          </cell>
          <cell r="L1193" t="str">
            <v>テクニカルタイプ</v>
          </cell>
          <cell r="M1193" t="str">
            <v>ss</v>
          </cell>
        </row>
        <row r="1194">
          <cell r="A1194">
            <v>8045</v>
          </cell>
          <cell r="B1194" t="str">
            <v>ja</v>
          </cell>
          <cell r="C1194" t="str">
            <v>ニムダ_サンリオキャラ混じり</v>
          </cell>
          <cell r="D1194" t="str">
            <v>ニムダ_サンリオキャラ混じり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4</v>
          </cell>
          <cell r="J1194" t="str">
            <v>Drop2N</v>
          </cell>
          <cell r="K1194" t="str">
            <v>technical</v>
          </cell>
          <cell r="L1194" t="str">
            <v>テクニカルタイプ</v>
          </cell>
          <cell r="M1194" t="str">
            <v>ss</v>
          </cell>
        </row>
        <row r="1195">
          <cell r="A1195">
            <v>8046</v>
          </cell>
          <cell r="B1195" t="str">
            <v>ja</v>
          </cell>
          <cell r="C1195" t="str">
            <v>ニムダ_サンリオキャラ混じり</v>
          </cell>
          <cell r="D1195" t="str">
            <v>ニムダ_サンリオキャラ混じり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5</v>
          </cell>
          <cell r="J1195" t="str">
            <v>Drop2N</v>
          </cell>
          <cell r="K1195" t="str">
            <v>technical</v>
          </cell>
          <cell r="L1195" t="str">
            <v>テクニカルタイプ</v>
          </cell>
          <cell r="M1195" t="str">
            <v>ss</v>
          </cell>
        </row>
        <row r="1196">
          <cell r="A1196">
            <v>8047</v>
          </cell>
          <cell r="B1196" t="str">
            <v>ja</v>
          </cell>
          <cell r="C1196" t="str">
            <v>ハローキティ</v>
          </cell>
          <cell r="D1196" t="str">
            <v>ハローキティ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red</v>
          </cell>
          <cell r="I1196">
            <v>4</v>
          </cell>
          <cell r="J1196" t="str">
            <v>Drop2N</v>
          </cell>
          <cell r="K1196" t="str">
            <v>balance</v>
          </cell>
          <cell r="L1196" t="str">
            <v>バランスタイプ</v>
          </cell>
          <cell r="M1196" t="str">
            <v>ss</v>
          </cell>
        </row>
        <row r="1197">
          <cell r="A1197">
            <v>8048</v>
          </cell>
          <cell r="B1197" t="str">
            <v>ja</v>
          </cell>
          <cell r="C1197" t="str">
            <v>ハローキティ</v>
          </cell>
          <cell r="D1197" t="str">
            <v>ハローキティ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red</v>
          </cell>
          <cell r="I1197">
            <v>5</v>
          </cell>
          <cell r="J1197" t="str">
            <v>Drop2N</v>
          </cell>
          <cell r="K1197" t="str">
            <v>balance</v>
          </cell>
          <cell r="L1197" t="str">
            <v>バランスタイプ</v>
          </cell>
          <cell r="M1197" t="str">
            <v>ss</v>
          </cell>
        </row>
        <row r="1198">
          <cell r="A1198">
            <v>8049</v>
          </cell>
          <cell r="B1198" t="str">
            <v>ja</v>
          </cell>
          <cell r="C1198" t="str">
            <v>KIRIMIちゃん</v>
          </cell>
          <cell r="D1198" t="str">
            <v>KIRIMIちゃん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4</v>
          </cell>
          <cell r="J1198" t="str">
            <v>Drop2N</v>
          </cell>
          <cell r="K1198" t="str">
            <v>hp</v>
          </cell>
          <cell r="L1198" t="str">
            <v>体力タイプ</v>
          </cell>
          <cell r="M1198" t="str">
            <v>ss</v>
          </cell>
        </row>
        <row r="1199">
          <cell r="A1199">
            <v>8050</v>
          </cell>
          <cell r="B1199" t="str">
            <v>ja</v>
          </cell>
          <cell r="C1199" t="str">
            <v>KIRIMIちゃん</v>
          </cell>
          <cell r="D1199" t="str">
            <v>KIRIMIちゃん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5</v>
          </cell>
          <cell r="J1199" t="str">
            <v>Drop2N</v>
          </cell>
          <cell r="K1199" t="str">
            <v>hp</v>
          </cell>
          <cell r="L1199" t="str">
            <v>体力タイプ</v>
          </cell>
          <cell r="M1199" t="str">
            <v>ss</v>
          </cell>
        </row>
        <row r="1200">
          <cell r="A1200">
            <v>8051</v>
          </cell>
          <cell r="B1200" t="str">
            <v>ja</v>
          </cell>
          <cell r="C1200" t="str">
            <v>ハローキティのリボン</v>
          </cell>
          <cell r="D1200" t="str">
            <v>ハローキティのリボン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red</v>
          </cell>
          <cell r="I1200">
            <v>5</v>
          </cell>
          <cell r="J1200" t="str">
            <v>Drop2N</v>
          </cell>
          <cell r="K1200" t="str">
            <v>evolution</v>
          </cell>
          <cell r="L1200" t="str">
            <v>覚醒素材タイプ</v>
          </cell>
          <cell r="M1200" t="str">
            <v>ss</v>
          </cell>
        </row>
        <row r="1201">
          <cell r="A1201">
            <v>8052</v>
          </cell>
          <cell r="B1201" t="str">
            <v>ja</v>
          </cell>
          <cell r="C1201" t="str">
            <v>ママの作ったアップルパイ</v>
          </cell>
          <cell r="D1201" t="str">
            <v>ママの作ったアップルパイ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red</v>
          </cell>
          <cell r="I1201">
            <v>4</v>
          </cell>
          <cell r="J1201" t="str">
            <v>Drop2N</v>
          </cell>
          <cell r="K1201" t="str">
            <v>evolution</v>
          </cell>
          <cell r="L1201" t="str">
            <v>覚醒素材タイプ</v>
          </cell>
          <cell r="M1201" t="str">
            <v>ss</v>
          </cell>
        </row>
        <row r="1202">
          <cell r="A1202">
            <v>8053</v>
          </cell>
          <cell r="B1202" t="str">
            <v>ja</v>
          </cell>
          <cell r="C1202" t="str">
            <v>D.R.T.H__キティコスプレ</v>
          </cell>
          <cell r="D1202" t="str">
            <v>D.R.T.H__キティコスプレ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red</v>
          </cell>
          <cell r="I1202">
            <v>5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ss</v>
          </cell>
        </row>
        <row r="1203">
          <cell r="A1203">
            <v>8054</v>
          </cell>
          <cell r="B1203" t="str">
            <v>ja</v>
          </cell>
          <cell r="C1203" t="str">
            <v>D.R.T.H__キティコスプレ</v>
          </cell>
          <cell r="D1203" t="str">
            <v>D.R.T.H__キティコスプレ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red</v>
          </cell>
          <cell r="I1203">
            <v>6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ss</v>
          </cell>
        </row>
        <row r="1204">
          <cell r="A1204">
            <v>8055</v>
          </cell>
          <cell r="B1204" t="str">
            <v>ja</v>
          </cell>
          <cell r="C1204" t="str">
            <v>マイメロディ</v>
          </cell>
          <cell r="D1204" t="str">
            <v>マイメロディ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red</v>
          </cell>
          <cell r="I1204">
            <v>4</v>
          </cell>
          <cell r="J1204" t="str">
            <v>PremiumS</v>
          </cell>
          <cell r="K1204" t="str">
            <v>attack</v>
          </cell>
          <cell r="L1204" t="str">
            <v>攻撃タイプ</v>
          </cell>
          <cell r="M1204" t="str">
            <v>ss</v>
          </cell>
        </row>
        <row r="1205">
          <cell r="A1205">
            <v>8056</v>
          </cell>
          <cell r="B1205" t="str">
            <v>ja</v>
          </cell>
          <cell r="C1205" t="str">
            <v>マイメロディ</v>
          </cell>
          <cell r="D1205" t="str">
            <v>マイメロディ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red</v>
          </cell>
          <cell r="I1205">
            <v>5</v>
          </cell>
          <cell r="J1205" t="str">
            <v>PremiumS</v>
          </cell>
          <cell r="K1205" t="str">
            <v>attack</v>
          </cell>
          <cell r="L1205" t="str">
            <v>攻撃タイプ</v>
          </cell>
          <cell r="M1205" t="str">
            <v>ss</v>
          </cell>
        </row>
        <row r="1206">
          <cell r="A1206">
            <v>8057</v>
          </cell>
          <cell r="B1206" t="str">
            <v>ja</v>
          </cell>
          <cell r="C1206" t="str">
            <v>ニーベルゲン_シナモロールコスプレ</v>
          </cell>
          <cell r="D1206" t="str">
            <v>ニーベルゲン_シナモロールコスプレ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green</v>
          </cell>
          <cell r="I1206">
            <v>4</v>
          </cell>
          <cell r="J1206" t="str">
            <v>PremiumS</v>
          </cell>
          <cell r="K1206" t="str">
            <v>balance</v>
          </cell>
          <cell r="L1206" t="str">
            <v>バランスタイプ</v>
          </cell>
          <cell r="M1206" t="str">
            <v>ss</v>
          </cell>
        </row>
        <row r="1207">
          <cell r="A1207">
            <v>8058</v>
          </cell>
          <cell r="B1207" t="str">
            <v>ja</v>
          </cell>
          <cell r="C1207" t="str">
            <v>ニーベルゲン_シナモロールコスプレ</v>
          </cell>
          <cell r="D1207" t="str">
            <v>ニーベルゲン_シナモロールコスプレ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green</v>
          </cell>
          <cell r="I1207">
            <v>5</v>
          </cell>
          <cell r="J1207" t="str">
            <v>PremiumS</v>
          </cell>
          <cell r="K1207" t="str">
            <v>balance</v>
          </cell>
          <cell r="L1207" t="str">
            <v>バランスタイプ</v>
          </cell>
          <cell r="M1207" t="str">
            <v>ss</v>
          </cell>
        </row>
        <row r="1208">
          <cell r="A1208">
            <v>8059</v>
          </cell>
          <cell r="B1208" t="str">
            <v>ja</v>
          </cell>
          <cell r="C1208" t="str">
            <v>カカシ_マイメロディコスプレ</v>
          </cell>
          <cell r="D1208" t="str">
            <v>カカシ_マイメロディコスプレ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green</v>
          </cell>
          <cell r="I1208">
            <v>4</v>
          </cell>
          <cell r="J1208" t="str">
            <v>PremiumS</v>
          </cell>
          <cell r="K1208" t="str">
            <v>technical</v>
          </cell>
          <cell r="L1208" t="str">
            <v>テクニカルタイプ</v>
          </cell>
          <cell r="M1208" t="str">
            <v>ss</v>
          </cell>
        </row>
        <row r="1209">
          <cell r="A1209">
            <v>8060</v>
          </cell>
          <cell r="B1209" t="str">
            <v>ja</v>
          </cell>
          <cell r="C1209" t="str">
            <v>カカシ_マイメロディコスプレ</v>
          </cell>
          <cell r="D1209" t="str">
            <v>カカシ_マイメロディコスプレ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green</v>
          </cell>
          <cell r="I1209">
            <v>5</v>
          </cell>
          <cell r="J1209" t="str">
            <v>PremiumS</v>
          </cell>
          <cell r="K1209" t="str">
            <v>technical</v>
          </cell>
          <cell r="L1209" t="str">
            <v>テクニカルタイプ</v>
          </cell>
          <cell r="M1209" t="str">
            <v>ss</v>
          </cell>
        </row>
        <row r="1210">
          <cell r="A1210">
            <v>8061</v>
          </cell>
          <cell r="B1210" t="str">
            <v>ja</v>
          </cell>
          <cell r="C1210" t="str">
            <v>ケロケロけろっぴ</v>
          </cell>
          <cell r="D1210" t="str">
            <v>ケロケロけろっぴ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3</v>
          </cell>
          <cell r="J1210" t="str">
            <v>PremiumS</v>
          </cell>
          <cell r="K1210" t="str">
            <v>balance</v>
          </cell>
          <cell r="L1210" t="str">
            <v>バランスタイプ</v>
          </cell>
          <cell r="M1210" t="str">
            <v>ss</v>
          </cell>
        </row>
        <row r="1211">
          <cell r="A1211">
            <v>8062</v>
          </cell>
          <cell r="B1211" t="str">
            <v>ja</v>
          </cell>
          <cell r="C1211" t="str">
            <v>ケロケロけろっぴ</v>
          </cell>
          <cell r="D1211" t="str">
            <v>ケロケロけろっぴ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balance</v>
          </cell>
          <cell r="L1211" t="str">
            <v>バランスタイプ</v>
          </cell>
          <cell r="M1211" t="str">
            <v>ss</v>
          </cell>
        </row>
        <row r="1212">
          <cell r="A1212">
            <v>8063</v>
          </cell>
          <cell r="B1212" t="str">
            <v>ja</v>
          </cell>
          <cell r="C1212" t="str">
            <v>モルドレッド_ポムポムプリンコスプレ</v>
          </cell>
          <cell r="D1212" t="str">
            <v>モルドレッド_ポムポムプリンコスプレ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5</v>
          </cell>
          <cell r="J1212" t="str">
            <v>PremiumSS</v>
          </cell>
          <cell r="K1212" t="str">
            <v>heal</v>
          </cell>
          <cell r="L1212" t="str">
            <v>回復タイプ</v>
          </cell>
          <cell r="M1212" t="str">
            <v>ss</v>
          </cell>
        </row>
        <row r="1213">
          <cell r="A1213">
            <v>8064</v>
          </cell>
          <cell r="B1213" t="str">
            <v>ja</v>
          </cell>
          <cell r="C1213" t="str">
            <v>モルドレッド_ポムポムプリンコスプレ</v>
          </cell>
          <cell r="D1213" t="str">
            <v>モルドレッド_ポムポムプリンコスプレ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6</v>
          </cell>
          <cell r="J1213" t="str">
            <v>PremiumSS</v>
          </cell>
          <cell r="K1213" t="str">
            <v>heal</v>
          </cell>
          <cell r="L1213" t="str">
            <v>回復タイプ</v>
          </cell>
          <cell r="M1213" t="str">
            <v>ss</v>
          </cell>
        </row>
        <row r="1214">
          <cell r="A1214">
            <v>8065</v>
          </cell>
          <cell r="B1214" t="str">
            <v>ja</v>
          </cell>
          <cell r="C1214" t="str">
            <v>クロミ</v>
          </cell>
          <cell r="D1214" t="str">
            <v>クロミ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blue</v>
          </cell>
          <cell r="I1214">
            <v>3</v>
          </cell>
          <cell r="J1214" t="str">
            <v>PremiumS</v>
          </cell>
          <cell r="K1214" t="str">
            <v>technical</v>
          </cell>
          <cell r="L1214" t="str">
            <v>テクニカルタイプ</v>
          </cell>
          <cell r="M1214" t="str">
            <v>ss</v>
          </cell>
        </row>
        <row r="1215">
          <cell r="A1215">
            <v>8066</v>
          </cell>
          <cell r="B1215" t="str">
            <v>ja</v>
          </cell>
          <cell r="C1215" t="str">
            <v>クロミ</v>
          </cell>
          <cell r="D1215" t="str">
            <v>クロミ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blue</v>
          </cell>
          <cell r="I1215">
            <v>4</v>
          </cell>
          <cell r="J1215" t="str">
            <v>PremiumS</v>
          </cell>
          <cell r="K1215" t="str">
            <v>technical</v>
          </cell>
          <cell r="L1215" t="str">
            <v>テクニカルタイプ</v>
          </cell>
          <cell r="M1215" t="str">
            <v>ss</v>
          </cell>
        </row>
        <row r="1216">
          <cell r="A1216">
            <v>8067</v>
          </cell>
          <cell r="B1216" t="str">
            <v>ja</v>
          </cell>
          <cell r="C1216" t="str">
            <v>バッドばつ丸</v>
          </cell>
          <cell r="D1216" t="str">
            <v>バッドばつ丸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blue</v>
          </cell>
          <cell r="I1216">
            <v>3</v>
          </cell>
          <cell r="J1216" t="str">
            <v>PremiumS</v>
          </cell>
          <cell r="K1216" t="str">
            <v>attack</v>
          </cell>
          <cell r="L1216" t="str">
            <v>攻撃タイプ</v>
          </cell>
          <cell r="M1216" t="str">
            <v>ss</v>
          </cell>
        </row>
        <row r="1217">
          <cell r="A1217">
            <v>8068</v>
          </cell>
          <cell r="B1217" t="str">
            <v>ja</v>
          </cell>
          <cell r="C1217" t="str">
            <v>バッドばつ丸</v>
          </cell>
          <cell r="D1217" t="str">
            <v>バッドばつ丸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blue</v>
          </cell>
          <cell r="I1217">
            <v>4</v>
          </cell>
          <cell r="J1217" t="str">
            <v>PremiumS</v>
          </cell>
          <cell r="K1217" t="str">
            <v>attack</v>
          </cell>
          <cell r="L1217" t="str">
            <v>攻撃タイプ</v>
          </cell>
          <cell r="M1217" t="str">
            <v>ss</v>
          </cell>
        </row>
        <row r="1218">
          <cell r="A1218">
            <v>8069</v>
          </cell>
          <cell r="B1218" t="str">
            <v>ja</v>
          </cell>
          <cell r="C1218" t="str">
            <v>シナモロール</v>
          </cell>
          <cell r="D1218" t="str">
            <v>シナモロール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yellow</v>
          </cell>
          <cell r="I1218">
            <v>4</v>
          </cell>
          <cell r="J1218" t="str">
            <v>PremiumS</v>
          </cell>
          <cell r="K1218" t="str">
            <v>heal</v>
          </cell>
          <cell r="L1218" t="str">
            <v>回復タイプ</v>
          </cell>
          <cell r="M1218" t="str">
            <v>ss</v>
          </cell>
        </row>
        <row r="1219">
          <cell r="A1219">
            <v>8070</v>
          </cell>
          <cell r="B1219" t="str">
            <v>ja</v>
          </cell>
          <cell r="C1219" t="str">
            <v>シナモロール</v>
          </cell>
          <cell r="D1219" t="str">
            <v>シナモロール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yellow</v>
          </cell>
          <cell r="I1219">
            <v>5</v>
          </cell>
          <cell r="J1219" t="str">
            <v>PremiumS</v>
          </cell>
          <cell r="K1219" t="str">
            <v>heal</v>
          </cell>
          <cell r="L1219" t="str">
            <v>回復タイプ</v>
          </cell>
          <cell r="M1219" t="str">
            <v>ss</v>
          </cell>
        </row>
        <row r="1220">
          <cell r="A1220">
            <v>8071</v>
          </cell>
          <cell r="B1220" t="str">
            <v>ja</v>
          </cell>
          <cell r="C1220" t="str">
            <v>ポムポムプリン</v>
          </cell>
          <cell r="D1220" t="str">
            <v>ポムポムプリン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yellow</v>
          </cell>
          <cell r="I1220">
            <v>3</v>
          </cell>
          <cell r="J1220" t="str">
            <v>PremiumS</v>
          </cell>
          <cell r="K1220" t="str">
            <v>hp</v>
          </cell>
          <cell r="L1220" t="str">
            <v>体力タイプ</v>
          </cell>
          <cell r="M1220" t="str">
            <v>ss</v>
          </cell>
        </row>
        <row r="1221">
          <cell r="A1221">
            <v>8072</v>
          </cell>
          <cell r="B1221" t="str">
            <v>ja</v>
          </cell>
          <cell r="C1221" t="str">
            <v>ポムポムプリン</v>
          </cell>
          <cell r="D1221" t="str">
            <v>ポムポムプリン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yellow</v>
          </cell>
          <cell r="I1221">
            <v>4</v>
          </cell>
          <cell r="J1221" t="str">
            <v>PremiumS</v>
          </cell>
          <cell r="K1221" t="str">
            <v>hp</v>
          </cell>
          <cell r="L1221" t="str">
            <v>体力タイプ</v>
          </cell>
          <cell r="M1221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B5" sqref="B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391100</v>
      </c>
      <c r="D2" s="19" t="s">
        <v>45</v>
      </c>
      <c r="E2" s="17" t="str">
        <f t="shared" ref="E2" si="1">B2&amp;C2&amp;D2</f>
        <v>gacha_select_tables_391100.tmp</v>
      </c>
      <c r="F2" s="95" t="s">
        <v>248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247</v>
      </c>
      <c r="B3" s="61" t="s">
        <v>110</v>
      </c>
      <c r="C3" s="50" t="str">
        <f t="shared" ref="C3:C7" si="2">RIGHT(F3,6)</f>
        <v>391010</v>
      </c>
      <c r="D3" s="19" t="s">
        <v>45</v>
      </c>
      <c r="E3" s="17" t="str">
        <f t="shared" ref="E3:E10" si="3">B3&amp;C3&amp;D3</f>
        <v>gacha_select_tables_391010.tmp</v>
      </c>
      <c r="F3" s="95" t="s">
        <v>249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250</v>
      </c>
      <c r="B4" s="99" t="s">
        <v>252</v>
      </c>
      <c r="C4" s="50" t="str">
        <f>RIGHT(F4,6)</f>
        <v>391011</v>
      </c>
      <c r="D4" s="19" t="s">
        <v>45</v>
      </c>
      <c r="E4" s="17" t="str">
        <f>B4&amp;C4&amp;D4</f>
        <v>gacha_select_tables_391011.tmp</v>
      </c>
      <c r="F4" s="98" t="s">
        <v>251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opLeftCell="A2" workbookViewId="0">
      <selection activeCell="E36" sqref="E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VLOOKUP(L3,tables_391010!B:C,2,FALSE)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VLOOKUP(L4,tables_391010!B:C,2,FALSE)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1.1111111111111111E-3</v>
      </c>
      <c r="F5">
        <f>(COUNTIF(tables_391010!C:C,input_391010!A28)+COUNTIF(tables_391010!C:C,input_391010!A29))</f>
        <v>45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VLOOKUP(L5,tables_391010!B:C,2,FALSE)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1.0919540229885057E-2</v>
      </c>
      <c r="F6">
        <f>(COUNTIF(tables_391010!C:C,input_391010!A25)+COUNTIF(tables_391010!C:C,input_391010!A18)+COUNTIF(tables_391010!C:C,input_391010!A20)+COUNTIF(tables_391010!C:C,input_391010!A22))</f>
        <v>87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VLOOKUP(L6,tables_391010!B:C,2,FALSE)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VLOOKUP(L7,tables_391010!B:C,2,FALSE)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VLOOKUP(L8,tables_391010!B:C,2,FALSE)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VLOOKUP(L9,tables_391010!B:C,2,FALSE)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VLOOKUP(L10,tables_391010!B:C,2,FALSE)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VLOOKUP(L11,tables_391010!B:C,2,FALSE)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0.19425287356321841</v>
      </c>
      <c r="C17" s="85">
        <f t="shared" ref="C17:C31" si="2">SUMIF(Q:Q,A17,N:N)</f>
        <v>0</v>
      </c>
      <c r="D17" s="74">
        <f t="shared" ref="D17:D32" si="3">B17-C17</f>
        <v>0.19425287356321841</v>
      </c>
      <c r="E17">
        <f>COUNTIF(tables_391010!C:C,input_391010!A17)-COUNTIF(Q:Q,A17)</f>
        <v>20</v>
      </c>
      <c r="F17" s="43">
        <f>IFERROR(B17/E17,0)</f>
        <v>9.7126436781609198E-3</v>
      </c>
      <c r="G17">
        <f t="shared" ref="G17:G31" si="4">A$36*B17</f>
        <v>5070000.0000000009</v>
      </c>
      <c r="H17">
        <f t="shared" ref="H17:H31" si="5">IFERROR(ROUND(G17/E17,5),0)</f>
        <v>253500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2.4137931034482751E-2</v>
      </c>
      <c r="C18" s="85">
        <f t="shared" si="2"/>
        <v>0</v>
      </c>
      <c r="D18" s="74">
        <f t="shared" si="3"/>
        <v>2.4137931034482751E-2</v>
      </c>
      <c r="E18">
        <f>COUNTIF(tables_391010!C:C,input_391010!A18)-COUNTIF(Q:Q,A18)</f>
        <v>20</v>
      </c>
      <c r="F18" s="43">
        <f>IFERROR(B18/E18,0)</f>
        <v>1.2068965517241376E-3</v>
      </c>
      <c r="G18">
        <f t="shared" si="4"/>
        <v>629999.99999999977</v>
      </c>
      <c r="H18">
        <f t="shared" si="5"/>
        <v>31500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0.28390804597701147</v>
      </c>
      <c r="C19" s="85">
        <f t="shared" si="2"/>
        <v>0</v>
      </c>
      <c r="D19" s="74">
        <f t="shared" si="3"/>
        <v>0.28390804597701147</v>
      </c>
      <c r="E19">
        <f>COUNTIF(tables_391010!C:C,input_391010!A19)-COUNTIF(Q:Q,A19)</f>
        <v>52</v>
      </c>
      <c r="F19" s="43">
        <f t="shared" ref="F19:F31" si="8">IFERROR(B19/E19,0)</f>
        <v>5.4597701149425287E-3</v>
      </c>
      <c r="G19">
        <f t="shared" si="4"/>
        <v>7409999.9999999991</v>
      </c>
      <c r="H19">
        <f t="shared" si="5"/>
        <v>142500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6">
        <f>E$6*E20*B$6+E34</f>
        <v>0.2625421455938699</v>
      </c>
      <c r="C20" s="85">
        <f t="shared" si="2"/>
        <v>0</v>
      </c>
      <c r="D20" s="74">
        <f t="shared" si="3"/>
        <v>0.2625421455938699</v>
      </c>
      <c r="E20">
        <f>COUNTIF(tables_391010!C:C,input_391010!A20)-COUNTIF(Q:Q,A20)</f>
        <v>52</v>
      </c>
      <c r="F20" s="43">
        <f t="shared" si="8"/>
        <v>5.0488874152667292E-3</v>
      </c>
      <c r="G20">
        <f t="shared" si="4"/>
        <v>6852350.0000000047</v>
      </c>
      <c r="H20">
        <f t="shared" si="5"/>
        <v>131775.96153999999</v>
      </c>
      <c r="I20">
        <f t="shared" si="6"/>
        <v>0.96153999998932704</v>
      </c>
      <c r="J20">
        <f t="shared" si="7"/>
        <v>1.0399983360142062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2.1365900383141765E-2</v>
      </c>
      <c r="C21" s="85">
        <f t="shared" si="2"/>
        <v>0</v>
      </c>
      <c r="D21" s="74">
        <f t="shared" si="3"/>
        <v>2.1365900383141765E-2</v>
      </c>
      <c r="E21">
        <f>COUNTIF(tables_391010!C:C,input_391010!A21)-COUNTIF(Q:Q,A21)</f>
        <v>52</v>
      </c>
      <c r="F21" s="43">
        <f t="shared" si="8"/>
        <v>4.1088269967580319E-4</v>
      </c>
      <c r="G21">
        <f t="shared" si="4"/>
        <v>557650.00000000012</v>
      </c>
      <c r="H21">
        <f t="shared" si="5"/>
        <v>10724.03846</v>
      </c>
      <c r="I21">
        <f t="shared" si="6"/>
        <v>3.845999999975902E-2</v>
      </c>
      <c r="J21">
        <f t="shared" si="7"/>
        <v>26.001040041764579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0.11410919540229884</v>
      </c>
      <c r="C22" s="85">
        <f t="shared" si="2"/>
        <v>0</v>
      </c>
      <c r="D22" s="74">
        <f t="shared" si="3"/>
        <v>0.11410919540229884</v>
      </c>
      <c r="E22">
        <f>COUNTIF(tables_391010!C:C,input_391010!A22)-COUNTIF(Q:Q,A22)</f>
        <v>11</v>
      </c>
      <c r="F22" s="43">
        <f t="shared" si="8"/>
        <v>1.0373563218390804E-2</v>
      </c>
      <c r="G22">
        <f t="shared" si="4"/>
        <v>2978250</v>
      </c>
      <c r="H22">
        <f t="shared" si="5"/>
        <v>270750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6.0057471264367817E-3</v>
      </c>
      <c r="C23" s="85">
        <f t="shared" si="2"/>
        <v>0</v>
      </c>
      <c r="D23" s="74">
        <f t="shared" si="3"/>
        <v>6.0057471264367817E-3</v>
      </c>
      <c r="E23">
        <f>COUNTIF(tables_391010!C:C,input_391010!A23)-COUNTIF(Q:Q,A23)</f>
        <v>11</v>
      </c>
      <c r="F23" s="43">
        <f t="shared" si="8"/>
        <v>5.4597701149425293E-4</v>
      </c>
      <c r="G23">
        <f t="shared" si="4"/>
        <v>156750</v>
      </c>
      <c r="H23">
        <f t="shared" si="5"/>
        <v>14250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2.1839080459770115E-2</v>
      </c>
      <c r="C24" s="85">
        <f t="shared" si="2"/>
        <v>0</v>
      </c>
      <c r="D24" s="74">
        <f t="shared" si="3"/>
        <v>2.1839080459770115E-2</v>
      </c>
      <c r="E24">
        <f>COUNTIF(tables_391010!C:C,input_391010!A24)-COUNTIF(Q:Q,A24)</f>
        <v>4</v>
      </c>
      <c r="F24" s="43">
        <f t="shared" si="8"/>
        <v>5.4597701149425287E-3</v>
      </c>
      <c r="G24">
        <f t="shared" si="4"/>
        <v>570000</v>
      </c>
      <c r="H24">
        <f t="shared" si="5"/>
        <v>142500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1.9655172413793102E-2</v>
      </c>
      <c r="C25" s="85">
        <f t="shared" si="2"/>
        <v>0</v>
      </c>
      <c r="D25" s="74">
        <f t="shared" si="3"/>
        <v>1.9655172413793102E-2</v>
      </c>
      <c r="E25">
        <f>COUNTIF(tables_391010!C:C,input_391010!A25)-COUNTIF(Q:Q,A25)</f>
        <v>4</v>
      </c>
      <c r="F25" s="43">
        <f t="shared" si="8"/>
        <v>4.9137931034482756E-3</v>
      </c>
      <c r="G25">
        <f t="shared" si="4"/>
        <v>513000</v>
      </c>
      <c r="H25">
        <f t="shared" si="5"/>
        <v>128250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2.1839080459770117E-3</v>
      </c>
      <c r="C26" s="85">
        <f t="shared" si="2"/>
        <v>0</v>
      </c>
      <c r="D26" s="74">
        <f t="shared" si="3"/>
        <v>2.1839080459770117E-3</v>
      </c>
      <c r="E26">
        <f>COUNTIF(tables_391010!C:C,input_391010!A26)-COUNTIF(Q:Q,A26)</f>
        <v>4</v>
      </c>
      <c r="F26" s="43">
        <f t="shared" si="8"/>
        <v>5.4597701149425293E-4</v>
      </c>
      <c r="G26">
        <f t="shared" si="4"/>
        <v>57000.000000000007</v>
      </c>
      <c r="H26">
        <f t="shared" si="5"/>
        <v>14250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2.9555555555555554E-2</v>
      </c>
      <c r="C27" s="85">
        <f t="shared" si="2"/>
        <v>0</v>
      </c>
      <c r="D27" s="74">
        <f t="shared" si="3"/>
        <v>2.9555555555555554E-2</v>
      </c>
      <c r="E27">
        <f>COUNTIF(tables_391010!C:C,input_391010!A27)-COUNTIF(Q:Q,A27)</f>
        <v>28</v>
      </c>
      <c r="F27" s="43">
        <f>IFERROR(B27/E27,0)</f>
        <v>1.0555555555555555E-3</v>
      </c>
      <c r="G27">
        <f t="shared" si="4"/>
        <v>771400</v>
      </c>
      <c r="H27">
        <f t="shared" si="5"/>
        <v>27550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1.5555555555555557E-3</v>
      </c>
      <c r="C28" s="85">
        <f t="shared" si="2"/>
        <v>0</v>
      </c>
      <c r="D28" s="74">
        <f t="shared" si="3"/>
        <v>1.5555555555555557E-3</v>
      </c>
      <c r="E28">
        <f>COUNTIF(tables_391010!C:C,input_391010!A28)-COUNTIF(Q:Q,A28)</f>
        <v>28</v>
      </c>
      <c r="F28" s="43">
        <f t="shared" si="8"/>
        <v>5.5555555555555558E-5</v>
      </c>
      <c r="G28">
        <f t="shared" si="4"/>
        <v>40600</v>
      </c>
      <c r="H28">
        <f t="shared" si="5"/>
        <v>1450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1.8888888888888889E-2</v>
      </c>
      <c r="C29" s="85">
        <f t="shared" si="2"/>
        <v>0</v>
      </c>
      <c r="D29" s="74">
        <f t="shared" si="3"/>
        <v>1.8888888888888889E-2</v>
      </c>
      <c r="E29">
        <f>COUNTIF(tables_391010!C:C,input_391010!A29)-COUNTIF(Q:Q,A29)</f>
        <v>17</v>
      </c>
      <c r="F29" s="43">
        <f t="shared" si="8"/>
        <v>1.1111111111111111E-3</v>
      </c>
      <c r="G29">
        <f t="shared" si="4"/>
        <v>493000</v>
      </c>
      <c r="H29">
        <f t="shared" si="5"/>
        <v>29000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COUNTIF(tables_391010!C:C,input_391010!A30)-COUNTIF(Q:Q,A30)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COUNTIF(tables_391010!C:C,input_391010!A31)-COUNTIF(Q:Q,A31)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7.0249042145595908E-3</v>
      </c>
    </row>
    <row r="35" spans="1:7" x14ac:dyDescent="0.15">
      <c r="A35" t="s">
        <v>73</v>
      </c>
    </row>
    <row r="36" spans="1:7" x14ac:dyDescent="0.15">
      <c r="A36" s="31">
        <f>LCM(F5-I5,F6-I6)*1000*2*2*5</f>
        <v>26100000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SUMIF(tables_391010!C:C,input_391010!A40,tables_391010!O:O)</f>
        <v>7410000</v>
      </c>
      <c r="C40" s="54">
        <f t="shared" ref="C40:C46" ca="1" si="9">B40/B$47</f>
        <v>0.47402763561924283</v>
      </c>
      <c r="E40">
        <v>3</v>
      </c>
      <c r="F40">
        <f ca="1">SUMIF(tables_391010!J:J,input_391010!E40,tables_391010!O:O)</f>
        <v>13050000</v>
      </c>
      <c r="G40">
        <f ca="1">F40/A36</f>
        <v>0.5</v>
      </c>
    </row>
    <row r="41" spans="1:7" x14ac:dyDescent="0.15">
      <c r="A41" s="33" t="s">
        <v>104</v>
      </c>
      <c r="B41">
        <f ca="1">SUMIF(tables_391010!C:C,input_391010!A41,tables_391010!O:O)</f>
        <v>6852350.0000799922</v>
      </c>
      <c r="C41" s="54">
        <f t="shared" ca="1" si="9"/>
        <v>0.43835401740532215</v>
      </c>
      <c r="E41">
        <v>4</v>
      </c>
      <c r="F41">
        <f ca="1">SUMIF(tables_391010!J:J,input_391010!E41,tables_391010!O:O)</f>
        <v>11745000.000079991</v>
      </c>
      <c r="G41">
        <f ca="1">F41/A36</f>
        <v>0.45000000000306478</v>
      </c>
    </row>
    <row r="42" spans="1:7" x14ac:dyDescent="0.15">
      <c r="A42" s="33" t="s">
        <v>106</v>
      </c>
      <c r="B42">
        <f ca="1">SUMIF(tables_391010!C:C,input_391010!A42,tables_391010!O:O)</f>
        <v>771400</v>
      </c>
      <c r="C42" s="54">
        <f t="shared" ca="1" si="9"/>
        <v>4.9347492323439122E-2</v>
      </c>
      <c r="E42">
        <v>5</v>
      </c>
      <c r="F42">
        <f ca="1">SUMIF(tables_391010!J:J,input_391010!E42,tables_391010!O:O)</f>
        <v>1304999.9999199999</v>
      </c>
      <c r="G42">
        <f ca="1">F42/A36</f>
        <v>4.9999999996934857E-2</v>
      </c>
    </row>
    <row r="43" spans="1:7" x14ac:dyDescent="0.15">
      <c r="A43" s="33" t="s">
        <v>109</v>
      </c>
      <c r="B43">
        <f>SUMIF(tables_391010!C:C,input_391010!A43,tables_391010!O:O)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SUMIF(tables_391010!C:C,input_391010!A44,tables_391010!O:O)</f>
        <v>557649.99992000021</v>
      </c>
      <c r="C44" s="54">
        <f t="shared" ca="1" si="9"/>
        <v>3.5673618213920191E-2</v>
      </c>
      <c r="E44" t="s">
        <v>54</v>
      </c>
      <c r="F44" s="55"/>
    </row>
    <row r="45" spans="1:7" x14ac:dyDescent="0.15">
      <c r="A45" s="33" t="s">
        <v>107</v>
      </c>
      <c r="B45">
        <f ca="1">SUMIF(tables_391010!C:C,input_391010!A45,tables_391010!O:O)</f>
        <v>40600</v>
      </c>
      <c r="C45" s="54">
        <f t="shared" ca="1" si="9"/>
        <v>2.5972364380757434E-3</v>
      </c>
      <c r="E45" t="s">
        <v>204</v>
      </c>
      <c r="F45" s="55">
        <f ca="1">SUMIF(tables_391010!I:I,input_391010!E45,tables_391010!P:P)</f>
        <v>0.21839080459770122</v>
      </c>
    </row>
    <row r="46" spans="1:7" x14ac:dyDescent="0.15">
      <c r="A46" s="33" t="s">
        <v>108</v>
      </c>
      <c r="B46">
        <f>SUMIF(tables_391010!C:C,input_391010!A46,tables_391010!O:O)</f>
        <v>0</v>
      </c>
      <c r="C46" s="54">
        <f t="shared" ca="1" si="9"/>
        <v>0</v>
      </c>
      <c r="E46" t="s">
        <v>205</v>
      </c>
      <c r="F46" s="55">
        <f ca="1">SUMIF(tables_391010!I:I,input_391010!E46,tables_391010!P:P)</f>
        <v>0.21839080459770113</v>
      </c>
    </row>
    <row r="47" spans="1:7" x14ac:dyDescent="0.15">
      <c r="A47" s="39" t="s">
        <v>59</v>
      </c>
      <c r="B47">
        <f ca="1">SUM(B40:B46)</f>
        <v>15631999.999999993</v>
      </c>
      <c r="C47" s="55">
        <f ca="1">SUM(C40:C46)</f>
        <v>1</v>
      </c>
      <c r="E47" t="s">
        <v>206</v>
      </c>
      <c r="F47" s="55">
        <f ca="1">SUMIF(tables_391010!I:I,input_391010!E47,tables_391010!P:P)</f>
        <v>0.5132183908045973</v>
      </c>
    </row>
    <row r="48" spans="1:7" x14ac:dyDescent="0.15">
      <c r="E48" t="s">
        <v>207</v>
      </c>
      <c r="F48" s="55">
        <f ca="1">SUMIF(tables_391010!I:I,input_391010!E48,tables_391010!P:P)</f>
        <v>5.000000000000001E-2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8"/>
  <sheetViews>
    <sheetView tabSelected="1" workbookViewId="0">
      <selection activeCell="B22" sqref="B2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391011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VLOOKUP(L3,tables_391011!B:C,2,FALSE)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VLOOKUP(L4,tables_391011!B:C,2,FALSE)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6.6666666666666664E-4</v>
      </c>
      <c r="F5">
        <f>(COUNTIF(tables_391011!C:C,input_391011!A28)+COUNTIF(tables_391011!C:C,input_391011!A29))</f>
        <v>45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VLOOKUP(L5,tables_391011!B:C,2,FALSE)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1.1149425287356322E-2</v>
      </c>
      <c r="F6">
        <f>(COUNTIF(tables_391011!C:C,input_391011!A25)+COUNTIF(tables_391011!C:C,input_391011!A18)+COUNTIF(tables_391011!C:C,input_391011!A20)+COUNTIF(tables_391011!C:C,input_391011!A22))</f>
        <v>87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VLOOKUP(L6,tables_391011!B:C,2,FALSE)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VLOOKUP(L7,tables_391011!B:C,2,FALSE)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VLOOKUP(L8,tables_391011!B:C,2,FALSE)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VLOOKUP(L9,tables_391011!B:C,2,FALSE)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VLOOKUP(L10,tables_391011!B:C,2,FALSE)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0.03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VLOOKUP(L11,tables_391011!B:C,2,FALSE)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VLOOKUP(L12,tables_391011!B:C,2,FALSE)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VLOOKUP(L13,tables_391011!B:C,2,FALSE)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VLOOKUP(L14,tables_391011!B:C,2,FALSE)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VLOOKUP(L15,tables_391011!B:C,2,FALSE)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VLOOKUP(L16,tables_391011!B:C,2,FALSE)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0.18781609195402299</v>
      </c>
      <c r="C17" s="85">
        <f t="shared" ref="C17:C31" si="2">SUMIF(Q:Q,A17,N:N)</f>
        <v>0</v>
      </c>
      <c r="D17" s="74">
        <f t="shared" ref="D17:D32" si="3">B17-C17</f>
        <v>0.18781609195402299</v>
      </c>
      <c r="E17">
        <f>COUNTIF(tables_391011!C:C,input_391011!A17)-COUNTIF(Q:Q,A17)</f>
        <v>20</v>
      </c>
      <c r="F17" s="43">
        <f>IFERROR(B17/E17,0)</f>
        <v>9.3908045977011499E-3</v>
      </c>
      <c r="G17">
        <f t="shared" ref="G17:G31" si="4">A$36*B17</f>
        <v>4902000</v>
      </c>
      <c r="H17">
        <f t="shared" ref="H17:H31" si="5">IFERROR(ROUND(G17/E17,5),0)</f>
        <v>245100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VLOOKUP(L17,tables_391011!B:C,2,FALSE)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3.5172413793103458E-2</v>
      </c>
      <c r="C18" s="85">
        <f t="shared" si="2"/>
        <v>0</v>
      </c>
      <c r="D18" s="74">
        <f t="shared" si="3"/>
        <v>3.5172413793103458E-2</v>
      </c>
      <c r="E18">
        <f>COUNTIF(tables_391011!C:C,input_391011!A18)-COUNTIF(Q:Q,A18)</f>
        <v>20</v>
      </c>
      <c r="F18" s="43">
        <f>IFERROR(B18/E18,0)</f>
        <v>1.7586206896551728E-3</v>
      </c>
      <c r="G18">
        <f t="shared" si="4"/>
        <v>918000.00000000023</v>
      </c>
      <c r="H18">
        <f t="shared" si="5"/>
        <v>45900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VLOOKUP(L18,tables_391011!B:C,2,FALSE)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0.28988505747126436</v>
      </c>
      <c r="C19" s="85">
        <f t="shared" si="2"/>
        <v>0</v>
      </c>
      <c r="D19" s="74">
        <f t="shared" si="3"/>
        <v>0.28988505747126436</v>
      </c>
      <c r="E19">
        <f>COUNTIF(tables_391011!C:C,input_391011!A19)-COUNTIF(Q:Q,A19)</f>
        <v>52</v>
      </c>
      <c r="F19" s="43">
        <f t="shared" ref="F19:F31" si="8">IFERROR(B19/E19,0)</f>
        <v>5.574712643678161E-3</v>
      </c>
      <c r="G19">
        <f t="shared" si="4"/>
        <v>7566000</v>
      </c>
      <c r="H19">
        <f t="shared" si="5"/>
        <v>145500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VLOOKUP(L19,tables_391011!B:C,2,FALSE)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82">
        <f>E$6*E20*B$6-E34</f>
        <v>0.2605137931034483</v>
      </c>
      <c r="C20" s="85">
        <f t="shared" si="2"/>
        <v>0</v>
      </c>
      <c r="D20" s="74">
        <f t="shared" si="3"/>
        <v>0.2605137931034483</v>
      </c>
      <c r="E20">
        <f>COUNTIF(tables_391011!C:C,input_391011!A20)-COUNTIF(Q:Q,A20)</f>
        <v>52</v>
      </c>
      <c r="F20" s="43">
        <f t="shared" si="8"/>
        <v>5.0098806366047754E-3</v>
      </c>
      <c r="G20">
        <f t="shared" si="4"/>
        <v>6799410.0000000009</v>
      </c>
      <c r="H20">
        <f t="shared" si="5"/>
        <v>130757.88462</v>
      </c>
      <c r="I20">
        <f t="shared" si="6"/>
        <v>0.88461999999708496</v>
      </c>
      <c r="J20">
        <f t="shared" si="7"/>
        <v>1.1304288847225874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VLOOKUP(L20,tables_391011!B:C,2,FALSE)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100">
        <f>E$6*E21*B$7+E34</f>
        <v>2.9371264367816088E-2</v>
      </c>
      <c r="C21" s="85">
        <f t="shared" si="2"/>
        <v>0</v>
      </c>
      <c r="D21" s="74">
        <f t="shared" si="3"/>
        <v>2.9371264367816088E-2</v>
      </c>
      <c r="E21">
        <f>COUNTIF(tables_391011!C:C,input_391011!A21)-COUNTIF(Q:Q,A21)</f>
        <v>52</v>
      </c>
      <c r="F21" s="43">
        <f t="shared" si="8"/>
        <v>5.6483200707338629E-4</v>
      </c>
      <c r="G21">
        <f t="shared" si="4"/>
        <v>766589.99999999988</v>
      </c>
      <c r="H21">
        <f t="shared" si="5"/>
        <v>14742.115379999999</v>
      </c>
      <c r="I21">
        <f t="shared" si="6"/>
        <v>0.11537999999927706</v>
      </c>
      <c r="J21">
        <f t="shared" si="7"/>
        <v>8.6670133472548603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0.11651149425287358</v>
      </c>
      <c r="C22" s="85">
        <f t="shared" si="2"/>
        <v>0</v>
      </c>
      <c r="D22" s="74">
        <f t="shared" si="3"/>
        <v>0.11651149425287358</v>
      </c>
      <c r="E22">
        <f>COUNTIF(tables_391011!C:C,input_391011!A22)-COUNTIF(Q:Q,A22)</f>
        <v>11</v>
      </c>
      <c r="F22" s="43">
        <f t="shared" si="8"/>
        <v>1.0591954022988508E-2</v>
      </c>
      <c r="G22">
        <f t="shared" si="4"/>
        <v>3040950.0000000005</v>
      </c>
      <c r="H22">
        <f t="shared" si="5"/>
        <v>276450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6.1321839080459781E-3</v>
      </c>
      <c r="C23" s="85">
        <f t="shared" si="2"/>
        <v>0</v>
      </c>
      <c r="D23" s="74">
        <f t="shared" si="3"/>
        <v>6.1321839080459781E-3</v>
      </c>
      <c r="E23">
        <f>COUNTIF(tables_391011!C:C,input_391011!A23)-COUNTIF(Q:Q,A23)</f>
        <v>11</v>
      </c>
      <c r="F23" s="43">
        <f t="shared" si="8"/>
        <v>5.5747126436781619E-4</v>
      </c>
      <c r="G23">
        <f t="shared" si="4"/>
        <v>160050.00000000003</v>
      </c>
      <c r="H23">
        <f t="shared" si="5"/>
        <v>14550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2.2298850574712644E-2</v>
      </c>
      <c r="C24" s="85">
        <f t="shared" si="2"/>
        <v>0</v>
      </c>
      <c r="D24" s="74">
        <f t="shared" si="3"/>
        <v>2.2298850574712644E-2</v>
      </c>
      <c r="E24">
        <f>COUNTIF(tables_391011!C:C,input_391011!A24)-COUNTIF(Q:Q,A24)</f>
        <v>4</v>
      </c>
      <c r="F24" s="43">
        <f t="shared" si="8"/>
        <v>5.574712643678161E-3</v>
      </c>
      <c r="G24">
        <f t="shared" si="4"/>
        <v>582000</v>
      </c>
      <c r="H24">
        <f t="shared" si="5"/>
        <v>145500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2.0068965517241379E-2</v>
      </c>
      <c r="C25" s="85">
        <f t="shared" si="2"/>
        <v>0</v>
      </c>
      <c r="D25" s="74">
        <f t="shared" si="3"/>
        <v>2.0068965517241379E-2</v>
      </c>
      <c r="E25">
        <f>COUNTIF(tables_391011!C:C,input_391011!A25)-COUNTIF(Q:Q,A25)</f>
        <v>4</v>
      </c>
      <c r="F25" s="43">
        <f t="shared" si="8"/>
        <v>5.0172413793103448E-3</v>
      </c>
      <c r="G25">
        <f t="shared" si="4"/>
        <v>523800</v>
      </c>
      <c r="H25">
        <f t="shared" si="5"/>
        <v>130950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2.2298850574712643E-3</v>
      </c>
      <c r="C26" s="85">
        <f t="shared" si="2"/>
        <v>0</v>
      </c>
      <c r="D26" s="74">
        <f t="shared" si="3"/>
        <v>2.2298850574712643E-3</v>
      </c>
      <c r="E26">
        <f>COUNTIF(tables_391011!C:C,input_391011!A26)-COUNTIF(Q:Q,A26)</f>
        <v>4</v>
      </c>
      <c r="F26" s="43">
        <f t="shared" si="8"/>
        <v>5.5747126436781608E-4</v>
      </c>
      <c r="G26">
        <f t="shared" si="4"/>
        <v>58200</v>
      </c>
      <c r="H26">
        <f t="shared" si="5"/>
        <v>14550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1.773333333333333E-2</v>
      </c>
      <c r="C27" s="85">
        <f t="shared" si="2"/>
        <v>0</v>
      </c>
      <c r="D27" s="74">
        <f t="shared" si="3"/>
        <v>1.773333333333333E-2</v>
      </c>
      <c r="E27">
        <f>COUNTIF(tables_391011!C:C,input_391011!A27)-COUNTIF(Q:Q,A27)</f>
        <v>28</v>
      </c>
      <c r="F27" s="43">
        <f>IFERROR(B27/E27,0)</f>
        <v>6.3333333333333319E-4</v>
      </c>
      <c r="G27">
        <f t="shared" si="4"/>
        <v>462839.99999999994</v>
      </c>
      <c r="H27">
        <f t="shared" si="5"/>
        <v>16530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9.3333333333333332E-4</v>
      </c>
      <c r="C28" s="85">
        <f t="shared" si="2"/>
        <v>0</v>
      </c>
      <c r="D28" s="74">
        <f t="shared" si="3"/>
        <v>9.3333333333333332E-4</v>
      </c>
      <c r="E28">
        <f>COUNTIF(tables_391011!C:C,input_391011!A28)-COUNTIF(Q:Q,A28)</f>
        <v>28</v>
      </c>
      <c r="F28" s="43">
        <f t="shared" si="8"/>
        <v>3.3333333333333335E-5</v>
      </c>
      <c r="G28">
        <f t="shared" si="4"/>
        <v>24360</v>
      </c>
      <c r="H28">
        <f t="shared" si="5"/>
        <v>870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1.1333333333333332E-2</v>
      </c>
      <c r="C29" s="85">
        <f t="shared" si="2"/>
        <v>0</v>
      </c>
      <c r="D29" s="74">
        <f t="shared" si="3"/>
        <v>1.1333333333333332E-2</v>
      </c>
      <c r="E29">
        <f>COUNTIF(tables_391011!C:C,input_391011!A29)-COUNTIF(Q:Q,A29)</f>
        <v>17</v>
      </c>
      <c r="F29" s="43">
        <f t="shared" si="8"/>
        <v>6.6666666666666664E-4</v>
      </c>
      <c r="G29">
        <f t="shared" si="4"/>
        <v>295800</v>
      </c>
      <c r="H29">
        <f t="shared" si="5"/>
        <v>17400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COUNTIF(tables_391011!C:C,input_391011!A30)-COUNTIF(Q:Q,A30)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COUNTIF(tables_391011!C:C,input_391011!A31)-COUNTIF(Q:Q,A31)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3.8275862068964939E-4</v>
      </c>
    </row>
    <row r="35" spans="1:7" x14ac:dyDescent="0.15">
      <c r="A35" t="s">
        <v>73</v>
      </c>
    </row>
    <row r="36" spans="1:7" x14ac:dyDescent="0.15">
      <c r="A36" s="31">
        <f>LCM(F5-I5,F6-I6)*1000*2*2*5</f>
        <v>26100000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SUMIF(tables_391011!C:C,input_391011!A40,tables_391011!O:O)</f>
        <v>7566000</v>
      </c>
      <c r="C40" s="54">
        <f t="shared" ref="C40:C46" ca="1" si="9">B40/B$47</f>
        <v>0.48440381069453003</v>
      </c>
      <c r="E40">
        <v>3</v>
      </c>
      <c r="F40">
        <f ca="1">SUMIF(tables_391011!J:J,input_391011!E40,tables_391011!O:O)</f>
        <v>13050000</v>
      </c>
      <c r="G40">
        <f ca="1">F40/A36</f>
        <v>0.5</v>
      </c>
    </row>
    <row r="41" spans="1:7" x14ac:dyDescent="0.15">
      <c r="A41" s="33" t="s">
        <v>104</v>
      </c>
      <c r="B41">
        <f ca="1">SUMIF(tables_391011!C:C,input_391011!A41,tables_391011!O:O)</f>
        <v>6799410.0002399953</v>
      </c>
      <c r="C41" s="54">
        <f t="shared" ca="1" si="9"/>
        <v>0.43532383222188065</v>
      </c>
      <c r="E41">
        <v>4</v>
      </c>
      <c r="F41">
        <f ca="1">SUMIF(tables_391011!J:J,input_391011!E41,tables_391011!O:O)</f>
        <v>11745000.000239991</v>
      </c>
      <c r="G41">
        <f ca="1">F41/A36</f>
        <v>0.45000000000919504</v>
      </c>
    </row>
    <row r="42" spans="1:7" x14ac:dyDescent="0.15">
      <c r="A42" s="33" t="s">
        <v>106</v>
      </c>
      <c r="B42">
        <f ca="1">SUMIF(tables_391011!C:C,input_391011!A42,tables_391011!O:O)</f>
        <v>462840</v>
      </c>
      <c r="C42" s="54">
        <f t="shared" ca="1" si="9"/>
        <v>2.9632759680393375E-2</v>
      </c>
      <c r="E42">
        <v>5</v>
      </c>
      <c r="F42">
        <f ca="1">SUMIF(tables_391011!J:J,input_391011!E42,tables_391011!O:O)</f>
        <v>1304999.9997599991</v>
      </c>
      <c r="G42">
        <f ca="1">F42/A36</f>
        <v>4.9999999990804567E-2</v>
      </c>
    </row>
    <row r="43" spans="1:7" x14ac:dyDescent="0.15">
      <c r="A43" s="33" t="s">
        <v>109</v>
      </c>
      <c r="B43">
        <f>SUMIF(tables_391011!C:C,input_391011!A43,tables_391011!O:O)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SUMIF(tables_391011!C:C,input_391011!A44,tables_391011!O:O)</f>
        <v>766589.9997599991</v>
      </c>
      <c r="C44" s="54">
        <f t="shared" ca="1" si="9"/>
        <v>4.9079978472649013E-2</v>
      </c>
      <c r="E44" t="s">
        <v>54</v>
      </c>
      <c r="F44" s="55"/>
    </row>
    <row r="45" spans="1:7" x14ac:dyDescent="0.15">
      <c r="A45" s="33" t="s">
        <v>107</v>
      </c>
      <c r="B45">
        <f ca="1">SUMIF(tables_391011!C:C,input_391011!A45,tables_391011!O:O)</f>
        <v>24360</v>
      </c>
      <c r="C45" s="54">
        <f t="shared" ca="1" si="9"/>
        <v>1.5596189305470199E-3</v>
      </c>
      <c r="E45" t="s">
        <v>204</v>
      </c>
      <c r="F45" s="55">
        <f ca="1">SUMIF(tables_391011!I:I,input_391011!E45,tables_391011!P:P)</f>
        <v>0.22298850574712648</v>
      </c>
    </row>
    <row r="46" spans="1:7" x14ac:dyDescent="0.15">
      <c r="A46" s="33" t="s">
        <v>108</v>
      </c>
      <c r="B46">
        <f>SUMIF(tables_391011!C:C,input_391011!A46,tables_391011!O:O)</f>
        <v>0</v>
      </c>
      <c r="C46" s="54">
        <f t="shared" ca="1" si="9"/>
        <v>0</v>
      </c>
      <c r="E46" t="s">
        <v>205</v>
      </c>
      <c r="F46" s="55">
        <f ca="1">SUMIF(tables_391011!I:I,input_391011!E46,tables_391011!P:P)</f>
        <v>0.22298850574712648</v>
      </c>
    </row>
    <row r="47" spans="1:7" x14ac:dyDescent="0.15">
      <c r="A47" s="39" t="s">
        <v>59</v>
      </c>
      <c r="B47">
        <f ca="1">SUM(B40:B46)</f>
        <v>15619199.999999993</v>
      </c>
      <c r="C47" s="55">
        <f ca="1">SUM(C40:C46)</f>
        <v>1.0000000000000002</v>
      </c>
      <c r="E47" t="s">
        <v>206</v>
      </c>
      <c r="F47" s="55">
        <f ca="1">SUMIF(tables_391011!I:I,input_391011!E47,tables_391011!P:P)</f>
        <v>0.52402298850574691</v>
      </c>
    </row>
    <row r="48" spans="1:7" x14ac:dyDescent="0.15">
      <c r="E48" t="s">
        <v>207</v>
      </c>
      <c r="F48" s="55">
        <f ca="1">SUMIF(tables_391011!I:I,input_391011!E48,tables_391011!P:P)</f>
        <v>2.9999999999999978E-2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4"/>
  <sheetViews>
    <sheetView showGridLines="0" zoomScale="75" zoomScaleNormal="75" zoomScalePageLayoutView="75" workbookViewId="0">
      <pane ySplit="1" topLeftCell="A277" activePane="bottomLeft" state="frozen"/>
      <selection activeCell="H276" sqref="H276"/>
      <selection pane="bottomLeft" activeCell="B305" sqref="B30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input_391010!A$2</f>
        <v>391010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IFERROR(VLOOKUP(B2,input_391010!L:R,7,FALSE),VLOOKUP(tables_391010!C2,input_391010!A:H,8,FALSE))</f>
        <v>253500</v>
      </c>
      <c r="P2" s="46">
        <f t="shared" ref="P2:P65" ca="1" si="2">O2/SUM(O:O)</f>
        <v>9.7126436781609198E-3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input_391010!A$2</f>
        <v>391010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IFERROR(VLOOKUP(B3,input_391010!L:R,7,FALSE),VLOOKUP(tables_391010!C3,input_391010!A:H,8,FALSE))</f>
        <v>31500</v>
      </c>
      <c r="P3" s="46">
        <f t="shared" ca="1" si="2"/>
        <v>1.206896551724138E-3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input_391010!A$2</f>
        <v>391010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IFERROR(VLOOKUP(B4,input_391010!L:R,7,FALSE),VLOOKUP(tables_391010!C4,input_391010!A:H,8,FALSE))</f>
        <v>253500</v>
      </c>
      <c r="P4" s="46">
        <f t="shared" ca="1" si="2"/>
        <v>9.7126436781609198E-3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input_391010!A$2</f>
        <v>391010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IFERROR(VLOOKUP(B5,input_391010!L:R,7,FALSE),VLOOKUP(tables_391010!C5,input_391010!A:H,8,FALSE))</f>
        <v>31500</v>
      </c>
      <c r="P5" s="46">
        <f t="shared" ca="1" si="2"/>
        <v>1.206896551724138E-3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input_391010!A$2</f>
        <v>391010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IFERROR(VLOOKUP(B6,input_391010!L:R,7,FALSE),VLOOKUP(tables_391010!C6,input_391010!A:H,8,FALSE))</f>
        <v>253500</v>
      </c>
      <c r="P6" s="46">
        <f t="shared" ca="1" si="2"/>
        <v>9.7126436781609198E-3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input_391010!A$2</f>
        <v>391010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IFERROR(VLOOKUP(B7,input_391010!L:R,7,FALSE),VLOOKUP(tables_391010!C7,input_391010!A:H,8,FALSE))</f>
        <v>31500</v>
      </c>
      <c r="P7" s="46">
        <f t="shared" ca="1" si="2"/>
        <v>1.206896551724138E-3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input_391010!A$2</f>
        <v>391010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IFERROR(VLOOKUP(B8,input_391010!L:R,7,FALSE),VLOOKUP(tables_391010!C8,input_391010!A:H,8,FALSE))</f>
        <v>253500</v>
      </c>
      <c r="P8" s="46">
        <f t="shared" ca="1" si="2"/>
        <v>9.7126436781609198E-3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input_391010!A$2</f>
        <v>391010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IFERROR(VLOOKUP(B9,input_391010!L:R,7,FALSE),VLOOKUP(tables_391010!C9,input_391010!A:H,8,FALSE))</f>
        <v>31500</v>
      </c>
      <c r="P9" s="46">
        <f t="shared" ca="1" si="2"/>
        <v>1.206896551724138E-3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input_391010!A$2</f>
        <v>391010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IFERROR(VLOOKUP(B10,input_391010!L:R,7,FALSE),VLOOKUP(tables_391010!C10,input_391010!A:H,8,FALSE))</f>
        <v>253500</v>
      </c>
      <c r="P10" s="46">
        <f t="shared" ca="1" si="2"/>
        <v>9.7126436781609198E-3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input_391010!A$2</f>
        <v>391010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IFERROR(VLOOKUP(B11,input_391010!L:R,7,FALSE),VLOOKUP(tables_391010!C11,input_391010!A:H,8,FALSE))</f>
        <v>31500</v>
      </c>
      <c r="P11" s="46">
        <f t="shared" ca="1" si="2"/>
        <v>1.206896551724138E-3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input_391010!A$2</f>
        <v>391010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IFERROR(VLOOKUP(B12,input_391010!L:R,7,FALSE),VLOOKUP(tables_391010!C12,input_391010!A:H,8,FALSE))</f>
        <v>253500</v>
      </c>
      <c r="P12" s="46">
        <f t="shared" ca="1" si="2"/>
        <v>9.7126436781609198E-3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input_391010!A$2</f>
        <v>391010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IFERROR(VLOOKUP(B13,input_391010!L:R,7,FALSE),VLOOKUP(tables_391010!C13,input_391010!A:H,8,FALSE))</f>
        <v>31500</v>
      </c>
      <c r="P13" s="46">
        <f t="shared" ca="1" si="2"/>
        <v>1.206896551724138E-3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input_391010!A$2</f>
        <v>391010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IFERROR(VLOOKUP(B14,input_391010!L:R,7,FALSE),VLOOKUP(tables_391010!C14,input_391010!A:H,8,FALSE))</f>
        <v>253500</v>
      </c>
      <c r="P14" s="46">
        <f t="shared" ca="1" si="2"/>
        <v>9.7126436781609198E-3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input_391010!A$2</f>
        <v>391010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IFERROR(VLOOKUP(B15,input_391010!L:R,7,FALSE),VLOOKUP(tables_391010!C15,input_391010!A:H,8,FALSE))</f>
        <v>31500</v>
      </c>
      <c r="P15" s="46">
        <f t="shared" ca="1" si="2"/>
        <v>1.206896551724138E-3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input_391010!A$2</f>
        <v>391010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IFERROR(VLOOKUP(B16,input_391010!L:R,7,FALSE),VLOOKUP(tables_391010!C16,input_391010!A:H,8,FALSE))</f>
        <v>253500</v>
      </c>
      <c r="P16" s="46">
        <f t="shared" ca="1" si="2"/>
        <v>9.7126436781609198E-3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input_391010!A$2</f>
        <v>391010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IFERROR(VLOOKUP(B17,input_391010!L:R,7,FALSE),VLOOKUP(tables_391010!C17,input_391010!A:H,8,FALSE))</f>
        <v>31500</v>
      </c>
      <c r="P17" s="46">
        <f t="shared" ca="1" si="2"/>
        <v>1.206896551724138E-3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input_391010!A$2</f>
        <v>391010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IFERROR(VLOOKUP(B18,input_391010!L:R,7,FALSE),VLOOKUP(tables_391010!C18,input_391010!A:H,8,FALSE))</f>
        <v>253500</v>
      </c>
      <c r="P18" s="46">
        <f t="shared" ca="1" si="2"/>
        <v>9.7126436781609198E-3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input_391010!A$2</f>
        <v>391010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IFERROR(VLOOKUP(B19,input_391010!L:R,7,FALSE),VLOOKUP(tables_391010!C19,input_391010!A:H,8,FALSE))</f>
        <v>31500</v>
      </c>
      <c r="P19" s="46">
        <f t="shared" ca="1" si="2"/>
        <v>1.206896551724138E-3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input_391010!A$2</f>
        <v>391010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IFERROR(VLOOKUP(B20,input_391010!L:R,7,FALSE),VLOOKUP(tables_391010!C20,input_391010!A:H,8,FALSE))</f>
        <v>253500</v>
      </c>
      <c r="P20" s="46">
        <f t="shared" ca="1" si="2"/>
        <v>9.7126436781609198E-3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input_391010!A$2</f>
        <v>391010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IFERROR(VLOOKUP(B21,input_391010!L:R,7,FALSE),VLOOKUP(tables_391010!C21,input_391010!A:H,8,FALSE))</f>
        <v>31500</v>
      </c>
      <c r="P21" s="46">
        <f t="shared" ca="1" si="2"/>
        <v>1.206896551724138E-3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input_391010!A$2</f>
        <v>391010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IFERROR(VLOOKUP(B22,input_391010!L:R,7,FALSE),VLOOKUP(tables_391010!C22,input_391010!A:H,8,FALSE))</f>
        <v>253500</v>
      </c>
      <c r="P22" s="46">
        <f t="shared" ca="1" si="2"/>
        <v>9.7126436781609198E-3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input_391010!A$2</f>
        <v>391010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IFERROR(VLOOKUP(B23,input_391010!L:R,7,FALSE),VLOOKUP(tables_391010!C23,input_391010!A:H,8,FALSE))</f>
        <v>31500</v>
      </c>
      <c r="P23" s="46">
        <f t="shared" ca="1" si="2"/>
        <v>1.206896551724138E-3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input_391010!A$2</f>
        <v>391010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IFERROR(VLOOKUP(B24,input_391010!L:R,7,FALSE),VLOOKUP(tables_391010!C24,input_391010!A:H,8,FALSE))</f>
        <v>253500</v>
      </c>
      <c r="P24" s="46">
        <f t="shared" ca="1" si="2"/>
        <v>9.7126436781609198E-3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input_391010!A$2</f>
        <v>391010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IFERROR(VLOOKUP(B25,input_391010!L:R,7,FALSE),VLOOKUP(tables_391010!C25,input_391010!A:H,8,FALSE))</f>
        <v>31500</v>
      </c>
      <c r="P25" s="46">
        <f t="shared" ca="1" si="2"/>
        <v>1.206896551724138E-3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input_391010!A$2</f>
        <v>391010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IFERROR(VLOOKUP(B26,input_391010!L:R,7,FALSE),VLOOKUP(tables_391010!C26,input_391010!A:H,8,FALSE))</f>
        <v>253500</v>
      </c>
      <c r="P26" s="46">
        <f t="shared" ca="1" si="2"/>
        <v>9.7126436781609198E-3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input_391010!A$2</f>
        <v>391010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IFERROR(VLOOKUP(B27,input_391010!L:R,7,FALSE),VLOOKUP(tables_391010!C27,input_391010!A:H,8,FALSE))</f>
        <v>31500</v>
      </c>
      <c r="P27" s="46">
        <f t="shared" ca="1" si="2"/>
        <v>1.206896551724138E-3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input_391010!A$2</f>
        <v>391010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IFERROR(VLOOKUP(B28,input_391010!L:R,7,FALSE),VLOOKUP(tables_391010!C28,input_391010!A:H,8,FALSE))</f>
        <v>253500</v>
      </c>
      <c r="P28" s="46">
        <f t="shared" ca="1" si="2"/>
        <v>9.7126436781609198E-3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input_391010!A$2</f>
        <v>391010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IFERROR(VLOOKUP(B29,input_391010!L:R,7,FALSE),VLOOKUP(tables_391010!C29,input_391010!A:H,8,FALSE))</f>
        <v>31500</v>
      </c>
      <c r="P29" s="46">
        <f t="shared" ca="1" si="2"/>
        <v>1.206896551724138E-3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input_391010!A$2</f>
        <v>391010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IFERROR(VLOOKUP(B30,input_391010!L:R,7,FALSE),VLOOKUP(tables_391010!C30,input_391010!A:H,8,FALSE))</f>
        <v>253500</v>
      </c>
      <c r="P30" s="46">
        <f t="shared" ca="1" si="2"/>
        <v>9.7126436781609198E-3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input_391010!A$2</f>
        <v>391010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IFERROR(VLOOKUP(B31,input_391010!L:R,7,FALSE),VLOOKUP(tables_391010!C31,input_391010!A:H,8,FALSE))</f>
        <v>31500</v>
      </c>
      <c r="P31" s="46">
        <f t="shared" ca="1" si="2"/>
        <v>1.206896551724138E-3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input_391010!A$2</f>
        <v>391010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IFERROR(VLOOKUP(B32,input_391010!L:R,7,FALSE),VLOOKUP(tables_391010!C32,input_391010!A:H,8,FALSE))</f>
        <v>253500</v>
      </c>
      <c r="P32" s="46">
        <f t="shared" ca="1" si="2"/>
        <v>9.7126436781609198E-3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input_391010!A$2</f>
        <v>391010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IFERROR(VLOOKUP(B33,input_391010!L:R,7,FALSE),VLOOKUP(tables_391010!C33,input_391010!A:H,8,FALSE))</f>
        <v>31500</v>
      </c>
      <c r="P33" s="46">
        <f t="shared" ca="1" si="2"/>
        <v>1.206896551724138E-3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input_391010!A$2</f>
        <v>391010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IFERROR(VLOOKUP(B34,input_391010!L:R,7,FALSE),VLOOKUP(tables_391010!C34,input_391010!A:H,8,FALSE))</f>
        <v>253500</v>
      </c>
      <c r="P34" s="46">
        <f t="shared" ca="1" si="2"/>
        <v>9.7126436781609198E-3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input_391010!A$2</f>
        <v>391010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IFERROR(VLOOKUP(B35,input_391010!L:R,7,FALSE),VLOOKUP(tables_391010!C35,input_391010!A:H,8,FALSE))</f>
        <v>31500</v>
      </c>
      <c r="P35" s="46">
        <f t="shared" ca="1" si="2"/>
        <v>1.206896551724138E-3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input_391010!A$2</f>
        <v>391010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IFERROR(VLOOKUP(B36,input_391010!L:R,7,FALSE),VLOOKUP(tables_391010!C36,input_391010!A:H,8,FALSE))</f>
        <v>253500</v>
      </c>
      <c r="P36" s="46">
        <f t="shared" ca="1" si="2"/>
        <v>9.7126436781609198E-3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input_391010!A$2</f>
        <v>391010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IFERROR(VLOOKUP(B37,input_391010!L:R,7,FALSE),VLOOKUP(tables_391010!C37,input_391010!A:H,8,FALSE))</f>
        <v>31500</v>
      </c>
      <c r="P37" s="46">
        <f t="shared" ca="1" si="2"/>
        <v>1.206896551724138E-3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input_391010!A$2</f>
        <v>391010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IFERROR(VLOOKUP(B38,input_391010!L:R,7,FALSE),VLOOKUP(tables_391010!C38,input_391010!A:H,8,FALSE))</f>
        <v>253500</v>
      </c>
      <c r="P38" s="46">
        <f t="shared" ca="1" si="2"/>
        <v>9.7126436781609198E-3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input_391010!A$2</f>
        <v>391010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IFERROR(VLOOKUP(B39,input_391010!L:R,7,FALSE),VLOOKUP(tables_391010!C39,input_391010!A:H,8,FALSE))</f>
        <v>31500</v>
      </c>
      <c r="P39" s="46">
        <f t="shared" ca="1" si="2"/>
        <v>1.206896551724138E-3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input_391010!A$2</f>
        <v>391010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IFERROR(VLOOKUP(B40,input_391010!L:R,7,FALSE),VLOOKUP(tables_391010!C40,input_391010!A:H,8,FALSE))</f>
        <v>253500</v>
      </c>
      <c r="P40" s="46">
        <f t="shared" ca="1" si="2"/>
        <v>9.7126436781609198E-3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input_391010!A$2</f>
        <v>391010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IFERROR(VLOOKUP(B41,input_391010!L:R,7,FALSE),VLOOKUP(tables_391010!C41,input_391010!A:H,8,FALSE))</f>
        <v>31500</v>
      </c>
      <c r="P41" s="46">
        <f t="shared" ca="1" si="2"/>
        <v>1.206896551724138E-3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input_391010!A$2</f>
        <v>391010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IFERROR(VLOOKUP(B42,input_391010!L:R,7,FALSE),VLOOKUP(tables_391010!C42,input_391010!A:H,8,FALSE))</f>
        <v>142500</v>
      </c>
      <c r="P42" s="46">
        <f t="shared" ca="1" si="2"/>
        <v>5.4597701149425287E-3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input_391010!A$2</f>
        <v>391010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IFERROR(VLOOKUP(B43,input_391010!L:R,7,FALSE),VLOOKUP(tables_391010!C43,input_391010!A:H,8,FALSE))</f>
        <v>128250</v>
      </c>
      <c r="P43" s="46">
        <f t="shared" ca="1" si="2"/>
        <v>4.9137931034482756E-3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input_391010!A$2</f>
        <v>391010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IFERROR(VLOOKUP(B44,input_391010!L:R,7,FALSE),VLOOKUP(tables_391010!C44,input_391010!A:H,8,FALSE))</f>
        <v>14250</v>
      </c>
      <c r="P44" s="46">
        <f t="shared" ca="1" si="2"/>
        <v>5.4597701149425282E-4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input_391010!A$2</f>
        <v>391010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IFERROR(VLOOKUP(B45,input_391010!L:R,7,FALSE),VLOOKUP(tables_391010!C45,input_391010!A:H,8,FALSE))</f>
        <v>142500</v>
      </c>
      <c r="P45" s="46">
        <f t="shared" ca="1" si="2"/>
        <v>5.4597701149425287E-3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input_391010!A$2</f>
        <v>391010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IFERROR(VLOOKUP(B46,input_391010!L:R,7,FALSE),VLOOKUP(tables_391010!C46,input_391010!A:H,8,FALSE))</f>
        <v>128250</v>
      </c>
      <c r="P46" s="46">
        <f t="shared" ca="1" si="2"/>
        <v>4.9137931034482756E-3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input_391010!A$2</f>
        <v>391010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IFERROR(VLOOKUP(B47,input_391010!L:R,7,FALSE),VLOOKUP(tables_391010!C47,input_391010!A:H,8,FALSE))</f>
        <v>14250</v>
      </c>
      <c r="P47" s="46">
        <f t="shared" ca="1" si="2"/>
        <v>5.4597701149425282E-4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input_391010!A$2</f>
        <v>391010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IFERROR(VLOOKUP(B48,input_391010!L:R,7,FALSE),VLOOKUP(tables_391010!C48,input_391010!A:H,8,FALSE))</f>
        <v>142500</v>
      </c>
      <c r="P48" s="46">
        <f t="shared" ca="1" si="2"/>
        <v>5.4597701149425287E-3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input_391010!A$2</f>
        <v>391010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IFERROR(VLOOKUP(B49,input_391010!L:R,7,FALSE),VLOOKUP(tables_391010!C49,input_391010!A:H,8,FALSE))</f>
        <v>128250</v>
      </c>
      <c r="P49" s="46">
        <f t="shared" ca="1" si="2"/>
        <v>4.9137931034482756E-3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input_391010!A$2</f>
        <v>391010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IFERROR(VLOOKUP(B50,input_391010!L:R,7,FALSE),VLOOKUP(tables_391010!C50,input_391010!A:H,8,FALSE))</f>
        <v>14250</v>
      </c>
      <c r="P50" s="46">
        <f t="shared" ca="1" si="2"/>
        <v>5.4597701149425282E-4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input_391010!A$2</f>
        <v>391010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IFERROR(VLOOKUP(B51,input_391010!L:R,7,FALSE),VLOOKUP(tables_391010!C51,input_391010!A:H,8,FALSE))</f>
        <v>142500</v>
      </c>
      <c r="P51" s="46">
        <f t="shared" ca="1" si="2"/>
        <v>5.4597701149425287E-3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input_391010!A$2</f>
        <v>391010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IFERROR(VLOOKUP(B52,input_391010!L:R,7,FALSE),VLOOKUP(tables_391010!C52,input_391010!A:H,8,FALSE))</f>
        <v>131775.96153999999</v>
      </c>
      <c r="P52" s="46">
        <f t="shared" ca="1" si="2"/>
        <v>5.0488874153256699E-3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input_391010!A$2</f>
        <v>391010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IFERROR(VLOOKUP(B53,input_391010!L:R,7,FALSE),VLOOKUP(tables_391010!C53,input_391010!A:H,8,FALSE))</f>
        <v>10724.03846</v>
      </c>
      <c r="P53" s="46">
        <f t="shared" ca="1" si="2"/>
        <v>4.1088269961685821E-4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input_391010!A$2</f>
        <v>391010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IFERROR(VLOOKUP(B54,input_391010!L:R,7,FALSE),VLOOKUP(tables_391010!C54,input_391010!A:H,8,FALSE))</f>
        <v>142500</v>
      </c>
      <c r="P54" s="46">
        <f t="shared" ca="1" si="2"/>
        <v>5.4597701149425287E-3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input_391010!A$2</f>
        <v>391010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IFERROR(VLOOKUP(B55,input_391010!L:R,7,FALSE),VLOOKUP(tables_391010!C55,input_391010!A:H,8,FALSE))</f>
        <v>131775.96153999999</v>
      </c>
      <c r="P55" s="46">
        <f t="shared" ca="1" si="2"/>
        <v>5.0488874153256699E-3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input_391010!A$2</f>
        <v>391010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IFERROR(VLOOKUP(B56,input_391010!L:R,7,FALSE),VLOOKUP(tables_391010!C56,input_391010!A:H,8,FALSE))</f>
        <v>10724.03846</v>
      </c>
      <c r="P56" s="46">
        <f t="shared" ca="1" si="2"/>
        <v>4.1088269961685821E-4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input_391010!A$2</f>
        <v>391010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IFERROR(VLOOKUP(B57,input_391010!L:R,7,FALSE),VLOOKUP(tables_391010!C57,input_391010!A:H,8,FALSE))</f>
        <v>142500</v>
      </c>
      <c r="P57" s="46">
        <f t="shared" ca="1" si="2"/>
        <v>5.4597701149425287E-3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input_391010!A$2</f>
        <v>391010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IFERROR(VLOOKUP(B58,input_391010!L:R,7,FALSE),VLOOKUP(tables_391010!C58,input_391010!A:H,8,FALSE))</f>
        <v>131775.96153999999</v>
      </c>
      <c r="P58" s="46">
        <f t="shared" ca="1" si="2"/>
        <v>5.0488874153256699E-3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input_391010!A$2</f>
        <v>391010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IFERROR(VLOOKUP(B59,input_391010!L:R,7,FALSE),VLOOKUP(tables_391010!C59,input_391010!A:H,8,FALSE))</f>
        <v>10724.03846</v>
      </c>
      <c r="P59" s="46">
        <f t="shared" ca="1" si="2"/>
        <v>4.1088269961685821E-4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input_391010!A$2</f>
        <v>391010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IFERROR(VLOOKUP(B60,input_391010!L:R,7,FALSE),VLOOKUP(tables_391010!C60,input_391010!A:H,8,FALSE))</f>
        <v>142500</v>
      </c>
      <c r="P60" s="46">
        <f t="shared" ca="1" si="2"/>
        <v>5.4597701149425287E-3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input_391010!A$2</f>
        <v>391010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IFERROR(VLOOKUP(B61,input_391010!L:R,7,FALSE),VLOOKUP(tables_391010!C61,input_391010!A:H,8,FALSE))</f>
        <v>131775.96153999999</v>
      </c>
      <c r="P61" s="46">
        <f t="shared" ca="1" si="2"/>
        <v>5.0488874153256699E-3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input_391010!A$2</f>
        <v>391010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IFERROR(VLOOKUP(B62,input_391010!L:R,7,FALSE),VLOOKUP(tables_391010!C62,input_391010!A:H,8,FALSE))</f>
        <v>10724.03846</v>
      </c>
      <c r="P62" s="46">
        <f t="shared" ca="1" si="2"/>
        <v>4.1088269961685821E-4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input_391010!A$2</f>
        <v>391010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IFERROR(VLOOKUP(B63,input_391010!L:R,7,FALSE),VLOOKUP(tables_391010!C63,input_391010!A:H,8,FALSE))</f>
        <v>142500</v>
      </c>
      <c r="P63" s="46">
        <f t="shared" ca="1" si="2"/>
        <v>5.4597701149425287E-3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input_391010!A$2</f>
        <v>391010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IFERROR(VLOOKUP(B64,input_391010!L:R,7,FALSE),VLOOKUP(tables_391010!C64,input_391010!A:H,8,FALSE))</f>
        <v>131775.96153999999</v>
      </c>
      <c r="P64" s="46">
        <f t="shared" ca="1" si="2"/>
        <v>5.0488874153256699E-3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input_391010!A$2</f>
        <v>391010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IFERROR(VLOOKUP(B65,input_391010!L:R,7,FALSE),VLOOKUP(tables_391010!C65,input_391010!A:H,8,FALSE))</f>
        <v>10724.03846</v>
      </c>
      <c r="P65" s="46">
        <f t="shared" ca="1" si="2"/>
        <v>4.1088269961685821E-4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input_391010!A$2</f>
        <v>391010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IFERROR(VLOOKUP(B66,input_391010!L:R,7,FALSE),VLOOKUP(tables_391010!C66,input_391010!A:H,8,FALSE))</f>
        <v>142500</v>
      </c>
      <c r="P66" s="46">
        <f t="shared" ref="P66:P129" ca="1" si="5">O66/SUM(O:O)</f>
        <v>5.4597701149425287E-3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input_391010!A$2</f>
        <v>391010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IFERROR(VLOOKUP(B67,input_391010!L:R,7,FALSE),VLOOKUP(tables_391010!C67,input_391010!A:H,8,FALSE))</f>
        <v>131775.96153999999</v>
      </c>
      <c r="P67" s="46">
        <f t="shared" ca="1" si="5"/>
        <v>5.0488874153256699E-3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input_391010!A$2</f>
        <v>391010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IFERROR(VLOOKUP(B68,input_391010!L:R,7,FALSE),VLOOKUP(tables_391010!C68,input_391010!A:H,8,FALSE))</f>
        <v>10724.03846</v>
      </c>
      <c r="P68" s="46">
        <f t="shared" ca="1" si="5"/>
        <v>4.1088269961685821E-4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input_391010!A$2</f>
        <v>391010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IFERROR(VLOOKUP(B69,input_391010!L:R,7,FALSE),VLOOKUP(tables_391010!C69,input_391010!A:H,8,FALSE))</f>
        <v>142500</v>
      </c>
      <c r="P69" s="46">
        <f t="shared" ca="1" si="5"/>
        <v>5.4597701149425287E-3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input_391010!A$2</f>
        <v>391010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IFERROR(VLOOKUP(B70,input_391010!L:R,7,FALSE),VLOOKUP(tables_391010!C70,input_391010!A:H,8,FALSE))</f>
        <v>131775.96153999999</v>
      </c>
      <c r="P70" s="46">
        <f t="shared" ca="1" si="5"/>
        <v>5.0488874153256699E-3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input_391010!A$2</f>
        <v>391010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IFERROR(VLOOKUP(B71,input_391010!L:R,7,FALSE),VLOOKUP(tables_391010!C71,input_391010!A:H,8,FALSE))</f>
        <v>10724.03846</v>
      </c>
      <c r="P71" s="46">
        <f t="shared" ca="1" si="5"/>
        <v>4.1088269961685821E-4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input_391010!A$2</f>
        <v>391010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IFERROR(VLOOKUP(B72,input_391010!L:R,7,FALSE),VLOOKUP(tables_391010!C72,input_391010!A:H,8,FALSE))</f>
        <v>142500</v>
      </c>
      <c r="P72" s="46">
        <f t="shared" ca="1" si="5"/>
        <v>5.4597701149425287E-3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input_391010!A$2</f>
        <v>391010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IFERROR(VLOOKUP(B73,input_391010!L:R,7,FALSE),VLOOKUP(tables_391010!C73,input_391010!A:H,8,FALSE))</f>
        <v>131775.96153999999</v>
      </c>
      <c r="P73" s="46">
        <f t="shared" ca="1" si="5"/>
        <v>5.0488874153256699E-3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input_391010!A$2</f>
        <v>391010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IFERROR(VLOOKUP(B74,input_391010!L:R,7,FALSE),VLOOKUP(tables_391010!C74,input_391010!A:H,8,FALSE))</f>
        <v>10724.03846</v>
      </c>
      <c r="P74" s="46">
        <f t="shared" ca="1" si="5"/>
        <v>4.1088269961685821E-4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input_391010!A$2</f>
        <v>391010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IFERROR(VLOOKUP(B75,input_391010!L:R,7,FALSE),VLOOKUP(tables_391010!C75,input_391010!A:H,8,FALSE))</f>
        <v>142500</v>
      </c>
      <c r="P75" s="46">
        <f t="shared" ca="1" si="5"/>
        <v>5.4597701149425287E-3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input_391010!A$2</f>
        <v>391010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IFERROR(VLOOKUP(B76,input_391010!L:R,7,FALSE),VLOOKUP(tables_391010!C76,input_391010!A:H,8,FALSE))</f>
        <v>131775.96153999999</v>
      </c>
      <c r="P76" s="46">
        <f t="shared" ca="1" si="5"/>
        <v>5.0488874153256699E-3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input_391010!A$2</f>
        <v>391010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IFERROR(VLOOKUP(B77,input_391010!L:R,7,FALSE),VLOOKUP(tables_391010!C77,input_391010!A:H,8,FALSE))</f>
        <v>10724.03846</v>
      </c>
      <c r="P77" s="46">
        <f t="shared" ca="1" si="5"/>
        <v>4.1088269961685821E-4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input_391010!A$2</f>
        <v>391010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IFERROR(VLOOKUP(B78,input_391010!L:R,7,FALSE),VLOOKUP(tables_391010!C78,input_391010!A:H,8,FALSE))</f>
        <v>142500</v>
      </c>
      <c r="P78" s="46">
        <f t="shared" ca="1" si="5"/>
        <v>5.4597701149425287E-3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input_391010!A$2</f>
        <v>391010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IFERROR(VLOOKUP(B79,input_391010!L:R,7,FALSE),VLOOKUP(tables_391010!C79,input_391010!A:H,8,FALSE))</f>
        <v>131775.96153999999</v>
      </c>
      <c r="P79" s="46">
        <f t="shared" ca="1" si="5"/>
        <v>5.0488874153256699E-3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input_391010!A$2</f>
        <v>391010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IFERROR(VLOOKUP(B80,input_391010!L:R,7,FALSE),VLOOKUP(tables_391010!C80,input_391010!A:H,8,FALSE))</f>
        <v>10724.03846</v>
      </c>
      <c r="P80" s="46">
        <f t="shared" ca="1" si="5"/>
        <v>4.1088269961685821E-4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input_391010!A$2</f>
        <v>391010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IFERROR(VLOOKUP(B81,input_391010!L:R,7,FALSE),VLOOKUP(tables_391010!C81,input_391010!A:H,8,FALSE))</f>
        <v>142500</v>
      </c>
      <c r="P81" s="46">
        <f t="shared" ca="1" si="5"/>
        <v>5.4597701149425287E-3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input_391010!A$2</f>
        <v>391010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IFERROR(VLOOKUP(B82,input_391010!L:R,7,FALSE),VLOOKUP(tables_391010!C82,input_391010!A:H,8,FALSE))</f>
        <v>131775.96153999999</v>
      </c>
      <c r="P82" s="46">
        <f t="shared" ca="1" si="5"/>
        <v>5.0488874153256699E-3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input_391010!A$2</f>
        <v>391010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IFERROR(VLOOKUP(B83,input_391010!L:R,7,FALSE),VLOOKUP(tables_391010!C83,input_391010!A:H,8,FALSE))</f>
        <v>10724.03846</v>
      </c>
      <c r="P83" s="46">
        <f t="shared" ca="1" si="5"/>
        <v>4.1088269961685821E-4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input_391010!A$2</f>
        <v>391010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IFERROR(VLOOKUP(B84,input_391010!L:R,7,FALSE),VLOOKUP(tables_391010!C84,input_391010!A:H,8,FALSE))</f>
        <v>142500</v>
      </c>
      <c r="P84" s="46">
        <f t="shared" ca="1" si="5"/>
        <v>5.4597701149425287E-3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input_391010!A$2</f>
        <v>391010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IFERROR(VLOOKUP(B85,input_391010!L:R,7,FALSE),VLOOKUP(tables_391010!C85,input_391010!A:H,8,FALSE))</f>
        <v>131775.96153999999</v>
      </c>
      <c r="P85" s="46">
        <f t="shared" ca="1" si="5"/>
        <v>5.0488874153256699E-3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input_391010!A$2</f>
        <v>391010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IFERROR(VLOOKUP(B86,input_391010!L:R,7,FALSE),VLOOKUP(tables_391010!C86,input_391010!A:H,8,FALSE))</f>
        <v>10724.03846</v>
      </c>
      <c r="P86" s="46">
        <f t="shared" ca="1" si="5"/>
        <v>4.1088269961685821E-4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input_391010!A$2</f>
        <v>391010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IFERROR(VLOOKUP(B87,input_391010!L:R,7,FALSE),VLOOKUP(tables_391010!C87,input_391010!A:H,8,FALSE))</f>
        <v>142500</v>
      </c>
      <c r="P87" s="46">
        <f t="shared" ca="1" si="5"/>
        <v>5.4597701149425287E-3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input_391010!A$2</f>
        <v>391010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IFERROR(VLOOKUP(B88,input_391010!L:R,7,FALSE),VLOOKUP(tables_391010!C88,input_391010!A:H,8,FALSE))</f>
        <v>131775.96153999999</v>
      </c>
      <c r="P88" s="46">
        <f t="shared" ca="1" si="5"/>
        <v>5.0488874153256699E-3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input_391010!A$2</f>
        <v>391010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IFERROR(VLOOKUP(B89,input_391010!L:R,7,FALSE),VLOOKUP(tables_391010!C89,input_391010!A:H,8,FALSE))</f>
        <v>10724.03846</v>
      </c>
      <c r="P89" s="46">
        <f t="shared" ca="1" si="5"/>
        <v>4.1088269961685821E-4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input_391010!A$2</f>
        <v>391010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IFERROR(VLOOKUP(B90,input_391010!L:R,7,FALSE),VLOOKUP(tables_391010!C90,input_391010!A:H,8,FALSE))</f>
        <v>142500</v>
      </c>
      <c r="P90" s="46">
        <f t="shared" ca="1" si="5"/>
        <v>5.4597701149425287E-3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input_391010!A$2</f>
        <v>391010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IFERROR(VLOOKUP(B91,input_391010!L:R,7,FALSE),VLOOKUP(tables_391010!C91,input_391010!A:H,8,FALSE))</f>
        <v>131775.96153999999</v>
      </c>
      <c r="P91" s="46">
        <f t="shared" ca="1" si="5"/>
        <v>5.0488874153256699E-3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input_391010!A$2</f>
        <v>391010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IFERROR(VLOOKUP(B92,input_391010!L:R,7,FALSE),VLOOKUP(tables_391010!C92,input_391010!A:H,8,FALSE))</f>
        <v>10724.03846</v>
      </c>
      <c r="P92" s="46">
        <f t="shared" ca="1" si="5"/>
        <v>4.1088269961685821E-4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input_391010!A$2</f>
        <v>391010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IFERROR(VLOOKUP(B93,input_391010!L:R,7,FALSE),VLOOKUP(tables_391010!C93,input_391010!A:H,8,FALSE))</f>
        <v>142500</v>
      </c>
      <c r="P93" s="46">
        <f t="shared" ca="1" si="5"/>
        <v>5.4597701149425287E-3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input_391010!A$2</f>
        <v>391010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IFERROR(VLOOKUP(B94,input_391010!L:R,7,FALSE),VLOOKUP(tables_391010!C94,input_391010!A:H,8,FALSE))</f>
        <v>131775.96153999999</v>
      </c>
      <c r="P94" s="46">
        <f t="shared" ca="1" si="5"/>
        <v>5.0488874153256699E-3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input_391010!A$2</f>
        <v>391010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IFERROR(VLOOKUP(B95,input_391010!L:R,7,FALSE),VLOOKUP(tables_391010!C95,input_391010!A:H,8,FALSE))</f>
        <v>10724.03846</v>
      </c>
      <c r="P95" s="46">
        <f t="shared" ca="1" si="5"/>
        <v>4.1088269961685821E-4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input_391010!A$2</f>
        <v>391010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IFERROR(VLOOKUP(B96,input_391010!L:R,7,FALSE),VLOOKUP(tables_391010!C96,input_391010!A:H,8,FALSE))</f>
        <v>142500</v>
      </c>
      <c r="P96" s="46">
        <f t="shared" ca="1" si="5"/>
        <v>5.4597701149425287E-3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input_391010!A$2</f>
        <v>391010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IFERROR(VLOOKUP(B97,input_391010!L:R,7,FALSE),VLOOKUP(tables_391010!C97,input_391010!A:H,8,FALSE))</f>
        <v>131775.96153999999</v>
      </c>
      <c r="P97" s="46">
        <f t="shared" ca="1" si="5"/>
        <v>5.0488874153256699E-3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input_391010!A$2</f>
        <v>391010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IFERROR(VLOOKUP(B98,input_391010!L:R,7,FALSE),VLOOKUP(tables_391010!C98,input_391010!A:H,8,FALSE))</f>
        <v>10724.03846</v>
      </c>
      <c r="P98" s="46">
        <f t="shared" ca="1" si="5"/>
        <v>4.1088269961685821E-4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input_391010!A$2</f>
        <v>391010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IFERROR(VLOOKUP(B99,input_391010!L:R,7,FALSE),VLOOKUP(tables_391010!C99,input_391010!A:H,8,FALSE))</f>
        <v>142500</v>
      </c>
      <c r="P99" s="46">
        <f t="shared" ca="1" si="5"/>
        <v>5.4597701149425287E-3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input_391010!A$2</f>
        <v>391010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IFERROR(VLOOKUP(B100,input_391010!L:R,7,FALSE),VLOOKUP(tables_391010!C100,input_391010!A:H,8,FALSE))</f>
        <v>131775.96153999999</v>
      </c>
      <c r="P100" s="46">
        <f t="shared" ca="1" si="5"/>
        <v>5.0488874153256699E-3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input_391010!A$2</f>
        <v>391010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IFERROR(VLOOKUP(B101,input_391010!L:R,7,FALSE),VLOOKUP(tables_391010!C101,input_391010!A:H,8,FALSE))</f>
        <v>10724.03846</v>
      </c>
      <c r="P101" s="46">
        <f t="shared" ca="1" si="5"/>
        <v>4.1088269961685821E-4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input_391010!A$2</f>
        <v>391010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IFERROR(VLOOKUP(B102,input_391010!L:R,7,FALSE),VLOOKUP(tables_391010!C102,input_391010!A:H,8,FALSE))</f>
        <v>142500</v>
      </c>
      <c r="P102" s="46">
        <f t="shared" ca="1" si="5"/>
        <v>5.4597701149425287E-3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input_391010!A$2</f>
        <v>391010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IFERROR(VLOOKUP(B103,input_391010!L:R,7,FALSE),VLOOKUP(tables_391010!C103,input_391010!A:H,8,FALSE))</f>
        <v>131775.96153999999</v>
      </c>
      <c r="P103" s="46">
        <f t="shared" ca="1" si="5"/>
        <v>5.0488874153256699E-3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input_391010!A$2</f>
        <v>391010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IFERROR(VLOOKUP(B104,input_391010!L:R,7,FALSE),VLOOKUP(tables_391010!C104,input_391010!A:H,8,FALSE))</f>
        <v>10724.03846</v>
      </c>
      <c r="P104" s="46">
        <f t="shared" ca="1" si="5"/>
        <v>4.1088269961685821E-4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input_391010!A$2</f>
        <v>391010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IFERROR(VLOOKUP(B105,input_391010!L:R,7,FALSE),VLOOKUP(tables_391010!C105,input_391010!A:H,8,FALSE))</f>
        <v>142500</v>
      </c>
      <c r="P105" s="46">
        <f t="shared" ca="1" si="5"/>
        <v>5.4597701149425287E-3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input_391010!A$2</f>
        <v>391010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IFERROR(VLOOKUP(B106,input_391010!L:R,7,FALSE),VLOOKUP(tables_391010!C106,input_391010!A:H,8,FALSE))</f>
        <v>131775.96153999999</v>
      </c>
      <c r="P106" s="46">
        <f t="shared" ca="1" si="5"/>
        <v>5.0488874153256699E-3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input_391010!A$2</f>
        <v>391010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IFERROR(VLOOKUP(B107,input_391010!L:R,7,FALSE),VLOOKUP(tables_391010!C107,input_391010!A:H,8,FALSE))</f>
        <v>10724.03846</v>
      </c>
      <c r="P107" s="46">
        <f t="shared" ca="1" si="5"/>
        <v>4.1088269961685821E-4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input_391010!A$2</f>
        <v>391010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IFERROR(VLOOKUP(B108,input_391010!L:R,7,FALSE),VLOOKUP(tables_391010!C108,input_391010!A:H,8,FALSE))</f>
        <v>142500</v>
      </c>
      <c r="P108" s="46">
        <f t="shared" ca="1" si="5"/>
        <v>5.4597701149425287E-3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input_391010!A$2</f>
        <v>391010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IFERROR(VLOOKUP(B109,input_391010!L:R,7,FALSE),VLOOKUP(tables_391010!C109,input_391010!A:H,8,FALSE))</f>
        <v>131775.96153999999</v>
      </c>
      <c r="P109" s="46">
        <f t="shared" ca="1" si="5"/>
        <v>5.0488874153256699E-3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input_391010!A$2</f>
        <v>391010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IFERROR(VLOOKUP(B110,input_391010!L:R,7,FALSE),VLOOKUP(tables_391010!C110,input_391010!A:H,8,FALSE))</f>
        <v>10724.03846</v>
      </c>
      <c r="P110" s="46">
        <f t="shared" ca="1" si="5"/>
        <v>4.1088269961685821E-4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input_391010!A$2</f>
        <v>391010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IFERROR(VLOOKUP(B111,input_391010!L:R,7,FALSE),VLOOKUP(tables_391010!C111,input_391010!A:H,8,FALSE))</f>
        <v>142500</v>
      </c>
      <c r="P111" s="46">
        <f t="shared" ca="1" si="5"/>
        <v>5.4597701149425287E-3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input_391010!A$2</f>
        <v>391010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IFERROR(VLOOKUP(B112,input_391010!L:R,7,FALSE),VLOOKUP(tables_391010!C112,input_391010!A:H,8,FALSE))</f>
        <v>128250</v>
      </c>
      <c r="P112" s="46">
        <f t="shared" ca="1" si="5"/>
        <v>4.9137931034482756E-3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input_391010!A$2</f>
        <v>391010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IFERROR(VLOOKUP(B113,input_391010!L:R,7,FALSE),VLOOKUP(tables_391010!C113,input_391010!A:H,8,FALSE))</f>
        <v>14250</v>
      </c>
      <c r="P113" s="46">
        <f t="shared" ca="1" si="5"/>
        <v>5.4597701149425282E-4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input_391010!A$2</f>
        <v>391010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IFERROR(VLOOKUP(B114,input_391010!L:R,7,FALSE),VLOOKUP(tables_391010!C114,input_391010!A:H,8,FALSE))</f>
        <v>142500</v>
      </c>
      <c r="P114" s="46">
        <f t="shared" ca="1" si="5"/>
        <v>5.4597701149425287E-3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input_391010!A$2</f>
        <v>391010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IFERROR(VLOOKUP(B115,input_391010!L:R,7,FALSE),VLOOKUP(tables_391010!C115,input_391010!A:H,8,FALSE))</f>
        <v>131775.96153999999</v>
      </c>
      <c r="P115" s="46">
        <f t="shared" ca="1" si="5"/>
        <v>5.0488874153256699E-3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input_391010!A$2</f>
        <v>391010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IFERROR(VLOOKUP(B116,input_391010!L:R,7,FALSE),VLOOKUP(tables_391010!C116,input_391010!A:H,8,FALSE))</f>
        <v>10724.03846</v>
      </c>
      <c r="P116" s="46">
        <f t="shared" ca="1" si="5"/>
        <v>4.1088269961685821E-4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input_391010!A$2</f>
        <v>391010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IFERROR(VLOOKUP(B117,input_391010!L:R,7,FALSE),VLOOKUP(tables_391010!C117,input_391010!A:H,8,FALSE))</f>
        <v>142500</v>
      </c>
      <c r="P117" s="46">
        <f t="shared" ca="1" si="5"/>
        <v>5.4597701149425287E-3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input_391010!A$2</f>
        <v>391010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IFERROR(VLOOKUP(B118,input_391010!L:R,7,FALSE),VLOOKUP(tables_391010!C118,input_391010!A:H,8,FALSE))</f>
        <v>131775.96153999999</v>
      </c>
      <c r="P118" s="46">
        <f t="shared" ca="1" si="5"/>
        <v>5.0488874153256699E-3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input_391010!A$2</f>
        <v>391010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IFERROR(VLOOKUP(B119,input_391010!L:R,7,FALSE),VLOOKUP(tables_391010!C119,input_391010!A:H,8,FALSE))</f>
        <v>10724.03846</v>
      </c>
      <c r="P119" s="46">
        <f t="shared" ca="1" si="5"/>
        <v>4.1088269961685821E-4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input_391010!A$2</f>
        <v>391010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IFERROR(VLOOKUP(B120,input_391010!L:R,7,FALSE),VLOOKUP(tables_391010!C120,input_391010!A:H,8,FALSE))</f>
        <v>142500</v>
      </c>
      <c r="P120" s="46">
        <f t="shared" ca="1" si="5"/>
        <v>5.4597701149425287E-3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input_391010!A$2</f>
        <v>391010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IFERROR(VLOOKUP(B121,input_391010!L:R,7,FALSE),VLOOKUP(tables_391010!C121,input_391010!A:H,8,FALSE))</f>
        <v>131775.96153999999</v>
      </c>
      <c r="P121" s="46">
        <f t="shared" ca="1" si="5"/>
        <v>5.0488874153256699E-3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input_391010!A$2</f>
        <v>391010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IFERROR(VLOOKUP(B122,input_391010!L:R,7,FALSE),VLOOKUP(tables_391010!C122,input_391010!A:H,8,FALSE))</f>
        <v>10724.03846</v>
      </c>
      <c r="P122" s="46">
        <f t="shared" ca="1" si="5"/>
        <v>4.1088269961685821E-4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input_391010!A$2</f>
        <v>391010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IFERROR(VLOOKUP(B123,input_391010!L:R,7,FALSE),VLOOKUP(tables_391010!C123,input_391010!A:H,8,FALSE))</f>
        <v>142500</v>
      </c>
      <c r="P123" s="46">
        <f t="shared" ca="1" si="5"/>
        <v>5.4597701149425287E-3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input_391010!A$2</f>
        <v>391010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IFERROR(VLOOKUP(B124,input_391010!L:R,7,FALSE),VLOOKUP(tables_391010!C124,input_391010!A:H,8,FALSE))</f>
        <v>131775.96153999999</v>
      </c>
      <c r="P124" s="46">
        <f t="shared" ca="1" si="5"/>
        <v>5.0488874153256699E-3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input_391010!A$2</f>
        <v>391010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IFERROR(VLOOKUP(B125,input_391010!L:R,7,FALSE),VLOOKUP(tables_391010!C125,input_391010!A:H,8,FALSE))</f>
        <v>10724.03846</v>
      </c>
      <c r="P125" s="46">
        <f t="shared" ca="1" si="5"/>
        <v>4.1088269961685821E-4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input_391010!A$2</f>
        <v>391010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IFERROR(VLOOKUP(B126,input_391010!L:R,7,FALSE),VLOOKUP(tables_391010!C126,input_391010!A:H,8,FALSE))</f>
        <v>142500</v>
      </c>
      <c r="P126" s="46">
        <f t="shared" ca="1" si="5"/>
        <v>5.4597701149425287E-3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input_391010!A$2</f>
        <v>391010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IFERROR(VLOOKUP(B127,input_391010!L:R,7,FALSE),VLOOKUP(tables_391010!C127,input_391010!A:H,8,FALSE))</f>
        <v>131775.96153999999</v>
      </c>
      <c r="P127" s="46">
        <f t="shared" ca="1" si="5"/>
        <v>5.0488874153256699E-3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input_391010!A$2</f>
        <v>391010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IFERROR(VLOOKUP(B128,input_391010!L:R,7,FALSE),VLOOKUP(tables_391010!C128,input_391010!A:H,8,FALSE))</f>
        <v>10724.03846</v>
      </c>
      <c r="P128" s="46">
        <f t="shared" ca="1" si="5"/>
        <v>4.1088269961685821E-4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input_391010!A$2</f>
        <v>391010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IFERROR(VLOOKUP(B129,input_391010!L:R,7,FALSE),VLOOKUP(tables_391010!C129,input_391010!A:H,8,FALSE))</f>
        <v>142500</v>
      </c>
      <c r="P129" s="46">
        <f t="shared" ca="1" si="5"/>
        <v>5.4597701149425287E-3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input_391010!A$2</f>
        <v>391010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IFERROR(VLOOKUP(B130,input_391010!L:R,7,FALSE),VLOOKUP(tables_391010!C130,input_391010!A:H,8,FALSE))</f>
        <v>131775.96153999999</v>
      </c>
      <c r="P130" s="46">
        <f t="shared" ref="P130:P193" ca="1" si="8">O130/SUM(O:O)</f>
        <v>5.0488874153256699E-3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input_391010!A$2</f>
        <v>391010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IFERROR(VLOOKUP(B131,input_391010!L:R,7,FALSE),VLOOKUP(tables_391010!C131,input_391010!A:H,8,FALSE))</f>
        <v>10724.03846</v>
      </c>
      <c r="P131" s="46">
        <f t="shared" ca="1" si="8"/>
        <v>4.1088269961685821E-4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input_391010!A$2</f>
        <v>391010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IFERROR(VLOOKUP(B132,input_391010!L:R,7,FALSE),VLOOKUP(tables_391010!C132,input_391010!A:H,8,FALSE))</f>
        <v>142500</v>
      </c>
      <c r="P132" s="46">
        <f t="shared" ca="1" si="8"/>
        <v>5.4597701149425287E-3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input_391010!A$2</f>
        <v>391010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IFERROR(VLOOKUP(B133,input_391010!L:R,7,FALSE),VLOOKUP(tables_391010!C133,input_391010!A:H,8,FALSE))</f>
        <v>131775.96153999999</v>
      </c>
      <c r="P133" s="46">
        <f t="shared" ca="1" si="8"/>
        <v>5.0488874153256699E-3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input_391010!A$2</f>
        <v>391010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IFERROR(VLOOKUP(B134,input_391010!L:R,7,FALSE),VLOOKUP(tables_391010!C134,input_391010!A:H,8,FALSE))</f>
        <v>10724.03846</v>
      </c>
      <c r="P134" s="46">
        <f t="shared" ca="1" si="8"/>
        <v>4.1088269961685821E-4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input_391010!A$2</f>
        <v>391010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IFERROR(VLOOKUP(B135,input_391010!L:R,7,FALSE),VLOOKUP(tables_391010!C135,input_391010!A:H,8,FALSE))</f>
        <v>142500</v>
      </c>
      <c r="P135" s="46">
        <f t="shared" ca="1" si="8"/>
        <v>5.4597701149425287E-3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input_391010!A$2</f>
        <v>391010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IFERROR(VLOOKUP(B136,input_391010!L:R,7,FALSE),VLOOKUP(tables_391010!C136,input_391010!A:H,8,FALSE))</f>
        <v>131775.96153999999</v>
      </c>
      <c r="P136" s="46">
        <f t="shared" ca="1" si="8"/>
        <v>5.0488874153256699E-3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input_391010!A$2</f>
        <v>391010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IFERROR(VLOOKUP(B137,input_391010!L:R,7,FALSE),VLOOKUP(tables_391010!C137,input_391010!A:H,8,FALSE))</f>
        <v>10724.03846</v>
      </c>
      <c r="P137" s="46">
        <f t="shared" ca="1" si="8"/>
        <v>4.1088269961685821E-4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input_391010!A$2</f>
        <v>391010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IFERROR(VLOOKUP(B138,input_391010!L:R,7,FALSE),VLOOKUP(tables_391010!C138,input_391010!A:H,8,FALSE))</f>
        <v>27550</v>
      </c>
      <c r="P138" s="46">
        <f t="shared" ca="1" si="8"/>
        <v>1.0555555555555555E-3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input_391010!A$2</f>
        <v>391010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IFERROR(VLOOKUP(B139,input_391010!L:R,7,FALSE),VLOOKUP(tables_391010!C139,input_391010!A:H,8,FALSE))</f>
        <v>1450</v>
      </c>
      <c r="P139" s="46">
        <f t="shared" ca="1" si="8"/>
        <v>5.5555555555555558E-5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input_391010!A$2</f>
        <v>391010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IFERROR(VLOOKUP(B140,input_391010!L:R,7,FALSE),VLOOKUP(tables_391010!C140,input_391010!A:H,8,FALSE))</f>
        <v>27550</v>
      </c>
      <c r="P140" s="46">
        <f t="shared" ca="1" si="8"/>
        <v>1.0555555555555555E-3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input_391010!A$2</f>
        <v>391010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IFERROR(VLOOKUP(B141,input_391010!L:R,7,FALSE),VLOOKUP(tables_391010!C141,input_391010!A:H,8,FALSE))</f>
        <v>1450</v>
      </c>
      <c r="P141" s="46">
        <f t="shared" ca="1" si="8"/>
        <v>5.5555555555555558E-5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input_391010!A$2</f>
        <v>391010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IFERROR(VLOOKUP(B142,input_391010!L:R,7,FALSE),VLOOKUP(tables_391010!C142,input_391010!A:H,8,FALSE))</f>
        <v>27550</v>
      </c>
      <c r="P142" s="46">
        <f t="shared" ca="1" si="8"/>
        <v>1.0555555555555555E-3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input_391010!A$2</f>
        <v>391010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IFERROR(VLOOKUP(B143,input_391010!L:R,7,FALSE),VLOOKUP(tables_391010!C143,input_391010!A:H,8,FALSE))</f>
        <v>1450</v>
      </c>
      <c r="P143" s="46">
        <f t="shared" ca="1" si="8"/>
        <v>5.5555555555555558E-5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input_391010!A$2</f>
        <v>391010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IFERROR(VLOOKUP(B144,input_391010!L:R,7,FALSE),VLOOKUP(tables_391010!C144,input_391010!A:H,8,FALSE))</f>
        <v>27550</v>
      </c>
      <c r="P144" s="46">
        <f t="shared" ca="1" si="8"/>
        <v>1.0555555555555555E-3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input_391010!A$2</f>
        <v>391010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IFERROR(VLOOKUP(B145,input_391010!L:R,7,FALSE),VLOOKUP(tables_391010!C145,input_391010!A:H,8,FALSE))</f>
        <v>1450</v>
      </c>
      <c r="P145" s="46">
        <f t="shared" ca="1" si="8"/>
        <v>5.5555555555555558E-5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input_391010!A$2</f>
        <v>391010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IFERROR(VLOOKUP(B146,input_391010!L:R,7,FALSE),VLOOKUP(tables_391010!C146,input_391010!A:H,8,FALSE))</f>
        <v>142500</v>
      </c>
      <c r="P146" s="46">
        <f t="shared" ca="1" si="8"/>
        <v>5.4597701149425287E-3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input_391010!A$2</f>
        <v>391010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IFERROR(VLOOKUP(B147,input_391010!L:R,7,FALSE),VLOOKUP(tables_391010!C147,input_391010!A:H,8,FALSE))</f>
        <v>131775.96153999999</v>
      </c>
      <c r="P147" s="46">
        <f t="shared" ca="1" si="8"/>
        <v>5.0488874153256699E-3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input_391010!A$2</f>
        <v>391010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IFERROR(VLOOKUP(B148,input_391010!L:R,7,FALSE),VLOOKUP(tables_391010!C148,input_391010!A:H,8,FALSE))</f>
        <v>10724.03846</v>
      </c>
      <c r="P148" s="46">
        <f t="shared" ca="1" si="8"/>
        <v>4.1088269961685821E-4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input_391010!A$2</f>
        <v>391010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IFERROR(VLOOKUP(B149,input_391010!L:R,7,FALSE),VLOOKUP(tables_391010!C149,input_391010!A:H,8,FALSE))</f>
        <v>27550</v>
      </c>
      <c r="P149" s="46">
        <f t="shared" ca="1" si="8"/>
        <v>1.0555555555555555E-3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input_391010!A$2</f>
        <v>391010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IFERROR(VLOOKUP(B150,input_391010!L:R,7,FALSE),VLOOKUP(tables_391010!C150,input_391010!A:H,8,FALSE))</f>
        <v>1450</v>
      </c>
      <c r="P150" s="46">
        <f t="shared" ca="1" si="8"/>
        <v>5.5555555555555558E-5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input_391010!A$2</f>
        <v>391010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IFERROR(VLOOKUP(B151,input_391010!L:R,7,FALSE),VLOOKUP(tables_391010!C151,input_391010!A:H,8,FALSE))</f>
        <v>27550</v>
      </c>
      <c r="P151" s="46">
        <f t="shared" ca="1" si="8"/>
        <v>1.0555555555555555E-3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input_391010!A$2</f>
        <v>391010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IFERROR(VLOOKUP(B152,input_391010!L:R,7,FALSE),VLOOKUP(tables_391010!C152,input_391010!A:H,8,FALSE))</f>
        <v>1450</v>
      </c>
      <c r="P152" s="46">
        <f t="shared" ca="1" si="8"/>
        <v>5.5555555555555558E-5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input_391010!A$2</f>
        <v>391010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IFERROR(VLOOKUP(B153,input_391010!L:R,7,FALSE),VLOOKUP(tables_391010!C153,input_391010!A:H,8,FALSE))</f>
        <v>142500</v>
      </c>
      <c r="P153" s="46">
        <f t="shared" ca="1" si="8"/>
        <v>5.4597701149425287E-3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input_391010!A$2</f>
        <v>391010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IFERROR(VLOOKUP(B154,input_391010!L:R,7,FALSE),VLOOKUP(tables_391010!C154,input_391010!A:H,8,FALSE))</f>
        <v>131775.96153999999</v>
      </c>
      <c r="P154" s="46">
        <f t="shared" ca="1" si="8"/>
        <v>5.0488874153256699E-3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input_391010!A$2</f>
        <v>391010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IFERROR(VLOOKUP(B155,input_391010!L:R,7,FALSE),VLOOKUP(tables_391010!C155,input_391010!A:H,8,FALSE))</f>
        <v>10724.03846</v>
      </c>
      <c r="P155" s="46">
        <f t="shared" ca="1" si="8"/>
        <v>4.1088269961685821E-4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input_391010!A$2</f>
        <v>391010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IFERROR(VLOOKUP(B156,input_391010!L:R,7,FALSE),VLOOKUP(tables_391010!C156,input_391010!A:H,8,FALSE))</f>
        <v>27550</v>
      </c>
      <c r="P156" s="46">
        <f t="shared" ca="1" si="8"/>
        <v>1.0555555555555555E-3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input_391010!A$2</f>
        <v>391010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IFERROR(VLOOKUP(B157,input_391010!L:R,7,FALSE),VLOOKUP(tables_391010!C157,input_391010!A:H,8,FALSE))</f>
        <v>1450</v>
      </c>
      <c r="P157" s="46">
        <f t="shared" ca="1" si="8"/>
        <v>5.5555555555555558E-5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input_391010!A$2</f>
        <v>391010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IFERROR(VLOOKUP(B158,input_391010!L:R,7,FALSE),VLOOKUP(tables_391010!C158,input_391010!A:H,8,FALSE))</f>
        <v>142500</v>
      </c>
      <c r="P158" s="46">
        <f t="shared" ca="1" si="8"/>
        <v>5.4597701149425287E-3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input_391010!A$2</f>
        <v>391010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IFERROR(VLOOKUP(B159,input_391010!L:R,7,FALSE),VLOOKUP(tables_391010!C159,input_391010!A:H,8,FALSE))</f>
        <v>131775.96153999999</v>
      </c>
      <c r="P159" s="46">
        <f t="shared" ca="1" si="8"/>
        <v>5.0488874153256699E-3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input_391010!A$2</f>
        <v>391010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IFERROR(VLOOKUP(B160,input_391010!L:R,7,FALSE),VLOOKUP(tables_391010!C160,input_391010!A:H,8,FALSE))</f>
        <v>10724.03846</v>
      </c>
      <c r="P160" s="46">
        <f t="shared" ca="1" si="8"/>
        <v>4.1088269961685821E-4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input_391010!A$2</f>
        <v>391010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IFERROR(VLOOKUP(B161,input_391010!L:R,7,FALSE),VLOOKUP(tables_391010!C161,input_391010!A:H,8,FALSE))</f>
        <v>142500</v>
      </c>
      <c r="P161" s="46">
        <f t="shared" ca="1" si="8"/>
        <v>5.4597701149425287E-3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input_391010!A$2</f>
        <v>391010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IFERROR(VLOOKUP(B162,input_391010!L:R,7,FALSE),VLOOKUP(tables_391010!C162,input_391010!A:H,8,FALSE))</f>
        <v>131775.96153999999</v>
      </c>
      <c r="P162" s="46">
        <f t="shared" ca="1" si="8"/>
        <v>5.0488874153256699E-3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input_391010!A$2</f>
        <v>391010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IFERROR(VLOOKUP(B163,input_391010!L:R,7,FALSE),VLOOKUP(tables_391010!C163,input_391010!A:H,8,FALSE))</f>
        <v>10724.03846</v>
      </c>
      <c r="P163" s="46">
        <f t="shared" ca="1" si="8"/>
        <v>4.1088269961685821E-4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input_391010!A$2</f>
        <v>391010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IFERROR(VLOOKUP(B164,input_391010!L:R,7,FALSE),VLOOKUP(tables_391010!C164,input_391010!A:H,8,FALSE))</f>
        <v>27550</v>
      </c>
      <c r="P164" s="46">
        <f t="shared" ca="1" si="8"/>
        <v>1.0555555555555555E-3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input_391010!A$2</f>
        <v>391010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IFERROR(VLOOKUP(B165,input_391010!L:R,7,FALSE),VLOOKUP(tables_391010!C165,input_391010!A:H,8,FALSE))</f>
        <v>1450</v>
      </c>
      <c r="P165" s="46">
        <f t="shared" ca="1" si="8"/>
        <v>5.5555555555555558E-5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input_391010!A$2</f>
        <v>391010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IFERROR(VLOOKUP(B166,input_391010!L:R,7,FALSE),VLOOKUP(tables_391010!C166,input_391010!A:H,8,FALSE))</f>
        <v>142500</v>
      </c>
      <c r="P166" s="46">
        <f t="shared" ca="1" si="8"/>
        <v>5.4597701149425287E-3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input_391010!A$2</f>
        <v>391010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IFERROR(VLOOKUP(B167,input_391010!L:R,7,FALSE),VLOOKUP(tables_391010!C167,input_391010!A:H,8,FALSE))</f>
        <v>131775.96153999999</v>
      </c>
      <c r="P167" s="46">
        <f t="shared" ca="1" si="8"/>
        <v>5.0488874153256699E-3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input_391010!A$2</f>
        <v>391010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IFERROR(VLOOKUP(B168,input_391010!L:R,7,FALSE),VLOOKUP(tables_391010!C168,input_391010!A:H,8,FALSE))</f>
        <v>10724.03846</v>
      </c>
      <c r="P168" s="46">
        <f t="shared" ca="1" si="8"/>
        <v>4.1088269961685821E-4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input_391010!A$2</f>
        <v>391010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IFERROR(VLOOKUP(B169,input_391010!L:R,7,FALSE),VLOOKUP(tables_391010!C169,input_391010!A:H,8,FALSE))</f>
        <v>27550</v>
      </c>
      <c r="P169" s="46">
        <f t="shared" ca="1" si="8"/>
        <v>1.0555555555555555E-3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input_391010!A$2</f>
        <v>391010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IFERROR(VLOOKUP(B170,input_391010!L:R,7,FALSE),VLOOKUP(tables_391010!C170,input_391010!A:H,8,FALSE))</f>
        <v>1450</v>
      </c>
      <c r="P170" s="46">
        <f t="shared" ca="1" si="8"/>
        <v>5.5555555555555558E-5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input_391010!A$2</f>
        <v>391010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IFERROR(VLOOKUP(B171,input_391010!L:R,7,FALSE),VLOOKUP(tables_391010!C171,input_391010!A:H,8,FALSE))</f>
        <v>142500</v>
      </c>
      <c r="P171" s="46">
        <f t="shared" ca="1" si="8"/>
        <v>5.4597701149425287E-3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input_391010!A$2</f>
        <v>391010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IFERROR(VLOOKUP(B172,input_391010!L:R,7,FALSE),VLOOKUP(tables_391010!C172,input_391010!A:H,8,FALSE))</f>
        <v>131775.96153999999</v>
      </c>
      <c r="P172" s="46">
        <f t="shared" ca="1" si="8"/>
        <v>5.0488874153256699E-3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input_391010!A$2</f>
        <v>391010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IFERROR(VLOOKUP(B173,input_391010!L:R,7,FALSE),VLOOKUP(tables_391010!C173,input_391010!A:H,8,FALSE))</f>
        <v>10724.03846</v>
      </c>
      <c r="P173" s="46">
        <f t="shared" ca="1" si="8"/>
        <v>4.1088269961685821E-4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input_391010!A$2</f>
        <v>391010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IFERROR(VLOOKUP(B174,input_391010!L:R,7,FALSE),VLOOKUP(tables_391010!C174,input_391010!A:H,8,FALSE))</f>
        <v>27550</v>
      </c>
      <c r="P174" s="46">
        <f t="shared" ca="1" si="8"/>
        <v>1.0555555555555555E-3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input_391010!A$2</f>
        <v>391010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IFERROR(VLOOKUP(B175,input_391010!L:R,7,FALSE),VLOOKUP(tables_391010!C175,input_391010!A:H,8,FALSE))</f>
        <v>1450</v>
      </c>
      <c r="P175" s="46">
        <f t="shared" ca="1" si="8"/>
        <v>5.5555555555555558E-5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input_391010!A$2</f>
        <v>391010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IFERROR(VLOOKUP(B176,input_391010!L:R,7,FALSE),VLOOKUP(tables_391010!C176,input_391010!A:H,8,FALSE))</f>
        <v>27550</v>
      </c>
      <c r="P176" s="46">
        <f t="shared" ca="1" si="8"/>
        <v>1.0555555555555555E-3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input_391010!A$2</f>
        <v>391010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IFERROR(VLOOKUP(B177,input_391010!L:R,7,FALSE),VLOOKUP(tables_391010!C177,input_391010!A:H,8,FALSE))</f>
        <v>1450</v>
      </c>
      <c r="P177" s="46">
        <f t="shared" ca="1" si="8"/>
        <v>5.5555555555555558E-5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input_391010!A$2</f>
        <v>391010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IFERROR(VLOOKUP(B178,input_391010!L:R,7,FALSE),VLOOKUP(tables_391010!C178,input_391010!A:H,8,FALSE))</f>
        <v>142500</v>
      </c>
      <c r="P178" s="46">
        <f t="shared" ca="1" si="8"/>
        <v>5.4597701149425287E-3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input_391010!A$2</f>
        <v>391010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IFERROR(VLOOKUP(B179,input_391010!L:R,7,FALSE),VLOOKUP(tables_391010!C179,input_391010!A:H,8,FALSE))</f>
        <v>131775.96153999999</v>
      </c>
      <c r="P179" s="46">
        <f t="shared" ca="1" si="8"/>
        <v>5.0488874153256699E-3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input_391010!A$2</f>
        <v>391010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IFERROR(VLOOKUP(B180,input_391010!L:R,7,FALSE),VLOOKUP(tables_391010!C180,input_391010!A:H,8,FALSE))</f>
        <v>10724.03846</v>
      </c>
      <c r="P180" s="46">
        <f t="shared" ca="1" si="8"/>
        <v>4.1088269961685821E-4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input_391010!A$2</f>
        <v>391010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IFERROR(VLOOKUP(B181,input_391010!L:R,7,FALSE),VLOOKUP(tables_391010!C181,input_391010!A:H,8,FALSE))</f>
        <v>142500</v>
      </c>
      <c r="P181" s="46">
        <f t="shared" ca="1" si="8"/>
        <v>5.4597701149425287E-3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input_391010!A$2</f>
        <v>391010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IFERROR(VLOOKUP(B182,input_391010!L:R,7,FALSE),VLOOKUP(tables_391010!C182,input_391010!A:H,8,FALSE))</f>
        <v>131775.96153999999</v>
      </c>
      <c r="P182" s="46">
        <f t="shared" ca="1" si="8"/>
        <v>5.0488874153256699E-3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input_391010!A$2</f>
        <v>391010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IFERROR(VLOOKUP(B183,input_391010!L:R,7,FALSE),VLOOKUP(tables_391010!C183,input_391010!A:H,8,FALSE))</f>
        <v>10724.03846</v>
      </c>
      <c r="P183" s="46">
        <f t="shared" ca="1" si="8"/>
        <v>4.1088269961685821E-4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input_391010!A$2</f>
        <v>391010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IFERROR(VLOOKUP(B184,input_391010!L:R,7,FALSE),VLOOKUP(tables_391010!C184,input_391010!A:H,8,FALSE))</f>
        <v>27550</v>
      </c>
      <c r="P184" s="46">
        <f t="shared" ca="1" si="8"/>
        <v>1.0555555555555555E-3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input_391010!A$2</f>
        <v>391010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IFERROR(VLOOKUP(B185,input_391010!L:R,7,FALSE),VLOOKUP(tables_391010!C185,input_391010!A:H,8,FALSE))</f>
        <v>1450</v>
      </c>
      <c r="P185" s="46">
        <f t="shared" ca="1" si="8"/>
        <v>5.5555555555555558E-5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input_391010!A$2</f>
        <v>391010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IFERROR(VLOOKUP(B186,input_391010!L:R,7,FALSE),VLOOKUP(tables_391010!C186,input_391010!A:H,8,FALSE))</f>
        <v>142500</v>
      </c>
      <c r="P186" s="46">
        <f t="shared" ca="1" si="8"/>
        <v>5.4597701149425287E-3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input_391010!A$2</f>
        <v>391010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IFERROR(VLOOKUP(B187,input_391010!L:R,7,FALSE),VLOOKUP(tables_391010!C187,input_391010!A:H,8,FALSE))</f>
        <v>131775.96153999999</v>
      </c>
      <c r="P187" s="46">
        <f t="shared" ca="1" si="8"/>
        <v>5.0488874153256699E-3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input_391010!A$2</f>
        <v>391010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IFERROR(VLOOKUP(B188,input_391010!L:R,7,FALSE),VLOOKUP(tables_391010!C188,input_391010!A:H,8,FALSE))</f>
        <v>10724.03846</v>
      </c>
      <c r="P188" s="46">
        <f t="shared" ca="1" si="8"/>
        <v>4.1088269961685821E-4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input_391010!A$2</f>
        <v>391010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IFERROR(VLOOKUP(B189,input_391010!L:R,7,FALSE),VLOOKUP(tables_391010!C189,input_391010!A:H,8,FALSE))</f>
        <v>27550</v>
      </c>
      <c r="P189" s="46">
        <f t="shared" ca="1" si="8"/>
        <v>1.0555555555555555E-3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input_391010!A$2</f>
        <v>391010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IFERROR(VLOOKUP(B190,input_391010!L:R,7,FALSE),VLOOKUP(tables_391010!C190,input_391010!A:H,8,FALSE))</f>
        <v>1450</v>
      </c>
      <c r="P190" s="46">
        <f t="shared" ca="1" si="8"/>
        <v>5.5555555555555558E-5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input_391010!A$2</f>
        <v>391010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IFERROR(VLOOKUP(B191,input_391010!L:R,7,FALSE),VLOOKUP(tables_391010!C191,input_391010!A:H,8,FALSE))</f>
        <v>27550</v>
      </c>
      <c r="P191" s="46">
        <f t="shared" ca="1" si="8"/>
        <v>1.0555555555555555E-3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input_391010!A$2</f>
        <v>391010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IFERROR(VLOOKUP(B192,input_391010!L:R,7,FALSE),VLOOKUP(tables_391010!C192,input_391010!A:H,8,FALSE))</f>
        <v>1450</v>
      </c>
      <c r="P192" s="46">
        <f t="shared" ca="1" si="8"/>
        <v>5.5555555555555558E-5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input_391010!A$2</f>
        <v>391010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IFERROR(VLOOKUP(B193,input_391010!L:R,7,FALSE),VLOOKUP(tables_391010!C193,input_391010!A:H,8,FALSE))</f>
        <v>142500</v>
      </c>
      <c r="P193" s="46">
        <f t="shared" ca="1" si="8"/>
        <v>5.4597701149425287E-3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input_391010!A$2</f>
        <v>391010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IFERROR(VLOOKUP(B194,input_391010!L:R,7,FALSE),VLOOKUP(tables_391010!C194,input_391010!A:H,8,FALSE))</f>
        <v>131775.96153999999</v>
      </c>
      <c r="P194" s="46">
        <f t="shared" ref="P194:P257" ca="1" si="11">O194/SUM(O:O)</f>
        <v>5.0488874153256699E-3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input_391010!A$2</f>
        <v>391010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IFERROR(VLOOKUP(B195,input_391010!L:R,7,FALSE),VLOOKUP(tables_391010!C195,input_391010!A:H,8,FALSE))</f>
        <v>10724.03846</v>
      </c>
      <c r="P195" s="46">
        <f t="shared" ca="1" si="11"/>
        <v>4.1088269961685821E-4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input_391010!A$2</f>
        <v>391010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IFERROR(VLOOKUP(B196,input_391010!L:R,7,FALSE),VLOOKUP(tables_391010!C196,input_391010!A:H,8,FALSE))</f>
        <v>27550</v>
      </c>
      <c r="P196" s="46">
        <f t="shared" ca="1" si="11"/>
        <v>1.0555555555555555E-3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input_391010!A$2</f>
        <v>391010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IFERROR(VLOOKUP(B197,input_391010!L:R,7,FALSE),VLOOKUP(tables_391010!C197,input_391010!A:H,8,FALSE))</f>
        <v>1450</v>
      </c>
      <c r="P197" s="46">
        <f t="shared" ca="1" si="11"/>
        <v>5.5555555555555558E-5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input_391010!A$2</f>
        <v>391010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IFERROR(VLOOKUP(B198,input_391010!L:R,7,FALSE),VLOOKUP(tables_391010!C198,input_391010!A:H,8,FALSE))</f>
        <v>142500</v>
      </c>
      <c r="P198" s="46">
        <f t="shared" ca="1" si="11"/>
        <v>5.4597701149425287E-3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input_391010!A$2</f>
        <v>391010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IFERROR(VLOOKUP(B199,input_391010!L:R,7,FALSE),VLOOKUP(tables_391010!C199,input_391010!A:H,8,FALSE))</f>
        <v>131775.96153999999</v>
      </c>
      <c r="P199" s="46">
        <f t="shared" ca="1" si="11"/>
        <v>5.0488874153256699E-3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input_391010!A$2</f>
        <v>391010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IFERROR(VLOOKUP(B200,input_391010!L:R,7,FALSE),VLOOKUP(tables_391010!C200,input_391010!A:H,8,FALSE))</f>
        <v>10724.03846</v>
      </c>
      <c r="P200" s="46">
        <f t="shared" ca="1" si="11"/>
        <v>4.1088269961685821E-4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input_391010!A$2</f>
        <v>391010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IFERROR(VLOOKUP(B201,input_391010!L:R,7,FALSE),VLOOKUP(tables_391010!C201,input_391010!A:H,8,FALSE))</f>
        <v>27550</v>
      </c>
      <c r="P201" s="46">
        <f t="shared" ca="1" si="11"/>
        <v>1.0555555555555555E-3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input_391010!A$2</f>
        <v>391010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IFERROR(VLOOKUP(B202,input_391010!L:R,7,FALSE),VLOOKUP(tables_391010!C202,input_391010!A:H,8,FALSE))</f>
        <v>1450</v>
      </c>
      <c r="P202" s="46">
        <f t="shared" ca="1" si="11"/>
        <v>5.5555555555555558E-5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input_391010!A$2</f>
        <v>391010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IFERROR(VLOOKUP(B203,input_391010!L:R,7,FALSE),VLOOKUP(tables_391010!C203,input_391010!A:H,8,FALSE))</f>
        <v>142500</v>
      </c>
      <c r="P203" s="46">
        <f t="shared" ca="1" si="11"/>
        <v>5.4597701149425287E-3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input_391010!A$2</f>
        <v>391010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IFERROR(VLOOKUP(B204,input_391010!L:R,7,FALSE),VLOOKUP(tables_391010!C204,input_391010!A:H,8,FALSE))</f>
        <v>131775.96153999999</v>
      </c>
      <c r="P204" s="46">
        <f t="shared" ca="1" si="11"/>
        <v>5.0488874153256699E-3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input_391010!A$2</f>
        <v>391010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IFERROR(VLOOKUP(B205,input_391010!L:R,7,FALSE),VLOOKUP(tables_391010!C205,input_391010!A:H,8,FALSE))</f>
        <v>10724.03846</v>
      </c>
      <c r="P205" s="46">
        <f t="shared" ca="1" si="11"/>
        <v>4.1088269961685821E-4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input_391010!A$2</f>
        <v>391010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IFERROR(VLOOKUP(B206,input_391010!L:R,7,FALSE),VLOOKUP(tables_391010!C206,input_391010!A:H,8,FALSE))</f>
        <v>27550</v>
      </c>
      <c r="P206" s="46">
        <f t="shared" ca="1" si="11"/>
        <v>1.0555555555555555E-3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input_391010!A$2</f>
        <v>391010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IFERROR(VLOOKUP(B207,input_391010!L:R,7,FALSE),VLOOKUP(tables_391010!C207,input_391010!A:H,8,FALSE))</f>
        <v>1450</v>
      </c>
      <c r="P207" s="46">
        <f t="shared" ca="1" si="11"/>
        <v>5.5555555555555558E-5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input_391010!A$2</f>
        <v>391010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IFERROR(VLOOKUP(B208,input_391010!L:R,7,FALSE),VLOOKUP(tables_391010!C208,input_391010!A:H,8,FALSE))</f>
        <v>27550</v>
      </c>
      <c r="P208" s="46">
        <f t="shared" ca="1" si="11"/>
        <v>1.0555555555555555E-3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input_391010!A$2</f>
        <v>391010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IFERROR(VLOOKUP(B209,input_391010!L:R,7,FALSE),VLOOKUP(tables_391010!C209,input_391010!A:H,8,FALSE))</f>
        <v>1450</v>
      </c>
      <c r="P209" s="46">
        <f t="shared" ca="1" si="11"/>
        <v>5.5555555555555558E-5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input_391010!A$2</f>
        <v>391010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IFERROR(VLOOKUP(B210,input_391010!L:R,7,FALSE),VLOOKUP(tables_391010!C210,input_391010!A:H,8,FALSE))</f>
        <v>142500</v>
      </c>
      <c r="P210" s="46">
        <f t="shared" ca="1" si="11"/>
        <v>5.4597701149425287E-3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input_391010!A$2</f>
        <v>391010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IFERROR(VLOOKUP(B211,input_391010!L:R,7,FALSE),VLOOKUP(tables_391010!C211,input_391010!A:H,8,FALSE))</f>
        <v>131775.96153999999</v>
      </c>
      <c r="P211" s="46">
        <f t="shared" ca="1" si="11"/>
        <v>5.0488874153256699E-3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input_391010!A$2</f>
        <v>391010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IFERROR(VLOOKUP(B212,input_391010!L:R,7,FALSE),VLOOKUP(tables_391010!C212,input_391010!A:H,8,FALSE))</f>
        <v>10724.03846</v>
      </c>
      <c r="P212" s="46">
        <f t="shared" ca="1" si="11"/>
        <v>4.1088269961685821E-4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input_391010!A$2</f>
        <v>391010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IFERROR(VLOOKUP(B213,input_391010!L:R,7,FALSE),VLOOKUP(tables_391010!C213,input_391010!A:H,8,FALSE))</f>
        <v>27550</v>
      </c>
      <c r="P213" s="46">
        <f t="shared" ca="1" si="11"/>
        <v>1.0555555555555555E-3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input_391010!A$2</f>
        <v>391010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IFERROR(VLOOKUP(B214,input_391010!L:R,7,FALSE),VLOOKUP(tables_391010!C214,input_391010!A:H,8,FALSE))</f>
        <v>1450</v>
      </c>
      <c r="P214" s="46">
        <f t="shared" ca="1" si="11"/>
        <v>5.5555555555555558E-5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input_391010!A$2</f>
        <v>391010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IFERROR(VLOOKUP(B215,input_391010!L:R,7,FALSE),VLOOKUP(tables_391010!C215,input_391010!A:H,8,FALSE))</f>
        <v>27550</v>
      </c>
      <c r="P215" s="46">
        <f t="shared" ca="1" si="11"/>
        <v>1.0555555555555555E-3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input_391010!A$2</f>
        <v>391010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IFERROR(VLOOKUP(B216,input_391010!L:R,7,FALSE),VLOOKUP(tables_391010!C216,input_391010!A:H,8,FALSE))</f>
        <v>1450</v>
      </c>
      <c r="P216" s="46">
        <f t="shared" ca="1" si="11"/>
        <v>5.5555555555555558E-5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input_391010!A$2</f>
        <v>391010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IFERROR(VLOOKUP(B217,input_391010!L:R,7,FALSE),VLOOKUP(tables_391010!C217,input_391010!A:H,8,FALSE))</f>
        <v>142500</v>
      </c>
      <c r="P217" s="46">
        <f t="shared" ca="1" si="11"/>
        <v>5.4597701149425287E-3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input_391010!A$2</f>
        <v>391010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IFERROR(VLOOKUP(B218,input_391010!L:R,7,FALSE),VLOOKUP(tables_391010!C218,input_391010!A:H,8,FALSE))</f>
        <v>131775.96153999999</v>
      </c>
      <c r="P218" s="46">
        <f t="shared" ca="1" si="11"/>
        <v>5.0488874153256699E-3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input_391010!A$2</f>
        <v>391010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IFERROR(VLOOKUP(B219,input_391010!L:R,7,FALSE),VLOOKUP(tables_391010!C219,input_391010!A:H,8,FALSE))</f>
        <v>10724.03846</v>
      </c>
      <c r="P219" s="46">
        <f t="shared" ca="1" si="11"/>
        <v>4.1088269961685821E-4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input_391010!A$2</f>
        <v>391010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IFERROR(VLOOKUP(B220,input_391010!L:R,7,FALSE),VLOOKUP(tables_391010!C220,input_391010!A:H,8,FALSE))</f>
        <v>142500</v>
      </c>
      <c r="P220" s="46">
        <f t="shared" ca="1" si="11"/>
        <v>5.4597701149425287E-3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input_391010!A$2</f>
        <v>391010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IFERROR(VLOOKUP(B221,input_391010!L:R,7,FALSE),VLOOKUP(tables_391010!C221,input_391010!A:H,8,FALSE))</f>
        <v>131775.96153999999</v>
      </c>
      <c r="P221" s="46">
        <f t="shared" ca="1" si="11"/>
        <v>5.0488874153256699E-3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input_391010!A$2</f>
        <v>391010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IFERROR(VLOOKUP(B222,input_391010!L:R,7,FALSE),VLOOKUP(tables_391010!C222,input_391010!A:H,8,FALSE))</f>
        <v>10724.03846</v>
      </c>
      <c r="P222" s="46">
        <f t="shared" ca="1" si="11"/>
        <v>4.1088269961685821E-4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input_391010!A$2</f>
        <v>391010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IFERROR(VLOOKUP(B223,input_391010!L:R,7,FALSE),VLOOKUP(tables_391010!C223,input_391010!A:H,8,FALSE))</f>
        <v>27550</v>
      </c>
      <c r="P223" s="46">
        <f t="shared" ca="1" si="11"/>
        <v>1.0555555555555555E-3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input_391010!A$2</f>
        <v>391010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IFERROR(VLOOKUP(B224,input_391010!L:R,7,FALSE),VLOOKUP(tables_391010!C224,input_391010!A:H,8,FALSE))</f>
        <v>1450</v>
      </c>
      <c r="P224" s="46">
        <f t="shared" ca="1" si="11"/>
        <v>5.5555555555555558E-5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input_391010!A$2</f>
        <v>391010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IFERROR(VLOOKUP(B225,input_391010!L:R,7,FALSE),VLOOKUP(tables_391010!C225,input_391010!A:H,8,FALSE))</f>
        <v>142500</v>
      </c>
      <c r="P225" s="46">
        <f t="shared" ca="1" si="11"/>
        <v>5.4597701149425287E-3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input_391010!A$2</f>
        <v>391010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IFERROR(VLOOKUP(B226,input_391010!L:R,7,FALSE),VLOOKUP(tables_391010!C226,input_391010!A:H,8,FALSE))</f>
        <v>131775.96153999999</v>
      </c>
      <c r="P226" s="46">
        <f t="shared" ca="1" si="11"/>
        <v>5.0488874153256699E-3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input_391010!A$2</f>
        <v>391010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IFERROR(VLOOKUP(B227,input_391010!L:R,7,FALSE),VLOOKUP(tables_391010!C227,input_391010!A:H,8,FALSE))</f>
        <v>10724.03846</v>
      </c>
      <c r="P227" s="46">
        <f t="shared" ca="1" si="11"/>
        <v>4.1088269961685821E-4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input_391010!A$2</f>
        <v>391010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IFERROR(VLOOKUP(B228,input_391010!L:R,7,FALSE),VLOOKUP(tables_391010!C228,input_391010!A:H,8,FALSE))</f>
        <v>142500</v>
      </c>
      <c r="P228" s="46">
        <f t="shared" ca="1" si="11"/>
        <v>5.4597701149425287E-3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input_391010!A$2</f>
        <v>391010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IFERROR(VLOOKUP(B229,input_391010!L:R,7,FALSE),VLOOKUP(tables_391010!C229,input_391010!A:H,8,FALSE))</f>
        <v>131775.96153999999</v>
      </c>
      <c r="P229" s="46">
        <f t="shared" ca="1" si="11"/>
        <v>5.0488874153256699E-3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input_391010!A$2</f>
        <v>391010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IFERROR(VLOOKUP(B230,input_391010!L:R,7,FALSE),VLOOKUP(tables_391010!C230,input_391010!A:H,8,FALSE))</f>
        <v>10724.03846</v>
      </c>
      <c r="P230" s="46">
        <f t="shared" ca="1" si="11"/>
        <v>4.1088269961685821E-4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input_391010!A$2</f>
        <v>391010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IFERROR(VLOOKUP(B231,input_391010!L:R,7,FALSE),VLOOKUP(tables_391010!C231,input_391010!A:H,8,FALSE))</f>
        <v>27550</v>
      </c>
      <c r="P231" s="46">
        <f t="shared" ca="1" si="11"/>
        <v>1.0555555555555555E-3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input_391010!A$2</f>
        <v>391010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IFERROR(VLOOKUP(B232,input_391010!L:R,7,FALSE),VLOOKUP(tables_391010!C232,input_391010!A:H,8,FALSE))</f>
        <v>1450</v>
      </c>
      <c r="P232" s="46">
        <f t="shared" ca="1" si="11"/>
        <v>5.5555555555555558E-5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input_391010!A$2</f>
        <v>391010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IFERROR(VLOOKUP(B233,input_391010!L:R,7,FALSE),VLOOKUP(tables_391010!C233,input_391010!A:H,8,FALSE))</f>
        <v>142500</v>
      </c>
      <c r="P233" s="46">
        <f t="shared" ca="1" si="11"/>
        <v>5.4597701149425287E-3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input_391010!A$2</f>
        <v>391010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IFERROR(VLOOKUP(B234,input_391010!L:R,7,FALSE),VLOOKUP(tables_391010!C234,input_391010!A:H,8,FALSE))</f>
        <v>131775.96153999999</v>
      </c>
      <c r="P234" s="46">
        <f t="shared" ca="1" si="11"/>
        <v>5.0488874153256699E-3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input_391010!A$2</f>
        <v>391010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IFERROR(VLOOKUP(B235,input_391010!L:R,7,FALSE),VLOOKUP(tables_391010!C235,input_391010!A:H,8,FALSE))</f>
        <v>10724.03846</v>
      </c>
      <c r="P235" s="46">
        <f t="shared" ca="1" si="11"/>
        <v>4.1088269961685821E-4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input_391010!A$2</f>
        <v>391010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IFERROR(VLOOKUP(B236,input_391010!L:R,7,FALSE),VLOOKUP(tables_391010!C236,input_391010!A:H,8,FALSE))</f>
        <v>27550</v>
      </c>
      <c r="P236" s="46">
        <f t="shared" ca="1" si="11"/>
        <v>1.0555555555555555E-3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input_391010!A$2</f>
        <v>391010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IFERROR(VLOOKUP(B237,input_391010!L:R,7,FALSE),VLOOKUP(tables_391010!C237,input_391010!A:H,8,FALSE))</f>
        <v>1450</v>
      </c>
      <c r="P237" s="46">
        <f t="shared" ca="1" si="11"/>
        <v>5.5555555555555558E-5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input_391010!A$2</f>
        <v>391010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IFERROR(VLOOKUP(B238,input_391010!L:R,7,FALSE),VLOOKUP(tables_391010!C238,input_391010!A:H,8,FALSE))</f>
        <v>27550</v>
      </c>
      <c r="P238" s="46">
        <f t="shared" ca="1" si="11"/>
        <v>1.0555555555555555E-3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input_391010!A$2</f>
        <v>391010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IFERROR(VLOOKUP(B239,input_391010!L:R,7,FALSE),VLOOKUP(tables_391010!C239,input_391010!A:H,8,FALSE))</f>
        <v>1450</v>
      </c>
      <c r="P239" s="46">
        <f t="shared" ca="1" si="11"/>
        <v>5.5555555555555558E-5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input_391010!A$2</f>
        <v>391010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IFERROR(VLOOKUP(B240,input_391010!L:R,7,FALSE),VLOOKUP(tables_391010!C240,input_391010!A:H,8,FALSE))</f>
        <v>142500</v>
      </c>
      <c r="P240" s="46">
        <f t="shared" ca="1" si="11"/>
        <v>5.4597701149425287E-3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input_391010!A$2</f>
        <v>391010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IFERROR(VLOOKUP(B241,input_391010!L:R,7,FALSE),VLOOKUP(tables_391010!C241,input_391010!A:H,8,FALSE))</f>
        <v>131775.96153999999</v>
      </c>
      <c r="P241" s="46">
        <f t="shared" ca="1" si="11"/>
        <v>5.0488874153256699E-3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input_391010!A$2</f>
        <v>391010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IFERROR(VLOOKUP(B242,input_391010!L:R,7,FALSE),VLOOKUP(tables_391010!C242,input_391010!A:H,8,FALSE))</f>
        <v>10724.03846</v>
      </c>
      <c r="P242" s="46">
        <f t="shared" ca="1" si="11"/>
        <v>4.1088269961685821E-4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input_391010!A$2</f>
        <v>391010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IFERROR(VLOOKUP(B243,input_391010!L:R,7,FALSE),VLOOKUP(tables_391010!C243,input_391010!A:H,8,FALSE))</f>
        <v>142500</v>
      </c>
      <c r="P243" s="46">
        <f t="shared" ca="1" si="11"/>
        <v>5.4597701149425287E-3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input_391010!A$2</f>
        <v>391010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IFERROR(VLOOKUP(B244,input_391010!L:R,7,FALSE),VLOOKUP(tables_391010!C244,input_391010!A:H,8,FALSE))</f>
        <v>131775.96153999999</v>
      </c>
      <c r="P244" s="46">
        <f t="shared" ca="1" si="11"/>
        <v>5.0488874153256699E-3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input_391010!A$2</f>
        <v>391010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IFERROR(VLOOKUP(B245,input_391010!L:R,7,FALSE),VLOOKUP(tables_391010!C245,input_391010!A:H,8,FALSE))</f>
        <v>10724.03846</v>
      </c>
      <c r="P245" s="46">
        <f t="shared" ca="1" si="11"/>
        <v>4.1088269961685821E-4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input_391010!A$2</f>
        <v>391010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IFERROR(VLOOKUP(B246,input_391010!L:R,7,FALSE),VLOOKUP(tables_391010!C246,input_391010!A:H,8,FALSE))</f>
        <v>142500</v>
      </c>
      <c r="P246" s="46">
        <f t="shared" ca="1" si="11"/>
        <v>5.4597701149425287E-3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input_391010!A$2</f>
        <v>391010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IFERROR(VLOOKUP(B247,input_391010!L:R,7,FALSE),VLOOKUP(tables_391010!C247,input_391010!A:H,8,FALSE))</f>
        <v>131775.96153999999</v>
      </c>
      <c r="P247" s="46">
        <f t="shared" ca="1" si="11"/>
        <v>5.0488874153256699E-3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input_391010!A$2</f>
        <v>391010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IFERROR(VLOOKUP(B248,input_391010!L:R,7,FALSE),VLOOKUP(tables_391010!C248,input_391010!A:H,8,FALSE))</f>
        <v>10724.03846</v>
      </c>
      <c r="P248" s="46">
        <f t="shared" ca="1" si="11"/>
        <v>4.1088269961685821E-4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input_391010!A$2</f>
        <v>391010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IFERROR(VLOOKUP(B249,input_391010!L:R,7,FALSE),VLOOKUP(tables_391010!C249,input_391010!A:H,8,FALSE))</f>
        <v>142500</v>
      </c>
      <c r="P249" s="46">
        <f t="shared" ca="1" si="11"/>
        <v>5.4597701149425287E-3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input_391010!A$2</f>
        <v>391010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IFERROR(VLOOKUP(B250,input_391010!L:R,7,FALSE),VLOOKUP(tables_391010!C250,input_391010!A:H,8,FALSE))</f>
        <v>131775.96153999999</v>
      </c>
      <c r="P250" s="46">
        <f t="shared" ca="1" si="11"/>
        <v>5.0488874153256699E-3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input_391010!A$2</f>
        <v>391010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IFERROR(VLOOKUP(B251,input_391010!L:R,7,FALSE),VLOOKUP(tables_391010!C251,input_391010!A:H,8,FALSE))</f>
        <v>10724.03846</v>
      </c>
      <c r="P251" s="46">
        <f t="shared" ca="1" si="11"/>
        <v>4.1088269961685821E-4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input_391010!A$2</f>
        <v>391010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IFERROR(VLOOKUP(B252,input_391010!L:R,7,FALSE),VLOOKUP(tables_391010!C252,input_391010!A:H,8,FALSE))</f>
        <v>27550</v>
      </c>
      <c r="P252" s="46">
        <f t="shared" ca="1" si="11"/>
        <v>1.0555555555555555E-3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input_391010!A$2</f>
        <v>391010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IFERROR(VLOOKUP(B253,input_391010!L:R,7,FALSE),VLOOKUP(tables_391010!C253,input_391010!A:H,8,FALSE))</f>
        <v>1450</v>
      </c>
      <c r="P253" s="46">
        <f t="shared" ca="1" si="11"/>
        <v>5.5555555555555558E-5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input_391010!A$2</f>
        <v>391010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IFERROR(VLOOKUP(B254,input_391010!L:R,7,FALSE),VLOOKUP(tables_391010!C254,input_391010!A:H,8,FALSE))</f>
        <v>27550</v>
      </c>
      <c r="P254" s="46">
        <f t="shared" ca="1" si="11"/>
        <v>1.0555555555555555E-3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input_391010!A$2</f>
        <v>391010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IFERROR(VLOOKUP(B255,input_391010!L:R,7,FALSE),VLOOKUP(tables_391010!C255,input_391010!A:H,8,FALSE))</f>
        <v>1450</v>
      </c>
      <c r="P255" s="46">
        <f t="shared" ca="1" si="11"/>
        <v>5.5555555555555558E-5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input_391010!A$2</f>
        <v>391010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IFERROR(VLOOKUP(B256,input_391010!L:R,7,FALSE),VLOOKUP(tables_391010!C256,input_391010!A:H,8,FALSE))</f>
        <v>270750</v>
      </c>
      <c r="P256" s="46">
        <f t="shared" ca="1" si="11"/>
        <v>1.0373563218390804E-2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input_391010!A$2</f>
        <v>391010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IFERROR(VLOOKUP(B257,input_391010!L:R,7,FALSE),VLOOKUP(tables_391010!C257,input_391010!A:H,8,FALSE))</f>
        <v>14250</v>
      </c>
      <c r="P257" s="46">
        <f t="shared" ca="1" si="11"/>
        <v>5.4597701149425282E-4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input_391010!A$2</f>
        <v>391010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IFERROR(VLOOKUP(B258,input_391010!L:R,7,FALSE),VLOOKUP(tables_391010!C258,input_391010!A:H,8,FALSE))</f>
        <v>270750</v>
      </c>
      <c r="P258" s="46">
        <f t="shared" ref="P258:P294" ca="1" si="14">O258/SUM(O:O)</f>
        <v>1.0373563218390804E-2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input_391010!A$2</f>
        <v>391010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IFERROR(VLOOKUP(B259,input_391010!L:R,7,FALSE),VLOOKUP(tables_391010!C259,input_391010!A:H,8,FALSE))</f>
        <v>14250</v>
      </c>
      <c r="P259" s="46">
        <f t="shared" ca="1" si="14"/>
        <v>5.4597701149425282E-4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input_391010!A$2</f>
        <v>391010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IFERROR(VLOOKUP(B260,input_391010!L:R,7,FALSE),VLOOKUP(tables_391010!C260,input_391010!A:H,8,FALSE))</f>
        <v>29000</v>
      </c>
      <c r="P260" s="46">
        <f t="shared" ca="1" si="14"/>
        <v>1.1111111111111111E-3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input_391010!A$2</f>
        <v>391010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IFERROR(VLOOKUP(B261,input_391010!L:R,7,FALSE),VLOOKUP(tables_391010!C261,input_391010!A:H,8,FALSE))</f>
        <v>29000</v>
      </c>
      <c r="P261" s="46">
        <f t="shared" ca="1" si="14"/>
        <v>1.1111111111111111E-3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input_391010!A$2</f>
        <v>391010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IFERROR(VLOOKUP(B262,input_391010!L:R,7,FALSE),VLOOKUP(tables_391010!C262,input_391010!A:H,8,FALSE))</f>
        <v>27550</v>
      </c>
      <c r="P262" s="46">
        <f t="shared" ca="1" si="14"/>
        <v>1.0555555555555555E-3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input_391010!A$2</f>
        <v>391010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IFERROR(VLOOKUP(B263,input_391010!L:R,7,FALSE),VLOOKUP(tables_391010!C263,input_391010!A:H,8,FALSE))</f>
        <v>1450</v>
      </c>
      <c r="P263" s="46">
        <f t="shared" ca="1" si="14"/>
        <v>5.5555555555555558E-5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input_391010!A$2</f>
        <v>391010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IFERROR(VLOOKUP(B264,input_391010!L:R,7,FALSE),VLOOKUP(tables_391010!C264,input_391010!A:H,8,FALSE))</f>
        <v>27550</v>
      </c>
      <c r="P264" s="46">
        <f t="shared" ca="1" si="14"/>
        <v>1.0555555555555555E-3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input_391010!A$2</f>
        <v>391010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IFERROR(VLOOKUP(B265,input_391010!L:R,7,FALSE),VLOOKUP(tables_391010!C265,input_391010!A:H,8,FALSE))</f>
        <v>1450</v>
      </c>
      <c r="P265" s="46">
        <f t="shared" ca="1" si="14"/>
        <v>5.5555555555555558E-5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input_391010!A$2</f>
        <v>391010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IFERROR(VLOOKUP(B266,input_391010!L:R,7,FALSE),VLOOKUP(tables_391010!C266,input_391010!A:H,8,FALSE))</f>
        <v>142500</v>
      </c>
      <c r="P266" s="46">
        <f t="shared" ca="1" si="14"/>
        <v>5.4597701149425287E-3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input_391010!A$2</f>
        <v>391010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IFERROR(VLOOKUP(B267,input_391010!L:R,7,FALSE),VLOOKUP(tables_391010!C267,input_391010!A:H,8,FALSE))</f>
        <v>131775.96153999999</v>
      </c>
      <c r="P267" s="46">
        <f t="shared" ca="1" si="14"/>
        <v>5.0488874153256699E-3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input_391010!A$2</f>
        <v>391010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IFERROR(VLOOKUP(B268,input_391010!L:R,7,FALSE),VLOOKUP(tables_391010!C268,input_391010!A:H,8,FALSE))</f>
        <v>10724.03846</v>
      </c>
      <c r="P268" s="46">
        <f t="shared" ca="1" si="14"/>
        <v>4.1088269961685821E-4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input_391010!A$2</f>
        <v>391010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IFERROR(VLOOKUP(B269,input_391010!L:R,7,FALSE),VLOOKUP(tables_391010!C269,input_391010!A:H,8,FALSE))</f>
        <v>142500</v>
      </c>
      <c r="P269" s="46">
        <f t="shared" ca="1" si="14"/>
        <v>5.4597701149425287E-3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input_391010!A$2</f>
        <v>391010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IFERROR(VLOOKUP(B270,input_391010!L:R,7,FALSE),VLOOKUP(tables_391010!C270,input_391010!A:H,8,FALSE))</f>
        <v>131775.96153999999</v>
      </c>
      <c r="P270" s="46">
        <f t="shared" ca="1" si="14"/>
        <v>5.0488874153256699E-3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input_391010!A$2</f>
        <v>391010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IFERROR(VLOOKUP(B271,input_391010!L:R,7,FALSE),VLOOKUP(tables_391010!C271,input_391010!A:H,8,FALSE))</f>
        <v>10724.03846</v>
      </c>
      <c r="P271" s="46">
        <f t="shared" ca="1" si="14"/>
        <v>4.1088269961685821E-4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input_391010!A$2</f>
        <v>391010</v>
      </c>
      <c r="B272" s="8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IFERROR(VLOOKUP(B272,input_391010!L:R,7,FALSE),VLOOKUP(tables_391010!C272,input_391010!A:H,8,FALSE))</f>
        <v>29000</v>
      </c>
      <c r="P272" s="46">
        <f t="shared" ca="1" si="14"/>
        <v>1.1111111111111111E-3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input_391010!A$2</f>
        <v>391010</v>
      </c>
      <c r="B273" s="8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IFERROR(VLOOKUP(B273,input_391010!L:R,7,FALSE),VLOOKUP(tables_391010!C273,input_391010!A:H,8,FALSE))</f>
        <v>29000</v>
      </c>
      <c r="P273" s="46">
        <f t="shared" ca="1" si="14"/>
        <v>1.1111111111111111E-3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input_391010!A$2</f>
        <v>391010</v>
      </c>
      <c r="B274" s="8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IFERROR(VLOOKUP(B274,input_391010!L:R,7,FALSE),VLOOKUP(tables_391010!C274,input_391010!A:H,8,FALSE))</f>
        <v>270750</v>
      </c>
      <c r="P274" s="46">
        <f t="shared" ca="1" si="14"/>
        <v>1.0373563218390804E-2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input_391010!A$2</f>
        <v>391010</v>
      </c>
      <c r="B275" s="8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IFERROR(VLOOKUP(B275,input_391010!L:R,7,FALSE),VLOOKUP(tables_391010!C275,input_391010!A:H,8,FALSE))</f>
        <v>14250</v>
      </c>
      <c r="P275" s="46">
        <f t="shared" ca="1" si="14"/>
        <v>5.4597701149425282E-4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input_391010!A$2</f>
        <v>391010</v>
      </c>
      <c r="B276" s="8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IFERROR(VLOOKUP(B276,input_391010!L:R,7,FALSE),VLOOKUP(tables_391010!C276,input_391010!A:H,8,FALSE))</f>
        <v>270750</v>
      </c>
      <c r="P276" s="46">
        <f t="shared" ca="1" si="14"/>
        <v>1.0373563218390804E-2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input_391010!A$2</f>
        <v>391010</v>
      </c>
      <c r="B277" s="8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IFERROR(VLOOKUP(B277,input_391010!L:R,7,FALSE),VLOOKUP(tables_391010!C277,input_391010!A:H,8,FALSE))</f>
        <v>14250</v>
      </c>
      <c r="P277" s="46">
        <f t="shared" ca="1" si="14"/>
        <v>5.4597701149425282E-4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input_391010!A$2</f>
        <v>391010</v>
      </c>
      <c r="B278" s="81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IFERROR(VLOOKUP(B278,input_391010!L:R,7,FALSE),VLOOKUP(tables_391010!C278,input_391010!A:H,8,FALSE))</f>
        <v>270750</v>
      </c>
      <c r="P278" s="46">
        <f t="shared" ca="1" si="14"/>
        <v>1.0373563218390804E-2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input_391010!A$2</f>
        <v>391010</v>
      </c>
      <c r="B279" s="81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IFERROR(VLOOKUP(B279,input_391010!L:R,7,FALSE),VLOOKUP(tables_391010!C279,input_391010!A:H,8,FALSE))</f>
        <v>14250</v>
      </c>
      <c r="P279" s="46">
        <f t="shared" ca="1" si="14"/>
        <v>5.4597701149425282E-4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input_391010!A$2</f>
        <v>391010</v>
      </c>
      <c r="B280" s="81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IFERROR(VLOOKUP(B280,input_391010!L:R,7,FALSE),VLOOKUP(tables_391010!C280,input_391010!A:H,8,FALSE))</f>
        <v>270750</v>
      </c>
      <c r="P280" s="46">
        <f t="shared" ca="1" si="14"/>
        <v>1.0373563218390804E-2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input_391010!A$2</f>
        <v>391010</v>
      </c>
      <c r="B281" s="81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IFERROR(VLOOKUP(B281,input_391010!L:R,7,FALSE),VLOOKUP(tables_391010!C281,input_391010!A:H,8,FALSE))</f>
        <v>14250</v>
      </c>
      <c r="P281" s="46">
        <f t="shared" ca="1" si="14"/>
        <v>5.4597701149425282E-4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input_391010!A$2</f>
        <v>391010</v>
      </c>
      <c r="B282" s="81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IFERROR(VLOOKUP(B282,input_391010!L:R,7,FALSE),VLOOKUP(tables_391010!C282,input_391010!A:H,8,FALSE))</f>
        <v>29000</v>
      </c>
      <c r="P282" s="46">
        <f t="shared" ca="1" si="14"/>
        <v>1.1111111111111111E-3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input_391010!A$2</f>
        <v>391010</v>
      </c>
      <c r="B283" s="81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IFERROR(VLOOKUP(B283,input_391010!L:R,7,FALSE),VLOOKUP(tables_391010!C283,input_391010!A:H,8,FALSE))</f>
        <v>29000</v>
      </c>
      <c r="P283" s="46">
        <f t="shared" ca="1" si="14"/>
        <v>1.1111111111111111E-3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input_391010!A$2</f>
        <v>391010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IFERROR(VLOOKUP(B284,input_391010!L:R,7,FALSE),VLOOKUP(tables_391010!C284,input_391010!A:H,8,FALSE))</f>
        <v>29000</v>
      </c>
      <c r="P284" s="46">
        <f t="shared" ca="1" si="14"/>
        <v>1.1111111111111111E-3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input_391010!A$2</f>
        <v>391010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IFERROR(VLOOKUP(B285,input_391010!L:R,7,FALSE),VLOOKUP(tables_391010!C285,input_391010!A:H,8,FALSE))</f>
        <v>29000</v>
      </c>
      <c r="P285" s="46">
        <f t="shared" ca="1" si="14"/>
        <v>1.1111111111111111E-3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input_391010!A$2</f>
        <v>391010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IFERROR(VLOOKUP(B286,input_391010!L:R,7,FALSE),VLOOKUP(tables_391010!C286,input_391010!A:H,8,FALSE))</f>
        <v>270750</v>
      </c>
      <c r="P286" s="46">
        <f t="shared" ca="1" si="14"/>
        <v>1.0373563218390804E-2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input_391010!A$2</f>
        <v>391010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IFERROR(VLOOKUP(B287,input_391010!L:R,7,FALSE),VLOOKUP(tables_391010!C287,input_391010!A:H,8,FALSE))</f>
        <v>14250</v>
      </c>
      <c r="P287" s="46">
        <f t="shared" ca="1" si="14"/>
        <v>5.4597701149425282E-4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input_391010!A$2</f>
        <v>391010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IFERROR(VLOOKUP(B288,input_391010!L:R,7,FALSE),VLOOKUP(tables_391010!C288,input_391010!A:H,8,FALSE))</f>
        <v>270750</v>
      </c>
      <c r="P288" s="46">
        <f t="shared" ca="1" si="14"/>
        <v>1.0373563218390804E-2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input_391010!A$2</f>
        <v>391010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IFERROR(VLOOKUP(B289,input_391010!L:R,7,FALSE),VLOOKUP(tables_391010!C289,input_391010!A:H,8,FALSE))</f>
        <v>14250</v>
      </c>
      <c r="P289" s="46">
        <f t="shared" ca="1" si="14"/>
        <v>5.4597701149425282E-4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input_391010!A$2</f>
        <v>391010</v>
      </c>
      <c r="B290" s="5">
        <v>937</v>
      </c>
      <c r="C290" s="7" t="str">
        <f t="shared" ref="C290:C294" si="17">D290&amp;J290&amp;E290&amp;F290&amp;G290</f>
        <v>PremiumSS5R5only</v>
      </c>
      <c r="D290" s="7" t="str">
        <f t="shared" ref="D290:D294" si="18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IFERROR(VLOOKUP(B290,input_391010!L:R,7,FALSE),VLOOKUP(tables_391010!C290,input_391010!A:H,8,FALSE))</f>
        <v>29000</v>
      </c>
      <c r="P290" s="46">
        <f t="shared" ca="1" si="14"/>
        <v>1.1111111111111111E-3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input_391010!A$2</f>
        <v>391010</v>
      </c>
      <c r="B291" s="5">
        <v>939</v>
      </c>
      <c r="C291" s="7" t="str">
        <f t="shared" si="17"/>
        <v>Premium4R3less</v>
      </c>
      <c r="D291" s="7" t="str">
        <f t="shared" si="18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IFERROR(VLOOKUP(B291,input_391010!L:R,7,FALSE),VLOOKUP(tables_391010!C291,input_391010!A:H,8,FALSE))</f>
        <v>270750</v>
      </c>
      <c r="P291" s="46">
        <f t="shared" ca="1" si="14"/>
        <v>1.0373563218390804E-2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input_391010!A$2</f>
        <v>391010</v>
      </c>
      <c r="B292" s="5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IFERROR(VLOOKUP(B292,input_391010!L:R,7,FALSE),VLOOKUP(tables_391010!C292,input_391010!A:H,8,FALSE))</f>
        <v>14250</v>
      </c>
      <c r="P292" s="46">
        <f t="shared" ca="1" si="14"/>
        <v>5.4597701149425282E-4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input_391010!A$2</f>
        <v>391010</v>
      </c>
      <c r="B293" s="5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IFERROR(VLOOKUP(B293,input_391010!L:R,7,FALSE),VLOOKUP(tables_391010!C293,input_391010!A:H,8,FALSE))</f>
        <v>29000</v>
      </c>
      <c r="P293" s="46">
        <f t="shared" ca="1" si="14"/>
        <v>1.1111111111111111E-3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input_391010!A$2</f>
        <v>391010</v>
      </c>
      <c r="B294" s="5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IFERROR(VLOOKUP(B294,input_391010!L:R,7,FALSE),VLOOKUP(tables_391010!C294,input_391010!A:H,8,FALSE))</f>
        <v>29000</v>
      </c>
      <c r="P294" s="46">
        <f t="shared" ca="1" si="14"/>
        <v>1.1111111111111111E-3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input_391010!A$2</f>
        <v>391010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ref="D295:D299" si="20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IFERROR(VLOOKUP(B295,input_391010!L:R,7,FALSE),VLOOKUP(tables_391010!C295,input_391010!A:H,8,FALSE))</f>
        <v>29000</v>
      </c>
      <c r="P295" s="46">
        <f t="shared" ref="P295:P299" ca="1" si="21">O295/SUM(O:O)</f>
        <v>1.1111111111111111E-3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input_391010!A$2</f>
        <v>391010</v>
      </c>
      <c r="B296" s="5">
        <v>1014</v>
      </c>
      <c r="C296" s="7" t="str">
        <f t="shared" si="19"/>
        <v>PremiumSS5R5only</v>
      </c>
      <c r="D296" s="7" t="str">
        <f t="shared" si="20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IFERROR(VLOOKUP(B296,input_391010!L:R,7,FALSE),VLOOKUP(tables_391010!C296,input_391010!A:H,8,FALSE))</f>
        <v>29000</v>
      </c>
      <c r="P296" s="46">
        <f t="shared" ca="1" si="21"/>
        <v>1.1111111111111111E-3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input_391010!A$2</f>
        <v>391010</v>
      </c>
      <c r="B297" s="5">
        <v>1016</v>
      </c>
      <c r="C297" s="7" t="str">
        <f t="shared" si="19"/>
        <v>Premium4R3less</v>
      </c>
      <c r="D297" s="7" t="str">
        <f t="shared" si="20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IFERROR(VLOOKUP(B297,input_391010!L:R,7,FALSE),VLOOKUP(tables_391010!C297,input_391010!A:H,8,FALSE))</f>
        <v>270750</v>
      </c>
      <c r="P297" s="46">
        <f t="shared" ca="1" si="21"/>
        <v>1.0373563218390804E-2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input_391010!A$2</f>
        <v>391010</v>
      </c>
      <c r="B298" s="5">
        <v>1017</v>
      </c>
      <c r="C298" s="7" t="str">
        <f t="shared" si="19"/>
        <v>Premium5R3less</v>
      </c>
      <c r="D298" s="7" t="str">
        <f t="shared" si="20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IFERROR(VLOOKUP(B298,input_391010!L:R,7,FALSE),VLOOKUP(tables_391010!C298,input_391010!A:H,8,FALSE))</f>
        <v>14250</v>
      </c>
      <c r="P298" s="46">
        <f t="shared" ca="1" si="21"/>
        <v>5.4597701149425282E-4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input_391010!A$2</f>
        <v>391010</v>
      </c>
      <c r="B299" s="5">
        <v>1018</v>
      </c>
      <c r="C299" s="7" t="str">
        <f t="shared" si="19"/>
        <v>PremiumSS5R5only</v>
      </c>
      <c r="D299" s="7" t="str">
        <f t="shared" si="20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IFERROR(VLOOKUP(B299,input_391010!L:R,7,FALSE),VLOOKUP(tables_391010!C299,input_391010!A:H,8,FALSE))</f>
        <v>29000</v>
      </c>
      <c r="P299" s="46">
        <f t="shared" ca="1" si="21"/>
        <v>1.1111111111111111E-3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input_391010!A$2</f>
        <v>391010</v>
      </c>
      <c r="B300" s="5">
        <v>1026</v>
      </c>
      <c r="C300" s="7" t="str">
        <f t="shared" ref="C300:C304" si="22">D300&amp;J300&amp;E300&amp;F300&amp;G300</f>
        <v>Premium4R3less</v>
      </c>
      <c r="D300" s="7" t="str">
        <f t="shared" ref="D300:D304" si="23">IF(I300="PremiumSS",I300,IF(I300="PremiumSSS",I300,IF(I300="PremiumW",I300,"Premium")))</f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IFERROR(VLOOKUP(B300,input_391010!L:R,7,FALSE),VLOOKUP(tables_391010!C300,input_391010!A:H,8,FALSE))</f>
        <v>270750</v>
      </c>
      <c r="P300" s="46">
        <f t="shared" ref="P300:P304" ca="1" si="24">O300/SUM(O:O)</f>
        <v>1.0373563218390804E-2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input_391010!A$2</f>
        <v>391010</v>
      </c>
      <c r="B301" s="5">
        <v>1027</v>
      </c>
      <c r="C301" s="7" t="str">
        <f t="shared" si="22"/>
        <v>Premium5R3less</v>
      </c>
      <c r="D301" s="7" t="str">
        <f t="shared" si="23"/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IFERROR(VLOOKUP(B301,input_391010!L:R,7,FALSE),VLOOKUP(tables_391010!C301,input_391010!A:H,8,FALSE))</f>
        <v>14250</v>
      </c>
      <c r="P301" s="46">
        <f t="shared" ca="1" si="24"/>
        <v>5.4597701149425282E-4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input_391010!A$2</f>
        <v>391010</v>
      </c>
      <c r="B302" s="5">
        <v>1028</v>
      </c>
      <c r="C302" s="7" t="str">
        <f t="shared" si="22"/>
        <v>PremiumSS5R5only</v>
      </c>
      <c r="D302" s="7" t="str">
        <f t="shared" si="23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IFERROR(VLOOKUP(B302,input_391010!L:R,7,FALSE),VLOOKUP(tables_391010!C302,input_391010!A:H,8,FALSE))</f>
        <v>29000</v>
      </c>
      <c r="P302" s="46">
        <f t="shared" ca="1" si="24"/>
        <v>1.1111111111111111E-3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input_391010!A$2</f>
        <v>391010</v>
      </c>
      <c r="B303" s="5">
        <v>1031</v>
      </c>
      <c r="C303" s="7" t="str">
        <f t="shared" si="22"/>
        <v>PremiumSS5R5only</v>
      </c>
      <c r="D303" s="7" t="str">
        <f t="shared" si="23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IFERROR(VLOOKUP(B303,input_391010!L:R,7,FALSE),VLOOKUP(tables_391010!C303,input_391010!A:H,8,FALSE))</f>
        <v>29000</v>
      </c>
      <c r="P303" s="46">
        <f t="shared" ca="1" si="24"/>
        <v>1.1111111111111111E-3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input_391010!A$2</f>
        <v>391010</v>
      </c>
      <c r="B304" s="5">
        <v>1033</v>
      </c>
      <c r="C304" s="7" t="str">
        <f t="shared" si="22"/>
        <v>PremiumSS5R5only</v>
      </c>
      <c r="D304" s="7" t="str">
        <f t="shared" si="23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IFERROR(VLOOKUP(B304,input_391010!L:R,7,FALSE),VLOOKUP(tables_391010!C304,input_391010!A:H,8,FALSE))</f>
        <v>29000</v>
      </c>
      <c r="P304" s="46">
        <f t="shared" ca="1" si="24"/>
        <v>1.1111111111111111E-3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04"/>
  <sheetViews>
    <sheetView showGridLines="0" zoomScale="75" zoomScaleNormal="75" zoomScalePageLayoutView="75" workbookViewId="0">
      <pane ySplit="1" topLeftCell="A278" activePane="bottomLeft" state="frozen"/>
      <selection activeCell="H276" sqref="H276"/>
      <selection pane="bottomLeft" activeCell="H305" sqref="H30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input_391011!A$2</f>
        <v>391011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IFERROR(VLOOKUP(B2,input_391011!L:R,7,FALSE),VLOOKUP(tables_391011!C2,input_391011!A:H,8,FALSE))</f>
        <v>245100</v>
      </c>
      <c r="P2" s="46">
        <f t="shared" ref="P2:P65" ca="1" si="2">O2/SUM(O:O)</f>
        <v>9.3908045977011499E-3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input_391011!A$2</f>
        <v>391011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IFERROR(VLOOKUP(B3,input_391011!L:R,7,FALSE),VLOOKUP(tables_391011!C3,input_391011!A:H,8,FALSE))</f>
        <v>45900</v>
      </c>
      <c r="P3" s="46">
        <f t="shared" ca="1" si="2"/>
        <v>1.7586206896551724E-3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input_391011!A$2</f>
        <v>391011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IFERROR(VLOOKUP(B4,input_391011!L:R,7,FALSE),VLOOKUP(tables_391011!C4,input_391011!A:H,8,FALSE))</f>
        <v>245100</v>
      </c>
      <c r="P4" s="46">
        <f t="shared" ca="1" si="2"/>
        <v>9.3908045977011499E-3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input_391011!A$2</f>
        <v>391011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IFERROR(VLOOKUP(B5,input_391011!L:R,7,FALSE),VLOOKUP(tables_391011!C5,input_391011!A:H,8,FALSE))</f>
        <v>45900</v>
      </c>
      <c r="P5" s="46">
        <f t="shared" ca="1" si="2"/>
        <v>1.7586206896551724E-3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input_391011!A$2</f>
        <v>391011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IFERROR(VLOOKUP(B6,input_391011!L:R,7,FALSE),VLOOKUP(tables_391011!C6,input_391011!A:H,8,FALSE))</f>
        <v>245100</v>
      </c>
      <c r="P6" s="46">
        <f t="shared" ca="1" si="2"/>
        <v>9.3908045977011499E-3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input_391011!A$2</f>
        <v>391011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IFERROR(VLOOKUP(B7,input_391011!L:R,7,FALSE),VLOOKUP(tables_391011!C7,input_391011!A:H,8,FALSE))</f>
        <v>45900</v>
      </c>
      <c r="P7" s="46">
        <f t="shared" ca="1" si="2"/>
        <v>1.7586206896551724E-3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input_391011!A$2</f>
        <v>391011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IFERROR(VLOOKUP(B8,input_391011!L:R,7,FALSE),VLOOKUP(tables_391011!C8,input_391011!A:H,8,FALSE))</f>
        <v>245100</v>
      </c>
      <c r="P8" s="46">
        <f t="shared" ca="1" si="2"/>
        <v>9.3908045977011499E-3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input_391011!A$2</f>
        <v>391011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IFERROR(VLOOKUP(B9,input_391011!L:R,7,FALSE),VLOOKUP(tables_391011!C9,input_391011!A:H,8,FALSE))</f>
        <v>45900</v>
      </c>
      <c r="P9" s="46">
        <f t="shared" ca="1" si="2"/>
        <v>1.7586206896551724E-3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input_391011!A$2</f>
        <v>391011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IFERROR(VLOOKUP(B10,input_391011!L:R,7,FALSE),VLOOKUP(tables_391011!C10,input_391011!A:H,8,FALSE))</f>
        <v>245100</v>
      </c>
      <c r="P10" s="46">
        <f t="shared" ca="1" si="2"/>
        <v>9.3908045977011499E-3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input_391011!A$2</f>
        <v>391011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IFERROR(VLOOKUP(B11,input_391011!L:R,7,FALSE),VLOOKUP(tables_391011!C11,input_391011!A:H,8,FALSE))</f>
        <v>45900</v>
      </c>
      <c r="P11" s="46">
        <f t="shared" ca="1" si="2"/>
        <v>1.7586206896551724E-3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input_391011!A$2</f>
        <v>391011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IFERROR(VLOOKUP(B12,input_391011!L:R,7,FALSE),VLOOKUP(tables_391011!C12,input_391011!A:H,8,FALSE))</f>
        <v>245100</v>
      </c>
      <c r="P12" s="46">
        <f t="shared" ca="1" si="2"/>
        <v>9.3908045977011499E-3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input_391011!A$2</f>
        <v>391011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IFERROR(VLOOKUP(B13,input_391011!L:R,7,FALSE),VLOOKUP(tables_391011!C13,input_391011!A:H,8,FALSE))</f>
        <v>45900</v>
      </c>
      <c r="P13" s="46">
        <f t="shared" ca="1" si="2"/>
        <v>1.7586206896551724E-3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input_391011!A$2</f>
        <v>391011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IFERROR(VLOOKUP(B14,input_391011!L:R,7,FALSE),VLOOKUP(tables_391011!C14,input_391011!A:H,8,FALSE))</f>
        <v>245100</v>
      </c>
      <c r="P14" s="46">
        <f t="shared" ca="1" si="2"/>
        <v>9.3908045977011499E-3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input_391011!A$2</f>
        <v>391011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IFERROR(VLOOKUP(B15,input_391011!L:R,7,FALSE),VLOOKUP(tables_391011!C15,input_391011!A:H,8,FALSE))</f>
        <v>45900</v>
      </c>
      <c r="P15" s="46">
        <f t="shared" ca="1" si="2"/>
        <v>1.7586206896551724E-3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input_391011!A$2</f>
        <v>391011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IFERROR(VLOOKUP(B16,input_391011!L:R,7,FALSE),VLOOKUP(tables_391011!C16,input_391011!A:H,8,FALSE))</f>
        <v>245100</v>
      </c>
      <c r="P16" s="46">
        <f t="shared" ca="1" si="2"/>
        <v>9.3908045977011499E-3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input_391011!A$2</f>
        <v>391011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IFERROR(VLOOKUP(B17,input_391011!L:R,7,FALSE),VLOOKUP(tables_391011!C17,input_391011!A:H,8,FALSE))</f>
        <v>45900</v>
      </c>
      <c r="P17" s="46">
        <f t="shared" ca="1" si="2"/>
        <v>1.7586206896551724E-3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input_391011!A$2</f>
        <v>391011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IFERROR(VLOOKUP(B18,input_391011!L:R,7,FALSE),VLOOKUP(tables_391011!C18,input_391011!A:H,8,FALSE))</f>
        <v>245100</v>
      </c>
      <c r="P18" s="46">
        <f t="shared" ca="1" si="2"/>
        <v>9.3908045977011499E-3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input_391011!A$2</f>
        <v>391011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IFERROR(VLOOKUP(B19,input_391011!L:R,7,FALSE),VLOOKUP(tables_391011!C19,input_391011!A:H,8,FALSE))</f>
        <v>45900</v>
      </c>
      <c r="P19" s="46">
        <f t="shared" ca="1" si="2"/>
        <v>1.7586206896551724E-3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input_391011!A$2</f>
        <v>391011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IFERROR(VLOOKUP(B20,input_391011!L:R,7,FALSE),VLOOKUP(tables_391011!C20,input_391011!A:H,8,FALSE))</f>
        <v>245100</v>
      </c>
      <c r="P20" s="46">
        <f t="shared" ca="1" si="2"/>
        <v>9.3908045977011499E-3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input_391011!A$2</f>
        <v>391011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IFERROR(VLOOKUP(B21,input_391011!L:R,7,FALSE),VLOOKUP(tables_391011!C21,input_391011!A:H,8,FALSE))</f>
        <v>45900</v>
      </c>
      <c r="P21" s="46">
        <f t="shared" ca="1" si="2"/>
        <v>1.7586206896551724E-3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input_391011!A$2</f>
        <v>391011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IFERROR(VLOOKUP(B22,input_391011!L:R,7,FALSE),VLOOKUP(tables_391011!C22,input_391011!A:H,8,FALSE))</f>
        <v>245100</v>
      </c>
      <c r="P22" s="46">
        <f t="shared" ca="1" si="2"/>
        <v>9.3908045977011499E-3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input_391011!A$2</f>
        <v>391011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IFERROR(VLOOKUP(B23,input_391011!L:R,7,FALSE),VLOOKUP(tables_391011!C23,input_391011!A:H,8,FALSE))</f>
        <v>45900</v>
      </c>
      <c r="P23" s="46">
        <f t="shared" ca="1" si="2"/>
        <v>1.7586206896551724E-3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input_391011!A$2</f>
        <v>391011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IFERROR(VLOOKUP(B24,input_391011!L:R,7,FALSE),VLOOKUP(tables_391011!C24,input_391011!A:H,8,FALSE))</f>
        <v>245100</v>
      </c>
      <c r="P24" s="46">
        <f t="shared" ca="1" si="2"/>
        <v>9.3908045977011499E-3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input_391011!A$2</f>
        <v>391011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IFERROR(VLOOKUP(B25,input_391011!L:R,7,FALSE),VLOOKUP(tables_391011!C25,input_391011!A:H,8,FALSE))</f>
        <v>45900</v>
      </c>
      <c r="P25" s="46">
        <f t="shared" ca="1" si="2"/>
        <v>1.7586206896551724E-3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input_391011!A$2</f>
        <v>391011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IFERROR(VLOOKUP(B26,input_391011!L:R,7,FALSE),VLOOKUP(tables_391011!C26,input_391011!A:H,8,FALSE))</f>
        <v>245100</v>
      </c>
      <c r="P26" s="46">
        <f t="shared" ca="1" si="2"/>
        <v>9.3908045977011499E-3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input_391011!A$2</f>
        <v>391011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IFERROR(VLOOKUP(B27,input_391011!L:R,7,FALSE),VLOOKUP(tables_391011!C27,input_391011!A:H,8,FALSE))</f>
        <v>45900</v>
      </c>
      <c r="P27" s="46">
        <f t="shared" ca="1" si="2"/>
        <v>1.7586206896551724E-3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input_391011!A$2</f>
        <v>391011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IFERROR(VLOOKUP(B28,input_391011!L:R,7,FALSE),VLOOKUP(tables_391011!C28,input_391011!A:H,8,FALSE))</f>
        <v>245100</v>
      </c>
      <c r="P28" s="46">
        <f t="shared" ca="1" si="2"/>
        <v>9.3908045977011499E-3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input_391011!A$2</f>
        <v>391011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IFERROR(VLOOKUP(B29,input_391011!L:R,7,FALSE),VLOOKUP(tables_391011!C29,input_391011!A:H,8,FALSE))</f>
        <v>45900</v>
      </c>
      <c r="P29" s="46">
        <f t="shared" ca="1" si="2"/>
        <v>1.7586206896551724E-3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input_391011!A$2</f>
        <v>391011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IFERROR(VLOOKUP(B30,input_391011!L:R,7,FALSE),VLOOKUP(tables_391011!C30,input_391011!A:H,8,FALSE))</f>
        <v>245100</v>
      </c>
      <c r="P30" s="46">
        <f t="shared" ca="1" si="2"/>
        <v>9.3908045977011499E-3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input_391011!A$2</f>
        <v>391011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IFERROR(VLOOKUP(B31,input_391011!L:R,7,FALSE),VLOOKUP(tables_391011!C31,input_391011!A:H,8,FALSE))</f>
        <v>45900</v>
      </c>
      <c r="P31" s="46">
        <f t="shared" ca="1" si="2"/>
        <v>1.7586206896551724E-3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input_391011!A$2</f>
        <v>391011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IFERROR(VLOOKUP(B32,input_391011!L:R,7,FALSE),VLOOKUP(tables_391011!C32,input_391011!A:H,8,FALSE))</f>
        <v>245100</v>
      </c>
      <c r="P32" s="46">
        <f t="shared" ca="1" si="2"/>
        <v>9.3908045977011499E-3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input_391011!A$2</f>
        <v>391011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IFERROR(VLOOKUP(B33,input_391011!L:R,7,FALSE),VLOOKUP(tables_391011!C33,input_391011!A:H,8,FALSE))</f>
        <v>45900</v>
      </c>
      <c r="P33" s="46">
        <f t="shared" ca="1" si="2"/>
        <v>1.7586206896551724E-3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input_391011!A$2</f>
        <v>391011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IFERROR(VLOOKUP(B34,input_391011!L:R,7,FALSE),VLOOKUP(tables_391011!C34,input_391011!A:H,8,FALSE))</f>
        <v>245100</v>
      </c>
      <c r="P34" s="46">
        <f t="shared" ca="1" si="2"/>
        <v>9.3908045977011499E-3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input_391011!A$2</f>
        <v>391011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IFERROR(VLOOKUP(B35,input_391011!L:R,7,FALSE),VLOOKUP(tables_391011!C35,input_391011!A:H,8,FALSE))</f>
        <v>45900</v>
      </c>
      <c r="P35" s="46">
        <f t="shared" ca="1" si="2"/>
        <v>1.7586206896551724E-3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input_391011!A$2</f>
        <v>391011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IFERROR(VLOOKUP(B36,input_391011!L:R,7,FALSE),VLOOKUP(tables_391011!C36,input_391011!A:H,8,FALSE))</f>
        <v>245100</v>
      </c>
      <c r="P36" s="46">
        <f t="shared" ca="1" si="2"/>
        <v>9.3908045977011499E-3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input_391011!A$2</f>
        <v>391011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IFERROR(VLOOKUP(B37,input_391011!L:R,7,FALSE),VLOOKUP(tables_391011!C37,input_391011!A:H,8,FALSE))</f>
        <v>45900</v>
      </c>
      <c r="P37" s="46">
        <f t="shared" ca="1" si="2"/>
        <v>1.7586206896551724E-3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input_391011!A$2</f>
        <v>391011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IFERROR(VLOOKUP(B38,input_391011!L:R,7,FALSE),VLOOKUP(tables_391011!C38,input_391011!A:H,8,FALSE))</f>
        <v>245100</v>
      </c>
      <c r="P38" s="46">
        <f t="shared" ca="1" si="2"/>
        <v>9.3908045977011499E-3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input_391011!A$2</f>
        <v>391011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IFERROR(VLOOKUP(B39,input_391011!L:R,7,FALSE),VLOOKUP(tables_391011!C39,input_391011!A:H,8,FALSE))</f>
        <v>45900</v>
      </c>
      <c r="P39" s="46">
        <f t="shared" ca="1" si="2"/>
        <v>1.7586206896551724E-3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input_391011!A$2</f>
        <v>391011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IFERROR(VLOOKUP(B40,input_391011!L:R,7,FALSE),VLOOKUP(tables_391011!C40,input_391011!A:H,8,FALSE))</f>
        <v>245100</v>
      </c>
      <c r="P40" s="46">
        <f t="shared" ca="1" si="2"/>
        <v>9.3908045977011499E-3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input_391011!A$2</f>
        <v>391011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IFERROR(VLOOKUP(B41,input_391011!L:R,7,FALSE),VLOOKUP(tables_391011!C41,input_391011!A:H,8,FALSE))</f>
        <v>45900</v>
      </c>
      <c r="P41" s="46">
        <f t="shared" ca="1" si="2"/>
        <v>1.7586206896551724E-3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input_391011!A$2</f>
        <v>391011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IFERROR(VLOOKUP(B42,input_391011!L:R,7,FALSE),VLOOKUP(tables_391011!C42,input_391011!A:H,8,FALSE))</f>
        <v>145500</v>
      </c>
      <c r="P42" s="46">
        <f t="shared" ca="1" si="2"/>
        <v>5.574712643678161E-3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input_391011!A$2</f>
        <v>391011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IFERROR(VLOOKUP(B43,input_391011!L:R,7,FALSE),VLOOKUP(tables_391011!C43,input_391011!A:H,8,FALSE))</f>
        <v>130950</v>
      </c>
      <c r="P43" s="46">
        <f t="shared" ca="1" si="2"/>
        <v>5.0172413793103448E-3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input_391011!A$2</f>
        <v>391011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IFERROR(VLOOKUP(B44,input_391011!L:R,7,FALSE),VLOOKUP(tables_391011!C44,input_391011!A:H,8,FALSE))</f>
        <v>14550</v>
      </c>
      <c r="P44" s="46">
        <f t="shared" ca="1" si="2"/>
        <v>5.5747126436781608E-4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input_391011!A$2</f>
        <v>391011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IFERROR(VLOOKUP(B45,input_391011!L:R,7,FALSE),VLOOKUP(tables_391011!C45,input_391011!A:H,8,FALSE))</f>
        <v>145500</v>
      </c>
      <c r="P45" s="46">
        <f t="shared" ca="1" si="2"/>
        <v>5.574712643678161E-3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input_391011!A$2</f>
        <v>391011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IFERROR(VLOOKUP(B46,input_391011!L:R,7,FALSE),VLOOKUP(tables_391011!C46,input_391011!A:H,8,FALSE))</f>
        <v>130950</v>
      </c>
      <c r="P46" s="46">
        <f t="shared" ca="1" si="2"/>
        <v>5.0172413793103448E-3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input_391011!A$2</f>
        <v>391011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IFERROR(VLOOKUP(B47,input_391011!L:R,7,FALSE),VLOOKUP(tables_391011!C47,input_391011!A:H,8,FALSE))</f>
        <v>14550</v>
      </c>
      <c r="P47" s="46">
        <f t="shared" ca="1" si="2"/>
        <v>5.5747126436781608E-4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input_391011!A$2</f>
        <v>391011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IFERROR(VLOOKUP(B48,input_391011!L:R,7,FALSE),VLOOKUP(tables_391011!C48,input_391011!A:H,8,FALSE))</f>
        <v>145500</v>
      </c>
      <c r="P48" s="46">
        <f t="shared" ca="1" si="2"/>
        <v>5.574712643678161E-3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input_391011!A$2</f>
        <v>391011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IFERROR(VLOOKUP(B49,input_391011!L:R,7,FALSE),VLOOKUP(tables_391011!C49,input_391011!A:H,8,FALSE))</f>
        <v>130950</v>
      </c>
      <c r="P49" s="46">
        <f t="shared" ca="1" si="2"/>
        <v>5.0172413793103448E-3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input_391011!A$2</f>
        <v>391011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IFERROR(VLOOKUP(B50,input_391011!L:R,7,FALSE),VLOOKUP(tables_391011!C50,input_391011!A:H,8,FALSE))</f>
        <v>14550</v>
      </c>
      <c r="P50" s="46">
        <f t="shared" ca="1" si="2"/>
        <v>5.5747126436781608E-4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input_391011!A$2</f>
        <v>391011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IFERROR(VLOOKUP(B51,input_391011!L:R,7,FALSE),VLOOKUP(tables_391011!C51,input_391011!A:H,8,FALSE))</f>
        <v>145500</v>
      </c>
      <c r="P51" s="46">
        <f t="shared" ca="1" si="2"/>
        <v>5.574712643678161E-3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input_391011!A$2</f>
        <v>391011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IFERROR(VLOOKUP(B52,input_391011!L:R,7,FALSE),VLOOKUP(tables_391011!C52,input_391011!A:H,8,FALSE))</f>
        <v>130757.88462</v>
      </c>
      <c r="P52" s="46">
        <f t="shared" ca="1" si="2"/>
        <v>5.0098806367816088E-3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input_391011!A$2</f>
        <v>391011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IFERROR(VLOOKUP(B53,input_391011!L:R,7,FALSE),VLOOKUP(tables_391011!C53,input_391011!A:H,8,FALSE))</f>
        <v>14742.115379999999</v>
      </c>
      <c r="P53" s="46">
        <f t="shared" ca="1" si="2"/>
        <v>5.6483200689655172E-4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input_391011!A$2</f>
        <v>391011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IFERROR(VLOOKUP(B54,input_391011!L:R,7,FALSE),VLOOKUP(tables_391011!C54,input_391011!A:H,8,FALSE))</f>
        <v>145500</v>
      </c>
      <c r="P54" s="46">
        <f t="shared" ca="1" si="2"/>
        <v>5.574712643678161E-3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input_391011!A$2</f>
        <v>391011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IFERROR(VLOOKUP(B55,input_391011!L:R,7,FALSE),VLOOKUP(tables_391011!C55,input_391011!A:H,8,FALSE))</f>
        <v>130757.88462</v>
      </c>
      <c r="P55" s="46">
        <f t="shared" ca="1" si="2"/>
        <v>5.0098806367816088E-3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input_391011!A$2</f>
        <v>391011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IFERROR(VLOOKUP(B56,input_391011!L:R,7,FALSE),VLOOKUP(tables_391011!C56,input_391011!A:H,8,FALSE))</f>
        <v>14742.115379999999</v>
      </c>
      <c r="P56" s="46">
        <f t="shared" ca="1" si="2"/>
        <v>5.6483200689655172E-4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input_391011!A$2</f>
        <v>391011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IFERROR(VLOOKUP(B57,input_391011!L:R,7,FALSE),VLOOKUP(tables_391011!C57,input_391011!A:H,8,FALSE))</f>
        <v>145500</v>
      </c>
      <c r="P57" s="46">
        <f t="shared" ca="1" si="2"/>
        <v>5.574712643678161E-3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input_391011!A$2</f>
        <v>391011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IFERROR(VLOOKUP(B58,input_391011!L:R,7,FALSE),VLOOKUP(tables_391011!C58,input_391011!A:H,8,FALSE))</f>
        <v>130757.88462</v>
      </c>
      <c r="P58" s="46">
        <f t="shared" ca="1" si="2"/>
        <v>5.0098806367816088E-3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input_391011!A$2</f>
        <v>391011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IFERROR(VLOOKUP(B59,input_391011!L:R,7,FALSE),VLOOKUP(tables_391011!C59,input_391011!A:H,8,FALSE))</f>
        <v>14742.115379999999</v>
      </c>
      <c r="P59" s="46">
        <f t="shared" ca="1" si="2"/>
        <v>5.6483200689655172E-4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input_391011!A$2</f>
        <v>391011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IFERROR(VLOOKUP(B60,input_391011!L:R,7,FALSE),VLOOKUP(tables_391011!C60,input_391011!A:H,8,FALSE))</f>
        <v>145500</v>
      </c>
      <c r="P60" s="46">
        <f t="shared" ca="1" si="2"/>
        <v>5.574712643678161E-3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input_391011!A$2</f>
        <v>391011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IFERROR(VLOOKUP(B61,input_391011!L:R,7,FALSE),VLOOKUP(tables_391011!C61,input_391011!A:H,8,FALSE))</f>
        <v>130757.88462</v>
      </c>
      <c r="P61" s="46">
        <f t="shared" ca="1" si="2"/>
        <v>5.0098806367816088E-3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input_391011!A$2</f>
        <v>391011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IFERROR(VLOOKUP(B62,input_391011!L:R,7,FALSE),VLOOKUP(tables_391011!C62,input_391011!A:H,8,FALSE))</f>
        <v>14742.115379999999</v>
      </c>
      <c r="P62" s="46">
        <f t="shared" ca="1" si="2"/>
        <v>5.6483200689655172E-4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input_391011!A$2</f>
        <v>391011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IFERROR(VLOOKUP(B63,input_391011!L:R,7,FALSE),VLOOKUP(tables_391011!C63,input_391011!A:H,8,FALSE))</f>
        <v>145500</v>
      </c>
      <c r="P63" s="46">
        <f t="shared" ca="1" si="2"/>
        <v>5.574712643678161E-3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input_391011!A$2</f>
        <v>391011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IFERROR(VLOOKUP(B64,input_391011!L:R,7,FALSE),VLOOKUP(tables_391011!C64,input_391011!A:H,8,FALSE))</f>
        <v>130757.88462</v>
      </c>
      <c r="P64" s="46">
        <f t="shared" ca="1" si="2"/>
        <v>5.0098806367816088E-3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input_391011!A$2</f>
        <v>391011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IFERROR(VLOOKUP(B65,input_391011!L:R,7,FALSE),VLOOKUP(tables_391011!C65,input_391011!A:H,8,FALSE))</f>
        <v>14742.115379999999</v>
      </c>
      <c r="P65" s="46">
        <f t="shared" ca="1" si="2"/>
        <v>5.6483200689655172E-4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input_391011!A$2</f>
        <v>391011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IFERROR(VLOOKUP(B66,input_391011!L:R,7,FALSE),VLOOKUP(tables_391011!C66,input_391011!A:H,8,FALSE))</f>
        <v>145500</v>
      </c>
      <c r="P66" s="46">
        <f t="shared" ref="P66:P129" ca="1" si="5">O66/SUM(O:O)</f>
        <v>5.574712643678161E-3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input_391011!A$2</f>
        <v>391011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IFERROR(VLOOKUP(B67,input_391011!L:R,7,FALSE),VLOOKUP(tables_391011!C67,input_391011!A:H,8,FALSE))</f>
        <v>130757.88462</v>
      </c>
      <c r="P67" s="46">
        <f t="shared" ca="1" si="5"/>
        <v>5.0098806367816088E-3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input_391011!A$2</f>
        <v>391011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IFERROR(VLOOKUP(B68,input_391011!L:R,7,FALSE),VLOOKUP(tables_391011!C68,input_391011!A:H,8,FALSE))</f>
        <v>14742.115379999999</v>
      </c>
      <c r="P68" s="46">
        <f t="shared" ca="1" si="5"/>
        <v>5.6483200689655172E-4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input_391011!A$2</f>
        <v>391011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IFERROR(VLOOKUP(B69,input_391011!L:R,7,FALSE),VLOOKUP(tables_391011!C69,input_391011!A:H,8,FALSE))</f>
        <v>145500</v>
      </c>
      <c r="P69" s="46">
        <f t="shared" ca="1" si="5"/>
        <v>5.574712643678161E-3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input_391011!A$2</f>
        <v>391011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IFERROR(VLOOKUP(B70,input_391011!L:R,7,FALSE),VLOOKUP(tables_391011!C70,input_391011!A:H,8,FALSE))</f>
        <v>130757.88462</v>
      </c>
      <c r="P70" s="46">
        <f t="shared" ca="1" si="5"/>
        <v>5.0098806367816088E-3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input_391011!A$2</f>
        <v>391011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IFERROR(VLOOKUP(B71,input_391011!L:R,7,FALSE),VLOOKUP(tables_391011!C71,input_391011!A:H,8,FALSE))</f>
        <v>14742.115379999999</v>
      </c>
      <c r="P71" s="46">
        <f t="shared" ca="1" si="5"/>
        <v>5.6483200689655172E-4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input_391011!A$2</f>
        <v>391011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IFERROR(VLOOKUP(B72,input_391011!L:R,7,FALSE),VLOOKUP(tables_391011!C72,input_391011!A:H,8,FALSE))</f>
        <v>145500</v>
      </c>
      <c r="P72" s="46">
        <f t="shared" ca="1" si="5"/>
        <v>5.574712643678161E-3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input_391011!A$2</f>
        <v>391011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IFERROR(VLOOKUP(B73,input_391011!L:R,7,FALSE),VLOOKUP(tables_391011!C73,input_391011!A:H,8,FALSE))</f>
        <v>130757.88462</v>
      </c>
      <c r="P73" s="46">
        <f t="shared" ca="1" si="5"/>
        <v>5.0098806367816088E-3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input_391011!A$2</f>
        <v>391011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IFERROR(VLOOKUP(B74,input_391011!L:R,7,FALSE),VLOOKUP(tables_391011!C74,input_391011!A:H,8,FALSE))</f>
        <v>14742.115379999999</v>
      </c>
      <c r="P74" s="46">
        <f t="shared" ca="1" si="5"/>
        <v>5.6483200689655172E-4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input_391011!A$2</f>
        <v>391011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IFERROR(VLOOKUP(B75,input_391011!L:R,7,FALSE),VLOOKUP(tables_391011!C75,input_391011!A:H,8,FALSE))</f>
        <v>145500</v>
      </c>
      <c r="P75" s="46">
        <f t="shared" ca="1" si="5"/>
        <v>5.574712643678161E-3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input_391011!A$2</f>
        <v>391011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IFERROR(VLOOKUP(B76,input_391011!L:R,7,FALSE),VLOOKUP(tables_391011!C76,input_391011!A:H,8,FALSE))</f>
        <v>130757.88462</v>
      </c>
      <c r="P76" s="46">
        <f t="shared" ca="1" si="5"/>
        <v>5.0098806367816088E-3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input_391011!A$2</f>
        <v>391011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IFERROR(VLOOKUP(B77,input_391011!L:R,7,FALSE),VLOOKUP(tables_391011!C77,input_391011!A:H,8,FALSE))</f>
        <v>14742.115379999999</v>
      </c>
      <c r="P77" s="46">
        <f t="shared" ca="1" si="5"/>
        <v>5.6483200689655172E-4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input_391011!A$2</f>
        <v>391011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IFERROR(VLOOKUP(B78,input_391011!L:R,7,FALSE),VLOOKUP(tables_391011!C78,input_391011!A:H,8,FALSE))</f>
        <v>145500</v>
      </c>
      <c r="P78" s="46">
        <f t="shared" ca="1" si="5"/>
        <v>5.574712643678161E-3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input_391011!A$2</f>
        <v>391011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IFERROR(VLOOKUP(B79,input_391011!L:R,7,FALSE),VLOOKUP(tables_391011!C79,input_391011!A:H,8,FALSE))</f>
        <v>130757.88462</v>
      </c>
      <c r="P79" s="46">
        <f t="shared" ca="1" si="5"/>
        <v>5.0098806367816088E-3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input_391011!A$2</f>
        <v>391011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IFERROR(VLOOKUP(B80,input_391011!L:R,7,FALSE),VLOOKUP(tables_391011!C80,input_391011!A:H,8,FALSE))</f>
        <v>14742.115379999999</v>
      </c>
      <c r="P80" s="46">
        <f t="shared" ca="1" si="5"/>
        <v>5.6483200689655172E-4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input_391011!A$2</f>
        <v>391011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IFERROR(VLOOKUP(B81,input_391011!L:R,7,FALSE),VLOOKUP(tables_391011!C81,input_391011!A:H,8,FALSE))</f>
        <v>145500</v>
      </c>
      <c r="P81" s="46">
        <f t="shared" ca="1" si="5"/>
        <v>5.574712643678161E-3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input_391011!A$2</f>
        <v>391011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IFERROR(VLOOKUP(B82,input_391011!L:R,7,FALSE),VLOOKUP(tables_391011!C82,input_391011!A:H,8,FALSE))</f>
        <v>130757.88462</v>
      </c>
      <c r="P82" s="46">
        <f t="shared" ca="1" si="5"/>
        <v>5.0098806367816088E-3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input_391011!A$2</f>
        <v>391011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IFERROR(VLOOKUP(B83,input_391011!L:R,7,FALSE),VLOOKUP(tables_391011!C83,input_391011!A:H,8,FALSE))</f>
        <v>14742.115379999999</v>
      </c>
      <c r="P83" s="46">
        <f t="shared" ca="1" si="5"/>
        <v>5.6483200689655172E-4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input_391011!A$2</f>
        <v>391011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IFERROR(VLOOKUP(B84,input_391011!L:R,7,FALSE),VLOOKUP(tables_391011!C84,input_391011!A:H,8,FALSE))</f>
        <v>145500</v>
      </c>
      <c r="P84" s="46">
        <f t="shared" ca="1" si="5"/>
        <v>5.574712643678161E-3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input_391011!A$2</f>
        <v>391011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IFERROR(VLOOKUP(B85,input_391011!L:R,7,FALSE),VLOOKUP(tables_391011!C85,input_391011!A:H,8,FALSE))</f>
        <v>130757.88462</v>
      </c>
      <c r="P85" s="46">
        <f t="shared" ca="1" si="5"/>
        <v>5.0098806367816088E-3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input_391011!A$2</f>
        <v>391011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IFERROR(VLOOKUP(B86,input_391011!L:R,7,FALSE),VLOOKUP(tables_391011!C86,input_391011!A:H,8,FALSE))</f>
        <v>14742.115379999999</v>
      </c>
      <c r="P86" s="46">
        <f t="shared" ca="1" si="5"/>
        <v>5.6483200689655172E-4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input_391011!A$2</f>
        <v>391011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IFERROR(VLOOKUP(B87,input_391011!L:R,7,FALSE),VLOOKUP(tables_391011!C87,input_391011!A:H,8,FALSE))</f>
        <v>145500</v>
      </c>
      <c r="P87" s="46">
        <f t="shared" ca="1" si="5"/>
        <v>5.574712643678161E-3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input_391011!A$2</f>
        <v>391011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IFERROR(VLOOKUP(B88,input_391011!L:R,7,FALSE),VLOOKUP(tables_391011!C88,input_391011!A:H,8,FALSE))</f>
        <v>130757.88462</v>
      </c>
      <c r="P88" s="46">
        <f t="shared" ca="1" si="5"/>
        <v>5.0098806367816088E-3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input_391011!A$2</f>
        <v>391011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IFERROR(VLOOKUP(B89,input_391011!L:R,7,FALSE),VLOOKUP(tables_391011!C89,input_391011!A:H,8,FALSE))</f>
        <v>14742.115379999999</v>
      </c>
      <c r="P89" s="46">
        <f t="shared" ca="1" si="5"/>
        <v>5.6483200689655172E-4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input_391011!A$2</f>
        <v>391011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IFERROR(VLOOKUP(B90,input_391011!L:R,7,FALSE),VLOOKUP(tables_391011!C90,input_391011!A:H,8,FALSE))</f>
        <v>145500</v>
      </c>
      <c r="P90" s="46">
        <f t="shared" ca="1" si="5"/>
        <v>5.574712643678161E-3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input_391011!A$2</f>
        <v>391011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IFERROR(VLOOKUP(B91,input_391011!L:R,7,FALSE),VLOOKUP(tables_391011!C91,input_391011!A:H,8,FALSE))</f>
        <v>130757.88462</v>
      </c>
      <c r="P91" s="46">
        <f t="shared" ca="1" si="5"/>
        <v>5.0098806367816088E-3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input_391011!A$2</f>
        <v>391011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IFERROR(VLOOKUP(B92,input_391011!L:R,7,FALSE),VLOOKUP(tables_391011!C92,input_391011!A:H,8,FALSE))</f>
        <v>14742.115379999999</v>
      </c>
      <c r="P92" s="46">
        <f t="shared" ca="1" si="5"/>
        <v>5.6483200689655172E-4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input_391011!A$2</f>
        <v>391011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IFERROR(VLOOKUP(B93,input_391011!L:R,7,FALSE),VLOOKUP(tables_391011!C93,input_391011!A:H,8,FALSE))</f>
        <v>145500</v>
      </c>
      <c r="P93" s="46">
        <f t="shared" ca="1" si="5"/>
        <v>5.574712643678161E-3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input_391011!A$2</f>
        <v>391011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IFERROR(VLOOKUP(B94,input_391011!L:R,7,FALSE),VLOOKUP(tables_391011!C94,input_391011!A:H,8,FALSE))</f>
        <v>130757.88462</v>
      </c>
      <c r="P94" s="46">
        <f t="shared" ca="1" si="5"/>
        <v>5.0098806367816088E-3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input_391011!A$2</f>
        <v>391011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IFERROR(VLOOKUP(B95,input_391011!L:R,7,FALSE),VLOOKUP(tables_391011!C95,input_391011!A:H,8,FALSE))</f>
        <v>14742.115379999999</v>
      </c>
      <c r="P95" s="46">
        <f t="shared" ca="1" si="5"/>
        <v>5.6483200689655172E-4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input_391011!A$2</f>
        <v>391011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IFERROR(VLOOKUP(B96,input_391011!L:R,7,FALSE),VLOOKUP(tables_391011!C96,input_391011!A:H,8,FALSE))</f>
        <v>145500</v>
      </c>
      <c r="P96" s="46">
        <f t="shared" ca="1" si="5"/>
        <v>5.574712643678161E-3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input_391011!A$2</f>
        <v>391011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IFERROR(VLOOKUP(B97,input_391011!L:R,7,FALSE),VLOOKUP(tables_391011!C97,input_391011!A:H,8,FALSE))</f>
        <v>130757.88462</v>
      </c>
      <c r="P97" s="46">
        <f t="shared" ca="1" si="5"/>
        <v>5.0098806367816088E-3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input_391011!A$2</f>
        <v>391011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IFERROR(VLOOKUP(B98,input_391011!L:R,7,FALSE),VLOOKUP(tables_391011!C98,input_391011!A:H,8,FALSE))</f>
        <v>14742.115379999999</v>
      </c>
      <c r="P98" s="46">
        <f t="shared" ca="1" si="5"/>
        <v>5.6483200689655172E-4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input_391011!A$2</f>
        <v>391011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IFERROR(VLOOKUP(B99,input_391011!L:R,7,FALSE),VLOOKUP(tables_391011!C99,input_391011!A:H,8,FALSE))</f>
        <v>145500</v>
      </c>
      <c r="P99" s="46">
        <f t="shared" ca="1" si="5"/>
        <v>5.574712643678161E-3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input_391011!A$2</f>
        <v>391011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IFERROR(VLOOKUP(B100,input_391011!L:R,7,FALSE),VLOOKUP(tables_391011!C100,input_391011!A:H,8,FALSE))</f>
        <v>130757.88462</v>
      </c>
      <c r="P100" s="46">
        <f t="shared" ca="1" si="5"/>
        <v>5.0098806367816088E-3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input_391011!A$2</f>
        <v>391011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IFERROR(VLOOKUP(B101,input_391011!L:R,7,FALSE),VLOOKUP(tables_391011!C101,input_391011!A:H,8,FALSE))</f>
        <v>14742.115379999999</v>
      </c>
      <c r="P101" s="46">
        <f t="shared" ca="1" si="5"/>
        <v>5.6483200689655172E-4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input_391011!A$2</f>
        <v>391011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IFERROR(VLOOKUP(B102,input_391011!L:R,7,FALSE),VLOOKUP(tables_391011!C102,input_391011!A:H,8,FALSE))</f>
        <v>145500</v>
      </c>
      <c r="P102" s="46">
        <f t="shared" ca="1" si="5"/>
        <v>5.574712643678161E-3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input_391011!A$2</f>
        <v>391011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IFERROR(VLOOKUP(B103,input_391011!L:R,7,FALSE),VLOOKUP(tables_391011!C103,input_391011!A:H,8,FALSE))</f>
        <v>130757.88462</v>
      </c>
      <c r="P103" s="46">
        <f t="shared" ca="1" si="5"/>
        <v>5.0098806367816088E-3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input_391011!A$2</f>
        <v>391011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IFERROR(VLOOKUP(B104,input_391011!L:R,7,FALSE),VLOOKUP(tables_391011!C104,input_391011!A:H,8,FALSE))</f>
        <v>14742.115379999999</v>
      </c>
      <c r="P104" s="46">
        <f t="shared" ca="1" si="5"/>
        <v>5.6483200689655172E-4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input_391011!A$2</f>
        <v>391011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IFERROR(VLOOKUP(B105,input_391011!L:R,7,FALSE),VLOOKUP(tables_391011!C105,input_391011!A:H,8,FALSE))</f>
        <v>145500</v>
      </c>
      <c r="P105" s="46">
        <f t="shared" ca="1" si="5"/>
        <v>5.574712643678161E-3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input_391011!A$2</f>
        <v>391011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IFERROR(VLOOKUP(B106,input_391011!L:R,7,FALSE),VLOOKUP(tables_391011!C106,input_391011!A:H,8,FALSE))</f>
        <v>130757.88462</v>
      </c>
      <c r="P106" s="46">
        <f t="shared" ca="1" si="5"/>
        <v>5.0098806367816088E-3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input_391011!A$2</f>
        <v>391011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IFERROR(VLOOKUP(B107,input_391011!L:R,7,FALSE),VLOOKUP(tables_391011!C107,input_391011!A:H,8,FALSE))</f>
        <v>14742.115379999999</v>
      </c>
      <c r="P107" s="46">
        <f t="shared" ca="1" si="5"/>
        <v>5.6483200689655172E-4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input_391011!A$2</f>
        <v>391011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IFERROR(VLOOKUP(B108,input_391011!L:R,7,FALSE),VLOOKUP(tables_391011!C108,input_391011!A:H,8,FALSE))</f>
        <v>145500</v>
      </c>
      <c r="P108" s="46">
        <f t="shared" ca="1" si="5"/>
        <v>5.574712643678161E-3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input_391011!A$2</f>
        <v>391011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IFERROR(VLOOKUP(B109,input_391011!L:R,7,FALSE),VLOOKUP(tables_391011!C109,input_391011!A:H,8,FALSE))</f>
        <v>130757.88462</v>
      </c>
      <c r="P109" s="46">
        <f t="shared" ca="1" si="5"/>
        <v>5.0098806367816088E-3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input_391011!A$2</f>
        <v>391011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IFERROR(VLOOKUP(B110,input_391011!L:R,7,FALSE),VLOOKUP(tables_391011!C110,input_391011!A:H,8,FALSE))</f>
        <v>14742.115379999999</v>
      </c>
      <c r="P110" s="46">
        <f t="shared" ca="1" si="5"/>
        <v>5.6483200689655172E-4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input_391011!A$2</f>
        <v>391011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IFERROR(VLOOKUP(B111,input_391011!L:R,7,FALSE),VLOOKUP(tables_391011!C111,input_391011!A:H,8,FALSE))</f>
        <v>145500</v>
      </c>
      <c r="P111" s="46">
        <f t="shared" ca="1" si="5"/>
        <v>5.574712643678161E-3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input_391011!A$2</f>
        <v>391011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IFERROR(VLOOKUP(B112,input_391011!L:R,7,FALSE),VLOOKUP(tables_391011!C112,input_391011!A:H,8,FALSE))</f>
        <v>130950</v>
      </c>
      <c r="P112" s="46">
        <f t="shared" ca="1" si="5"/>
        <v>5.0172413793103448E-3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input_391011!A$2</f>
        <v>391011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IFERROR(VLOOKUP(B113,input_391011!L:R,7,FALSE),VLOOKUP(tables_391011!C113,input_391011!A:H,8,FALSE))</f>
        <v>14550</v>
      </c>
      <c r="P113" s="46">
        <f t="shared" ca="1" si="5"/>
        <v>5.5747126436781608E-4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input_391011!A$2</f>
        <v>391011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IFERROR(VLOOKUP(B114,input_391011!L:R,7,FALSE),VLOOKUP(tables_391011!C114,input_391011!A:H,8,FALSE))</f>
        <v>145500</v>
      </c>
      <c r="P114" s="46">
        <f t="shared" ca="1" si="5"/>
        <v>5.574712643678161E-3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input_391011!A$2</f>
        <v>391011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IFERROR(VLOOKUP(B115,input_391011!L:R,7,FALSE),VLOOKUP(tables_391011!C115,input_391011!A:H,8,FALSE))</f>
        <v>130757.88462</v>
      </c>
      <c r="P115" s="46">
        <f t="shared" ca="1" si="5"/>
        <v>5.0098806367816088E-3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input_391011!A$2</f>
        <v>391011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IFERROR(VLOOKUP(B116,input_391011!L:R,7,FALSE),VLOOKUP(tables_391011!C116,input_391011!A:H,8,FALSE))</f>
        <v>14742.115379999999</v>
      </c>
      <c r="P116" s="46">
        <f t="shared" ca="1" si="5"/>
        <v>5.6483200689655172E-4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input_391011!A$2</f>
        <v>391011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IFERROR(VLOOKUP(B117,input_391011!L:R,7,FALSE),VLOOKUP(tables_391011!C117,input_391011!A:H,8,FALSE))</f>
        <v>145500</v>
      </c>
      <c r="P117" s="46">
        <f t="shared" ca="1" si="5"/>
        <v>5.574712643678161E-3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input_391011!A$2</f>
        <v>391011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IFERROR(VLOOKUP(B118,input_391011!L:R,7,FALSE),VLOOKUP(tables_391011!C118,input_391011!A:H,8,FALSE))</f>
        <v>130757.88462</v>
      </c>
      <c r="P118" s="46">
        <f t="shared" ca="1" si="5"/>
        <v>5.0098806367816088E-3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input_391011!A$2</f>
        <v>391011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IFERROR(VLOOKUP(B119,input_391011!L:R,7,FALSE),VLOOKUP(tables_391011!C119,input_391011!A:H,8,FALSE))</f>
        <v>14742.115379999999</v>
      </c>
      <c r="P119" s="46">
        <f t="shared" ca="1" si="5"/>
        <v>5.6483200689655172E-4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input_391011!A$2</f>
        <v>391011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IFERROR(VLOOKUP(B120,input_391011!L:R,7,FALSE),VLOOKUP(tables_391011!C120,input_391011!A:H,8,FALSE))</f>
        <v>145500</v>
      </c>
      <c r="P120" s="46">
        <f t="shared" ca="1" si="5"/>
        <v>5.574712643678161E-3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input_391011!A$2</f>
        <v>391011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IFERROR(VLOOKUP(B121,input_391011!L:R,7,FALSE),VLOOKUP(tables_391011!C121,input_391011!A:H,8,FALSE))</f>
        <v>130757.88462</v>
      </c>
      <c r="P121" s="46">
        <f t="shared" ca="1" si="5"/>
        <v>5.0098806367816088E-3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input_391011!A$2</f>
        <v>391011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IFERROR(VLOOKUP(B122,input_391011!L:R,7,FALSE),VLOOKUP(tables_391011!C122,input_391011!A:H,8,FALSE))</f>
        <v>14742.115379999999</v>
      </c>
      <c r="P122" s="46">
        <f t="shared" ca="1" si="5"/>
        <v>5.6483200689655172E-4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input_391011!A$2</f>
        <v>391011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IFERROR(VLOOKUP(B123,input_391011!L:R,7,FALSE),VLOOKUP(tables_391011!C123,input_391011!A:H,8,FALSE))</f>
        <v>145500</v>
      </c>
      <c r="P123" s="46">
        <f t="shared" ca="1" si="5"/>
        <v>5.574712643678161E-3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input_391011!A$2</f>
        <v>391011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IFERROR(VLOOKUP(B124,input_391011!L:R,7,FALSE),VLOOKUP(tables_391011!C124,input_391011!A:H,8,FALSE))</f>
        <v>130757.88462</v>
      </c>
      <c r="P124" s="46">
        <f t="shared" ca="1" si="5"/>
        <v>5.0098806367816088E-3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input_391011!A$2</f>
        <v>391011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IFERROR(VLOOKUP(B125,input_391011!L:R,7,FALSE),VLOOKUP(tables_391011!C125,input_391011!A:H,8,FALSE))</f>
        <v>14742.115379999999</v>
      </c>
      <c r="P125" s="46">
        <f t="shared" ca="1" si="5"/>
        <v>5.6483200689655172E-4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input_391011!A$2</f>
        <v>391011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IFERROR(VLOOKUP(B126,input_391011!L:R,7,FALSE),VLOOKUP(tables_391011!C126,input_391011!A:H,8,FALSE))</f>
        <v>145500</v>
      </c>
      <c r="P126" s="46">
        <f t="shared" ca="1" si="5"/>
        <v>5.574712643678161E-3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input_391011!A$2</f>
        <v>391011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IFERROR(VLOOKUP(B127,input_391011!L:R,7,FALSE),VLOOKUP(tables_391011!C127,input_391011!A:H,8,FALSE))</f>
        <v>130757.88462</v>
      </c>
      <c r="P127" s="46">
        <f t="shared" ca="1" si="5"/>
        <v>5.0098806367816088E-3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input_391011!A$2</f>
        <v>391011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IFERROR(VLOOKUP(B128,input_391011!L:R,7,FALSE),VLOOKUP(tables_391011!C128,input_391011!A:H,8,FALSE))</f>
        <v>14742.115379999999</v>
      </c>
      <c r="P128" s="46">
        <f t="shared" ca="1" si="5"/>
        <v>5.6483200689655172E-4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input_391011!A$2</f>
        <v>391011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IFERROR(VLOOKUP(B129,input_391011!L:R,7,FALSE),VLOOKUP(tables_391011!C129,input_391011!A:H,8,FALSE))</f>
        <v>145500</v>
      </c>
      <c r="P129" s="46">
        <f t="shared" ca="1" si="5"/>
        <v>5.574712643678161E-3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input_391011!A$2</f>
        <v>391011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IFERROR(VLOOKUP(B130,input_391011!L:R,7,FALSE),VLOOKUP(tables_391011!C130,input_391011!A:H,8,FALSE))</f>
        <v>130757.88462</v>
      </c>
      <c r="P130" s="46">
        <f t="shared" ref="P130:P193" ca="1" si="8">O130/SUM(O:O)</f>
        <v>5.0098806367816088E-3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input_391011!A$2</f>
        <v>391011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IFERROR(VLOOKUP(B131,input_391011!L:R,7,FALSE),VLOOKUP(tables_391011!C131,input_391011!A:H,8,FALSE))</f>
        <v>14742.115379999999</v>
      </c>
      <c r="P131" s="46">
        <f t="shared" ca="1" si="8"/>
        <v>5.6483200689655172E-4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input_391011!A$2</f>
        <v>391011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IFERROR(VLOOKUP(B132,input_391011!L:R,7,FALSE),VLOOKUP(tables_391011!C132,input_391011!A:H,8,FALSE))</f>
        <v>145500</v>
      </c>
      <c r="P132" s="46">
        <f t="shared" ca="1" si="8"/>
        <v>5.574712643678161E-3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input_391011!A$2</f>
        <v>391011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IFERROR(VLOOKUP(B133,input_391011!L:R,7,FALSE),VLOOKUP(tables_391011!C133,input_391011!A:H,8,FALSE))</f>
        <v>130757.88462</v>
      </c>
      <c r="P133" s="46">
        <f t="shared" ca="1" si="8"/>
        <v>5.0098806367816088E-3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input_391011!A$2</f>
        <v>391011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IFERROR(VLOOKUP(B134,input_391011!L:R,7,FALSE),VLOOKUP(tables_391011!C134,input_391011!A:H,8,FALSE))</f>
        <v>14742.115379999999</v>
      </c>
      <c r="P134" s="46">
        <f t="shared" ca="1" si="8"/>
        <v>5.6483200689655172E-4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input_391011!A$2</f>
        <v>391011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IFERROR(VLOOKUP(B135,input_391011!L:R,7,FALSE),VLOOKUP(tables_391011!C135,input_391011!A:H,8,FALSE))</f>
        <v>145500</v>
      </c>
      <c r="P135" s="46">
        <f t="shared" ca="1" si="8"/>
        <v>5.574712643678161E-3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input_391011!A$2</f>
        <v>391011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IFERROR(VLOOKUP(B136,input_391011!L:R,7,FALSE),VLOOKUP(tables_391011!C136,input_391011!A:H,8,FALSE))</f>
        <v>130757.88462</v>
      </c>
      <c r="P136" s="46">
        <f t="shared" ca="1" si="8"/>
        <v>5.0098806367816088E-3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input_391011!A$2</f>
        <v>391011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IFERROR(VLOOKUP(B137,input_391011!L:R,7,FALSE),VLOOKUP(tables_391011!C137,input_391011!A:H,8,FALSE))</f>
        <v>14742.115379999999</v>
      </c>
      <c r="P137" s="46">
        <f t="shared" ca="1" si="8"/>
        <v>5.6483200689655172E-4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input_391011!A$2</f>
        <v>391011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IFERROR(VLOOKUP(B138,input_391011!L:R,7,FALSE),VLOOKUP(tables_391011!C138,input_391011!A:H,8,FALSE))</f>
        <v>16530</v>
      </c>
      <c r="P138" s="46">
        <f t="shared" ca="1" si="8"/>
        <v>6.333333333333333E-4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input_391011!A$2</f>
        <v>391011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IFERROR(VLOOKUP(B139,input_391011!L:R,7,FALSE),VLOOKUP(tables_391011!C139,input_391011!A:H,8,FALSE))</f>
        <v>870</v>
      </c>
      <c r="P139" s="46">
        <f t="shared" ca="1" si="8"/>
        <v>3.3333333333333335E-5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input_391011!A$2</f>
        <v>391011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IFERROR(VLOOKUP(B140,input_391011!L:R,7,FALSE),VLOOKUP(tables_391011!C140,input_391011!A:H,8,FALSE))</f>
        <v>16530</v>
      </c>
      <c r="P140" s="46">
        <f t="shared" ca="1" si="8"/>
        <v>6.333333333333333E-4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input_391011!A$2</f>
        <v>391011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IFERROR(VLOOKUP(B141,input_391011!L:R,7,FALSE),VLOOKUP(tables_391011!C141,input_391011!A:H,8,FALSE))</f>
        <v>870</v>
      </c>
      <c r="P141" s="46">
        <f t="shared" ca="1" si="8"/>
        <v>3.3333333333333335E-5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input_391011!A$2</f>
        <v>391011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IFERROR(VLOOKUP(B142,input_391011!L:R,7,FALSE),VLOOKUP(tables_391011!C142,input_391011!A:H,8,FALSE))</f>
        <v>16530</v>
      </c>
      <c r="P142" s="46">
        <f t="shared" ca="1" si="8"/>
        <v>6.333333333333333E-4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input_391011!A$2</f>
        <v>391011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IFERROR(VLOOKUP(B143,input_391011!L:R,7,FALSE),VLOOKUP(tables_391011!C143,input_391011!A:H,8,FALSE))</f>
        <v>870</v>
      </c>
      <c r="P143" s="46">
        <f t="shared" ca="1" si="8"/>
        <v>3.3333333333333335E-5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input_391011!A$2</f>
        <v>391011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IFERROR(VLOOKUP(B144,input_391011!L:R,7,FALSE),VLOOKUP(tables_391011!C144,input_391011!A:H,8,FALSE))</f>
        <v>16530</v>
      </c>
      <c r="P144" s="46">
        <f t="shared" ca="1" si="8"/>
        <v>6.333333333333333E-4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input_391011!A$2</f>
        <v>391011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IFERROR(VLOOKUP(B145,input_391011!L:R,7,FALSE),VLOOKUP(tables_391011!C145,input_391011!A:H,8,FALSE))</f>
        <v>870</v>
      </c>
      <c r="P145" s="46">
        <f t="shared" ca="1" si="8"/>
        <v>3.3333333333333335E-5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input_391011!A$2</f>
        <v>391011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IFERROR(VLOOKUP(B146,input_391011!L:R,7,FALSE),VLOOKUP(tables_391011!C146,input_391011!A:H,8,FALSE))</f>
        <v>145500</v>
      </c>
      <c r="P146" s="46">
        <f t="shared" ca="1" si="8"/>
        <v>5.574712643678161E-3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input_391011!A$2</f>
        <v>391011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IFERROR(VLOOKUP(B147,input_391011!L:R,7,FALSE),VLOOKUP(tables_391011!C147,input_391011!A:H,8,FALSE))</f>
        <v>130757.88462</v>
      </c>
      <c r="P147" s="46">
        <f t="shared" ca="1" si="8"/>
        <v>5.0098806367816088E-3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input_391011!A$2</f>
        <v>391011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IFERROR(VLOOKUP(B148,input_391011!L:R,7,FALSE),VLOOKUP(tables_391011!C148,input_391011!A:H,8,FALSE))</f>
        <v>14742.115379999999</v>
      </c>
      <c r="P148" s="46">
        <f t="shared" ca="1" si="8"/>
        <v>5.6483200689655172E-4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input_391011!A$2</f>
        <v>391011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IFERROR(VLOOKUP(B149,input_391011!L:R,7,FALSE),VLOOKUP(tables_391011!C149,input_391011!A:H,8,FALSE))</f>
        <v>16530</v>
      </c>
      <c r="P149" s="46">
        <f t="shared" ca="1" si="8"/>
        <v>6.333333333333333E-4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input_391011!A$2</f>
        <v>391011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IFERROR(VLOOKUP(B150,input_391011!L:R,7,FALSE),VLOOKUP(tables_391011!C150,input_391011!A:H,8,FALSE))</f>
        <v>870</v>
      </c>
      <c r="P150" s="46">
        <f t="shared" ca="1" si="8"/>
        <v>3.3333333333333335E-5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input_391011!A$2</f>
        <v>391011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IFERROR(VLOOKUP(B151,input_391011!L:R,7,FALSE),VLOOKUP(tables_391011!C151,input_391011!A:H,8,FALSE))</f>
        <v>16530</v>
      </c>
      <c r="P151" s="46">
        <f t="shared" ca="1" si="8"/>
        <v>6.333333333333333E-4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input_391011!A$2</f>
        <v>391011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IFERROR(VLOOKUP(B152,input_391011!L:R,7,FALSE),VLOOKUP(tables_391011!C152,input_391011!A:H,8,FALSE))</f>
        <v>870</v>
      </c>
      <c r="P152" s="46">
        <f t="shared" ca="1" si="8"/>
        <v>3.3333333333333335E-5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input_391011!A$2</f>
        <v>391011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IFERROR(VLOOKUP(B153,input_391011!L:R,7,FALSE),VLOOKUP(tables_391011!C153,input_391011!A:H,8,FALSE))</f>
        <v>145500</v>
      </c>
      <c r="P153" s="46">
        <f t="shared" ca="1" si="8"/>
        <v>5.574712643678161E-3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input_391011!A$2</f>
        <v>391011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IFERROR(VLOOKUP(B154,input_391011!L:R,7,FALSE),VLOOKUP(tables_391011!C154,input_391011!A:H,8,FALSE))</f>
        <v>130757.88462</v>
      </c>
      <c r="P154" s="46">
        <f t="shared" ca="1" si="8"/>
        <v>5.0098806367816088E-3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input_391011!A$2</f>
        <v>391011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IFERROR(VLOOKUP(B155,input_391011!L:R,7,FALSE),VLOOKUP(tables_391011!C155,input_391011!A:H,8,FALSE))</f>
        <v>14742.115379999999</v>
      </c>
      <c r="P155" s="46">
        <f t="shared" ca="1" si="8"/>
        <v>5.6483200689655172E-4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input_391011!A$2</f>
        <v>391011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IFERROR(VLOOKUP(B156,input_391011!L:R,7,FALSE),VLOOKUP(tables_391011!C156,input_391011!A:H,8,FALSE))</f>
        <v>16530</v>
      </c>
      <c r="P156" s="46">
        <f t="shared" ca="1" si="8"/>
        <v>6.333333333333333E-4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input_391011!A$2</f>
        <v>391011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IFERROR(VLOOKUP(B157,input_391011!L:R,7,FALSE),VLOOKUP(tables_391011!C157,input_391011!A:H,8,FALSE))</f>
        <v>870</v>
      </c>
      <c r="P157" s="46">
        <f t="shared" ca="1" si="8"/>
        <v>3.3333333333333335E-5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input_391011!A$2</f>
        <v>391011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IFERROR(VLOOKUP(B158,input_391011!L:R,7,FALSE),VLOOKUP(tables_391011!C158,input_391011!A:H,8,FALSE))</f>
        <v>145500</v>
      </c>
      <c r="P158" s="46">
        <f t="shared" ca="1" si="8"/>
        <v>5.574712643678161E-3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input_391011!A$2</f>
        <v>391011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IFERROR(VLOOKUP(B159,input_391011!L:R,7,FALSE),VLOOKUP(tables_391011!C159,input_391011!A:H,8,FALSE))</f>
        <v>130757.88462</v>
      </c>
      <c r="P159" s="46">
        <f t="shared" ca="1" si="8"/>
        <v>5.0098806367816088E-3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input_391011!A$2</f>
        <v>391011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IFERROR(VLOOKUP(B160,input_391011!L:R,7,FALSE),VLOOKUP(tables_391011!C160,input_391011!A:H,8,FALSE))</f>
        <v>14742.115379999999</v>
      </c>
      <c r="P160" s="46">
        <f t="shared" ca="1" si="8"/>
        <v>5.6483200689655172E-4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input_391011!A$2</f>
        <v>391011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IFERROR(VLOOKUP(B161,input_391011!L:R,7,FALSE),VLOOKUP(tables_391011!C161,input_391011!A:H,8,FALSE))</f>
        <v>145500</v>
      </c>
      <c r="P161" s="46">
        <f t="shared" ca="1" si="8"/>
        <v>5.574712643678161E-3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input_391011!A$2</f>
        <v>391011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IFERROR(VLOOKUP(B162,input_391011!L:R,7,FALSE),VLOOKUP(tables_391011!C162,input_391011!A:H,8,FALSE))</f>
        <v>130757.88462</v>
      </c>
      <c r="P162" s="46">
        <f t="shared" ca="1" si="8"/>
        <v>5.0098806367816088E-3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input_391011!A$2</f>
        <v>391011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IFERROR(VLOOKUP(B163,input_391011!L:R,7,FALSE),VLOOKUP(tables_391011!C163,input_391011!A:H,8,FALSE))</f>
        <v>14742.115379999999</v>
      </c>
      <c r="P163" s="46">
        <f t="shared" ca="1" si="8"/>
        <v>5.6483200689655172E-4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input_391011!A$2</f>
        <v>391011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IFERROR(VLOOKUP(B164,input_391011!L:R,7,FALSE),VLOOKUP(tables_391011!C164,input_391011!A:H,8,FALSE))</f>
        <v>16530</v>
      </c>
      <c r="P164" s="46">
        <f t="shared" ca="1" si="8"/>
        <v>6.333333333333333E-4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input_391011!A$2</f>
        <v>391011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IFERROR(VLOOKUP(B165,input_391011!L:R,7,FALSE),VLOOKUP(tables_391011!C165,input_391011!A:H,8,FALSE))</f>
        <v>870</v>
      </c>
      <c r="P165" s="46">
        <f t="shared" ca="1" si="8"/>
        <v>3.3333333333333335E-5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input_391011!A$2</f>
        <v>391011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IFERROR(VLOOKUP(B166,input_391011!L:R,7,FALSE),VLOOKUP(tables_391011!C166,input_391011!A:H,8,FALSE))</f>
        <v>145500</v>
      </c>
      <c r="P166" s="46">
        <f t="shared" ca="1" si="8"/>
        <v>5.574712643678161E-3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input_391011!A$2</f>
        <v>391011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IFERROR(VLOOKUP(B167,input_391011!L:R,7,FALSE),VLOOKUP(tables_391011!C167,input_391011!A:H,8,FALSE))</f>
        <v>130757.88462</v>
      </c>
      <c r="P167" s="46">
        <f t="shared" ca="1" si="8"/>
        <v>5.0098806367816088E-3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input_391011!A$2</f>
        <v>391011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IFERROR(VLOOKUP(B168,input_391011!L:R,7,FALSE),VLOOKUP(tables_391011!C168,input_391011!A:H,8,FALSE))</f>
        <v>14742.115379999999</v>
      </c>
      <c r="P168" s="46">
        <f t="shared" ca="1" si="8"/>
        <v>5.6483200689655172E-4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input_391011!A$2</f>
        <v>391011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IFERROR(VLOOKUP(B169,input_391011!L:R,7,FALSE),VLOOKUP(tables_391011!C169,input_391011!A:H,8,FALSE))</f>
        <v>16530</v>
      </c>
      <c r="P169" s="46">
        <f t="shared" ca="1" si="8"/>
        <v>6.333333333333333E-4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input_391011!A$2</f>
        <v>391011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IFERROR(VLOOKUP(B170,input_391011!L:R,7,FALSE),VLOOKUP(tables_391011!C170,input_391011!A:H,8,FALSE))</f>
        <v>870</v>
      </c>
      <c r="P170" s="46">
        <f t="shared" ca="1" si="8"/>
        <v>3.3333333333333335E-5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input_391011!A$2</f>
        <v>391011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IFERROR(VLOOKUP(B171,input_391011!L:R,7,FALSE),VLOOKUP(tables_391011!C171,input_391011!A:H,8,FALSE))</f>
        <v>145500</v>
      </c>
      <c r="P171" s="46">
        <f t="shared" ca="1" si="8"/>
        <v>5.574712643678161E-3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input_391011!A$2</f>
        <v>391011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IFERROR(VLOOKUP(B172,input_391011!L:R,7,FALSE),VLOOKUP(tables_391011!C172,input_391011!A:H,8,FALSE))</f>
        <v>130757.88462</v>
      </c>
      <c r="P172" s="46">
        <f t="shared" ca="1" si="8"/>
        <v>5.0098806367816088E-3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input_391011!A$2</f>
        <v>391011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IFERROR(VLOOKUP(B173,input_391011!L:R,7,FALSE),VLOOKUP(tables_391011!C173,input_391011!A:H,8,FALSE))</f>
        <v>14742.115379999999</v>
      </c>
      <c r="P173" s="46">
        <f t="shared" ca="1" si="8"/>
        <v>5.6483200689655172E-4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input_391011!A$2</f>
        <v>391011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IFERROR(VLOOKUP(B174,input_391011!L:R,7,FALSE),VLOOKUP(tables_391011!C174,input_391011!A:H,8,FALSE))</f>
        <v>16530</v>
      </c>
      <c r="P174" s="46">
        <f t="shared" ca="1" si="8"/>
        <v>6.333333333333333E-4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input_391011!A$2</f>
        <v>391011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IFERROR(VLOOKUP(B175,input_391011!L:R,7,FALSE),VLOOKUP(tables_391011!C175,input_391011!A:H,8,FALSE))</f>
        <v>870</v>
      </c>
      <c r="P175" s="46">
        <f t="shared" ca="1" si="8"/>
        <v>3.3333333333333335E-5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input_391011!A$2</f>
        <v>391011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IFERROR(VLOOKUP(B176,input_391011!L:R,7,FALSE),VLOOKUP(tables_391011!C176,input_391011!A:H,8,FALSE))</f>
        <v>16530</v>
      </c>
      <c r="P176" s="46">
        <f t="shared" ca="1" si="8"/>
        <v>6.333333333333333E-4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input_391011!A$2</f>
        <v>391011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IFERROR(VLOOKUP(B177,input_391011!L:R,7,FALSE),VLOOKUP(tables_391011!C177,input_391011!A:H,8,FALSE))</f>
        <v>870</v>
      </c>
      <c r="P177" s="46">
        <f t="shared" ca="1" si="8"/>
        <v>3.3333333333333335E-5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input_391011!A$2</f>
        <v>391011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IFERROR(VLOOKUP(B178,input_391011!L:R,7,FALSE),VLOOKUP(tables_391011!C178,input_391011!A:H,8,FALSE))</f>
        <v>145500</v>
      </c>
      <c r="P178" s="46">
        <f t="shared" ca="1" si="8"/>
        <v>5.574712643678161E-3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input_391011!A$2</f>
        <v>391011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IFERROR(VLOOKUP(B179,input_391011!L:R,7,FALSE),VLOOKUP(tables_391011!C179,input_391011!A:H,8,FALSE))</f>
        <v>130757.88462</v>
      </c>
      <c r="P179" s="46">
        <f t="shared" ca="1" si="8"/>
        <v>5.0098806367816088E-3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input_391011!A$2</f>
        <v>391011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IFERROR(VLOOKUP(B180,input_391011!L:R,7,FALSE),VLOOKUP(tables_391011!C180,input_391011!A:H,8,FALSE))</f>
        <v>14742.115379999999</v>
      </c>
      <c r="P180" s="46">
        <f t="shared" ca="1" si="8"/>
        <v>5.6483200689655172E-4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input_391011!A$2</f>
        <v>391011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IFERROR(VLOOKUP(B181,input_391011!L:R,7,FALSE),VLOOKUP(tables_391011!C181,input_391011!A:H,8,FALSE))</f>
        <v>145500</v>
      </c>
      <c r="P181" s="46">
        <f t="shared" ca="1" si="8"/>
        <v>5.574712643678161E-3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input_391011!A$2</f>
        <v>391011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IFERROR(VLOOKUP(B182,input_391011!L:R,7,FALSE),VLOOKUP(tables_391011!C182,input_391011!A:H,8,FALSE))</f>
        <v>130757.88462</v>
      </c>
      <c r="P182" s="46">
        <f t="shared" ca="1" si="8"/>
        <v>5.0098806367816088E-3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input_391011!A$2</f>
        <v>391011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IFERROR(VLOOKUP(B183,input_391011!L:R,7,FALSE),VLOOKUP(tables_391011!C183,input_391011!A:H,8,FALSE))</f>
        <v>14742.115379999999</v>
      </c>
      <c r="P183" s="46">
        <f t="shared" ca="1" si="8"/>
        <v>5.6483200689655172E-4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input_391011!A$2</f>
        <v>391011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IFERROR(VLOOKUP(B184,input_391011!L:R,7,FALSE),VLOOKUP(tables_391011!C184,input_391011!A:H,8,FALSE))</f>
        <v>16530</v>
      </c>
      <c r="P184" s="46">
        <f t="shared" ca="1" si="8"/>
        <v>6.333333333333333E-4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input_391011!A$2</f>
        <v>391011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IFERROR(VLOOKUP(B185,input_391011!L:R,7,FALSE),VLOOKUP(tables_391011!C185,input_391011!A:H,8,FALSE))</f>
        <v>870</v>
      </c>
      <c r="P185" s="46">
        <f t="shared" ca="1" si="8"/>
        <v>3.3333333333333335E-5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input_391011!A$2</f>
        <v>391011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IFERROR(VLOOKUP(B186,input_391011!L:R,7,FALSE),VLOOKUP(tables_391011!C186,input_391011!A:H,8,FALSE))</f>
        <v>145500</v>
      </c>
      <c r="P186" s="46">
        <f t="shared" ca="1" si="8"/>
        <v>5.574712643678161E-3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input_391011!A$2</f>
        <v>391011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IFERROR(VLOOKUP(B187,input_391011!L:R,7,FALSE),VLOOKUP(tables_391011!C187,input_391011!A:H,8,FALSE))</f>
        <v>130757.88462</v>
      </c>
      <c r="P187" s="46">
        <f t="shared" ca="1" si="8"/>
        <v>5.0098806367816088E-3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input_391011!A$2</f>
        <v>391011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IFERROR(VLOOKUP(B188,input_391011!L:R,7,FALSE),VLOOKUP(tables_391011!C188,input_391011!A:H,8,FALSE))</f>
        <v>14742.115379999999</v>
      </c>
      <c r="P188" s="46">
        <f t="shared" ca="1" si="8"/>
        <v>5.6483200689655172E-4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input_391011!A$2</f>
        <v>391011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IFERROR(VLOOKUP(B189,input_391011!L:R,7,FALSE),VLOOKUP(tables_391011!C189,input_391011!A:H,8,FALSE))</f>
        <v>16530</v>
      </c>
      <c r="P189" s="46">
        <f t="shared" ca="1" si="8"/>
        <v>6.333333333333333E-4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input_391011!A$2</f>
        <v>391011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IFERROR(VLOOKUP(B190,input_391011!L:R,7,FALSE),VLOOKUP(tables_391011!C190,input_391011!A:H,8,FALSE))</f>
        <v>870</v>
      </c>
      <c r="P190" s="46">
        <f t="shared" ca="1" si="8"/>
        <v>3.3333333333333335E-5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input_391011!A$2</f>
        <v>391011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IFERROR(VLOOKUP(B191,input_391011!L:R,7,FALSE),VLOOKUP(tables_391011!C191,input_391011!A:H,8,FALSE))</f>
        <v>16530</v>
      </c>
      <c r="P191" s="46">
        <f t="shared" ca="1" si="8"/>
        <v>6.333333333333333E-4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input_391011!A$2</f>
        <v>391011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IFERROR(VLOOKUP(B192,input_391011!L:R,7,FALSE),VLOOKUP(tables_391011!C192,input_391011!A:H,8,FALSE))</f>
        <v>870</v>
      </c>
      <c r="P192" s="46">
        <f t="shared" ca="1" si="8"/>
        <v>3.3333333333333335E-5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input_391011!A$2</f>
        <v>391011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IFERROR(VLOOKUP(B193,input_391011!L:R,7,FALSE),VLOOKUP(tables_391011!C193,input_391011!A:H,8,FALSE))</f>
        <v>145500</v>
      </c>
      <c r="P193" s="46">
        <f t="shared" ca="1" si="8"/>
        <v>5.574712643678161E-3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input_391011!A$2</f>
        <v>391011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IFERROR(VLOOKUP(B194,input_391011!L:R,7,FALSE),VLOOKUP(tables_391011!C194,input_391011!A:H,8,FALSE))</f>
        <v>130757.88462</v>
      </c>
      <c r="P194" s="46">
        <f t="shared" ref="P194:P257" ca="1" si="11">O194/SUM(O:O)</f>
        <v>5.0098806367816088E-3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input_391011!A$2</f>
        <v>391011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IFERROR(VLOOKUP(B195,input_391011!L:R,7,FALSE),VLOOKUP(tables_391011!C195,input_391011!A:H,8,FALSE))</f>
        <v>14742.115379999999</v>
      </c>
      <c r="P195" s="46">
        <f t="shared" ca="1" si="11"/>
        <v>5.6483200689655172E-4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input_391011!A$2</f>
        <v>391011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IFERROR(VLOOKUP(B196,input_391011!L:R,7,FALSE),VLOOKUP(tables_391011!C196,input_391011!A:H,8,FALSE))</f>
        <v>16530</v>
      </c>
      <c r="P196" s="46">
        <f t="shared" ca="1" si="11"/>
        <v>6.333333333333333E-4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input_391011!A$2</f>
        <v>391011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IFERROR(VLOOKUP(B197,input_391011!L:R,7,FALSE),VLOOKUP(tables_391011!C197,input_391011!A:H,8,FALSE))</f>
        <v>870</v>
      </c>
      <c r="P197" s="46">
        <f t="shared" ca="1" si="11"/>
        <v>3.3333333333333335E-5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input_391011!A$2</f>
        <v>391011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IFERROR(VLOOKUP(B198,input_391011!L:R,7,FALSE),VLOOKUP(tables_391011!C198,input_391011!A:H,8,FALSE))</f>
        <v>145500</v>
      </c>
      <c r="P198" s="46">
        <f t="shared" ca="1" si="11"/>
        <v>5.574712643678161E-3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input_391011!A$2</f>
        <v>391011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IFERROR(VLOOKUP(B199,input_391011!L:R,7,FALSE),VLOOKUP(tables_391011!C199,input_391011!A:H,8,FALSE))</f>
        <v>130757.88462</v>
      </c>
      <c r="P199" s="46">
        <f t="shared" ca="1" si="11"/>
        <v>5.0098806367816088E-3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input_391011!A$2</f>
        <v>391011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IFERROR(VLOOKUP(B200,input_391011!L:R,7,FALSE),VLOOKUP(tables_391011!C200,input_391011!A:H,8,FALSE))</f>
        <v>14742.115379999999</v>
      </c>
      <c r="P200" s="46">
        <f t="shared" ca="1" si="11"/>
        <v>5.6483200689655172E-4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input_391011!A$2</f>
        <v>391011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IFERROR(VLOOKUP(B201,input_391011!L:R,7,FALSE),VLOOKUP(tables_391011!C201,input_391011!A:H,8,FALSE))</f>
        <v>16530</v>
      </c>
      <c r="P201" s="46">
        <f t="shared" ca="1" si="11"/>
        <v>6.333333333333333E-4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input_391011!A$2</f>
        <v>391011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IFERROR(VLOOKUP(B202,input_391011!L:R,7,FALSE),VLOOKUP(tables_391011!C202,input_391011!A:H,8,FALSE))</f>
        <v>870</v>
      </c>
      <c r="P202" s="46">
        <f t="shared" ca="1" si="11"/>
        <v>3.3333333333333335E-5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input_391011!A$2</f>
        <v>391011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IFERROR(VLOOKUP(B203,input_391011!L:R,7,FALSE),VLOOKUP(tables_391011!C203,input_391011!A:H,8,FALSE))</f>
        <v>145500</v>
      </c>
      <c r="P203" s="46">
        <f t="shared" ca="1" si="11"/>
        <v>5.574712643678161E-3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input_391011!A$2</f>
        <v>391011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IFERROR(VLOOKUP(B204,input_391011!L:R,7,FALSE),VLOOKUP(tables_391011!C204,input_391011!A:H,8,FALSE))</f>
        <v>130757.88462</v>
      </c>
      <c r="P204" s="46">
        <f t="shared" ca="1" si="11"/>
        <v>5.0098806367816088E-3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input_391011!A$2</f>
        <v>391011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IFERROR(VLOOKUP(B205,input_391011!L:R,7,FALSE),VLOOKUP(tables_391011!C205,input_391011!A:H,8,FALSE))</f>
        <v>14742.115379999999</v>
      </c>
      <c r="P205" s="46">
        <f t="shared" ca="1" si="11"/>
        <v>5.6483200689655172E-4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input_391011!A$2</f>
        <v>391011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IFERROR(VLOOKUP(B206,input_391011!L:R,7,FALSE),VLOOKUP(tables_391011!C206,input_391011!A:H,8,FALSE))</f>
        <v>16530</v>
      </c>
      <c r="P206" s="46">
        <f t="shared" ca="1" si="11"/>
        <v>6.333333333333333E-4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input_391011!A$2</f>
        <v>391011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IFERROR(VLOOKUP(B207,input_391011!L:R,7,FALSE),VLOOKUP(tables_391011!C207,input_391011!A:H,8,FALSE))</f>
        <v>870</v>
      </c>
      <c r="P207" s="46">
        <f t="shared" ca="1" si="11"/>
        <v>3.3333333333333335E-5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input_391011!A$2</f>
        <v>391011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IFERROR(VLOOKUP(B208,input_391011!L:R,7,FALSE),VLOOKUP(tables_391011!C208,input_391011!A:H,8,FALSE))</f>
        <v>16530</v>
      </c>
      <c r="P208" s="46">
        <f t="shared" ca="1" si="11"/>
        <v>6.333333333333333E-4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input_391011!A$2</f>
        <v>391011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IFERROR(VLOOKUP(B209,input_391011!L:R,7,FALSE),VLOOKUP(tables_391011!C209,input_391011!A:H,8,FALSE))</f>
        <v>870</v>
      </c>
      <c r="P209" s="46">
        <f t="shared" ca="1" si="11"/>
        <v>3.3333333333333335E-5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input_391011!A$2</f>
        <v>391011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IFERROR(VLOOKUP(B210,input_391011!L:R,7,FALSE),VLOOKUP(tables_391011!C210,input_391011!A:H,8,FALSE))</f>
        <v>145500</v>
      </c>
      <c r="P210" s="46">
        <f t="shared" ca="1" si="11"/>
        <v>5.574712643678161E-3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input_391011!A$2</f>
        <v>391011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IFERROR(VLOOKUP(B211,input_391011!L:R,7,FALSE),VLOOKUP(tables_391011!C211,input_391011!A:H,8,FALSE))</f>
        <v>130757.88462</v>
      </c>
      <c r="P211" s="46">
        <f t="shared" ca="1" si="11"/>
        <v>5.0098806367816088E-3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input_391011!A$2</f>
        <v>391011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IFERROR(VLOOKUP(B212,input_391011!L:R,7,FALSE),VLOOKUP(tables_391011!C212,input_391011!A:H,8,FALSE))</f>
        <v>14742.115379999999</v>
      </c>
      <c r="P212" s="46">
        <f t="shared" ca="1" si="11"/>
        <v>5.6483200689655172E-4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input_391011!A$2</f>
        <v>391011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IFERROR(VLOOKUP(B213,input_391011!L:R,7,FALSE),VLOOKUP(tables_391011!C213,input_391011!A:H,8,FALSE))</f>
        <v>16530</v>
      </c>
      <c r="P213" s="46">
        <f t="shared" ca="1" si="11"/>
        <v>6.333333333333333E-4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input_391011!A$2</f>
        <v>391011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IFERROR(VLOOKUP(B214,input_391011!L:R,7,FALSE),VLOOKUP(tables_391011!C214,input_391011!A:H,8,FALSE))</f>
        <v>870</v>
      </c>
      <c r="P214" s="46">
        <f t="shared" ca="1" si="11"/>
        <v>3.3333333333333335E-5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input_391011!A$2</f>
        <v>391011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IFERROR(VLOOKUP(B215,input_391011!L:R,7,FALSE),VLOOKUP(tables_391011!C215,input_391011!A:H,8,FALSE))</f>
        <v>16530</v>
      </c>
      <c r="P215" s="46">
        <f t="shared" ca="1" si="11"/>
        <v>6.333333333333333E-4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input_391011!A$2</f>
        <v>391011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IFERROR(VLOOKUP(B216,input_391011!L:R,7,FALSE),VLOOKUP(tables_391011!C216,input_391011!A:H,8,FALSE))</f>
        <v>870</v>
      </c>
      <c r="P216" s="46">
        <f t="shared" ca="1" si="11"/>
        <v>3.3333333333333335E-5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input_391011!A$2</f>
        <v>391011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IFERROR(VLOOKUP(B217,input_391011!L:R,7,FALSE),VLOOKUP(tables_391011!C217,input_391011!A:H,8,FALSE))</f>
        <v>145500</v>
      </c>
      <c r="P217" s="46">
        <f t="shared" ca="1" si="11"/>
        <v>5.574712643678161E-3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input_391011!A$2</f>
        <v>391011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IFERROR(VLOOKUP(B218,input_391011!L:R,7,FALSE),VLOOKUP(tables_391011!C218,input_391011!A:H,8,FALSE))</f>
        <v>130757.88462</v>
      </c>
      <c r="P218" s="46">
        <f t="shared" ca="1" si="11"/>
        <v>5.0098806367816088E-3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input_391011!A$2</f>
        <v>391011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IFERROR(VLOOKUP(B219,input_391011!L:R,7,FALSE),VLOOKUP(tables_391011!C219,input_391011!A:H,8,FALSE))</f>
        <v>14742.115379999999</v>
      </c>
      <c r="P219" s="46">
        <f t="shared" ca="1" si="11"/>
        <v>5.6483200689655172E-4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input_391011!A$2</f>
        <v>391011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IFERROR(VLOOKUP(B220,input_391011!L:R,7,FALSE),VLOOKUP(tables_391011!C220,input_391011!A:H,8,FALSE))</f>
        <v>145500</v>
      </c>
      <c r="P220" s="46">
        <f t="shared" ca="1" si="11"/>
        <v>5.574712643678161E-3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input_391011!A$2</f>
        <v>391011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IFERROR(VLOOKUP(B221,input_391011!L:R,7,FALSE),VLOOKUP(tables_391011!C221,input_391011!A:H,8,FALSE))</f>
        <v>130757.88462</v>
      </c>
      <c r="P221" s="46">
        <f t="shared" ca="1" si="11"/>
        <v>5.0098806367816088E-3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input_391011!A$2</f>
        <v>391011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IFERROR(VLOOKUP(B222,input_391011!L:R,7,FALSE),VLOOKUP(tables_391011!C222,input_391011!A:H,8,FALSE))</f>
        <v>14742.115379999999</v>
      </c>
      <c r="P222" s="46">
        <f t="shared" ca="1" si="11"/>
        <v>5.6483200689655172E-4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input_391011!A$2</f>
        <v>391011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IFERROR(VLOOKUP(B223,input_391011!L:R,7,FALSE),VLOOKUP(tables_391011!C223,input_391011!A:H,8,FALSE))</f>
        <v>16530</v>
      </c>
      <c r="P223" s="46">
        <f t="shared" ca="1" si="11"/>
        <v>6.333333333333333E-4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input_391011!A$2</f>
        <v>391011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IFERROR(VLOOKUP(B224,input_391011!L:R,7,FALSE),VLOOKUP(tables_391011!C224,input_391011!A:H,8,FALSE))</f>
        <v>870</v>
      </c>
      <c r="P224" s="46">
        <f t="shared" ca="1" si="11"/>
        <v>3.3333333333333335E-5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input_391011!A$2</f>
        <v>391011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IFERROR(VLOOKUP(B225,input_391011!L:R,7,FALSE),VLOOKUP(tables_391011!C225,input_391011!A:H,8,FALSE))</f>
        <v>145500</v>
      </c>
      <c r="P225" s="46">
        <f t="shared" ca="1" si="11"/>
        <v>5.574712643678161E-3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input_391011!A$2</f>
        <v>391011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IFERROR(VLOOKUP(B226,input_391011!L:R,7,FALSE),VLOOKUP(tables_391011!C226,input_391011!A:H,8,FALSE))</f>
        <v>130757.88462</v>
      </c>
      <c r="P226" s="46">
        <f t="shared" ca="1" si="11"/>
        <v>5.0098806367816088E-3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input_391011!A$2</f>
        <v>391011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IFERROR(VLOOKUP(B227,input_391011!L:R,7,FALSE),VLOOKUP(tables_391011!C227,input_391011!A:H,8,FALSE))</f>
        <v>14742.115379999999</v>
      </c>
      <c r="P227" s="46">
        <f t="shared" ca="1" si="11"/>
        <v>5.6483200689655172E-4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input_391011!A$2</f>
        <v>391011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IFERROR(VLOOKUP(B228,input_391011!L:R,7,FALSE),VLOOKUP(tables_391011!C228,input_391011!A:H,8,FALSE))</f>
        <v>145500</v>
      </c>
      <c r="P228" s="46">
        <f t="shared" ca="1" si="11"/>
        <v>5.574712643678161E-3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input_391011!A$2</f>
        <v>391011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IFERROR(VLOOKUP(B229,input_391011!L:R,7,FALSE),VLOOKUP(tables_391011!C229,input_391011!A:H,8,FALSE))</f>
        <v>130757.88462</v>
      </c>
      <c r="P229" s="46">
        <f t="shared" ca="1" si="11"/>
        <v>5.0098806367816088E-3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input_391011!A$2</f>
        <v>391011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IFERROR(VLOOKUP(B230,input_391011!L:R,7,FALSE),VLOOKUP(tables_391011!C230,input_391011!A:H,8,FALSE))</f>
        <v>14742.115379999999</v>
      </c>
      <c r="P230" s="46">
        <f t="shared" ca="1" si="11"/>
        <v>5.6483200689655172E-4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input_391011!A$2</f>
        <v>391011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IFERROR(VLOOKUP(B231,input_391011!L:R,7,FALSE),VLOOKUP(tables_391011!C231,input_391011!A:H,8,FALSE))</f>
        <v>16530</v>
      </c>
      <c r="P231" s="46">
        <f t="shared" ca="1" si="11"/>
        <v>6.333333333333333E-4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input_391011!A$2</f>
        <v>391011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IFERROR(VLOOKUP(B232,input_391011!L:R,7,FALSE),VLOOKUP(tables_391011!C232,input_391011!A:H,8,FALSE))</f>
        <v>870</v>
      </c>
      <c r="P232" s="46">
        <f t="shared" ca="1" si="11"/>
        <v>3.3333333333333335E-5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input_391011!A$2</f>
        <v>391011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IFERROR(VLOOKUP(B233,input_391011!L:R,7,FALSE),VLOOKUP(tables_391011!C233,input_391011!A:H,8,FALSE))</f>
        <v>145500</v>
      </c>
      <c r="P233" s="46">
        <f t="shared" ca="1" si="11"/>
        <v>5.574712643678161E-3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input_391011!A$2</f>
        <v>391011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IFERROR(VLOOKUP(B234,input_391011!L:R,7,FALSE),VLOOKUP(tables_391011!C234,input_391011!A:H,8,FALSE))</f>
        <v>130757.88462</v>
      </c>
      <c r="P234" s="46">
        <f t="shared" ca="1" si="11"/>
        <v>5.0098806367816088E-3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input_391011!A$2</f>
        <v>391011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IFERROR(VLOOKUP(B235,input_391011!L:R,7,FALSE),VLOOKUP(tables_391011!C235,input_391011!A:H,8,FALSE))</f>
        <v>14742.115379999999</v>
      </c>
      <c r="P235" s="46">
        <f t="shared" ca="1" si="11"/>
        <v>5.6483200689655172E-4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input_391011!A$2</f>
        <v>391011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IFERROR(VLOOKUP(B236,input_391011!L:R,7,FALSE),VLOOKUP(tables_391011!C236,input_391011!A:H,8,FALSE))</f>
        <v>16530</v>
      </c>
      <c r="P236" s="46">
        <f t="shared" ca="1" si="11"/>
        <v>6.333333333333333E-4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input_391011!A$2</f>
        <v>391011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IFERROR(VLOOKUP(B237,input_391011!L:R,7,FALSE),VLOOKUP(tables_391011!C237,input_391011!A:H,8,FALSE))</f>
        <v>870</v>
      </c>
      <c r="P237" s="46">
        <f t="shared" ca="1" si="11"/>
        <v>3.3333333333333335E-5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input_391011!A$2</f>
        <v>391011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IFERROR(VLOOKUP(B238,input_391011!L:R,7,FALSE),VLOOKUP(tables_391011!C238,input_391011!A:H,8,FALSE))</f>
        <v>16530</v>
      </c>
      <c r="P238" s="46">
        <f t="shared" ca="1" si="11"/>
        <v>6.333333333333333E-4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input_391011!A$2</f>
        <v>391011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IFERROR(VLOOKUP(B239,input_391011!L:R,7,FALSE),VLOOKUP(tables_391011!C239,input_391011!A:H,8,FALSE))</f>
        <v>870</v>
      </c>
      <c r="P239" s="46">
        <f t="shared" ca="1" si="11"/>
        <v>3.3333333333333335E-5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input_391011!A$2</f>
        <v>391011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IFERROR(VLOOKUP(B240,input_391011!L:R,7,FALSE),VLOOKUP(tables_391011!C240,input_391011!A:H,8,FALSE))</f>
        <v>145500</v>
      </c>
      <c r="P240" s="46">
        <f t="shared" ca="1" si="11"/>
        <v>5.574712643678161E-3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input_391011!A$2</f>
        <v>391011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IFERROR(VLOOKUP(B241,input_391011!L:R,7,FALSE),VLOOKUP(tables_391011!C241,input_391011!A:H,8,FALSE))</f>
        <v>130757.88462</v>
      </c>
      <c r="P241" s="46">
        <f t="shared" ca="1" si="11"/>
        <v>5.0098806367816088E-3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input_391011!A$2</f>
        <v>391011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IFERROR(VLOOKUP(B242,input_391011!L:R,7,FALSE),VLOOKUP(tables_391011!C242,input_391011!A:H,8,FALSE))</f>
        <v>14742.115379999999</v>
      </c>
      <c r="P242" s="46">
        <f t="shared" ca="1" si="11"/>
        <v>5.6483200689655172E-4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input_391011!A$2</f>
        <v>391011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IFERROR(VLOOKUP(B243,input_391011!L:R,7,FALSE),VLOOKUP(tables_391011!C243,input_391011!A:H,8,FALSE))</f>
        <v>145500</v>
      </c>
      <c r="P243" s="46">
        <f t="shared" ca="1" si="11"/>
        <v>5.574712643678161E-3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input_391011!A$2</f>
        <v>391011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IFERROR(VLOOKUP(B244,input_391011!L:R,7,FALSE),VLOOKUP(tables_391011!C244,input_391011!A:H,8,FALSE))</f>
        <v>130757.88462</v>
      </c>
      <c r="P244" s="46">
        <f t="shared" ca="1" si="11"/>
        <v>5.0098806367816088E-3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input_391011!A$2</f>
        <v>391011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IFERROR(VLOOKUP(B245,input_391011!L:R,7,FALSE),VLOOKUP(tables_391011!C245,input_391011!A:H,8,FALSE))</f>
        <v>14742.115379999999</v>
      </c>
      <c r="P245" s="46">
        <f t="shared" ca="1" si="11"/>
        <v>5.6483200689655172E-4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input_391011!A$2</f>
        <v>391011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IFERROR(VLOOKUP(B246,input_391011!L:R,7,FALSE),VLOOKUP(tables_391011!C246,input_391011!A:H,8,FALSE))</f>
        <v>145500</v>
      </c>
      <c r="P246" s="46">
        <f t="shared" ca="1" si="11"/>
        <v>5.574712643678161E-3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input_391011!A$2</f>
        <v>391011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IFERROR(VLOOKUP(B247,input_391011!L:R,7,FALSE),VLOOKUP(tables_391011!C247,input_391011!A:H,8,FALSE))</f>
        <v>130757.88462</v>
      </c>
      <c r="P247" s="46">
        <f t="shared" ca="1" si="11"/>
        <v>5.0098806367816088E-3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input_391011!A$2</f>
        <v>391011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IFERROR(VLOOKUP(B248,input_391011!L:R,7,FALSE),VLOOKUP(tables_391011!C248,input_391011!A:H,8,FALSE))</f>
        <v>14742.115379999999</v>
      </c>
      <c r="P248" s="46">
        <f t="shared" ca="1" si="11"/>
        <v>5.6483200689655172E-4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input_391011!A$2</f>
        <v>391011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IFERROR(VLOOKUP(B249,input_391011!L:R,7,FALSE),VLOOKUP(tables_391011!C249,input_391011!A:H,8,FALSE))</f>
        <v>145500</v>
      </c>
      <c r="P249" s="46">
        <f t="shared" ca="1" si="11"/>
        <v>5.574712643678161E-3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input_391011!A$2</f>
        <v>391011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IFERROR(VLOOKUP(B250,input_391011!L:R,7,FALSE),VLOOKUP(tables_391011!C250,input_391011!A:H,8,FALSE))</f>
        <v>130757.88462</v>
      </c>
      <c r="P250" s="46">
        <f t="shared" ca="1" si="11"/>
        <v>5.0098806367816088E-3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input_391011!A$2</f>
        <v>391011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IFERROR(VLOOKUP(B251,input_391011!L:R,7,FALSE),VLOOKUP(tables_391011!C251,input_391011!A:H,8,FALSE))</f>
        <v>14742.115379999999</v>
      </c>
      <c r="P251" s="46">
        <f t="shared" ca="1" si="11"/>
        <v>5.6483200689655172E-4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input_391011!A$2</f>
        <v>391011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IFERROR(VLOOKUP(B252,input_391011!L:R,7,FALSE),VLOOKUP(tables_391011!C252,input_391011!A:H,8,FALSE))</f>
        <v>16530</v>
      </c>
      <c r="P252" s="46">
        <f t="shared" ca="1" si="11"/>
        <v>6.333333333333333E-4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input_391011!A$2</f>
        <v>391011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IFERROR(VLOOKUP(B253,input_391011!L:R,7,FALSE),VLOOKUP(tables_391011!C253,input_391011!A:H,8,FALSE))</f>
        <v>870</v>
      </c>
      <c r="P253" s="46">
        <f t="shared" ca="1" si="11"/>
        <v>3.3333333333333335E-5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input_391011!A$2</f>
        <v>391011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IFERROR(VLOOKUP(B254,input_391011!L:R,7,FALSE),VLOOKUP(tables_391011!C254,input_391011!A:H,8,FALSE))</f>
        <v>16530</v>
      </c>
      <c r="P254" s="46">
        <f t="shared" ca="1" si="11"/>
        <v>6.333333333333333E-4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input_391011!A$2</f>
        <v>391011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IFERROR(VLOOKUP(B255,input_391011!L:R,7,FALSE),VLOOKUP(tables_391011!C255,input_391011!A:H,8,FALSE))</f>
        <v>870</v>
      </c>
      <c r="P255" s="46">
        <f t="shared" ca="1" si="11"/>
        <v>3.3333333333333335E-5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input_391011!A$2</f>
        <v>391011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IFERROR(VLOOKUP(B256,input_391011!L:R,7,FALSE),VLOOKUP(tables_391011!C256,input_391011!A:H,8,FALSE))</f>
        <v>276450</v>
      </c>
      <c r="P256" s="46">
        <f t="shared" ca="1" si="11"/>
        <v>1.0591954022988506E-2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input_391011!A$2</f>
        <v>391011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IFERROR(VLOOKUP(B257,input_391011!L:R,7,FALSE),VLOOKUP(tables_391011!C257,input_391011!A:H,8,FALSE))</f>
        <v>14550</v>
      </c>
      <c r="P257" s="46">
        <f t="shared" ca="1" si="11"/>
        <v>5.5747126436781608E-4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input_391011!A$2</f>
        <v>391011</v>
      </c>
      <c r="B258" s="60">
        <v>730</v>
      </c>
      <c r="C258" s="7" t="str">
        <f t="shared" ref="C258:C304" si="12">D258&amp;J258&amp;E258&amp;F258&amp;G258</f>
        <v>Premium4R3less</v>
      </c>
      <c r="D258" s="7" t="str">
        <f t="shared" ref="D258:D30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IFERROR(VLOOKUP(B258,input_391011!L:R,7,FALSE),VLOOKUP(tables_391011!C258,input_391011!A:H,8,FALSE))</f>
        <v>276450</v>
      </c>
      <c r="P258" s="46">
        <f t="shared" ref="P258:P304" ca="1" si="14">O258/SUM(O:O)</f>
        <v>1.0591954022988506E-2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input_391011!A$2</f>
        <v>391011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IFERROR(VLOOKUP(B259,input_391011!L:R,7,FALSE),VLOOKUP(tables_391011!C259,input_391011!A:H,8,FALSE))</f>
        <v>14550</v>
      </c>
      <c r="P259" s="46">
        <f t="shared" ca="1" si="14"/>
        <v>5.5747126436781608E-4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input_391011!A$2</f>
        <v>391011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IFERROR(VLOOKUP(B260,input_391011!L:R,7,FALSE),VLOOKUP(tables_391011!C260,input_391011!A:H,8,FALSE))</f>
        <v>17400</v>
      </c>
      <c r="P260" s="46">
        <f t="shared" ca="1" si="14"/>
        <v>6.6666666666666664E-4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input_391011!A$2</f>
        <v>391011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IFERROR(VLOOKUP(B261,input_391011!L:R,7,FALSE),VLOOKUP(tables_391011!C261,input_391011!A:H,8,FALSE))</f>
        <v>17400</v>
      </c>
      <c r="P261" s="46">
        <f t="shared" ca="1" si="14"/>
        <v>6.6666666666666664E-4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input_391011!A$2</f>
        <v>391011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IFERROR(VLOOKUP(B262,input_391011!L:R,7,FALSE),VLOOKUP(tables_391011!C262,input_391011!A:H,8,FALSE))</f>
        <v>16530</v>
      </c>
      <c r="P262" s="46">
        <f t="shared" ca="1" si="14"/>
        <v>6.333333333333333E-4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input_391011!A$2</f>
        <v>391011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IFERROR(VLOOKUP(B263,input_391011!L:R,7,FALSE),VLOOKUP(tables_391011!C263,input_391011!A:H,8,FALSE))</f>
        <v>870</v>
      </c>
      <c r="P263" s="46">
        <f t="shared" ca="1" si="14"/>
        <v>3.3333333333333335E-5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input_391011!A$2</f>
        <v>391011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IFERROR(VLOOKUP(B264,input_391011!L:R,7,FALSE),VLOOKUP(tables_391011!C264,input_391011!A:H,8,FALSE))</f>
        <v>16530</v>
      </c>
      <c r="P264" s="46">
        <f t="shared" ca="1" si="14"/>
        <v>6.333333333333333E-4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input_391011!A$2</f>
        <v>391011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IFERROR(VLOOKUP(B265,input_391011!L:R,7,FALSE),VLOOKUP(tables_391011!C265,input_391011!A:H,8,FALSE))</f>
        <v>870</v>
      </c>
      <c r="P265" s="46">
        <f t="shared" ca="1" si="14"/>
        <v>3.3333333333333335E-5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input_391011!A$2</f>
        <v>391011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IFERROR(VLOOKUP(B266,input_391011!L:R,7,FALSE),VLOOKUP(tables_391011!C266,input_391011!A:H,8,FALSE))</f>
        <v>145500</v>
      </c>
      <c r="P266" s="46">
        <f t="shared" ca="1" si="14"/>
        <v>5.574712643678161E-3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input_391011!A$2</f>
        <v>391011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IFERROR(VLOOKUP(B267,input_391011!L:R,7,FALSE),VLOOKUP(tables_391011!C267,input_391011!A:H,8,FALSE))</f>
        <v>130757.88462</v>
      </c>
      <c r="P267" s="46">
        <f t="shared" ca="1" si="14"/>
        <v>5.0098806367816088E-3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input_391011!A$2</f>
        <v>391011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IFERROR(VLOOKUP(B268,input_391011!L:R,7,FALSE),VLOOKUP(tables_391011!C268,input_391011!A:H,8,FALSE))</f>
        <v>14742.115379999999</v>
      </c>
      <c r="P268" s="46">
        <f t="shared" ca="1" si="14"/>
        <v>5.6483200689655172E-4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input_391011!A$2</f>
        <v>391011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IFERROR(VLOOKUP(B269,input_391011!L:R,7,FALSE),VLOOKUP(tables_391011!C269,input_391011!A:H,8,FALSE))</f>
        <v>145500</v>
      </c>
      <c r="P269" s="46">
        <f t="shared" ca="1" si="14"/>
        <v>5.574712643678161E-3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input_391011!A$2</f>
        <v>391011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IFERROR(VLOOKUP(B270,input_391011!L:R,7,FALSE),VLOOKUP(tables_391011!C270,input_391011!A:H,8,FALSE))</f>
        <v>130757.88462</v>
      </c>
      <c r="P270" s="46">
        <f t="shared" ca="1" si="14"/>
        <v>5.0098806367816088E-3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input_391011!A$2</f>
        <v>391011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IFERROR(VLOOKUP(B271,input_391011!L:R,7,FALSE),VLOOKUP(tables_391011!C271,input_391011!A:H,8,FALSE))</f>
        <v>14742.115379999999</v>
      </c>
      <c r="P271" s="46">
        <f t="shared" ca="1" si="14"/>
        <v>5.6483200689655172E-4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input_391011!A$2</f>
        <v>391011</v>
      </c>
      <c r="B272" s="8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IFERROR(VLOOKUP(B272,input_391011!L:R,7,FALSE),VLOOKUP(tables_391011!C272,input_391011!A:H,8,FALSE))</f>
        <v>17400</v>
      </c>
      <c r="P272" s="46">
        <f t="shared" ca="1" si="14"/>
        <v>6.6666666666666664E-4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input_391011!A$2</f>
        <v>391011</v>
      </c>
      <c r="B273" s="8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IFERROR(VLOOKUP(B273,input_391011!L:R,7,FALSE),VLOOKUP(tables_391011!C273,input_391011!A:H,8,FALSE))</f>
        <v>17400</v>
      </c>
      <c r="P273" s="46">
        <f t="shared" ca="1" si="14"/>
        <v>6.6666666666666664E-4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input_391011!A$2</f>
        <v>391011</v>
      </c>
      <c r="B274" s="8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IFERROR(VLOOKUP(B274,input_391011!L:R,7,FALSE),VLOOKUP(tables_391011!C274,input_391011!A:H,8,FALSE))</f>
        <v>276450</v>
      </c>
      <c r="P274" s="46">
        <f t="shared" ca="1" si="14"/>
        <v>1.0591954022988506E-2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input_391011!A$2</f>
        <v>391011</v>
      </c>
      <c r="B275" s="8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IFERROR(VLOOKUP(B275,input_391011!L:R,7,FALSE),VLOOKUP(tables_391011!C275,input_391011!A:H,8,FALSE))</f>
        <v>14550</v>
      </c>
      <c r="P275" s="46">
        <f t="shared" ca="1" si="14"/>
        <v>5.5747126436781608E-4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input_391011!A$2</f>
        <v>391011</v>
      </c>
      <c r="B276" s="8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IFERROR(VLOOKUP(B276,input_391011!L:R,7,FALSE),VLOOKUP(tables_391011!C276,input_391011!A:H,8,FALSE))</f>
        <v>276450</v>
      </c>
      <c r="P276" s="46">
        <f t="shared" ca="1" si="14"/>
        <v>1.0591954022988506E-2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input_391011!A$2</f>
        <v>391011</v>
      </c>
      <c r="B277" s="8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IFERROR(VLOOKUP(B277,input_391011!L:R,7,FALSE),VLOOKUP(tables_391011!C277,input_391011!A:H,8,FALSE))</f>
        <v>14550</v>
      </c>
      <c r="P277" s="46">
        <f t="shared" ca="1" si="14"/>
        <v>5.5747126436781608E-4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input_391011!A$2</f>
        <v>391011</v>
      </c>
      <c r="B278" s="81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IFERROR(VLOOKUP(B278,input_391011!L:R,7,FALSE),VLOOKUP(tables_391011!C278,input_391011!A:H,8,FALSE))</f>
        <v>276450</v>
      </c>
      <c r="P278" s="46">
        <f t="shared" ca="1" si="14"/>
        <v>1.0591954022988506E-2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input_391011!A$2</f>
        <v>391011</v>
      </c>
      <c r="B279" s="81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IFERROR(VLOOKUP(B279,input_391011!L:R,7,FALSE),VLOOKUP(tables_391011!C279,input_391011!A:H,8,FALSE))</f>
        <v>14550</v>
      </c>
      <c r="P279" s="46">
        <f t="shared" ca="1" si="14"/>
        <v>5.5747126436781608E-4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input_391011!A$2</f>
        <v>391011</v>
      </c>
      <c r="B280" s="81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IFERROR(VLOOKUP(B280,input_391011!L:R,7,FALSE),VLOOKUP(tables_391011!C280,input_391011!A:H,8,FALSE))</f>
        <v>276450</v>
      </c>
      <c r="P280" s="46">
        <f t="shared" ca="1" si="14"/>
        <v>1.0591954022988506E-2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input_391011!A$2</f>
        <v>391011</v>
      </c>
      <c r="B281" s="81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IFERROR(VLOOKUP(B281,input_391011!L:R,7,FALSE),VLOOKUP(tables_391011!C281,input_391011!A:H,8,FALSE))</f>
        <v>14550</v>
      </c>
      <c r="P281" s="46">
        <f t="shared" ca="1" si="14"/>
        <v>5.5747126436781608E-4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input_391011!A$2</f>
        <v>391011</v>
      </c>
      <c r="B282" s="81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IFERROR(VLOOKUP(B282,input_391011!L:R,7,FALSE),VLOOKUP(tables_391011!C282,input_391011!A:H,8,FALSE))</f>
        <v>17400</v>
      </c>
      <c r="P282" s="46">
        <f t="shared" ca="1" si="14"/>
        <v>6.6666666666666664E-4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input_391011!A$2</f>
        <v>391011</v>
      </c>
      <c r="B283" s="81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IFERROR(VLOOKUP(B283,input_391011!L:R,7,FALSE),VLOOKUP(tables_391011!C283,input_391011!A:H,8,FALSE))</f>
        <v>17400</v>
      </c>
      <c r="P283" s="46">
        <f t="shared" ca="1" si="14"/>
        <v>6.6666666666666664E-4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input_391011!A$2</f>
        <v>391011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IFERROR(VLOOKUP(B284,input_391011!L:R,7,FALSE),VLOOKUP(tables_391011!C284,input_391011!A:H,8,FALSE))</f>
        <v>17400</v>
      </c>
      <c r="P284" s="46">
        <f t="shared" ca="1" si="14"/>
        <v>6.6666666666666664E-4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input_391011!A$2</f>
        <v>391011</v>
      </c>
      <c r="B285" s="5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IFERROR(VLOOKUP(B285,input_391011!L:R,7,FALSE),VLOOKUP(tables_391011!C285,input_391011!A:H,8,FALSE))</f>
        <v>17400</v>
      </c>
      <c r="P285" s="46">
        <f t="shared" ca="1" si="14"/>
        <v>6.6666666666666664E-4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input_391011!A$2</f>
        <v>391011</v>
      </c>
      <c r="B286" s="5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IFERROR(VLOOKUP(B286,input_391011!L:R,7,FALSE),VLOOKUP(tables_391011!C286,input_391011!A:H,8,FALSE))</f>
        <v>276450</v>
      </c>
      <c r="P286" s="46">
        <f t="shared" ca="1" si="14"/>
        <v>1.0591954022988506E-2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input_391011!A$2</f>
        <v>391011</v>
      </c>
      <c r="B287" s="5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IFERROR(VLOOKUP(B287,input_391011!L:R,7,FALSE),VLOOKUP(tables_391011!C287,input_391011!A:H,8,FALSE))</f>
        <v>14550</v>
      </c>
      <c r="P287" s="46">
        <f t="shared" ca="1" si="14"/>
        <v>5.5747126436781608E-4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input_391011!A$2</f>
        <v>391011</v>
      </c>
      <c r="B288" s="5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IFERROR(VLOOKUP(B288,input_391011!L:R,7,FALSE),VLOOKUP(tables_391011!C288,input_391011!A:H,8,FALSE))</f>
        <v>276450</v>
      </c>
      <c r="P288" s="46">
        <f t="shared" ca="1" si="14"/>
        <v>1.0591954022988506E-2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input_391011!A$2</f>
        <v>391011</v>
      </c>
      <c r="B289" s="5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IFERROR(VLOOKUP(B289,input_391011!L:R,7,FALSE),VLOOKUP(tables_391011!C289,input_391011!A:H,8,FALSE))</f>
        <v>14550</v>
      </c>
      <c r="P289" s="46">
        <f t="shared" ca="1" si="14"/>
        <v>5.5747126436781608E-4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input_391011!A$2</f>
        <v>391011</v>
      </c>
      <c r="B290" s="5">
        <v>937</v>
      </c>
      <c r="C290" s="7" t="str">
        <f t="shared" si="12"/>
        <v>PremiumSS5R5only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IFERROR(VLOOKUP(B290,input_391011!L:R,7,FALSE),VLOOKUP(tables_391011!C290,input_391011!A:H,8,FALSE))</f>
        <v>17400</v>
      </c>
      <c r="P290" s="46">
        <f t="shared" ca="1" si="14"/>
        <v>6.6666666666666664E-4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input_391011!A$2</f>
        <v>391011</v>
      </c>
      <c r="B291" s="5">
        <v>939</v>
      </c>
      <c r="C291" s="7" t="str">
        <f t="shared" si="12"/>
        <v>Premium4R3less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IFERROR(VLOOKUP(B291,input_391011!L:R,7,FALSE),VLOOKUP(tables_391011!C291,input_391011!A:H,8,FALSE))</f>
        <v>276450</v>
      </c>
      <c r="P291" s="46">
        <f t="shared" ca="1" si="14"/>
        <v>1.0591954022988506E-2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input_391011!A$2</f>
        <v>391011</v>
      </c>
      <c r="B292" s="5">
        <v>940</v>
      </c>
      <c r="C292" s="7" t="str">
        <f t="shared" si="12"/>
        <v>Premium5R3less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IFERROR(VLOOKUP(B292,input_391011!L:R,7,FALSE),VLOOKUP(tables_391011!C292,input_391011!A:H,8,FALSE))</f>
        <v>14550</v>
      </c>
      <c r="P292" s="46">
        <f t="shared" ca="1" si="14"/>
        <v>5.5747126436781608E-4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input_391011!A$2</f>
        <v>391011</v>
      </c>
      <c r="B293" s="5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IFERROR(VLOOKUP(B293,input_391011!L:R,7,FALSE),VLOOKUP(tables_391011!C293,input_391011!A:H,8,FALSE))</f>
        <v>17400</v>
      </c>
      <c r="P293" s="46">
        <f t="shared" ca="1" si="14"/>
        <v>6.6666666666666664E-4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input_391011!A$2</f>
        <v>391011</v>
      </c>
      <c r="B294" s="5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IFERROR(VLOOKUP(B294,input_391011!L:R,7,FALSE),VLOOKUP(tables_391011!C294,input_391011!A:H,8,FALSE))</f>
        <v>17400</v>
      </c>
      <c r="P294" s="46">
        <f t="shared" ca="1" si="14"/>
        <v>6.6666666666666664E-4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input_391011!A$2</f>
        <v>391011</v>
      </c>
      <c r="B295" s="5">
        <v>1012</v>
      </c>
      <c r="C295" s="7" t="str">
        <f t="shared" si="12"/>
        <v>PremiumSS5R5only</v>
      </c>
      <c r="D295" s="7" t="str">
        <f t="shared" si="13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IFERROR(VLOOKUP(B295,input_391011!L:R,7,FALSE),VLOOKUP(tables_391011!C295,input_391011!A:H,8,FALSE))</f>
        <v>17400</v>
      </c>
      <c r="P295" s="46">
        <f t="shared" ca="1" si="14"/>
        <v>6.6666666666666664E-4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input_391011!A$2</f>
        <v>391011</v>
      </c>
      <c r="B296" s="5">
        <v>1014</v>
      </c>
      <c r="C296" s="7" t="str">
        <f t="shared" si="12"/>
        <v>PremiumSS5R5only</v>
      </c>
      <c r="D296" s="7" t="str">
        <f t="shared" si="13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IFERROR(VLOOKUP(B296,input_391011!L:R,7,FALSE),VLOOKUP(tables_391011!C296,input_391011!A:H,8,FALSE))</f>
        <v>17400</v>
      </c>
      <c r="P296" s="46">
        <f t="shared" ca="1" si="14"/>
        <v>6.6666666666666664E-4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input_391011!A$2</f>
        <v>391011</v>
      </c>
      <c r="B297" s="5">
        <v>1016</v>
      </c>
      <c r="C297" s="7" t="str">
        <f t="shared" si="12"/>
        <v>Premium4R3less</v>
      </c>
      <c r="D297" s="7" t="str">
        <f t="shared" si="13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IFERROR(VLOOKUP(B297,input_391011!L:R,7,FALSE),VLOOKUP(tables_391011!C297,input_391011!A:H,8,FALSE))</f>
        <v>276450</v>
      </c>
      <c r="P297" s="46">
        <f t="shared" ca="1" si="14"/>
        <v>1.0591954022988506E-2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input_391011!A$2</f>
        <v>391011</v>
      </c>
      <c r="B298" s="5">
        <v>1017</v>
      </c>
      <c r="C298" s="7" t="str">
        <f t="shared" si="12"/>
        <v>Premium5R3less</v>
      </c>
      <c r="D298" s="7" t="str">
        <f t="shared" si="13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IFERROR(VLOOKUP(B298,input_391011!L:R,7,FALSE),VLOOKUP(tables_391011!C298,input_391011!A:H,8,FALSE))</f>
        <v>14550</v>
      </c>
      <c r="P298" s="46">
        <f t="shared" ca="1" si="14"/>
        <v>5.5747126436781608E-4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input_391011!A$2</f>
        <v>391011</v>
      </c>
      <c r="B299" s="5">
        <v>1018</v>
      </c>
      <c r="C299" s="7" t="str">
        <f t="shared" si="12"/>
        <v>PremiumSS5R5only</v>
      </c>
      <c r="D299" s="7" t="str">
        <f t="shared" si="13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IFERROR(VLOOKUP(B299,input_391011!L:R,7,FALSE),VLOOKUP(tables_391011!C299,input_391011!A:H,8,FALSE))</f>
        <v>17400</v>
      </c>
      <c r="P299" s="46">
        <f t="shared" ca="1" si="14"/>
        <v>6.6666666666666664E-4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input_391011!A$2</f>
        <v>391011</v>
      </c>
      <c r="B300" s="5">
        <v>1026</v>
      </c>
      <c r="C300" s="7" t="str">
        <f t="shared" si="12"/>
        <v>Premium4R3less</v>
      </c>
      <c r="D300" s="7" t="str">
        <f t="shared" si="13"/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IFERROR(VLOOKUP(B300,input_391011!L:R,7,FALSE),VLOOKUP(tables_391011!C300,input_391011!A:H,8,FALSE))</f>
        <v>276450</v>
      </c>
      <c r="P300" s="46">
        <f t="shared" ca="1" si="14"/>
        <v>1.0591954022988506E-2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input_391011!A$2</f>
        <v>391011</v>
      </c>
      <c r="B301" s="5">
        <v>1027</v>
      </c>
      <c r="C301" s="7" t="str">
        <f t="shared" si="12"/>
        <v>Premium5R3less</v>
      </c>
      <c r="D301" s="7" t="str">
        <f t="shared" si="13"/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IFERROR(VLOOKUP(B301,input_391011!L:R,7,FALSE),VLOOKUP(tables_391011!C301,input_391011!A:H,8,FALSE))</f>
        <v>14550</v>
      </c>
      <c r="P301" s="46">
        <f t="shared" ca="1" si="14"/>
        <v>5.5747126436781608E-4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input_391011!A$2</f>
        <v>391011</v>
      </c>
      <c r="B302" s="5">
        <v>1028</v>
      </c>
      <c r="C302" s="7" t="str">
        <f t="shared" si="12"/>
        <v>PremiumSS5R5only</v>
      </c>
      <c r="D302" s="7" t="str">
        <f t="shared" si="13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IFERROR(VLOOKUP(B302,input_391011!L:R,7,FALSE),VLOOKUP(tables_391011!C302,input_391011!A:H,8,FALSE))</f>
        <v>17400</v>
      </c>
      <c r="P302" s="46">
        <f t="shared" ca="1" si="14"/>
        <v>6.6666666666666664E-4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input_391011!A$2</f>
        <v>391011</v>
      </c>
      <c r="B303" s="5">
        <v>1031</v>
      </c>
      <c r="C303" s="7" t="str">
        <f t="shared" si="12"/>
        <v>PremiumSS5R5only</v>
      </c>
      <c r="D303" s="7" t="str">
        <f t="shared" si="13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IFERROR(VLOOKUP(B303,input_391011!L:R,7,FALSE),VLOOKUP(tables_391011!C303,input_391011!A:H,8,FALSE))</f>
        <v>17400</v>
      </c>
      <c r="P303" s="46">
        <f t="shared" ca="1" si="14"/>
        <v>6.6666666666666664E-4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input_391011!A$2</f>
        <v>391011</v>
      </c>
      <c r="B304" s="5">
        <v>1033</v>
      </c>
      <c r="C304" s="7" t="str">
        <f t="shared" si="12"/>
        <v>PremiumSS5R5only</v>
      </c>
      <c r="D304" s="7" t="str">
        <f t="shared" si="13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IFERROR(VLOOKUP(B304,input_391011!L:R,7,FALSE),VLOOKUP(tables_391011!C304,input_391011!A:H,8,FALSE))</f>
        <v>17400</v>
      </c>
      <c r="P304" s="46">
        <f t="shared" ca="1" si="14"/>
        <v>6.6666666666666664E-4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opLeftCell="A5" workbookViewId="0">
      <selection activeCell="C35" sqref="C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VLOOKUP(L3,tables_391100!B:C,2,FALSE)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VLOOKUP(L4,tables_391100!B:C,2,FALSE)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1.1111111111111111E-3</v>
      </c>
      <c r="F5">
        <f>(COUNTIF(tables_391100!C:C,input_391100!A28)+COUNTIF(tables_391100!C:C,input_391100!A29))</f>
        <v>45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VLOOKUP(L5,tables_391100!B:C,2,FALSE)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1.0919540229885057E-2</v>
      </c>
      <c r="F6">
        <f>(COUNTIF(tables_391100!C:C,input_391100!A25)+COUNTIF(tables_391100!C:C,input_391100!A18)+COUNTIF(tables_391100!C:C,input_391100!A20)+COUNTIF(tables_391100!C:C,input_391100!A22))</f>
        <v>87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VLOOKUP(L6,tables_391100!B:C,2,FALSE)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VLOOKUP(L7,tables_391100!B:C,2,FALSE)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VLOOKUP(L8,tables_391100!B:C,2,FALSE)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COUNTIF(tables_391100!C:C,input_391100!A17)-COUNTIF(Q:Q,A17)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0.21839080459770116</v>
      </c>
      <c r="C18" s="85">
        <f t="shared" si="2"/>
        <v>0</v>
      </c>
      <c r="D18" s="74">
        <f t="shared" si="3"/>
        <v>0.21839080459770116</v>
      </c>
      <c r="E18">
        <f>COUNTIF(tables_391100!C:C,input_391100!A18)-COUNTIF(Q:Q,A18)</f>
        <v>20</v>
      </c>
      <c r="F18" s="43">
        <f>IFERROR(B18/E18,0)</f>
        <v>1.0919540229885057E-2</v>
      </c>
      <c r="G18">
        <f t="shared" si="4"/>
        <v>5700000</v>
      </c>
      <c r="H18">
        <f t="shared" si="5"/>
        <v>285000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COUNTIF(tables_391100!C:C,input_391100!A19)-COUNTIF(Q:Q,A19)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6">
        <f>E$6*E20*B$6+E34</f>
        <v>0.54645019157088137</v>
      </c>
      <c r="C20" s="85">
        <f t="shared" si="2"/>
        <v>0</v>
      </c>
      <c r="D20" s="74">
        <f t="shared" si="3"/>
        <v>0.54645019157088137</v>
      </c>
      <c r="E20">
        <f>COUNTIF(tables_391100!C:C,input_391100!A20)-COUNTIF(Q:Q,A20)</f>
        <v>52</v>
      </c>
      <c r="F20" s="43">
        <f t="shared" si="8"/>
        <v>1.0508657530209258E-2</v>
      </c>
      <c r="G20">
        <f t="shared" si="4"/>
        <v>14262350.000000004</v>
      </c>
      <c r="H20">
        <f t="shared" si="5"/>
        <v>274275.96153999999</v>
      </c>
      <c r="I20">
        <f t="shared" si="6"/>
        <v>0.96153999998932704</v>
      </c>
      <c r="J20">
        <f t="shared" si="7"/>
        <v>1.0399983360142062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2.1365900383141765E-2</v>
      </c>
      <c r="C21" s="85">
        <f t="shared" si="2"/>
        <v>0</v>
      </c>
      <c r="D21" s="74">
        <f t="shared" si="3"/>
        <v>2.1365900383141765E-2</v>
      </c>
      <c r="E21">
        <f>COUNTIF(tables_391100!C:C,input_391100!A21)-COUNTIF(Q:Q,A21)</f>
        <v>52</v>
      </c>
      <c r="F21" s="43">
        <f t="shared" si="8"/>
        <v>4.1088269967580319E-4</v>
      </c>
      <c r="G21">
        <f t="shared" si="4"/>
        <v>557650.00000000012</v>
      </c>
      <c r="H21">
        <f t="shared" si="5"/>
        <v>10724.03846</v>
      </c>
      <c r="I21">
        <f t="shared" si="6"/>
        <v>3.845999999975902E-2</v>
      </c>
      <c r="J21">
        <f t="shared" si="7"/>
        <v>26.001040041764579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0.11410919540229884</v>
      </c>
      <c r="C22" s="85">
        <f t="shared" si="2"/>
        <v>0</v>
      </c>
      <c r="D22" s="74">
        <f t="shared" si="3"/>
        <v>0.11410919540229884</v>
      </c>
      <c r="E22">
        <f>COUNTIF(tables_391100!C:C,input_391100!A22)-COUNTIF(Q:Q,A22)</f>
        <v>11</v>
      </c>
      <c r="F22" s="43">
        <f t="shared" si="8"/>
        <v>1.0373563218390804E-2</v>
      </c>
      <c r="G22">
        <f t="shared" si="4"/>
        <v>2978250</v>
      </c>
      <c r="H22">
        <f t="shared" si="5"/>
        <v>270750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6.0057471264367817E-3</v>
      </c>
      <c r="C23" s="85">
        <f t="shared" si="2"/>
        <v>0</v>
      </c>
      <c r="D23" s="74">
        <f t="shared" si="3"/>
        <v>6.0057471264367817E-3</v>
      </c>
      <c r="E23">
        <f>COUNTIF(tables_391100!C:C,input_391100!A23)-COUNTIF(Q:Q,A23)</f>
        <v>11</v>
      </c>
      <c r="F23" s="43">
        <f t="shared" si="8"/>
        <v>5.4597701149425293E-4</v>
      </c>
      <c r="G23">
        <f t="shared" si="4"/>
        <v>156750</v>
      </c>
      <c r="H23">
        <f t="shared" si="5"/>
        <v>14250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COUNTIF(tables_391100!C:C,input_391100!A24)-COUNTIF(Q:Q,A24)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4.1494252873563217E-2</v>
      </c>
      <c r="C25" s="85">
        <f t="shared" si="2"/>
        <v>0</v>
      </c>
      <c r="D25" s="74">
        <f t="shared" si="3"/>
        <v>4.1494252873563217E-2</v>
      </c>
      <c r="E25">
        <f>COUNTIF(tables_391100!C:C,input_391100!A25)-COUNTIF(Q:Q,A25)</f>
        <v>4</v>
      </c>
      <c r="F25" s="43">
        <f t="shared" si="8"/>
        <v>1.0373563218390804E-2</v>
      </c>
      <c r="G25">
        <f t="shared" si="4"/>
        <v>1083000</v>
      </c>
      <c r="H25">
        <f t="shared" si="5"/>
        <v>270750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2.1839080459770117E-3</v>
      </c>
      <c r="C26" s="85">
        <f t="shared" si="2"/>
        <v>0</v>
      </c>
      <c r="D26" s="74">
        <f t="shared" si="3"/>
        <v>2.1839080459770117E-3</v>
      </c>
      <c r="E26">
        <f>COUNTIF(tables_391100!C:C,input_391100!A26)-COUNTIF(Q:Q,A26)</f>
        <v>4</v>
      </c>
      <c r="F26" s="43">
        <f t="shared" si="8"/>
        <v>5.4597701149425293E-4</v>
      </c>
      <c r="G26">
        <f t="shared" si="4"/>
        <v>57000.000000000007</v>
      </c>
      <c r="H26">
        <f t="shared" si="5"/>
        <v>14250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2.9555555555555554E-2</v>
      </c>
      <c r="C27" s="85">
        <f t="shared" si="2"/>
        <v>0</v>
      </c>
      <c r="D27" s="74">
        <f t="shared" si="3"/>
        <v>2.9555555555555554E-2</v>
      </c>
      <c r="E27">
        <f>COUNTIF(tables_391100!C:C,input_391100!A27)-COUNTIF(Q:Q,A27)</f>
        <v>28</v>
      </c>
      <c r="F27" s="43">
        <f>IFERROR(B27/E27,0)</f>
        <v>1.0555555555555555E-3</v>
      </c>
      <c r="G27">
        <f t="shared" si="4"/>
        <v>771400</v>
      </c>
      <c r="H27">
        <f t="shared" si="5"/>
        <v>27550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1.5555555555555557E-3</v>
      </c>
      <c r="C28" s="85">
        <f t="shared" si="2"/>
        <v>0</v>
      </c>
      <c r="D28" s="74">
        <f t="shared" si="3"/>
        <v>1.5555555555555557E-3</v>
      </c>
      <c r="E28">
        <f>COUNTIF(tables_391100!C:C,input_391100!A28)-COUNTIF(Q:Q,A28)</f>
        <v>28</v>
      </c>
      <c r="F28" s="43">
        <f t="shared" si="8"/>
        <v>5.5555555555555558E-5</v>
      </c>
      <c r="G28">
        <f t="shared" si="4"/>
        <v>40600</v>
      </c>
      <c r="H28">
        <f t="shared" si="5"/>
        <v>1450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1.8888888888888889E-2</v>
      </c>
      <c r="C29" s="85">
        <f t="shared" si="2"/>
        <v>0</v>
      </c>
      <c r="D29" s="74">
        <f t="shared" si="3"/>
        <v>1.8888888888888889E-2</v>
      </c>
      <c r="E29">
        <f>COUNTIF(tables_391100!C:C,input_391100!A29)-COUNTIF(Q:Q,A29)</f>
        <v>17</v>
      </c>
      <c r="F29" s="43">
        <f t="shared" si="8"/>
        <v>1.1111111111111111E-3</v>
      </c>
      <c r="G29">
        <f t="shared" si="4"/>
        <v>493000</v>
      </c>
      <c r="H29">
        <f t="shared" si="5"/>
        <v>29000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COUNTIF(tables_391100!C:C,input_391100!A30)-COUNTIF(Q:Q,A30)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COUNTIF(tables_391100!C:C,input_391100!A31)-COUNTIF(Q:Q,A31)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7.0249042145595908E-3</v>
      </c>
    </row>
    <row r="35" spans="1:7" x14ac:dyDescent="0.15">
      <c r="A35" t="s">
        <v>73</v>
      </c>
    </row>
    <row r="36" spans="1:7" x14ac:dyDescent="0.15">
      <c r="A36" s="31">
        <f>LCM(F5-I5,F6-I6)*1000*2*2*5</f>
        <v>26100000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SUMIF(tables_391100!C:C,input_391100!A40,tables_391100!O:O)</f>
        <v>0</v>
      </c>
      <c r="C40" s="54">
        <f t="shared" ref="C40:C46" ca="1" si="9">B40/B$47</f>
        <v>0</v>
      </c>
      <c r="E40">
        <v>3</v>
      </c>
      <c r="F40">
        <f ca="1">SUMIF(tables_391100!J:J,input_391100!E40,tables_391100!O:O)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SUMIF(tables_391100!C:C,input_391100!A41,tables_391100!O:O)</f>
        <v>14262350.000080004</v>
      </c>
      <c r="C41" s="54">
        <f t="shared" ca="1" si="9"/>
        <v>0.91238165302456509</v>
      </c>
      <c r="E41">
        <v>4</v>
      </c>
      <c r="F41">
        <f ca="1">SUMIF(tables_391100!J:J,input_391100!E41,tables_391100!O:O)</f>
        <v>24795000.000079989</v>
      </c>
      <c r="G41">
        <f ca="1">F41/A36</f>
        <v>0.95000000000306473</v>
      </c>
    </row>
    <row r="42" spans="1:7" x14ac:dyDescent="0.15">
      <c r="A42" s="33" t="s">
        <v>106</v>
      </c>
      <c r="B42">
        <f ca="1">SUMIF(tables_391100!C:C,input_391100!A42,tables_391100!O:O)</f>
        <v>771400</v>
      </c>
      <c r="C42" s="54">
        <f t="shared" ca="1" si="9"/>
        <v>4.9347492323439088E-2</v>
      </c>
      <c r="E42">
        <v>5</v>
      </c>
      <c r="F42">
        <f ca="1">SUMIF(tables_391100!J:J,input_391100!E42,tables_391100!O:O)</f>
        <v>1304999.9999199999</v>
      </c>
      <c r="G42">
        <f ca="1">F42/A36</f>
        <v>4.9999999996934857E-2</v>
      </c>
    </row>
    <row r="43" spans="1:7" x14ac:dyDescent="0.15">
      <c r="A43" s="33" t="s">
        <v>109</v>
      </c>
      <c r="B43">
        <f>SUMIF(tables_391100!C:C,input_391100!A43,tables_391100!O:O)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SUMIF(tables_391100!C:C,input_391100!A44,tables_391100!O:O)</f>
        <v>557649.99992000021</v>
      </c>
      <c r="C44" s="54">
        <f t="shared" ca="1" si="9"/>
        <v>3.567361821392017E-2</v>
      </c>
      <c r="E44" t="s">
        <v>54</v>
      </c>
      <c r="F44" s="55"/>
    </row>
    <row r="45" spans="1:7" x14ac:dyDescent="0.15">
      <c r="A45" s="33" t="s">
        <v>107</v>
      </c>
      <c r="B45">
        <f ca="1">SUMIF(tables_391100!C:C,input_391100!A45,tables_391100!O:O)</f>
        <v>40600</v>
      </c>
      <c r="C45" s="54">
        <f t="shared" ca="1" si="9"/>
        <v>2.5972364380757416E-3</v>
      </c>
      <c r="E45" t="s">
        <v>204</v>
      </c>
      <c r="F45" s="55">
        <f ca="1">SUMIF(tables_391100!I:I,input_391100!E45,tables_391100!P:P)</f>
        <v>0.21839080459770119</v>
      </c>
    </row>
    <row r="46" spans="1:7" x14ac:dyDescent="0.15">
      <c r="A46" s="33" t="s">
        <v>108</v>
      </c>
      <c r="B46">
        <f>SUMIF(tables_391100!C:C,input_391100!A46,tables_391100!O:O)</f>
        <v>0</v>
      </c>
      <c r="C46" s="54">
        <f t="shared" ca="1" si="9"/>
        <v>0</v>
      </c>
      <c r="E46" t="s">
        <v>205</v>
      </c>
      <c r="F46" s="55">
        <f ca="1">SUMIF(tables_391100!I:I,input_391100!E46,tables_391100!P:P)</f>
        <v>0.21839080459770113</v>
      </c>
    </row>
    <row r="47" spans="1:7" x14ac:dyDescent="0.15">
      <c r="A47" s="39" t="s">
        <v>59</v>
      </c>
      <c r="B47">
        <f ca="1">SUM(B40:B46)</f>
        <v>15632000.000000004</v>
      </c>
      <c r="C47" s="55">
        <f ca="1">SUM(C40:C46)</f>
        <v>1</v>
      </c>
      <c r="E47" t="s">
        <v>206</v>
      </c>
      <c r="F47" s="55">
        <f ca="1">SUMIF(tables_391100!I:I,input_391100!E47,tables_391100!P:P)</f>
        <v>0.5132183908045973</v>
      </c>
    </row>
    <row r="48" spans="1:7" x14ac:dyDescent="0.15">
      <c r="E48" t="s">
        <v>207</v>
      </c>
      <c r="F48" s="55">
        <f ca="1">SUMIF(tables_391100!I:I,input_391100!E48,tables_391100!P:P)</f>
        <v>5.000000000000001E-2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4"/>
  <sheetViews>
    <sheetView showGridLines="0" zoomScale="75" zoomScaleNormal="75" zoomScalePageLayoutView="75" workbookViewId="0">
      <pane ySplit="1" topLeftCell="A288" activePane="bottomLeft" state="frozen"/>
      <selection activeCell="D34" sqref="D34"/>
      <selection pane="bottomLeft" activeCell="B305" sqref="B30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input_391100!A$2</f>
        <v>391100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IFERROR(VLOOKUP(B2,input_391100!L:R,7,FALSE),VLOOKUP(tables_391100!C2,input_391100!A:H,8,FALSE))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input_391100!A$2</f>
        <v>391100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IFERROR(VLOOKUP(B3,input_391100!L:R,7,FALSE),VLOOKUP(tables_391100!C3,input_391100!A:H,8,FALSE))</f>
        <v>285000</v>
      </c>
      <c r="P3" s="46">
        <f t="shared" ca="1" si="2"/>
        <v>1.0919540229885057E-2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input_391100!A$2</f>
        <v>391100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IFERROR(VLOOKUP(B4,input_391100!L:R,7,FALSE),VLOOKUP(tables_391100!C4,input_391100!A:H,8,FALSE))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input_391100!A$2</f>
        <v>391100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IFERROR(VLOOKUP(B5,input_391100!L:R,7,FALSE),VLOOKUP(tables_391100!C5,input_391100!A:H,8,FALSE))</f>
        <v>285000</v>
      </c>
      <c r="P5" s="46">
        <f t="shared" ca="1" si="2"/>
        <v>1.0919540229885057E-2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input_391100!A$2</f>
        <v>391100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IFERROR(VLOOKUP(B6,input_391100!L:R,7,FALSE),VLOOKUP(tables_391100!C6,input_391100!A:H,8,FALSE))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input_391100!A$2</f>
        <v>391100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IFERROR(VLOOKUP(B7,input_391100!L:R,7,FALSE),VLOOKUP(tables_391100!C7,input_391100!A:H,8,FALSE))</f>
        <v>285000</v>
      </c>
      <c r="P7" s="46">
        <f t="shared" ca="1" si="2"/>
        <v>1.0919540229885057E-2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input_391100!A$2</f>
        <v>391100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IFERROR(VLOOKUP(B8,input_391100!L:R,7,FALSE),VLOOKUP(tables_391100!C8,input_391100!A:H,8,FALSE))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input_391100!A$2</f>
        <v>391100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IFERROR(VLOOKUP(B9,input_391100!L:R,7,FALSE),VLOOKUP(tables_391100!C9,input_391100!A:H,8,FALSE))</f>
        <v>285000</v>
      </c>
      <c r="P9" s="46">
        <f t="shared" ca="1" si="2"/>
        <v>1.0919540229885057E-2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input_391100!A$2</f>
        <v>391100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IFERROR(VLOOKUP(B10,input_391100!L:R,7,FALSE),VLOOKUP(tables_391100!C10,input_391100!A:H,8,FALSE))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input_391100!A$2</f>
        <v>391100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IFERROR(VLOOKUP(B11,input_391100!L:R,7,FALSE),VLOOKUP(tables_391100!C11,input_391100!A:H,8,FALSE))</f>
        <v>285000</v>
      </c>
      <c r="P11" s="46">
        <f t="shared" ca="1" si="2"/>
        <v>1.0919540229885057E-2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input_391100!A$2</f>
        <v>391100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IFERROR(VLOOKUP(B12,input_391100!L:R,7,FALSE),VLOOKUP(tables_391100!C12,input_391100!A:H,8,FALSE))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input_391100!A$2</f>
        <v>391100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IFERROR(VLOOKUP(B13,input_391100!L:R,7,FALSE),VLOOKUP(tables_391100!C13,input_391100!A:H,8,FALSE))</f>
        <v>285000</v>
      </c>
      <c r="P13" s="46">
        <f t="shared" ca="1" si="2"/>
        <v>1.0919540229885057E-2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input_391100!A$2</f>
        <v>391100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IFERROR(VLOOKUP(B14,input_391100!L:R,7,FALSE),VLOOKUP(tables_391100!C14,input_391100!A:H,8,FALSE))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input_391100!A$2</f>
        <v>391100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IFERROR(VLOOKUP(B15,input_391100!L:R,7,FALSE),VLOOKUP(tables_391100!C15,input_391100!A:H,8,FALSE))</f>
        <v>285000</v>
      </c>
      <c r="P15" s="46">
        <f t="shared" ca="1" si="2"/>
        <v>1.0919540229885057E-2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input_391100!A$2</f>
        <v>391100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IFERROR(VLOOKUP(B16,input_391100!L:R,7,FALSE),VLOOKUP(tables_391100!C16,input_391100!A:H,8,FALSE))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input_391100!A$2</f>
        <v>391100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IFERROR(VLOOKUP(B17,input_391100!L:R,7,FALSE),VLOOKUP(tables_391100!C17,input_391100!A:H,8,FALSE))</f>
        <v>285000</v>
      </c>
      <c r="P17" s="46">
        <f t="shared" ca="1" si="2"/>
        <v>1.0919540229885057E-2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input_391100!A$2</f>
        <v>391100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IFERROR(VLOOKUP(B18,input_391100!L:R,7,FALSE),VLOOKUP(tables_391100!C18,input_391100!A:H,8,FALSE))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input_391100!A$2</f>
        <v>391100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IFERROR(VLOOKUP(B19,input_391100!L:R,7,FALSE),VLOOKUP(tables_391100!C19,input_391100!A:H,8,FALSE))</f>
        <v>285000</v>
      </c>
      <c r="P19" s="46">
        <f t="shared" ca="1" si="2"/>
        <v>1.0919540229885057E-2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input_391100!A$2</f>
        <v>391100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IFERROR(VLOOKUP(B20,input_391100!L:R,7,FALSE),VLOOKUP(tables_391100!C20,input_391100!A:H,8,FALSE))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input_391100!A$2</f>
        <v>391100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IFERROR(VLOOKUP(B21,input_391100!L:R,7,FALSE),VLOOKUP(tables_391100!C21,input_391100!A:H,8,FALSE))</f>
        <v>285000</v>
      </c>
      <c r="P21" s="46">
        <f t="shared" ca="1" si="2"/>
        <v>1.0919540229885057E-2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input_391100!A$2</f>
        <v>391100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IFERROR(VLOOKUP(B22,input_391100!L:R,7,FALSE),VLOOKUP(tables_391100!C22,input_391100!A:H,8,FALSE))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input_391100!A$2</f>
        <v>391100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IFERROR(VLOOKUP(B23,input_391100!L:R,7,FALSE),VLOOKUP(tables_391100!C23,input_391100!A:H,8,FALSE))</f>
        <v>285000</v>
      </c>
      <c r="P23" s="46">
        <f t="shared" ca="1" si="2"/>
        <v>1.0919540229885057E-2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input_391100!A$2</f>
        <v>391100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IFERROR(VLOOKUP(B24,input_391100!L:R,7,FALSE),VLOOKUP(tables_391100!C24,input_391100!A:H,8,FALSE))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input_391100!A$2</f>
        <v>391100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IFERROR(VLOOKUP(B25,input_391100!L:R,7,FALSE),VLOOKUP(tables_391100!C25,input_391100!A:H,8,FALSE))</f>
        <v>285000</v>
      </c>
      <c r="P25" s="46">
        <f t="shared" ca="1" si="2"/>
        <v>1.0919540229885057E-2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input_391100!A$2</f>
        <v>391100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IFERROR(VLOOKUP(B26,input_391100!L:R,7,FALSE),VLOOKUP(tables_391100!C26,input_391100!A:H,8,FALSE))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input_391100!A$2</f>
        <v>391100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IFERROR(VLOOKUP(B27,input_391100!L:R,7,FALSE),VLOOKUP(tables_391100!C27,input_391100!A:H,8,FALSE))</f>
        <v>285000</v>
      </c>
      <c r="P27" s="46">
        <f t="shared" ca="1" si="2"/>
        <v>1.0919540229885057E-2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input_391100!A$2</f>
        <v>391100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IFERROR(VLOOKUP(B28,input_391100!L:R,7,FALSE),VLOOKUP(tables_391100!C28,input_391100!A:H,8,FALSE))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input_391100!A$2</f>
        <v>391100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IFERROR(VLOOKUP(B29,input_391100!L:R,7,FALSE),VLOOKUP(tables_391100!C29,input_391100!A:H,8,FALSE))</f>
        <v>285000</v>
      </c>
      <c r="P29" s="46">
        <f t="shared" ca="1" si="2"/>
        <v>1.0919540229885057E-2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input_391100!A$2</f>
        <v>391100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IFERROR(VLOOKUP(B30,input_391100!L:R,7,FALSE),VLOOKUP(tables_391100!C30,input_391100!A:H,8,FALSE))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input_391100!A$2</f>
        <v>391100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IFERROR(VLOOKUP(B31,input_391100!L:R,7,FALSE),VLOOKUP(tables_391100!C31,input_391100!A:H,8,FALSE))</f>
        <v>285000</v>
      </c>
      <c r="P31" s="46">
        <f t="shared" ca="1" si="2"/>
        <v>1.0919540229885057E-2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input_391100!A$2</f>
        <v>391100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IFERROR(VLOOKUP(B32,input_391100!L:R,7,FALSE),VLOOKUP(tables_391100!C32,input_391100!A:H,8,FALSE))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input_391100!A$2</f>
        <v>391100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IFERROR(VLOOKUP(B33,input_391100!L:R,7,FALSE),VLOOKUP(tables_391100!C33,input_391100!A:H,8,FALSE))</f>
        <v>285000</v>
      </c>
      <c r="P33" s="46">
        <f t="shared" ca="1" si="2"/>
        <v>1.0919540229885057E-2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input_391100!A$2</f>
        <v>391100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IFERROR(VLOOKUP(B34,input_391100!L:R,7,FALSE),VLOOKUP(tables_391100!C34,input_391100!A:H,8,FALSE))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input_391100!A$2</f>
        <v>391100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IFERROR(VLOOKUP(B35,input_391100!L:R,7,FALSE),VLOOKUP(tables_391100!C35,input_391100!A:H,8,FALSE))</f>
        <v>285000</v>
      </c>
      <c r="P35" s="46">
        <f t="shared" ca="1" si="2"/>
        <v>1.0919540229885057E-2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input_391100!A$2</f>
        <v>391100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IFERROR(VLOOKUP(B36,input_391100!L:R,7,FALSE),VLOOKUP(tables_391100!C36,input_391100!A:H,8,FALSE))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input_391100!A$2</f>
        <v>391100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IFERROR(VLOOKUP(B37,input_391100!L:R,7,FALSE),VLOOKUP(tables_391100!C37,input_391100!A:H,8,FALSE))</f>
        <v>285000</v>
      </c>
      <c r="P37" s="46">
        <f t="shared" ca="1" si="2"/>
        <v>1.0919540229885057E-2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input_391100!A$2</f>
        <v>391100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IFERROR(VLOOKUP(B38,input_391100!L:R,7,FALSE),VLOOKUP(tables_391100!C38,input_391100!A:H,8,FALSE))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input_391100!A$2</f>
        <v>391100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IFERROR(VLOOKUP(B39,input_391100!L:R,7,FALSE),VLOOKUP(tables_391100!C39,input_391100!A:H,8,FALSE))</f>
        <v>285000</v>
      </c>
      <c r="P39" s="46">
        <f t="shared" ca="1" si="2"/>
        <v>1.0919540229885057E-2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input_391100!A$2</f>
        <v>391100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IFERROR(VLOOKUP(B40,input_391100!L:R,7,FALSE),VLOOKUP(tables_391100!C40,input_391100!A:H,8,FALSE))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input_391100!A$2</f>
        <v>391100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IFERROR(VLOOKUP(B41,input_391100!L:R,7,FALSE),VLOOKUP(tables_391100!C41,input_391100!A:H,8,FALSE))</f>
        <v>285000</v>
      </c>
      <c r="P41" s="46">
        <f t="shared" ca="1" si="2"/>
        <v>1.0919540229885057E-2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input_391100!A$2</f>
        <v>391100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IFERROR(VLOOKUP(B42,input_391100!L:R,7,FALSE),VLOOKUP(tables_391100!C42,input_391100!A:H,8,FALSE))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input_391100!A$2</f>
        <v>391100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IFERROR(VLOOKUP(B43,input_391100!L:R,7,FALSE),VLOOKUP(tables_391100!C43,input_391100!A:H,8,FALSE))</f>
        <v>270750</v>
      </c>
      <c r="P43" s="46">
        <f t="shared" ca="1" si="2"/>
        <v>1.0373563218390804E-2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input_391100!A$2</f>
        <v>391100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IFERROR(VLOOKUP(B44,input_391100!L:R,7,FALSE),VLOOKUP(tables_391100!C44,input_391100!A:H,8,FALSE))</f>
        <v>14250</v>
      </c>
      <c r="P44" s="46">
        <f t="shared" ca="1" si="2"/>
        <v>5.4597701149425282E-4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input_391100!A$2</f>
        <v>391100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IFERROR(VLOOKUP(B45,input_391100!L:R,7,FALSE),VLOOKUP(tables_391100!C45,input_391100!A:H,8,FALSE))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input_391100!A$2</f>
        <v>391100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IFERROR(VLOOKUP(B46,input_391100!L:R,7,FALSE),VLOOKUP(tables_391100!C46,input_391100!A:H,8,FALSE))</f>
        <v>270750</v>
      </c>
      <c r="P46" s="46">
        <f t="shared" ca="1" si="2"/>
        <v>1.0373563218390804E-2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input_391100!A$2</f>
        <v>391100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IFERROR(VLOOKUP(B47,input_391100!L:R,7,FALSE),VLOOKUP(tables_391100!C47,input_391100!A:H,8,FALSE))</f>
        <v>14250</v>
      </c>
      <c r="P47" s="46">
        <f t="shared" ca="1" si="2"/>
        <v>5.4597701149425282E-4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input_391100!A$2</f>
        <v>391100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IFERROR(VLOOKUP(B48,input_391100!L:R,7,FALSE),VLOOKUP(tables_391100!C48,input_391100!A:H,8,FALSE))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input_391100!A$2</f>
        <v>391100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IFERROR(VLOOKUP(B49,input_391100!L:R,7,FALSE),VLOOKUP(tables_391100!C49,input_391100!A:H,8,FALSE))</f>
        <v>270750</v>
      </c>
      <c r="P49" s="46">
        <f t="shared" ca="1" si="2"/>
        <v>1.0373563218390804E-2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input_391100!A$2</f>
        <v>391100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IFERROR(VLOOKUP(B50,input_391100!L:R,7,FALSE),VLOOKUP(tables_391100!C50,input_391100!A:H,8,FALSE))</f>
        <v>14250</v>
      </c>
      <c r="P50" s="46">
        <f t="shared" ca="1" si="2"/>
        <v>5.4597701149425282E-4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input_391100!A$2</f>
        <v>391100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IFERROR(VLOOKUP(B51,input_391100!L:R,7,FALSE),VLOOKUP(tables_391100!C51,input_391100!A:H,8,FALSE))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input_391100!A$2</f>
        <v>391100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IFERROR(VLOOKUP(B52,input_391100!L:R,7,FALSE),VLOOKUP(tables_391100!C52,input_391100!A:H,8,FALSE))</f>
        <v>274275.96153999999</v>
      </c>
      <c r="P52" s="46">
        <f t="shared" ca="1" si="2"/>
        <v>1.0508657530268199E-2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input_391100!A$2</f>
        <v>391100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IFERROR(VLOOKUP(B53,input_391100!L:R,7,FALSE),VLOOKUP(tables_391100!C53,input_391100!A:H,8,FALSE))</f>
        <v>10724.03846</v>
      </c>
      <c r="P53" s="46">
        <f t="shared" ca="1" si="2"/>
        <v>4.1088269961685821E-4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input_391100!A$2</f>
        <v>391100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IFERROR(VLOOKUP(B54,input_391100!L:R,7,FALSE),VLOOKUP(tables_391100!C54,input_391100!A:H,8,FALSE))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input_391100!A$2</f>
        <v>391100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IFERROR(VLOOKUP(B55,input_391100!L:R,7,FALSE),VLOOKUP(tables_391100!C55,input_391100!A:H,8,FALSE))</f>
        <v>274275.96153999999</v>
      </c>
      <c r="P55" s="46">
        <f t="shared" ca="1" si="2"/>
        <v>1.0508657530268199E-2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input_391100!A$2</f>
        <v>391100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IFERROR(VLOOKUP(B56,input_391100!L:R,7,FALSE),VLOOKUP(tables_391100!C56,input_391100!A:H,8,FALSE))</f>
        <v>10724.03846</v>
      </c>
      <c r="P56" s="46">
        <f t="shared" ca="1" si="2"/>
        <v>4.1088269961685821E-4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input_391100!A$2</f>
        <v>391100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IFERROR(VLOOKUP(B57,input_391100!L:R,7,FALSE),VLOOKUP(tables_391100!C57,input_391100!A:H,8,FALSE))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input_391100!A$2</f>
        <v>391100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IFERROR(VLOOKUP(B58,input_391100!L:R,7,FALSE),VLOOKUP(tables_391100!C58,input_391100!A:H,8,FALSE))</f>
        <v>274275.96153999999</v>
      </c>
      <c r="P58" s="46">
        <f t="shared" ca="1" si="2"/>
        <v>1.0508657530268199E-2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input_391100!A$2</f>
        <v>391100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IFERROR(VLOOKUP(B59,input_391100!L:R,7,FALSE),VLOOKUP(tables_391100!C59,input_391100!A:H,8,FALSE))</f>
        <v>10724.03846</v>
      </c>
      <c r="P59" s="46">
        <f t="shared" ca="1" si="2"/>
        <v>4.1088269961685821E-4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input_391100!A$2</f>
        <v>391100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IFERROR(VLOOKUP(B60,input_391100!L:R,7,FALSE),VLOOKUP(tables_391100!C60,input_391100!A:H,8,FALSE))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input_391100!A$2</f>
        <v>391100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IFERROR(VLOOKUP(B61,input_391100!L:R,7,FALSE),VLOOKUP(tables_391100!C61,input_391100!A:H,8,FALSE))</f>
        <v>274275.96153999999</v>
      </c>
      <c r="P61" s="46">
        <f t="shared" ca="1" si="2"/>
        <v>1.0508657530268199E-2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input_391100!A$2</f>
        <v>391100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IFERROR(VLOOKUP(B62,input_391100!L:R,7,FALSE),VLOOKUP(tables_391100!C62,input_391100!A:H,8,FALSE))</f>
        <v>10724.03846</v>
      </c>
      <c r="P62" s="46">
        <f t="shared" ca="1" si="2"/>
        <v>4.1088269961685821E-4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input_391100!A$2</f>
        <v>391100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IFERROR(VLOOKUP(B63,input_391100!L:R,7,FALSE),VLOOKUP(tables_391100!C63,input_391100!A:H,8,FALSE))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input_391100!A$2</f>
        <v>391100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IFERROR(VLOOKUP(B64,input_391100!L:R,7,FALSE),VLOOKUP(tables_391100!C64,input_391100!A:H,8,FALSE))</f>
        <v>274275.96153999999</v>
      </c>
      <c r="P64" s="46">
        <f t="shared" ca="1" si="2"/>
        <v>1.0508657530268199E-2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input_391100!A$2</f>
        <v>391100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IFERROR(VLOOKUP(B65,input_391100!L:R,7,FALSE),VLOOKUP(tables_391100!C65,input_391100!A:H,8,FALSE))</f>
        <v>10724.03846</v>
      </c>
      <c r="P65" s="46">
        <f t="shared" ca="1" si="2"/>
        <v>4.1088269961685821E-4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input_391100!A$2</f>
        <v>391100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IFERROR(VLOOKUP(B66,input_391100!L:R,7,FALSE),VLOOKUP(tables_391100!C66,input_391100!A:H,8,FALSE))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input_391100!A$2</f>
        <v>391100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IFERROR(VLOOKUP(B67,input_391100!L:R,7,FALSE),VLOOKUP(tables_391100!C67,input_391100!A:H,8,FALSE))</f>
        <v>274275.96153999999</v>
      </c>
      <c r="P67" s="46">
        <f t="shared" ca="1" si="5"/>
        <v>1.0508657530268199E-2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input_391100!A$2</f>
        <v>391100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IFERROR(VLOOKUP(B68,input_391100!L:R,7,FALSE),VLOOKUP(tables_391100!C68,input_391100!A:H,8,FALSE))</f>
        <v>10724.03846</v>
      </c>
      <c r="P68" s="46">
        <f t="shared" ca="1" si="5"/>
        <v>4.1088269961685821E-4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input_391100!A$2</f>
        <v>391100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IFERROR(VLOOKUP(B69,input_391100!L:R,7,FALSE),VLOOKUP(tables_391100!C69,input_391100!A:H,8,FALSE))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input_391100!A$2</f>
        <v>391100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IFERROR(VLOOKUP(B70,input_391100!L:R,7,FALSE),VLOOKUP(tables_391100!C70,input_391100!A:H,8,FALSE))</f>
        <v>274275.96153999999</v>
      </c>
      <c r="P70" s="46">
        <f t="shared" ca="1" si="5"/>
        <v>1.0508657530268199E-2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input_391100!A$2</f>
        <v>391100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IFERROR(VLOOKUP(B71,input_391100!L:R,7,FALSE),VLOOKUP(tables_391100!C71,input_391100!A:H,8,FALSE))</f>
        <v>10724.03846</v>
      </c>
      <c r="P71" s="46">
        <f t="shared" ca="1" si="5"/>
        <v>4.1088269961685821E-4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input_391100!A$2</f>
        <v>391100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IFERROR(VLOOKUP(B72,input_391100!L:R,7,FALSE),VLOOKUP(tables_391100!C72,input_391100!A:H,8,FALSE))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input_391100!A$2</f>
        <v>391100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IFERROR(VLOOKUP(B73,input_391100!L:R,7,FALSE),VLOOKUP(tables_391100!C73,input_391100!A:H,8,FALSE))</f>
        <v>274275.96153999999</v>
      </c>
      <c r="P73" s="46">
        <f t="shared" ca="1" si="5"/>
        <v>1.0508657530268199E-2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input_391100!A$2</f>
        <v>391100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IFERROR(VLOOKUP(B74,input_391100!L:R,7,FALSE),VLOOKUP(tables_391100!C74,input_391100!A:H,8,FALSE))</f>
        <v>10724.03846</v>
      </c>
      <c r="P74" s="46">
        <f t="shared" ca="1" si="5"/>
        <v>4.1088269961685821E-4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input_391100!A$2</f>
        <v>391100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IFERROR(VLOOKUP(B75,input_391100!L:R,7,FALSE),VLOOKUP(tables_391100!C75,input_391100!A:H,8,FALSE))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input_391100!A$2</f>
        <v>391100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IFERROR(VLOOKUP(B76,input_391100!L:R,7,FALSE),VLOOKUP(tables_391100!C76,input_391100!A:H,8,FALSE))</f>
        <v>274275.96153999999</v>
      </c>
      <c r="P76" s="46">
        <f t="shared" ca="1" si="5"/>
        <v>1.0508657530268199E-2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input_391100!A$2</f>
        <v>391100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IFERROR(VLOOKUP(B77,input_391100!L:R,7,FALSE),VLOOKUP(tables_391100!C77,input_391100!A:H,8,FALSE))</f>
        <v>10724.03846</v>
      </c>
      <c r="P77" s="46">
        <f t="shared" ca="1" si="5"/>
        <v>4.1088269961685821E-4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input_391100!A$2</f>
        <v>391100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IFERROR(VLOOKUP(B78,input_391100!L:R,7,FALSE),VLOOKUP(tables_391100!C78,input_391100!A:H,8,FALSE))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input_391100!A$2</f>
        <v>391100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IFERROR(VLOOKUP(B79,input_391100!L:R,7,FALSE),VLOOKUP(tables_391100!C79,input_391100!A:H,8,FALSE))</f>
        <v>274275.96153999999</v>
      </c>
      <c r="P79" s="46">
        <f t="shared" ca="1" si="5"/>
        <v>1.0508657530268199E-2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input_391100!A$2</f>
        <v>391100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IFERROR(VLOOKUP(B80,input_391100!L:R,7,FALSE),VLOOKUP(tables_391100!C80,input_391100!A:H,8,FALSE))</f>
        <v>10724.03846</v>
      </c>
      <c r="P80" s="46">
        <f t="shared" ca="1" si="5"/>
        <v>4.1088269961685821E-4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input_391100!A$2</f>
        <v>391100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IFERROR(VLOOKUP(B81,input_391100!L:R,7,FALSE),VLOOKUP(tables_391100!C81,input_391100!A:H,8,FALSE))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input_391100!A$2</f>
        <v>391100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IFERROR(VLOOKUP(B82,input_391100!L:R,7,FALSE),VLOOKUP(tables_391100!C82,input_391100!A:H,8,FALSE))</f>
        <v>274275.96153999999</v>
      </c>
      <c r="P82" s="46">
        <f t="shared" ca="1" si="5"/>
        <v>1.0508657530268199E-2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input_391100!A$2</f>
        <v>391100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IFERROR(VLOOKUP(B83,input_391100!L:R,7,FALSE),VLOOKUP(tables_391100!C83,input_391100!A:H,8,FALSE))</f>
        <v>10724.03846</v>
      </c>
      <c r="P83" s="46">
        <f t="shared" ca="1" si="5"/>
        <v>4.1088269961685821E-4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input_391100!A$2</f>
        <v>391100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IFERROR(VLOOKUP(B84,input_391100!L:R,7,FALSE),VLOOKUP(tables_391100!C84,input_391100!A:H,8,FALSE))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input_391100!A$2</f>
        <v>391100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IFERROR(VLOOKUP(B85,input_391100!L:R,7,FALSE),VLOOKUP(tables_391100!C85,input_391100!A:H,8,FALSE))</f>
        <v>274275.96153999999</v>
      </c>
      <c r="P85" s="46">
        <f t="shared" ca="1" si="5"/>
        <v>1.0508657530268199E-2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input_391100!A$2</f>
        <v>391100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IFERROR(VLOOKUP(B86,input_391100!L:R,7,FALSE),VLOOKUP(tables_391100!C86,input_391100!A:H,8,FALSE))</f>
        <v>10724.03846</v>
      </c>
      <c r="P86" s="46">
        <f t="shared" ca="1" si="5"/>
        <v>4.1088269961685821E-4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input_391100!A$2</f>
        <v>391100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IFERROR(VLOOKUP(B87,input_391100!L:R,7,FALSE),VLOOKUP(tables_391100!C87,input_391100!A:H,8,FALSE))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input_391100!A$2</f>
        <v>391100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IFERROR(VLOOKUP(B88,input_391100!L:R,7,FALSE),VLOOKUP(tables_391100!C88,input_391100!A:H,8,FALSE))</f>
        <v>274275.96153999999</v>
      </c>
      <c r="P88" s="46">
        <f t="shared" ca="1" si="5"/>
        <v>1.0508657530268199E-2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input_391100!A$2</f>
        <v>391100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IFERROR(VLOOKUP(B89,input_391100!L:R,7,FALSE),VLOOKUP(tables_391100!C89,input_391100!A:H,8,FALSE))</f>
        <v>10724.03846</v>
      </c>
      <c r="P89" s="46">
        <f t="shared" ca="1" si="5"/>
        <v>4.1088269961685821E-4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input_391100!A$2</f>
        <v>391100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IFERROR(VLOOKUP(B90,input_391100!L:R,7,FALSE),VLOOKUP(tables_391100!C90,input_391100!A:H,8,FALSE))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input_391100!A$2</f>
        <v>391100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IFERROR(VLOOKUP(B91,input_391100!L:R,7,FALSE),VLOOKUP(tables_391100!C91,input_391100!A:H,8,FALSE))</f>
        <v>274275.96153999999</v>
      </c>
      <c r="P91" s="46">
        <f t="shared" ca="1" si="5"/>
        <v>1.0508657530268199E-2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input_391100!A$2</f>
        <v>391100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IFERROR(VLOOKUP(B92,input_391100!L:R,7,FALSE),VLOOKUP(tables_391100!C92,input_391100!A:H,8,FALSE))</f>
        <v>10724.03846</v>
      </c>
      <c r="P92" s="46">
        <f t="shared" ca="1" si="5"/>
        <v>4.1088269961685821E-4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input_391100!A$2</f>
        <v>391100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IFERROR(VLOOKUP(B93,input_391100!L:R,7,FALSE),VLOOKUP(tables_391100!C93,input_391100!A:H,8,FALSE))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input_391100!A$2</f>
        <v>391100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IFERROR(VLOOKUP(B94,input_391100!L:R,7,FALSE),VLOOKUP(tables_391100!C94,input_391100!A:H,8,FALSE))</f>
        <v>274275.96153999999</v>
      </c>
      <c r="P94" s="46">
        <f t="shared" ca="1" si="5"/>
        <v>1.0508657530268199E-2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input_391100!A$2</f>
        <v>391100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IFERROR(VLOOKUP(B95,input_391100!L:R,7,FALSE),VLOOKUP(tables_391100!C95,input_391100!A:H,8,FALSE))</f>
        <v>10724.03846</v>
      </c>
      <c r="P95" s="46">
        <f t="shared" ca="1" si="5"/>
        <v>4.1088269961685821E-4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input_391100!A$2</f>
        <v>391100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IFERROR(VLOOKUP(B96,input_391100!L:R,7,FALSE),VLOOKUP(tables_391100!C96,input_391100!A:H,8,FALSE))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input_391100!A$2</f>
        <v>391100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IFERROR(VLOOKUP(B97,input_391100!L:R,7,FALSE),VLOOKUP(tables_391100!C97,input_391100!A:H,8,FALSE))</f>
        <v>274275.96153999999</v>
      </c>
      <c r="P97" s="46">
        <f t="shared" ca="1" si="5"/>
        <v>1.0508657530268199E-2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input_391100!A$2</f>
        <v>391100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IFERROR(VLOOKUP(B98,input_391100!L:R,7,FALSE),VLOOKUP(tables_391100!C98,input_391100!A:H,8,FALSE))</f>
        <v>10724.03846</v>
      </c>
      <c r="P98" s="46">
        <f t="shared" ca="1" si="5"/>
        <v>4.1088269961685821E-4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input_391100!A$2</f>
        <v>391100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IFERROR(VLOOKUP(B99,input_391100!L:R,7,FALSE),VLOOKUP(tables_391100!C99,input_391100!A:H,8,FALSE))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input_391100!A$2</f>
        <v>391100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IFERROR(VLOOKUP(B100,input_391100!L:R,7,FALSE),VLOOKUP(tables_391100!C100,input_391100!A:H,8,FALSE))</f>
        <v>274275.96153999999</v>
      </c>
      <c r="P100" s="46">
        <f t="shared" ca="1" si="5"/>
        <v>1.0508657530268199E-2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input_391100!A$2</f>
        <v>391100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IFERROR(VLOOKUP(B101,input_391100!L:R,7,FALSE),VLOOKUP(tables_391100!C101,input_391100!A:H,8,FALSE))</f>
        <v>10724.03846</v>
      </c>
      <c r="P101" s="46">
        <f t="shared" ca="1" si="5"/>
        <v>4.1088269961685821E-4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input_391100!A$2</f>
        <v>391100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IFERROR(VLOOKUP(B102,input_391100!L:R,7,FALSE),VLOOKUP(tables_391100!C102,input_391100!A:H,8,FALSE))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input_391100!A$2</f>
        <v>391100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IFERROR(VLOOKUP(B103,input_391100!L:R,7,FALSE),VLOOKUP(tables_391100!C103,input_391100!A:H,8,FALSE))</f>
        <v>274275.96153999999</v>
      </c>
      <c r="P103" s="46">
        <f t="shared" ca="1" si="5"/>
        <v>1.0508657530268199E-2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input_391100!A$2</f>
        <v>391100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IFERROR(VLOOKUP(B104,input_391100!L:R,7,FALSE),VLOOKUP(tables_391100!C104,input_391100!A:H,8,FALSE))</f>
        <v>10724.03846</v>
      </c>
      <c r="P104" s="46">
        <f t="shared" ca="1" si="5"/>
        <v>4.1088269961685821E-4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input_391100!A$2</f>
        <v>391100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IFERROR(VLOOKUP(B105,input_391100!L:R,7,FALSE),VLOOKUP(tables_391100!C105,input_391100!A:H,8,FALSE))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input_391100!A$2</f>
        <v>391100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IFERROR(VLOOKUP(B106,input_391100!L:R,7,FALSE),VLOOKUP(tables_391100!C106,input_391100!A:H,8,FALSE))</f>
        <v>274275.96153999999</v>
      </c>
      <c r="P106" s="46">
        <f t="shared" ca="1" si="5"/>
        <v>1.0508657530268199E-2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input_391100!A$2</f>
        <v>391100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IFERROR(VLOOKUP(B107,input_391100!L:R,7,FALSE),VLOOKUP(tables_391100!C107,input_391100!A:H,8,FALSE))</f>
        <v>10724.03846</v>
      </c>
      <c r="P107" s="46">
        <f t="shared" ca="1" si="5"/>
        <v>4.1088269961685821E-4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input_391100!A$2</f>
        <v>391100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IFERROR(VLOOKUP(B108,input_391100!L:R,7,FALSE),VLOOKUP(tables_391100!C108,input_391100!A:H,8,FALSE))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input_391100!A$2</f>
        <v>391100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IFERROR(VLOOKUP(B109,input_391100!L:R,7,FALSE),VLOOKUP(tables_391100!C109,input_391100!A:H,8,FALSE))</f>
        <v>274275.96153999999</v>
      </c>
      <c r="P109" s="46">
        <f t="shared" ca="1" si="5"/>
        <v>1.0508657530268199E-2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input_391100!A$2</f>
        <v>391100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IFERROR(VLOOKUP(B110,input_391100!L:R,7,FALSE),VLOOKUP(tables_391100!C110,input_391100!A:H,8,FALSE))</f>
        <v>10724.03846</v>
      </c>
      <c r="P110" s="46">
        <f t="shared" ca="1" si="5"/>
        <v>4.1088269961685821E-4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input_391100!A$2</f>
        <v>391100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IFERROR(VLOOKUP(B111,input_391100!L:R,7,FALSE),VLOOKUP(tables_391100!C111,input_391100!A:H,8,FALSE))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input_391100!A$2</f>
        <v>391100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IFERROR(VLOOKUP(B112,input_391100!L:R,7,FALSE),VLOOKUP(tables_391100!C112,input_391100!A:H,8,FALSE))</f>
        <v>270750</v>
      </c>
      <c r="P112" s="46">
        <f t="shared" ca="1" si="5"/>
        <v>1.0373563218390804E-2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input_391100!A$2</f>
        <v>391100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IFERROR(VLOOKUP(B113,input_391100!L:R,7,FALSE),VLOOKUP(tables_391100!C113,input_391100!A:H,8,FALSE))</f>
        <v>14250</v>
      </c>
      <c r="P113" s="46">
        <f t="shared" ca="1" si="5"/>
        <v>5.4597701149425282E-4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input_391100!A$2</f>
        <v>391100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IFERROR(VLOOKUP(B114,input_391100!L:R,7,FALSE),VLOOKUP(tables_391100!C114,input_391100!A:H,8,FALSE))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input_391100!A$2</f>
        <v>391100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IFERROR(VLOOKUP(B115,input_391100!L:R,7,FALSE),VLOOKUP(tables_391100!C115,input_391100!A:H,8,FALSE))</f>
        <v>274275.96153999999</v>
      </c>
      <c r="P115" s="46">
        <f t="shared" ca="1" si="5"/>
        <v>1.0508657530268199E-2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input_391100!A$2</f>
        <v>391100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IFERROR(VLOOKUP(B116,input_391100!L:R,7,FALSE),VLOOKUP(tables_391100!C116,input_391100!A:H,8,FALSE))</f>
        <v>10724.03846</v>
      </c>
      <c r="P116" s="46">
        <f t="shared" ca="1" si="5"/>
        <v>4.1088269961685821E-4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input_391100!A$2</f>
        <v>391100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IFERROR(VLOOKUP(B117,input_391100!L:R,7,FALSE),VLOOKUP(tables_391100!C117,input_391100!A:H,8,FALSE))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input_391100!A$2</f>
        <v>391100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IFERROR(VLOOKUP(B118,input_391100!L:R,7,FALSE),VLOOKUP(tables_391100!C118,input_391100!A:H,8,FALSE))</f>
        <v>274275.96153999999</v>
      </c>
      <c r="P118" s="46">
        <f t="shared" ca="1" si="5"/>
        <v>1.0508657530268199E-2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input_391100!A$2</f>
        <v>391100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IFERROR(VLOOKUP(B119,input_391100!L:R,7,FALSE),VLOOKUP(tables_391100!C119,input_391100!A:H,8,FALSE))</f>
        <v>10724.03846</v>
      </c>
      <c r="P119" s="46">
        <f t="shared" ca="1" si="5"/>
        <v>4.1088269961685821E-4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input_391100!A$2</f>
        <v>391100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IFERROR(VLOOKUP(B120,input_391100!L:R,7,FALSE),VLOOKUP(tables_391100!C120,input_391100!A:H,8,FALSE))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input_391100!A$2</f>
        <v>391100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IFERROR(VLOOKUP(B121,input_391100!L:R,7,FALSE),VLOOKUP(tables_391100!C121,input_391100!A:H,8,FALSE))</f>
        <v>274275.96153999999</v>
      </c>
      <c r="P121" s="46">
        <f t="shared" ca="1" si="5"/>
        <v>1.0508657530268199E-2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input_391100!A$2</f>
        <v>391100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IFERROR(VLOOKUP(B122,input_391100!L:R,7,FALSE),VLOOKUP(tables_391100!C122,input_391100!A:H,8,FALSE))</f>
        <v>10724.03846</v>
      </c>
      <c r="P122" s="46">
        <f t="shared" ca="1" si="5"/>
        <v>4.1088269961685821E-4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input_391100!A$2</f>
        <v>391100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IFERROR(VLOOKUP(B123,input_391100!L:R,7,FALSE),VLOOKUP(tables_391100!C123,input_391100!A:H,8,FALSE))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input_391100!A$2</f>
        <v>391100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IFERROR(VLOOKUP(B124,input_391100!L:R,7,FALSE),VLOOKUP(tables_391100!C124,input_391100!A:H,8,FALSE))</f>
        <v>274275.96153999999</v>
      </c>
      <c r="P124" s="46">
        <f t="shared" ca="1" si="5"/>
        <v>1.0508657530268199E-2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input_391100!A$2</f>
        <v>391100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IFERROR(VLOOKUP(B125,input_391100!L:R,7,FALSE),VLOOKUP(tables_391100!C125,input_391100!A:H,8,FALSE))</f>
        <v>10724.03846</v>
      </c>
      <c r="P125" s="46">
        <f t="shared" ca="1" si="5"/>
        <v>4.1088269961685821E-4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input_391100!A$2</f>
        <v>391100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IFERROR(VLOOKUP(B126,input_391100!L:R,7,FALSE),VLOOKUP(tables_391100!C126,input_391100!A:H,8,FALSE))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input_391100!A$2</f>
        <v>391100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IFERROR(VLOOKUP(B127,input_391100!L:R,7,FALSE),VLOOKUP(tables_391100!C127,input_391100!A:H,8,FALSE))</f>
        <v>274275.96153999999</v>
      </c>
      <c r="P127" s="46">
        <f t="shared" ca="1" si="5"/>
        <v>1.0508657530268199E-2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input_391100!A$2</f>
        <v>391100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IFERROR(VLOOKUP(B128,input_391100!L:R,7,FALSE),VLOOKUP(tables_391100!C128,input_391100!A:H,8,FALSE))</f>
        <v>10724.03846</v>
      </c>
      <c r="P128" s="46">
        <f t="shared" ca="1" si="5"/>
        <v>4.1088269961685821E-4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input_391100!A$2</f>
        <v>391100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IFERROR(VLOOKUP(B129,input_391100!L:R,7,FALSE),VLOOKUP(tables_391100!C129,input_391100!A:H,8,FALSE))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input_391100!A$2</f>
        <v>391100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IFERROR(VLOOKUP(B130,input_391100!L:R,7,FALSE),VLOOKUP(tables_391100!C130,input_391100!A:H,8,FALSE))</f>
        <v>274275.96153999999</v>
      </c>
      <c r="P130" s="46">
        <f t="shared" ref="P130:P193" ca="1" si="8">O130/SUM(O:O)</f>
        <v>1.0508657530268199E-2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input_391100!A$2</f>
        <v>391100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IFERROR(VLOOKUP(B131,input_391100!L:R,7,FALSE),VLOOKUP(tables_391100!C131,input_391100!A:H,8,FALSE))</f>
        <v>10724.03846</v>
      </c>
      <c r="P131" s="46">
        <f t="shared" ca="1" si="8"/>
        <v>4.1088269961685821E-4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input_391100!A$2</f>
        <v>391100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IFERROR(VLOOKUP(B132,input_391100!L:R,7,FALSE),VLOOKUP(tables_391100!C132,input_391100!A:H,8,FALSE))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input_391100!A$2</f>
        <v>391100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IFERROR(VLOOKUP(B133,input_391100!L:R,7,FALSE),VLOOKUP(tables_391100!C133,input_391100!A:H,8,FALSE))</f>
        <v>274275.96153999999</v>
      </c>
      <c r="P133" s="46">
        <f t="shared" ca="1" si="8"/>
        <v>1.0508657530268199E-2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input_391100!A$2</f>
        <v>391100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IFERROR(VLOOKUP(B134,input_391100!L:R,7,FALSE),VLOOKUP(tables_391100!C134,input_391100!A:H,8,FALSE))</f>
        <v>10724.03846</v>
      </c>
      <c r="P134" s="46">
        <f t="shared" ca="1" si="8"/>
        <v>4.1088269961685821E-4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input_391100!A$2</f>
        <v>391100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IFERROR(VLOOKUP(B135,input_391100!L:R,7,FALSE),VLOOKUP(tables_391100!C135,input_391100!A:H,8,FALSE))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input_391100!A$2</f>
        <v>391100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IFERROR(VLOOKUP(B136,input_391100!L:R,7,FALSE),VLOOKUP(tables_391100!C136,input_391100!A:H,8,FALSE))</f>
        <v>274275.96153999999</v>
      </c>
      <c r="P136" s="46">
        <f t="shared" ca="1" si="8"/>
        <v>1.0508657530268199E-2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input_391100!A$2</f>
        <v>391100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IFERROR(VLOOKUP(B137,input_391100!L:R,7,FALSE),VLOOKUP(tables_391100!C137,input_391100!A:H,8,FALSE))</f>
        <v>10724.03846</v>
      </c>
      <c r="P137" s="46">
        <f t="shared" ca="1" si="8"/>
        <v>4.1088269961685821E-4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input_391100!A$2</f>
        <v>391100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IFERROR(VLOOKUP(B138,input_391100!L:R,7,FALSE),VLOOKUP(tables_391100!C138,input_391100!A:H,8,FALSE))</f>
        <v>27550</v>
      </c>
      <c r="P138" s="46">
        <f t="shared" ca="1" si="8"/>
        <v>1.0555555555555555E-3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input_391100!A$2</f>
        <v>391100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IFERROR(VLOOKUP(B139,input_391100!L:R,7,FALSE),VLOOKUP(tables_391100!C139,input_391100!A:H,8,FALSE))</f>
        <v>1450</v>
      </c>
      <c r="P139" s="46">
        <f t="shared" ca="1" si="8"/>
        <v>5.5555555555555558E-5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input_391100!A$2</f>
        <v>391100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IFERROR(VLOOKUP(B140,input_391100!L:R,7,FALSE),VLOOKUP(tables_391100!C140,input_391100!A:H,8,FALSE))</f>
        <v>27550</v>
      </c>
      <c r="P140" s="46">
        <f t="shared" ca="1" si="8"/>
        <v>1.0555555555555555E-3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input_391100!A$2</f>
        <v>391100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IFERROR(VLOOKUP(B141,input_391100!L:R,7,FALSE),VLOOKUP(tables_391100!C141,input_391100!A:H,8,FALSE))</f>
        <v>1450</v>
      </c>
      <c r="P141" s="46">
        <f t="shared" ca="1" si="8"/>
        <v>5.5555555555555558E-5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input_391100!A$2</f>
        <v>391100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IFERROR(VLOOKUP(B142,input_391100!L:R,7,FALSE),VLOOKUP(tables_391100!C142,input_391100!A:H,8,FALSE))</f>
        <v>27550</v>
      </c>
      <c r="P142" s="46">
        <f t="shared" ca="1" si="8"/>
        <v>1.0555555555555555E-3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input_391100!A$2</f>
        <v>391100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IFERROR(VLOOKUP(B143,input_391100!L:R,7,FALSE),VLOOKUP(tables_391100!C143,input_391100!A:H,8,FALSE))</f>
        <v>1450</v>
      </c>
      <c r="P143" s="46">
        <f t="shared" ca="1" si="8"/>
        <v>5.5555555555555558E-5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input_391100!A$2</f>
        <v>391100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IFERROR(VLOOKUP(B144,input_391100!L:R,7,FALSE),VLOOKUP(tables_391100!C144,input_391100!A:H,8,FALSE))</f>
        <v>27550</v>
      </c>
      <c r="P144" s="46">
        <f t="shared" ca="1" si="8"/>
        <v>1.0555555555555555E-3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input_391100!A$2</f>
        <v>391100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IFERROR(VLOOKUP(B145,input_391100!L:R,7,FALSE),VLOOKUP(tables_391100!C145,input_391100!A:H,8,FALSE))</f>
        <v>1450</v>
      </c>
      <c r="P145" s="46">
        <f t="shared" ca="1" si="8"/>
        <v>5.5555555555555558E-5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input_391100!A$2</f>
        <v>391100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IFERROR(VLOOKUP(B146,input_391100!L:R,7,FALSE),VLOOKUP(tables_391100!C146,input_391100!A:H,8,FALSE))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input_391100!A$2</f>
        <v>391100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IFERROR(VLOOKUP(B147,input_391100!L:R,7,FALSE),VLOOKUP(tables_391100!C147,input_391100!A:H,8,FALSE))</f>
        <v>274275.96153999999</v>
      </c>
      <c r="P147" s="46">
        <f t="shared" ca="1" si="8"/>
        <v>1.0508657530268199E-2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input_391100!A$2</f>
        <v>391100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IFERROR(VLOOKUP(B148,input_391100!L:R,7,FALSE),VLOOKUP(tables_391100!C148,input_391100!A:H,8,FALSE))</f>
        <v>10724.03846</v>
      </c>
      <c r="P148" s="46">
        <f t="shared" ca="1" si="8"/>
        <v>4.1088269961685821E-4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input_391100!A$2</f>
        <v>391100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IFERROR(VLOOKUP(B149,input_391100!L:R,7,FALSE),VLOOKUP(tables_391100!C149,input_391100!A:H,8,FALSE))</f>
        <v>27550</v>
      </c>
      <c r="P149" s="46">
        <f t="shared" ca="1" si="8"/>
        <v>1.0555555555555555E-3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input_391100!A$2</f>
        <v>391100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IFERROR(VLOOKUP(B150,input_391100!L:R,7,FALSE),VLOOKUP(tables_391100!C150,input_391100!A:H,8,FALSE))</f>
        <v>1450</v>
      </c>
      <c r="P150" s="46">
        <f t="shared" ca="1" si="8"/>
        <v>5.5555555555555558E-5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input_391100!A$2</f>
        <v>391100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IFERROR(VLOOKUP(B151,input_391100!L:R,7,FALSE),VLOOKUP(tables_391100!C151,input_391100!A:H,8,FALSE))</f>
        <v>27550</v>
      </c>
      <c r="P151" s="46">
        <f t="shared" ca="1" si="8"/>
        <v>1.0555555555555555E-3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input_391100!A$2</f>
        <v>391100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IFERROR(VLOOKUP(B152,input_391100!L:R,7,FALSE),VLOOKUP(tables_391100!C152,input_391100!A:H,8,FALSE))</f>
        <v>1450</v>
      </c>
      <c r="P152" s="46">
        <f t="shared" ca="1" si="8"/>
        <v>5.5555555555555558E-5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input_391100!A$2</f>
        <v>391100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IFERROR(VLOOKUP(B153,input_391100!L:R,7,FALSE),VLOOKUP(tables_391100!C153,input_391100!A:H,8,FALSE))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input_391100!A$2</f>
        <v>391100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IFERROR(VLOOKUP(B154,input_391100!L:R,7,FALSE),VLOOKUP(tables_391100!C154,input_391100!A:H,8,FALSE))</f>
        <v>274275.96153999999</v>
      </c>
      <c r="P154" s="46">
        <f t="shared" ca="1" si="8"/>
        <v>1.0508657530268199E-2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input_391100!A$2</f>
        <v>391100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IFERROR(VLOOKUP(B155,input_391100!L:R,7,FALSE),VLOOKUP(tables_391100!C155,input_391100!A:H,8,FALSE))</f>
        <v>10724.03846</v>
      </c>
      <c r="P155" s="46">
        <f t="shared" ca="1" si="8"/>
        <v>4.1088269961685821E-4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input_391100!A$2</f>
        <v>391100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IFERROR(VLOOKUP(B156,input_391100!L:R,7,FALSE),VLOOKUP(tables_391100!C156,input_391100!A:H,8,FALSE))</f>
        <v>27550</v>
      </c>
      <c r="P156" s="46">
        <f t="shared" ca="1" si="8"/>
        <v>1.0555555555555555E-3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input_391100!A$2</f>
        <v>391100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IFERROR(VLOOKUP(B157,input_391100!L:R,7,FALSE),VLOOKUP(tables_391100!C157,input_391100!A:H,8,FALSE))</f>
        <v>1450</v>
      </c>
      <c r="P157" s="46">
        <f t="shared" ca="1" si="8"/>
        <v>5.5555555555555558E-5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input_391100!A$2</f>
        <v>391100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IFERROR(VLOOKUP(B158,input_391100!L:R,7,FALSE),VLOOKUP(tables_391100!C158,input_391100!A:H,8,FALSE))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input_391100!A$2</f>
        <v>391100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IFERROR(VLOOKUP(B159,input_391100!L:R,7,FALSE),VLOOKUP(tables_391100!C159,input_391100!A:H,8,FALSE))</f>
        <v>274275.96153999999</v>
      </c>
      <c r="P159" s="46">
        <f t="shared" ca="1" si="8"/>
        <v>1.0508657530268199E-2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input_391100!A$2</f>
        <v>391100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IFERROR(VLOOKUP(B160,input_391100!L:R,7,FALSE),VLOOKUP(tables_391100!C160,input_391100!A:H,8,FALSE))</f>
        <v>10724.03846</v>
      </c>
      <c r="P160" s="46">
        <f t="shared" ca="1" si="8"/>
        <v>4.1088269961685821E-4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input_391100!A$2</f>
        <v>391100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IFERROR(VLOOKUP(B161,input_391100!L:R,7,FALSE),VLOOKUP(tables_391100!C161,input_391100!A:H,8,FALSE))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input_391100!A$2</f>
        <v>391100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IFERROR(VLOOKUP(B162,input_391100!L:R,7,FALSE),VLOOKUP(tables_391100!C162,input_391100!A:H,8,FALSE))</f>
        <v>274275.96153999999</v>
      </c>
      <c r="P162" s="46">
        <f t="shared" ca="1" si="8"/>
        <v>1.0508657530268199E-2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input_391100!A$2</f>
        <v>391100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IFERROR(VLOOKUP(B163,input_391100!L:R,7,FALSE),VLOOKUP(tables_391100!C163,input_391100!A:H,8,FALSE))</f>
        <v>10724.03846</v>
      </c>
      <c r="P163" s="46">
        <f t="shared" ca="1" si="8"/>
        <v>4.1088269961685821E-4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input_391100!A$2</f>
        <v>391100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IFERROR(VLOOKUP(B164,input_391100!L:R,7,FALSE),VLOOKUP(tables_391100!C164,input_391100!A:H,8,FALSE))</f>
        <v>27550</v>
      </c>
      <c r="P164" s="46">
        <f t="shared" ca="1" si="8"/>
        <v>1.0555555555555555E-3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input_391100!A$2</f>
        <v>391100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IFERROR(VLOOKUP(B165,input_391100!L:R,7,FALSE),VLOOKUP(tables_391100!C165,input_391100!A:H,8,FALSE))</f>
        <v>1450</v>
      </c>
      <c r="P165" s="46">
        <f t="shared" ca="1" si="8"/>
        <v>5.5555555555555558E-5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input_391100!A$2</f>
        <v>391100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IFERROR(VLOOKUP(B166,input_391100!L:R,7,FALSE),VLOOKUP(tables_391100!C166,input_391100!A:H,8,FALSE))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input_391100!A$2</f>
        <v>391100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IFERROR(VLOOKUP(B167,input_391100!L:R,7,FALSE),VLOOKUP(tables_391100!C167,input_391100!A:H,8,FALSE))</f>
        <v>274275.96153999999</v>
      </c>
      <c r="P167" s="46">
        <f t="shared" ca="1" si="8"/>
        <v>1.0508657530268199E-2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input_391100!A$2</f>
        <v>391100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IFERROR(VLOOKUP(B168,input_391100!L:R,7,FALSE),VLOOKUP(tables_391100!C168,input_391100!A:H,8,FALSE))</f>
        <v>10724.03846</v>
      </c>
      <c r="P168" s="46">
        <f t="shared" ca="1" si="8"/>
        <v>4.1088269961685821E-4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input_391100!A$2</f>
        <v>391100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IFERROR(VLOOKUP(B169,input_391100!L:R,7,FALSE),VLOOKUP(tables_391100!C169,input_391100!A:H,8,FALSE))</f>
        <v>27550</v>
      </c>
      <c r="P169" s="46">
        <f t="shared" ca="1" si="8"/>
        <v>1.0555555555555555E-3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input_391100!A$2</f>
        <v>391100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IFERROR(VLOOKUP(B170,input_391100!L:R,7,FALSE),VLOOKUP(tables_391100!C170,input_391100!A:H,8,FALSE))</f>
        <v>1450</v>
      </c>
      <c r="P170" s="46">
        <f t="shared" ca="1" si="8"/>
        <v>5.5555555555555558E-5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input_391100!A$2</f>
        <v>391100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IFERROR(VLOOKUP(B171,input_391100!L:R,7,FALSE),VLOOKUP(tables_391100!C171,input_391100!A:H,8,FALSE))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input_391100!A$2</f>
        <v>391100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IFERROR(VLOOKUP(B172,input_391100!L:R,7,FALSE),VLOOKUP(tables_391100!C172,input_391100!A:H,8,FALSE))</f>
        <v>274275.96153999999</v>
      </c>
      <c r="P172" s="46">
        <f t="shared" ca="1" si="8"/>
        <v>1.0508657530268199E-2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input_391100!A$2</f>
        <v>391100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IFERROR(VLOOKUP(B173,input_391100!L:R,7,FALSE),VLOOKUP(tables_391100!C173,input_391100!A:H,8,FALSE))</f>
        <v>10724.03846</v>
      </c>
      <c r="P173" s="46">
        <f t="shared" ca="1" si="8"/>
        <v>4.1088269961685821E-4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input_391100!A$2</f>
        <v>391100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IFERROR(VLOOKUP(B174,input_391100!L:R,7,FALSE),VLOOKUP(tables_391100!C174,input_391100!A:H,8,FALSE))</f>
        <v>27550</v>
      </c>
      <c r="P174" s="46">
        <f t="shared" ca="1" si="8"/>
        <v>1.0555555555555555E-3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input_391100!A$2</f>
        <v>391100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IFERROR(VLOOKUP(B175,input_391100!L:R,7,FALSE),VLOOKUP(tables_391100!C175,input_391100!A:H,8,FALSE))</f>
        <v>1450</v>
      </c>
      <c r="P175" s="46">
        <f t="shared" ca="1" si="8"/>
        <v>5.5555555555555558E-5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input_391100!A$2</f>
        <v>391100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IFERROR(VLOOKUP(B176,input_391100!L:R,7,FALSE),VLOOKUP(tables_391100!C176,input_391100!A:H,8,FALSE))</f>
        <v>27550</v>
      </c>
      <c r="P176" s="46">
        <f t="shared" ca="1" si="8"/>
        <v>1.0555555555555555E-3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input_391100!A$2</f>
        <v>391100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IFERROR(VLOOKUP(B177,input_391100!L:R,7,FALSE),VLOOKUP(tables_391100!C177,input_391100!A:H,8,FALSE))</f>
        <v>1450</v>
      </c>
      <c r="P177" s="46">
        <f t="shared" ca="1" si="8"/>
        <v>5.5555555555555558E-5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input_391100!A$2</f>
        <v>391100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IFERROR(VLOOKUP(B178,input_391100!L:R,7,FALSE),VLOOKUP(tables_391100!C178,input_391100!A:H,8,FALSE))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input_391100!A$2</f>
        <v>391100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IFERROR(VLOOKUP(B179,input_391100!L:R,7,FALSE),VLOOKUP(tables_391100!C179,input_391100!A:H,8,FALSE))</f>
        <v>274275.96153999999</v>
      </c>
      <c r="P179" s="46">
        <f t="shared" ca="1" si="8"/>
        <v>1.0508657530268199E-2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input_391100!A$2</f>
        <v>391100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IFERROR(VLOOKUP(B180,input_391100!L:R,7,FALSE),VLOOKUP(tables_391100!C180,input_391100!A:H,8,FALSE))</f>
        <v>10724.03846</v>
      </c>
      <c r="P180" s="46">
        <f t="shared" ca="1" si="8"/>
        <v>4.1088269961685821E-4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input_391100!A$2</f>
        <v>391100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IFERROR(VLOOKUP(B181,input_391100!L:R,7,FALSE),VLOOKUP(tables_391100!C181,input_391100!A:H,8,FALSE))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input_391100!A$2</f>
        <v>391100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IFERROR(VLOOKUP(B182,input_391100!L:R,7,FALSE),VLOOKUP(tables_391100!C182,input_391100!A:H,8,FALSE))</f>
        <v>274275.96153999999</v>
      </c>
      <c r="P182" s="46">
        <f t="shared" ca="1" si="8"/>
        <v>1.0508657530268199E-2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input_391100!A$2</f>
        <v>391100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IFERROR(VLOOKUP(B183,input_391100!L:R,7,FALSE),VLOOKUP(tables_391100!C183,input_391100!A:H,8,FALSE))</f>
        <v>10724.03846</v>
      </c>
      <c r="P183" s="46">
        <f t="shared" ca="1" si="8"/>
        <v>4.1088269961685821E-4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input_391100!A$2</f>
        <v>391100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IFERROR(VLOOKUP(B184,input_391100!L:R,7,FALSE),VLOOKUP(tables_391100!C184,input_391100!A:H,8,FALSE))</f>
        <v>27550</v>
      </c>
      <c r="P184" s="46">
        <f t="shared" ca="1" si="8"/>
        <v>1.0555555555555555E-3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input_391100!A$2</f>
        <v>391100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IFERROR(VLOOKUP(B185,input_391100!L:R,7,FALSE),VLOOKUP(tables_391100!C185,input_391100!A:H,8,FALSE))</f>
        <v>1450</v>
      </c>
      <c r="P185" s="46">
        <f t="shared" ca="1" si="8"/>
        <v>5.5555555555555558E-5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input_391100!A$2</f>
        <v>391100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IFERROR(VLOOKUP(B186,input_391100!L:R,7,FALSE),VLOOKUP(tables_391100!C186,input_391100!A:H,8,FALSE))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input_391100!A$2</f>
        <v>391100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IFERROR(VLOOKUP(B187,input_391100!L:R,7,FALSE),VLOOKUP(tables_391100!C187,input_391100!A:H,8,FALSE))</f>
        <v>274275.96153999999</v>
      </c>
      <c r="P187" s="46">
        <f t="shared" ca="1" si="8"/>
        <v>1.0508657530268199E-2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input_391100!A$2</f>
        <v>391100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IFERROR(VLOOKUP(B188,input_391100!L:R,7,FALSE),VLOOKUP(tables_391100!C188,input_391100!A:H,8,FALSE))</f>
        <v>10724.03846</v>
      </c>
      <c r="P188" s="46">
        <f t="shared" ca="1" si="8"/>
        <v>4.1088269961685821E-4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input_391100!A$2</f>
        <v>391100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IFERROR(VLOOKUP(B189,input_391100!L:R,7,FALSE),VLOOKUP(tables_391100!C189,input_391100!A:H,8,FALSE))</f>
        <v>27550</v>
      </c>
      <c r="P189" s="46">
        <f t="shared" ca="1" si="8"/>
        <v>1.0555555555555555E-3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input_391100!A$2</f>
        <v>391100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IFERROR(VLOOKUP(B190,input_391100!L:R,7,FALSE),VLOOKUP(tables_391100!C190,input_391100!A:H,8,FALSE))</f>
        <v>1450</v>
      </c>
      <c r="P190" s="46">
        <f t="shared" ca="1" si="8"/>
        <v>5.5555555555555558E-5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input_391100!A$2</f>
        <v>391100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IFERROR(VLOOKUP(B191,input_391100!L:R,7,FALSE),VLOOKUP(tables_391100!C191,input_391100!A:H,8,FALSE))</f>
        <v>27550</v>
      </c>
      <c r="P191" s="46">
        <f t="shared" ca="1" si="8"/>
        <v>1.0555555555555555E-3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input_391100!A$2</f>
        <v>391100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IFERROR(VLOOKUP(B192,input_391100!L:R,7,FALSE),VLOOKUP(tables_391100!C192,input_391100!A:H,8,FALSE))</f>
        <v>1450</v>
      </c>
      <c r="P192" s="46">
        <f t="shared" ca="1" si="8"/>
        <v>5.5555555555555558E-5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input_391100!A$2</f>
        <v>391100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IFERROR(VLOOKUP(B193,input_391100!L:R,7,FALSE),VLOOKUP(tables_391100!C193,input_391100!A:H,8,FALSE))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input_391100!A$2</f>
        <v>391100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IFERROR(VLOOKUP(B194,input_391100!L:R,7,FALSE),VLOOKUP(tables_391100!C194,input_391100!A:H,8,FALSE))</f>
        <v>274275.96153999999</v>
      </c>
      <c r="P194" s="46">
        <f t="shared" ref="P194:P257" ca="1" si="11">O194/SUM(O:O)</f>
        <v>1.0508657530268199E-2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input_391100!A$2</f>
        <v>391100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IFERROR(VLOOKUP(B195,input_391100!L:R,7,FALSE),VLOOKUP(tables_391100!C195,input_391100!A:H,8,FALSE))</f>
        <v>10724.03846</v>
      </c>
      <c r="P195" s="46">
        <f t="shared" ca="1" si="11"/>
        <v>4.1088269961685821E-4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input_391100!A$2</f>
        <v>391100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IFERROR(VLOOKUP(B196,input_391100!L:R,7,FALSE),VLOOKUP(tables_391100!C196,input_391100!A:H,8,FALSE))</f>
        <v>27550</v>
      </c>
      <c r="P196" s="46">
        <f t="shared" ca="1" si="11"/>
        <v>1.0555555555555555E-3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input_391100!A$2</f>
        <v>391100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IFERROR(VLOOKUP(B197,input_391100!L:R,7,FALSE),VLOOKUP(tables_391100!C197,input_391100!A:H,8,FALSE))</f>
        <v>1450</v>
      </c>
      <c r="P197" s="46">
        <f t="shared" ca="1" si="11"/>
        <v>5.5555555555555558E-5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input_391100!A$2</f>
        <v>391100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IFERROR(VLOOKUP(B198,input_391100!L:R,7,FALSE),VLOOKUP(tables_391100!C198,input_391100!A:H,8,FALSE))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input_391100!A$2</f>
        <v>391100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IFERROR(VLOOKUP(B199,input_391100!L:R,7,FALSE),VLOOKUP(tables_391100!C199,input_391100!A:H,8,FALSE))</f>
        <v>274275.96153999999</v>
      </c>
      <c r="P199" s="46">
        <f t="shared" ca="1" si="11"/>
        <v>1.0508657530268199E-2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input_391100!A$2</f>
        <v>391100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IFERROR(VLOOKUP(B200,input_391100!L:R,7,FALSE),VLOOKUP(tables_391100!C200,input_391100!A:H,8,FALSE))</f>
        <v>10724.03846</v>
      </c>
      <c r="P200" s="46">
        <f t="shared" ca="1" si="11"/>
        <v>4.1088269961685821E-4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input_391100!A$2</f>
        <v>391100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IFERROR(VLOOKUP(B201,input_391100!L:R,7,FALSE),VLOOKUP(tables_391100!C201,input_391100!A:H,8,FALSE))</f>
        <v>27550</v>
      </c>
      <c r="P201" s="46">
        <f t="shared" ca="1" si="11"/>
        <v>1.0555555555555555E-3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input_391100!A$2</f>
        <v>391100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IFERROR(VLOOKUP(B202,input_391100!L:R,7,FALSE),VLOOKUP(tables_391100!C202,input_391100!A:H,8,FALSE))</f>
        <v>1450</v>
      </c>
      <c r="P202" s="46">
        <f t="shared" ca="1" si="11"/>
        <v>5.5555555555555558E-5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input_391100!A$2</f>
        <v>391100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IFERROR(VLOOKUP(B203,input_391100!L:R,7,FALSE),VLOOKUP(tables_391100!C203,input_391100!A:H,8,FALSE))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input_391100!A$2</f>
        <v>391100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IFERROR(VLOOKUP(B204,input_391100!L:R,7,FALSE),VLOOKUP(tables_391100!C204,input_391100!A:H,8,FALSE))</f>
        <v>274275.96153999999</v>
      </c>
      <c r="P204" s="46">
        <f t="shared" ca="1" si="11"/>
        <v>1.0508657530268199E-2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input_391100!A$2</f>
        <v>391100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IFERROR(VLOOKUP(B205,input_391100!L:R,7,FALSE),VLOOKUP(tables_391100!C205,input_391100!A:H,8,FALSE))</f>
        <v>10724.03846</v>
      </c>
      <c r="P205" s="46">
        <f t="shared" ca="1" si="11"/>
        <v>4.1088269961685821E-4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input_391100!A$2</f>
        <v>391100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IFERROR(VLOOKUP(B206,input_391100!L:R,7,FALSE),VLOOKUP(tables_391100!C206,input_391100!A:H,8,FALSE))</f>
        <v>27550</v>
      </c>
      <c r="P206" s="46">
        <f t="shared" ca="1" si="11"/>
        <v>1.0555555555555555E-3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input_391100!A$2</f>
        <v>391100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IFERROR(VLOOKUP(B207,input_391100!L:R,7,FALSE),VLOOKUP(tables_391100!C207,input_391100!A:H,8,FALSE))</f>
        <v>1450</v>
      </c>
      <c r="P207" s="46">
        <f t="shared" ca="1" si="11"/>
        <v>5.5555555555555558E-5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input_391100!A$2</f>
        <v>391100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IFERROR(VLOOKUP(B208,input_391100!L:R,7,FALSE),VLOOKUP(tables_391100!C208,input_391100!A:H,8,FALSE))</f>
        <v>27550</v>
      </c>
      <c r="P208" s="46">
        <f t="shared" ca="1" si="11"/>
        <v>1.0555555555555555E-3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input_391100!A$2</f>
        <v>391100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IFERROR(VLOOKUP(B209,input_391100!L:R,7,FALSE),VLOOKUP(tables_391100!C209,input_391100!A:H,8,FALSE))</f>
        <v>1450</v>
      </c>
      <c r="P209" s="46">
        <f t="shared" ca="1" si="11"/>
        <v>5.5555555555555558E-5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input_391100!A$2</f>
        <v>391100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IFERROR(VLOOKUP(B210,input_391100!L:R,7,FALSE),VLOOKUP(tables_391100!C210,input_391100!A:H,8,FALSE))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input_391100!A$2</f>
        <v>391100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IFERROR(VLOOKUP(B211,input_391100!L:R,7,FALSE),VLOOKUP(tables_391100!C211,input_391100!A:H,8,FALSE))</f>
        <v>274275.96153999999</v>
      </c>
      <c r="P211" s="46">
        <f t="shared" ca="1" si="11"/>
        <v>1.0508657530268199E-2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input_391100!A$2</f>
        <v>391100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IFERROR(VLOOKUP(B212,input_391100!L:R,7,FALSE),VLOOKUP(tables_391100!C212,input_391100!A:H,8,FALSE))</f>
        <v>10724.03846</v>
      </c>
      <c r="P212" s="46">
        <f t="shared" ca="1" si="11"/>
        <v>4.1088269961685821E-4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input_391100!A$2</f>
        <v>391100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IFERROR(VLOOKUP(B213,input_391100!L:R,7,FALSE),VLOOKUP(tables_391100!C213,input_391100!A:H,8,FALSE))</f>
        <v>27550</v>
      </c>
      <c r="P213" s="46">
        <f t="shared" ca="1" si="11"/>
        <v>1.0555555555555555E-3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input_391100!A$2</f>
        <v>391100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IFERROR(VLOOKUP(B214,input_391100!L:R,7,FALSE),VLOOKUP(tables_391100!C214,input_391100!A:H,8,FALSE))</f>
        <v>1450</v>
      </c>
      <c r="P214" s="46">
        <f t="shared" ca="1" si="11"/>
        <v>5.5555555555555558E-5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input_391100!A$2</f>
        <v>391100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IFERROR(VLOOKUP(B215,input_391100!L:R,7,FALSE),VLOOKUP(tables_391100!C215,input_391100!A:H,8,FALSE))</f>
        <v>27550</v>
      </c>
      <c r="P215" s="46">
        <f t="shared" ca="1" si="11"/>
        <v>1.0555555555555555E-3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input_391100!A$2</f>
        <v>391100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IFERROR(VLOOKUP(B216,input_391100!L:R,7,FALSE),VLOOKUP(tables_391100!C216,input_391100!A:H,8,FALSE))</f>
        <v>1450</v>
      </c>
      <c r="P216" s="46">
        <f t="shared" ca="1" si="11"/>
        <v>5.5555555555555558E-5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input_391100!A$2</f>
        <v>391100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IFERROR(VLOOKUP(B217,input_391100!L:R,7,FALSE),VLOOKUP(tables_391100!C217,input_391100!A:H,8,FALSE))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input_391100!A$2</f>
        <v>391100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IFERROR(VLOOKUP(B218,input_391100!L:R,7,FALSE),VLOOKUP(tables_391100!C218,input_391100!A:H,8,FALSE))</f>
        <v>274275.96153999999</v>
      </c>
      <c r="P218" s="46">
        <f t="shared" ca="1" si="11"/>
        <v>1.0508657530268199E-2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input_391100!A$2</f>
        <v>391100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IFERROR(VLOOKUP(B219,input_391100!L:R,7,FALSE),VLOOKUP(tables_391100!C219,input_391100!A:H,8,FALSE))</f>
        <v>10724.03846</v>
      </c>
      <c r="P219" s="46">
        <f t="shared" ca="1" si="11"/>
        <v>4.1088269961685821E-4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input_391100!A$2</f>
        <v>391100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IFERROR(VLOOKUP(B220,input_391100!L:R,7,FALSE),VLOOKUP(tables_391100!C220,input_391100!A:H,8,FALSE))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input_391100!A$2</f>
        <v>391100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IFERROR(VLOOKUP(B221,input_391100!L:R,7,FALSE),VLOOKUP(tables_391100!C221,input_391100!A:H,8,FALSE))</f>
        <v>274275.96153999999</v>
      </c>
      <c r="P221" s="46">
        <f t="shared" ca="1" si="11"/>
        <v>1.0508657530268199E-2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input_391100!A$2</f>
        <v>391100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IFERROR(VLOOKUP(B222,input_391100!L:R,7,FALSE),VLOOKUP(tables_391100!C222,input_391100!A:H,8,FALSE))</f>
        <v>10724.03846</v>
      </c>
      <c r="P222" s="46">
        <f t="shared" ca="1" si="11"/>
        <v>4.1088269961685821E-4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input_391100!A$2</f>
        <v>391100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IFERROR(VLOOKUP(B223,input_391100!L:R,7,FALSE),VLOOKUP(tables_391100!C223,input_391100!A:H,8,FALSE))</f>
        <v>27550</v>
      </c>
      <c r="P223" s="46">
        <f t="shared" ca="1" si="11"/>
        <v>1.0555555555555555E-3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input_391100!A$2</f>
        <v>391100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IFERROR(VLOOKUP(B224,input_391100!L:R,7,FALSE),VLOOKUP(tables_391100!C224,input_391100!A:H,8,FALSE))</f>
        <v>1450</v>
      </c>
      <c r="P224" s="46">
        <f t="shared" ca="1" si="11"/>
        <v>5.5555555555555558E-5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input_391100!A$2</f>
        <v>391100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IFERROR(VLOOKUP(B225,input_391100!L:R,7,FALSE),VLOOKUP(tables_391100!C225,input_391100!A:H,8,FALSE))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input_391100!A$2</f>
        <v>391100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IFERROR(VLOOKUP(B226,input_391100!L:R,7,FALSE),VLOOKUP(tables_391100!C226,input_391100!A:H,8,FALSE))</f>
        <v>274275.96153999999</v>
      </c>
      <c r="P226" s="46">
        <f t="shared" ca="1" si="11"/>
        <v>1.0508657530268199E-2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input_391100!A$2</f>
        <v>391100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IFERROR(VLOOKUP(B227,input_391100!L:R,7,FALSE),VLOOKUP(tables_391100!C227,input_391100!A:H,8,FALSE))</f>
        <v>10724.03846</v>
      </c>
      <c r="P227" s="46">
        <f t="shared" ca="1" si="11"/>
        <v>4.1088269961685821E-4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input_391100!A$2</f>
        <v>391100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IFERROR(VLOOKUP(B228,input_391100!L:R,7,FALSE),VLOOKUP(tables_391100!C228,input_391100!A:H,8,FALSE))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input_391100!A$2</f>
        <v>391100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IFERROR(VLOOKUP(B229,input_391100!L:R,7,FALSE),VLOOKUP(tables_391100!C229,input_391100!A:H,8,FALSE))</f>
        <v>274275.96153999999</v>
      </c>
      <c r="P229" s="46">
        <f t="shared" ca="1" si="11"/>
        <v>1.0508657530268199E-2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input_391100!A$2</f>
        <v>391100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IFERROR(VLOOKUP(B230,input_391100!L:R,7,FALSE),VLOOKUP(tables_391100!C230,input_391100!A:H,8,FALSE))</f>
        <v>10724.03846</v>
      </c>
      <c r="P230" s="46">
        <f t="shared" ca="1" si="11"/>
        <v>4.1088269961685821E-4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input_391100!A$2</f>
        <v>391100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IFERROR(VLOOKUP(B231,input_391100!L:R,7,FALSE),VLOOKUP(tables_391100!C231,input_391100!A:H,8,FALSE))</f>
        <v>27550</v>
      </c>
      <c r="P231" s="46">
        <f t="shared" ca="1" si="11"/>
        <v>1.0555555555555555E-3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input_391100!A$2</f>
        <v>391100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IFERROR(VLOOKUP(B232,input_391100!L:R,7,FALSE),VLOOKUP(tables_391100!C232,input_391100!A:H,8,FALSE))</f>
        <v>1450</v>
      </c>
      <c r="P232" s="46">
        <f t="shared" ca="1" si="11"/>
        <v>5.5555555555555558E-5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input_391100!A$2</f>
        <v>391100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IFERROR(VLOOKUP(B233,input_391100!L:R,7,FALSE),VLOOKUP(tables_391100!C233,input_391100!A:H,8,FALSE))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input_391100!A$2</f>
        <v>391100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IFERROR(VLOOKUP(B234,input_391100!L:R,7,FALSE),VLOOKUP(tables_391100!C234,input_391100!A:H,8,FALSE))</f>
        <v>274275.96153999999</v>
      </c>
      <c r="P234" s="46">
        <f t="shared" ca="1" si="11"/>
        <v>1.0508657530268199E-2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input_391100!A$2</f>
        <v>391100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IFERROR(VLOOKUP(B235,input_391100!L:R,7,FALSE),VLOOKUP(tables_391100!C235,input_391100!A:H,8,FALSE))</f>
        <v>10724.03846</v>
      </c>
      <c r="P235" s="46">
        <f t="shared" ca="1" si="11"/>
        <v>4.1088269961685821E-4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input_391100!A$2</f>
        <v>391100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IFERROR(VLOOKUP(B236,input_391100!L:R,7,FALSE),VLOOKUP(tables_391100!C236,input_391100!A:H,8,FALSE))</f>
        <v>27550</v>
      </c>
      <c r="P236" s="46">
        <f t="shared" ca="1" si="11"/>
        <v>1.0555555555555555E-3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input_391100!A$2</f>
        <v>391100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IFERROR(VLOOKUP(B237,input_391100!L:R,7,FALSE),VLOOKUP(tables_391100!C237,input_391100!A:H,8,FALSE))</f>
        <v>1450</v>
      </c>
      <c r="P237" s="46">
        <f t="shared" ca="1" si="11"/>
        <v>5.5555555555555558E-5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input_391100!A$2</f>
        <v>391100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IFERROR(VLOOKUP(B238,input_391100!L:R,7,FALSE),VLOOKUP(tables_391100!C238,input_391100!A:H,8,FALSE))</f>
        <v>27550</v>
      </c>
      <c r="P238" s="46">
        <f t="shared" ca="1" si="11"/>
        <v>1.0555555555555555E-3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input_391100!A$2</f>
        <v>391100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IFERROR(VLOOKUP(B239,input_391100!L:R,7,FALSE),VLOOKUP(tables_391100!C239,input_391100!A:H,8,FALSE))</f>
        <v>1450</v>
      </c>
      <c r="P239" s="46">
        <f t="shared" ca="1" si="11"/>
        <v>5.5555555555555558E-5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input_391100!A$2</f>
        <v>391100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IFERROR(VLOOKUP(B240,input_391100!L:R,7,FALSE),VLOOKUP(tables_391100!C240,input_391100!A:H,8,FALSE))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input_391100!A$2</f>
        <v>391100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IFERROR(VLOOKUP(B241,input_391100!L:R,7,FALSE),VLOOKUP(tables_391100!C241,input_391100!A:H,8,FALSE))</f>
        <v>274275.96153999999</v>
      </c>
      <c r="P241" s="46">
        <f t="shared" ca="1" si="11"/>
        <v>1.0508657530268199E-2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input_391100!A$2</f>
        <v>391100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IFERROR(VLOOKUP(B242,input_391100!L:R,7,FALSE),VLOOKUP(tables_391100!C242,input_391100!A:H,8,FALSE))</f>
        <v>10724.03846</v>
      </c>
      <c r="P242" s="46">
        <f t="shared" ca="1" si="11"/>
        <v>4.1088269961685821E-4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input_391100!A$2</f>
        <v>391100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IFERROR(VLOOKUP(B243,input_391100!L:R,7,FALSE),VLOOKUP(tables_391100!C243,input_391100!A:H,8,FALSE))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input_391100!A$2</f>
        <v>391100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IFERROR(VLOOKUP(B244,input_391100!L:R,7,FALSE),VLOOKUP(tables_391100!C244,input_391100!A:H,8,FALSE))</f>
        <v>274275.96153999999</v>
      </c>
      <c r="P244" s="46">
        <f t="shared" ca="1" si="11"/>
        <v>1.0508657530268199E-2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input_391100!A$2</f>
        <v>391100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IFERROR(VLOOKUP(B245,input_391100!L:R,7,FALSE),VLOOKUP(tables_391100!C245,input_391100!A:H,8,FALSE))</f>
        <v>10724.03846</v>
      </c>
      <c r="P245" s="46">
        <f t="shared" ca="1" si="11"/>
        <v>4.1088269961685821E-4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input_391100!A$2</f>
        <v>391100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IFERROR(VLOOKUP(B246,input_391100!L:R,7,FALSE),VLOOKUP(tables_391100!C246,input_391100!A:H,8,FALSE))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input_391100!A$2</f>
        <v>391100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IFERROR(VLOOKUP(B247,input_391100!L:R,7,FALSE),VLOOKUP(tables_391100!C247,input_391100!A:H,8,FALSE))</f>
        <v>274275.96153999999</v>
      </c>
      <c r="P247" s="46">
        <f t="shared" ca="1" si="11"/>
        <v>1.0508657530268199E-2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input_391100!A$2</f>
        <v>391100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IFERROR(VLOOKUP(B248,input_391100!L:R,7,FALSE),VLOOKUP(tables_391100!C248,input_391100!A:H,8,FALSE))</f>
        <v>10724.03846</v>
      </c>
      <c r="P248" s="46">
        <f t="shared" ca="1" si="11"/>
        <v>4.1088269961685821E-4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input_391100!A$2</f>
        <v>391100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IFERROR(VLOOKUP(B249,input_391100!L:R,7,FALSE),VLOOKUP(tables_391100!C249,input_391100!A:H,8,FALSE))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input_391100!A$2</f>
        <v>391100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IFERROR(VLOOKUP(B250,input_391100!L:R,7,FALSE),VLOOKUP(tables_391100!C250,input_391100!A:H,8,FALSE))</f>
        <v>274275.96153999999</v>
      </c>
      <c r="P250" s="46">
        <f t="shared" ca="1" si="11"/>
        <v>1.0508657530268199E-2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input_391100!A$2</f>
        <v>391100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IFERROR(VLOOKUP(B251,input_391100!L:R,7,FALSE),VLOOKUP(tables_391100!C251,input_391100!A:H,8,FALSE))</f>
        <v>10724.03846</v>
      </c>
      <c r="P251" s="46">
        <f t="shared" ca="1" si="11"/>
        <v>4.1088269961685821E-4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input_391100!A$2</f>
        <v>391100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IFERROR(VLOOKUP(B252,input_391100!L:R,7,FALSE),VLOOKUP(tables_391100!C252,input_391100!A:H,8,FALSE))</f>
        <v>27550</v>
      </c>
      <c r="P252" s="46">
        <f t="shared" ca="1" si="11"/>
        <v>1.0555555555555555E-3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input_391100!A$2</f>
        <v>391100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IFERROR(VLOOKUP(B253,input_391100!L:R,7,FALSE),VLOOKUP(tables_391100!C253,input_391100!A:H,8,FALSE))</f>
        <v>1450</v>
      </c>
      <c r="P253" s="46">
        <f t="shared" ca="1" si="11"/>
        <v>5.5555555555555558E-5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input_391100!A$2</f>
        <v>391100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IFERROR(VLOOKUP(B254,input_391100!L:R,7,FALSE),VLOOKUP(tables_391100!C254,input_391100!A:H,8,FALSE))</f>
        <v>27550</v>
      </c>
      <c r="P254" s="46">
        <f t="shared" ca="1" si="11"/>
        <v>1.0555555555555555E-3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input_391100!A$2</f>
        <v>391100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IFERROR(VLOOKUP(B255,input_391100!L:R,7,FALSE),VLOOKUP(tables_391100!C255,input_391100!A:H,8,FALSE))</f>
        <v>1450</v>
      </c>
      <c r="P255" s="46">
        <f t="shared" ca="1" si="11"/>
        <v>5.5555555555555558E-5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input_391100!A$2</f>
        <v>391100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IFERROR(VLOOKUP(B256,input_391100!L:R,7,FALSE),VLOOKUP(tables_391100!C256,input_391100!A:H,8,FALSE))</f>
        <v>270750</v>
      </c>
      <c r="P256" s="46">
        <f t="shared" ca="1" si="11"/>
        <v>1.0373563218390804E-2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input_391100!A$2</f>
        <v>391100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IFERROR(VLOOKUP(B257,input_391100!L:R,7,FALSE),VLOOKUP(tables_391100!C257,input_391100!A:H,8,FALSE))</f>
        <v>14250</v>
      </c>
      <c r="P257" s="46">
        <f t="shared" ca="1" si="11"/>
        <v>5.4597701149425282E-4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input_391100!A$2</f>
        <v>391100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IFERROR(VLOOKUP(B258,input_391100!L:R,7,FALSE),VLOOKUP(tables_391100!C258,input_391100!A:H,8,FALSE))</f>
        <v>270750</v>
      </c>
      <c r="P258" s="46">
        <f t="shared" ref="P258:P294" ca="1" si="14">O258/SUM(O:O)</f>
        <v>1.0373563218390804E-2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input_391100!A$2</f>
        <v>391100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IFERROR(VLOOKUP(B259,input_391100!L:R,7,FALSE),VLOOKUP(tables_391100!C259,input_391100!A:H,8,FALSE))</f>
        <v>14250</v>
      </c>
      <c r="P259" s="46">
        <f t="shared" ca="1" si="14"/>
        <v>5.4597701149425282E-4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input_391100!A$2</f>
        <v>391100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IFERROR(VLOOKUP(B260,input_391100!L:R,7,FALSE),VLOOKUP(tables_391100!C260,input_391100!A:H,8,FALSE))</f>
        <v>29000</v>
      </c>
      <c r="P260" s="46">
        <f t="shared" ca="1" si="14"/>
        <v>1.1111111111111111E-3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input_391100!A$2</f>
        <v>391100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IFERROR(VLOOKUP(B261,input_391100!L:R,7,FALSE),VLOOKUP(tables_391100!C261,input_391100!A:H,8,FALSE))</f>
        <v>29000</v>
      </c>
      <c r="P261" s="46">
        <f t="shared" ca="1" si="14"/>
        <v>1.1111111111111111E-3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input_391100!A$2</f>
        <v>391100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IFERROR(VLOOKUP(B262,input_391100!L:R,7,FALSE),VLOOKUP(tables_391100!C262,input_391100!A:H,8,FALSE))</f>
        <v>27550</v>
      </c>
      <c r="P262" s="46">
        <f t="shared" ca="1" si="14"/>
        <v>1.0555555555555555E-3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input_391100!A$2</f>
        <v>391100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IFERROR(VLOOKUP(B263,input_391100!L:R,7,FALSE),VLOOKUP(tables_391100!C263,input_391100!A:H,8,FALSE))</f>
        <v>1450</v>
      </c>
      <c r="P263" s="46">
        <f t="shared" ca="1" si="14"/>
        <v>5.5555555555555558E-5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input_391100!A$2</f>
        <v>391100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IFERROR(VLOOKUP(B264,input_391100!L:R,7,FALSE),VLOOKUP(tables_391100!C264,input_391100!A:H,8,FALSE))</f>
        <v>27550</v>
      </c>
      <c r="P264" s="46">
        <f t="shared" ca="1" si="14"/>
        <v>1.0555555555555555E-3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input_391100!A$2</f>
        <v>391100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IFERROR(VLOOKUP(B265,input_391100!L:R,7,FALSE),VLOOKUP(tables_391100!C265,input_391100!A:H,8,FALSE))</f>
        <v>1450</v>
      </c>
      <c r="P265" s="46">
        <f t="shared" ca="1" si="14"/>
        <v>5.5555555555555558E-5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input_391100!A$2</f>
        <v>391100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IFERROR(VLOOKUP(B266,input_391100!L:R,7,FALSE),VLOOKUP(tables_391100!C266,input_391100!A:H,8,FALSE))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input_391100!A$2</f>
        <v>391100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IFERROR(VLOOKUP(B267,input_391100!L:R,7,FALSE),VLOOKUP(tables_391100!C267,input_391100!A:H,8,FALSE))</f>
        <v>274275.96153999999</v>
      </c>
      <c r="P267" s="46">
        <f t="shared" ca="1" si="14"/>
        <v>1.0508657530268199E-2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input_391100!A$2</f>
        <v>391100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IFERROR(VLOOKUP(B268,input_391100!L:R,7,FALSE),VLOOKUP(tables_391100!C268,input_391100!A:H,8,FALSE))</f>
        <v>10724.03846</v>
      </c>
      <c r="P268" s="46">
        <f t="shared" ca="1" si="14"/>
        <v>4.1088269961685821E-4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input_391100!A$2</f>
        <v>391100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IFERROR(VLOOKUP(B269,input_391100!L:R,7,FALSE),VLOOKUP(tables_391100!C269,input_391100!A:H,8,FALSE))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input_391100!A$2</f>
        <v>391100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IFERROR(VLOOKUP(B270,input_391100!L:R,7,FALSE),VLOOKUP(tables_391100!C270,input_391100!A:H,8,FALSE))</f>
        <v>274275.96153999999</v>
      </c>
      <c r="P270" s="46">
        <f t="shared" ca="1" si="14"/>
        <v>1.0508657530268199E-2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input_391100!A$2</f>
        <v>391100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IFERROR(VLOOKUP(B271,input_391100!L:R,7,FALSE),VLOOKUP(tables_391100!C271,input_391100!A:H,8,FALSE))</f>
        <v>10724.03846</v>
      </c>
      <c r="P271" s="46">
        <f t="shared" ca="1" si="14"/>
        <v>4.1088269961685821E-4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input_391100!A$2</f>
        <v>391100</v>
      </c>
      <c r="B272" s="8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IFERROR(VLOOKUP(B272,input_391100!L:R,7,FALSE),VLOOKUP(tables_391100!C272,input_391100!A:H,8,FALSE))</f>
        <v>29000</v>
      </c>
      <c r="P272" s="46">
        <f t="shared" ca="1" si="14"/>
        <v>1.1111111111111111E-3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input_391100!A$2</f>
        <v>391100</v>
      </c>
      <c r="B273" s="8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IFERROR(VLOOKUP(B273,input_391100!L:R,7,FALSE),VLOOKUP(tables_391100!C273,input_391100!A:H,8,FALSE))</f>
        <v>29000</v>
      </c>
      <c r="P273" s="46">
        <f t="shared" ca="1" si="14"/>
        <v>1.1111111111111111E-3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input_391100!A$2</f>
        <v>391100</v>
      </c>
      <c r="B274" s="8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IFERROR(VLOOKUP(B274,input_391100!L:R,7,FALSE),VLOOKUP(tables_391100!C274,input_391100!A:H,8,FALSE))</f>
        <v>270750</v>
      </c>
      <c r="P274" s="46">
        <f t="shared" ca="1" si="14"/>
        <v>1.0373563218390804E-2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input_391100!A$2</f>
        <v>391100</v>
      </c>
      <c r="B275" s="8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IFERROR(VLOOKUP(B275,input_391100!L:R,7,FALSE),VLOOKUP(tables_391100!C275,input_391100!A:H,8,FALSE))</f>
        <v>14250</v>
      </c>
      <c r="P275" s="46">
        <f t="shared" ca="1" si="14"/>
        <v>5.4597701149425282E-4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input_391100!A$2</f>
        <v>391100</v>
      </c>
      <c r="B276" s="8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IFERROR(VLOOKUP(B276,input_391100!L:R,7,FALSE),VLOOKUP(tables_391100!C276,input_391100!A:H,8,FALSE))</f>
        <v>270750</v>
      </c>
      <c r="P276" s="46">
        <f t="shared" ca="1" si="14"/>
        <v>1.0373563218390804E-2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input_391100!A$2</f>
        <v>391100</v>
      </c>
      <c r="B277" s="8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IFERROR(VLOOKUP(B277,input_391100!L:R,7,FALSE),VLOOKUP(tables_391100!C277,input_391100!A:H,8,FALSE))</f>
        <v>14250</v>
      </c>
      <c r="P277" s="46">
        <f t="shared" ca="1" si="14"/>
        <v>5.4597701149425282E-4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input_391100!A$2</f>
        <v>391100</v>
      </c>
      <c r="B278" s="81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IFERROR(VLOOKUP(B278,input_391100!L:R,7,FALSE),VLOOKUP(tables_391100!C278,input_391100!A:H,8,FALSE))</f>
        <v>270750</v>
      </c>
      <c r="P278" s="46">
        <f t="shared" ca="1" si="14"/>
        <v>1.0373563218390804E-2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input_391100!A$2</f>
        <v>391100</v>
      </c>
      <c r="B279" s="81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IFERROR(VLOOKUP(B279,input_391100!L:R,7,FALSE),VLOOKUP(tables_391100!C279,input_391100!A:H,8,FALSE))</f>
        <v>14250</v>
      </c>
      <c r="P279" s="46">
        <f t="shared" ca="1" si="14"/>
        <v>5.4597701149425282E-4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input_391100!A$2</f>
        <v>391100</v>
      </c>
      <c r="B280" s="81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IFERROR(VLOOKUP(B280,input_391100!L:R,7,FALSE),VLOOKUP(tables_391100!C280,input_391100!A:H,8,FALSE))</f>
        <v>270750</v>
      </c>
      <c r="P280" s="46">
        <f t="shared" ca="1" si="14"/>
        <v>1.0373563218390804E-2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input_391100!A$2</f>
        <v>391100</v>
      </c>
      <c r="B281" s="81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IFERROR(VLOOKUP(B281,input_391100!L:R,7,FALSE),VLOOKUP(tables_391100!C281,input_391100!A:H,8,FALSE))</f>
        <v>14250</v>
      </c>
      <c r="P281" s="46">
        <f t="shared" ca="1" si="14"/>
        <v>5.4597701149425282E-4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input_391100!A$2</f>
        <v>391100</v>
      </c>
      <c r="B282" s="81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IFERROR(VLOOKUP(B282,input_391100!L:R,7,FALSE),VLOOKUP(tables_391100!C282,input_391100!A:H,8,FALSE))</f>
        <v>29000</v>
      </c>
      <c r="P282" s="46">
        <f t="shared" ca="1" si="14"/>
        <v>1.1111111111111111E-3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input_391100!A$2</f>
        <v>391100</v>
      </c>
      <c r="B283" s="81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IFERROR(VLOOKUP(B283,input_391100!L:R,7,FALSE),VLOOKUP(tables_391100!C283,input_391100!A:H,8,FALSE))</f>
        <v>29000</v>
      </c>
      <c r="P283" s="46">
        <f t="shared" ca="1" si="14"/>
        <v>1.1111111111111111E-3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input_391100!A$2</f>
        <v>391100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IFERROR(VLOOKUP(B284,input_391100!L:R,7,FALSE),VLOOKUP(tables_391100!C284,input_391100!A:H,8,FALSE))</f>
        <v>29000</v>
      </c>
      <c r="P284" s="46">
        <f t="shared" ca="1" si="14"/>
        <v>1.1111111111111111E-3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input_391100!A$2</f>
        <v>391100</v>
      </c>
      <c r="B285" s="91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IFERROR(VLOOKUP(B285,input_391100!L:R,7,FALSE),VLOOKUP(tables_391100!C285,input_391100!A:H,8,FALSE))</f>
        <v>29000</v>
      </c>
      <c r="P285" s="46">
        <f t="shared" ca="1" si="14"/>
        <v>1.1111111111111111E-3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input_391100!A$2</f>
        <v>391100</v>
      </c>
      <c r="B286" s="91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IFERROR(VLOOKUP(B286,input_391100!L:R,7,FALSE),VLOOKUP(tables_391100!C286,input_391100!A:H,8,FALSE))</f>
        <v>270750</v>
      </c>
      <c r="P286" s="46">
        <f t="shared" ca="1" si="14"/>
        <v>1.0373563218390804E-2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input_391100!A$2</f>
        <v>391100</v>
      </c>
      <c r="B287" s="91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IFERROR(VLOOKUP(B287,input_391100!L:R,7,FALSE),VLOOKUP(tables_391100!C287,input_391100!A:H,8,FALSE))</f>
        <v>14250</v>
      </c>
      <c r="P287" s="46">
        <f t="shared" ca="1" si="14"/>
        <v>5.4597701149425282E-4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input_391100!A$2</f>
        <v>391100</v>
      </c>
      <c r="B288" s="91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IFERROR(VLOOKUP(B288,input_391100!L:R,7,FALSE),VLOOKUP(tables_391100!C288,input_391100!A:H,8,FALSE))</f>
        <v>270750</v>
      </c>
      <c r="P288" s="46">
        <f t="shared" ca="1" si="14"/>
        <v>1.0373563218390804E-2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input_391100!A$2</f>
        <v>391100</v>
      </c>
      <c r="B289" s="91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IFERROR(VLOOKUP(B289,input_391100!L:R,7,FALSE),VLOOKUP(tables_391100!C289,input_391100!A:H,8,FALSE))</f>
        <v>14250</v>
      </c>
      <c r="P289" s="46">
        <f t="shared" ca="1" si="14"/>
        <v>5.4597701149425282E-4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input_391100!A$2</f>
        <v>391100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IFERROR(VLOOKUP(B290,input_391100!L:R,7,FALSE),VLOOKUP(tables_391100!C290,input_391100!A:H,8,FALSE))</f>
        <v>29000</v>
      </c>
      <c r="P290" s="46">
        <f t="shared" ca="1" si="14"/>
        <v>1.1111111111111111E-3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input_391100!A$2</f>
        <v>391100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IFERROR(VLOOKUP(B291,input_391100!L:R,7,FALSE),VLOOKUP(tables_391100!C291,input_391100!A:H,8,FALSE))</f>
        <v>270750</v>
      </c>
      <c r="P291" s="46">
        <f t="shared" ca="1" si="14"/>
        <v>1.0373563218390804E-2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input_391100!A$2</f>
        <v>391100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IFERROR(VLOOKUP(B292,input_391100!L:R,7,FALSE),VLOOKUP(tables_391100!C292,input_391100!A:H,8,FALSE))</f>
        <v>14250</v>
      </c>
      <c r="P292" s="46">
        <f t="shared" ca="1" si="14"/>
        <v>5.4597701149425282E-4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input_391100!A$2</f>
        <v>391100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IFERROR(VLOOKUP(B293,input_391100!L:R,7,FALSE),VLOOKUP(tables_391100!C293,input_391100!A:H,8,FALSE))</f>
        <v>29000</v>
      </c>
      <c r="P293" s="46">
        <f t="shared" ca="1" si="14"/>
        <v>1.1111111111111111E-3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input_391100!A$2</f>
        <v>391100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IFERROR(VLOOKUP(B294,input_391100!L:R,7,FALSE),VLOOKUP(tables_391100!C294,input_391100!A:H,8,FALSE))</f>
        <v>29000</v>
      </c>
      <c r="P294" s="46">
        <f t="shared" ca="1" si="14"/>
        <v>1.1111111111111111E-3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input_391100!A$2</f>
        <v>391100</v>
      </c>
      <c r="B295" s="5">
        <v>1012</v>
      </c>
      <c r="C295" s="7" t="str">
        <f t="shared" ref="C295:C299" si="23">D295&amp;J295&amp;E295&amp;F295&amp;G295</f>
        <v>PremiumSS5R5only</v>
      </c>
      <c r="D295" s="7" t="str">
        <f t="shared" ref="D295:D299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IFERROR(VLOOKUP(B295,input_391100!L:R,7,FALSE),VLOOKUP(tables_391100!C295,input_391100!A:H,8,FALSE))</f>
        <v>29000</v>
      </c>
      <c r="P295" s="46">
        <f t="shared" ref="P295:P299" ca="1" si="25">O295/SUM(O:O)</f>
        <v>1.1111111111111111E-3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input_391100!A$2</f>
        <v>391100</v>
      </c>
      <c r="B296" s="5">
        <v>1014</v>
      </c>
      <c r="C296" s="7" t="str">
        <f t="shared" si="23"/>
        <v>PremiumSS5R5only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IFERROR(VLOOKUP(B296,input_391100!L:R,7,FALSE),VLOOKUP(tables_391100!C296,input_391100!A:H,8,FALSE))</f>
        <v>29000</v>
      </c>
      <c r="P296" s="46">
        <f t="shared" ca="1" si="25"/>
        <v>1.1111111111111111E-3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input_391100!A$2</f>
        <v>391100</v>
      </c>
      <c r="B297" s="5">
        <v>1016</v>
      </c>
      <c r="C297" s="7" t="str">
        <f t="shared" si="23"/>
        <v>Premium4R3less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IFERROR(VLOOKUP(B297,input_391100!L:R,7,FALSE),VLOOKUP(tables_391100!C297,input_391100!A:H,8,FALSE))</f>
        <v>270750</v>
      </c>
      <c r="P297" s="46">
        <f t="shared" ca="1" si="25"/>
        <v>1.0373563218390804E-2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input_391100!A$2</f>
        <v>391100</v>
      </c>
      <c r="B298" s="5">
        <v>1017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IFERROR(VLOOKUP(B298,input_391100!L:R,7,FALSE),VLOOKUP(tables_391100!C298,input_391100!A:H,8,FALSE))</f>
        <v>14250</v>
      </c>
      <c r="P298" s="46">
        <f t="shared" ca="1" si="25"/>
        <v>5.4597701149425282E-4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input_391100!A$2</f>
        <v>391100</v>
      </c>
      <c r="B299" s="5">
        <v>1018</v>
      </c>
      <c r="C299" s="7" t="str">
        <f t="shared" si="23"/>
        <v>PremiumSS5R5only</v>
      </c>
      <c r="D299" s="7" t="str">
        <f t="shared" si="24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IFERROR(VLOOKUP(B299,input_391100!L:R,7,FALSE),VLOOKUP(tables_391100!C299,input_391100!A:H,8,FALSE))</f>
        <v>29000</v>
      </c>
      <c r="P299" s="46">
        <f t="shared" ca="1" si="25"/>
        <v>1.1111111111111111E-3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input_391100!A$2</f>
        <v>391100</v>
      </c>
      <c r="B300" s="5">
        <v>1026</v>
      </c>
      <c r="C300" s="7" t="str">
        <f t="shared" ref="C300:C304" si="26">D300&amp;J300&amp;E300&amp;F300&amp;G300</f>
        <v>Premium4R3less</v>
      </c>
      <c r="D300" s="7" t="str">
        <f t="shared" ref="D300:D304" si="27">IF(I300="PremiumSS",I300,IF(I300="PremiumSSS",I300,IF(I300="PremiumW",I300,"Premium")))</f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IFERROR(VLOOKUP(B300,input_391100!L:R,7,FALSE),VLOOKUP(tables_391100!C300,input_391100!A:H,8,FALSE))</f>
        <v>270750</v>
      </c>
      <c r="P300" s="46">
        <f t="shared" ref="P300:P304" ca="1" si="28">O300/SUM(O:O)</f>
        <v>1.0373563218390804E-2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input_391100!A$2</f>
        <v>391100</v>
      </c>
      <c r="B301" s="5">
        <v>1027</v>
      </c>
      <c r="C301" s="7" t="str">
        <f t="shared" si="26"/>
        <v>Premium5R3less</v>
      </c>
      <c r="D301" s="7" t="str">
        <f t="shared" si="27"/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IFERROR(VLOOKUP(B301,input_391100!L:R,7,FALSE),VLOOKUP(tables_391100!C301,input_391100!A:H,8,FALSE))</f>
        <v>14250</v>
      </c>
      <c r="P301" s="46">
        <f t="shared" ca="1" si="28"/>
        <v>5.4597701149425282E-4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input_391100!A$2</f>
        <v>391100</v>
      </c>
      <c r="B302" s="5">
        <v>1028</v>
      </c>
      <c r="C302" s="7" t="str">
        <f t="shared" si="26"/>
        <v>PremiumSS5R5only</v>
      </c>
      <c r="D302" s="7" t="str">
        <f t="shared" si="27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IFERROR(VLOOKUP(B302,input_391100!L:R,7,FALSE),VLOOKUP(tables_391100!C302,input_391100!A:H,8,FALSE))</f>
        <v>29000</v>
      </c>
      <c r="P302" s="46">
        <f t="shared" ca="1" si="28"/>
        <v>1.1111111111111111E-3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input_391100!A$2</f>
        <v>391100</v>
      </c>
      <c r="B303" s="5">
        <v>1031</v>
      </c>
      <c r="C303" s="7" t="str">
        <f t="shared" si="26"/>
        <v>PremiumSS5R5only</v>
      </c>
      <c r="D303" s="7" t="str">
        <f t="shared" si="27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IFERROR(VLOOKUP(B303,input_391100!L:R,7,FALSE),VLOOKUP(tables_391100!C303,input_391100!A:H,8,FALSE))</f>
        <v>29000</v>
      </c>
      <c r="P303" s="46">
        <f t="shared" ca="1" si="28"/>
        <v>1.1111111111111111E-3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input_391100!A$2</f>
        <v>391100</v>
      </c>
      <c r="B304" s="5">
        <v>1033</v>
      </c>
      <c r="C304" s="7" t="str">
        <f t="shared" si="26"/>
        <v>PremiumSS5R5only</v>
      </c>
      <c r="D304" s="7" t="str">
        <f t="shared" si="27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IFERROR(VLOOKUP(B304,input_391100!L:R,7,FALSE),VLOOKUP(tables_391100!C304,input_391100!A:H,8,FALSE))</f>
        <v>29000</v>
      </c>
      <c r="P304" s="46">
        <f t="shared" ca="1" si="28"/>
        <v>1.1111111111111111E-3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N22" sqref="N2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input_391100!A$2</f>
        <v>391100</v>
      </c>
      <c r="B2" s="5">
        <v>1026</v>
      </c>
      <c r="C2" s="7" t="str">
        <f t="shared" ref="C2:C6" si="0">D2&amp;J2&amp;E2&amp;F2&amp;G2</f>
        <v>Premium4R3less</v>
      </c>
      <c r="D2" s="7" t="str">
        <f t="shared" ref="D2:D6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蝉丸</v>
      </c>
      <c r="I2" s="7" t="str">
        <f>VLOOKUP(B2,[1]characters!$A:$J,10,FALSE)</f>
        <v>PremiumS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f>400-O3</f>
        <v>380</v>
      </c>
      <c r="P2" s="46">
        <f>O2/SUM(O:O)</f>
        <v>0.38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input_391100!A$2</f>
        <v>391100</v>
      </c>
      <c r="B3" s="5">
        <v>1027</v>
      </c>
      <c r="C3" s="7" t="str">
        <f t="shared" si="0"/>
        <v>Premium5R3less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弾丸多重奏 蝉丸</v>
      </c>
      <c r="I3" s="7" t="str">
        <f>VLOOKUP(B3,[1]characters!$A:$J,10,FALSE)</f>
        <v>PremiumS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f>400*0.05</f>
        <v>20</v>
      </c>
      <c r="P3" s="46">
        <f>O3/SUM(O:O)</f>
        <v>0.02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input_391100!A$2</f>
        <v>391100</v>
      </c>
      <c r="B4" s="5">
        <v>1028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IF(COUNTIF('R6追加前'!A:A,B4)=0,IF(I4="PremiumSS","R5only","R3less"),"")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牛若丸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v>100</v>
      </c>
      <c r="P4" s="46">
        <f>O4/SUM(O:O)</f>
        <v>0.1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input_391100!A$2</f>
        <v>391100</v>
      </c>
      <c r="B5" s="5">
        <v>1031</v>
      </c>
      <c r="C5" s="7" t="str">
        <f t="shared" si="0"/>
        <v>PremiumSS5R5only</v>
      </c>
      <c r="D5" s="7" t="str">
        <f t="shared" si="1"/>
        <v>PremiumSS</v>
      </c>
      <c r="E5" s="7" t="str">
        <f>IF(COUNTIF('R6追加前'!A:A,B5)=0,IF(I5="PremiumSS","R5only","R3less"),"")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紫式部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250</v>
      </c>
      <c r="P5" s="46">
        <f>O5/SUM(O:O)</f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input_391100!A$2</f>
        <v>391100</v>
      </c>
      <c r="B6" s="5">
        <v>1033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清少納言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heal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v>250</v>
      </c>
      <c r="P6" s="46">
        <f>O6/SUM(O:O)</f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input_391010</vt:lpstr>
      <vt:lpstr>input_391011</vt:lpstr>
      <vt:lpstr>tables_391010</vt:lpstr>
      <vt:lpstr>tables_391011</vt:lpstr>
      <vt:lpstr>input_391100</vt:lpstr>
      <vt:lpstr>tables_391100</vt:lpstr>
      <vt:lpstr>tables_settle_390100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2016-08-19T07:55:16Z</dcterms:modified>
</cp:coreProperties>
</file>