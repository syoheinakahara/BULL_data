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0" yWindow="460" windowWidth="27320" windowHeight="13840" tabRatio="740" activeTab="1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enemy_habitat_S!$B$1:$AA$4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8" l="1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2" i="11"/>
  <c r="J11" i="11"/>
  <c r="J10" i="11"/>
  <c r="J9" i="11"/>
  <c r="J8" i="11"/>
  <c r="J7" i="11"/>
  <c r="J6" i="11"/>
  <c r="J5" i="11"/>
  <c r="J4" i="11"/>
  <c r="J3" i="11"/>
  <c r="J2" i="11"/>
  <c r="J23" i="11"/>
  <c r="J22" i="11"/>
  <c r="J21" i="11"/>
  <c r="J20" i="11"/>
  <c r="J19" i="11"/>
  <c r="J18" i="11"/>
  <c r="J17" i="11"/>
  <c r="J16" i="11"/>
  <c r="J15" i="11"/>
  <c r="J14" i="11"/>
  <c r="J13" i="11"/>
  <c r="M12" i="10"/>
  <c r="T12" i="10"/>
  <c r="W12" i="10"/>
  <c r="V12" i="10"/>
  <c r="X12" i="10"/>
  <c r="U12" i="10"/>
  <c r="Y12" i="10"/>
  <c r="M21" i="10"/>
  <c r="N21" i="10"/>
  <c r="Q21" i="10"/>
  <c r="P21" i="10"/>
  <c r="R21" i="10"/>
  <c r="O21" i="10"/>
  <c r="S21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M20" i="10"/>
  <c r="M30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M28" i="10"/>
  <c r="N28" i="10"/>
  <c r="Q28" i="10"/>
  <c r="P28" i="10"/>
  <c r="R28" i="10"/>
  <c r="O28" i="10"/>
  <c r="S28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M19" i="10"/>
  <c r="M27" i="10"/>
  <c r="N27" i="10"/>
  <c r="Q27" i="10"/>
  <c r="P27" i="10"/>
  <c r="R27" i="10"/>
  <c r="O27" i="10"/>
  <c r="S27" i="10"/>
  <c r="N19" i="10"/>
  <c r="Q19" i="10"/>
  <c r="P19" i="10"/>
  <c r="R19" i="10"/>
  <c r="O19" i="10"/>
  <c r="S19" i="10"/>
  <c r="N9" i="10"/>
  <c r="Q9" i="10"/>
  <c r="P9" i="10"/>
  <c r="R9" i="10"/>
  <c r="O9" i="10"/>
  <c r="S9" i="10"/>
  <c r="G9" i="10"/>
  <c r="J9" i="10"/>
  <c r="I9" i="10"/>
  <c r="K9" i="10"/>
  <c r="H9" i="10"/>
  <c r="L9" i="10"/>
  <c r="M17" i="10"/>
  <c r="M33" i="10"/>
  <c r="N33" i="10"/>
  <c r="Q33" i="10"/>
  <c r="P33" i="10"/>
  <c r="R33" i="10"/>
  <c r="O33" i="10"/>
  <c r="S33" i="10"/>
  <c r="M25" i="10"/>
  <c r="N25" i="10"/>
  <c r="Q25" i="10"/>
  <c r="P25" i="10"/>
  <c r="R25" i="10"/>
  <c r="O25" i="10"/>
  <c r="S25" i="10"/>
  <c r="N17" i="10"/>
  <c r="Q17" i="10"/>
  <c r="P17" i="10"/>
  <c r="R17" i="10"/>
  <c r="O17" i="10"/>
  <c r="S17" i="10"/>
  <c r="M8" i="10"/>
  <c r="T8" i="10"/>
  <c r="W8" i="10"/>
  <c r="V8" i="10"/>
  <c r="X8" i="10"/>
  <c r="U8" i="10"/>
  <c r="Y8" i="10"/>
  <c r="M16" i="10"/>
  <c r="M32" i="10"/>
  <c r="N32" i="10"/>
  <c r="Q32" i="10"/>
  <c r="P32" i="10"/>
  <c r="R32" i="10"/>
  <c r="O32" i="10"/>
  <c r="S32" i="10"/>
  <c r="M24" i="10"/>
  <c r="N24" i="10"/>
  <c r="Q24" i="10"/>
  <c r="P24" i="10"/>
  <c r="R24" i="10"/>
  <c r="O24" i="10"/>
  <c r="S24" i="10"/>
  <c r="N16" i="10"/>
  <c r="Q16" i="10"/>
  <c r="P16" i="10"/>
  <c r="R16" i="10"/>
  <c r="O16" i="10"/>
  <c r="S16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M15" i="10"/>
  <c r="M23" i="10"/>
  <c r="N23" i="10"/>
  <c r="Q23" i="10"/>
  <c r="P23" i="10"/>
  <c r="R23" i="10"/>
  <c r="O23" i="10"/>
  <c r="S23" i="10"/>
  <c r="N15" i="10"/>
  <c r="Q15" i="10"/>
  <c r="P15" i="10"/>
  <c r="R15" i="10"/>
  <c r="O15" i="10"/>
  <c r="S15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M14" i="10"/>
  <c r="M22" i="10"/>
  <c r="M31" i="10"/>
  <c r="N31" i="10"/>
  <c r="Q31" i="10"/>
  <c r="P31" i="10"/>
  <c r="R31" i="10"/>
  <c r="O31" i="10"/>
  <c r="S31" i="10"/>
  <c r="N22" i="10"/>
  <c r="Q22" i="10"/>
  <c r="P22" i="10"/>
  <c r="R22" i="10"/>
  <c r="O22" i="10"/>
  <c r="S22" i="10"/>
  <c r="N14" i="10"/>
  <c r="Q14" i="10"/>
  <c r="P14" i="10"/>
  <c r="R14" i="10"/>
  <c r="O14" i="10"/>
  <c r="S14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M13" i="10"/>
  <c r="N13" i="10"/>
  <c r="Q13" i="10"/>
  <c r="P13" i="10"/>
  <c r="R13" i="10"/>
  <c r="O13" i="10"/>
  <c r="S13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T20" i="10"/>
  <c r="W20" i="10"/>
  <c r="V20" i="10"/>
  <c r="X20" i="10"/>
  <c r="U20" i="10"/>
  <c r="Y20" i="10"/>
  <c r="G20" i="10"/>
  <c r="J20" i="10"/>
  <c r="I20" i="10"/>
  <c r="K20" i="10"/>
  <c r="H20" i="10"/>
  <c r="L20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M34" i="10"/>
  <c r="N34" i="10"/>
  <c r="Q34" i="10"/>
  <c r="P34" i="10"/>
  <c r="R34" i="10"/>
  <c r="O34" i="10"/>
  <c r="S34" i="10"/>
  <c r="M26" i="10"/>
  <c r="N26" i="10"/>
  <c r="Q26" i="10"/>
  <c r="P26" i="10"/>
  <c r="R26" i="10"/>
  <c r="O26" i="10"/>
  <c r="S26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T15" i="10"/>
  <c r="W15" i="10"/>
  <c r="V15" i="10"/>
  <c r="X15" i="10"/>
  <c r="U15" i="10"/>
  <c r="Y15" i="10"/>
  <c r="G15" i="10"/>
  <c r="J15" i="10"/>
  <c r="I15" i="10"/>
  <c r="K15" i="10"/>
  <c r="H15" i="10"/>
  <c r="L15" i="10"/>
  <c r="T14" i="10"/>
  <c r="W14" i="10"/>
  <c r="V14" i="10"/>
  <c r="X14" i="10"/>
  <c r="U14" i="10"/>
  <c r="Y14" i="10"/>
  <c r="G14" i="10"/>
  <c r="J14" i="10"/>
  <c r="I14" i="10"/>
  <c r="K14" i="10"/>
  <c r="H14" i="10"/>
  <c r="L14" i="10"/>
  <c r="T13" i="10"/>
  <c r="W13" i="10"/>
  <c r="V13" i="10"/>
  <c r="X13" i="10"/>
  <c r="U13" i="10"/>
  <c r="Y13" i="10"/>
  <c r="G13" i="10"/>
  <c r="J13" i="10"/>
  <c r="I13" i="10"/>
  <c r="K13" i="10"/>
  <c r="H13" i="10"/>
  <c r="L13" i="10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O2" i="9"/>
  <c r="N2" i="9"/>
  <c r="M2" i="9"/>
  <c r="L2" i="9"/>
  <c r="K2" i="9"/>
  <c r="J2" i="9"/>
  <c r="I2" i="9"/>
  <c r="H2" i="9"/>
  <c r="E2" i="9"/>
  <c r="D2" i="9"/>
  <c r="A2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E13" i="9"/>
  <c r="D13" i="9"/>
  <c r="A13" i="9"/>
  <c r="AD7" i="1"/>
  <c r="AF7" i="1"/>
  <c r="AI7" i="1"/>
  <c r="AG7" i="1"/>
  <c r="AE7" i="1"/>
  <c r="E27" i="9"/>
  <c r="X7" i="1"/>
  <c r="V7" i="1"/>
  <c r="T7" i="1"/>
  <c r="Q7" i="1"/>
  <c r="P7" i="1"/>
  <c r="O7" i="1"/>
  <c r="N7" i="1"/>
  <c r="M7" i="1"/>
  <c r="H7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7" i="1"/>
  <c r="I7" i="1"/>
  <c r="D7" i="1"/>
  <c r="F7" i="1"/>
  <c r="E7" i="1"/>
  <c r="A7" i="1"/>
  <c r="AD6" i="1"/>
  <c r="AF6" i="1"/>
  <c r="AI6" i="1"/>
  <c r="AG6" i="1"/>
  <c r="AE6" i="1"/>
  <c r="E25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I5" i="1"/>
  <c r="AG5" i="1"/>
  <c r="AE5" i="1"/>
  <c r="Y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G4" i="1"/>
  <c r="AE4" i="1"/>
  <c r="Y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Y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E24" i="9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G11" i="1"/>
  <c r="AE11" i="1"/>
  <c r="Y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G10" i="1"/>
  <c r="AE10" i="1"/>
  <c r="Y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Y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T30" i="10"/>
  <c r="W30" i="10"/>
  <c r="V30" i="10"/>
  <c r="X30" i="10"/>
  <c r="U30" i="10"/>
  <c r="Y30" i="10"/>
  <c r="G30" i="10"/>
  <c r="J30" i="10"/>
  <c r="I30" i="10"/>
  <c r="K30" i="10"/>
  <c r="H30" i="10"/>
  <c r="L30" i="10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T26" i="10"/>
  <c r="W26" i="10"/>
  <c r="V26" i="10"/>
  <c r="X26" i="10"/>
  <c r="U26" i="10"/>
  <c r="Y26" i="10"/>
  <c r="G26" i="10"/>
  <c r="J26" i="10"/>
  <c r="I26" i="10"/>
  <c r="K26" i="10"/>
  <c r="H26" i="10"/>
  <c r="L26" i="10"/>
  <c r="G28" i="9"/>
  <c r="G29" i="9"/>
  <c r="G32" i="9"/>
  <c r="Y16" i="1"/>
  <c r="X16" i="1"/>
  <c r="E28" i="9"/>
  <c r="E29" i="9"/>
  <c r="E31" i="9"/>
  <c r="E32" i="9"/>
  <c r="E33" i="9"/>
  <c r="E34" i="9"/>
  <c r="Y17" i="1"/>
  <c r="X17" i="1"/>
  <c r="X18" i="1"/>
  <c r="X19" i="1"/>
  <c r="X14" i="1"/>
  <c r="Y15" i="1"/>
  <c r="X15" i="1"/>
  <c r="J34" i="11"/>
  <c r="O34" i="9"/>
  <c r="N34" i="9"/>
  <c r="M34" i="9"/>
  <c r="L34" i="9"/>
  <c r="K34" i="9"/>
  <c r="J34" i="9"/>
  <c r="I34" i="9"/>
  <c r="H34" i="9"/>
  <c r="G34" i="9"/>
  <c r="D34" i="9"/>
  <c r="A34" i="9"/>
  <c r="J33" i="11"/>
  <c r="O33" i="9"/>
  <c r="N33" i="9"/>
  <c r="M33" i="9"/>
  <c r="L33" i="9"/>
  <c r="K33" i="9"/>
  <c r="J33" i="9"/>
  <c r="I33" i="9"/>
  <c r="H33" i="9"/>
  <c r="G33" i="9"/>
  <c r="D33" i="9"/>
  <c r="A33" i="9"/>
  <c r="J32" i="11"/>
  <c r="O32" i="9"/>
  <c r="N32" i="9"/>
  <c r="M32" i="9"/>
  <c r="L32" i="9"/>
  <c r="K32" i="9"/>
  <c r="J32" i="9"/>
  <c r="I32" i="9"/>
  <c r="H32" i="9"/>
  <c r="D32" i="9"/>
  <c r="A32" i="9"/>
  <c r="J31" i="11"/>
  <c r="O31" i="9"/>
  <c r="N31" i="9"/>
  <c r="M31" i="9"/>
  <c r="L31" i="9"/>
  <c r="K31" i="9"/>
  <c r="J31" i="9"/>
  <c r="I31" i="9"/>
  <c r="H31" i="9"/>
  <c r="G31" i="9"/>
  <c r="D31" i="9"/>
  <c r="A31" i="9"/>
  <c r="J29" i="11"/>
  <c r="O29" i="9"/>
  <c r="N29" i="9"/>
  <c r="M29" i="9"/>
  <c r="L29" i="9"/>
  <c r="K29" i="9"/>
  <c r="J29" i="9"/>
  <c r="I29" i="9"/>
  <c r="H29" i="9"/>
  <c r="D29" i="9"/>
  <c r="A29" i="9"/>
  <c r="J28" i="11"/>
  <c r="O28" i="9"/>
  <c r="N28" i="9"/>
  <c r="M28" i="9"/>
  <c r="L28" i="9"/>
  <c r="K28" i="9"/>
  <c r="J28" i="9"/>
  <c r="I28" i="9"/>
  <c r="H28" i="9"/>
  <c r="D28" i="9"/>
  <c r="A28" i="9"/>
  <c r="J27" i="11"/>
  <c r="O27" i="9"/>
  <c r="N27" i="9"/>
  <c r="M27" i="9"/>
  <c r="L27" i="9"/>
  <c r="K27" i="9"/>
  <c r="J27" i="9"/>
  <c r="I27" i="9"/>
  <c r="H27" i="9"/>
  <c r="G27" i="9"/>
  <c r="D27" i="9"/>
  <c r="A27" i="9"/>
  <c r="T34" i="10"/>
  <c r="W34" i="10"/>
  <c r="V34" i="10"/>
  <c r="X34" i="10"/>
  <c r="U34" i="10"/>
  <c r="Y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J25" i="11"/>
  <c r="O25" i="9"/>
  <c r="N25" i="9"/>
  <c r="M25" i="9"/>
  <c r="L25" i="9"/>
  <c r="K25" i="9"/>
  <c r="J25" i="9"/>
  <c r="I25" i="9"/>
  <c r="H25" i="9"/>
  <c r="G25" i="9"/>
  <c r="D25" i="9"/>
  <c r="A25" i="9"/>
  <c r="AD18" i="1"/>
  <c r="AF18" i="1"/>
  <c r="AI18" i="1"/>
  <c r="AG18" i="1"/>
  <c r="AE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6" i="1"/>
  <c r="AF16" i="1"/>
  <c r="AG16" i="1"/>
  <c r="AE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G15" i="1"/>
  <c r="AE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9" i="1"/>
  <c r="AF19" i="1"/>
  <c r="AI19" i="1"/>
  <c r="AG19" i="1"/>
  <c r="AE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7" i="1"/>
  <c r="AI17" i="1"/>
  <c r="AG17" i="1"/>
  <c r="AE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4" i="1"/>
  <c r="AF14" i="1"/>
  <c r="AI14" i="1"/>
  <c r="AG14" i="1"/>
  <c r="AE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4" i="7"/>
  <c r="U4" i="7"/>
  <c r="C13" i="16"/>
  <c r="E13" i="16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C2" i="18"/>
  <c r="D2" i="18"/>
  <c r="J24" i="11"/>
  <c r="O24" i="9"/>
  <c r="N24" i="9"/>
  <c r="M24" i="9"/>
  <c r="L24" i="9"/>
  <c r="K24" i="9"/>
  <c r="J24" i="9"/>
  <c r="I24" i="9"/>
  <c r="H24" i="9"/>
  <c r="D24" i="9"/>
  <c r="C4" i="16"/>
  <c r="C5" i="16"/>
  <c r="C6" i="16"/>
  <c r="C7" i="16"/>
  <c r="C8" i="16"/>
  <c r="C9" i="16"/>
  <c r="C3" i="16"/>
  <c r="E9" i="16"/>
  <c r="R4" i="7"/>
  <c r="Q4" i="7"/>
  <c r="P4" i="7"/>
  <c r="O4" i="7"/>
  <c r="N4" i="7"/>
  <c r="T24" i="10"/>
  <c r="V24" i="10"/>
  <c r="G24" i="10"/>
  <c r="I24" i="10"/>
  <c r="X24" i="10"/>
  <c r="W24" i="10"/>
  <c r="U24" i="10"/>
  <c r="Y24" i="10"/>
  <c r="K24" i="10"/>
  <c r="J24" i="10"/>
  <c r="H24" i="10"/>
  <c r="L24" i="10"/>
  <c r="H4" i="7"/>
  <c r="J4" i="7"/>
  <c r="E8" i="16"/>
  <c r="E7" i="16"/>
  <c r="E6" i="16"/>
  <c r="E5" i="16"/>
  <c r="E4" i="16"/>
  <c r="E3" i="16"/>
  <c r="E2" i="16"/>
  <c r="A24" i="9"/>
  <c r="A4" i="7"/>
  <c r="I4" i="7"/>
  <c r="D4" i="7"/>
  <c r="F4" i="7"/>
  <c r="E4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<sst xmlns="http://schemas.openxmlformats.org/spreadsheetml/2006/main" count="1080" uniqueCount="305">
  <si>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</si>
  <si>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</si>
  <si>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</si>
  <si>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</si>
  <si>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</si>
  <si>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</si>
  <si>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</si>
  <si>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</si>
  <si>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</si>
  <si>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</si>
  <si>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</si>
  <si>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</si>
  <si>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</si>
  <si>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</si>
  <si>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</si>
  <si>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</si>
  <si>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</si>
  <si>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</si>
  <si>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</si>
  <si>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</si>
  <si>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</si>
  <si>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</si>
  <si>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</si>
  <si>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</si>
  <si>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</si>
  <si>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</si>
  <si>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</si>
  <si>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</si>
  <si>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</si>
  <si>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</si>
  <si>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</si>
  <si>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</si>
  <si>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</si>
  <si>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</si>
  <si>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</si>
  <si>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</si>
  <si>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</si>
  <si>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</si>
  <si>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</si>
  <si>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</si>
  <si>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</si>
  <si>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</si>
  <si>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</si>
  <si>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</si>
  <si>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</si>
  <si>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</si>
  <si>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</si>
  <si>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</si>
  <si>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</si>
  <si>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</si>
  <si>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</si>
  <si>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</si>
  <si>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</si>
  <si>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</si>
  <si>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</si>
  <si>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</si>
  <si>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</si>
  <si>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</si>
  <si>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</si>
  <si>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</si>
  <si>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</si>
  <si>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</si>
  <si>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</si>
  <si>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</si>
  <si>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</si>
  <si>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</si>
  <si>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</si>
  <si>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</si>
  <si>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</si>
  <si>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</si>
  <si>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</si>
  <si>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</si>
  <si>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</si>
  <si>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</si>
  <si>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</si>
  <si>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</si>
  <si>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</si>
  <si>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</si>
  <si>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</si>
  <si>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</si>
  <si>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</si>
  <si>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</si>
  <si>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</si>
  <si>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</si>
  <si>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</si>
  <si>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</si>
  <si>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</si>
  <si>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</si>
  <si>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</si>
  <si>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</si>
  <si>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</si>
  <si>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</si>
  <si>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</si>
  <si>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</si>
  <si>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</si>
  <si>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</si>
  <si>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</si>
  <si>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</si>
  <si>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</si>
  <si>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</si>
  <si>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</si>
  <si>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</si>
  <si>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</si>
  <si>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</si>
  <si>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</si>
  <si>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</si>
  <si>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</si>
  <si>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</si>
  <si>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</si>
  <si>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</si>
  <si>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</si>
  <si>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</si>
  <si>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</si>
  <si>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</si>
  <si>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</si>
  <si>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</si>
  <si>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</si>
  <si>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</si>
  <si>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</si>
  <si>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</si>
  <si>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</si>
  <si>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</si>
  <si>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</si>
  <si>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</si>
  <si>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</si>
  <si>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</si>
  <si>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</si>
  <si>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</si>
  <si>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</si>
  <si>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</si>
  <si>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</si>
  <si>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</si>
  <si>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</si>
  <si>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</si>
  <si>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</si>
  <si>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</si>
  <si>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</si>
  <si>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</si>
  <si>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</si>
  <si>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</si>
  <si>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</si>
  <si>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</si>
  <si>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</si>
  <si>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</si>
  <si>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</si>
  <si>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</si>
  <si>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</si>
  <si>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</si>
  <si>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</si>
  <si>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</si>
  <si>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</si>
  <si>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</si>
  <si>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</si>
  <si>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</si>
  <si>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</si>
  <si>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</si>
  <si>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</si>
  <si>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</si>
  <si>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</si>
  <si>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</si>
  <si>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</si>
  <si>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</si>
  <si>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</si>
  <si>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</si>
  <si>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</si>
  <si>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</si>
  <si>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</si>
  <si>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</si>
  <si>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</si>
  <si>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</si>
  <si>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</si>
  <si>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</si>
  <si>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</si>
  <si>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</si>
  <si>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</si>
  <si>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</si>
  <si>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</si>
  <si>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</si>
  <si>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</si>
  <si>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</si>
  <si>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</si>
  <si>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</si>
  <si>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</si>
  <si>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</si>
  <si>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</si>
  <si>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</si>
  <si>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</si>
  <si>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</si>
  <si>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</si>
  <si>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</si>
  <si>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</si>
  <si>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</si>
  <si>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</si>
  <si>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</si>
  <si>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</si>
  <si>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</si>
  <si>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</si>
  <si>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</si>
  <si>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</si>
  <si>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</si>
  <si>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</si>
  <si>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</si>
  <si>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</si>
  <si>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</si>
  <si>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</si>
  <si>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</si>
  <si>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</si>
  <si>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</si>
  <si>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</si>
  <si>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</si>
  <si>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</si>
  <si>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</si>
  <si>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</si>
  <si>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</si>
  <si>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</si>
  <si>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</si>
  <si>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</si>
  <si>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</si>
  <si>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</si>
  <si>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</si>
  <si>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</si>
  <si>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</si>
  <si>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</si>
  <si>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</si>
  <si>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</si>
  <si>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</si>
  <si>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</si>
  <si>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</si>
  <si>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</si>
  <si>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</si>
  <si>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</si>
  <si>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</si>
  <si>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</si>
  <si>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</si>
  <si>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</si>
  <si>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</si>
  <si>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</si>
  <si>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</si>
  <si>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</si>
  <si>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</si>
  <si>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</si>
  <si>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</si>
  <si>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</si>
  <si>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</si>
  <si>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</si>
  <si>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</si>
  <si>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</si>
  <si>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</si>
  <si>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</si>
  <si>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</si>
  <si>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</si>
  <si>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</si>
  <si>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old</t>
  </si>
  <si>
    <t>[effect:critical, val:1.5]</t>
    <phoneticPr fontId="5"/>
  </si>
  <si>
    <t>[effect:dis_heart, turn:2, animation:enemy_dis_heart]</t>
    <phoneticPr fontId="5"/>
  </si>
  <si>
    <t>ハートブレイカー</t>
    <phoneticPr fontId="5"/>
  </si>
  <si>
    <t>2ターンハートパネル無効</t>
    <phoneticPr fontId="5"/>
  </si>
  <si>
    <t>威武を示す咆哮</t>
    <phoneticPr fontId="5"/>
  </si>
  <si>
    <t>そろそろ終わりにしてやろう</t>
    <phoneticPr fontId="5"/>
  </si>
  <si>
    <t>魂の裁定</t>
    <phoneticPr fontId="5"/>
  </si>
  <si>
    <t>永滅なる断罪</t>
    <phoneticPr fontId="5"/>
  </si>
  <si>
    <t>永滅なる断罪</t>
    <phoneticPr fontId="5"/>
  </si>
  <si>
    <t>ガウグアガーウ(私はあなたを排除する)</t>
  </si>
  <si>
    <t>ググアーガグア(すぐに立ち去るがいい)</t>
    <phoneticPr fontId="5"/>
  </si>
  <si>
    <t>永滅なる断罪</t>
    <phoneticPr fontId="5"/>
  </si>
  <si>
    <t>ガグーガグア……(やむを得ませんね……)</t>
    <phoneticPr fontId="5"/>
  </si>
  <si>
    <t>ガグーガグガ……(やむを得ませんね……)</t>
    <phoneticPr fontId="5"/>
  </si>
  <si>
    <t>ハートパネル吸収攻撃</t>
    <phoneticPr fontId="5"/>
  </si>
  <si>
    <t>クリティカル！</t>
    <phoneticPr fontId="5"/>
  </si>
  <si>
    <t>3ターン防御力UP+お邪魔パネルを3個生成</t>
    <phoneticPr fontId="5"/>
  </si>
  <si>
    <t>お邪魔パネルを3個生成</t>
    <phoneticPr fontId="5"/>
  </si>
  <si>
    <t>ハートパネルを5個生成</t>
    <phoneticPr fontId="5"/>
  </si>
  <si>
    <t>ハートパネル吸収攻撃+お邪魔パネルを1個生成</t>
    <phoneticPr fontId="5"/>
  </si>
  <si>
    <t>ハートパネル吸収攻撃+お邪魔パネルを2個生成</t>
    <phoneticPr fontId="5"/>
  </si>
  <si>
    <t>ハートパネル吸収攻撃+お邪魔パネルを3個生成</t>
    <phoneticPr fontId="5"/>
  </si>
  <si>
    <t>行く手を阻む炯眼</t>
    <phoneticPr fontId="5"/>
  </si>
  <si>
    <t>old</t>
    <phoneticPr fontId="5"/>
  </si>
  <si>
    <t>old</t>
    <phoneticPr fontId="5"/>
  </si>
  <si>
    <t>old</t>
    <phoneticPr fontId="5"/>
  </si>
  <si>
    <t>old</t>
    <phoneticPr fontId="7"/>
  </si>
  <si>
    <t>ハートパネル吸収攻撃+お邪魔パネルを1個生成</t>
    <phoneticPr fontId="5"/>
  </si>
  <si>
    <t>link</t>
  </si>
  <si>
    <t>unit</t>
  </si>
  <si>
    <t>ローレンスはHPが一定以下になると
クリティカル攻撃を行ってきます
HPに余裕を持って攻略しましょう</t>
    <phoneticPr fontId="5"/>
  </si>
  <si>
    <t>アメミットの1ゲージ目は一定のターンが
経過すると2ゲージ目に移行します
2ゲージ目に備えて準備しましょう</t>
    <phoneticPr fontId="5"/>
  </si>
  <si>
    <t>アメミットの2ゲージ目はハートパネルの
生成と吸収攻撃を交互に繰り返します
ハートパネルを消すタイミングに注意
しましょう</t>
    <phoneticPr fontId="5"/>
  </si>
  <si>
    <t>ローレンスはHPが一定以下になると
クリティカル攻撃を行ってきます
HPに余裕を持って攻略しましょう</t>
    <phoneticPr fontId="5"/>
  </si>
  <si>
    <t xml:space="preserve">[effect:break_attack_fix, val:180, lowest_val:1800, count:10, color:blue, block:block_heart, target:unit_one],[effect:fix_speed, target:myself, turn:2] </t>
    <phoneticPr fontId="5"/>
  </si>
  <si>
    <t xml:space="preserve">[effect:break_attack_fix, val:200, lowest_val:2000, count:10, color:blue, block:block_heart, target:unit_one],[effect:fix_speed, target:myself, turn:2] </t>
    <phoneticPr fontId="5"/>
  </si>
  <si>
    <t xml:space="preserve">[effect:break_attack_fix, val:160, lowest_val:1600, count:10, color:blue, block:block_heart, target:unit_one],[effect:fix_speed, target:myself, turn:2] </t>
    <phoneticPr fontId="5"/>
  </si>
  <si>
    <t xml:space="preserve">[effect:enhance_enemy, target:myself, turn:3, status:defense, val:600, calc:add, animation:enemy_enhance_defense],[effect:force_change_block, new_block:jammer, target:block_all, ignore01:crash, ignore02:crack_bomb, count:3, val:0, animation:change_block],[effect:fix_speed, target:myself, turn:1] </t>
  </si>
  <si>
    <t xml:space="preserve">[effect:force_change_block, new_block:jammer, target:block_all, ignore01:crash, ignore02:crack_bomb, count:3, val:0, animation:change_block] </t>
  </si>
  <si>
    <t xml:space="preserve">[effect:force_change_block, new_block:jammer, target:block_all, ignore01:crash, ignore02:crack_bomb, count:3, val:0, animation:change_block],[effect:suicide, val:1, dead_type:escape, target:myself]    </t>
  </si>
  <si>
    <t>[effect:force_change_block, new_block:block_heart, target:block_all, ignore01:jammer, ignore02:crack_bomb, count:5, val:0, animation:change_block],[effect:fix_speed, target:myself, turn:1]</t>
  </si>
  <si>
    <t>[effect:break_attack_fix, val:100, lowest_val:800, count:-1, color:blue, block:block_heart, target:unit_all],[effect:force_change_block, new_block:jammer, target:block_all, ignore01:crash, ignore02:crack_bomb, count:1, val:0, animation:change_block],[effect:fix_speed, target:myself, turn:1]</t>
  </si>
  <si>
    <t>[effect:break_attack_fix, val:100, lowest_val:800, count:-1, color:blue, block:block_heart, target:unit_all],[effect:force_change_block, new_block:jammer, target:block_all, ignore01:crash, ignore02:crack_bomb, count:2, val:0, animation:change_block],[effect:fix_speed, target:myself, turn:2]</t>
  </si>
  <si>
    <t>[effect:break_attack_fix, val:100, lowest_val:1000, count:-1, color:blue, block:block_heart, target:unit_all],[effect:force_change_block, new_block:jammer, target:block_all, ignore01:crash, ignore02:crack_bomb, count:3, val:0, animation:change_block],[effect:fix_speed, target:myself, turn:3]</t>
  </si>
  <si>
    <t xml:space="preserve">[effect:enhance_enemy, target:myself, turn:3, status:defense, val:800, calc:add, animation:enemy_enhance_defense],[effect:force_change_block, new_block:jammer, target:block_all, ignore01:crash, ignore02:crack_bomb, count:3, val:0, animation:change_block],[effect:fix_speed, target:myself, turn:1] </t>
  </si>
  <si>
    <t>[effect:break_attack_fix, val:100, lowest_val:900, count:-1, color:blue, block:block_heart, target:unit_all],[effect:force_change_block, new_block:jammer, target:block_all, ignore01:crash, ignore02:crack_bomb, count:1, val:0, animation:change_block],[effect:fix_speed, target:myself, turn:1]</t>
  </si>
  <si>
    <t>[effect:break_attack_fix, val:100, lowest_val:900, count:-1, color:blue, block:block_heart, target:unit_all],[effect:force_change_block, new_block:jammer, target:block_all, ignore01:crash, ignore02:crack_bomb, count:2, val:0, animation:change_block],[effect:fix_speed, target:myself, turn:2]</t>
  </si>
  <si>
    <t>[effect:break_attack_fix, val:100, lowest_val:1100, count:-1, color:blue, block:block_heart, target:unit_all],[effect:force_change_block, new_block:jammer, target:block_all, ignore01:crash, ignore02:crack_bomb, count:3, val:0, animation:change_block],[effect:fix_speed, target:myself, turn:3]</t>
  </si>
  <si>
    <t xml:space="preserve">[effect:enhance_enemy, target:myself, turn:3, status:defense, val:1000, calc:add, animation:enemy_enhance_defense],[effect:force_change_block, new_block:jammer, target:block_all, ignore01:crash, ignore02:crack_bomb, count:3, val:0, animation:change_block],[effect:fix_speed, target:myself, turn:1] </t>
  </si>
  <si>
    <t>[effect:break_attack_fix, val:100, lowest_val:1000, count:-1, color:blue, block:block_heart, target:unit_all],[effect:force_change_block, new_block:jammer, target:block_all, ignore01:crash, ignore02:crack_bomb, count:1, val:0, animation:change_block],[effect:fix_speed, target:myself, turn:1]</t>
  </si>
  <si>
    <t>[effect:break_attack_fix, val:100, lowest_val:1000, count:-1, color:blue, block:block_heart, target:unit_all],[effect:force_change_block, new_block:jammer, target:block_all, ignore01:crash, ignore02:crack_bomb, count:2, val:0, animation:change_block],[effect:fix_speed, target:myself, turn:2]</t>
  </si>
  <si>
    <t>[effect:break_attack_fix, val:100, lowest_val:1200, count:-1, color:blue, block:block_heart, target:unit_all],[effect:force_change_block, new_block:jammer, target:block_all, ignore01:crash, ignore02:crack_bomb, count:3, val:0, animation:change_block],[effect:fix_speed, target:myself, turn:3]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</si>
</sst>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1" fillId="0" borderId="7" xfId="0" applyFont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  <xf numFmtId="0" fontId="6" fillId="32" borderId="1" xfId="0" applyFont="1" applyFill="1" applyBorder="1" applyAlignment="1">
      <alignment vertical="center"/>
    </xf>
    <xf numFmtId="0" fontId="0" fillId="0" borderId="7" xfId="0" applyFill="1" applyBorder="1"/>
    <xf numFmtId="177" fontId="8" fillId="13" borderId="4" xfId="0" applyNumberFormat="1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252</v>
      </c>
      <c r="B2" s="57" t="s">
        <v>107</v>
      </c>
      <c r="C2" s="62">
        <v>20018</v>
      </c>
      <c r="D2" s="57" t="s">
        <v>108</v>
      </c>
      <c r="E2" s="56" t="str">
        <f>B2&amp;C2&amp;D2</f>
        <v>floors_20018.tmp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252</v>
      </c>
      <c r="B3" s="57" t="s">
        <v>110</v>
      </c>
      <c r="C3" s="62">
        <f>C$2</f>
        <v>20018</v>
      </c>
      <c r="D3" s="57" t="s">
        <v>108</v>
      </c>
      <c r="E3" s="56" t="str">
        <f>B3&amp;C3&amp;D3</f>
        <v>enemy_habitats_20018.tmp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252</v>
      </c>
      <c r="B4" s="57" t="s">
        <v>112</v>
      </c>
      <c r="C4" s="62">
        <f t="shared" ref="C4:C13" si="0">C$2</f>
        <v>20018</v>
      </c>
      <c r="D4" s="57" t="s">
        <v>108</v>
      </c>
      <c r="E4" s="56" t="str">
        <f>B4&amp;C4&amp;D4</f>
        <v>enemy_habitat_S_20018.tmp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252</v>
      </c>
      <c r="B5" s="57" t="s">
        <v>114</v>
      </c>
      <c r="C5" s="62">
        <f t="shared" si="0"/>
        <v>20018</v>
      </c>
      <c r="D5" s="57" t="s">
        <v>108</v>
      </c>
      <c r="E5" s="56" t="str">
        <f>B5&amp;C5&amp;D5</f>
        <v>enemy_skill_sets_20018.tmp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252</v>
      </c>
      <c r="B6" s="57" t="s">
        <v>116</v>
      </c>
      <c r="C6" s="62">
        <f t="shared" si="0"/>
        <v>20018</v>
      </c>
      <c r="D6" s="57" t="s">
        <v>117</v>
      </c>
      <c r="E6" s="56" t="str">
        <f t="shared" ref="E6:E10" si="1">B6&amp;C6&amp;D6</f>
        <v>enemy_skills_tmp_20018.tmp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252</v>
      </c>
      <c r="B7" s="57" t="s">
        <v>118</v>
      </c>
      <c r="C7" s="62">
        <f t="shared" si="0"/>
        <v>20018</v>
      </c>
      <c r="D7" s="57" t="s">
        <v>108</v>
      </c>
      <c r="E7" s="56" t="str">
        <f>B7&amp;C7&amp;D7</f>
        <v>enemy_skills_i18n_20018.tmp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252</v>
      </c>
      <c r="B8" s="57" t="s">
        <v>120</v>
      </c>
      <c r="C8" s="62">
        <f t="shared" si="0"/>
        <v>20018</v>
      </c>
      <c r="D8" s="57" t="s">
        <v>121</v>
      </c>
      <c r="E8" s="56" t="str">
        <f t="shared" si="1"/>
        <v>enemy_skill_triggers_20018.tmp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276</v>
      </c>
      <c r="B9" s="67" t="s">
        <v>178</v>
      </c>
      <c r="C9" s="62">
        <f t="shared" si="0"/>
        <v>20018</v>
      </c>
      <c r="D9" s="67" t="s">
        <v>172</v>
      </c>
      <c r="E9" s="68" t="str">
        <f t="shared" si="1"/>
        <v>stage_bug_bonuses_20018.tmp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277</v>
      </c>
      <c r="B10" s="67" t="s">
        <v>202</v>
      </c>
      <c r="C10" s="62">
        <f>C$2</f>
        <v>20018</v>
      </c>
      <c r="D10" s="67" t="s">
        <v>181</v>
      </c>
      <c r="E10" s="68" t="str">
        <f t="shared" si="1"/>
        <v>stage_hints_data_c_20018.tmp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278</v>
      </c>
      <c r="B11" s="67" t="s">
        <v>203</v>
      </c>
      <c r="C11" s="62">
        <f t="shared" si="0"/>
        <v>20018</v>
      </c>
      <c r="D11" s="67" t="s">
        <v>172</v>
      </c>
      <c r="E11" s="68" t="str">
        <f t="shared" ref="E11:E13" si="2">B11&amp;C11&amp;D11</f>
        <v>stage_hints_data_f_20018.tmp</v>
      </c>
      <c r="F11" s="67" t="s">
        <v>212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7" t="s">
        <v>279</v>
      </c>
      <c r="B12" s="67" t="s">
        <v>204</v>
      </c>
      <c r="C12" s="62">
        <f t="shared" si="0"/>
        <v>20018</v>
      </c>
      <c r="D12" s="67" t="s">
        <v>172</v>
      </c>
      <c r="E12" s="68" t="str">
        <f t="shared" si="2"/>
        <v>stage_hints_i18n_20018.tmp</v>
      </c>
      <c r="F12" s="67" t="s">
        <v>213</v>
      </c>
      <c r="G12" s="74" t="s">
        <v>205</v>
      </c>
      <c r="H12" s="95" t="s">
        <v>206</v>
      </c>
      <c r="I12" s="73" t="s">
        <v>207</v>
      </c>
      <c r="J12" s="100" t="s">
        <v>208</v>
      </c>
      <c r="K12" s="66" t="s">
        <v>209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7" t="s">
        <v>249</v>
      </c>
      <c r="B13" s="67" t="s">
        <v>248</v>
      </c>
      <c r="C13" s="62">
        <f t="shared" si="0"/>
        <v>20018</v>
      </c>
      <c r="D13" s="67" t="s">
        <v>229</v>
      </c>
      <c r="E13" s="68" t="str">
        <f t="shared" si="2"/>
        <v>stage_bonuses_20018.tmp</v>
      </c>
      <c r="F13" s="67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tabSelected="1" workbookViewId="0">
      <pane ySplit="1" topLeftCell="A2" activePane="bottomLeft" state="frozen"/>
      <selection activeCell="V2" sqref="V2:X34"/>
      <selection pane="bottomLeft" activeCell="Q14" sqref="Q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20018_1-1</v>
      </c>
      <c r="B2" s="16" t="str">
        <f>IF(COUNTIF(enemy_habitats!$H:$H,A2),"OK","NG")</f>
        <v>OK</v>
      </c>
      <c r="C2" s="7">
        <v>20018</v>
      </c>
      <c r="D2" s="11" t="str">
        <f ca="1">VLOOKUP($C2,OFFSET([2]quests!$A$1,0,0,COUNTA([2]quests!$A:$A),MATCH(D$1,[2]quests!$1:$1,0)-MATCH($C$1,[2]quests!$1:$1,0)+1),MATCH(D$1,[2]quests!$1:$1,0)-MATCH($C$1,[2]quests!$1:$1,0)+1,FALSE)</f>
        <v>魂を屠る黒影</v>
      </c>
      <c r="E2" s="18" t="str">
        <f ca="1">VLOOKUP($C2,OFFSET([2]quests!$A$1,0,0,COUNTA([2]quests!$A:$A),MATCH(E$1,[2]quests!$1:$1,0)-MATCH($C$1,[2]quests!$1:$1,0)+1),MATCH(E$1,[2]quests!$1:$1,0)-MATCH($C$1,[2]quests!$1:$1,0)+1,FALSE)</f>
        <v>エジプト01</v>
      </c>
      <c r="F2" s="21">
        <v>1</v>
      </c>
      <c r="G2" s="23" t="str">
        <f>C2&amp;"_"&amp;F2</f>
        <v>20018_1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【初級】魂を屠る黒影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20018_1-2</v>
      </c>
      <c r="B3" s="16" t="str">
        <f>IF(COUNTIF(enemy_habitats!$H:$H,A3),"OK","NG")</f>
        <v>OK</v>
      </c>
      <c r="C3" s="7">
        <v>20018</v>
      </c>
      <c r="D3" s="11" t="str">
        <f ca="1">VLOOKUP($C3,OFFSET([2]quests!$A$1,0,0,COUNTA([2]quests!$A:$A),MATCH(D$1,[2]quests!$1:$1,0)-MATCH($C$1,[2]quests!$1:$1,0)+1),MATCH(D$1,[2]quests!$1:$1,0)-MATCH($C$1,[2]quests!$1:$1,0)+1,FALSE)</f>
        <v>魂を屠る黒影</v>
      </c>
      <c r="E3" s="18" t="str">
        <f ca="1">VLOOKUP($C3,OFFSET([2]quests!$A$1,0,0,COUNTA([2]quests!$A:$A),MATCH(E$1,[2]quests!$1:$1,0)-MATCH($C$1,[2]quests!$1:$1,0)+1),MATCH(E$1,[2]quests!$1:$1,0)-MATCH($C$1,[2]quests!$1:$1,0)+1,FALSE)</f>
        <v>エジプト01</v>
      </c>
      <c r="F3" s="21">
        <v>1</v>
      </c>
      <c r="G3" s="23" t="str">
        <f>C3&amp;"_"&amp;F3</f>
        <v>20018_1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【初級】魂を屠る黒影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5" si="0">G4&amp;"-"&amp;I4</f>
        <v>20018_1-3</v>
      </c>
      <c r="B4" s="16" t="str">
        <f>IF(COUNTIF(enemy_habitats!$H:$H,A4),"OK","NG")</f>
        <v>OK</v>
      </c>
      <c r="C4" s="7">
        <v>20018</v>
      </c>
      <c r="D4" s="11" t="str">
        <f ca="1">VLOOKUP($C4,OFFSET([2]quests!$A$1,0,0,COUNTA([2]quests!$A:$A),MATCH(D$1,[2]quests!$1:$1,0)-MATCH($C$1,[2]quests!$1:$1,0)+1),MATCH(D$1,[2]quests!$1:$1,0)-MATCH($C$1,[2]quests!$1:$1,0)+1,FALSE)</f>
        <v>魂を屠る黒影</v>
      </c>
      <c r="E4" s="18" t="str">
        <f ca="1">VLOOKUP($C4,OFFSET([2]quests!$A$1,0,0,COUNTA([2]quests!$A:$A),MATCH(E$1,[2]quests!$1:$1,0)-MATCH($C$1,[2]quests!$1:$1,0)+1),MATCH(E$1,[2]quests!$1:$1,0)-MATCH($C$1,[2]quests!$1:$1,0)+1,FALSE)</f>
        <v>エジプト01</v>
      </c>
      <c r="F4" s="21">
        <v>1</v>
      </c>
      <c r="G4" s="23" t="str">
        <f t="shared" ref="G4:G5" si="1">C4&amp;"_"&amp;F4</f>
        <v>20018_1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【初級】魂を屠る黒影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20018_1-4</v>
      </c>
      <c r="B5" s="16" t="str">
        <f>IF(COUNTIF(enemy_habitats!$H:$H,A5),"OK","NG")</f>
        <v>OK</v>
      </c>
      <c r="C5" s="7">
        <v>20018</v>
      </c>
      <c r="D5" s="11" t="str">
        <f ca="1">VLOOKUP($C5,OFFSET([2]quests!$A$1,0,0,COUNTA([2]quests!$A:$A),MATCH(D$1,[2]quests!$1:$1,0)-MATCH($C$1,[2]quests!$1:$1,0)+1),MATCH(D$1,[2]quests!$1:$1,0)-MATCH($C$1,[2]quests!$1:$1,0)+1,FALSE)</f>
        <v>魂を屠る黒影</v>
      </c>
      <c r="E5" s="18" t="str">
        <f ca="1">VLOOKUP($C5,OFFSET([2]quests!$A$1,0,0,COUNTA([2]quests!$A:$A),MATCH(E$1,[2]quests!$1:$1,0)-MATCH($C$1,[2]quests!$1:$1,0)+1),MATCH(E$1,[2]quests!$1:$1,0)-MATCH($C$1,[2]quests!$1:$1,0)+1,FALSE)</f>
        <v>エジプト01</v>
      </c>
      <c r="F5" s="21">
        <v>1</v>
      </c>
      <c r="G5" s="23" t="str">
        <f t="shared" si="1"/>
        <v>20018_1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【初級】魂を屠る黒影</v>
      </c>
      <c r="I5" s="21">
        <v>4</v>
      </c>
      <c r="J5" s="12">
        <v>40</v>
      </c>
      <c r="K5" s="12">
        <v>40</v>
      </c>
    </row>
    <row r="6" spans="1:11" ht="21" customHeight="1" x14ac:dyDescent="0.15">
      <c r="A6" s="16" t="str">
        <f>G6&amp;"-"&amp;I6</f>
        <v>20018_2-1</v>
      </c>
      <c r="B6" s="16" t="str">
        <f>IF(COUNTIF(enemy_habitats!$H:$H,A6),"OK","NG")</f>
        <v>OK</v>
      </c>
      <c r="C6" s="7">
        <v>20018</v>
      </c>
      <c r="D6" s="11" t="str">
        <f ca="1">VLOOKUP($C6,OFFSET([2]quests!$A$1,0,0,COUNTA([2]quests!$A:$A),MATCH(D$1,[2]quests!$1:$1,0)-MATCH($C$1,[2]quests!$1:$1,0)+1),MATCH(D$1,[2]quests!$1:$1,0)-MATCH($C$1,[2]quests!$1:$1,0)+1,FALSE)</f>
        <v>魂を屠る黒影</v>
      </c>
      <c r="E6" s="18" t="str">
        <f ca="1">VLOOKUP($C6,OFFSET([2]quests!$A$1,0,0,COUNTA([2]quests!$A:$A),MATCH(E$1,[2]quests!$1:$1,0)-MATCH($C$1,[2]quests!$1:$1,0)+1),MATCH(E$1,[2]quests!$1:$1,0)-MATCH($C$1,[2]quests!$1:$1,0)+1,FALSE)</f>
        <v>エジプト01</v>
      </c>
      <c r="F6" s="21">
        <v>2</v>
      </c>
      <c r="G6" s="23" t="str">
        <f>C6&amp;"_"&amp;F6</f>
        <v>20018_2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【中級】魂を屠る黒影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>G7&amp;"-"&amp;I7</f>
        <v>20018_2-2</v>
      </c>
      <c r="B7" s="16" t="str">
        <f>IF(COUNTIF(enemy_habitats!$H:$H,A7),"OK","NG")</f>
        <v>OK</v>
      </c>
      <c r="C7" s="7">
        <v>20018</v>
      </c>
      <c r="D7" s="11" t="str">
        <f ca="1">VLOOKUP($C7,OFFSET([2]quests!$A$1,0,0,COUNTA([2]quests!$A:$A),MATCH(D$1,[2]quests!$1:$1,0)-MATCH($C$1,[2]quests!$1:$1,0)+1),MATCH(D$1,[2]quests!$1:$1,0)-MATCH($C$1,[2]quests!$1:$1,0)+1,FALSE)</f>
        <v>魂を屠る黒影</v>
      </c>
      <c r="E7" s="18" t="str">
        <f ca="1">VLOOKUP($C7,OFFSET([2]quests!$A$1,0,0,COUNTA([2]quests!$A:$A),MATCH(E$1,[2]quests!$1:$1,0)-MATCH($C$1,[2]quests!$1:$1,0)+1),MATCH(E$1,[2]quests!$1:$1,0)-MATCH($C$1,[2]quests!$1:$1,0)+1,FALSE)</f>
        <v>エジプト01</v>
      </c>
      <c r="F7" s="21">
        <v>2</v>
      </c>
      <c r="G7" s="23" t="str">
        <f>C7&amp;"_"&amp;F7</f>
        <v>20018_2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【中級】魂を屠る黒影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ref="A8:A9" si="2">G8&amp;"-"&amp;I8</f>
        <v>20018_2-3</v>
      </c>
      <c r="B8" s="16" t="str">
        <f>IF(COUNTIF(enemy_habitats!$H:$H,A8),"OK","NG")</f>
        <v>OK</v>
      </c>
      <c r="C8" s="7">
        <v>20018</v>
      </c>
      <c r="D8" s="11" t="str">
        <f ca="1">VLOOKUP($C8,OFFSET([2]quests!$A$1,0,0,COUNTA([2]quests!$A:$A),MATCH(D$1,[2]quests!$1:$1,0)-MATCH($C$1,[2]quests!$1:$1,0)+1),MATCH(D$1,[2]quests!$1:$1,0)-MATCH($C$1,[2]quests!$1:$1,0)+1,FALSE)</f>
        <v>魂を屠る黒影</v>
      </c>
      <c r="E8" s="18" t="str">
        <f ca="1">VLOOKUP($C8,OFFSET([2]quests!$A$1,0,0,COUNTA([2]quests!$A:$A),MATCH(E$1,[2]quests!$1:$1,0)-MATCH($C$1,[2]quests!$1:$1,0)+1),MATCH(E$1,[2]quests!$1:$1,0)-MATCH($C$1,[2]quests!$1:$1,0)+1,FALSE)</f>
        <v>エジプト01</v>
      </c>
      <c r="F8" s="21">
        <v>2</v>
      </c>
      <c r="G8" s="23" t="str">
        <f t="shared" ref="G8:G9" si="3">C8&amp;"_"&amp;F8</f>
        <v>20018_2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【中級】魂を屠る黒影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20018_2-4</v>
      </c>
      <c r="B9" s="16" t="str">
        <f>IF(COUNTIF(enemy_habitats!$H:$H,A9),"OK","NG")</f>
        <v>OK</v>
      </c>
      <c r="C9" s="7">
        <v>20018</v>
      </c>
      <c r="D9" s="11" t="str">
        <f ca="1">VLOOKUP($C9,OFFSET([2]quests!$A$1,0,0,COUNTA([2]quests!$A:$A),MATCH(D$1,[2]quests!$1:$1,0)-MATCH($C$1,[2]quests!$1:$1,0)+1),MATCH(D$1,[2]quests!$1:$1,0)-MATCH($C$1,[2]quests!$1:$1,0)+1,FALSE)</f>
        <v>魂を屠る黒影</v>
      </c>
      <c r="E9" s="18" t="str">
        <f ca="1">VLOOKUP($C9,OFFSET([2]quests!$A$1,0,0,COUNTA([2]quests!$A:$A),MATCH(E$1,[2]quests!$1:$1,0)-MATCH($C$1,[2]quests!$1:$1,0)+1),MATCH(E$1,[2]quests!$1:$1,0)-MATCH($C$1,[2]quests!$1:$1,0)+1,FALSE)</f>
        <v>エジプト01</v>
      </c>
      <c r="F9" s="21">
        <v>2</v>
      </c>
      <c r="G9" s="23" t="str">
        <f t="shared" si="3"/>
        <v>20018_2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【中級】魂を屠る黒影</v>
      </c>
      <c r="I9" s="21">
        <v>4</v>
      </c>
      <c r="J9" s="12">
        <v>40</v>
      </c>
      <c r="K9" s="12">
        <v>40</v>
      </c>
    </row>
    <row r="10" spans="1:11" ht="21" customHeight="1" x14ac:dyDescent="0.15">
      <c r="A10" s="16" t="str">
        <f>G10&amp;"-"&amp;I10</f>
        <v>20018_3-1</v>
      </c>
      <c r="B10" s="16" t="str">
        <f>IF(COUNTIF(enemy_habitats!$H:$H,A10),"OK","NG")</f>
        <v>OK</v>
      </c>
      <c r="C10" s="7">
        <v>20018</v>
      </c>
      <c r="D10" s="11" t="str">
        <f ca="1">VLOOKUP($C10,OFFSET([2]quests!$A$1,0,0,COUNTA([2]quests!$A:$A),MATCH(D$1,[2]quests!$1:$1,0)-MATCH($C$1,[2]quests!$1:$1,0)+1),MATCH(D$1,[2]quests!$1:$1,0)-MATCH($C$1,[2]quests!$1:$1,0)+1,FALSE)</f>
        <v>魂を屠る黒影</v>
      </c>
      <c r="E10" s="18" t="str">
        <f ca="1">VLOOKUP($C10,OFFSET([2]quests!$A$1,0,0,COUNTA([2]quests!$A:$A),MATCH(E$1,[2]quests!$1:$1,0)-MATCH($C$1,[2]quests!$1:$1,0)+1),MATCH(E$1,[2]quests!$1:$1,0)-MATCH($C$1,[2]quests!$1:$1,0)+1,FALSE)</f>
        <v>エジプト01</v>
      </c>
      <c r="F10" s="21">
        <v>3</v>
      </c>
      <c r="G10" s="23" t="str">
        <f>C10&amp;"_"&amp;F10</f>
        <v>20018_3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【上級】魂を屠る黒影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>G11&amp;"-"&amp;I11</f>
        <v>20018_3-2</v>
      </c>
      <c r="B11" s="16" t="str">
        <f>IF(COUNTIF(enemy_habitats!$H:$H,A11),"OK","NG")</f>
        <v>OK</v>
      </c>
      <c r="C11" s="7">
        <v>20018</v>
      </c>
      <c r="D11" s="11" t="str">
        <f ca="1">VLOOKUP($C11,OFFSET([2]quests!$A$1,0,0,COUNTA([2]quests!$A:$A),MATCH(D$1,[2]quests!$1:$1,0)-MATCH($C$1,[2]quests!$1:$1,0)+1),MATCH(D$1,[2]quests!$1:$1,0)-MATCH($C$1,[2]quests!$1:$1,0)+1,FALSE)</f>
        <v>魂を屠る黒影</v>
      </c>
      <c r="E11" s="18" t="str">
        <f ca="1">VLOOKUP($C11,OFFSET([2]quests!$A$1,0,0,COUNTA([2]quests!$A:$A),MATCH(E$1,[2]quests!$1:$1,0)-MATCH($C$1,[2]quests!$1:$1,0)+1),MATCH(E$1,[2]quests!$1:$1,0)-MATCH($C$1,[2]quests!$1:$1,0)+1,FALSE)</f>
        <v>エジプト01</v>
      </c>
      <c r="F11" s="21">
        <v>3</v>
      </c>
      <c r="G11" s="23" t="str">
        <f>C11&amp;"_"&amp;F11</f>
        <v>20018_3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【上級】魂を屠る黒影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ref="A12:A13" si="4">G12&amp;"-"&amp;I12</f>
        <v>20018_3-3</v>
      </c>
      <c r="B12" s="16" t="str">
        <f>IF(COUNTIF(enemy_habitats!$H:$H,A12),"OK","NG")</f>
        <v>OK</v>
      </c>
      <c r="C12" s="7">
        <v>20018</v>
      </c>
      <c r="D12" s="11" t="str">
        <f ca="1">VLOOKUP($C12,OFFSET([2]quests!$A$1,0,0,COUNTA([2]quests!$A:$A),MATCH(D$1,[2]quests!$1:$1,0)-MATCH($C$1,[2]quests!$1:$1,0)+1),MATCH(D$1,[2]quests!$1:$1,0)-MATCH($C$1,[2]quests!$1:$1,0)+1,FALSE)</f>
        <v>魂を屠る黒影</v>
      </c>
      <c r="E12" s="18" t="str">
        <f ca="1">VLOOKUP($C12,OFFSET([2]quests!$A$1,0,0,COUNTA([2]quests!$A:$A),MATCH(E$1,[2]quests!$1:$1,0)-MATCH($C$1,[2]quests!$1:$1,0)+1),MATCH(E$1,[2]quests!$1:$1,0)-MATCH($C$1,[2]quests!$1:$1,0)+1,FALSE)</f>
        <v>エジプト01</v>
      </c>
      <c r="F12" s="21">
        <v>3</v>
      </c>
      <c r="G12" s="23" t="str">
        <f t="shared" ref="G12:G13" si="5">C12&amp;"_"&amp;F12</f>
        <v>20018_3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【上級】魂を屠る黒影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4"/>
        <v>20018_3-4</v>
      </c>
      <c r="B13" s="16" t="str">
        <f>IF(COUNTIF(enemy_habitats!$H:$H,A13),"OK","NG")</f>
        <v>OK</v>
      </c>
      <c r="C13" s="7">
        <v>20018</v>
      </c>
      <c r="D13" s="11" t="str">
        <f ca="1">VLOOKUP($C13,OFFSET([2]quests!$A$1,0,0,COUNTA([2]quests!$A:$A),MATCH(D$1,[2]quests!$1:$1,0)-MATCH($C$1,[2]quests!$1:$1,0)+1),MATCH(D$1,[2]quests!$1:$1,0)-MATCH($C$1,[2]quests!$1:$1,0)+1,FALSE)</f>
        <v>魂を屠る黒影</v>
      </c>
      <c r="E13" s="18" t="str">
        <f ca="1">VLOOKUP($C13,OFFSET([2]quests!$A$1,0,0,COUNTA([2]quests!$A:$A),MATCH(E$1,[2]quests!$1:$1,0)-MATCH($C$1,[2]quests!$1:$1,0)+1),MATCH(E$1,[2]quests!$1:$1,0)-MATCH($C$1,[2]quests!$1:$1,0)+1,FALSE)</f>
        <v>エジプト01</v>
      </c>
      <c r="F13" s="21">
        <v>3</v>
      </c>
      <c r="G13" s="23" t="str">
        <f t="shared" si="5"/>
        <v>20018_3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【上級】魂を屠る黒影</v>
      </c>
      <c r="I13" s="21">
        <v>4</v>
      </c>
      <c r="J13" s="12">
        <v>40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zoomScale="98" zoomScaleNormal="98" zoomScalePageLayoutView="98" workbookViewId="0">
      <pane xSplit="17" ySplit="1" topLeftCell="AD3" activePane="bottomRight" state="frozen"/>
      <selection pane="topRight" activeCell="N1" sqref="N1"/>
      <selection pane="bottomLeft" activeCell="A2" sqref="A2"/>
      <selection pane="bottomRight" activeCell="AK13" sqref="AK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250</v>
      </c>
      <c r="U1" s="26" t="s">
        <v>50</v>
      </c>
      <c r="V1" s="101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20018_1-1/439&lt;lv10&gt;s2</v>
      </c>
      <c r="B2" s="22">
        <v>20018</v>
      </c>
      <c r="C2" s="21">
        <v>1</v>
      </c>
      <c r="D2" s="2" t="str">
        <f>B2&amp;"_"&amp;C2</f>
        <v>20018_1</v>
      </c>
      <c r="E2" s="4" t="str">
        <f ca="1">VLOOKUP($B2,OFFSET([2]quests!$A$1,0,0,COUNTA([2]quests!$A:$A),MATCH(E$1,[2]quests!$1:$1,0)-MATCH($B$1,[2]quests!$1:$1,0)+1),MATCH(E$1,[2]quests!$1:$1,0)-MATCH($B$1,[2]quests!$1:$1,0)+1,FALSE)</f>
        <v>魂を屠る黒影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【初級】魂を屠る黒影</v>
      </c>
      <c r="G2" s="21">
        <v>1</v>
      </c>
      <c r="H2" s="15" t="str">
        <f>B2&amp;"_"&amp;C2&amp;"-"&amp;G2</f>
        <v>20018_1-1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439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ブリキロガー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25</v>
      </c>
      <c r="R2" s="5">
        <v>10</v>
      </c>
      <c r="S2" s="25">
        <v>1.1000000000000001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15180.000000000002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1461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ハートパネル吸収攻撃</v>
      </c>
      <c r="Y2" s="4">
        <v>20018110</v>
      </c>
      <c r="Z2" s="6">
        <v>1</v>
      </c>
      <c r="AA2" s="6">
        <v>100</v>
      </c>
      <c r="AB2" s="6">
        <v>1</v>
      </c>
      <c r="AC2" s="17">
        <v>2</v>
      </c>
      <c r="AD2" s="24">
        <f>L2</f>
        <v>439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ブリキロガー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7" si="0">B3&amp;"_"&amp;C3&amp;"-"&amp;G3&amp;"/"&amp;L3&amp;"&lt;lv"&amp;R3&amp;"&gt;s"&amp;AC3</f>
        <v>20018_1-1/5&lt;lv10&gt;s2</v>
      </c>
      <c r="B3" s="22">
        <v>20018</v>
      </c>
      <c r="C3" s="21">
        <v>1</v>
      </c>
      <c r="D3" s="2" t="str">
        <f t="shared" ref="D3:D7" si="1">B3&amp;"_"&amp;C3</f>
        <v>20018_1</v>
      </c>
      <c r="E3" s="4" t="str">
        <f ca="1">VLOOKUP($B3,OFFSET([2]quests!$A$1,0,0,COUNTA([2]quests!$A:$A),MATCH(E$1,[2]quests!$1:$1,0)-MATCH($B$1,[2]quests!$1:$1,0)+1),MATCH(E$1,[2]quests!$1:$1,0)-MATCH($B$1,[2]quests!$1:$1,0)+1,FALSE)</f>
        <v>魂を屠る黒影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【初級】魂を屠る黒影</v>
      </c>
      <c r="G3" s="21">
        <v>1</v>
      </c>
      <c r="H3" s="15" t="str">
        <f t="shared" ref="H3:H7" si="2">B3&amp;"_"&amp;C3&amp;"-"&amp;G3</f>
        <v>20018_1-1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パトドッグ ポチ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25">
        <v>1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1840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527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4">
        <f ca="1">VLOOKUP($L3,OFFSET([3]enemies!$A$1,0,0,COUNTA([3]enemies!$A:$A),MATCH(Y$1,[3]enemies!$1:$1,0)-MATCH($L$1,[3]enemies!$1:$1,0)+1),MATCH(Y$1,[3]enemies!$1:$1,0)-MATCH($L$1,[3]enemies!$1:$1,0)+1,FALSE)</f>
        <v>0</v>
      </c>
      <c r="Z3" s="6">
        <v>2</v>
      </c>
      <c r="AA3" s="6">
        <v>100</v>
      </c>
      <c r="AB3" s="6">
        <v>0</v>
      </c>
      <c r="AC3" s="17">
        <v>2</v>
      </c>
      <c r="AD3" s="24">
        <f t="shared" ref="AD3:AD7" si="3">L3</f>
        <v>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パトドッグ ポチ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t="shared" ref="AI3:AI7" ca="1" si="4">AF3</f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20018_1-2/24&lt;lv10&gt;s2</v>
      </c>
      <c r="B4" s="22">
        <v>20018</v>
      </c>
      <c r="C4" s="21">
        <v>1</v>
      </c>
      <c r="D4" s="2" t="str">
        <f t="shared" si="1"/>
        <v>20018_1</v>
      </c>
      <c r="E4" s="4" t="str">
        <f ca="1">VLOOKUP($B4,OFFSET([2]quests!$A$1,0,0,COUNTA([2]quests!$A:$A),MATCH(E$1,[2]quests!$1:$1,0)-MATCH($B$1,[2]quests!$1:$1,0)+1),MATCH(E$1,[2]quests!$1:$1,0)-MATCH($B$1,[2]quests!$1:$1,0)+1,FALSE)</f>
        <v>魂を屠る黒影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【初級】魂を屠る黒影</v>
      </c>
      <c r="G4" s="21">
        <v>2</v>
      </c>
      <c r="H4" s="15" t="str">
        <f t="shared" si="2"/>
        <v>20018_1-2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天翔のミール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25">
        <v>0.8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2721.6000000000004</v>
      </c>
      <c r="U4" s="25">
        <v>0.8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505.6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4">
        <f ca="1">VLOOKUP($L4,OFFSET([3]enemies!$A$1,0,0,COUNTA([3]enemies!$A:$A),MATCH(Y$1,[3]enemies!$1:$1,0)-MATCH($L$1,[3]enemies!$1:$1,0)+1),MATCH(Y$1,[3]enemies!$1:$1,0)-MATCH($L$1,[3]enemies!$1:$1,0)+1,FALSE)</f>
        <v>0</v>
      </c>
      <c r="Z4" s="6">
        <v>2</v>
      </c>
      <c r="AA4" s="6">
        <v>100</v>
      </c>
      <c r="AB4" s="6">
        <v>0</v>
      </c>
      <c r="AC4" s="17">
        <v>2</v>
      </c>
      <c r="AD4" s="24">
        <f t="shared" si="3"/>
        <v>24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天翔のミール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v>1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20018_1-2/26&lt;lv10&gt;s2</v>
      </c>
      <c r="B5" s="22">
        <v>20018</v>
      </c>
      <c r="C5" s="21">
        <v>1</v>
      </c>
      <c r="D5" s="2" t="str">
        <f t="shared" si="1"/>
        <v>20018_1</v>
      </c>
      <c r="E5" s="4" t="str">
        <f ca="1">VLOOKUP($B5,OFFSET([2]quests!$A$1,0,0,COUNTA([2]quests!$A:$A),MATCH(E$1,[2]quests!$1:$1,0)-MATCH($B$1,[2]quests!$1:$1,0)+1),MATCH(E$1,[2]quests!$1:$1,0)-MATCH($B$1,[2]quests!$1:$1,0)+1,FALSE)</f>
        <v>魂を屠る黒影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【初級】魂を屠る黒影</v>
      </c>
      <c r="G5" s="21">
        <v>2</v>
      </c>
      <c r="H5" s="15" t="str">
        <f t="shared" si="2"/>
        <v>20018_1-2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勇犬 ハチ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25">
        <v>0.8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2668</v>
      </c>
      <c r="U5" s="25">
        <v>0.8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505.6</v>
      </c>
      <c r="W5" s="5">
        <v>0</v>
      </c>
      <c r="X5" s="4" t="e">
        <f ca="1">VLOOKUP($Y5,OFFSET(enemy_skill_sets!$B$1,0,0,COUNTA(enemy_skill_sets!$B:$B),MATCH(M$1,enemy_skill_sets!$1:$1,0)-MATCH($Y$1,enemy_skill_sets!$1:$1,0)+2),MATCH(M$1,enemy_skill_sets!$1:$1,0)-MATCH($Y$1,enemy_skill_sets!$1:$1,0)+2,FALSE)</f>
        <v>#N/A</v>
      </c>
      <c r="Y5" s="4">
        <f ca="1">VLOOKUP($L5,OFFSET([3]enemies!$A$1,0,0,COUNTA([3]enemies!$A:$A),MATCH(Y$1,[3]enemies!$1:$1,0)-MATCH($L$1,[3]enemies!$1:$1,0)+1),MATCH(Y$1,[3]enemies!$1:$1,0)-MATCH($L$1,[3]enemies!$1:$1,0)+1,FALSE)</f>
        <v>0</v>
      </c>
      <c r="Z5" s="6">
        <v>2</v>
      </c>
      <c r="AA5" s="6">
        <v>100</v>
      </c>
      <c r="AB5" s="6">
        <v>0</v>
      </c>
      <c r="AC5" s="17">
        <v>2</v>
      </c>
      <c r="AD5" s="24">
        <f t="shared" si="3"/>
        <v>26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勇犬 ハチ</v>
      </c>
      <c r="AF5" s="4"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si="4"/>
        <v>1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20018_1-3/562&lt;lv10&gt;s2</v>
      </c>
      <c r="B6" s="22">
        <v>20018</v>
      </c>
      <c r="C6" s="21">
        <v>1</v>
      </c>
      <c r="D6" s="2" t="str">
        <f t="shared" si="1"/>
        <v>20018_1</v>
      </c>
      <c r="E6" s="4" t="str">
        <f ca="1">VLOOKUP($B6,OFFSET([2]quests!$A$1,0,0,COUNTA([2]quests!$A:$A),MATCH(E$1,[2]quests!$1:$1,0)-MATCH($B$1,[2]quests!$1:$1,0)+1),MATCH(E$1,[2]quests!$1:$1,0)-MATCH($B$1,[2]quests!$1:$1,0)+1,FALSE)</f>
        <v>魂を屠る黒影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【初級】魂を屠る黒影</v>
      </c>
      <c r="G6" s="21">
        <v>3</v>
      </c>
      <c r="H6" s="15" t="str">
        <f t="shared" si="2"/>
        <v>20018_1-3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562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月夜砕く蒼狂狼 ローレンス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10</v>
      </c>
      <c r="S6" s="108">
        <v>1.5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18975</v>
      </c>
      <c r="U6" s="108">
        <v>0.9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1388.7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2ターンハートパネル無効</v>
      </c>
      <c r="Y6" s="4">
        <v>20018120</v>
      </c>
      <c r="Z6" s="6">
        <v>0</v>
      </c>
      <c r="AA6" s="6">
        <v>100</v>
      </c>
      <c r="AB6" s="6">
        <v>0</v>
      </c>
      <c r="AC6" s="17">
        <v>2</v>
      </c>
      <c r="AD6" s="24">
        <f t="shared" si="3"/>
        <v>562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月夜砕く蒼狂狼 ローレンス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20018_1-4/1004&lt;lv10&gt;s1</v>
      </c>
      <c r="B7" s="22">
        <v>20018</v>
      </c>
      <c r="C7" s="21">
        <v>1</v>
      </c>
      <c r="D7" s="2" t="str">
        <f t="shared" si="1"/>
        <v>20018_1</v>
      </c>
      <c r="E7" s="4" t="str">
        <f ca="1">VLOOKUP($B7,OFFSET([2]quests!$A$1,0,0,COUNTA([2]quests!$A:$A),MATCH(E$1,[2]quests!$1:$1,0)-MATCH($B$1,[2]quests!$1:$1,0)+1),MATCH(E$1,[2]quests!$1:$1,0)-MATCH($B$1,[2]quests!$1:$1,0)+1,FALSE)</f>
        <v>魂を屠る黒影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【初級】魂を屠る黒影</v>
      </c>
      <c r="G7" s="21">
        <v>4</v>
      </c>
      <c r="H7" s="15" t="str">
        <f t="shared" si="2"/>
        <v>20018_1-4</v>
      </c>
      <c r="I7" s="4">
        <f ca="1">VLOOKUP($H7,OFFSET(floors!$A$1,0,0,COUNTA(floors!$A:$A),MATCH(I$1,floors!$1:$1,0)-MATCH($H$1,floors!$1:$1,0)+1),MATCH(I$1,floors!$1:$1,0)-MATCH($H$1,floors!$1:$1,0)+1,FALSE)</f>
        <v>40</v>
      </c>
      <c r="J7" s="4">
        <f ca="1">VLOOKUP($H7,OFFSET(floors!$A$1,0,0,COUNTA(floors!$A:$A),MATCH(J$1,floors!$1:$1,0)-MATCH($H$1,floors!$1:$1,0)+1),MATCH(J$1,floors!$1:$1,0)-MATCH($H$1,floors!$1:$1,0)+1,FALSE)</f>
        <v>40</v>
      </c>
      <c r="K7" s="38">
        <v>1</v>
      </c>
      <c r="L7" s="20">
        <v>1004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アメミット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10</v>
      </c>
      <c r="S7" s="25">
        <v>1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14950</v>
      </c>
      <c r="U7" s="25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1672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3ターン防御力UP+お邪魔パネルを3個生成</v>
      </c>
      <c r="Y7" s="4">
        <v>20018130</v>
      </c>
      <c r="Z7" s="6">
        <v>0</v>
      </c>
      <c r="AA7" s="6">
        <v>100</v>
      </c>
      <c r="AB7" s="6">
        <v>1</v>
      </c>
      <c r="AC7" s="17">
        <v>1</v>
      </c>
      <c r="AD7" s="24">
        <f t="shared" si="3"/>
        <v>1004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アメミット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>B8&amp;"_"&amp;C8&amp;"-"&amp;G8&amp;"/"&amp;L8&amp;"&lt;lv"&amp;R8&amp;"&gt;s"&amp;AC8</f>
        <v>20018_2-1/439&lt;lv30&gt;s2</v>
      </c>
      <c r="B8" s="22">
        <v>20018</v>
      </c>
      <c r="C8" s="21">
        <v>2</v>
      </c>
      <c r="D8" s="2" t="str">
        <f>B8&amp;"_"&amp;C8</f>
        <v>20018_2</v>
      </c>
      <c r="E8" s="4" t="str">
        <f ca="1">VLOOKUP($B8,OFFSET([2]quests!$A$1,0,0,COUNTA([2]quests!$A:$A),MATCH(E$1,[2]quests!$1:$1,0)-MATCH($B$1,[2]quests!$1:$1,0)+1),MATCH(E$1,[2]quests!$1:$1,0)-MATCH($B$1,[2]quests!$1:$1,0)+1,FALSE)</f>
        <v>魂を屠る黒影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【中級】魂を屠る黒影</v>
      </c>
      <c r="G8" s="21">
        <v>1</v>
      </c>
      <c r="H8" s="15" t="str">
        <f>B8&amp;"_"&amp;C8&amp;"-"&amp;G8</f>
        <v>20018_2-1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439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ブリキロガー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25</v>
      </c>
      <c r="R8" s="5">
        <v>30</v>
      </c>
      <c r="S8" s="25">
        <v>1.1000000000000001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41580</v>
      </c>
      <c r="U8" s="25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4003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ハートパネル吸収攻撃</v>
      </c>
      <c r="Y8" s="4">
        <v>20018210</v>
      </c>
      <c r="Z8" s="6">
        <v>1</v>
      </c>
      <c r="AA8" s="6">
        <v>100</v>
      </c>
      <c r="AB8" s="6">
        <v>1</v>
      </c>
      <c r="AC8" s="17">
        <v>2</v>
      </c>
      <c r="AD8" s="24">
        <f>L8</f>
        <v>439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ブリキロガー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ca="1">AF8</f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ref="A9:A13" si="5">B9&amp;"_"&amp;C9&amp;"-"&amp;G9&amp;"/"&amp;L9&amp;"&lt;lv"&amp;R9&amp;"&gt;s"&amp;AC9</f>
        <v>20018_2-1/5&lt;lv30&gt;s2</v>
      </c>
      <c r="B9" s="22">
        <v>20018</v>
      </c>
      <c r="C9" s="21">
        <v>2</v>
      </c>
      <c r="D9" s="2" t="str">
        <f t="shared" ref="D9:D13" si="6">B9&amp;"_"&amp;C9</f>
        <v>20018_2</v>
      </c>
      <c r="E9" s="4" t="str">
        <f ca="1">VLOOKUP($B9,OFFSET([2]quests!$A$1,0,0,COUNTA([2]quests!$A:$A),MATCH(E$1,[2]quests!$1:$1,0)-MATCH($B$1,[2]quests!$1:$1,0)+1),MATCH(E$1,[2]quests!$1:$1,0)-MATCH($B$1,[2]quests!$1:$1,0)+1,FALSE)</f>
        <v>魂を屠る黒影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【中級】魂を屠る黒影</v>
      </c>
      <c r="G9" s="21">
        <v>1</v>
      </c>
      <c r="H9" s="15" t="str">
        <f t="shared" ref="H9:H13" si="7">B9&amp;"_"&amp;C9&amp;"-"&amp;G9</f>
        <v>20018_2-1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パトドッグ ポチ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30</v>
      </c>
      <c r="S9" s="25">
        <v>1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5040</v>
      </c>
      <c r="U9" s="25">
        <v>1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1445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4">
        <f ca="1">VLOOKUP($L9,OFFSET([3]enemies!$A$1,0,0,COUNTA([3]enemies!$A:$A),MATCH(Y$1,[3]enemies!$1:$1,0)-MATCH($L$1,[3]enemies!$1:$1,0)+1),MATCH(Y$1,[3]enemies!$1:$1,0)-MATCH($L$1,[3]enemies!$1:$1,0)+1,FALSE)</f>
        <v>0</v>
      </c>
      <c r="Z9" s="6">
        <v>2</v>
      </c>
      <c r="AA9" s="6">
        <v>100</v>
      </c>
      <c r="AB9" s="6">
        <v>0</v>
      </c>
      <c r="AC9" s="17">
        <v>2</v>
      </c>
      <c r="AD9" s="24">
        <f t="shared" ref="AD9:AD13" si="8">L9</f>
        <v>5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パトドッグ ポチ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Drop1T</v>
      </c>
      <c r="AH9" s="7">
        <v>1</v>
      </c>
      <c r="AI9" s="24">
        <f t="shared" ref="AI9:AI13" ca="1" si="9">AF9</f>
        <v>1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5"/>
        <v>20018_2-2/24&lt;lv20&gt;s2</v>
      </c>
      <c r="B10" s="22">
        <v>20018</v>
      </c>
      <c r="C10" s="21">
        <v>2</v>
      </c>
      <c r="D10" s="2" t="str">
        <f t="shared" si="6"/>
        <v>20018_2</v>
      </c>
      <c r="E10" s="4" t="str">
        <f ca="1">VLOOKUP($B10,OFFSET([2]quests!$A$1,0,0,COUNTA([2]quests!$A:$A),MATCH(E$1,[2]quests!$1:$1,0)-MATCH($B$1,[2]quests!$1:$1,0)+1),MATCH(E$1,[2]quests!$1:$1,0)-MATCH($B$1,[2]quests!$1:$1,0)+1,FALSE)</f>
        <v>魂を屠る黒影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【中級】魂を屠る黒影</v>
      </c>
      <c r="G10" s="21">
        <v>2</v>
      </c>
      <c r="H10" s="15" t="str">
        <f t="shared" si="7"/>
        <v>20018_2-2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24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天翔のミール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20</v>
      </c>
      <c r="S10" s="25">
        <v>0.8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5088</v>
      </c>
      <c r="U10" s="25">
        <v>0.8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945.6</v>
      </c>
      <c r="W10" s="5">
        <v>0</v>
      </c>
      <c r="X10" s="4" t="e">
        <f ca="1">VLOOKUP($Y10,OFFSET(enemy_skill_sets!$B$1,0,0,COUNTA(enemy_skill_sets!$B:$B),MATCH(M$1,enemy_skill_sets!$1:$1,0)-MATCH($Y$1,enemy_skill_sets!$1:$1,0)+2),MATCH(M$1,enemy_skill_sets!$1:$1,0)-MATCH($Y$1,enemy_skill_sets!$1:$1,0)+2,FALSE)</f>
        <v>#N/A</v>
      </c>
      <c r="Y10" s="4">
        <f ca="1">VLOOKUP($L10,OFFSET([3]enemies!$A$1,0,0,COUNTA([3]enemies!$A:$A),MATCH(Y$1,[3]enemies!$1:$1,0)-MATCH($L$1,[3]enemies!$1:$1,0)+1),MATCH(Y$1,[3]enemies!$1:$1,0)-MATCH($L$1,[3]enemies!$1:$1,0)+1,FALSE)</f>
        <v>0</v>
      </c>
      <c r="Z10" s="6">
        <v>2</v>
      </c>
      <c r="AA10" s="6">
        <v>100</v>
      </c>
      <c r="AB10" s="6">
        <v>0</v>
      </c>
      <c r="AC10" s="17">
        <v>2</v>
      </c>
      <c r="AD10" s="24">
        <f t="shared" si="8"/>
        <v>24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天翔のミール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v>1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5"/>
        <v>20018_2-2/26&lt;lv20&gt;s2</v>
      </c>
      <c r="B11" s="22">
        <v>20018</v>
      </c>
      <c r="C11" s="21">
        <v>2</v>
      </c>
      <c r="D11" s="2" t="str">
        <f t="shared" si="6"/>
        <v>20018_2</v>
      </c>
      <c r="E11" s="4" t="str">
        <f ca="1">VLOOKUP($B11,OFFSET([2]quests!$A$1,0,0,COUNTA([2]quests!$A:$A),MATCH(E$1,[2]quests!$1:$1,0)-MATCH($B$1,[2]quests!$1:$1,0)+1),MATCH(E$1,[2]quests!$1:$1,0)-MATCH($B$1,[2]quests!$1:$1,0)+1,FALSE)</f>
        <v>魂を屠る黒影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【中級】魂を屠る黒影</v>
      </c>
      <c r="G11" s="21">
        <v>2</v>
      </c>
      <c r="H11" s="15" t="str">
        <f t="shared" si="7"/>
        <v>20018_2-2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26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勇犬 ハチ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20</v>
      </c>
      <c r="S11" s="25">
        <v>0.8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4988</v>
      </c>
      <c r="U11" s="25">
        <v>0.8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945.6</v>
      </c>
      <c r="W11" s="5">
        <v>0</v>
      </c>
      <c r="X11" s="4" t="e">
        <f ca="1">VLOOKUP($Y11,OFFSET(enemy_skill_sets!$B$1,0,0,COUNTA(enemy_skill_sets!$B:$B),MATCH(M$1,enemy_skill_sets!$1:$1,0)-MATCH($Y$1,enemy_skill_sets!$1:$1,0)+2),MATCH(M$1,enemy_skill_sets!$1:$1,0)-MATCH($Y$1,enemy_skill_sets!$1:$1,0)+2,FALSE)</f>
        <v>#N/A</v>
      </c>
      <c r="Y11" s="4">
        <f ca="1">VLOOKUP($L11,OFFSET([3]enemies!$A$1,0,0,COUNTA([3]enemies!$A:$A),MATCH(Y$1,[3]enemies!$1:$1,0)-MATCH($L$1,[3]enemies!$1:$1,0)+1),MATCH(Y$1,[3]enemies!$1:$1,0)-MATCH($L$1,[3]enemies!$1:$1,0)+1,FALSE)</f>
        <v>0</v>
      </c>
      <c r="Z11" s="6">
        <v>2</v>
      </c>
      <c r="AA11" s="6">
        <v>100</v>
      </c>
      <c r="AB11" s="6">
        <v>0</v>
      </c>
      <c r="AC11" s="17">
        <v>2</v>
      </c>
      <c r="AD11" s="24">
        <f t="shared" si="8"/>
        <v>26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勇犬 ハチ</v>
      </c>
      <c r="AF11" s="4">
        <v>1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4">
        <v>2</v>
      </c>
      <c r="AJ11" s="8">
        <v>20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20018_2-3/562&lt;lv30&gt;s2</v>
      </c>
      <c r="B12" s="22">
        <v>20018</v>
      </c>
      <c r="C12" s="21">
        <v>2</v>
      </c>
      <c r="D12" s="2" t="str">
        <f t="shared" si="6"/>
        <v>20018_2</v>
      </c>
      <c r="E12" s="4" t="str">
        <f ca="1">VLOOKUP($B12,OFFSET([2]quests!$A$1,0,0,COUNTA([2]quests!$A:$A),MATCH(E$1,[2]quests!$1:$1,0)-MATCH($B$1,[2]quests!$1:$1,0)+1),MATCH(E$1,[2]quests!$1:$1,0)-MATCH($B$1,[2]quests!$1:$1,0)+1,FALSE)</f>
        <v>魂を屠る黒影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【中級】魂を屠る黒影</v>
      </c>
      <c r="G12" s="21">
        <v>3</v>
      </c>
      <c r="H12" s="15" t="str">
        <f t="shared" si="7"/>
        <v>20018_2-3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562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月夜砕く蒼狂狼 ローレンス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30</v>
      </c>
      <c r="S12" s="108">
        <v>1.5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51975</v>
      </c>
      <c r="U12" s="108">
        <v>0.9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3804.3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2ターンハートパネル無効</v>
      </c>
      <c r="Y12" s="4">
        <v>20018220</v>
      </c>
      <c r="Z12" s="6">
        <v>0</v>
      </c>
      <c r="AA12" s="6">
        <v>100</v>
      </c>
      <c r="AB12" s="6">
        <v>0</v>
      </c>
      <c r="AC12" s="17">
        <v>2</v>
      </c>
      <c r="AD12" s="24">
        <f t="shared" si="8"/>
        <v>562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月夜砕く蒼狂狼 ローレンス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ca="1" si="9"/>
        <v>5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5"/>
        <v>20018_2-4/1004&lt;lv30&gt;s1</v>
      </c>
      <c r="B13" s="22">
        <v>20018</v>
      </c>
      <c r="C13" s="21">
        <v>2</v>
      </c>
      <c r="D13" s="2" t="str">
        <f t="shared" si="6"/>
        <v>20018_2</v>
      </c>
      <c r="E13" s="4" t="str">
        <f ca="1">VLOOKUP($B13,OFFSET([2]quests!$A$1,0,0,COUNTA([2]quests!$A:$A),MATCH(E$1,[2]quests!$1:$1,0)-MATCH($B$1,[2]quests!$1:$1,0)+1),MATCH(E$1,[2]quests!$1:$1,0)-MATCH($B$1,[2]quests!$1:$1,0)+1,FALSE)</f>
        <v>魂を屠る黒影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【中級】魂を屠る黒影</v>
      </c>
      <c r="G13" s="21">
        <v>4</v>
      </c>
      <c r="H13" s="15" t="str">
        <f t="shared" si="7"/>
        <v>20018_2-4</v>
      </c>
      <c r="I13" s="4">
        <f ca="1">VLOOKUP($H13,OFFSET(floors!$A$1,0,0,COUNTA(floors!$A:$A),MATCH(I$1,floors!$1:$1,0)-MATCH($H$1,floors!$1:$1,0)+1),MATCH(I$1,floors!$1:$1,0)-MATCH($H$1,floors!$1:$1,0)+1,FALSE)</f>
        <v>40</v>
      </c>
      <c r="J13" s="4">
        <f ca="1">VLOOKUP($H13,OFFSET(floors!$A$1,0,0,COUNTA(floors!$A:$A),MATCH(J$1,floors!$1:$1,0)-MATCH($H$1,floors!$1:$1,0)+1),MATCH(J$1,floors!$1:$1,0)-MATCH($H$1,floors!$1:$1,0)+1,FALSE)</f>
        <v>40</v>
      </c>
      <c r="K13" s="38">
        <v>1</v>
      </c>
      <c r="L13" s="20">
        <v>1004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アメミット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30</v>
      </c>
      <c r="S13" s="25">
        <v>1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40950</v>
      </c>
      <c r="U13" s="25">
        <v>1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4580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3ターン防御力UP+お邪魔パネルを3個生成</v>
      </c>
      <c r="Y13" s="4">
        <v>20018230</v>
      </c>
      <c r="Z13" s="6">
        <v>0</v>
      </c>
      <c r="AA13" s="6">
        <v>100</v>
      </c>
      <c r="AB13" s="6">
        <v>1</v>
      </c>
      <c r="AC13" s="17">
        <v>1</v>
      </c>
      <c r="AD13" s="24">
        <f t="shared" si="8"/>
        <v>1004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アメミット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4">
        <f t="shared" ca="1" si="9"/>
        <v>4</v>
      </c>
      <c r="AJ13" s="8">
        <v>50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>B14&amp;"_"&amp;C14&amp;"-"&amp;G14&amp;"/"&amp;L14&amp;"&lt;lv"&amp;R14&amp;"&gt;s"&amp;AC14</f>
        <v>20018_3-1/439&lt;lv40&gt;s2</v>
      </c>
      <c r="B14" s="22">
        <v>20018</v>
      </c>
      <c r="C14" s="21">
        <v>3</v>
      </c>
      <c r="D14" s="2" t="str">
        <f>B14&amp;"_"&amp;C14</f>
        <v>20018_3</v>
      </c>
      <c r="E14" s="4" t="str">
        <f ca="1">VLOOKUP($B14,OFFSET([2]quests!$A$1,0,0,COUNTA([2]quests!$A:$A),MATCH(E$1,[2]quests!$1:$1,0)-MATCH($B$1,[2]quests!$1:$1,0)+1),MATCH(E$1,[2]quests!$1:$1,0)-MATCH($B$1,[2]quests!$1:$1,0)+1,FALSE)</f>
        <v>魂を屠る黒影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【上級】魂を屠る黒影</v>
      </c>
      <c r="G14" s="21">
        <v>1</v>
      </c>
      <c r="H14" s="15" t="str">
        <f>B14&amp;"_"&amp;C14&amp;"-"&amp;G14</f>
        <v>20018_3-1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439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ブリキロガー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7">
        <f ca="1">VLOOKUP($L14,OFFSET([3]enemies!$A$1,0,0,COUNTA([3]enemies!$A:$A),MATCH(Q$1,[3]enemies!$1:$1,0)-MATCH($L$1,[3]enemies!$1:$1,0)+1),MATCH(Q$1,[3]enemies!$1:$1,0)-MATCH($L$1,[3]enemies!$1:$1,0)+1,FALSE)</f>
        <v>25</v>
      </c>
      <c r="R14" s="5">
        <v>40</v>
      </c>
      <c r="S14" s="25">
        <v>1.1000000000000001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54780.000000000007</v>
      </c>
      <c r="U14" s="25">
        <v>1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5274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ハートパネル吸収攻撃</v>
      </c>
      <c r="Y14" s="4">
        <v>20018310</v>
      </c>
      <c r="Z14" s="6">
        <v>1</v>
      </c>
      <c r="AA14" s="6">
        <v>100</v>
      </c>
      <c r="AB14" s="6">
        <v>1</v>
      </c>
      <c r="AC14" s="17">
        <v>2</v>
      </c>
      <c r="AD14" s="24">
        <f>L14</f>
        <v>439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ブリキロガー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7">
        <v>1</v>
      </c>
      <c r="AI14" s="24">
        <f ca="1">AF14</f>
        <v>3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ref="A15:A16" si="10">B15&amp;"_"&amp;C15&amp;"-"&amp;G15&amp;"/"&amp;L15&amp;"&lt;lv"&amp;R15&amp;"&gt;s"&amp;AC15</f>
        <v>20018_3-1/5&lt;lv40&gt;s2</v>
      </c>
      <c r="B15" s="22">
        <v>20018</v>
      </c>
      <c r="C15" s="21">
        <v>3</v>
      </c>
      <c r="D15" s="2" t="str">
        <f t="shared" ref="D15:D16" si="11">B15&amp;"_"&amp;C15</f>
        <v>20018_3</v>
      </c>
      <c r="E15" s="4" t="str">
        <f ca="1">VLOOKUP($B15,OFFSET([2]quests!$A$1,0,0,COUNTA([2]quests!$A:$A),MATCH(E$1,[2]quests!$1:$1,0)-MATCH($B$1,[2]quests!$1:$1,0)+1),MATCH(E$1,[2]quests!$1:$1,0)-MATCH($B$1,[2]quests!$1:$1,0)+1,FALSE)</f>
        <v>魂を屠る黒影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【上級】魂を屠る黒影</v>
      </c>
      <c r="G15" s="21">
        <v>1</v>
      </c>
      <c r="H15" s="15" t="str">
        <f t="shared" ref="H15:H16" si="12">B15&amp;"_"&amp;C15&amp;"-"&amp;G15</f>
        <v>20018_3-1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5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パトドッグ ポチ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40</v>
      </c>
      <c r="S15" s="25">
        <v>1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6640</v>
      </c>
      <c r="U15" s="25">
        <v>1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1903</v>
      </c>
      <c r="W15" s="5">
        <v>0</v>
      </c>
      <c r="X15" s="4" t="e">
        <f ca="1">VLOOKUP($Y15,OFFSET(enemy_skill_sets!$B$1,0,0,COUNTA(enemy_skill_sets!$B:$B),MATCH(M$1,enemy_skill_sets!$1:$1,0)-MATCH($Y$1,enemy_skill_sets!$1:$1,0)+2),MATCH(M$1,enemy_skill_sets!$1:$1,0)-MATCH($Y$1,enemy_skill_sets!$1:$1,0)+2,FALSE)</f>
        <v>#N/A</v>
      </c>
      <c r="Y15" s="4">
        <f ca="1">VLOOKUP($L15,OFFSET([3]enemies!$A$1,0,0,COUNTA([3]enemies!$A:$A),MATCH(Y$1,[3]enemies!$1:$1,0)-MATCH($L$1,[3]enemies!$1:$1,0)+1),MATCH(Y$1,[3]enemies!$1:$1,0)-MATCH($L$1,[3]enemies!$1:$1,0)+1,FALSE)</f>
        <v>0</v>
      </c>
      <c r="Z15" s="6">
        <v>2</v>
      </c>
      <c r="AA15" s="6">
        <v>100</v>
      </c>
      <c r="AB15" s="6">
        <v>0</v>
      </c>
      <c r="AC15" s="17">
        <v>2</v>
      </c>
      <c r="AD15" s="24">
        <f t="shared" ref="AD15:AD16" si="13">L15</f>
        <v>5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パトドッグ ポチ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Drop1T</v>
      </c>
      <c r="AH15" s="7">
        <v>1</v>
      </c>
      <c r="AI15" s="24">
        <v>2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10"/>
        <v>20018_3-2/24&lt;lv30&gt;s2</v>
      </c>
      <c r="B16" s="22">
        <v>20018</v>
      </c>
      <c r="C16" s="21">
        <v>3</v>
      </c>
      <c r="D16" s="2" t="str">
        <f t="shared" si="11"/>
        <v>20018_3</v>
      </c>
      <c r="E16" s="4" t="str">
        <f ca="1">VLOOKUP($B16,OFFSET([2]quests!$A$1,0,0,COUNTA([2]quests!$A:$A),MATCH(E$1,[2]quests!$1:$1,0)-MATCH($B$1,[2]quests!$1:$1,0)+1),MATCH(E$1,[2]quests!$1:$1,0)-MATCH($B$1,[2]quests!$1:$1,0)+1,FALSE)</f>
        <v>魂を屠る黒影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【上級】魂を屠る黒影</v>
      </c>
      <c r="G16" s="21">
        <v>2</v>
      </c>
      <c r="H16" s="15" t="str">
        <f t="shared" si="12"/>
        <v>20018_3-2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24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天翔のミール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30</v>
      </c>
      <c r="S16" s="25">
        <v>0.8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7454.4000000000005</v>
      </c>
      <c r="U16" s="25">
        <v>0.8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1385.6000000000001</v>
      </c>
      <c r="W16" s="5">
        <v>0</v>
      </c>
      <c r="X16" s="4" t="e">
        <f ca="1">VLOOKUP($Y16,OFFSET(enemy_skill_sets!$B$1,0,0,COUNTA(enemy_skill_sets!$B:$B),MATCH(M$1,enemy_skill_sets!$1:$1,0)-MATCH($Y$1,enemy_skill_sets!$1:$1,0)+2),MATCH(M$1,enemy_skill_sets!$1:$1,0)-MATCH($Y$1,enemy_skill_sets!$1:$1,0)+2,FALSE)</f>
        <v>#N/A</v>
      </c>
      <c r="Y16" s="4">
        <f ca="1">VLOOKUP($L16,OFFSET([3]enemies!$A$1,0,0,COUNTA([3]enemies!$A:$A),MATCH(Y$1,[3]enemies!$1:$1,0)-MATCH($L$1,[3]enemies!$1:$1,0)+1),MATCH(Y$1,[3]enemies!$1:$1,0)-MATCH($L$1,[3]enemies!$1:$1,0)+1,FALSE)</f>
        <v>0</v>
      </c>
      <c r="Z16" s="6">
        <v>2</v>
      </c>
      <c r="AA16" s="6">
        <v>100</v>
      </c>
      <c r="AB16" s="6">
        <v>0</v>
      </c>
      <c r="AC16" s="17">
        <v>2</v>
      </c>
      <c r="AD16" s="24">
        <f t="shared" si="13"/>
        <v>24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天翔のミール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7">
        <v>1</v>
      </c>
      <c r="AI16" s="24">
        <v>1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ref="A17:A19" si="14">B17&amp;"_"&amp;C17&amp;"-"&amp;G17&amp;"/"&amp;L17&amp;"&lt;lv"&amp;R17&amp;"&gt;s"&amp;AC17</f>
        <v>20018_3-2/26&lt;lv30&gt;s2</v>
      </c>
      <c r="B17" s="22">
        <v>20018</v>
      </c>
      <c r="C17" s="21">
        <v>3</v>
      </c>
      <c r="D17" s="2" t="str">
        <f t="shared" ref="D17:D19" si="15">B17&amp;"_"&amp;C17</f>
        <v>20018_3</v>
      </c>
      <c r="E17" s="4" t="str">
        <f ca="1">VLOOKUP($B17,OFFSET([2]quests!$A$1,0,0,COUNTA([2]quests!$A:$A),MATCH(E$1,[2]quests!$1:$1,0)-MATCH($B$1,[2]quests!$1:$1,0)+1),MATCH(E$1,[2]quests!$1:$1,0)-MATCH($B$1,[2]quests!$1:$1,0)+1,FALSE)</f>
        <v>魂を屠る黒影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【上級】魂を屠る黒影</v>
      </c>
      <c r="G17" s="21">
        <v>2</v>
      </c>
      <c r="H17" s="15" t="str">
        <f t="shared" ref="H17:H19" si="16">B17&amp;"_"&amp;C17&amp;"-"&amp;G17</f>
        <v>20018_3-2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26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勇犬 ハチ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30</v>
      </c>
      <c r="S17" s="25">
        <v>0.8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7308</v>
      </c>
      <c r="U17" s="25">
        <v>0.8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1385.6000000000001</v>
      </c>
      <c r="W17" s="5">
        <v>0</v>
      </c>
      <c r="X17" s="4" t="e">
        <f ca="1">VLOOKUP($Y17,OFFSET(enemy_skill_sets!$B$1,0,0,COUNTA(enemy_skill_sets!$B:$B),MATCH(M$1,enemy_skill_sets!$1:$1,0)-MATCH($Y$1,enemy_skill_sets!$1:$1,0)+2),MATCH(M$1,enemy_skill_sets!$1:$1,0)-MATCH($Y$1,enemy_skill_sets!$1:$1,0)+2,FALSE)</f>
        <v>#N/A</v>
      </c>
      <c r="Y17" s="4">
        <f ca="1">VLOOKUP($L17,OFFSET([3]enemies!$A$1,0,0,COUNTA([3]enemies!$A:$A),MATCH(Y$1,[3]enemies!$1:$1,0)-MATCH($L$1,[3]enemies!$1:$1,0)+1),MATCH(Y$1,[3]enemies!$1:$1,0)-MATCH($L$1,[3]enemies!$1:$1,0)+1,FALSE)</f>
        <v>0</v>
      </c>
      <c r="Z17" s="6">
        <v>2</v>
      </c>
      <c r="AA17" s="6">
        <v>100</v>
      </c>
      <c r="AB17" s="6">
        <v>0</v>
      </c>
      <c r="AC17" s="17">
        <v>2</v>
      </c>
      <c r="AD17" s="24">
        <f t="shared" ref="AD17:AD19" si="17">L17</f>
        <v>26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勇犬 ハチ</v>
      </c>
      <c r="AF17" s="4">
        <v>1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Drop1N</v>
      </c>
      <c r="AH17" s="7">
        <v>1</v>
      </c>
      <c r="AI17" s="24">
        <f t="shared" ref="AI17:AI19" si="18">AF17</f>
        <v>1</v>
      </c>
      <c r="AJ17" s="8">
        <v>20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ref="A18" si="19">B18&amp;"_"&amp;C18&amp;"-"&amp;G18&amp;"/"&amp;L18&amp;"&lt;lv"&amp;R18&amp;"&gt;s"&amp;AC18</f>
        <v>20018_3-3/562&lt;lv40&gt;s2</v>
      </c>
      <c r="B18" s="22">
        <v>20018</v>
      </c>
      <c r="C18" s="21">
        <v>3</v>
      </c>
      <c r="D18" s="2" t="str">
        <f t="shared" ref="D18" si="20">B18&amp;"_"&amp;C18</f>
        <v>20018_3</v>
      </c>
      <c r="E18" s="4" t="str">
        <f ca="1">VLOOKUP($B18,OFFSET([2]quests!$A$1,0,0,COUNTA([2]quests!$A:$A),MATCH(E$1,[2]quests!$1:$1,0)-MATCH($B$1,[2]quests!$1:$1,0)+1),MATCH(E$1,[2]quests!$1:$1,0)-MATCH($B$1,[2]quests!$1:$1,0)+1,FALSE)</f>
        <v>魂を屠る黒影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【上級】魂を屠る黒影</v>
      </c>
      <c r="G18" s="21">
        <v>3</v>
      </c>
      <c r="H18" s="15" t="str">
        <f t="shared" ref="H18" si="21">B18&amp;"_"&amp;C18&amp;"-"&amp;G18</f>
        <v>20018_3-3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562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月夜砕く蒼狂狼 ローレンス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40</v>
      </c>
      <c r="S18" s="108">
        <v>1.5</v>
      </c>
      <c r="T18" s="10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68475</v>
      </c>
      <c r="U18" s="108">
        <v>0.9</v>
      </c>
      <c r="V18" s="10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5012.1000000000004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2ターンハートパネル無効</v>
      </c>
      <c r="Y18" s="4">
        <v>20018320</v>
      </c>
      <c r="Z18" s="6">
        <v>0</v>
      </c>
      <c r="AA18" s="6">
        <v>100</v>
      </c>
      <c r="AB18" s="6">
        <v>0</v>
      </c>
      <c r="AC18" s="17">
        <v>2</v>
      </c>
      <c r="AD18" s="24">
        <f t="shared" ref="AD18" si="22">L18</f>
        <v>562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月夜砕く蒼狂狼 ローレンス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5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8" s="7">
        <v>1</v>
      </c>
      <c r="AI18" s="24">
        <f t="shared" ref="AI18" ca="1" si="23">AF18</f>
        <v>5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t="shared" si="14"/>
        <v>20018_3-4/1004&lt;lv40&gt;s1</v>
      </c>
      <c r="B19" s="22">
        <v>20018</v>
      </c>
      <c r="C19" s="21">
        <v>3</v>
      </c>
      <c r="D19" s="2" t="str">
        <f t="shared" si="15"/>
        <v>20018_3</v>
      </c>
      <c r="E19" s="4" t="str">
        <f ca="1">VLOOKUP($B19,OFFSET([2]quests!$A$1,0,0,COUNTA([2]quests!$A:$A),MATCH(E$1,[2]quests!$1:$1,0)-MATCH($B$1,[2]quests!$1:$1,0)+1),MATCH(E$1,[2]quests!$1:$1,0)-MATCH($B$1,[2]quests!$1:$1,0)+1,FALSE)</f>
        <v>魂を屠る黒影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【上級】魂を屠る黒影</v>
      </c>
      <c r="G19" s="21">
        <v>4</v>
      </c>
      <c r="H19" s="15" t="str">
        <f t="shared" si="16"/>
        <v>20018_3-4</v>
      </c>
      <c r="I19" s="4">
        <f ca="1">VLOOKUP($H19,OFFSET(floors!$A$1,0,0,COUNTA(floors!$A:$A),MATCH(I$1,floors!$1:$1,0)-MATCH($H$1,floors!$1:$1,0)+1),MATCH(I$1,floors!$1:$1,0)-MATCH($H$1,floors!$1:$1,0)+1,FALSE)</f>
        <v>40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1</v>
      </c>
      <c r="L19" s="20">
        <v>1004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アメミット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40</v>
      </c>
      <c r="S19" s="25">
        <v>1</v>
      </c>
      <c r="T19" s="10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53950</v>
      </c>
      <c r="U19" s="25">
        <v>1</v>
      </c>
      <c r="V19" s="10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6033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3ターン防御力UP+お邪魔パネルを3個生成</v>
      </c>
      <c r="Y19" s="4">
        <v>20018330</v>
      </c>
      <c r="Z19" s="6">
        <v>0</v>
      </c>
      <c r="AA19" s="6">
        <v>100</v>
      </c>
      <c r="AB19" s="6">
        <v>1</v>
      </c>
      <c r="AC19" s="17">
        <v>1</v>
      </c>
      <c r="AD19" s="24">
        <f t="shared" si="17"/>
        <v>1004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アメミット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7">
        <v>1</v>
      </c>
      <c r="AI19" s="24">
        <f t="shared" ca="1" si="18"/>
        <v>4</v>
      </c>
      <c r="AJ19" s="8">
        <v>100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W5" sqref="W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250</v>
      </c>
      <c r="V1" s="26" t="s">
        <v>50</v>
      </c>
      <c r="W1" s="101" t="s">
        <v>251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3" si="0">B2&amp;"_"&amp;C2&amp;"-"&amp;G2&amp;"/"&amp;M2&amp;"&lt;lv"&amp;S2&amp;"&gt;sq"&amp;K2&amp;"st"&amp;L2</f>
        <v>20018_1-4/1005&lt;lv10&gt;sq1st2</v>
      </c>
      <c r="B2" s="22">
        <v>20018</v>
      </c>
      <c r="C2" s="21">
        <v>1</v>
      </c>
      <c r="D2" s="2" t="str">
        <f t="shared" ref="D2:D3" si="1">B2&amp;"_"&amp;C2</f>
        <v>20018_1</v>
      </c>
      <c r="E2" s="4" t="str">
        <f ca="1">VLOOKUP($B2,OFFSET([2]quests!$A$1,0,0,COUNTA([2]quests!$A:$A),MATCH(E$1,[2]quests!$1:$1,0)-MATCH($B$1,[2]quests!$1:$1,0)+1),MATCH(E$1,[2]quests!$1:$1,0)-MATCH($B$1,[2]quests!$1:$1,0)+1,FALSE)</f>
        <v>魂を屠る黒影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【初級】魂を屠る黒影</v>
      </c>
      <c r="G2" s="21">
        <v>4</v>
      </c>
      <c r="H2" s="15" t="str">
        <f t="shared" ref="H2:H3" si="2">B2&amp;"_"&amp;C2&amp;"-"&amp;G2</f>
        <v>20018_1-4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>
        <v>1</v>
      </c>
      <c r="L2" s="38">
        <v>2</v>
      </c>
      <c r="M2" s="20">
        <v>1005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恐牙なる魂喰獣 アメミット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10</v>
      </c>
      <c r="T2" s="25">
        <v>2.2000000000000002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43010</v>
      </c>
      <c r="V2" s="25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1800</v>
      </c>
      <c r="X2" s="5">
        <v>0</v>
      </c>
      <c r="Y2" s="4"/>
      <c r="Z2" s="4">
        <v>20018140</v>
      </c>
      <c r="AA2" s="70">
        <v>1</v>
      </c>
    </row>
    <row r="3" spans="1:27" ht="21" customHeight="1" x14ac:dyDescent="0.15">
      <c r="A3" s="16" t="str">
        <f t="shared" si="0"/>
        <v>20018_2-4/1005&lt;lv30&gt;sq1st2</v>
      </c>
      <c r="B3" s="22">
        <v>20018</v>
      </c>
      <c r="C3" s="21">
        <v>2</v>
      </c>
      <c r="D3" s="2" t="str">
        <f t="shared" si="1"/>
        <v>20018_2</v>
      </c>
      <c r="E3" s="4" t="str">
        <f ca="1">VLOOKUP($B3,OFFSET([2]quests!$A$1,0,0,COUNTA([2]quests!$A:$A),MATCH(E$1,[2]quests!$1:$1,0)-MATCH($B$1,[2]quests!$1:$1,0)+1),MATCH(E$1,[2]quests!$1:$1,0)-MATCH($B$1,[2]quests!$1:$1,0)+1,FALSE)</f>
        <v>魂を屠る黒影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【中級】魂を屠る黒影</v>
      </c>
      <c r="G3" s="21">
        <v>4</v>
      </c>
      <c r="H3" s="15" t="str">
        <f t="shared" si="2"/>
        <v>20018_2-4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>
        <v>1</v>
      </c>
      <c r="L3" s="38">
        <v>2</v>
      </c>
      <c r="M3" s="20">
        <v>1005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恐牙なる魂喰獣 アメミット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30</v>
      </c>
      <c r="T3" s="25">
        <v>2.2000000000000002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117810.00000000001</v>
      </c>
      <c r="V3" s="25">
        <v>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4932</v>
      </c>
      <c r="X3" s="5">
        <v>0</v>
      </c>
      <c r="Y3" s="4"/>
      <c r="Z3" s="4">
        <v>20018240</v>
      </c>
      <c r="AA3" s="70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20018_3-4/1005&lt;lv40&gt;sq1st2</v>
      </c>
      <c r="B4" s="22">
        <v>20018</v>
      </c>
      <c r="C4" s="21">
        <v>3</v>
      </c>
      <c r="D4" s="2" t="str">
        <f>B4&amp;"_"&amp;C4</f>
        <v>20018_3</v>
      </c>
      <c r="E4" s="4" t="str">
        <f ca="1">VLOOKUP($B4,OFFSET([2]quests!$A$1,0,0,COUNTA([2]quests!$A:$A),MATCH(E$1,[2]quests!$1:$1,0)-MATCH($B$1,[2]quests!$1:$1,0)+1),MATCH(E$1,[2]quests!$1:$1,0)-MATCH($B$1,[2]quests!$1:$1,0)+1,FALSE)</f>
        <v>魂を屠る黒影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【上級】魂を屠る黒影</v>
      </c>
      <c r="G4" s="21">
        <v>4</v>
      </c>
      <c r="H4" s="15" t="str">
        <f>B4&amp;"_"&amp;C4&amp;"-"&amp;G4</f>
        <v>20018_3-4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1005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恐牙なる魂喰獣 アメミット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2.2000000000000002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155210</v>
      </c>
      <c r="V4" s="25">
        <v>1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6497</v>
      </c>
      <c r="X4" s="5">
        <v>0</v>
      </c>
      <c r="Y4" s="4"/>
      <c r="Z4" s="4">
        <v>20018340</v>
      </c>
      <c r="AA4" s="70">
        <v>1</v>
      </c>
    </row>
  </sheetData>
  <sheetProtection selectLockedCells="1" selectUnlockedCells="1"/>
  <autoFilter ref="B1:AA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4"/>
  <sheetViews>
    <sheetView showGridLines="0" workbookViewId="0">
      <pane xSplit="5" ySplit="1" topLeftCell="F6" activePane="bottomRight" state="frozen"/>
      <selection pane="topRight"/>
      <selection pane="bottomLeft"/>
      <selection pane="bottomRight" activeCell="C23" sqref="C2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10.1640625" style="49" customWidth="1"/>
    <col min="3" max="3" width="9.6640625" style="49" customWidth="1"/>
    <col min="4" max="4" width="26.1640625" style="49" customWidth="1" outlineLevel="1"/>
    <col min="5" max="5" width="44.164062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12" si="0">B2&amp;"_"&amp;C2</f>
        <v>20018110_20018111</v>
      </c>
      <c r="B2" s="47">
        <v>20018110</v>
      </c>
      <c r="C2" s="47">
        <v>20018111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ハートブレイカー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2" s="47">
        <v>20018111</v>
      </c>
      <c r="G2" s="48"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20018120_20018121</v>
      </c>
      <c r="B3" s="47">
        <v>20018120</v>
      </c>
      <c r="C3" s="47">
        <v>20018121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威武を示す咆哮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3" s="47">
        <v>20018121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20018120_20018122</v>
      </c>
      <c r="B4" s="47">
        <v>20018120</v>
      </c>
      <c r="C4" s="47">
        <v>20018122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そろそろ終わりにしてやろう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47">
        <v>20018122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20018130_20018131</v>
      </c>
      <c r="B5" s="47">
        <v>20018130</v>
      </c>
      <c r="C5" s="47">
        <v>20018131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ググアーガグア(すぐに立ち去るがいい)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3ターン防御力UP+お邪魔パネルを3個生成</v>
      </c>
      <c r="F5" s="47">
        <v>20018131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20018130_20018132</v>
      </c>
      <c r="B6" s="47">
        <v>20018130</v>
      </c>
      <c r="C6" s="47">
        <v>20018132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行く手を阻む炯眼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お邪魔パネルを3個生成</v>
      </c>
      <c r="F6" s="47">
        <v>20018132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20018130_20018133</v>
      </c>
      <c r="B7" s="47">
        <v>20018130</v>
      </c>
      <c r="C7" s="47">
        <v>20018133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行く手を阻む炯眼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お邪魔パネルを3個生成</v>
      </c>
      <c r="F7" s="47">
        <v>20018133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20018130_20018134</v>
      </c>
      <c r="B8" s="47">
        <v>20018130</v>
      </c>
      <c r="C8" s="47">
        <v>20018134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ガグーガグガ……(やむを得ませんね……)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ガウグアガーウ(私はあなたを排除する)</v>
      </c>
      <c r="F8" s="47">
        <v>20018134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20018140_20018141</v>
      </c>
      <c r="B9" s="47">
        <v>20018140</v>
      </c>
      <c r="C9" s="47">
        <v>20018141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魂の裁定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ハートパネルを5個生成</v>
      </c>
      <c r="F9" s="47">
        <v>20018141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20018140_20018142</v>
      </c>
      <c r="B10" s="47">
        <v>20018140</v>
      </c>
      <c r="C10" s="47">
        <v>20018142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ハートパネル吸収攻撃+お邪魔パネルを1個生成</v>
      </c>
      <c r="F10" s="47">
        <v>20018142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0" s="47"/>
      <c r="Q10" s="47"/>
      <c r="R10" s="47"/>
    </row>
    <row r="11" spans="1:18" ht="21" customHeight="1" x14ac:dyDescent="0.15">
      <c r="A11" s="39" t="str">
        <f t="shared" si="0"/>
        <v>20018140_20018143</v>
      </c>
      <c r="B11" s="47">
        <v>20018140</v>
      </c>
      <c r="C11" s="47">
        <v>20018143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ハートパネル吸収攻撃+お邪魔パネルを2個生成</v>
      </c>
      <c r="F11" s="47">
        <v>20018143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1" s="47"/>
      <c r="Q11" s="47"/>
      <c r="R11" s="47"/>
    </row>
    <row r="12" spans="1:18" ht="21" customHeight="1" x14ac:dyDescent="0.15">
      <c r="A12" s="39" t="str">
        <f t="shared" si="0"/>
        <v>20018140_20018144</v>
      </c>
      <c r="B12" s="47">
        <v>20018140</v>
      </c>
      <c r="C12" s="47">
        <v>20018144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ハートパネル吸収攻撃+お邪魔パネルを3個生成</v>
      </c>
      <c r="F12" s="47">
        <v>20018144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23" si="1">B13&amp;"_"&amp;C13</f>
        <v>20018210_20018211</v>
      </c>
      <c r="B13" s="47">
        <v>20018210</v>
      </c>
      <c r="C13" s="47">
        <v>20018211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ハートブレイカー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13" s="47">
        <v>20018211</v>
      </c>
      <c r="G13" s="48"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20018220_20018221</v>
      </c>
      <c r="B14" s="47">
        <v>20018220</v>
      </c>
      <c r="C14" s="47">
        <v>20018221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威武を示す咆哮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14" s="47">
        <v>20018221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20018220_20018222</v>
      </c>
      <c r="B15" s="47">
        <v>20018220</v>
      </c>
      <c r="C15" s="47">
        <v>20018222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そろそろ終わりにしてやろう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47">
        <v>20018222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20018230_20018231</v>
      </c>
      <c r="B16" s="47">
        <v>20018230</v>
      </c>
      <c r="C16" s="47">
        <v>20018231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ググアーガグア(すぐに立ち去るがいい)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3ターン防御力UP+お邪魔パネルを3個生成</v>
      </c>
      <c r="F16" s="47">
        <v>20018231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20018230_20018232</v>
      </c>
      <c r="B17" s="47">
        <v>20018230</v>
      </c>
      <c r="C17" s="47">
        <v>20018232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行く手を阻む炯眼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お邪魔パネルを3個生成</v>
      </c>
      <c r="F17" s="47">
        <v>20018232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20018230_20018233</v>
      </c>
      <c r="B18" s="47">
        <v>20018230</v>
      </c>
      <c r="C18" s="47">
        <v>20018233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行く手を阻む炯眼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お邪魔パネルを3個生成</v>
      </c>
      <c r="F18" s="47">
        <v>20018233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20018230_20018234</v>
      </c>
      <c r="B19" s="47">
        <v>20018230</v>
      </c>
      <c r="C19" s="47">
        <v>20018234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ガグーガグア……(やむを得ませんね……)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ガウグアガーウ(私はあなたを排除する)</v>
      </c>
      <c r="F19" s="47">
        <v>20018234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20018240_20018241</v>
      </c>
      <c r="B20" s="47">
        <v>20018240</v>
      </c>
      <c r="C20" s="47">
        <v>20018241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魂の裁定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ハートパネルを5個生成</v>
      </c>
      <c r="F20" s="47">
        <v>20018241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20018240_20018242</v>
      </c>
      <c r="B21" s="47">
        <v>20018240</v>
      </c>
      <c r="C21" s="47">
        <v>20018242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ハートパネル吸収攻撃+お邪魔パネルを1個生成</v>
      </c>
      <c r="F21" s="47">
        <v>20018242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1" s="47"/>
      <c r="Q21" s="47"/>
      <c r="R21" s="47"/>
    </row>
    <row r="22" spans="1:18" ht="21" customHeight="1" x14ac:dyDescent="0.15">
      <c r="A22" s="39" t="str">
        <f t="shared" si="1"/>
        <v>20018240_20018243</v>
      </c>
      <c r="B22" s="47">
        <v>20018240</v>
      </c>
      <c r="C22" s="47">
        <v>20018243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ハートパネル吸収攻撃+お邪魔パネルを2個生成</v>
      </c>
      <c r="F22" s="47">
        <v>20018243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2" s="47"/>
      <c r="Q22" s="47"/>
      <c r="R22" s="47"/>
    </row>
    <row r="23" spans="1:18" ht="21" customHeight="1" x14ac:dyDescent="0.15">
      <c r="A23" s="39" t="str">
        <f t="shared" si="1"/>
        <v>20018240_20018244</v>
      </c>
      <c r="B23" s="47">
        <v>20018240</v>
      </c>
      <c r="C23" s="47">
        <v>20018244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ハートパネル吸収攻撃+お邪魔パネルを3個生成</v>
      </c>
      <c r="F23" s="47">
        <v>20018244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" si="2">B24&amp;"_"&amp;C24</f>
        <v>20018310_20018311</v>
      </c>
      <c r="B24" s="47">
        <v>20018310</v>
      </c>
      <c r="C24" s="47">
        <v>20018311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ハートブレイカー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24" s="47">
        <v>20018311</v>
      </c>
      <c r="G24" s="48"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" si="3">B25&amp;"_"&amp;C25</f>
        <v>20018320_20018321</v>
      </c>
      <c r="B25" s="47">
        <v>20018320</v>
      </c>
      <c r="C25" s="47">
        <v>20018321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威武を示す咆哮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25" s="47">
        <v>20018321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4">B26&amp;"_"&amp;C26</f>
        <v>20018320_20018322</v>
      </c>
      <c r="B26" s="47">
        <v>20018320</v>
      </c>
      <c r="C26" s="47">
        <v>20018322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そろそろ終わりにしてやろう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6" s="47">
        <v>20018322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34" si="5">B27&amp;"_"&amp;C27</f>
        <v>20018330_20018331</v>
      </c>
      <c r="B27" s="47">
        <v>20018330</v>
      </c>
      <c r="C27" s="47">
        <v>20018331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ググアーガグア(すぐに立ち去るがいい)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3ターン防御力UP+お邪魔パネルを3個生成</v>
      </c>
      <c r="F27" s="47">
        <v>20018331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5"/>
        <v>20018330_20018332</v>
      </c>
      <c r="B28" s="47">
        <v>20018330</v>
      </c>
      <c r="C28" s="47">
        <v>20018332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行く手を阻む炯眼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お邪魔パネルを3個生成</v>
      </c>
      <c r="F28" s="47">
        <v>20018332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5"/>
        <v>20018330_20018333</v>
      </c>
      <c r="B29" s="47">
        <v>20018330</v>
      </c>
      <c r="C29" s="47">
        <v>20018333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行く手を阻む炯眼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お邪魔パネルを3個生成</v>
      </c>
      <c r="F29" s="47">
        <v>20018333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ref="A30" si="6">B30&amp;"_"&amp;C30</f>
        <v>20018330_20018334</v>
      </c>
      <c r="B30" s="47">
        <v>20018330</v>
      </c>
      <c r="C30" s="47">
        <v>20018334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ガグーガグア……(やむを得ませんね……)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ガウグアガーウ(私はあなたを排除する)</v>
      </c>
      <c r="F30" s="47">
        <v>20018334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5"/>
        <v>20018340_20018341</v>
      </c>
      <c r="B31" s="47">
        <v>20018340</v>
      </c>
      <c r="C31" s="47">
        <v>20018341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魂の裁定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ハートパネルを5個生成</v>
      </c>
      <c r="F31" s="47">
        <v>20018341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5"/>
        <v>20018340_20018342</v>
      </c>
      <c r="B32" s="47">
        <v>20018340</v>
      </c>
      <c r="C32" s="47">
        <v>20018342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ハートパネル吸収攻撃+お邪魔パネルを1個生成</v>
      </c>
      <c r="F32" s="47">
        <v>20018342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32" s="47"/>
      <c r="Q32" s="47"/>
      <c r="R32" s="47"/>
    </row>
    <row r="33" spans="1:18" ht="21" customHeight="1" x14ac:dyDescent="0.15">
      <c r="A33" s="39" t="str">
        <f t="shared" si="5"/>
        <v>20018340_20018343</v>
      </c>
      <c r="B33" s="47">
        <v>20018340</v>
      </c>
      <c r="C33" s="47">
        <v>20018343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ハートパネル吸収攻撃+お邪魔パネルを2個生成</v>
      </c>
      <c r="F33" s="47">
        <v>20018343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3" s="47"/>
      <c r="Q33" s="47"/>
      <c r="R33" s="47"/>
    </row>
    <row r="34" spans="1:18" ht="21" customHeight="1" x14ac:dyDescent="0.15">
      <c r="A34" s="39" t="str">
        <f t="shared" si="5"/>
        <v>20018340_20018344</v>
      </c>
      <c r="B34" s="47">
        <v>20018340</v>
      </c>
      <c r="C34" s="47">
        <v>20018344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永滅なる断罪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ハートパネル吸収攻撃+お邪魔パネルを3個生成</v>
      </c>
      <c r="F34" s="47">
        <v>20018344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workbookViewId="0">
      <selection activeCell="B14" sqref="B1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86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20018111</v>
      </c>
      <c r="B2" s="47" t="s">
        <v>289</v>
      </c>
      <c r="C2" s="50">
        <v>3</v>
      </c>
      <c r="D2" s="50" t="s">
        <v>128</v>
      </c>
      <c r="E2" s="51" t="s">
        <v>255</v>
      </c>
      <c r="F2" s="50" t="s">
        <v>267</v>
      </c>
      <c r="G2" s="63" t="str">
        <f>IFERROR(LEFT(B2,FIND("],",B2)),B2)</f>
        <v>[effect:break_attack_fix, val:160, lowest_val:1600, count:10, color:blue, block:block_heart, target:unit_one]</v>
      </c>
      <c r="H2" s="63">
        <f>FIND("effect:",G2)+7</f>
        <v>9</v>
      </c>
      <c r="I2" s="63">
        <f>IFERROR(FIND(",",G2),LEN(G2))</f>
        <v>25</v>
      </c>
      <c r="J2" s="63">
        <f>FIND("target:",G2)+7</f>
        <v>101</v>
      </c>
      <c r="K2" s="63">
        <f>FIND(",",G2,I2+1)</f>
        <v>34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>IFERROR(RIGHT(B2,LEN(B2)-FIND("],",B2)-1),"none")</f>
        <v xml:space="preserve">[effect:fix_speed, target:myself, turn:2] </v>
      </c>
      <c r="N2" s="48" t="str">
        <f t="shared" ref="N2:N8" si="0">IFERROR(LEFT(M2,FIND("],",M2)+S10),M2)</f>
        <v xml:space="preserve">[effect:fix_speed, target:myself, turn:2] 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20018121</v>
      </c>
      <c r="B3" s="47" t="s">
        <v>254</v>
      </c>
      <c r="C3" s="50">
        <v>3</v>
      </c>
      <c r="D3" s="50" t="s">
        <v>128</v>
      </c>
      <c r="E3" s="51" t="s">
        <v>257</v>
      </c>
      <c r="F3" s="50" t="s">
        <v>256</v>
      </c>
      <c r="G3" s="63" t="str">
        <f t="shared" ref="G3:G12" si="1">IFERROR(LEFT(B3,FIND("],",B3)),B3)</f>
        <v>[effect:dis_heart, turn:2, animation:enemy_dis_heart]</v>
      </c>
      <c r="H3" s="63">
        <f t="shared" ref="H3:H12" si="2">FIND("effect:",G3)+7</f>
        <v>9</v>
      </c>
      <c r="I3" s="63">
        <f t="shared" ref="I3:I12" si="3">IFERROR(FIND(",",G3),LEN(G3))</f>
        <v>18</v>
      </c>
      <c r="J3" s="63" t="e">
        <f t="shared" ref="J3:J12" si="4">FIND("target:",G3)+7</f>
        <v>#VALUE!</v>
      </c>
      <c r="K3" s="63">
        <f t="shared" ref="K3:K12" si="5">FIND(",",G3,I3+1)</f>
        <v>26</v>
      </c>
      <c r="L3" s="63" t="str">
        <f>IFERROR(VLOOKUP(MID(G3,J3,K3-J3),[5]skilldef!$C:$D,2,FALSE),"-") &amp; " / " &amp; IFERROR(VLOOKUP(MID(G3,H3,I3-H3),[5]skilldef!$A:$B,2,FALSE),"-")</f>
        <v>- / ディスハート</v>
      </c>
      <c r="M3" s="63" t="str">
        <f t="shared" ref="M3:M12" si="6">IFERROR(RIGHT(B3,LEN(B3)-FIND("],",B3)-1),"none")</f>
        <v>none</v>
      </c>
      <c r="N3" s="48" t="str">
        <f t="shared" si="0"/>
        <v>none</v>
      </c>
      <c r="O3" s="63" t="e">
        <f t="shared" ref="O3:O12" si="7">FIND("effect:",N3)+7</f>
        <v>#VALUE!</v>
      </c>
      <c r="P3" s="63">
        <f t="shared" ref="P3:P12" si="8">IFERROR(FIND(",",N3),LEN(N3))</f>
        <v>4</v>
      </c>
      <c r="Q3" s="63" t="e">
        <f t="shared" ref="Q3:Q12" si="9">FIND("target:",N3)+7</f>
        <v>#VALUE!</v>
      </c>
      <c r="R3" s="63" t="e">
        <f t="shared" ref="R3:R12" si="10">FIND(",",N3,P3+1)</f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:T12" si="11">IFERROR(RIGHT(M3,LEN(M3)-FIND("],",M3)-1),"none")</f>
        <v>none</v>
      </c>
      <c r="U3" s="63" t="e">
        <f t="shared" ref="U3:U12" si="12">FIND("effect:",T3)+7</f>
        <v>#VALUE!</v>
      </c>
      <c r="V3" s="63">
        <f t="shared" ref="V3:V12" si="13">IFERROR(FIND(",",T3),LEN(T3))</f>
        <v>4</v>
      </c>
      <c r="W3" s="63" t="e">
        <f t="shared" ref="W3:W12" si="14">FIND("target:",T3)+7</f>
        <v>#VALUE!</v>
      </c>
      <c r="X3" s="63" t="e">
        <f t="shared" ref="X3:X12" si="15">FIND(",",T3,V3+1)</f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20018122</v>
      </c>
      <c r="B4" s="47" t="s">
        <v>253</v>
      </c>
      <c r="C4" s="50">
        <v>3</v>
      </c>
      <c r="D4" s="50" t="s">
        <v>128</v>
      </c>
      <c r="E4" s="51" t="s">
        <v>258</v>
      </c>
      <c r="F4" s="50" t="s">
        <v>268</v>
      </c>
      <c r="G4" s="63" t="str">
        <f t="shared" si="1"/>
        <v>[effect:critical, val:1.5]</v>
      </c>
      <c r="H4" s="63">
        <f t="shared" si="2"/>
        <v>9</v>
      </c>
      <c r="I4" s="63">
        <f t="shared" si="3"/>
        <v>17</v>
      </c>
      <c r="J4" s="63" t="e">
        <f t="shared" si="4"/>
        <v>#VALUE!</v>
      </c>
      <c r="K4" s="63" t="e">
        <f t="shared" si="5"/>
        <v>#VALUE!</v>
      </c>
      <c r="L4" s="63" t="str">
        <f>IFERROR(VLOOKUP(MID(G4,J4,K4-J4),[5]skilldef!$C:$D,2,FALSE),"-") &amp; " / " &amp; IFERROR(VLOOKUP(MID(G4,H4,I4-H4),[5]skilldef!$A:$B,2,FALSE),"-")</f>
        <v>- / 大攻撃</v>
      </c>
      <c r="M4" s="63" t="str">
        <f t="shared" si="6"/>
        <v>none</v>
      </c>
      <c r="N4" s="48" t="str">
        <f t="shared" si="0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20018131</v>
      </c>
      <c r="B5" s="47" t="s">
        <v>290</v>
      </c>
      <c r="C5" s="50">
        <v>3</v>
      </c>
      <c r="D5" s="50" t="s">
        <v>128</v>
      </c>
      <c r="E5" s="51" t="s">
        <v>263</v>
      </c>
      <c r="F5" s="50" t="s">
        <v>269</v>
      </c>
      <c r="G5" s="63" t="str">
        <f t="shared" si="1"/>
        <v>[effect:enhance_enemy, target:myself, turn:3, status:defense, val:600, calc:add, animation:enemy_enhance_defense]</v>
      </c>
      <c r="H5" s="63">
        <f t="shared" si="2"/>
        <v>9</v>
      </c>
      <c r="I5" s="63">
        <f t="shared" si="3"/>
        <v>22</v>
      </c>
      <c r="J5" s="63">
        <f t="shared" si="4"/>
        <v>31</v>
      </c>
      <c r="K5" s="63">
        <f t="shared" si="5"/>
        <v>37</v>
      </c>
      <c r="L5" s="63" t="str">
        <f>IFERROR(VLOOKUP(MID(G5,J5,K5-J5),[5]skilldef!$C:$D,2,FALSE),"-") &amp; " / " &amp; IFERROR(VLOOKUP(MID(G5,H5,I5-H5),[5]skilldef!$A:$B,2,FALSE),"-")</f>
        <v>自分自身に / ステータス強化</v>
      </c>
      <c r="M5" s="63" t="str">
        <f t="shared" si="6"/>
        <v xml:space="preserve">[effect:force_change_block, new_block:jammer, target:block_all, ignore01:crash, ignore02:crack_bomb, count:3, val:0, animation:change_block],[effect:fix_speed, target:myself, turn:1] </v>
      </c>
      <c r="N5" s="48" t="str">
        <f t="shared" si="0"/>
        <v xml:space="preserve">[effect:force_change_block, new_block:jammer, target:block_all, ignore01:crash, ignore02:crack_bomb, count:3, val:0, animation:change_block],[effect:fix_speed, target:myself, turn:1] </v>
      </c>
      <c r="O5" s="63">
        <f t="shared" si="7"/>
        <v>9</v>
      </c>
      <c r="P5" s="63">
        <f t="shared" si="8"/>
        <v>27</v>
      </c>
      <c r="Q5" s="63">
        <f t="shared" si="9"/>
        <v>54</v>
      </c>
      <c r="R5" s="63">
        <f t="shared" si="10"/>
        <v>45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 xml:space="preserve">[effect:fix_speed, target:myself, turn:1] </v>
      </c>
      <c r="U5" s="63">
        <f t="shared" si="12"/>
        <v>9</v>
      </c>
      <c r="V5" s="63">
        <f t="shared" si="13"/>
        <v>18</v>
      </c>
      <c r="W5" s="63">
        <f t="shared" si="14"/>
        <v>27</v>
      </c>
      <c r="X5" s="63">
        <f t="shared" si="15"/>
        <v>33</v>
      </c>
      <c r="Y5" s="63" t="str">
        <f>IFERROR(VLOOKUP(MID(T5,W5,X5-W5),[5]skilldef!$C:$D,2,FALSE),"-") &amp; " / " &amp; IFERROR(VLOOKUP(MID(T5,U5,V5-U5),[5]skilldef!$A:$B,2,FALSE),"-")</f>
        <v>自分自身に / 行動値設定</v>
      </c>
      <c r="Z5" s="50"/>
      <c r="AA5" s="52"/>
      <c r="AB5" s="50"/>
    </row>
    <row r="6" spans="1:28" ht="21" customHeight="1" x14ac:dyDescent="0.15">
      <c r="A6" s="47">
        <v>20018132</v>
      </c>
      <c r="B6" s="47" t="s">
        <v>291</v>
      </c>
      <c r="C6" s="50">
        <v>3</v>
      </c>
      <c r="D6" s="50" t="s">
        <v>128</v>
      </c>
      <c r="E6" s="51" t="s">
        <v>275</v>
      </c>
      <c r="F6" s="50" t="s">
        <v>270</v>
      </c>
      <c r="G6" s="63" t="str">
        <f t="shared" si="1"/>
        <v xml:space="preserve">[effect:force_change_block, new_block:jammer, target:block_all, ignore01:crash, ignore02:crack_bomb, count:3, val:0, animation:change_block] </v>
      </c>
      <c r="H6" s="63">
        <f t="shared" si="2"/>
        <v>9</v>
      </c>
      <c r="I6" s="63">
        <f t="shared" si="3"/>
        <v>27</v>
      </c>
      <c r="J6" s="63">
        <f t="shared" si="4"/>
        <v>54</v>
      </c>
      <c r="K6" s="63">
        <f t="shared" si="5"/>
        <v>45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6"/>
        <v>none</v>
      </c>
      <c r="N6" s="48" t="str">
        <f t="shared" si="0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20018133</v>
      </c>
      <c r="B7" s="47" t="s">
        <v>291</v>
      </c>
      <c r="C7" s="50">
        <v>3</v>
      </c>
      <c r="D7" s="50" t="s">
        <v>128</v>
      </c>
      <c r="E7" s="51" t="s">
        <v>275</v>
      </c>
      <c r="F7" s="50" t="s">
        <v>270</v>
      </c>
      <c r="G7" s="63" t="str">
        <f t="shared" si="1"/>
        <v xml:space="preserve">[effect:force_change_block, new_block:jammer, target:block_all, ignore01:crash, ignore02:crack_bomb, count:3, val:0, animation:change_block] </v>
      </c>
      <c r="H7" s="63">
        <f t="shared" si="2"/>
        <v>9</v>
      </c>
      <c r="I7" s="63">
        <f t="shared" si="3"/>
        <v>27</v>
      </c>
      <c r="J7" s="63">
        <f t="shared" si="4"/>
        <v>54</v>
      </c>
      <c r="K7" s="63">
        <f t="shared" si="5"/>
        <v>45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6"/>
        <v>none</v>
      </c>
      <c r="N7" s="48" t="str">
        <f t="shared" si="0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20018134</v>
      </c>
      <c r="B8" s="47" t="s">
        <v>292</v>
      </c>
      <c r="C8" s="50">
        <v>3</v>
      </c>
      <c r="D8" s="50" t="s">
        <v>128</v>
      </c>
      <c r="E8" s="50" t="s">
        <v>266</v>
      </c>
      <c r="F8" s="104" t="s">
        <v>262</v>
      </c>
      <c r="G8" s="63" t="str">
        <f t="shared" si="1"/>
        <v>[effect:force_change_block, new_block:jammer, target:block_all, ignore01:crash, ignore02:crack_bomb, count:3, val:0, animation:change_block]</v>
      </c>
      <c r="H8" s="63">
        <f t="shared" si="2"/>
        <v>9</v>
      </c>
      <c r="I8" s="63">
        <f t="shared" si="3"/>
        <v>27</v>
      </c>
      <c r="J8" s="63">
        <f t="shared" si="4"/>
        <v>54</v>
      </c>
      <c r="K8" s="63">
        <f t="shared" si="5"/>
        <v>45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6"/>
        <v xml:space="preserve">[effect:suicide, val:1, dead_type:escape, target:myself]    </v>
      </c>
      <c r="N8" s="48" t="str">
        <f t="shared" si="0"/>
        <v xml:space="preserve">[effect:suicide, val:1, dead_type:escape, target:myself]    </v>
      </c>
      <c r="O8" s="63">
        <f t="shared" si="7"/>
        <v>9</v>
      </c>
      <c r="P8" s="63">
        <f t="shared" si="8"/>
        <v>16</v>
      </c>
      <c r="Q8" s="63">
        <f t="shared" si="9"/>
        <v>50</v>
      </c>
      <c r="R8" s="63">
        <f t="shared" si="10"/>
        <v>23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20018141</v>
      </c>
      <c r="B9" s="47" t="s">
        <v>293</v>
      </c>
      <c r="C9" s="50">
        <v>3</v>
      </c>
      <c r="D9" s="50" t="s">
        <v>128</v>
      </c>
      <c r="E9" s="51" t="s">
        <v>259</v>
      </c>
      <c r="F9" s="50" t="s">
        <v>271</v>
      </c>
      <c r="G9" s="63" t="str">
        <f t="shared" si="1"/>
        <v>[effect:force_change_block, new_block:block_heart, target:block_all, ignore01:jammer, ignore02:crack_bomb, count:5, val:0, animation:change_block]</v>
      </c>
      <c r="H9" s="63">
        <f t="shared" si="2"/>
        <v>9</v>
      </c>
      <c r="I9" s="63">
        <f t="shared" si="3"/>
        <v>27</v>
      </c>
      <c r="J9" s="63">
        <f t="shared" si="4"/>
        <v>59</v>
      </c>
      <c r="K9" s="63">
        <f t="shared" si="5"/>
        <v>50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6"/>
        <v>[effect:fix_speed, target:myself, turn:1]</v>
      </c>
      <c r="N9" s="48" t="str">
        <f t="shared" ref="N9" si="16">IFERROR(LEFT(M9,FIND("],",M9)+S19),M9)</f>
        <v>[effect:fix_speed, target:myself, turn:1]</v>
      </c>
      <c r="O9" s="63">
        <f t="shared" si="7"/>
        <v>9</v>
      </c>
      <c r="P9" s="63">
        <f t="shared" si="8"/>
        <v>18</v>
      </c>
      <c r="Q9" s="63">
        <f t="shared" si="9"/>
        <v>27</v>
      </c>
      <c r="R9" s="63">
        <f t="shared" si="10"/>
        <v>33</v>
      </c>
      <c r="S9" s="63" t="str">
        <f>IFERROR(VLOOKUP(MID(N9,Q9,R9-Q9),[5]skilldef!$C:$D,2,FALSE),"-") &amp; " / " &amp; IFERROR(VLOOKUP(MID(N9,O9,P9-O9),[5]skilldef!$A:$B,2,FALSE),"-")</f>
        <v>自分自身に / 行動値設定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20018142</v>
      </c>
      <c r="B10" s="47" t="s">
        <v>294</v>
      </c>
      <c r="C10" s="50">
        <v>3</v>
      </c>
      <c r="D10" s="50" t="s">
        <v>128</v>
      </c>
      <c r="E10" s="51" t="s">
        <v>264</v>
      </c>
      <c r="F10" s="50" t="s">
        <v>280</v>
      </c>
      <c r="G10" s="63" t="str">
        <f t="shared" si="1"/>
        <v>[effect:break_attack_fix, val:100, lowest_val:800, count:-1, color:blue, block:block_heart, target:unit_all]</v>
      </c>
      <c r="H10" s="63">
        <f t="shared" si="2"/>
        <v>9</v>
      </c>
      <c r="I10" s="63">
        <f t="shared" si="3"/>
        <v>25</v>
      </c>
      <c r="J10" s="63">
        <f t="shared" si="4"/>
        <v>100</v>
      </c>
      <c r="K10" s="63">
        <f t="shared" si="5"/>
        <v>34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6"/>
        <v>[effect:force_change_block, new_block:jammer, target:block_all, ignore01:crash, ignore02:crack_bomb, count:1, val:0, animation:change_block],[effect:fix_speed, target:myself, turn:1]</v>
      </c>
      <c r="N10" s="48" t="str">
        <f>IFERROR(LEFT(M10,FIND("],",M10)+#REF!),M10)</f>
        <v>[effect:force_change_block, new_block:jammer, target:block_all, ignore01:crash, ignore02:crack_bomb, count:1, val:0, animation:change_block],[effect:fix_speed, target:myself, turn:1]</v>
      </c>
      <c r="O10" s="63">
        <f t="shared" si="7"/>
        <v>9</v>
      </c>
      <c r="P10" s="63">
        <f t="shared" si="8"/>
        <v>27</v>
      </c>
      <c r="Q10" s="63">
        <f t="shared" si="9"/>
        <v>54</v>
      </c>
      <c r="R10" s="63">
        <f t="shared" si="10"/>
        <v>45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1"/>
        <v>[effect:fix_speed, target:myself, turn:1]</v>
      </c>
      <c r="U10" s="63">
        <f t="shared" si="12"/>
        <v>9</v>
      </c>
      <c r="V10" s="63">
        <f t="shared" si="13"/>
        <v>18</v>
      </c>
      <c r="W10" s="63">
        <f t="shared" si="14"/>
        <v>27</v>
      </c>
      <c r="X10" s="63">
        <f t="shared" si="15"/>
        <v>33</v>
      </c>
      <c r="Y10" s="63" t="str">
        <f>IFERROR(VLOOKUP(MID(T10,W10,X10-W10),[5]skilldef!$C:$D,2,FALSE),"-") &amp; " / " &amp; IFERROR(VLOOKUP(MID(T10,U10,V10-U10),[5]skilldef!$A:$B,2,FALSE),"-")</f>
        <v>自分自身に / 行動値設定</v>
      </c>
      <c r="Z10" s="50"/>
      <c r="AA10" s="52"/>
      <c r="AB10" s="50"/>
    </row>
    <row r="11" spans="1:28" ht="21" customHeight="1" x14ac:dyDescent="0.15">
      <c r="A11" s="47">
        <v>20018143</v>
      </c>
      <c r="B11" s="47" t="s">
        <v>295</v>
      </c>
      <c r="C11" s="50">
        <v>3</v>
      </c>
      <c r="D11" s="50" t="s">
        <v>128</v>
      </c>
      <c r="E11" s="51" t="s">
        <v>261</v>
      </c>
      <c r="F11" s="50" t="s">
        <v>273</v>
      </c>
      <c r="G11" s="63" t="str">
        <f t="shared" si="1"/>
        <v>[effect:break_attack_fix, val:100, lowest_val:800, count:-1, color:blue, block:block_heart, target:unit_all]</v>
      </c>
      <c r="H11" s="63">
        <f t="shared" si="2"/>
        <v>9</v>
      </c>
      <c r="I11" s="63">
        <f t="shared" si="3"/>
        <v>25</v>
      </c>
      <c r="J11" s="63">
        <f t="shared" si="4"/>
        <v>100</v>
      </c>
      <c r="K11" s="63">
        <f t="shared" si="5"/>
        <v>34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6"/>
        <v>[effect:force_change_block, new_block:jammer, target:block_all, ignore01:crash, ignore02:crack_bomb, count:2, val:0, animation:change_block],[effect:fix_speed, target:myself, turn:2]</v>
      </c>
      <c r="N11" s="48" t="str">
        <f>IFERROR(LEFT(M11,FIND("],",M11)+S20),M11)</f>
        <v>[effect:force_change_block, new_block:jammer, target:block_all, ignore01:crash, ignore02:crack_bomb, count:2, val:0, animation:change_block],[effect:fix_speed, target:myself, turn:2]</v>
      </c>
      <c r="O11" s="63">
        <f t="shared" si="7"/>
        <v>9</v>
      </c>
      <c r="P11" s="63">
        <f t="shared" si="8"/>
        <v>27</v>
      </c>
      <c r="Q11" s="63">
        <f t="shared" si="9"/>
        <v>54</v>
      </c>
      <c r="R11" s="63">
        <f t="shared" si="10"/>
        <v>45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1"/>
        <v>[effect:fix_speed, target:myself, turn:2]</v>
      </c>
      <c r="U11" s="63">
        <f t="shared" si="12"/>
        <v>9</v>
      </c>
      <c r="V11" s="63">
        <f t="shared" si="13"/>
        <v>18</v>
      </c>
      <c r="W11" s="63">
        <f t="shared" si="14"/>
        <v>27</v>
      </c>
      <c r="X11" s="63">
        <f t="shared" si="15"/>
        <v>33</v>
      </c>
      <c r="Y11" s="63" t="str">
        <f>IFERROR(VLOOKUP(MID(T11,W11,X11-W11),[5]skilldef!$C:$D,2,FALSE),"-") &amp; " / " &amp; IFERROR(VLOOKUP(MID(T11,U11,V11-U11),[5]skilldef!$A:$B,2,FALSE),"-")</f>
        <v>自分自身に / 行動値設定</v>
      </c>
      <c r="Z11" s="50"/>
      <c r="AA11" s="52"/>
      <c r="AB11" s="50"/>
    </row>
    <row r="12" spans="1:28" ht="21" customHeight="1" x14ac:dyDescent="0.15">
      <c r="A12" s="47">
        <v>20018144</v>
      </c>
      <c r="B12" s="47" t="s">
        <v>296</v>
      </c>
      <c r="C12" s="50">
        <v>3</v>
      </c>
      <c r="D12" s="50" t="s">
        <v>128</v>
      </c>
      <c r="E12" s="51" t="s">
        <v>260</v>
      </c>
      <c r="F12" s="50" t="s">
        <v>274</v>
      </c>
      <c r="G12" s="63" t="str">
        <f t="shared" si="1"/>
        <v>[effect:break_attack_fix, val:100, lowest_val:1000, count:-1, color:blue, block:block_heart, target:unit_all]</v>
      </c>
      <c r="H12" s="63">
        <f t="shared" si="2"/>
        <v>9</v>
      </c>
      <c r="I12" s="63">
        <f t="shared" si="3"/>
        <v>25</v>
      </c>
      <c r="J12" s="63">
        <f t="shared" si="4"/>
        <v>101</v>
      </c>
      <c r="K12" s="63">
        <f t="shared" si="5"/>
        <v>34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6"/>
        <v>[effect:force_change_block, new_block:jammer, target:block_all, ignore01:crash, ignore02:crack_bomb, count:3, val:0, animation:change_block],[effect:fix_speed, target:myself, turn:3]</v>
      </c>
      <c r="N12" s="48" t="str">
        <f>IFERROR(LEFT(M12,FIND("],",M12)+S21),M12)</f>
        <v>[effect:force_change_block, new_block:jammer, target:block_all, ignore01:crash, ignore02:crack_bomb, count:3, val:0, animation:change_block],[effect:fix_speed, target:myself, turn:3]</v>
      </c>
      <c r="O12" s="63">
        <f t="shared" si="7"/>
        <v>9</v>
      </c>
      <c r="P12" s="63">
        <f t="shared" si="8"/>
        <v>27</v>
      </c>
      <c r="Q12" s="63">
        <f t="shared" si="9"/>
        <v>54</v>
      </c>
      <c r="R12" s="63">
        <f t="shared" si="10"/>
        <v>45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11"/>
        <v>[effect:fix_speed, target:myself, turn:3]</v>
      </c>
      <c r="U12" s="63">
        <f t="shared" si="12"/>
        <v>9</v>
      </c>
      <c r="V12" s="63">
        <f t="shared" si="13"/>
        <v>18</v>
      </c>
      <c r="W12" s="63">
        <f t="shared" si="14"/>
        <v>27</v>
      </c>
      <c r="X12" s="63">
        <f t="shared" si="15"/>
        <v>33</v>
      </c>
      <c r="Y12" s="63" t="str">
        <f>IFERROR(VLOOKUP(MID(T12,W12,X12-W12),[5]skilldef!$C:$D,2,FALSE),"-") &amp; " / " &amp; IFERROR(VLOOKUP(MID(T12,U12,V12-U12),[5]skilldef!$A:$B,2,FALSE),"-")</f>
        <v>自分自身に / 行動値設定</v>
      </c>
      <c r="Z12" s="50"/>
      <c r="AA12" s="52"/>
      <c r="AB12" s="50"/>
    </row>
    <row r="13" spans="1:28" ht="21" customHeight="1" x14ac:dyDescent="0.15">
      <c r="A13" s="47">
        <v>20018211</v>
      </c>
      <c r="B13" s="47" t="s">
        <v>287</v>
      </c>
      <c r="C13" s="50">
        <v>3</v>
      </c>
      <c r="D13" s="50" t="s">
        <v>128</v>
      </c>
      <c r="E13" s="51" t="s">
        <v>255</v>
      </c>
      <c r="F13" s="50" t="s">
        <v>267</v>
      </c>
      <c r="G13" s="63" t="str">
        <f>IFERROR(LEFT(B13,FIND("],",B13)),B13)</f>
        <v>[effect:break_attack_fix, val:180, lowest_val:1800, count:10, color:blue, block:block_heart, target:unit_one]</v>
      </c>
      <c r="H13" s="63">
        <f>FIND("effect:",G13)+7</f>
        <v>9</v>
      </c>
      <c r="I13" s="63">
        <f>IFERROR(FIND(",",G13),LEN(G13))</f>
        <v>25</v>
      </c>
      <c r="J13" s="63">
        <f>FIND("target:",G13)+7</f>
        <v>101</v>
      </c>
      <c r="K13" s="63">
        <f>FIND(",",G13,I13+1)</f>
        <v>34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>IFERROR(RIGHT(B13,LEN(B13)-FIND("],",B13)-1),"none")</f>
        <v xml:space="preserve">[effect:fix_speed, target:myself, turn:2] </v>
      </c>
      <c r="N13" s="48" t="str">
        <f t="shared" ref="N13:N19" si="17">IFERROR(LEFT(M13,FIND("],",M13)+S21),M13)</f>
        <v xml:space="preserve">[effect:fix_speed, target:myself, turn:2] </v>
      </c>
      <c r="O13" s="63">
        <f>FIND("effect:",N13)+7</f>
        <v>9</v>
      </c>
      <c r="P13" s="63">
        <f>IFERROR(FIND(",",N13),LEN(N13))</f>
        <v>18</v>
      </c>
      <c r="Q13" s="63">
        <f>FIND("target:",N13)+7</f>
        <v>27</v>
      </c>
      <c r="R13" s="63">
        <f>FIND(",",N13,P13+1)</f>
        <v>33</v>
      </c>
      <c r="S13" s="63" t="str">
        <f>IFERROR(VLOOKUP(MID(N13,Q13,R13-Q13),[5]skilldef!$C:$D,2,FALSE),"-") &amp; " / " &amp; IFERROR(VLOOKUP(MID(N13,O13,P13-O13),[5]skilldef!$A:$B,2,FALSE),"-")</f>
        <v>自分自身に / 行動値設定</v>
      </c>
      <c r="T13" s="48" t="str">
        <f>IFERROR(RIGHT(M13,LEN(M13)-FIND("],",M13)-1),"none")</f>
        <v>none</v>
      </c>
      <c r="U13" s="63" t="e">
        <f>FIND("effect:",T13)+7</f>
        <v>#VALUE!</v>
      </c>
      <c r="V13" s="63">
        <f>IFERROR(FIND(",",T13),LEN(T13))</f>
        <v>4</v>
      </c>
      <c r="W13" s="63" t="e">
        <f>FIND("target:",T13)+7</f>
        <v>#VALUE!</v>
      </c>
      <c r="X13" s="63" t="e">
        <f>FIND(",",T13,V13+1)</f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20018221</v>
      </c>
      <c r="B14" s="47" t="s">
        <v>254</v>
      </c>
      <c r="C14" s="50">
        <v>3</v>
      </c>
      <c r="D14" s="50" t="s">
        <v>128</v>
      </c>
      <c r="E14" s="51" t="s">
        <v>257</v>
      </c>
      <c r="F14" s="50" t="s">
        <v>256</v>
      </c>
      <c r="G14" s="63" t="str">
        <f t="shared" ref="G14:G23" si="18">IFERROR(LEFT(B14,FIND("],",B14)),B14)</f>
        <v>[effect:dis_heart, turn:2, animation:enemy_dis_heart]</v>
      </c>
      <c r="H14" s="63">
        <f t="shared" ref="H14:H23" si="19">FIND("effect:",G14)+7</f>
        <v>9</v>
      </c>
      <c r="I14" s="63">
        <f t="shared" ref="I14:I23" si="20">IFERROR(FIND(",",G14),LEN(G14))</f>
        <v>18</v>
      </c>
      <c r="J14" s="63" t="e">
        <f t="shared" ref="J14:J23" si="21">FIND("target:",G14)+7</f>
        <v>#VALUE!</v>
      </c>
      <c r="K14" s="63">
        <f t="shared" ref="K14:K23" si="22">FIND(",",G14,I14+1)</f>
        <v>26</v>
      </c>
      <c r="L14" s="63" t="str">
        <f>IFERROR(VLOOKUP(MID(G14,J14,K14-J14),[5]skilldef!$C:$D,2,FALSE),"-") &amp; " / " &amp; IFERROR(VLOOKUP(MID(G14,H14,I14-H14),[5]skilldef!$A:$B,2,FALSE),"-")</f>
        <v>- / ディスハート</v>
      </c>
      <c r="M14" s="63" t="str">
        <f t="shared" ref="M14:M23" si="23">IFERROR(RIGHT(B14,LEN(B14)-FIND("],",B14)-1),"none")</f>
        <v>none</v>
      </c>
      <c r="N14" s="48" t="str">
        <f t="shared" si="17"/>
        <v>none</v>
      </c>
      <c r="O14" s="63" t="e">
        <f t="shared" ref="O14:O23" si="24">FIND("effect:",N14)+7</f>
        <v>#VALUE!</v>
      </c>
      <c r="P14" s="63">
        <f t="shared" ref="P14:P23" si="25">IFERROR(FIND(",",N14),LEN(N14))</f>
        <v>4</v>
      </c>
      <c r="Q14" s="63" t="e">
        <f t="shared" ref="Q14:Q23" si="26">FIND("target:",N14)+7</f>
        <v>#VALUE!</v>
      </c>
      <c r="R14" s="63" t="e">
        <f t="shared" ref="R14:R23" si="27">FIND(",",N14,P14+1)</f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ref="T14:T23" si="28">IFERROR(RIGHT(M14,LEN(M14)-FIND("],",M14)-1),"none")</f>
        <v>none</v>
      </c>
      <c r="U14" s="63" t="e">
        <f t="shared" ref="U14:U23" si="29">FIND("effect:",T14)+7</f>
        <v>#VALUE!</v>
      </c>
      <c r="V14" s="63">
        <f t="shared" ref="V14:V23" si="30">IFERROR(FIND(",",T14),LEN(T14))</f>
        <v>4</v>
      </c>
      <c r="W14" s="63" t="e">
        <f t="shared" ref="W14:W23" si="31">FIND("target:",T14)+7</f>
        <v>#VALUE!</v>
      </c>
      <c r="X14" s="63" t="e">
        <f t="shared" ref="X14:X23" si="32">FIND(",",T14,V14+1)</f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20018222</v>
      </c>
      <c r="B15" s="47" t="s">
        <v>253</v>
      </c>
      <c r="C15" s="50">
        <v>3</v>
      </c>
      <c r="D15" s="50" t="s">
        <v>128</v>
      </c>
      <c r="E15" s="51" t="s">
        <v>258</v>
      </c>
      <c r="F15" s="50" t="s">
        <v>268</v>
      </c>
      <c r="G15" s="63" t="str">
        <f t="shared" si="18"/>
        <v>[effect:critical, val:1.5]</v>
      </c>
      <c r="H15" s="63">
        <f t="shared" si="19"/>
        <v>9</v>
      </c>
      <c r="I15" s="63">
        <f t="shared" si="20"/>
        <v>17</v>
      </c>
      <c r="J15" s="63" t="e">
        <f t="shared" si="21"/>
        <v>#VALUE!</v>
      </c>
      <c r="K15" s="63" t="e">
        <f t="shared" si="22"/>
        <v>#VALUE!</v>
      </c>
      <c r="L15" s="63" t="str">
        <f>IFERROR(VLOOKUP(MID(G15,J15,K15-J15),[5]skilldef!$C:$D,2,FALSE),"-") &amp; " / " &amp; IFERROR(VLOOKUP(MID(G15,H15,I15-H15),[5]skilldef!$A:$B,2,FALSE),"-")</f>
        <v>- / 大攻撃</v>
      </c>
      <c r="M15" s="63" t="str">
        <f t="shared" si="23"/>
        <v>none</v>
      </c>
      <c r="N15" s="48" t="str">
        <f t="shared" si="17"/>
        <v>none</v>
      </c>
      <c r="O15" s="63" t="e">
        <f t="shared" si="24"/>
        <v>#VALUE!</v>
      </c>
      <c r="P15" s="63">
        <f t="shared" si="25"/>
        <v>4</v>
      </c>
      <c r="Q15" s="63" t="e">
        <f t="shared" si="26"/>
        <v>#VALUE!</v>
      </c>
      <c r="R15" s="63" t="e">
        <f t="shared" si="27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28"/>
        <v>none</v>
      </c>
      <c r="U15" s="63" t="e">
        <f t="shared" si="29"/>
        <v>#VALUE!</v>
      </c>
      <c r="V15" s="63">
        <f t="shared" si="30"/>
        <v>4</v>
      </c>
      <c r="W15" s="63" t="e">
        <f t="shared" si="31"/>
        <v>#VALUE!</v>
      </c>
      <c r="X15" s="63" t="e">
        <f t="shared" si="32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20018231</v>
      </c>
      <c r="B16" s="47" t="s">
        <v>297</v>
      </c>
      <c r="C16" s="50">
        <v>3</v>
      </c>
      <c r="D16" s="50" t="s">
        <v>128</v>
      </c>
      <c r="E16" s="51" t="s">
        <v>263</v>
      </c>
      <c r="F16" s="50" t="s">
        <v>269</v>
      </c>
      <c r="G16" s="63" t="str">
        <f t="shared" si="18"/>
        <v>[effect:enhance_enemy, target:myself, turn:3, status:defense, val:800, calc:add, animation:enemy_enhance_defense]</v>
      </c>
      <c r="H16" s="63">
        <f t="shared" si="19"/>
        <v>9</v>
      </c>
      <c r="I16" s="63">
        <f t="shared" si="20"/>
        <v>22</v>
      </c>
      <c r="J16" s="63">
        <f t="shared" si="21"/>
        <v>31</v>
      </c>
      <c r="K16" s="63">
        <f t="shared" si="22"/>
        <v>37</v>
      </c>
      <c r="L16" s="63" t="str">
        <f>IFERROR(VLOOKUP(MID(G16,J16,K16-J16),[5]skilldef!$C:$D,2,FALSE),"-") &amp; " / " &amp; IFERROR(VLOOKUP(MID(G16,H16,I16-H16),[5]skilldef!$A:$B,2,FALSE),"-")</f>
        <v>自分自身に / ステータス強化</v>
      </c>
      <c r="M16" s="63" t="str">
        <f t="shared" si="23"/>
        <v xml:space="preserve">[effect:force_change_block, new_block:jammer, target:block_all, ignore01:crash, ignore02:crack_bomb, count:3, val:0, animation:change_block],[effect:fix_speed, target:myself, turn:1] </v>
      </c>
      <c r="N16" s="48" t="str">
        <f t="shared" si="17"/>
        <v xml:space="preserve">[effect:force_change_block, new_block:jammer, target:block_all, ignore01:crash, ignore02:crack_bomb, count:3, val:0, animation:change_block],[effect:fix_speed, target:myself, turn:1] </v>
      </c>
      <c r="O16" s="63">
        <f t="shared" si="24"/>
        <v>9</v>
      </c>
      <c r="P16" s="63">
        <f t="shared" si="25"/>
        <v>27</v>
      </c>
      <c r="Q16" s="63">
        <f t="shared" si="26"/>
        <v>54</v>
      </c>
      <c r="R16" s="63">
        <f t="shared" si="27"/>
        <v>45</v>
      </c>
      <c r="S16" s="63" t="str">
        <f>IFERROR(VLOOKUP(MID(N16,Q16,R16-Q16),[5]skilldef!$C:$D,2,FALSE),"-") &amp; " / " &amp; IFERROR(VLOOKUP(MID(N16,O16,P16-O16),[5]skilldef!$A:$B,2,FALSE),"-")</f>
        <v>- / -</v>
      </c>
      <c r="T16" s="48" t="str">
        <f t="shared" si="28"/>
        <v xml:space="preserve">[effect:fix_speed, target:myself, turn:1] </v>
      </c>
      <c r="U16" s="63">
        <f t="shared" si="29"/>
        <v>9</v>
      </c>
      <c r="V16" s="63">
        <f t="shared" si="30"/>
        <v>18</v>
      </c>
      <c r="W16" s="63">
        <f t="shared" si="31"/>
        <v>27</v>
      </c>
      <c r="X16" s="63">
        <f t="shared" si="32"/>
        <v>33</v>
      </c>
      <c r="Y16" s="63" t="str">
        <f>IFERROR(VLOOKUP(MID(T16,W16,X16-W16),[5]skilldef!$C:$D,2,FALSE),"-") &amp; " / " &amp; IFERROR(VLOOKUP(MID(T16,U16,V16-U16),[5]skilldef!$A:$B,2,FALSE),"-")</f>
        <v>自分自身に / 行動値設定</v>
      </c>
      <c r="Z16" s="50"/>
      <c r="AA16" s="52"/>
      <c r="AB16" s="50"/>
    </row>
    <row r="17" spans="1:28" ht="21" customHeight="1" x14ac:dyDescent="0.15">
      <c r="A17" s="47">
        <v>20018232</v>
      </c>
      <c r="B17" s="47" t="s">
        <v>291</v>
      </c>
      <c r="C17" s="50">
        <v>3</v>
      </c>
      <c r="D17" s="50" t="s">
        <v>128</v>
      </c>
      <c r="E17" s="51" t="s">
        <v>275</v>
      </c>
      <c r="F17" s="50" t="s">
        <v>270</v>
      </c>
      <c r="G17" s="63" t="str">
        <f t="shared" si="18"/>
        <v xml:space="preserve">[effect:force_change_block, new_block:jammer, target:block_all, ignore01:crash, ignore02:crack_bomb, count:3, val:0, animation:change_block] </v>
      </c>
      <c r="H17" s="63">
        <f t="shared" si="19"/>
        <v>9</v>
      </c>
      <c r="I17" s="63">
        <f t="shared" si="20"/>
        <v>27</v>
      </c>
      <c r="J17" s="63">
        <f t="shared" si="21"/>
        <v>54</v>
      </c>
      <c r="K17" s="63">
        <f t="shared" si="22"/>
        <v>45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23"/>
        <v>none</v>
      </c>
      <c r="N17" s="48" t="str">
        <f t="shared" si="17"/>
        <v>none</v>
      </c>
      <c r="O17" s="63" t="e">
        <f t="shared" si="24"/>
        <v>#VALUE!</v>
      </c>
      <c r="P17" s="63">
        <f t="shared" si="25"/>
        <v>4</v>
      </c>
      <c r="Q17" s="63" t="e">
        <f t="shared" si="26"/>
        <v>#VALUE!</v>
      </c>
      <c r="R17" s="63" t="e">
        <f t="shared" si="27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28"/>
        <v>none</v>
      </c>
      <c r="U17" s="63" t="e">
        <f t="shared" si="29"/>
        <v>#VALUE!</v>
      </c>
      <c r="V17" s="63">
        <f t="shared" si="30"/>
        <v>4</v>
      </c>
      <c r="W17" s="63" t="e">
        <f t="shared" si="31"/>
        <v>#VALUE!</v>
      </c>
      <c r="X17" s="63" t="e">
        <f t="shared" si="32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20018233</v>
      </c>
      <c r="B18" s="47" t="s">
        <v>291</v>
      </c>
      <c r="C18" s="50">
        <v>3</v>
      </c>
      <c r="D18" s="50" t="s">
        <v>128</v>
      </c>
      <c r="E18" s="51" t="s">
        <v>275</v>
      </c>
      <c r="F18" s="50" t="s">
        <v>270</v>
      </c>
      <c r="G18" s="63" t="str">
        <f t="shared" si="18"/>
        <v xml:space="preserve">[effect:force_change_block, new_block:jammer, target:block_all, ignore01:crash, ignore02:crack_bomb, count:3, val:0, animation:change_block] </v>
      </c>
      <c r="H18" s="63">
        <f t="shared" si="19"/>
        <v>9</v>
      </c>
      <c r="I18" s="63">
        <f t="shared" si="20"/>
        <v>27</v>
      </c>
      <c r="J18" s="63">
        <f t="shared" si="21"/>
        <v>54</v>
      </c>
      <c r="K18" s="63">
        <f t="shared" si="22"/>
        <v>45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23"/>
        <v>none</v>
      </c>
      <c r="N18" s="48" t="str">
        <f t="shared" si="17"/>
        <v>none</v>
      </c>
      <c r="O18" s="63" t="e">
        <f t="shared" si="24"/>
        <v>#VALUE!</v>
      </c>
      <c r="P18" s="63">
        <f t="shared" si="25"/>
        <v>4</v>
      </c>
      <c r="Q18" s="63" t="e">
        <f t="shared" si="26"/>
        <v>#VALUE!</v>
      </c>
      <c r="R18" s="63" t="e">
        <f t="shared" si="27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28"/>
        <v>none</v>
      </c>
      <c r="U18" s="63" t="e">
        <f t="shared" si="29"/>
        <v>#VALUE!</v>
      </c>
      <c r="V18" s="63">
        <f t="shared" si="30"/>
        <v>4</v>
      </c>
      <c r="W18" s="63" t="e">
        <f t="shared" si="31"/>
        <v>#VALUE!</v>
      </c>
      <c r="X18" s="63" t="e">
        <f t="shared" si="32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20018234</v>
      </c>
      <c r="B19" s="47" t="s">
        <v>292</v>
      </c>
      <c r="C19" s="50">
        <v>3</v>
      </c>
      <c r="D19" s="50" t="s">
        <v>128</v>
      </c>
      <c r="E19" s="50" t="s">
        <v>265</v>
      </c>
      <c r="F19" s="104" t="s">
        <v>262</v>
      </c>
      <c r="G19" s="63" t="str">
        <f t="shared" si="18"/>
        <v>[effect:force_change_block, new_block:jammer, target:block_all, ignore01:crash, ignore02:crack_bomb, count:3, val:0, animation:change_block]</v>
      </c>
      <c r="H19" s="63">
        <f t="shared" si="19"/>
        <v>9</v>
      </c>
      <c r="I19" s="63">
        <f t="shared" si="20"/>
        <v>27</v>
      </c>
      <c r="J19" s="63">
        <f t="shared" si="21"/>
        <v>54</v>
      </c>
      <c r="K19" s="63">
        <f t="shared" si="22"/>
        <v>45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23"/>
        <v xml:space="preserve">[effect:suicide, val:1, dead_type:escape, target:myself]    </v>
      </c>
      <c r="N19" s="48" t="str">
        <f t="shared" si="17"/>
        <v xml:space="preserve">[effect:suicide, val:1, dead_type:escape, target:myself]    </v>
      </c>
      <c r="O19" s="63">
        <f t="shared" si="24"/>
        <v>9</v>
      </c>
      <c r="P19" s="63">
        <f t="shared" si="25"/>
        <v>16</v>
      </c>
      <c r="Q19" s="63">
        <f t="shared" si="26"/>
        <v>50</v>
      </c>
      <c r="R19" s="63">
        <f t="shared" si="27"/>
        <v>23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28"/>
        <v>none</v>
      </c>
      <c r="U19" s="63" t="e">
        <f t="shared" si="29"/>
        <v>#VALUE!</v>
      </c>
      <c r="V19" s="63">
        <f t="shared" si="30"/>
        <v>4</v>
      </c>
      <c r="W19" s="63" t="e">
        <f t="shared" si="31"/>
        <v>#VALUE!</v>
      </c>
      <c r="X19" s="63" t="e">
        <f t="shared" si="32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20018241</v>
      </c>
      <c r="B20" s="47" t="s">
        <v>293</v>
      </c>
      <c r="C20" s="50">
        <v>3</v>
      </c>
      <c r="D20" s="50" t="s">
        <v>128</v>
      </c>
      <c r="E20" s="51" t="s">
        <v>259</v>
      </c>
      <c r="F20" s="50" t="s">
        <v>271</v>
      </c>
      <c r="G20" s="63" t="str">
        <f t="shared" si="18"/>
        <v>[effect:force_change_block, new_block:block_heart, target:block_all, ignore01:jammer, ignore02:crack_bomb, count:5, val:0, animation:change_block]</v>
      </c>
      <c r="H20" s="63">
        <f t="shared" si="19"/>
        <v>9</v>
      </c>
      <c r="I20" s="63">
        <f t="shared" si="20"/>
        <v>27</v>
      </c>
      <c r="J20" s="63">
        <f t="shared" si="21"/>
        <v>59</v>
      </c>
      <c r="K20" s="63">
        <f t="shared" si="22"/>
        <v>50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23"/>
        <v>[effect:fix_speed, target:myself, turn:1]</v>
      </c>
      <c r="N20" s="48" t="str">
        <f t="shared" ref="N20" si="33">IFERROR(LEFT(M20,FIND("],",M20)+S30),M20)</f>
        <v>[effect:fix_speed, target:myself, turn:1]</v>
      </c>
      <c r="O20" s="63">
        <f t="shared" si="24"/>
        <v>9</v>
      </c>
      <c r="P20" s="63">
        <f t="shared" si="25"/>
        <v>18</v>
      </c>
      <c r="Q20" s="63">
        <f t="shared" si="26"/>
        <v>27</v>
      </c>
      <c r="R20" s="63">
        <f t="shared" si="27"/>
        <v>33</v>
      </c>
      <c r="S20" s="63" t="str">
        <f>IFERROR(VLOOKUP(MID(N20,Q20,R20-Q20),[5]skilldef!$C:$D,2,FALSE),"-") &amp; " / " &amp; IFERROR(VLOOKUP(MID(N20,O20,P20-O20),[5]skilldef!$A:$B,2,FALSE),"-")</f>
        <v>自分自身に / 行動値設定</v>
      </c>
      <c r="T20" s="48" t="str">
        <f t="shared" si="28"/>
        <v>none</v>
      </c>
      <c r="U20" s="63" t="e">
        <f t="shared" si="29"/>
        <v>#VALUE!</v>
      </c>
      <c r="V20" s="63">
        <f t="shared" si="30"/>
        <v>4</v>
      </c>
      <c r="W20" s="63" t="e">
        <f t="shared" si="31"/>
        <v>#VALUE!</v>
      </c>
      <c r="X20" s="63" t="e">
        <f t="shared" si="32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20018242</v>
      </c>
      <c r="B21" s="47" t="s">
        <v>298</v>
      </c>
      <c r="C21" s="50">
        <v>3</v>
      </c>
      <c r="D21" s="50" t="s">
        <v>128</v>
      </c>
      <c r="E21" s="51" t="s">
        <v>260</v>
      </c>
      <c r="F21" s="50" t="s">
        <v>272</v>
      </c>
      <c r="G21" s="63" t="str">
        <f t="shared" si="18"/>
        <v>[effect:break_attack_fix, val:100, lowest_val:900, count:-1, color:blue, block:block_heart, target:unit_all]</v>
      </c>
      <c r="H21" s="63">
        <f t="shared" si="19"/>
        <v>9</v>
      </c>
      <c r="I21" s="63">
        <f t="shared" si="20"/>
        <v>25</v>
      </c>
      <c r="J21" s="63">
        <f t="shared" si="21"/>
        <v>100</v>
      </c>
      <c r="K21" s="63">
        <f t="shared" si="22"/>
        <v>34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23"/>
        <v>[effect:force_change_block, new_block:jammer, target:block_all, ignore01:crash, ignore02:crack_bomb, count:1, val:0, animation:change_block],[effect:fix_speed, target:myself, turn:1]</v>
      </c>
      <c r="N21" s="48" t="str">
        <f>IFERROR(LEFT(M21,FIND("],",M21)+#REF!),M21)</f>
        <v>[effect:force_change_block, new_block:jammer, target:block_all, ignore01:crash, ignore02:crack_bomb, count:1, val:0, animation:change_block],[effect:fix_speed, target:myself, turn:1]</v>
      </c>
      <c r="O21" s="63">
        <f t="shared" si="24"/>
        <v>9</v>
      </c>
      <c r="P21" s="63">
        <f t="shared" si="25"/>
        <v>27</v>
      </c>
      <c r="Q21" s="63">
        <f t="shared" si="26"/>
        <v>54</v>
      </c>
      <c r="R21" s="63">
        <f t="shared" si="27"/>
        <v>45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si="28"/>
        <v>[effect:fix_speed, target:myself, turn:1]</v>
      </c>
      <c r="U21" s="63">
        <f t="shared" si="29"/>
        <v>9</v>
      </c>
      <c r="V21" s="63">
        <f t="shared" si="30"/>
        <v>18</v>
      </c>
      <c r="W21" s="63">
        <f t="shared" si="31"/>
        <v>27</v>
      </c>
      <c r="X21" s="63">
        <f t="shared" si="32"/>
        <v>33</v>
      </c>
      <c r="Y21" s="63" t="str">
        <f>IFERROR(VLOOKUP(MID(T21,W21,X21-W21),[5]skilldef!$C:$D,2,FALSE),"-") &amp; " / " &amp; IFERROR(VLOOKUP(MID(T21,U21,V21-U21),[5]skilldef!$A:$B,2,FALSE),"-")</f>
        <v>自分自身に / 行動値設定</v>
      </c>
      <c r="Z21" s="50"/>
      <c r="AA21" s="52"/>
      <c r="AB21" s="50"/>
    </row>
    <row r="22" spans="1:28" ht="21" customHeight="1" x14ac:dyDescent="0.15">
      <c r="A22" s="47">
        <v>20018243</v>
      </c>
      <c r="B22" s="47" t="s">
        <v>299</v>
      </c>
      <c r="C22" s="50">
        <v>3</v>
      </c>
      <c r="D22" s="50" t="s">
        <v>128</v>
      </c>
      <c r="E22" s="51" t="s">
        <v>261</v>
      </c>
      <c r="F22" s="50" t="s">
        <v>273</v>
      </c>
      <c r="G22" s="63" t="str">
        <f t="shared" si="18"/>
        <v>[effect:break_attack_fix, val:100, lowest_val:900, count:-1, color:blue, block:block_heart, target:unit_all]</v>
      </c>
      <c r="H22" s="63">
        <f t="shared" si="19"/>
        <v>9</v>
      </c>
      <c r="I22" s="63">
        <f t="shared" si="20"/>
        <v>25</v>
      </c>
      <c r="J22" s="63">
        <f t="shared" si="21"/>
        <v>100</v>
      </c>
      <c r="K22" s="63">
        <f t="shared" si="22"/>
        <v>34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23"/>
        <v>[effect:force_change_block, new_block:jammer, target:block_all, ignore01:crash, ignore02:crack_bomb, count:2, val:0, animation:change_block],[effect:fix_speed, target:myself, turn:2]</v>
      </c>
      <c r="N22" s="48" t="str">
        <f>IFERROR(LEFT(M22,FIND("],",M22)+S31),M22)</f>
        <v>[effect:force_change_block, new_block:jammer, target:block_all, ignore01:crash, ignore02:crack_bomb, count:2, val:0, animation:change_block],[effect:fix_speed, target:myself, turn:2]</v>
      </c>
      <c r="O22" s="63">
        <f t="shared" si="24"/>
        <v>9</v>
      </c>
      <c r="P22" s="63">
        <f t="shared" si="25"/>
        <v>27</v>
      </c>
      <c r="Q22" s="63">
        <f t="shared" si="26"/>
        <v>54</v>
      </c>
      <c r="R22" s="63">
        <f t="shared" si="27"/>
        <v>45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si="28"/>
        <v>[effect:fix_speed, target:myself, turn:2]</v>
      </c>
      <c r="U22" s="63">
        <f t="shared" si="29"/>
        <v>9</v>
      </c>
      <c r="V22" s="63">
        <f t="shared" si="30"/>
        <v>18</v>
      </c>
      <c r="W22" s="63">
        <f t="shared" si="31"/>
        <v>27</v>
      </c>
      <c r="X22" s="63">
        <f t="shared" si="32"/>
        <v>33</v>
      </c>
      <c r="Y22" s="63" t="str">
        <f>IFERROR(VLOOKUP(MID(T22,W22,X22-W22),[5]skilldef!$C:$D,2,FALSE),"-") &amp; " / " &amp; IFERROR(VLOOKUP(MID(T22,U22,V22-U22),[5]skilldef!$A:$B,2,FALSE),"-")</f>
        <v>自分自身に / 行動値設定</v>
      </c>
      <c r="Z22" s="50"/>
      <c r="AA22" s="52"/>
      <c r="AB22" s="50"/>
    </row>
    <row r="23" spans="1:28" ht="21" customHeight="1" x14ac:dyDescent="0.15">
      <c r="A23" s="47">
        <v>20018244</v>
      </c>
      <c r="B23" s="47" t="s">
        <v>300</v>
      </c>
      <c r="C23" s="50">
        <v>3</v>
      </c>
      <c r="D23" s="50" t="s">
        <v>128</v>
      </c>
      <c r="E23" s="51" t="s">
        <v>260</v>
      </c>
      <c r="F23" s="50" t="s">
        <v>274</v>
      </c>
      <c r="G23" s="63" t="str">
        <f t="shared" si="18"/>
        <v>[effect:break_attack_fix, val:100, lowest_val:1100, count:-1, color:blue, block:block_heart, target:unit_all]</v>
      </c>
      <c r="H23" s="63">
        <f t="shared" si="19"/>
        <v>9</v>
      </c>
      <c r="I23" s="63">
        <f t="shared" si="20"/>
        <v>25</v>
      </c>
      <c r="J23" s="63">
        <f t="shared" si="21"/>
        <v>101</v>
      </c>
      <c r="K23" s="63">
        <f t="shared" si="22"/>
        <v>34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23"/>
        <v>[effect:force_change_block, new_block:jammer, target:block_all, ignore01:crash, ignore02:crack_bomb, count:3, val:0, animation:change_block],[effect:fix_speed, target:myself, turn:3]</v>
      </c>
      <c r="N23" s="48" t="str">
        <f>IFERROR(LEFT(M23,FIND("],",M23)+S32),M23)</f>
        <v>[effect:force_change_block, new_block:jammer, target:block_all, ignore01:crash, ignore02:crack_bomb, count:3, val:0, animation:change_block],[effect:fix_speed, target:myself, turn:3]</v>
      </c>
      <c r="O23" s="63">
        <f t="shared" si="24"/>
        <v>9</v>
      </c>
      <c r="P23" s="63">
        <f t="shared" si="25"/>
        <v>27</v>
      </c>
      <c r="Q23" s="63">
        <f t="shared" si="26"/>
        <v>54</v>
      </c>
      <c r="R23" s="63">
        <f t="shared" si="27"/>
        <v>45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28"/>
        <v>[effect:fix_speed, target:myself, turn:3]</v>
      </c>
      <c r="U23" s="63">
        <f t="shared" si="29"/>
        <v>9</v>
      </c>
      <c r="V23" s="63">
        <f t="shared" si="30"/>
        <v>18</v>
      </c>
      <c r="W23" s="63">
        <f t="shared" si="31"/>
        <v>27</v>
      </c>
      <c r="X23" s="63">
        <f t="shared" si="32"/>
        <v>33</v>
      </c>
      <c r="Y23" s="63" t="str">
        <f>IFERROR(VLOOKUP(MID(T23,W23,X23-W23),[5]skilldef!$C:$D,2,FALSE),"-") &amp; " / " &amp; IFERROR(VLOOKUP(MID(T23,U23,V23-U23),[5]skilldef!$A:$B,2,FALSE),"-")</f>
        <v>自分自身に / 行動値設定</v>
      </c>
      <c r="Z23" s="50"/>
      <c r="AA23" s="52"/>
      <c r="AB23" s="50"/>
    </row>
    <row r="24" spans="1:28" ht="21" customHeight="1" x14ac:dyDescent="0.15">
      <c r="A24" s="47">
        <v>20018311</v>
      </c>
      <c r="B24" s="47" t="s">
        <v>288</v>
      </c>
      <c r="C24" s="50">
        <v>3</v>
      </c>
      <c r="D24" s="50" t="s">
        <v>128</v>
      </c>
      <c r="E24" s="51" t="s">
        <v>255</v>
      </c>
      <c r="F24" s="50" t="s">
        <v>267</v>
      </c>
      <c r="G24" s="63" t="str">
        <f>IFERROR(LEFT(B24,FIND("],",B24)),B24)</f>
        <v>[effect:break_attack_fix, val:200, lowest_val:2000, count:10, color:blue, block:block_heart, target:unit_one]</v>
      </c>
      <c r="H24" s="63">
        <f>FIND("effect:",G24)+7</f>
        <v>9</v>
      </c>
      <c r="I24" s="63">
        <f>IFERROR(FIND(",",G24),LEN(G24))</f>
        <v>25</v>
      </c>
      <c r="J24" s="63">
        <f>FIND("target:",G24)+7</f>
        <v>101</v>
      </c>
      <c r="K24" s="63">
        <f>FIND(",",G24,I24+1)</f>
        <v>34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>IFERROR(RIGHT(B24,LEN(B24)-FIND("],",B24)-1),"none")</f>
        <v xml:space="preserve">[effect:fix_speed, target:myself, turn:2] </v>
      </c>
      <c r="N24" s="48" t="str">
        <f t="shared" ref="N24:N30" si="34">IFERROR(LEFT(M24,FIND("],",M24)+S32),M24)</f>
        <v xml:space="preserve">[effect:fix_speed, target:myself, turn:2] </v>
      </c>
      <c r="O24" s="63">
        <f>FIND("effect:",N24)+7</f>
        <v>9</v>
      </c>
      <c r="P24" s="63">
        <f>IFERROR(FIND(",",N24),LEN(N24))</f>
        <v>18</v>
      </c>
      <c r="Q24" s="63">
        <f>FIND("target:",N24)+7</f>
        <v>27</v>
      </c>
      <c r="R24" s="63">
        <f>FIND(",",N24,P24+1)</f>
        <v>33</v>
      </c>
      <c r="S24" s="63" t="str">
        <f>IFERROR(VLOOKUP(MID(N24,Q24,R24-Q24),[5]skilldef!$C:$D,2,FALSE),"-") &amp; " / " &amp; IFERROR(VLOOKUP(MID(N24,O24,P24-O24),[5]skilldef!$A:$B,2,FALSE),"-")</f>
        <v>自分自身に / 行動値設定</v>
      </c>
      <c r="T24" s="48" t="str">
        <f>IFERROR(RIGHT(M24,LEN(M24)-FIND("],",M24)-1),"none")</f>
        <v>none</v>
      </c>
      <c r="U24" s="63" t="e">
        <f>FIND("effect:",T24)+7</f>
        <v>#VALUE!</v>
      </c>
      <c r="V24" s="63">
        <f>IFERROR(FIND(",",T24),LEN(T24))</f>
        <v>4</v>
      </c>
      <c r="W24" s="63" t="e">
        <f>FIND("target:",T24)+7</f>
        <v>#VALUE!</v>
      </c>
      <c r="X24" s="63" t="e">
        <f>FIND(",",T24,V24+1)</f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20018321</v>
      </c>
      <c r="B25" s="47" t="s">
        <v>254</v>
      </c>
      <c r="C25" s="50">
        <v>3</v>
      </c>
      <c r="D25" s="50" t="s">
        <v>128</v>
      </c>
      <c r="E25" s="51" t="s">
        <v>257</v>
      </c>
      <c r="F25" s="50" t="s">
        <v>256</v>
      </c>
      <c r="G25" s="63" t="str">
        <f t="shared" ref="G25:G34" si="35">IFERROR(LEFT(B25,FIND("],",B25)),B25)</f>
        <v>[effect:dis_heart, turn:2, animation:enemy_dis_heart]</v>
      </c>
      <c r="H25" s="63">
        <f t="shared" ref="H25:H34" si="36">FIND("effect:",G25)+7</f>
        <v>9</v>
      </c>
      <c r="I25" s="63">
        <f t="shared" ref="I25:I34" si="37">IFERROR(FIND(",",G25),LEN(G25))</f>
        <v>18</v>
      </c>
      <c r="J25" s="63" t="e">
        <f t="shared" ref="J25:J34" si="38">FIND("target:",G25)+7</f>
        <v>#VALUE!</v>
      </c>
      <c r="K25" s="63">
        <f t="shared" ref="K25:K34" si="39">FIND(",",G25,I25+1)</f>
        <v>26</v>
      </c>
      <c r="L25" s="63" t="str">
        <f>IFERROR(VLOOKUP(MID(G25,J25,K25-J25),[5]skilldef!$C:$D,2,FALSE),"-") &amp; " / " &amp; IFERROR(VLOOKUP(MID(G25,H25,I25-H25),[5]skilldef!$A:$B,2,FALSE),"-")</f>
        <v>- / ディスハート</v>
      </c>
      <c r="M25" s="63" t="str">
        <f t="shared" ref="M25:M34" si="40">IFERROR(RIGHT(B25,LEN(B25)-FIND("],",B25)-1),"none")</f>
        <v>none</v>
      </c>
      <c r="N25" s="48" t="str">
        <f t="shared" si="34"/>
        <v>none</v>
      </c>
      <c r="O25" s="63" t="e">
        <f t="shared" ref="O25:O34" si="41">FIND("effect:",N25)+7</f>
        <v>#VALUE!</v>
      </c>
      <c r="P25" s="63">
        <f t="shared" ref="P25:P34" si="42">IFERROR(FIND(",",N25),LEN(N25))</f>
        <v>4</v>
      </c>
      <c r="Q25" s="63" t="e">
        <f t="shared" ref="Q25:Q34" si="43">FIND("target:",N25)+7</f>
        <v>#VALUE!</v>
      </c>
      <c r="R25" s="63" t="e">
        <f t="shared" ref="R25:R34" si="44">FIND(",",N25,P25+1)</f>
        <v>#VALUE!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ref="T25:T34" si="45">IFERROR(RIGHT(M25,LEN(M25)-FIND("],",M25)-1),"none")</f>
        <v>none</v>
      </c>
      <c r="U25" s="63" t="e">
        <f t="shared" ref="U25:U34" si="46">FIND("effect:",T25)+7</f>
        <v>#VALUE!</v>
      </c>
      <c r="V25" s="63">
        <f t="shared" ref="V25:V34" si="47">IFERROR(FIND(",",T25),LEN(T25))</f>
        <v>4</v>
      </c>
      <c r="W25" s="63" t="e">
        <f t="shared" ref="W25:W34" si="48">FIND("target:",T25)+7</f>
        <v>#VALUE!</v>
      </c>
      <c r="X25" s="63" t="e">
        <f t="shared" ref="X25:X34" si="49">FIND(",",T25,V25+1)</f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20018322</v>
      </c>
      <c r="B26" s="47" t="s">
        <v>253</v>
      </c>
      <c r="C26" s="50">
        <v>3</v>
      </c>
      <c r="D26" s="50" t="s">
        <v>128</v>
      </c>
      <c r="E26" s="51" t="s">
        <v>258</v>
      </c>
      <c r="F26" s="50" t="s">
        <v>268</v>
      </c>
      <c r="G26" s="63" t="str">
        <f t="shared" ref="G26" si="50">IFERROR(LEFT(B26,FIND("],",B26)),B26)</f>
        <v>[effect:critical, val:1.5]</v>
      </c>
      <c r="H26" s="63">
        <f t="shared" ref="H26" si="51">FIND("effect:",G26)+7</f>
        <v>9</v>
      </c>
      <c r="I26" s="63">
        <f t="shared" ref="I26" si="52">IFERROR(FIND(",",G26),LEN(G26))</f>
        <v>17</v>
      </c>
      <c r="J26" s="63" t="e">
        <f t="shared" ref="J26" si="53">FIND("target:",G26)+7</f>
        <v>#VALUE!</v>
      </c>
      <c r="K26" s="63" t="e">
        <f t="shared" ref="K26" si="54">FIND(",",G26,I26+1)</f>
        <v>#VALUE!</v>
      </c>
      <c r="L26" s="63" t="str">
        <f>IFERROR(VLOOKUP(MID(G26,J26,K26-J26),[5]skilldef!$C:$D,2,FALSE),"-") &amp; " / " &amp; IFERROR(VLOOKUP(MID(G26,H26,I26-H26),[5]skilldef!$A:$B,2,FALSE),"-")</f>
        <v>- / 大攻撃</v>
      </c>
      <c r="M26" s="63" t="str">
        <f t="shared" ref="M26" si="55">IFERROR(RIGHT(B26,LEN(B26)-FIND("],",B26)-1),"none")</f>
        <v>none</v>
      </c>
      <c r="N26" s="48" t="str">
        <f t="shared" si="34"/>
        <v>none</v>
      </c>
      <c r="O26" s="63" t="e">
        <f t="shared" ref="O26" si="56">FIND("effect:",N26)+7</f>
        <v>#VALUE!</v>
      </c>
      <c r="P26" s="63">
        <f t="shared" ref="P26" si="57">IFERROR(FIND(",",N26),LEN(N26))</f>
        <v>4</v>
      </c>
      <c r="Q26" s="63" t="e">
        <f t="shared" ref="Q26" si="58">FIND("target:",N26)+7</f>
        <v>#VALUE!</v>
      </c>
      <c r="R26" s="63" t="e">
        <f t="shared" ref="R26" si="59">FIND(",",N26,P26+1)</f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ref="T26" si="60">IFERROR(RIGHT(M26,LEN(M26)-FIND("],",M26)-1),"none")</f>
        <v>none</v>
      </c>
      <c r="U26" s="63" t="e">
        <f t="shared" ref="U26" si="61">FIND("effect:",T26)+7</f>
        <v>#VALUE!</v>
      </c>
      <c r="V26" s="63">
        <f t="shared" ref="V26" si="62">IFERROR(FIND(",",T26),LEN(T26))</f>
        <v>4</v>
      </c>
      <c r="W26" s="63" t="e">
        <f t="shared" ref="W26" si="63">FIND("target:",T26)+7</f>
        <v>#VALUE!</v>
      </c>
      <c r="X26" s="63" t="e">
        <f t="shared" ref="X26" si="64">FIND(",",T26,V26+1)</f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20018331</v>
      </c>
      <c r="B27" s="47" t="s">
        <v>301</v>
      </c>
      <c r="C27" s="50">
        <v>3</v>
      </c>
      <c r="D27" s="50" t="s">
        <v>128</v>
      </c>
      <c r="E27" s="51" t="s">
        <v>263</v>
      </c>
      <c r="F27" s="50" t="s">
        <v>269</v>
      </c>
      <c r="G27" s="63" t="str">
        <f t="shared" si="35"/>
        <v>[effect:enhance_enemy, target:myself, turn:3, status:defense, val:1000, calc:add, animation:enemy_enhance_defense]</v>
      </c>
      <c r="H27" s="63">
        <f t="shared" si="36"/>
        <v>9</v>
      </c>
      <c r="I27" s="63">
        <f t="shared" si="37"/>
        <v>22</v>
      </c>
      <c r="J27" s="63">
        <f t="shared" si="38"/>
        <v>31</v>
      </c>
      <c r="K27" s="63">
        <f t="shared" si="39"/>
        <v>37</v>
      </c>
      <c r="L27" s="63" t="str">
        <f>IFERROR(VLOOKUP(MID(G27,J27,K27-J27),[5]skilldef!$C:$D,2,FALSE),"-") &amp; " / " &amp; IFERROR(VLOOKUP(MID(G27,H27,I27-H27),[5]skilldef!$A:$B,2,FALSE),"-")</f>
        <v>自分自身に / ステータス強化</v>
      </c>
      <c r="M27" s="63" t="str">
        <f t="shared" si="40"/>
        <v xml:space="preserve">[effect:force_change_block, new_block:jammer, target:block_all, ignore01:crash, ignore02:crack_bomb, count:3, val:0, animation:change_block],[effect:fix_speed, target:myself, turn:1] </v>
      </c>
      <c r="N27" s="48" t="str">
        <f t="shared" si="34"/>
        <v>[effect:force_change_block, new_block:jammer, target:block_all, ignore01:crash, ignore02:crack_bomb, count:3, val:0, animation:change_block]</v>
      </c>
      <c r="O27" s="63">
        <f t="shared" si="41"/>
        <v>9</v>
      </c>
      <c r="P27" s="63">
        <f t="shared" si="42"/>
        <v>27</v>
      </c>
      <c r="Q27" s="63">
        <f t="shared" si="43"/>
        <v>54</v>
      </c>
      <c r="R27" s="63">
        <f t="shared" si="44"/>
        <v>45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45"/>
        <v xml:space="preserve">[effect:fix_speed, target:myself, turn:1] </v>
      </c>
      <c r="U27" s="63">
        <f t="shared" si="46"/>
        <v>9</v>
      </c>
      <c r="V27" s="63">
        <f t="shared" si="47"/>
        <v>18</v>
      </c>
      <c r="W27" s="63">
        <f t="shared" si="48"/>
        <v>27</v>
      </c>
      <c r="X27" s="63">
        <f t="shared" si="49"/>
        <v>33</v>
      </c>
      <c r="Y27" s="63" t="str">
        <f>IFERROR(VLOOKUP(MID(T27,W27,X27-W27),[5]skilldef!$C:$D,2,FALSE),"-") &amp; " / " &amp; IFERROR(VLOOKUP(MID(T27,U27,V27-U27),[5]skilldef!$A:$B,2,FALSE),"-")</f>
        <v>自分自身に / 行動値設定</v>
      </c>
      <c r="Z27" s="50"/>
      <c r="AA27" s="52"/>
      <c r="AB27" s="50"/>
    </row>
    <row r="28" spans="1:28" ht="21" customHeight="1" x14ac:dyDescent="0.15">
      <c r="A28" s="47">
        <v>20018332</v>
      </c>
      <c r="B28" s="47" t="s">
        <v>291</v>
      </c>
      <c r="C28" s="50">
        <v>3</v>
      </c>
      <c r="D28" s="50" t="s">
        <v>128</v>
      </c>
      <c r="E28" s="51" t="s">
        <v>275</v>
      </c>
      <c r="F28" s="50" t="s">
        <v>270</v>
      </c>
      <c r="G28" s="63" t="str">
        <f t="shared" si="35"/>
        <v xml:space="preserve">[effect:force_change_block, new_block:jammer, target:block_all, ignore01:crash, ignore02:crack_bomb, count:3, val:0, animation:change_block] </v>
      </c>
      <c r="H28" s="63">
        <f t="shared" si="36"/>
        <v>9</v>
      </c>
      <c r="I28" s="63">
        <f t="shared" si="37"/>
        <v>27</v>
      </c>
      <c r="J28" s="63">
        <f t="shared" si="38"/>
        <v>54</v>
      </c>
      <c r="K28" s="63">
        <f t="shared" si="39"/>
        <v>45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40"/>
        <v>none</v>
      </c>
      <c r="N28" s="48" t="str">
        <f t="shared" si="34"/>
        <v>none</v>
      </c>
      <c r="O28" s="63" t="e">
        <f t="shared" si="41"/>
        <v>#VALUE!</v>
      </c>
      <c r="P28" s="63">
        <f t="shared" si="42"/>
        <v>4</v>
      </c>
      <c r="Q28" s="63" t="e">
        <f t="shared" si="43"/>
        <v>#VALUE!</v>
      </c>
      <c r="R28" s="63" t="e">
        <f t="shared" si="44"/>
        <v>#VALUE!</v>
      </c>
      <c r="S28" s="63" t="str">
        <f>IFERROR(VLOOKUP(MID(N28,Q28,R28-Q28),[5]skilldef!$C:$D,2,FALSE),"-") &amp; " / " &amp; IFERROR(VLOOKUP(MID(N28,O28,P28-O28),[5]skilldef!$A:$B,2,FALSE),"-")</f>
        <v>- / -</v>
      </c>
      <c r="T28" s="48" t="str">
        <f t="shared" si="45"/>
        <v>none</v>
      </c>
      <c r="U28" s="63" t="e">
        <f t="shared" si="46"/>
        <v>#VALUE!</v>
      </c>
      <c r="V28" s="63">
        <f t="shared" si="47"/>
        <v>4</v>
      </c>
      <c r="W28" s="63" t="e">
        <f t="shared" si="48"/>
        <v>#VALUE!</v>
      </c>
      <c r="X28" s="63" t="e">
        <f t="shared" si="49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20018333</v>
      </c>
      <c r="B29" s="47" t="s">
        <v>291</v>
      </c>
      <c r="C29" s="50">
        <v>3</v>
      </c>
      <c r="D29" s="50" t="s">
        <v>128</v>
      </c>
      <c r="E29" s="51" t="s">
        <v>275</v>
      </c>
      <c r="F29" s="50" t="s">
        <v>270</v>
      </c>
      <c r="G29" s="63" t="str">
        <f t="shared" si="35"/>
        <v xml:space="preserve">[effect:force_change_block, new_block:jammer, target:block_all, ignore01:crash, ignore02:crack_bomb, count:3, val:0, animation:change_block] </v>
      </c>
      <c r="H29" s="63">
        <f t="shared" si="36"/>
        <v>9</v>
      </c>
      <c r="I29" s="63">
        <f t="shared" si="37"/>
        <v>27</v>
      </c>
      <c r="J29" s="63">
        <f t="shared" si="38"/>
        <v>54</v>
      </c>
      <c r="K29" s="63">
        <f t="shared" si="39"/>
        <v>45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si="40"/>
        <v>none</v>
      </c>
      <c r="N29" s="48" t="str">
        <f t="shared" si="34"/>
        <v>none</v>
      </c>
      <c r="O29" s="63" t="e">
        <f t="shared" si="41"/>
        <v>#VALUE!</v>
      </c>
      <c r="P29" s="63">
        <f t="shared" si="42"/>
        <v>4</v>
      </c>
      <c r="Q29" s="63" t="e">
        <f t="shared" si="43"/>
        <v>#VALUE!</v>
      </c>
      <c r="R29" s="63" t="e">
        <f t="shared" si="44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45"/>
        <v>none</v>
      </c>
      <c r="U29" s="63" t="e">
        <f t="shared" si="46"/>
        <v>#VALUE!</v>
      </c>
      <c r="V29" s="63">
        <f t="shared" si="47"/>
        <v>4</v>
      </c>
      <c r="W29" s="63" t="e">
        <f t="shared" si="48"/>
        <v>#VALUE!</v>
      </c>
      <c r="X29" s="63" t="e">
        <f t="shared" si="49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20018334</v>
      </c>
      <c r="B30" s="47" t="s">
        <v>292</v>
      </c>
      <c r="C30" s="50">
        <v>3</v>
      </c>
      <c r="D30" s="50" t="s">
        <v>128</v>
      </c>
      <c r="E30" s="50" t="s">
        <v>265</v>
      </c>
      <c r="F30" s="104" t="s">
        <v>262</v>
      </c>
      <c r="G30" s="63" t="str">
        <f t="shared" ref="G30" si="65">IFERROR(LEFT(B30,FIND("],",B30)),B30)</f>
        <v>[effect:force_change_block, new_block:jammer, target:block_all, ignore01:crash, ignore02:crack_bomb, count:3, val:0, animation:change_block]</v>
      </c>
      <c r="H30" s="63">
        <f t="shared" ref="H30" si="66">FIND("effect:",G30)+7</f>
        <v>9</v>
      </c>
      <c r="I30" s="63">
        <f t="shared" ref="I30" si="67">IFERROR(FIND(",",G30),LEN(G30))</f>
        <v>27</v>
      </c>
      <c r="J30" s="63">
        <f t="shared" ref="J30" si="68">FIND("target:",G30)+7</f>
        <v>54</v>
      </c>
      <c r="K30" s="63">
        <f t="shared" ref="K30" si="69">FIND(",",G30,I30+1)</f>
        <v>45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ref="M30" si="70">IFERROR(RIGHT(B30,LEN(B30)-FIND("],",B30)-1),"none")</f>
        <v xml:space="preserve">[effect:suicide, val:1, dead_type:escape, target:myself]    </v>
      </c>
      <c r="N30" s="48" t="str">
        <f t="shared" si="34"/>
        <v xml:space="preserve">[effect:suicide, val:1, dead_type:escape, target:myself]    </v>
      </c>
      <c r="O30" s="63">
        <f t="shared" ref="O30" si="71">FIND("effect:",N30)+7</f>
        <v>9</v>
      </c>
      <c r="P30" s="63">
        <f t="shared" ref="P30" si="72">IFERROR(FIND(",",N30),LEN(N30))</f>
        <v>16</v>
      </c>
      <c r="Q30" s="63">
        <f t="shared" ref="Q30" si="73">FIND("target:",N30)+7</f>
        <v>50</v>
      </c>
      <c r="R30" s="63">
        <f t="shared" ref="R30" si="74">FIND(",",N30,P30+1)</f>
        <v>23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ref="T30" si="75">IFERROR(RIGHT(M30,LEN(M30)-FIND("],",M30)-1),"none")</f>
        <v>none</v>
      </c>
      <c r="U30" s="63" t="e">
        <f t="shared" ref="U30" si="76">FIND("effect:",T30)+7</f>
        <v>#VALUE!</v>
      </c>
      <c r="V30" s="63">
        <f t="shared" ref="V30" si="77">IFERROR(FIND(",",T30),LEN(T30))</f>
        <v>4</v>
      </c>
      <c r="W30" s="63" t="e">
        <f t="shared" ref="W30" si="78">FIND("target:",T30)+7</f>
        <v>#VALUE!</v>
      </c>
      <c r="X30" s="63" t="e">
        <f t="shared" ref="X30" si="79">FIND(",",T30,V30+1)</f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20018341</v>
      </c>
      <c r="B31" s="47" t="s">
        <v>293</v>
      </c>
      <c r="C31" s="50">
        <v>3</v>
      </c>
      <c r="D31" s="50" t="s">
        <v>128</v>
      </c>
      <c r="E31" s="51" t="s">
        <v>259</v>
      </c>
      <c r="F31" s="50" t="s">
        <v>271</v>
      </c>
      <c r="G31" s="63" t="str">
        <f t="shared" si="35"/>
        <v>[effect:force_change_block, new_block:block_heart, target:block_all, ignore01:jammer, ignore02:crack_bomb, count:5, val:0, animation:change_block]</v>
      </c>
      <c r="H31" s="63">
        <f t="shared" si="36"/>
        <v>9</v>
      </c>
      <c r="I31" s="63">
        <f t="shared" si="37"/>
        <v>27</v>
      </c>
      <c r="J31" s="63">
        <f t="shared" si="38"/>
        <v>59</v>
      </c>
      <c r="K31" s="63">
        <f t="shared" si="39"/>
        <v>50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40"/>
        <v>[effect:fix_speed, target:myself, turn:1]</v>
      </c>
      <c r="N31" s="48" t="str">
        <f t="shared" ref="N31:N34" si="80">IFERROR(LEFT(M31,FIND("],",M31)+S41),M31)</f>
        <v>[effect:fix_speed, target:myself, turn:1]</v>
      </c>
      <c r="O31" s="63">
        <f t="shared" si="41"/>
        <v>9</v>
      </c>
      <c r="P31" s="63">
        <f t="shared" si="42"/>
        <v>18</v>
      </c>
      <c r="Q31" s="63">
        <f t="shared" si="43"/>
        <v>27</v>
      </c>
      <c r="R31" s="63">
        <f t="shared" si="44"/>
        <v>33</v>
      </c>
      <c r="S31" s="63" t="str">
        <f>IFERROR(VLOOKUP(MID(N31,Q31,R31-Q31),[5]skilldef!$C:$D,2,FALSE),"-") &amp; " / " &amp; IFERROR(VLOOKUP(MID(N31,O31,P31-O31),[5]skilldef!$A:$B,2,FALSE),"-")</f>
        <v>自分自身に / 行動値設定</v>
      </c>
      <c r="T31" s="48" t="str">
        <f t="shared" si="45"/>
        <v>none</v>
      </c>
      <c r="U31" s="63" t="e">
        <f t="shared" si="46"/>
        <v>#VALUE!</v>
      </c>
      <c r="V31" s="63">
        <f t="shared" si="47"/>
        <v>4</v>
      </c>
      <c r="W31" s="63" t="e">
        <f t="shared" si="48"/>
        <v>#VALUE!</v>
      </c>
      <c r="X31" s="63" t="e">
        <f t="shared" si="49"/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20018342</v>
      </c>
      <c r="B32" s="47" t="s">
        <v>302</v>
      </c>
      <c r="C32" s="50">
        <v>3</v>
      </c>
      <c r="D32" s="50" t="s">
        <v>128</v>
      </c>
      <c r="E32" s="51" t="s">
        <v>260</v>
      </c>
      <c r="F32" s="50" t="s">
        <v>272</v>
      </c>
      <c r="G32" s="63" t="str">
        <f t="shared" si="35"/>
        <v>[effect:break_attack_fix, val:100, lowest_val:1000, count:-1, color:blue, block:block_heart, target:unit_all]</v>
      </c>
      <c r="H32" s="63">
        <f t="shared" si="36"/>
        <v>9</v>
      </c>
      <c r="I32" s="63">
        <f t="shared" si="37"/>
        <v>25</v>
      </c>
      <c r="J32" s="63">
        <f t="shared" si="38"/>
        <v>101</v>
      </c>
      <c r="K32" s="63">
        <f t="shared" si="39"/>
        <v>34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si="40"/>
        <v>[effect:force_change_block, new_block:jammer, target:block_all, ignore01:crash, ignore02:crack_bomb, count:1, val:0, animation:change_block],[effect:fix_speed, target:myself, turn:1]</v>
      </c>
      <c r="N32" s="48" t="str">
        <f t="shared" si="80"/>
        <v>[effect:force_change_block, new_block:jammer, target:block_all, ignore01:crash, ignore02:crack_bomb, count:1, val:0, animation:change_block]</v>
      </c>
      <c r="O32" s="63">
        <f t="shared" si="41"/>
        <v>9</v>
      </c>
      <c r="P32" s="63">
        <f t="shared" si="42"/>
        <v>27</v>
      </c>
      <c r="Q32" s="63">
        <f t="shared" si="43"/>
        <v>54</v>
      </c>
      <c r="R32" s="63">
        <f t="shared" si="44"/>
        <v>45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si="45"/>
        <v>[effect:fix_speed, target:myself, turn:1]</v>
      </c>
      <c r="U32" s="63">
        <f t="shared" si="46"/>
        <v>9</v>
      </c>
      <c r="V32" s="63">
        <f t="shared" si="47"/>
        <v>18</v>
      </c>
      <c r="W32" s="63">
        <f t="shared" si="48"/>
        <v>27</v>
      </c>
      <c r="X32" s="63">
        <f t="shared" si="49"/>
        <v>33</v>
      </c>
      <c r="Y32" s="63" t="str">
        <f>IFERROR(VLOOKUP(MID(T32,W32,X32-W32),[5]skilldef!$C:$D,2,FALSE),"-") &amp; " / " &amp; IFERROR(VLOOKUP(MID(T32,U32,V32-U32),[5]skilldef!$A:$B,2,FALSE),"-")</f>
        <v>自分自身に / 行動値設定</v>
      </c>
      <c r="Z32" s="50"/>
      <c r="AA32" s="52"/>
      <c r="AB32" s="50"/>
    </row>
    <row r="33" spans="1:28" ht="21" customHeight="1" x14ac:dyDescent="0.15">
      <c r="A33" s="47">
        <v>20018343</v>
      </c>
      <c r="B33" s="47" t="s">
        <v>303</v>
      </c>
      <c r="C33" s="50">
        <v>3</v>
      </c>
      <c r="D33" s="50" t="s">
        <v>128</v>
      </c>
      <c r="E33" s="51" t="s">
        <v>261</v>
      </c>
      <c r="F33" s="50" t="s">
        <v>273</v>
      </c>
      <c r="G33" s="63" t="str">
        <f t="shared" si="35"/>
        <v>[effect:break_attack_fix, val:100, lowest_val:1000, count:-1, color:blue, block:block_heart, target:unit_all]</v>
      </c>
      <c r="H33" s="63">
        <f t="shared" si="36"/>
        <v>9</v>
      </c>
      <c r="I33" s="63">
        <f t="shared" si="37"/>
        <v>25</v>
      </c>
      <c r="J33" s="63">
        <f t="shared" si="38"/>
        <v>101</v>
      </c>
      <c r="K33" s="63">
        <f t="shared" si="39"/>
        <v>34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40"/>
        <v>[effect:force_change_block, new_block:jammer, target:block_all, ignore01:crash, ignore02:crack_bomb, count:2, val:0, animation:change_block],[effect:fix_speed, target:myself, turn:2]</v>
      </c>
      <c r="N33" s="48" t="str">
        <f t="shared" si="80"/>
        <v>[effect:force_change_block, new_block:jammer, target:block_all, ignore01:crash, ignore02:crack_bomb, count:2, val:0, animation:change_block]</v>
      </c>
      <c r="O33" s="63">
        <f t="shared" si="41"/>
        <v>9</v>
      </c>
      <c r="P33" s="63">
        <f t="shared" si="42"/>
        <v>27</v>
      </c>
      <c r="Q33" s="63">
        <f t="shared" si="43"/>
        <v>54</v>
      </c>
      <c r="R33" s="63">
        <f t="shared" si="44"/>
        <v>45</v>
      </c>
      <c r="S33" s="63" t="str">
        <f>IFERROR(VLOOKUP(MID(N33,Q33,R33-Q33),[5]skilldef!$C:$D,2,FALSE),"-") &amp; " / " &amp; IFERROR(VLOOKUP(MID(N33,O33,P33-O33),[5]skilldef!$A:$B,2,FALSE),"-")</f>
        <v>- / -</v>
      </c>
      <c r="T33" s="48" t="str">
        <f t="shared" si="45"/>
        <v>[effect:fix_speed, target:myself, turn:2]</v>
      </c>
      <c r="U33" s="63">
        <f t="shared" si="46"/>
        <v>9</v>
      </c>
      <c r="V33" s="63">
        <f t="shared" si="47"/>
        <v>18</v>
      </c>
      <c r="W33" s="63">
        <f t="shared" si="48"/>
        <v>27</v>
      </c>
      <c r="X33" s="63">
        <f t="shared" si="49"/>
        <v>33</v>
      </c>
      <c r="Y33" s="63" t="str">
        <f>IFERROR(VLOOKUP(MID(T33,W33,X33-W33),[5]skilldef!$C:$D,2,FALSE),"-") &amp; " / " &amp; IFERROR(VLOOKUP(MID(T33,U33,V33-U33),[5]skilldef!$A:$B,2,FALSE),"-")</f>
        <v>自分自身に / 行動値設定</v>
      </c>
      <c r="Z33" s="50"/>
      <c r="AA33" s="52"/>
      <c r="AB33" s="50"/>
    </row>
    <row r="34" spans="1:28" ht="21" customHeight="1" x14ac:dyDescent="0.15">
      <c r="A34" s="47">
        <v>20018344</v>
      </c>
      <c r="B34" s="47" t="s">
        <v>304</v>
      </c>
      <c r="C34" s="50">
        <v>3</v>
      </c>
      <c r="D34" s="50" t="s">
        <v>128</v>
      </c>
      <c r="E34" s="51" t="s">
        <v>260</v>
      </c>
      <c r="F34" s="50" t="s">
        <v>274</v>
      </c>
      <c r="G34" s="63" t="str">
        <f t="shared" si="35"/>
        <v>[effect:break_attack_fix, val:100, lowest_val:1200, count:-1, color:blue, block:block_heart, target:unit_all]</v>
      </c>
      <c r="H34" s="63">
        <f t="shared" si="36"/>
        <v>9</v>
      </c>
      <c r="I34" s="63">
        <f t="shared" si="37"/>
        <v>25</v>
      </c>
      <c r="J34" s="63">
        <f t="shared" si="38"/>
        <v>101</v>
      </c>
      <c r="K34" s="63">
        <f t="shared" si="39"/>
        <v>34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si="40"/>
        <v>[effect:force_change_block, new_block:jammer, target:block_all, ignore01:crash, ignore02:crack_bomb, count:3, val:0, animation:change_block],[effect:fix_speed, target:myself, turn:3]</v>
      </c>
      <c r="N34" s="48" t="str">
        <f t="shared" si="80"/>
        <v>[effect:force_change_block, new_block:jammer, target:block_all, ignore01:crash, ignore02:crack_bomb, count:3, val:0, animation:change_block]</v>
      </c>
      <c r="O34" s="63">
        <f t="shared" si="41"/>
        <v>9</v>
      </c>
      <c r="P34" s="63">
        <f t="shared" si="42"/>
        <v>27</v>
      </c>
      <c r="Q34" s="63">
        <f t="shared" si="43"/>
        <v>54</v>
      </c>
      <c r="R34" s="63">
        <f t="shared" si="44"/>
        <v>45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si="45"/>
        <v>[effect:fix_speed, target:myself, turn:3]</v>
      </c>
      <c r="U34" s="63">
        <f t="shared" si="46"/>
        <v>9</v>
      </c>
      <c r="V34" s="63">
        <f t="shared" si="47"/>
        <v>18</v>
      </c>
      <c r="W34" s="63">
        <f t="shared" si="48"/>
        <v>27</v>
      </c>
      <c r="X34" s="63">
        <f t="shared" si="49"/>
        <v>33</v>
      </c>
      <c r="Y34" s="63" t="str">
        <f>IFERROR(VLOOKUP(MID(T34,W34,X34-W34),[5]skilldef!$C:$D,2,FALSE),"-") &amp; " / " &amp; IFERROR(VLOOKUP(MID(T34,U34,V34-U34),[5]skilldef!$A:$B,2,FALSE),"-")</f>
        <v>自分自身に / 行動値設定</v>
      </c>
      <c r="Z34" s="50"/>
      <c r="AA34" s="52"/>
      <c r="AB3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4"/>
  <sheetViews>
    <sheetView showGridLines="0" zoomScale="80" zoomScaleNormal="80" zoomScalePageLayoutView="80" workbookViewId="0">
      <selection activeCell="D45" sqref="D4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20018111</v>
      </c>
      <c r="B2" s="47">
        <v>1</v>
      </c>
      <c r="C2" s="47" t="s">
        <v>53</v>
      </c>
      <c r="D2" s="47">
        <v>100</v>
      </c>
      <c r="E2" s="47" t="s">
        <v>53</v>
      </c>
      <c r="F2" s="47" t="s">
        <v>53</v>
      </c>
      <c r="G2" s="47" t="s">
        <v>53</v>
      </c>
      <c r="H2" s="47">
        <v>1</v>
      </c>
      <c r="I2" s="47" t="s">
        <v>53</v>
      </c>
      <c r="J2" s="48">
        <f t="shared" ref="J2:J12" si="0">D2</f>
        <v>100</v>
      </c>
    </row>
    <row r="3" spans="1:11" ht="21" customHeight="1" x14ac:dyDescent="0.15">
      <c r="A3" s="47">
        <v>20018121</v>
      </c>
      <c r="B3" s="47">
        <v>1</v>
      </c>
      <c r="C3" s="47" t="s">
        <v>53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si="0"/>
        <v>100</v>
      </c>
    </row>
    <row r="4" spans="1:11" ht="21" customHeight="1" x14ac:dyDescent="0.15">
      <c r="A4" s="47">
        <v>20018122</v>
      </c>
      <c r="B4" s="47">
        <v>0</v>
      </c>
      <c r="C4" s="47" t="s">
        <v>53</v>
      </c>
      <c r="D4" s="47">
        <v>100</v>
      </c>
      <c r="E4" s="47">
        <v>30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0"/>
        <v>100</v>
      </c>
    </row>
    <row r="5" spans="1:11" ht="21" customHeight="1" x14ac:dyDescent="0.15">
      <c r="A5" s="47">
        <v>20018131</v>
      </c>
      <c r="B5" s="47">
        <v>1</v>
      </c>
      <c r="C5" s="47" t="s">
        <v>53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0"/>
        <v>100</v>
      </c>
    </row>
    <row r="6" spans="1:11" ht="21" customHeight="1" x14ac:dyDescent="0.15">
      <c r="A6" s="47">
        <v>20018132</v>
      </c>
      <c r="B6" s="47">
        <v>0</v>
      </c>
      <c r="C6" s="47">
        <v>100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0"/>
        <v>100</v>
      </c>
    </row>
    <row r="7" spans="1:11" ht="21" customHeight="1" x14ac:dyDescent="0.15">
      <c r="A7" s="47">
        <v>20018133</v>
      </c>
      <c r="B7" s="47">
        <v>0</v>
      </c>
      <c r="C7" s="47">
        <v>90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0"/>
        <v>100</v>
      </c>
    </row>
    <row r="8" spans="1:11" ht="21" customHeight="1" x14ac:dyDescent="0.15">
      <c r="A8" s="47">
        <v>20018134</v>
      </c>
      <c r="B8" s="47">
        <v>0</v>
      </c>
      <c r="C8" s="47">
        <v>80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0"/>
        <v>100</v>
      </c>
    </row>
    <row r="9" spans="1:11" ht="21" customHeight="1" x14ac:dyDescent="0.15">
      <c r="A9" s="47">
        <v>20018141</v>
      </c>
      <c r="B9" s="47">
        <v>1</v>
      </c>
      <c r="C9" s="47">
        <v>110</v>
      </c>
      <c r="D9" s="47">
        <v>100</v>
      </c>
      <c r="E9" s="47" t="s">
        <v>53</v>
      </c>
      <c r="F9" s="47" t="s">
        <v>53</v>
      </c>
      <c r="G9" s="47" t="s">
        <v>53</v>
      </c>
      <c r="H9" s="47">
        <v>2</v>
      </c>
      <c r="I9" s="47" t="s">
        <v>53</v>
      </c>
      <c r="J9" s="48">
        <f t="shared" si="0"/>
        <v>100</v>
      </c>
    </row>
    <row r="10" spans="1:11" ht="21" customHeight="1" x14ac:dyDescent="0.15">
      <c r="A10" s="47">
        <v>20018142</v>
      </c>
      <c r="B10" s="47">
        <v>0</v>
      </c>
      <c r="C10" s="47">
        <v>100</v>
      </c>
      <c r="D10" s="47">
        <v>65</v>
      </c>
      <c r="E10" s="47" t="s">
        <v>53</v>
      </c>
      <c r="F10" s="47" t="s">
        <v>53</v>
      </c>
      <c r="G10" s="47" t="s">
        <v>53</v>
      </c>
      <c r="H10" s="47">
        <v>1</v>
      </c>
      <c r="I10" s="47" t="s">
        <v>53</v>
      </c>
      <c r="J10" s="48">
        <f t="shared" si="0"/>
        <v>65</v>
      </c>
    </row>
    <row r="11" spans="1:11" ht="21" customHeight="1" x14ac:dyDescent="0.15">
      <c r="A11" s="47">
        <v>20018143</v>
      </c>
      <c r="B11" s="47">
        <v>0</v>
      </c>
      <c r="C11" s="47">
        <v>90</v>
      </c>
      <c r="D11" s="47">
        <v>75</v>
      </c>
      <c r="E11" s="47" t="s">
        <v>53</v>
      </c>
      <c r="F11" s="47" t="s">
        <v>53</v>
      </c>
      <c r="G11" s="47" t="s">
        <v>53</v>
      </c>
      <c r="H11" s="47">
        <v>1</v>
      </c>
      <c r="I11" s="47" t="s">
        <v>53</v>
      </c>
      <c r="J11" s="48">
        <f t="shared" si="0"/>
        <v>75</v>
      </c>
    </row>
    <row r="12" spans="1:11" ht="21" customHeight="1" x14ac:dyDescent="0.15">
      <c r="A12" s="47">
        <v>20018144</v>
      </c>
      <c r="B12" s="47">
        <v>0</v>
      </c>
      <c r="C12" s="47">
        <v>80</v>
      </c>
      <c r="D12" s="47">
        <v>100</v>
      </c>
      <c r="E12" s="47" t="s">
        <v>53</v>
      </c>
      <c r="F12" s="47" t="s">
        <v>53</v>
      </c>
      <c r="G12" s="47" t="s">
        <v>53</v>
      </c>
      <c r="H12" s="47">
        <v>1</v>
      </c>
      <c r="I12" s="47" t="s">
        <v>53</v>
      </c>
      <c r="J12" s="48">
        <f t="shared" si="0"/>
        <v>100</v>
      </c>
    </row>
    <row r="13" spans="1:11" ht="21" customHeight="1" x14ac:dyDescent="0.15">
      <c r="A13" s="47">
        <v>20018211</v>
      </c>
      <c r="B13" s="47">
        <v>1</v>
      </c>
      <c r="C13" s="47" t="s">
        <v>53</v>
      </c>
      <c r="D13" s="47">
        <v>100</v>
      </c>
      <c r="E13" s="47" t="s">
        <v>53</v>
      </c>
      <c r="F13" s="47" t="s">
        <v>53</v>
      </c>
      <c r="G13" s="47" t="s">
        <v>53</v>
      </c>
      <c r="H13" s="47">
        <v>1</v>
      </c>
      <c r="I13" s="47" t="s">
        <v>53</v>
      </c>
      <c r="J13" s="48">
        <f t="shared" ref="J13:J23" si="1">D13</f>
        <v>100</v>
      </c>
    </row>
    <row r="14" spans="1:11" ht="21" customHeight="1" x14ac:dyDescent="0.15">
      <c r="A14" s="47">
        <v>20018221</v>
      </c>
      <c r="B14" s="47">
        <v>1</v>
      </c>
      <c r="C14" s="47" t="s">
        <v>53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si="1"/>
        <v>100</v>
      </c>
    </row>
    <row r="15" spans="1:11" ht="21" customHeight="1" x14ac:dyDescent="0.15">
      <c r="A15" s="47">
        <v>20018222</v>
      </c>
      <c r="B15" s="47">
        <v>0</v>
      </c>
      <c r="C15" s="47" t="s">
        <v>53</v>
      </c>
      <c r="D15" s="47">
        <v>100</v>
      </c>
      <c r="E15" s="47">
        <v>30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1"/>
        <v>100</v>
      </c>
    </row>
    <row r="16" spans="1:11" ht="21" customHeight="1" x14ac:dyDescent="0.15">
      <c r="A16" s="47">
        <v>20018231</v>
      </c>
      <c r="B16" s="47">
        <v>1</v>
      </c>
      <c r="C16" s="47" t="s">
        <v>53</v>
      </c>
      <c r="D16" s="47">
        <v>100</v>
      </c>
      <c r="E16" s="47" t="s">
        <v>53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1"/>
        <v>100</v>
      </c>
    </row>
    <row r="17" spans="1:10" ht="21" customHeight="1" x14ac:dyDescent="0.15">
      <c r="A17" s="47">
        <v>20018232</v>
      </c>
      <c r="B17" s="47">
        <v>0</v>
      </c>
      <c r="C17" s="47">
        <v>100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1"/>
        <v>100</v>
      </c>
    </row>
    <row r="18" spans="1:10" ht="21" customHeight="1" x14ac:dyDescent="0.15">
      <c r="A18" s="47">
        <v>20018233</v>
      </c>
      <c r="B18" s="47">
        <v>0</v>
      </c>
      <c r="C18" s="47">
        <v>90</v>
      </c>
      <c r="D18" s="47">
        <v>100</v>
      </c>
      <c r="E18" s="47" t="s">
        <v>53</v>
      </c>
      <c r="F18" s="47" t="s">
        <v>53</v>
      </c>
      <c r="G18" s="47">
        <v>1</v>
      </c>
      <c r="H18" s="47" t="s">
        <v>53</v>
      </c>
      <c r="I18" s="47" t="s">
        <v>53</v>
      </c>
      <c r="J18" s="48">
        <f t="shared" si="1"/>
        <v>100</v>
      </c>
    </row>
    <row r="19" spans="1:10" ht="21" customHeight="1" x14ac:dyDescent="0.15">
      <c r="A19" s="47">
        <v>20018234</v>
      </c>
      <c r="B19" s="47">
        <v>0</v>
      </c>
      <c r="C19" s="47">
        <v>80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1"/>
        <v>100</v>
      </c>
    </row>
    <row r="20" spans="1:10" ht="21" customHeight="1" x14ac:dyDescent="0.15">
      <c r="A20" s="47">
        <v>20018241</v>
      </c>
      <c r="B20" s="47">
        <v>1</v>
      </c>
      <c r="C20" s="47">
        <v>110</v>
      </c>
      <c r="D20" s="47">
        <v>100</v>
      </c>
      <c r="E20" s="47" t="s">
        <v>53</v>
      </c>
      <c r="F20" s="47" t="s">
        <v>53</v>
      </c>
      <c r="G20" s="47" t="s">
        <v>53</v>
      </c>
      <c r="H20" s="47">
        <v>2</v>
      </c>
      <c r="I20" s="47" t="s">
        <v>53</v>
      </c>
      <c r="J20" s="48">
        <f t="shared" si="1"/>
        <v>100</v>
      </c>
    </row>
    <row r="21" spans="1:10" ht="21" customHeight="1" x14ac:dyDescent="0.15">
      <c r="A21" s="47">
        <v>20018242</v>
      </c>
      <c r="B21" s="47">
        <v>0</v>
      </c>
      <c r="C21" s="47">
        <v>100</v>
      </c>
      <c r="D21" s="47">
        <v>65</v>
      </c>
      <c r="E21" s="47" t="s">
        <v>53</v>
      </c>
      <c r="F21" s="47" t="s">
        <v>53</v>
      </c>
      <c r="G21" s="47" t="s">
        <v>53</v>
      </c>
      <c r="H21" s="47">
        <v>1</v>
      </c>
      <c r="I21" s="47" t="s">
        <v>53</v>
      </c>
      <c r="J21" s="48">
        <f t="shared" si="1"/>
        <v>65</v>
      </c>
    </row>
    <row r="22" spans="1:10" ht="21" customHeight="1" x14ac:dyDescent="0.15">
      <c r="A22" s="47">
        <v>20018243</v>
      </c>
      <c r="B22" s="47">
        <v>0</v>
      </c>
      <c r="C22" s="47">
        <v>90</v>
      </c>
      <c r="D22" s="47">
        <v>75</v>
      </c>
      <c r="E22" s="47" t="s">
        <v>53</v>
      </c>
      <c r="F22" s="47" t="s">
        <v>53</v>
      </c>
      <c r="G22" s="47" t="s">
        <v>53</v>
      </c>
      <c r="H22" s="47">
        <v>1</v>
      </c>
      <c r="I22" s="47" t="s">
        <v>53</v>
      </c>
      <c r="J22" s="48">
        <f t="shared" si="1"/>
        <v>75</v>
      </c>
    </row>
    <row r="23" spans="1:10" ht="21" customHeight="1" x14ac:dyDescent="0.15">
      <c r="A23" s="47">
        <v>20018244</v>
      </c>
      <c r="B23" s="47">
        <v>0</v>
      </c>
      <c r="C23" s="47">
        <v>80</v>
      </c>
      <c r="D23" s="47">
        <v>100</v>
      </c>
      <c r="E23" s="47" t="s">
        <v>53</v>
      </c>
      <c r="F23" s="47" t="s">
        <v>53</v>
      </c>
      <c r="G23" s="47" t="s">
        <v>53</v>
      </c>
      <c r="H23" s="47">
        <v>1</v>
      </c>
      <c r="I23" s="47" t="s">
        <v>53</v>
      </c>
      <c r="J23" s="48">
        <f t="shared" si="1"/>
        <v>100</v>
      </c>
    </row>
    <row r="24" spans="1:10" ht="21" customHeight="1" x14ac:dyDescent="0.15">
      <c r="A24" s="47">
        <v>20018311</v>
      </c>
      <c r="B24" s="47">
        <v>1</v>
      </c>
      <c r="C24" s="47" t="s">
        <v>89</v>
      </c>
      <c r="D24" s="47">
        <v>100</v>
      </c>
      <c r="E24" s="47" t="s">
        <v>53</v>
      </c>
      <c r="F24" s="47" t="s">
        <v>90</v>
      </c>
      <c r="G24" s="47" t="s">
        <v>53</v>
      </c>
      <c r="H24" s="47">
        <v>1</v>
      </c>
      <c r="I24" s="47" t="s">
        <v>90</v>
      </c>
      <c r="J24" s="48">
        <f t="shared" ref="J24" si="2">D24</f>
        <v>100</v>
      </c>
    </row>
    <row r="25" spans="1:10" ht="21" customHeight="1" x14ac:dyDescent="0.15">
      <c r="A25" s="47">
        <v>20018321</v>
      </c>
      <c r="B25" s="47">
        <v>1</v>
      </c>
      <c r="C25" s="47" t="s">
        <v>53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ref="J25:J27" si="3">D25</f>
        <v>100</v>
      </c>
    </row>
    <row r="26" spans="1:10" ht="21" customHeight="1" x14ac:dyDescent="0.15">
      <c r="A26" s="47">
        <v>20018322</v>
      </c>
      <c r="B26" s="47">
        <v>0</v>
      </c>
      <c r="C26" s="47" t="s">
        <v>53</v>
      </c>
      <c r="D26" s="47">
        <v>100</v>
      </c>
      <c r="E26" s="47">
        <v>30</v>
      </c>
      <c r="F26" s="47" t="s">
        <v>53</v>
      </c>
      <c r="G26" s="47">
        <v>1</v>
      </c>
      <c r="H26" s="47" t="s">
        <v>53</v>
      </c>
      <c r="I26" s="47" t="s">
        <v>53</v>
      </c>
      <c r="J26" s="48">
        <f t="shared" ref="J26" si="4">D26</f>
        <v>100</v>
      </c>
    </row>
    <row r="27" spans="1:10" ht="21" customHeight="1" x14ac:dyDescent="0.15">
      <c r="A27" s="47">
        <v>20018331</v>
      </c>
      <c r="B27" s="47">
        <v>1</v>
      </c>
      <c r="C27" s="47" t="s">
        <v>53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53</v>
      </c>
      <c r="I27" s="47" t="s">
        <v>53</v>
      </c>
      <c r="J27" s="48">
        <f t="shared" si="3"/>
        <v>100</v>
      </c>
    </row>
    <row r="28" spans="1:10" ht="21" customHeight="1" x14ac:dyDescent="0.15">
      <c r="A28" s="47">
        <v>20018332</v>
      </c>
      <c r="B28" s="47">
        <v>0</v>
      </c>
      <c r="C28" s="47">
        <v>100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ref="J28" si="5">D28</f>
        <v>100</v>
      </c>
    </row>
    <row r="29" spans="1:10" ht="21" customHeight="1" x14ac:dyDescent="0.15">
      <c r="A29" s="47">
        <v>20018333</v>
      </c>
      <c r="B29" s="47">
        <v>0</v>
      </c>
      <c r="C29" s="47">
        <v>90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ref="J29" si="6">D29</f>
        <v>100</v>
      </c>
    </row>
    <row r="30" spans="1:10" ht="21" customHeight="1" x14ac:dyDescent="0.15">
      <c r="A30" s="47">
        <v>20018334</v>
      </c>
      <c r="B30" s="47">
        <v>0</v>
      </c>
      <c r="C30" s="47">
        <v>80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53</v>
      </c>
      <c r="I30" s="47" t="s">
        <v>53</v>
      </c>
      <c r="J30" s="48">
        <f t="shared" ref="J30" si="7">D30</f>
        <v>100</v>
      </c>
    </row>
    <row r="31" spans="1:10" ht="21" customHeight="1" x14ac:dyDescent="0.15">
      <c r="A31" s="47">
        <v>20018341</v>
      </c>
      <c r="B31" s="47">
        <v>1</v>
      </c>
      <c r="C31" s="47">
        <v>110</v>
      </c>
      <c r="D31" s="47">
        <v>100</v>
      </c>
      <c r="E31" s="47" t="s">
        <v>53</v>
      </c>
      <c r="F31" s="47" t="s">
        <v>53</v>
      </c>
      <c r="G31" s="47" t="s">
        <v>53</v>
      </c>
      <c r="H31" s="47">
        <v>2</v>
      </c>
      <c r="I31" s="47" t="s">
        <v>53</v>
      </c>
      <c r="J31" s="48">
        <f t="shared" ref="J31:J34" si="8">D31</f>
        <v>100</v>
      </c>
    </row>
    <row r="32" spans="1:10" ht="21" customHeight="1" x14ac:dyDescent="0.15">
      <c r="A32" s="47">
        <v>20018342</v>
      </c>
      <c r="B32" s="47">
        <v>0</v>
      </c>
      <c r="C32" s="47">
        <v>100</v>
      </c>
      <c r="D32" s="47">
        <v>65</v>
      </c>
      <c r="E32" s="47" t="s">
        <v>53</v>
      </c>
      <c r="F32" s="47" t="s">
        <v>53</v>
      </c>
      <c r="G32" s="47" t="s">
        <v>53</v>
      </c>
      <c r="H32" s="47">
        <v>1</v>
      </c>
      <c r="I32" s="47" t="s">
        <v>53</v>
      </c>
      <c r="J32" s="48">
        <f t="shared" si="8"/>
        <v>65</v>
      </c>
    </row>
    <row r="33" spans="1:10" ht="21" customHeight="1" x14ac:dyDescent="0.15">
      <c r="A33" s="47">
        <v>20018343</v>
      </c>
      <c r="B33" s="47">
        <v>0</v>
      </c>
      <c r="C33" s="47">
        <v>90</v>
      </c>
      <c r="D33" s="47">
        <v>75</v>
      </c>
      <c r="E33" s="47" t="s">
        <v>53</v>
      </c>
      <c r="F33" s="47" t="s">
        <v>53</v>
      </c>
      <c r="G33" s="47" t="s">
        <v>53</v>
      </c>
      <c r="H33" s="47">
        <v>1</v>
      </c>
      <c r="I33" s="47" t="s">
        <v>53</v>
      </c>
      <c r="J33" s="48">
        <f t="shared" si="8"/>
        <v>75</v>
      </c>
    </row>
    <row r="34" spans="1:10" ht="21" customHeight="1" x14ac:dyDescent="0.15">
      <c r="A34" s="47">
        <v>20018344</v>
      </c>
      <c r="B34" s="47">
        <v>0</v>
      </c>
      <c r="C34" s="47">
        <v>80</v>
      </c>
      <c r="D34" s="47">
        <v>100</v>
      </c>
      <c r="E34" s="47" t="s">
        <v>53</v>
      </c>
      <c r="F34" s="47" t="s">
        <v>53</v>
      </c>
      <c r="G34" s="47" t="s">
        <v>53</v>
      </c>
      <c r="H34" s="47">
        <v>1</v>
      </c>
      <c r="I34" s="47" t="s">
        <v>53</v>
      </c>
      <c r="J34" s="48">
        <f t="shared" si="8"/>
        <v>100</v>
      </c>
    </row>
  </sheetData>
  <autoFilter ref="A1:G1"/>
  <phoneticPr fontId="5"/>
  <conditionalFormatting sqref="K35:K1048576 K1 K24">
    <cfRule type="duplicateValues" dxfId="20" priority="26"/>
  </conditionalFormatting>
  <conditionalFormatting sqref="K28">
    <cfRule type="duplicateValues" dxfId="19" priority="24"/>
  </conditionalFormatting>
  <conditionalFormatting sqref="K31:K34">
    <cfRule type="duplicateValues" dxfId="18" priority="21"/>
  </conditionalFormatting>
  <conditionalFormatting sqref="K25 K27">
    <cfRule type="duplicateValues" dxfId="17" priority="28"/>
  </conditionalFormatting>
  <conditionalFormatting sqref="K29">
    <cfRule type="duplicateValues" dxfId="16" priority="30"/>
  </conditionalFormatting>
  <conditionalFormatting sqref="K26">
    <cfRule type="duplicateValues" dxfId="15" priority="19"/>
  </conditionalFormatting>
  <conditionalFormatting sqref="K30">
    <cfRule type="duplicateValues" dxfId="14" priority="18"/>
  </conditionalFormatting>
  <conditionalFormatting sqref="K13">
    <cfRule type="duplicateValues" dxfId="13" priority="14"/>
  </conditionalFormatting>
  <conditionalFormatting sqref="K17">
    <cfRule type="duplicateValues" dxfId="12" priority="13"/>
  </conditionalFormatting>
  <conditionalFormatting sqref="K20:K23">
    <cfRule type="duplicateValues" dxfId="11" priority="12"/>
  </conditionalFormatting>
  <conditionalFormatting sqref="K14 K16">
    <cfRule type="duplicateValues" dxfId="10" priority="15"/>
  </conditionalFormatting>
  <conditionalFormatting sqref="K18">
    <cfRule type="duplicateValues" dxfId="9" priority="16"/>
  </conditionalFormatting>
  <conditionalFormatting sqref="K15">
    <cfRule type="duplicateValues" dxfId="8" priority="11"/>
  </conditionalFormatting>
  <conditionalFormatting sqref="K19">
    <cfRule type="duplicateValues" dxfId="7" priority="10"/>
  </conditionalFormatting>
  <conditionalFormatting sqref="K2">
    <cfRule type="duplicateValues" dxfId="6" priority="6"/>
  </conditionalFormatting>
  <conditionalFormatting sqref="K6">
    <cfRule type="duplicateValues" dxfId="5" priority="5"/>
  </conditionalFormatting>
  <conditionalFormatting sqref="K9:K12">
    <cfRule type="duplicateValues" dxfId="4" priority="4"/>
  </conditionalFormatting>
  <conditionalFormatting sqref="K3 K5">
    <cfRule type="duplicateValues" dxfId="3" priority="7"/>
  </conditionalFormatting>
  <conditionalFormatting sqref="K7">
    <cfRule type="duplicateValues" dxfId="2" priority="8"/>
  </conditionalFormatting>
  <conditionalFormatting sqref="K4">
    <cfRule type="duplicateValues" dxfId="1" priority="3"/>
  </conditionalFormatting>
  <conditionalFormatting sqref="K8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opLeftCell="C1" workbookViewId="0">
      <selection activeCell="O23" sqref="O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v>20018</v>
      </c>
      <c r="B2" s="57">
        <v>3</v>
      </c>
      <c r="C2" s="71" t="str">
        <f>A2&amp; "_"&amp;B2</f>
        <v>20018_3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5000</v>
      </c>
      <c r="H2" s="57" t="s">
        <v>53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170</v>
      </c>
      <c r="R2" s="57" t="s">
        <v>171</v>
      </c>
    </row>
    <row r="3" spans="1:18" x14ac:dyDescent="0.15">
      <c r="A3" s="57">
        <v>20018</v>
      </c>
      <c r="B3" s="57">
        <v>3</v>
      </c>
      <c r="C3" s="71" t="str">
        <f t="shared" ref="C3:C12" si="0">A3&amp; "_"&amp;B3</f>
        <v>20018_3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281</v>
      </c>
      <c r="G3" s="57">
        <v>25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170</v>
      </c>
      <c r="R3" s="57" t="s">
        <v>171</v>
      </c>
    </row>
    <row r="4" spans="1:18" x14ac:dyDescent="0.15">
      <c r="A4" s="57">
        <v>20018</v>
      </c>
      <c r="B4" s="57">
        <v>3</v>
      </c>
      <c r="C4" s="71" t="str">
        <f t="shared" si="0"/>
        <v>20018_3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282</v>
      </c>
      <c r="G4" s="57">
        <v>340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56</v>
      </c>
      <c r="Q4" s="57" t="s">
        <v>170</v>
      </c>
      <c r="R4" s="57" t="s">
        <v>171</v>
      </c>
    </row>
    <row r="5" spans="1:18" x14ac:dyDescent="0.15">
      <c r="A5" s="57">
        <v>20018</v>
      </c>
      <c r="B5" s="57">
        <v>3</v>
      </c>
      <c r="C5" s="71" t="str">
        <f t="shared" si="0"/>
        <v>20018_3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282</v>
      </c>
      <c r="G5" s="57">
        <v>341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56</v>
      </c>
      <c r="Q5" s="57" t="s">
        <v>170</v>
      </c>
      <c r="R5" s="57" t="s">
        <v>171</v>
      </c>
    </row>
    <row r="6" spans="1:18" x14ac:dyDescent="0.15">
      <c r="A6" s="57">
        <v>20018</v>
      </c>
      <c r="B6" s="57">
        <v>3</v>
      </c>
      <c r="C6" s="71" t="str">
        <f t="shared" si="0"/>
        <v>20018_3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282</v>
      </c>
      <c r="G6" s="57">
        <v>342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28</v>
      </c>
      <c r="Q6" s="57" t="s">
        <v>170</v>
      </c>
      <c r="R6" s="57" t="s">
        <v>171</v>
      </c>
    </row>
    <row r="7" spans="1:18" x14ac:dyDescent="0.15">
      <c r="A7" s="57">
        <v>20018</v>
      </c>
      <c r="B7" s="57">
        <v>3</v>
      </c>
      <c r="C7" s="71" t="str">
        <f t="shared" si="0"/>
        <v>20018_3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282</v>
      </c>
      <c r="G7" s="57">
        <v>352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170</v>
      </c>
      <c r="R7" s="57" t="s">
        <v>171</v>
      </c>
    </row>
    <row r="8" spans="1:18" x14ac:dyDescent="0.15">
      <c r="A8" s="57">
        <v>20018</v>
      </c>
      <c r="B8" s="57">
        <v>3</v>
      </c>
      <c r="C8" s="71" t="str">
        <f t="shared" si="0"/>
        <v>20018_3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282</v>
      </c>
      <c r="G8" s="57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170</v>
      </c>
      <c r="R8" s="57" t="s">
        <v>171</v>
      </c>
    </row>
    <row r="9" spans="1:18" x14ac:dyDescent="0.15">
      <c r="A9" s="57">
        <v>20018</v>
      </c>
      <c r="B9" s="57">
        <v>3</v>
      </c>
      <c r="C9" s="71" t="str">
        <f t="shared" si="0"/>
        <v>20018_3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282</v>
      </c>
      <c r="G9" s="57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50</v>
      </c>
      <c r="Q9" s="57" t="s">
        <v>170</v>
      </c>
      <c r="R9" s="57" t="s">
        <v>171</v>
      </c>
    </row>
    <row r="10" spans="1:18" x14ac:dyDescent="0.15">
      <c r="A10" s="57">
        <v>20018</v>
      </c>
      <c r="B10" s="57">
        <v>3</v>
      </c>
      <c r="C10" s="71" t="str">
        <f t="shared" si="0"/>
        <v>20018_3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282</v>
      </c>
      <c r="G10" s="57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50</v>
      </c>
      <c r="Q10" s="57" t="s">
        <v>170</v>
      </c>
      <c r="R10" s="57" t="s">
        <v>171</v>
      </c>
    </row>
    <row r="11" spans="1:18" x14ac:dyDescent="0.15">
      <c r="A11" s="57">
        <v>20018</v>
      </c>
      <c r="B11" s="57">
        <v>3</v>
      </c>
      <c r="C11" s="71" t="str">
        <f t="shared" si="0"/>
        <v>20018_3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282</v>
      </c>
      <c r="G11" s="57">
        <v>125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</v>
      </c>
      <c r="Q11" s="57" t="s">
        <v>170</v>
      </c>
      <c r="R11" s="57" t="s">
        <v>171</v>
      </c>
    </row>
    <row r="12" spans="1:18" x14ac:dyDescent="0.15">
      <c r="A12" s="57">
        <v>20018</v>
      </c>
      <c r="B12" s="57">
        <v>3</v>
      </c>
      <c r="C12" s="71" t="str">
        <f t="shared" si="0"/>
        <v>20018_3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282</v>
      </c>
      <c r="G12" s="57">
        <v>1004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400</v>
      </c>
      <c r="Q12" s="57" t="s">
        <v>170</v>
      </c>
      <c r="R12" s="57" t="s">
        <v>171</v>
      </c>
    </row>
    <row r="13" spans="1:18" x14ac:dyDescent="0.15">
      <c r="A13" s="62">
        <v>20018</v>
      </c>
      <c r="B13" s="62">
        <v>2</v>
      </c>
      <c r="C13" s="62" t="str">
        <f>A13&amp; "_"&amp;B13</f>
        <v>20018_2</v>
      </c>
      <c r="D13" s="106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62">
        <v>12</v>
      </c>
      <c r="F13" s="62" t="s">
        <v>169</v>
      </c>
      <c r="G13" s="62">
        <v>3200</v>
      </c>
      <c r="H13" s="62" t="s">
        <v>53</v>
      </c>
      <c r="I13" s="62">
        <v>1</v>
      </c>
      <c r="J13" s="62">
        <v>1</v>
      </c>
      <c r="K13" s="62">
        <v>0</v>
      </c>
      <c r="L13" s="62">
        <v>0</v>
      </c>
      <c r="M13" s="62">
        <v>0</v>
      </c>
      <c r="N13" s="62">
        <v>0</v>
      </c>
      <c r="O13" s="62">
        <v>1</v>
      </c>
      <c r="P13" s="62">
        <v>200</v>
      </c>
      <c r="Q13" s="62" t="s">
        <v>170</v>
      </c>
      <c r="R13" s="62" t="s">
        <v>171</v>
      </c>
    </row>
    <row r="14" spans="1:18" x14ac:dyDescent="0.15">
      <c r="A14" s="62">
        <v>20018</v>
      </c>
      <c r="B14" s="62">
        <v>2</v>
      </c>
      <c r="C14" s="62" t="str">
        <f t="shared" ref="C14:C22" si="1">A14&amp; "_"&amp;B14</f>
        <v>20018_2</v>
      </c>
      <c r="D14" s="106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62">
        <v>13</v>
      </c>
      <c r="F14" s="62" t="s">
        <v>281</v>
      </c>
      <c r="G14" s="62">
        <v>20</v>
      </c>
      <c r="H14" s="62" t="s">
        <v>53</v>
      </c>
      <c r="I14" s="62">
        <v>1</v>
      </c>
      <c r="J14" s="62">
        <v>1</v>
      </c>
      <c r="K14" s="62">
        <v>0</v>
      </c>
      <c r="L14" s="62">
        <v>0</v>
      </c>
      <c r="M14" s="62">
        <v>0</v>
      </c>
      <c r="N14" s="62">
        <v>0</v>
      </c>
      <c r="O14" s="62">
        <v>1</v>
      </c>
      <c r="P14" s="62">
        <v>150</v>
      </c>
      <c r="Q14" s="62" t="s">
        <v>170</v>
      </c>
      <c r="R14" s="62" t="s">
        <v>171</v>
      </c>
    </row>
    <row r="15" spans="1:18" x14ac:dyDescent="0.15">
      <c r="A15" s="62">
        <v>20018</v>
      </c>
      <c r="B15" s="62">
        <v>2</v>
      </c>
      <c r="C15" s="62" t="str">
        <f t="shared" si="1"/>
        <v>20018_2</v>
      </c>
      <c r="D15" s="106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62">
        <v>14</v>
      </c>
      <c r="F15" s="62" t="s">
        <v>282</v>
      </c>
      <c r="G15" s="62">
        <v>340</v>
      </c>
      <c r="H15" s="62">
        <v>1</v>
      </c>
      <c r="I15" s="62">
        <v>1</v>
      </c>
      <c r="J15" s="62"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62">
        <v>70</v>
      </c>
      <c r="Q15" s="62" t="s">
        <v>170</v>
      </c>
      <c r="R15" s="62" t="s">
        <v>171</v>
      </c>
    </row>
    <row r="16" spans="1:18" x14ac:dyDescent="0.15">
      <c r="A16" s="62">
        <v>20018</v>
      </c>
      <c r="B16" s="62">
        <v>2</v>
      </c>
      <c r="C16" s="62" t="str">
        <f t="shared" si="1"/>
        <v>20018_2</v>
      </c>
      <c r="D16" s="106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62">
        <v>15</v>
      </c>
      <c r="F16" s="62" t="s">
        <v>282</v>
      </c>
      <c r="G16" s="62">
        <v>341</v>
      </c>
      <c r="H16" s="62">
        <v>1</v>
      </c>
      <c r="I16" s="62">
        <v>1</v>
      </c>
      <c r="J16" s="62">
        <v>1</v>
      </c>
      <c r="K16" s="62">
        <v>0</v>
      </c>
      <c r="L16" s="62">
        <v>0</v>
      </c>
      <c r="M16" s="62">
        <v>0</v>
      </c>
      <c r="N16" s="62">
        <v>0</v>
      </c>
      <c r="O16" s="62">
        <v>1</v>
      </c>
      <c r="P16" s="62">
        <v>70</v>
      </c>
      <c r="Q16" s="62" t="s">
        <v>170</v>
      </c>
      <c r="R16" s="62" t="s">
        <v>171</v>
      </c>
    </row>
    <row r="17" spans="1:18" x14ac:dyDescent="0.15">
      <c r="A17" s="62">
        <v>20018</v>
      </c>
      <c r="B17" s="62">
        <v>2</v>
      </c>
      <c r="C17" s="62" t="str">
        <f t="shared" si="1"/>
        <v>20018_2</v>
      </c>
      <c r="D17" s="106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62">
        <v>16</v>
      </c>
      <c r="F17" s="62" t="s">
        <v>282</v>
      </c>
      <c r="G17" s="62">
        <v>352</v>
      </c>
      <c r="H17" s="62">
        <v>1</v>
      </c>
      <c r="I17" s="62">
        <v>1</v>
      </c>
      <c r="J17" s="62">
        <v>1</v>
      </c>
      <c r="K17" s="62">
        <v>0</v>
      </c>
      <c r="L17" s="62">
        <v>0</v>
      </c>
      <c r="M17" s="62">
        <v>0</v>
      </c>
      <c r="N17" s="62">
        <v>0</v>
      </c>
      <c r="O17" s="62">
        <v>1</v>
      </c>
      <c r="P17" s="62">
        <v>100</v>
      </c>
      <c r="Q17" s="62" t="s">
        <v>170</v>
      </c>
      <c r="R17" s="62" t="s">
        <v>171</v>
      </c>
    </row>
    <row r="18" spans="1:18" x14ac:dyDescent="0.15">
      <c r="A18" s="62">
        <v>20018</v>
      </c>
      <c r="B18" s="62">
        <v>2</v>
      </c>
      <c r="C18" s="62" t="str">
        <f t="shared" si="1"/>
        <v>20018_2</v>
      </c>
      <c r="D18" s="106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62">
        <v>17</v>
      </c>
      <c r="F18" s="62" t="s">
        <v>282</v>
      </c>
      <c r="G18" s="62">
        <v>121</v>
      </c>
      <c r="H18" s="62">
        <v>1</v>
      </c>
      <c r="I18" s="62">
        <v>1</v>
      </c>
      <c r="J18" s="62">
        <v>1</v>
      </c>
      <c r="K18" s="62">
        <v>0</v>
      </c>
      <c r="L18" s="62">
        <v>0</v>
      </c>
      <c r="M18" s="62">
        <v>0</v>
      </c>
      <c r="N18" s="62">
        <v>0</v>
      </c>
      <c r="O18" s="62">
        <v>1</v>
      </c>
      <c r="P18" s="62">
        <v>50</v>
      </c>
      <c r="Q18" s="62" t="s">
        <v>170</v>
      </c>
      <c r="R18" s="62" t="s">
        <v>171</v>
      </c>
    </row>
    <row r="19" spans="1:18" x14ac:dyDescent="0.15">
      <c r="A19" s="62">
        <v>20018</v>
      </c>
      <c r="B19" s="62">
        <v>2</v>
      </c>
      <c r="C19" s="62" t="str">
        <f t="shared" si="1"/>
        <v>20018_2</v>
      </c>
      <c r="D19" s="106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62">
        <v>18</v>
      </c>
      <c r="F19" s="62" t="s">
        <v>282</v>
      </c>
      <c r="G19" s="62">
        <v>122</v>
      </c>
      <c r="H19" s="62">
        <v>1</v>
      </c>
      <c r="I19" s="62">
        <v>1</v>
      </c>
      <c r="J19" s="62">
        <v>1</v>
      </c>
      <c r="K19" s="62">
        <v>0</v>
      </c>
      <c r="L19" s="62">
        <v>0</v>
      </c>
      <c r="M19" s="62">
        <v>0</v>
      </c>
      <c r="N19" s="62">
        <v>0</v>
      </c>
      <c r="O19" s="62">
        <v>1</v>
      </c>
      <c r="P19" s="62">
        <v>50</v>
      </c>
      <c r="Q19" s="62" t="s">
        <v>170</v>
      </c>
      <c r="R19" s="62" t="s">
        <v>171</v>
      </c>
    </row>
    <row r="20" spans="1:18" x14ac:dyDescent="0.15">
      <c r="A20" s="62">
        <v>20018</v>
      </c>
      <c r="B20" s="62">
        <v>2</v>
      </c>
      <c r="C20" s="62" t="str">
        <f t="shared" si="1"/>
        <v>20018_2</v>
      </c>
      <c r="D20" s="106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62">
        <v>19</v>
      </c>
      <c r="F20" s="62" t="s">
        <v>282</v>
      </c>
      <c r="G20" s="62">
        <v>123</v>
      </c>
      <c r="H20" s="62">
        <v>1</v>
      </c>
      <c r="I20" s="62">
        <v>1</v>
      </c>
      <c r="J20" s="62">
        <v>1</v>
      </c>
      <c r="K20" s="62">
        <v>0</v>
      </c>
      <c r="L20" s="62">
        <v>0</v>
      </c>
      <c r="M20" s="62">
        <v>0</v>
      </c>
      <c r="N20" s="62">
        <v>0</v>
      </c>
      <c r="O20" s="62">
        <v>1</v>
      </c>
      <c r="P20" s="62">
        <v>50</v>
      </c>
      <c r="Q20" s="62" t="s">
        <v>170</v>
      </c>
      <c r="R20" s="62" t="s">
        <v>171</v>
      </c>
    </row>
    <row r="21" spans="1:18" x14ac:dyDescent="0.15">
      <c r="A21" s="62">
        <v>20018</v>
      </c>
      <c r="B21" s="62">
        <v>2</v>
      </c>
      <c r="C21" s="62" t="str">
        <f t="shared" si="1"/>
        <v>20018_2</v>
      </c>
      <c r="D21" s="106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62">
        <v>20</v>
      </c>
      <c r="F21" s="62" t="s">
        <v>282</v>
      </c>
      <c r="G21" s="62">
        <v>125</v>
      </c>
      <c r="H21" s="62">
        <v>1</v>
      </c>
      <c r="I21" s="62">
        <v>1</v>
      </c>
      <c r="J21" s="62">
        <v>1</v>
      </c>
      <c r="K21" s="62">
        <v>0</v>
      </c>
      <c r="L21" s="62">
        <v>0</v>
      </c>
      <c r="M21" s="62">
        <v>0</v>
      </c>
      <c r="N21" s="62">
        <v>0</v>
      </c>
      <c r="O21" s="62">
        <v>1</v>
      </c>
      <c r="P21" s="62">
        <v>10</v>
      </c>
      <c r="Q21" s="62" t="s">
        <v>170</v>
      </c>
      <c r="R21" s="62" t="s">
        <v>171</v>
      </c>
    </row>
    <row r="22" spans="1:18" x14ac:dyDescent="0.15">
      <c r="A22" s="62">
        <v>20018</v>
      </c>
      <c r="B22" s="62">
        <v>2</v>
      </c>
      <c r="C22" s="62" t="str">
        <f t="shared" si="1"/>
        <v>20018_2</v>
      </c>
      <c r="D22" s="106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62">
        <v>21</v>
      </c>
      <c r="F22" s="62" t="s">
        <v>282</v>
      </c>
      <c r="G22" s="62">
        <v>1004</v>
      </c>
      <c r="H22" s="62">
        <v>1</v>
      </c>
      <c r="I22" s="62">
        <v>1</v>
      </c>
      <c r="J22" s="62">
        <v>1</v>
      </c>
      <c r="K22" s="62">
        <v>0</v>
      </c>
      <c r="L22" s="62">
        <v>0</v>
      </c>
      <c r="M22" s="62">
        <v>0</v>
      </c>
      <c r="N22" s="62">
        <v>0</v>
      </c>
      <c r="O22" s="62">
        <v>1</v>
      </c>
      <c r="P22" s="62">
        <v>250</v>
      </c>
      <c r="Q22" s="62" t="s">
        <v>170</v>
      </c>
      <c r="R22" s="62" t="s">
        <v>171</v>
      </c>
    </row>
    <row r="23" spans="1:18" x14ac:dyDescent="0.15">
      <c r="A23" s="57">
        <v>20018</v>
      </c>
      <c r="B23" s="57">
        <v>1</v>
      </c>
      <c r="C23" s="71" t="str">
        <f>A23&amp; "_"&amp;B23</f>
        <v>20018_1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22</v>
      </c>
      <c r="F23" s="107" t="s">
        <v>169</v>
      </c>
      <c r="G23" s="107">
        <v>1700</v>
      </c>
      <c r="H23" s="107" t="s">
        <v>53</v>
      </c>
      <c r="I23" s="107">
        <v>1</v>
      </c>
      <c r="J23" s="107">
        <v>1</v>
      </c>
      <c r="K23" s="107">
        <v>0</v>
      </c>
      <c r="L23" s="107">
        <v>0</v>
      </c>
      <c r="M23" s="107">
        <v>0</v>
      </c>
      <c r="N23" s="107">
        <v>0</v>
      </c>
      <c r="O23" s="107">
        <v>1</v>
      </c>
      <c r="P23" s="107">
        <v>200</v>
      </c>
      <c r="Q23" s="57" t="s">
        <v>170</v>
      </c>
      <c r="R23" s="57" t="s">
        <v>171</v>
      </c>
    </row>
    <row r="24" spans="1:18" x14ac:dyDescent="0.15">
      <c r="A24" s="57">
        <v>20018</v>
      </c>
      <c r="B24" s="57">
        <v>1</v>
      </c>
      <c r="C24" s="71" t="str">
        <f t="shared" ref="C24:C32" si="2">A24&amp; "_"&amp;B24</f>
        <v>20018_1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107" t="s">
        <v>281</v>
      </c>
      <c r="G24" s="107">
        <v>20</v>
      </c>
      <c r="H24" s="107" t="s">
        <v>53</v>
      </c>
      <c r="I24" s="107">
        <v>1</v>
      </c>
      <c r="J24" s="107">
        <v>1</v>
      </c>
      <c r="K24" s="107">
        <v>0</v>
      </c>
      <c r="L24" s="107">
        <v>0</v>
      </c>
      <c r="M24" s="107">
        <v>0</v>
      </c>
      <c r="N24" s="107">
        <v>0</v>
      </c>
      <c r="O24" s="107">
        <v>1</v>
      </c>
      <c r="P24" s="107">
        <v>200</v>
      </c>
      <c r="Q24" s="57" t="s">
        <v>170</v>
      </c>
      <c r="R24" s="57" t="s">
        <v>171</v>
      </c>
    </row>
    <row r="25" spans="1:18" x14ac:dyDescent="0.15">
      <c r="A25" s="57">
        <v>20018</v>
      </c>
      <c r="B25" s="57">
        <v>1</v>
      </c>
      <c r="C25" s="71" t="str">
        <f t="shared" si="2"/>
        <v>20018_1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107" t="s">
        <v>282</v>
      </c>
      <c r="G25" s="107">
        <v>340</v>
      </c>
      <c r="H25" s="107">
        <v>1</v>
      </c>
      <c r="I25" s="107">
        <v>1</v>
      </c>
      <c r="J25" s="107">
        <v>1</v>
      </c>
      <c r="K25" s="107">
        <v>0</v>
      </c>
      <c r="L25" s="107">
        <v>0</v>
      </c>
      <c r="M25" s="107">
        <v>0</v>
      </c>
      <c r="N25" s="107">
        <v>0</v>
      </c>
      <c r="O25" s="107">
        <v>1</v>
      </c>
      <c r="P25" s="107">
        <v>98</v>
      </c>
      <c r="Q25" s="57" t="s">
        <v>170</v>
      </c>
      <c r="R25" s="57" t="s">
        <v>171</v>
      </c>
    </row>
    <row r="26" spans="1:18" x14ac:dyDescent="0.15">
      <c r="A26" s="57">
        <v>20018</v>
      </c>
      <c r="B26" s="57">
        <v>1</v>
      </c>
      <c r="C26" s="71" t="str">
        <f t="shared" si="2"/>
        <v>20018_1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107" t="s">
        <v>282</v>
      </c>
      <c r="G26" s="107">
        <v>341</v>
      </c>
      <c r="H26" s="107">
        <v>1</v>
      </c>
      <c r="I26" s="107">
        <v>1</v>
      </c>
      <c r="J26" s="107">
        <v>1</v>
      </c>
      <c r="K26" s="107">
        <v>0</v>
      </c>
      <c r="L26" s="107">
        <v>0</v>
      </c>
      <c r="M26" s="107">
        <v>0</v>
      </c>
      <c r="N26" s="107">
        <v>0</v>
      </c>
      <c r="O26" s="107">
        <v>1</v>
      </c>
      <c r="P26" s="107">
        <v>42</v>
      </c>
      <c r="Q26" s="57" t="s">
        <v>170</v>
      </c>
      <c r="R26" s="57" t="s">
        <v>171</v>
      </c>
    </row>
    <row r="27" spans="1:18" x14ac:dyDescent="0.15">
      <c r="A27" s="57">
        <v>20018</v>
      </c>
      <c r="B27" s="57">
        <v>1</v>
      </c>
      <c r="C27" s="71" t="str">
        <f t="shared" si="2"/>
        <v>20018_1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107" t="s">
        <v>282</v>
      </c>
      <c r="G27" s="107">
        <v>352</v>
      </c>
      <c r="H27" s="107">
        <v>1</v>
      </c>
      <c r="I27" s="107">
        <v>1</v>
      </c>
      <c r="J27" s="107">
        <v>1</v>
      </c>
      <c r="K27" s="107">
        <v>0</v>
      </c>
      <c r="L27" s="107">
        <v>0</v>
      </c>
      <c r="M27" s="107">
        <v>0</v>
      </c>
      <c r="N27" s="107">
        <v>0</v>
      </c>
      <c r="O27" s="107">
        <v>1</v>
      </c>
      <c r="P27" s="107">
        <v>100</v>
      </c>
      <c r="Q27" s="57" t="s">
        <v>170</v>
      </c>
      <c r="R27" s="57" t="s">
        <v>171</v>
      </c>
    </row>
    <row r="28" spans="1:18" x14ac:dyDescent="0.15">
      <c r="A28" s="57">
        <v>20018</v>
      </c>
      <c r="B28" s="57">
        <v>1</v>
      </c>
      <c r="C28" s="71" t="str">
        <f t="shared" si="2"/>
        <v>20018_1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107" t="s">
        <v>282</v>
      </c>
      <c r="G28" s="107">
        <v>121</v>
      </c>
      <c r="H28" s="107">
        <v>1</v>
      </c>
      <c r="I28" s="107">
        <v>1</v>
      </c>
      <c r="J28" s="107">
        <v>1</v>
      </c>
      <c r="K28" s="107">
        <v>0</v>
      </c>
      <c r="L28" s="107">
        <v>0</v>
      </c>
      <c r="M28" s="107">
        <v>0</v>
      </c>
      <c r="N28" s="107">
        <v>0</v>
      </c>
      <c r="O28" s="107">
        <v>1</v>
      </c>
      <c r="P28" s="107">
        <v>50</v>
      </c>
      <c r="Q28" s="57" t="s">
        <v>170</v>
      </c>
      <c r="R28" s="57" t="s">
        <v>171</v>
      </c>
    </row>
    <row r="29" spans="1:18" x14ac:dyDescent="0.15">
      <c r="A29" s="57">
        <v>20018</v>
      </c>
      <c r="B29" s="57">
        <v>1</v>
      </c>
      <c r="C29" s="71" t="str">
        <f t="shared" si="2"/>
        <v>20018_1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107" t="s">
        <v>282</v>
      </c>
      <c r="G29" s="107">
        <v>122</v>
      </c>
      <c r="H29" s="107">
        <v>1</v>
      </c>
      <c r="I29" s="107">
        <v>1</v>
      </c>
      <c r="J29" s="107">
        <v>1</v>
      </c>
      <c r="K29" s="107">
        <v>0</v>
      </c>
      <c r="L29" s="107">
        <v>0</v>
      </c>
      <c r="M29" s="107">
        <v>0</v>
      </c>
      <c r="N29" s="107">
        <v>0</v>
      </c>
      <c r="O29" s="107">
        <v>1</v>
      </c>
      <c r="P29" s="107">
        <v>50</v>
      </c>
      <c r="Q29" s="57" t="s">
        <v>170</v>
      </c>
      <c r="R29" s="57" t="s">
        <v>171</v>
      </c>
    </row>
    <row r="30" spans="1:18" x14ac:dyDescent="0.15">
      <c r="A30" s="57">
        <v>20018</v>
      </c>
      <c r="B30" s="57">
        <v>1</v>
      </c>
      <c r="C30" s="71" t="str">
        <f t="shared" si="2"/>
        <v>20018_1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107" t="s">
        <v>282</v>
      </c>
      <c r="G30" s="107">
        <v>123</v>
      </c>
      <c r="H30" s="107">
        <v>1</v>
      </c>
      <c r="I30" s="107">
        <v>1</v>
      </c>
      <c r="J30" s="107">
        <v>1</v>
      </c>
      <c r="K30" s="107">
        <v>0</v>
      </c>
      <c r="L30" s="107">
        <v>0</v>
      </c>
      <c r="M30" s="107">
        <v>0</v>
      </c>
      <c r="N30" s="107">
        <v>0</v>
      </c>
      <c r="O30" s="107">
        <v>1</v>
      </c>
      <c r="P30" s="107">
        <v>50</v>
      </c>
      <c r="Q30" s="57" t="s">
        <v>170</v>
      </c>
      <c r="R30" s="57" t="s">
        <v>171</v>
      </c>
    </row>
    <row r="31" spans="1:18" x14ac:dyDescent="0.15">
      <c r="A31" s="57">
        <v>20018</v>
      </c>
      <c r="B31" s="57">
        <v>1</v>
      </c>
      <c r="C31" s="71" t="str">
        <f t="shared" si="2"/>
        <v>20018_1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107" t="s">
        <v>282</v>
      </c>
      <c r="G31" s="107">
        <v>125</v>
      </c>
      <c r="H31" s="107">
        <v>1</v>
      </c>
      <c r="I31" s="107">
        <v>1</v>
      </c>
      <c r="J31" s="107">
        <v>1</v>
      </c>
      <c r="K31" s="107">
        <v>0</v>
      </c>
      <c r="L31" s="107">
        <v>0</v>
      </c>
      <c r="M31" s="107">
        <v>0</v>
      </c>
      <c r="N31" s="107">
        <v>0</v>
      </c>
      <c r="O31" s="107">
        <v>1</v>
      </c>
      <c r="P31" s="107">
        <v>10</v>
      </c>
      <c r="Q31" s="57" t="s">
        <v>170</v>
      </c>
      <c r="R31" s="57" t="s">
        <v>171</v>
      </c>
    </row>
    <row r="32" spans="1:18" x14ac:dyDescent="0.15">
      <c r="A32" s="57">
        <v>20018</v>
      </c>
      <c r="B32" s="57">
        <v>1</v>
      </c>
      <c r="C32" s="71" t="str">
        <f t="shared" si="2"/>
        <v>20018_1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107" t="s">
        <v>282</v>
      </c>
      <c r="G32" s="107">
        <v>1004</v>
      </c>
      <c r="H32" s="107">
        <v>1</v>
      </c>
      <c r="I32" s="107">
        <v>1</v>
      </c>
      <c r="J32" s="107">
        <v>1</v>
      </c>
      <c r="K32" s="107">
        <v>0</v>
      </c>
      <c r="L32" s="107">
        <v>0</v>
      </c>
      <c r="M32" s="107">
        <v>0</v>
      </c>
      <c r="N32" s="107">
        <v>0</v>
      </c>
      <c r="O32" s="107">
        <v>1</v>
      </c>
      <c r="P32" s="107">
        <v>200</v>
      </c>
      <c r="Q32" s="57" t="s">
        <v>170</v>
      </c>
      <c r="R32" s="57" t="s">
        <v>171</v>
      </c>
    </row>
  </sheetData>
  <phoneticPr fontId="5"/>
  <dataValidations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2" activePane="bottomLeft" state="frozen"/>
      <selection pane="bottomLeft" activeCell="E60" sqref="E6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20018</v>
      </c>
      <c r="C2" s="83" t="str">
        <f ca="1">VLOOKUP($B2,OFFSET([2]quests!$A$1,0,0,COUNTA([2]quests!$A:$A),MATCH(C$1,[2]quests!$1:$1,0)-MATCH($B$1,[2]quests!$1:$1,0)+1),MATCH(C$1,[2]quests!$1:$1,0)-MATCH($B$1,[2]quests!$1:$1,0)+1,FALSE)</f>
        <v>魂を屠る黒影</v>
      </c>
      <c r="D2" s="83" t="str">
        <f ca="1">VLOOKUP($B2,OFFSET([2]quests!$A$1,0,0,COUNTA([2]quests!$A:$A),MATCH(D$1,[2]quests!$1:$1,0)-MATCH($B$1,[2]quests!$1:$1,0)+1),MATCH(D$1,[2]quests!$1:$1,0)-MATCH($B$1,[2]quests!$1:$1,0)+1,FALSE)</f>
        <v>エジプト01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【初級】魂を屠る黒影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エジプト01</v>
      </c>
      <c r="H2" s="85">
        <v>0</v>
      </c>
      <c r="I2">
        <v>1</v>
      </c>
      <c r="J2" s="84" t="s">
        <v>198</v>
      </c>
      <c r="K2" s="93" t="str">
        <f>VLOOKUP(I2,[6]stage_hints!$A:$C,3,FALSE)</f>
        <v>長くつなげて大ダメージ</v>
      </c>
      <c r="L2" s="94" t="str">
        <f>VLOOKUP(I2,[6]stage_hints!$A:$D,4,FALSE)</f>
        <v>パネルを長くつなげるほど_x000D_大ダメージを与えることができます</v>
      </c>
      <c r="M2" s="57" t="s">
        <v>211</v>
      </c>
    </row>
    <row r="3" spans="1:13" x14ac:dyDescent="0.15">
      <c r="A3" s="81" t="s">
        <v>201</v>
      </c>
      <c r="B3" s="82">
        <f>floors!$C$2</f>
        <v>20018</v>
      </c>
      <c r="C3" s="83" t="str">
        <f ca="1">VLOOKUP($B3,OFFSET([2]quests!$A$1,0,0,COUNTA([2]quests!$A:$A),MATCH(C$1,[2]quests!$1:$1,0)-MATCH($B$1,[2]quests!$1:$1,0)+1),MATCH(C$1,[2]quests!$1:$1,0)-MATCH($B$1,[2]quests!$1:$1,0)+1,FALSE)</f>
        <v>魂を屠る黒影</v>
      </c>
      <c r="D3" s="83" t="str">
        <f ca="1">VLOOKUP($B3,OFFSET([2]quests!$A$1,0,0,COUNTA([2]quests!$A:$A),MATCH(D$1,[2]quests!$1:$1,0)-MATCH($B$1,[2]quests!$1:$1,0)+1),MATCH(D$1,[2]quests!$1:$1,0)-MATCH($B$1,[2]quests!$1:$1,0)+1,FALSE)</f>
        <v>エジプト01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【初級】魂を屠る黒影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エジプト01</v>
      </c>
      <c r="H3" s="85">
        <v>0</v>
      </c>
      <c r="I3">
        <v>2</v>
      </c>
      <c r="J3" s="84" t="s">
        <v>198</v>
      </c>
      <c r="K3" s="93" t="str">
        <f>VLOOKUP(I3,[6]stage_hints!$A:$C,3,FALSE)</f>
        <v>属性の相性</v>
      </c>
      <c r="L3" s="94" t="str">
        <f>VLOOKUP(I3,[6]stage_hints!$A:$D,4,FALSE)</f>
        <v>赤＞青　青＞黄　黄＞緑　緑＞赤_x000D_敵属性に最適なパーティがオススメです</v>
      </c>
      <c r="M3" s="57" t="s">
        <v>211</v>
      </c>
    </row>
    <row r="4" spans="1:13" x14ac:dyDescent="0.15">
      <c r="A4" s="81" t="s">
        <v>201</v>
      </c>
      <c r="B4" s="82">
        <f>floors!$C$2</f>
        <v>20018</v>
      </c>
      <c r="C4" s="83" t="str">
        <f ca="1">VLOOKUP($B4,OFFSET([2]quests!$A$1,0,0,COUNTA([2]quests!$A:$A),MATCH(C$1,[2]quests!$1:$1,0)-MATCH($B$1,[2]quests!$1:$1,0)+1),MATCH(C$1,[2]quests!$1:$1,0)-MATCH($B$1,[2]quests!$1:$1,0)+1,FALSE)</f>
        <v>魂を屠る黒影</v>
      </c>
      <c r="D4" s="83" t="str">
        <f ca="1">VLOOKUP($B4,OFFSET([2]quests!$A$1,0,0,COUNTA([2]quests!$A:$A),MATCH(D$1,[2]quests!$1:$1,0)-MATCH($B$1,[2]quests!$1:$1,0)+1),MATCH(D$1,[2]quests!$1:$1,0)-MATCH($B$1,[2]quests!$1:$1,0)+1,FALSE)</f>
        <v>エジプト01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【初級】魂を屠る黒影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エジプト01</v>
      </c>
      <c r="H4" s="85">
        <v>0</v>
      </c>
      <c r="I4">
        <v>3</v>
      </c>
      <c r="J4" s="84" t="s">
        <v>198</v>
      </c>
      <c r="K4" s="93" t="str">
        <f>VLOOKUP(I4,[6]stage_hints!$A:$C,3,FALSE)</f>
        <v>ターゲット</v>
      </c>
      <c r="L4" s="94" t="str">
        <f>VLOOKUP(I4,[6]stage_hints!$A:$D,4,FALSE)</f>
        <v>敵ユニットをタップすると_x000D_その敵を狙い撃ちできます</v>
      </c>
      <c r="M4" s="57" t="s">
        <v>211</v>
      </c>
    </row>
    <row r="5" spans="1:13" x14ac:dyDescent="0.15">
      <c r="A5" s="81" t="s">
        <v>201</v>
      </c>
      <c r="B5" s="82">
        <f>floors!$C$2</f>
        <v>20018</v>
      </c>
      <c r="C5" s="83" t="str">
        <f ca="1">VLOOKUP($B5,OFFSET([2]quests!$A$1,0,0,COUNTA([2]quests!$A:$A),MATCH(C$1,[2]quests!$1:$1,0)-MATCH($B$1,[2]quests!$1:$1,0)+1),MATCH(C$1,[2]quests!$1:$1,0)-MATCH($B$1,[2]quests!$1:$1,0)+1,FALSE)</f>
        <v>魂を屠る黒影</v>
      </c>
      <c r="D5" s="83" t="str">
        <f ca="1">VLOOKUP($B5,OFFSET([2]quests!$A$1,0,0,COUNTA([2]quests!$A:$A),MATCH(D$1,[2]quests!$1:$1,0)-MATCH($B$1,[2]quests!$1:$1,0)+1),MATCH(D$1,[2]quests!$1:$1,0)-MATCH($B$1,[2]quests!$1:$1,0)+1,FALSE)</f>
        <v>エジプト01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【初級】魂を屠る黒影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エジプト01</v>
      </c>
      <c r="H5" s="85">
        <v>0</v>
      </c>
      <c r="I5">
        <v>5</v>
      </c>
      <c r="J5" s="84" t="s">
        <v>198</v>
      </c>
      <c r="K5" s="93" t="str">
        <f>VLOOKUP(I5,[6]stage_hints!$A:$C,3,FALSE)</f>
        <v>ユニット強化でレベルアップ</v>
      </c>
      <c r="L5" s="94" t="str">
        <f>VLOOKUP(I5,[6]stage_hints!$A:$D,4,FALSE)</f>
        <v>「ユニット強化」でレベルアップすると_x000D_勝てない敵にも勝てるようになります</v>
      </c>
      <c r="M5" s="57" t="s">
        <v>211</v>
      </c>
    </row>
    <row r="6" spans="1:13" x14ac:dyDescent="0.15">
      <c r="A6" s="81" t="s">
        <v>201</v>
      </c>
      <c r="B6" s="82">
        <f>floors!$C$2</f>
        <v>20018</v>
      </c>
      <c r="C6" s="83" t="str">
        <f ca="1">VLOOKUP($B6,OFFSET([2]quests!$A$1,0,0,COUNTA([2]quests!$A:$A),MATCH(C$1,[2]quests!$1:$1,0)-MATCH($B$1,[2]quests!$1:$1,0)+1),MATCH(C$1,[2]quests!$1:$1,0)-MATCH($B$1,[2]quests!$1:$1,0)+1,FALSE)</f>
        <v>魂を屠る黒影</v>
      </c>
      <c r="D6" s="83" t="str">
        <f ca="1">VLOOKUP($B6,OFFSET([2]quests!$A$1,0,0,COUNTA([2]quests!$A:$A),MATCH(D$1,[2]quests!$1:$1,0)-MATCH($B$1,[2]quests!$1:$1,0)+1),MATCH(D$1,[2]quests!$1:$1,0)-MATCH($B$1,[2]quests!$1:$1,0)+1,FALSE)</f>
        <v>エジプト01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【初級】魂を屠る黒影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エジプト01</v>
      </c>
      <c r="H6" s="85">
        <v>0</v>
      </c>
      <c r="I6">
        <v>6</v>
      </c>
      <c r="J6" s="84" t="s">
        <v>198</v>
      </c>
      <c r="K6" s="93" t="str">
        <f>VLOOKUP(I6,[6]stage_hints!$A:$C,3,FALSE)</f>
        <v>ユニット強化の属性ボーナス</v>
      </c>
      <c r="L6" s="94" t="str">
        <f>VLOOKUP(I6,[6]stage_hints!$A:$D,4,FALSE)</f>
        <v>同属性ユニットを強化素材にすると_x000D_経験値が多くもらえます</v>
      </c>
      <c r="M6" s="57" t="s">
        <v>211</v>
      </c>
    </row>
    <row r="7" spans="1:13" x14ac:dyDescent="0.15">
      <c r="A7" s="81" t="s">
        <v>201</v>
      </c>
      <c r="B7" s="82">
        <f>floors!$C$2</f>
        <v>20018</v>
      </c>
      <c r="C7" s="83" t="str">
        <f ca="1">VLOOKUP($B7,OFFSET([2]quests!$A$1,0,0,COUNTA([2]quests!$A:$A),MATCH(C$1,[2]quests!$1:$1,0)-MATCH($B$1,[2]quests!$1:$1,0)+1),MATCH(C$1,[2]quests!$1:$1,0)-MATCH($B$1,[2]quests!$1:$1,0)+1,FALSE)</f>
        <v>魂を屠る黒影</v>
      </c>
      <c r="D7" s="83" t="str">
        <f ca="1">VLOOKUP($B7,OFFSET([2]quests!$A$1,0,0,COUNTA([2]quests!$A:$A),MATCH(D$1,[2]quests!$1:$1,0)-MATCH($B$1,[2]quests!$1:$1,0)+1),MATCH(D$1,[2]quests!$1:$1,0)-MATCH($B$1,[2]quests!$1:$1,0)+1,FALSE)</f>
        <v>エジプト01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【初級】魂を屠る黒影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エジプト01</v>
      </c>
      <c r="H7" s="85">
        <v>0</v>
      </c>
      <c r="I7">
        <v>7</v>
      </c>
      <c r="J7" s="84" t="s">
        <v>198</v>
      </c>
      <c r="K7" s="93" t="str">
        <f>VLOOKUP(I7,[6]stage_hints!$A:$C,3,FALSE)</f>
        <v>メタルダックで経験値を獲得</v>
      </c>
      <c r="L7" s="94" t="str">
        <f>VLOOKUP(I7,[6]stage_hints!$A:$D,4,FALSE)</f>
        <v>「メタルなアヒル」を強化素材にすると_x000D_大量の経験値がもらえます</v>
      </c>
      <c r="M7" s="57" t="s">
        <v>211</v>
      </c>
    </row>
    <row r="8" spans="1:13" x14ac:dyDescent="0.15">
      <c r="A8" s="81" t="s">
        <v>201</v>
      </c>
      <c r="B8" s="82">
        <f>floors!$C$2</f>
        <v>20018</v>
      </c>
      <c r="C8" s="83" t="str">
        <f ca="1">VLOOKUP($B8,OFFSET([2]quests!$A$1,0,0,COUNTA([2]quests!$A:$A),MATCH(C$1,[2]quests!$1:$1,0)-MATCH($B$1,[2]quests!$1:$1,0)+1),MATCH(C$1,[2]quests!$1:$1,0)-MATCH($B$1,[2]quests!$1:$1,0)+1,FALSE)</f>
        <v>魂を屠る黒影</v>
      </c>
      <c r="D8" s="83" t="str">
        <f ca="1">VLOOKUP($B8,OFFSET([2]quests!$A$1,0,0,COUNTA([2]quests!$A:$A),MATCH(D$1,[2]quests!$1:$1,0)-MATCH($B$1,[2]quests!$1:$1,0)+1),MATCH(D$1,[2]quests!$1:$1,0)-MATCH($B$1,[2]quests!$1:$1,0)+1,FALSE)</f>
        <v>エジプト01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【初級】魂を屠る黒影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エジプト01</v>
      </c>
      <c r="H8" s="85">
        <v>0</v>
      </c>
      <c r="I8">
        <v>8</v>
      </c>
      <c r="J8" s="84" t="s">
        <v>198</v>
      </c>
      <c r="K8" s="93" t="str">
        <f>VLOOKUP(I8,[6]stage_hints!$A:$C,3,FALSE)</f>
        <v>ゲリラクエストは要チェック</v>
      </c>
      <c r="L8" s="94" t="str">
        <f>VLOOKUP(I8,[6]stage_hints!$A:$D,4,FALSE)</f>
        <v>時間限定の「アヒル捕獲作戦」では_x000D_経験値素材ユニットが多く手に入ります</v>
      </c>
      <c r="M8" s="57" t="s">
        <v>211</v>
      </c>
    </row>
    <row r="9" spans="1:13" x14ac:dyDescent="0.15">
      <c r="A9" s="81" t="s">
        <v>201</v>
      </c>
      <c r="B9" s="82">
        <f>floors!$C$2</f>
        <v>20018</v>
      </c>
      <c r="C9" s="83" t="str">
        <f ca="1">VLOOKUP($B9,OFFSET([2]quests!$A$1,0,0,COUNTA([2]quests!$A:$A),MATCH(C$1,[2]quests!$1:$1,0)-MATCH($B$1,[2]quests!$1:$1,0)+1),MATCH(C$1,[2]quests!$1:$1,0)-MATCH($B$1,[2]quests!$1:$1,0)+1,FALSE)</f>
        <v>魂を屠る黒影</v>
      </c>
      <c r="D9" s="83" t="str">
        <f ca="1">VLOOKUP($B9,OFFSET([2]quests!$A$1,0,0,COUNTA([2]quests!$A:$A),MATCH(D$1,[2]quests!$1:$1,0)-MATCH($B$1,[2]quests!$1:$1,0)+1),MATCH(D$1,[2]quests!$1:$1,0)-MATCH($B$1,[2]quests!$1:$1,0)+1,FALSE)</f>
        <v>エジプト01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【初級】魂を屠る黒影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エジプト01</v>
      </c>
      <c r="H9" s="85">
        <v>0</v>
      </c>
      <c r="I9">
        <v>9</v>
      </c>
      <c r="J9" s="84" t="s">
        <v>198</v>
      </c>
      <c r="K9" s="93" t="str">
        <f>VLOOKUP(I9,[6]stage_hints!$A:$C,3,FALSE)</f>
        <v>ゴールドダックでビットを獲得</v>
      </c>
      <c r="L9" s="94" t="str">
        <f>VLOOKUP(I9,[6]stage_hints!$A:$D,4,FALSE)</f>
        <v>「ゴールドなアヒル」を売却すると_x000D_大量のビットがもらえます</v>
      </c>
      <c r="M9" s="57" t="s">
        <v>211</v>
      </c>
    </row>
    <row r="10" spans="1:13" x14ac:dyDescent="0.15">
      <c r="A10" s="81" t="s">
        <v>201</v>
      </c>
      <c r="B10" s="82">
        <f>floors!$C$2</f>
        <v>20018</v>
      </c>
      <c r="C10" s="83" t="str">
        <f ca="1">VLOOKUP($B10,OFFSET([2]quests!$A$1,0,0,COUNTA([2]quests!$A:$A),MATCH(C$1,[2]quests!$1:$1,0)-MATCH($B$1,[2]quests!$1:$1,0)+1),MATCH(C$1,[2]quests!$1:$1,0)-MATCH($B$1,[2]quests!$1:$1,0)+1,FALSE)</f>
        <v>魂を屠る黒影</v>
      </c>
      <c r="D10" s="83" t="str">
        <f ca="1">VLOOKUP($B10,OFFSET([2]quests!$A$1,0,0,COUNTA([2]quests!$A:$A),MATCH(D$1,[2]quests!$1:$1,0)-MATCH($B$1,[2]quests!$1:$1,0)+1),MATCH(D$1,[2]quests!$1:$1,0)-MATCH($B$1,[2]quests!$1:$1,0)+1,FALSE)</f>
        <v>エジプト01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【初級】魂を屠る黒影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エジプト01</v>
      </c>
      <c r="H10" s="85">
        <v>0</v>
      </c>
      <c r="I10">
        <v>10</v>
      </c>
      <c r="J10" s="84" t="s">
        <v>198</v>
      </c>
      <c r="K10" s="93" t="str">
        <f>VLOOKUP(I10,[6]stage_hints!$A:$C,3,FALSE)</f>
        <v>土日に大量のビットを獲得</v>
      </c>
      <c r="L10" s="94" t="str">
        <f>VLOOKUP(I10,[6]stage_hints!$A:$D,4,FALSE)</f>
        <v>土日限定の「ゴールドカジノ」では_x000D_売却素材ユニットが多く手に入ります</v>
      </c>
      <c r="M10" s="57" t="s">
        <v>211</v>
      </c>
    </row>
    <row r="11" spans="1:13" x14ac:dyDescent="0.15">
      <c r="A11" s="81" t="s">
        <v>201</v>
      </c>
      <c r="B11" s="82">
        <f>floors!$C$2</f>
        <v>20018</v>
      </c>
      <c r="C11" s="83" t="str">
        <f ca="1">VLOOKUP($B11,OFFSET([2]quests!$A$1,0,0,COUNTA([2]quests!$A:$A),MATCH(C$1,[2]quests!$1:$1,0)-MATCH($B$1,[2]quests!$1:$1,0)+1),MATCH(C$1,[2]quests!$1:$1,0)-MATCH($B$1,[2]quests!$1:$1,0)+1,FALSE)</f>
        <v>魂を屠る黒影</v>
      </c>
      <c r="D11" s="83" t="str">
        <f ca="1">VLOOKUP($B11,OFFSET([2]quests!$A$1,0,0,COUNTA([2]quests!$A:$A),MATCH(D$1,[2]quests!$1:$1,0)-MATCH($B$1,[2]quests!$1:$1,0)+1),MATCH(D$1,[2]quests!$1:$1,0)-MATCH($B$1,[2]quests!$1:$1,0)+1,FALSE)</f>
        <v>エジプト01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【初級】魂を屠る黒影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エジプト01</v>
      </c>
      <c r="H11" s="85">
        <v>0</v>
      </c>
      <c r="I11">
        <v>11</v>
      </c>
      <c r="J11" s="84" t="s">
        <v>198</v>
      </c>
      <c r="K11" s="93" t="str">
        <f>VLOOKUP(I11,[6]stage_hints!$A:$C,3,FALSE)</f>
        <v>ランク解放クエスト</v>
      </c>
      <c r="L11" s="94" t="str">
        <f>VLOOKUP(I11,[6]stage_hints!$A:$D,4,FALSE)</f>
        <v>一定ランクに到達すると_x000D_報酬付きのランク開放クエストが現れます</v>
      </c>
      <c r="M11" s="57" t="s">
        <v>211</v>
      </c>
    </row>
    <row r="12" spans="1:13" x14ac:dyDescent="0.15">
      <c r="A12" s="81" t="s">
        <v>201</v>
      </c>
      <c r="B12" s="82">
        <f>floors!$C$2</f>
        <v>20018</v>
      </c>
      <c r="C12" s="83" t="str">
        <f ca="1">VLOOKUP($B12,OFFSET([2]quests!$A$1,0,0,COUNTA([2]quests!$A:$A),MATCH(C$1,[2]quests!$1:$1,0)-MATCH($B$1,[2]quests!$1:$1,0)+1),MATCH(C$1,[2]quests!$1:$1,0)-MATCH($B$1,[2]quests!$1:$1,0)+1,FALSE)</f>
        <v>魂を屠る黒影</v>
      </c>
      <c r="D12" s="83" t="str">
        <f ca="1">VLOOKUP($B12,OFFSET([2]quests!$A$1,0,0,COUNTA([2]quests!$A:$A),MATCH(D$1,[2]quests!$1:$1,0)-MATCH($B$1,[2]quests!$1:$1,0)+1),MATCH(D$1,[2]quests!$1:$1,0)-MATCH($B$1,[2]quests!$1:$1,0)+1,FALSE)</f>
        <v>エジプト01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【初級】魂を屠る黒影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エジプト01</v>
      </c>
      <c r="H12" s="85">
        <v>0</v>
      </c>
      <c r="I12">
        <v>12</v>
      </c>
      <c r="J12" s="84" t="s">
        <v>198</v>
      </c>
      <c r="K12" s="93" t="str">
        <f>VLOOKUP(I12,[6]stage_hints!$A:$C,3,FALSE)</f>
        <v>ユニットのお気に入り登録</v>
      </c>
      <c r="L12" s="94" t="str">
        <f>VLOOKUP(I12,[6]stage_hints!$A:$D,4,FALSE)</f>
        <v>大事なユニットを誤って消さないように_x000D_フォルダから「お気に入り登録」しましょう</v>
      </c>
      <c r="M12" s="57" t="s">
        <v>211</v>
      </c>
    </row>
    <row r="13" spans="1:13" x14ac:dyDescent="0.15">
      <c r="A13" s="81" t="s">
        <v>201</v>
      </c>
      <c r="B13" s="82">
        <f>floors!$C$2</f>
        <v>20018</v>
      </c>
      <c r="C13" s="83" t="str">
        <f ca="1">VLOOKUP($B13,OFFSET([2]quests!$A$1,0,0,COUNTA([2]quests!$A:$A),MATCH(C$1,[2]quests!$1:$1,0)-MATCH($B$1,[2]quests!$1:$1,0)+1),MATCH(C$1,[2]quests!$1:$1,0)-MATCH($B$1,[2]quests!$1:$1,0)+1,FALSE)</f>
        <v>魂を屠る黒影</v>
      </c>
      <c r="D13" s="83" t="str">
        <f ca="1">VLOOKUP($B13,OFFSET([2]quests!$A$1,0,0,COUNTA([2]quests!$A:$A),MATCH(D$1,[2]quests!$1:$1,0)-MATCH($B$1,[2]quests!$1:$1,0)+1),MATCH(D$1,[2]quests!$1:$1,0)-MATCH($B$1,[2]quests!$1:$1,0)+1,FALSE)</f>
        <v>エジプト01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【初級】魂を屠る黒影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エジプト01</v>
      </c>
      <c r="H13" s="85">
        <v>0</v>
      </c>
      <c r="I13">
        <v>13</v>
      </c>
      <c r="J13" s="84" t="s">
        <v>198</v>
      </c>
      <c r="K13" s="93" t="str">
        <f>VLOOKUP(I13,[6]stage_hints!$A:$C,3,FALSE)</f>
        <v>ユニットの覚醒</v>
      </c>
      <c r="L13" s="94" t="str">
        <f>VLOOKUP(I13,[6]stage_hints!$A:$D,4,FALSE)</f>
        <v>ユニットを覚醒させると_x000D_比べものにならない強さが手に入ります</v>
      </c>
      <c r="M13" s="57" t="s">
        <v>211</v>
      </c>
    </row>
    <row r="14" spans="1:13" x14ac:dyDescent="0.15">
      <c r="A14" s="81" t="s">
        <v>201</v>
      </c>
      <c r="B14" s="82">
        <f>floors!$C$2</f>
        <v>20018</v>
      </c>
      <c r="C14" s="83" t="str">
        <f ca="1">VLOOKUP($B14,OFFSET([2]quests!$A$1,0,0,COUNTA([2]quests!$A:$A),MATCH(C$1,[2]quests!$1:$1,0)-MATCH($B$1,[2]quests!$1:$1,0)+1),MATCH(C$1,[2]quests!$1:$1,0)-MATCH($B$1,[2]quests!$1:$1,0)+1,FALSE)</f>
        <v>魂を屠る黒影</v>
      </c>
      <c r="D14" s="83" t="str">
        <f ca="1">VLOOKUP($B14,OFFSET([2]quests!$A$1,0,0,COUNTA([2]quests!$A:$A),MATCH(D$1,[2]quests!$1:$1,0)-MATCH($B$1,[2]quests!$1:$1,0)+1),MATCH(D$1,[2]quests!$1:$1,0)-MATCH($B$1,[2]quests!$1:$1,0)+1,FALSE)</f>
        <v>エジプト01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【初級】魂を屠る黒影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エジプト01</v>
      </c>
      <c r="H14" s="85">
        <v>0</v>
      </c>
      <c r="I14">
        <v>14</v>
      </c>
      <c r="J14" s="84" t="s">
        <v>198</v>
      </c>
      <c r="K14" s="93" t="str">
        <f>VLOOKUP(I14,[6]stage_hints!$A:$C,3,FALSE)</f>
        <v>覚醒するにはレベルを最大に</v>
      </c>
      <c r="L14" s="94" t="str">
        <f>VLOOKUP(I14,[6]stage_hints!$A:$D,4,FALSE)</f>
        <v>覚醒するにはユニットのレベルを_x000D_最大まで上げる必要があります</v>
      </c>
      <c r="M14" s="57" t="s">
        <v>211</v>
      </c>
    </row>
    <row r="15" spans="1:13" x14ac:dyDescent="0.15">
      <c r="A15" s="81" t="s">
        <v>201</v>
      </c>
      <c r="B15" s="82">
        <f>floors!$C$2</f>
        <v>20018</v>
      </c>
      <c r="C15" s="83" t="str">
        <f ca="1">VLOOKUP($B15,OFFSET([2]quests!$A$1,0,0,COUNTA([2]quests!$A:$A),MATCH(C$1,[2]quests!$1:$1,0)-MATCH($B$1,[2]quests!$1:$1,0)+1),MATCH(C$1,[2]quests!$1:$1,0)-MATCH($B$1,[2]quests!$1:$1,0)+1,FALSE)</f>
        <v>魂を屠る黒影</v>
      </c>
      <c r="D15" s="83" t="str">
        <f ca="1">VLOOKUP($B15,OFFSET([2]quests!$A$1,0,0,COUNTA([2]quests!$A:$A),MATCH(D$1,[2]quests!$1:$1,0)-MATCH($B$1,[2]quests!$1:$1,0)+1),MATCH(D$1,[2]quests!$1:$1,0)-MATCH($B$1,[2]quests!$1:$1,0)+1,FALSE)</f>
        <v>エジプト01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【初級】魂を屠る黒影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エジプト01</v>
      </c>
      <c r="H15" s="85">
        <v>0</v>
      </c>
      <c r="I15">
        <v>15</v>
      </c>
      <c r="J15" s="84" t="s">
        <v>198</v>
      </c>
      <c r="K15" s="93" t="str">
        <f>VLOOKUP(I15,[6]stage_hints!$A:$C,3,FALSE)</f>
        <v>覚醒素材を獲得</v>
      </c>
      <c r="L15" s="94" t="str">
        <f>VLOOKUP(I15,[6]stage_hints!$A:$D,4,FALSE)</f>
        <v>「曜日クエスト」では_x000D_ユニットの覚醒に必要な素材が手に入ります</v>
      </c>
      <c r="M15" s="57" t="s">
        <v>211</v>
      </c>
    </row>
    <row r="16" spans="1:13" x14ac:dyDescent="0.15">
      <c r="A16" s="81" t="s">
        <v>201</v>
      </c>
      <c r="B16" s="82">
        <f>floors!$C$2</f>
        <v>20018</v>
      </c>
      <c r="C16" s="83" t="str">
        <f ca="1">VLOOKUP($B16,OFFSET([2]quests!$A$1,0,0,COUNTA([2]quests!$A:$A),MATCH(C$1,[2]quests!$1:$1,0)-MATCH($B$1,[2]quests!$1:$1,0)+1),MATCH(C$1,[2]quests!$1:$1,0)-MATCH($B$1,[2]quests!$1:$1,0)+1,FALSE)</f>
        <v>魂を屠る黒影</v>
      </c>
      <c r="D16" s="83" t="str">
        <f ca="1">VLOOKUP($B16,OFFSET([2]quests!$A$1,0,0,COUNTA([2]quests!$A:$A),MATCH(D$1,[2]quests!$1:$1,0)-MATCH($B$1,[2]quests!$1:$1,0)+1),MATCH(D$1,[2]quests!$1:$1,0)-MATCH($B$1,[2]quests!$1:$1,0)+1,FALSE)</f>
        <v>エジプト01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【初級】魂を屠る黒影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エジプト01</v>
      </c>
      <c r="H16" s="85">
        <v>0</v>
      </c>
      <c r="I16">
        <v>16</v>
      </c>
      <c r="J16" s="84" t="s">
        <v>198</v>
      </c>
      <c r="K16" s="93" t="str">
        <f>VLOOKUP(I16,[6]stage_hints!$A:$C,3,FALSE)</f>
        <v>マルチプレイのメリット（その1）</v>
      </c>
      <c r="L16" s="94" t="str">
        <f>VLOOKUP(I16,[6]stage_hints!$A:$D,4,FALSE)</f>
        <v>他のプレイヤーとマルチプレイで遊ぶと_x000D_ポリゴンがもらえます（100人まで）</v>
      </c>
      <c r="M16" s="57" t="s">
        <v>211</v>
      </c>
    </row>
    <row r="17" spans="1:13" x14ac:dyDescent="0.15">
      <c r="A17" s="81" t="s">
        <v>201</v>
      </c>
      <c r="B17" s="82">
        <f>floors!$C$2</f>
        <v>20018</v>
      </c>
      <c r="C17" s="83" t="str">
        <f ca="1">VLOOKUP($B17,OFFSET([2]quests!$A$1,0,0,COUNTA([2]quests!$A:$A),MATCH(C$1,[2]quests!$1:$1,0)-MATCH($B$1,[2]quests!$1:$1,0)+1),MATCH(C$1,[2]quests!$1:$1,0)-MATCH($B$1,[2]quests!$1:$1,0)+1,FALSE)</f>
        <v>魂を屠る黒影</v>
      </c>
      <c r="D17" s="83" t="str">
        <f ca="1">VLOOKUP($B17,OFFSET([2]quests!$A$1,0,0,COUNTA([2]quests!$A:$A),MATCH(D$1,[2]quests!$1:$1,0)-MATCH($B$1,[2]quests!$1:$1,0)+1),MATCH(D$1,[2]quests!$1:$1,0)-MATCH($B$1,[2]quests!$1:$1,0)+1,FALSE)</f>
        <v>エジプト01</v>
      </c>
      <c r="E17" s="87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【初級】魂を屠る黒影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エジプト01</v>
      </c>
      <c r="H17" s="85">
        <v>0</v>
      </c>
      <c r="I17">
        <v>17</v>
      </c>
      <c r="J17" s="84" t="s">
        <v>198</v>
      </c>
      <c r="K17" s="93" t="str">
        <f>VLOOKUP(I17,[6]stage_hints!$A:$C,3,FALSE)</f>
        <v>リンクガチャ</v>
      </c>
      <c r="L17" s="94" t="str">
        <f>VLOOKUP(I17,[6]stage_hints!$A:$D,4,FALSE)</f>
        <v>無料のリンクガチャを回して_x000D_経験値素材や売却素材を獲得しましょう</v>
      </c>
      <c r="M17" s="57" t="s">
        <v>211</v>
      </c>
    </row>
    <row r="18" spans="1:13" x14ac:dyDescent="0.15">
      <c r="A18" s="81" t="s">
        <v>201</v>
      </c>
      <c r="B18" s="82">
        <f>floors!$C$2</f>
        <v>20018</v>
      </c>
      <c r="C18" s="83" t="str">
        <f ca="1">VLOOKUP($B18,OFFSET([2]quests!$A$1,0,0,COUNTA([2]quests!$A:$A),MATCH(C$1,[2]quests!$1:$1,0)-MATCH($B$1,[2]quests!$1:$1,0)+1),MATCH(C$1,[2]quests!$1:$1,0)-MATCH($B$1,[2]quests!$1:$1,0)+1,FALSE)</f>
        <v>魂を屠る黒影</v>
      </c>
      <c r="D18" s="83" t="str">
        <f ca="1">VLOOKUP($B18,OFFSET([2]quests!$A$1,0,0,COUNTA([2]quests!$A:$A),MATCH(D$1,[2]quests!$1:$1,0)-MATCH($B$1,[2]quests!$1:$1,0)+1),MATCH(D$1,[2]quests!$1:$1,0)-MATCH($B$1,[2]quests!$1:$1,0)+1,FALSE)</f>
        <v>エジプト01</v>
      </c>
      <c r="E18" s="87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【初級】魂を屠る黒影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エジプト01</v>
      </c>
      <c r="H18" s="85">
        <v>0</v>
      </c>
      <c r="I18">
        <v>18</v>
      </c>
      <c r="J18" s="84" t="s">
        <v>198</v>
      </c>
      <c r="K18" s="93" t="str">
        <f>VLOOKUP(I18,[6]stage_hints!$A:$C,3,FALSE)</f>
        <v>マルチプレイのメリット（その2）</v>
      </c>
      <c r="L18" s="94" t="str">
        <f>VLOOKUP(I18,[6]stage_hints!$A:$D,4,FALSE)</f>
        <v>マルチプレイならリンクが2倍もらえます_x000D_リンクガチャをたくさん回しましょう</v>
      </c>
      <c r="M18" s="57" t="s">
        <v>211</v>
      </c>
    </row>
    <row r="19" spans="1:13" x14ac:dyDescent="0.15">
      <c r="A19" s="81" t="s">
        <v>201</v>
      </c>
      <c r="B19" s="82">
        <f>floors!$C$2</f>
        <v>20018</v>
      </c>
      <c r="C19" s="83" t="str">
        <f ca="1">VLOOKUP($B19,OFFSET([2]quests!$A$1,0,0,COUNTA([2]quests!$A:$A),MATCH(C$1,[2]quests!$1:$1,0)-MATCH($B$1,[2]quests!$1:$1,0)+1),MATCH(C$1,[2]quests!$1:$1,0)-MATCH($B$1,[2]quests!$1:$1,0)+1,FALSE)</f>
        <v>魂を屠る黒影</v>
      </c>
      <c r="D19" s="83" t="str">
        <f ca="1">VLOOKUP($B19,OFFSET([2]quests!$A$1,0,0,COUNTA([2]quests!$A:$A),MATCH(D$1,[2]quests!$1:$1,0)-MATCH($B$1,[2]quests!$1:$1,0)+1),MATCH(D$1,[2]quests!$1:$1,0)-MATCH($B$1,[2]quests!$1:$1,0)+1,FALSE)</f>
        <v>エジプト01</v>
      </c>
      <c r="E19" s="87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【初級】魂を屠る黒影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エジプト01</v>
      </c>
      <c r="H19" s="85">
        <v>0</v>
      </c>
      <c r="I19">
        <v>19</v>
      </c>
      <c r="J19" s="84" t="s">
        <v>198</v>
      </c>
      <c r="K19" s="93" t="str">
        <f>VLOOKUP(I19,[6]stage_hints!$A:$C,3,FALSE)</f>
        <v>ソロ専用タワーオブザクイーン</v>
      </c>
      <c r="L19" s="94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7" t="s">
        <v>211</v>
      </c>
    </row>
    <row r="20" spans="1:13" x14ac:dyDescent="0.15">
      <c r="A20" s="81" t="s">
        <v>201</v>
      </c>
      <c r="B20" s="82">
        <f>floors!$C$2</f>
        <v>20018</v>
      </c>
      <c r="C20" s="83" t="str">
        <f ca="1">VLOOKUP($B20,OFFSET([2]quests!$A$1,0,0,COUNTA([2]quests!$A:$A),MATCH(C$1,[2]quests!$1:$1,0)-MATCH($B$1,[2]quests!$1:$1,0)+1),MATCH(C$1,[2]quests!$1:$1,0)-MATCH($B$1,[2]quests!$1:$1,0)+1,FALSE)</f>
        <v>魂を屠る黒影</v>
      </c>
      <c r="D20" s="83" t="str">
        <f ca="1">VLOOKUP($B20,OFFSET([2]quests!$A$1,0,0,COUNTA([2]quests!$A:$A),MATCH(D$1,[2]quests!$1:$1,0)-MATCH($B$1,[2]quests!$1:$1,0)+1),MATCH(D$1,[2]quests!$1:$1,0)-MATCH($B$1,[2]quests!$1:$1,0)+1,FALSE)</f>
        <v>エジプト01</v>
      </c>
      <c r="E20" s="87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【初級】魂を屠る黒影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エジプト01</v>
      </c>
      <c r="H20" s="85">
        <v>0</v>
      </c>
      <c r="I20">
        <v>20</v>
      </c>
      <c r="J20" s="84" t="s">
        <v>198</v>
      </c>
      <c r="K20" s="93" t="str">
        <f>VLOOKUP(I20,[6]stage_hints!$A:$C,3,FALSE)</f>
        <v>マルチプレイのメリット（その3）</v>
      </c>
      <c r="L20" s="94" t="str">
        <f>VLOOKUP(I20,[6]stage_hints!$A:$D,4,FALSE)</f>
        <v>マルチプレイへの参加はエナジー消費ゼロ_x000D_いつでも好きなだけ遊ぶことができます</v>
      </c>
      <c r="M20" s="57" t="s">
        <v>211</v>
      </c>
    </row>
    <row r="21" spans="1:13" x14ac:dyDescent="0.15">
      <c r="A21" s="81" t="s">
        <v>201</v>
      </c>
      <c r="B21" s="82">
        <f>floors!$C$2</f>
        <v>20018</v>
      </c>
      <c r="C21" s="83" t="str">
        <f ca="1">VLOOKUP($B21,OFFSET([2]quests!$A$1,0,0,COUNTA([2]quests!$A:$A),MATCH(C$1,[2]quests!$1:$1,0)-MATCH($B$1,[2]quests!$1:$1,0)+1),MATCH(C$1,[2]quests!$1:$1,0)-MATCH($B$1,[2]quests!$1:$1,0)+1,FALSE)</f>
        <v>魂を屠る黒影</v>
      </c>
      <c r="D21" s="83" t="str">
        <f ca="1">VLOOKUP($B21,OFFSET([2]quests!$A$1,0,0,COUNTA([2]quests!$A:$A),MATCH(D$1,[2]quests!$1:$1,0)-MATCH($B$1,[2]quests!$1:$1,0)+1),MATCH(D$1,[2]quests!$1:$1,0)-MATCH($B$1,[2]quests!$1:$1,0)+1,FALSE)</f>
        <v>エジプト01</v>
      </c>
      <c r="E21" s="87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【初級】魂を屠る黒影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エジプト01</v>
      </c>
      <c r="H21" s="85">
        <v>0</v>
      </c>
      <c r="I21">
        <v>21</v>
      </c>
      <c r="J21" s="84" t="s">
        <v>198</v>
      </c>
      <c r="K21" s="93" t="str">
        <f>VLOOKUP(I21,[6]stage_hints!$A:$C,3,FALSE)</f>
        <v>スキルを有効に</v>
      </c>
      <c r="L21" s="94" t="str">
        <f>VLOOKUP(I21,[6]stage_hints!$A:$D,4,FALSE)</f>
        <v>ターン経過でユニットのスキルが使えます_x000D_強力スキルでバトルを有利に進めましょう</v>
      </c>
      <c r="M21" s="57" t="s">
        <v>211</v>
      </c>
    </row>
    <row r="22" spans="1:13" x14ac:dyDescent="0.15">
      <c r="A22" s="81" t="s">
        <v>201</v>
      </c>
      <c r="B22" s="82">
        <f>floors!$C$2</f>
        <v>20018</v>
      </c>
      <c r="C22" s="83" t="str">
        <f ca="1">VLOOKUP($B22,OFFSET([2]quests!$A$1,0,0,COUNTA([2]quests!$A:$A),MATCH(C$1,[2]quests!$1:$1,0)-MATCH($B$1,[2]quests!$1:$1,0)+1),MATCH(C$1,[2]quests!$1:$1,0)-MATCH($B$1,[2]quests!$1:$1,0)+1,FALSE)</f>
        <v>魂を屠る黒影</v>
      </c>
      <c r="D22" s="83" t="str">
        <f ca="1">VLOOKUP($B22,OFFSET([2]quests!$A$1,0,0,COUNTA([2]quests!$A:$A),MATCH(D$1,[2]quests!$1:$1,0)-MATCH($B$1,[2]quests!$1:$1,0)+1),MATCH(D$1,[2]quests!$1:$1,0)-MATCH($B$1,[2]quests!$1:$1,0)+1,FALSE)</f>
        <v>エジプト01</v>
      </c>
      <c r="E22" s="87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【初級】魂を屠る黒影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エジプト01</v>
      </c>
      <c r="H22" s="85">
        <v>0</v>
      </c>
      <c r="I22">
        <v>22</v>
      </c>
      <c r="J22" s="84" t="s">
        <v>198</v>
      </c>
      <c r="K22" s="93" t="str">
        <f>VLOOKUP(I22,[6]stage_hints!$A:$C,3,FALSE)</f>
        <v>フィーバーで一発逆転（その1）</v>
      </c>
      <c r="L22" s="94" t="str">
        <f>VLOOKUP(I22,[6]stage_hints!$A:$D,4,FALSE)</f>
        <v>フィーバーは攻撃と回復を兼ね備えます_x000D_ピンチからの一発逆転を狙いましょう</v>
      </c>
      <c r="M22" s="57" t="s">
        <v>211</v>
      </c>
    </row>
    <row r="23" spans="1:13" x14ac:dyDescent="0.15">
      <c r="A23" s="81" t="s">
        <v>201</v>
      </c>
      <c r="B23" s="82">
        <f>floors!$C$2</f>
        <v>20018</v>
      </c>
      <c r="C23" s="83" t="str">
        <f ca="1">VLOOKUP($B23,OFFSET([2]quests!$A$1,0,0,COUNTA([2]quests!$A:$A),MATCH(C$1,[2]quests!$1:$1,0)-MATCH($B$1,[2]quests!$1:$1,0)+1),MATCH(C$1,[2]quests!$1:$1,0)-MATCH($B$1,[2]quests!$1:$1,0)+1,FALSE)</f>
        <v>魂を屠る黒影</v>
      </c>
      <c r="D23" s="83" t="str">
        <f ca="1">VLOOKUP($B23,OFFSET([2]quests!$A$1,0,0,COUNTA([2]quests!$A:$A),MATCH(D$1,[2]quests!$1:$1,0)-MATCH($B$1,[2]quests!$1:$1,0)+1),MATCH(D$1,[2]quests!$1:$1,0)-MATCH($B$1,[2]quests!$1:$1,0)+1,FALSE)</f>
        <v>エジプト01</v>
      </c>
      <c r="E23" s="87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【初級】魂を屠る黒影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エジプト01</v>
      </c>
      <c r="H23" s="85">
        <v>0</v>
      </c>
      <c r="I23">
        <v>23</v>
      </c>
      <c r="J23" s="84" t="s">
        <v>198</v>
      </c>
      <c r="K23" s="93" t="str">
        <f>VLOOKUP(I23,[6]stage_hints!$A:$C,3,FALSE)</f>
        <v>フィーバーで一発逆転（その2）</v>
      </c>
      <c r="L23" s="94" t="str">
        <f>VLOOKUP(I23,[6]stage_hints!$A:$D,4,FALSE)</f>
        <v>フィーバー中は虹色のボムパネルを狙って_x000D_画面上のパネルを一気に破壊しましょう</v>
      </c>
      <c r="M23" s="57" t="s">
        <v>211</v>
      </c>
    </row>
    <row r="24" spans="1:13" x14ac:dyDescent="0.15">
      <c r="A24" s="81" t="s">
        <v>201</v>
      </c>
      <c r="B24" s="82">
        <f>floors!$C$2</f>
        <v>20018</v>
      </c>
      <c r="C24" s="83" t="str">
        <f ca="1">VLOOKUP($B24,OFFSET([2]quests!$A$1,0,0,COUNTA([2]quests!$A:$A),MATCH(C$1,[2]quests!$1:$1,0)-MATCH($B$1,[2]quests!$1:$1,0)+1),MATCH(C$1,[2]quests!$1:$1,0)-MATCH($B$1,[2]quests!$1:$1,0)+1,FALSE)</f>
        <v>魂を屠る黒影</v>
      </c>
      <c r="D24" s="83" t="str">
        <f ca="1">VLOOKUP($B24,OFFSET([2]quests!$A$1,0,0,COUNTA([2]quests!$A:$A),MATCH(D$1,[2]quests!$1:$1,0)-MATCH($B$1,[2]quests!$1:$1,0)+1),MATCH(D$1,[2]quests!$1:$1,0)-MATCH($B$1,[2]quests!$1:$1,0)+1,FALSE)</f>
        <v>エジプト01</v>
      </c>
      <c r="E24" s="87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【初級】魂を屠る黒影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エジプト01</v>
      </c>
      <c r="H24" s="85">
        <v>0</v>
      </c>
      <c r="I24">
        <v>24</v>
      </c>
      <c r="J24" s="84" t="s">
        <v>198</v>
      </c>
      <c r="K24" s="93" t="str">
        <f>VLOOKUP(I24,[6]stage_hints!$A:$C,3,FALSE)</f>
        <v>果実を使って限界突破</v>
      </c>
      <c r="L24" s="94" t="str">
        <f>VLOOKUP(I24,[6]stage_hints!$A:$D,4,FALSE)</f>
        <v>攻めの果実 癒しの果実_x000D_生命の果実をユニット強化に使うと_x000D_ステータスが限界突破します（計99個迄）</v>
      </c>
      <c r="M24" s="57" t="s">
        <v>211</v>
      </c>
    </row>
    <row r="25" spans="1:13" x14ac:dyDescent="0.15">
      <c r="A25" s="81" t="s">
        <v>201</v>
      </c>
      <c r="B25" s="82">
        <f>floors!$C$2</f>
        <v>20018</v>
      </c>
      <c r="C25" s="83" t="str">
        <f ca="1">VLOOKUP($B25,OFFSET([2]quests!$A$1,0,0,COUNTA([2]quests!$A:$A),MATCH(C$1,[2]quests!$1:$1,0)-MATCH($B$1,[2]quests!$1:$1,0)+1),MATCH(C$1,[2]quests!$1:$1,0)-MATCH($B$1,[2]quests!$1:$1,0)+1,FALSE)</f>
        <v>魂を屠る黒影</v>
      </c>
      <c r="D25" s="83" t="str">
        <f ca="1">VLOOKUP($B25,OFFSET([2]quests!$A$1,0,0,COUNTA([2]quests!$A:$A),MATCH(D$1,[2]quests!$1:$1,0)-MATCH($B$1,[2]quests!$1:$1,0)+1),MATCH(D$1,[2]quests!$1:$1,0)-MATCH($B$1,[2]quests!$1:$1,0)+1,FALSE)</f>
        <v>エジプト01</v>
      </c>
      <c r="E25" s="87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【初級】魂を屠る黒影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エジプト01</v>
      </c>
      <c r="H25" s="85">
        <v>0</v>
      </c>
      <c r="I25">
        <v>25</v>
      </c>
      <c r="J25" s="84" t="s">
        <v>198</v>
      </c>
      <c r="K25" s="93" t="str">
        <f>VLOOKUP(I25,[6]stage_hints!$A:$C,3,FALSE)</f>
        <v>スキルレベルアップ</v>
      </c>
      <c r="L25" s="94" t="str">
        <f>VLOOKUP(I25,[6]stage_hints!$A:$D,4,FALSE)</f>
        <v>「秘術の果実」を強化に使うと_x000D_スキルレベルを上げることができます</v>
      </c>
      <c r="M25" s="57" t="s">
        <v>211</v>
      </c>
    </row>
    <row r="26" spans="1:13" x14ac:dyDescent="0.15">
      <c r="A26" s="81" t="s">
        <v>201</v>
      </c>
      <c r="B26" s="82">
        <f>floors!$C$2</f>
        <v>20018</v>
      </c>
      <c r="C26" s="83" t="str">
        <f ca="1">VLOOKUP($B26,OFFSET([2]quests!$A$1,0,0,COUNTA([2]quests!$A:$A),MATCH(C$1,[2]quests!$1:$1,0)-MATCH($B$1,[2]quests!$1:$1,0)+1),MATCH(C$1,[2]quests!$1:$1,0)-MATCH($B$1,[2]quests!$1:$1,0)+1,FALSE)</f>
        <v>魂を屠る黒影</v>
      </c>
      <c r="D26" s="83" t="str">
        <f ca="1">VLOOKUP($B26,OFFSET([2]quests!$A$1,0,0,COUNTA([2]quests!$A:$A),MATCH(D$1,[2]quests!$1:$1,0)-MATCH($B$1,[2]quests!$1:$1,0)+1),MATCH(D$1,[2]quests!$1:$1,0)-MATCH($B$1,[2]quests!$1:$1,0)+1,FALSE)</f>
        <v>エジプト01</v>
      </c>
      <c r="E26" s="87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【初級】魂を屠る黒影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エジプト01</v>
      </c>
      <c r="H26" s="85">
        <v>0</v>
      </c>
      <c r="I26">
        <v>26</v>
      </c>
      <c r="J26" s="84" t="s">
        <v>198</v>
      </c>
      <c r="K26" s="93" t="str">
        <f>VLOOKUP(I26,[6]stage_hints!$A:$C,3,FALSE)</f>
        <v>スキルレベルの効果</v>
      </c>
      <c r="L26" s="94" t="str">
        <f>VLOOKUP(I26,[6]stage_hints!$A:$D,4,FALSE)</f>
        <v>スキルレベルが上がると_x000D_短いターンでスキルを使うことができます</v>
      </c>
      <c r="M26" s="57" t="s">
        <v>211</v>
      </c>
    </row>
    <row r="27" spans="1:13" x14ac:dyDescent="0.15">
      <c r="A27" s="81" t="s">
        <v>201</v>
      </c>
      <c r="B27" s="82">
        <f>floors!$C$2</f>
        <v>20018</v>
      </c>
      <c r="C27" s="83" t="str">
        <f ca="1">VLOOKUP($B27,OFFSET([2]quests!$A$1,0,0,COUNTA([2]quests!$A:$A),MATCH(C$1,[2]quests!$1:$1,0)-MATCH($B$1,[2]quests!$1:$1,0)+1),MATCH(C$1,[2]quests!$1:$1,0)-MATCH($B$1,[2]quests!$1:$1,0)+1,FALSE)</f>
        <v>魂を屠る黒影</v>
      </c>
      <c r="D27" s="83" t="str">
        <f ca="1">VLOOKUP($B27,OFFSET([2]quests!$A$1,0,0,COUNTA([2]quests!$A:$A),MATCH(D$1,[2]quests!$1:$1,0)-MATCH($B$1,[2]quests!$1:$1,0)+1),MATCH(D$1,[2]quests!$1:$1,0)-MATCH($B$1,[2]quests!$1:$1,0)+1,FALSE)</f>
        <v>エジプト01</v>
      </c>
      <c r="E27" s="87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【初級】魂を屠る黒影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エジプト01</v>
      </c>
      <c r="H27" s="85">
        <v>0</v>
      </c>
      <c r="I27">
        <v>39</v>
      </c>
      <c r="J27" s="84" t="s">
        <v>198</v>
      </c>
      <c r="K27" s="93" t="str">
        <f>VLOOKUP(I27,[6]stage_hints!$A:$C,3,FALSE)</f>
        <v>システム適合者を確認</v>
      </c>
      <c r="L27" s="94" t="str">
        <f>VLOOKUP(I27,[6]stage_hints!$A:$D,4,FALSE)</f>
        <v>ALICEが 「アナタ」を呼んでいます</v>
      </c>
      <c r="M27" s="57" t="s">
        <v>211</v>
      </c>
    </row>
    <row r="28" spans="1:13" x14ac:dyDescent="0.15">
      <c r="A28" s="81" t="s">
        <v>201</v>
      </c>
      <c r="B28" s="82">
        <f>floors!$C$2</f>
        <v>20018</v>
      </c>
      <c r="C28" s="83" t="str">
        <f ca="1">VLOOKUP($B28,OFFSET([2]quests!$A$1,0,0,COUNTA([2]quests!$A:$A),MATCH(C$1,[2]quests!$1:$1,0)-MATCH($B$1,[2]quests!$1:$1,0)+1),MATCH(C$1,[2]quests!$1:$1,0)-MATCH($B$1,[2]quests!$1:$1,0)+1,FALSE)</f>
        <v>魂を屠る黒影</v>
      </c>
      <c r="D28" s="83" t="str">
        <f ca="1">VLOOKUP($B28,OFFSET([2]quests!$A$1,0,0,COUNTA([2]quests!$A:$A),MATCH(D$1,[2]quests!$1:$1,0)-MATCH($B$1,[2]quests!$1:$1,0)+1),MATCH(D$1,[2]quests!$1:$1,0)-MATCH($B$1,[2]quests!$1:$1,0)+1,FALSE)</f>
        <v>エジプト01</v>
      </c>
      <c r="E28" s="87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【中級】魂を屠る黒影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エジプト01</v>
      </c>
      <c r="H28" s="85">
        <v>0</v>
      </c>
      <c r="I28">
        <v>3</v>
      </c>
      <c r="J28" s="84" t="s">
        <v>198</v>
      </c>
      <c r="K28" s="93" t="str">
        <f>VLOOKUP(I28,[6]stage_hints!$A:$C,3,FALSE)</f>
        <v>ターゲット</v>
      </c>
      <c r="L28" s="94" t="str">
        <f>VLOOKUP(I28,[6]stage_hints!$A:$D,4,FALSE)</f>
        <v>敵ユニットをタップすると_x000D_その敵を狙い撃ちできます</v>
      </c>
      <c r="M28" s="57" t="s">
        <v>211</v>
      </c>
    </row>
    <row r="29" spans="1:13" x14ac:dyDescent="0.15">
      <c r="A29" s="81" t="s">
        <v>201</v>
      </c>
      <c r="B29" s="82">
        <f>floors!$C$2</f>
        <v>20018</v>
      </c>
      <c r="C29" s="83" t="str">
        <f ca="1">VLOOKUP($B29,OFFSET([2]quests!$A$1,0,0,COUNTA([2]quests!$A:$A),MATCH(C$1,[2]quests!$1:$1,0)-MATCH($B$1,[2]quests!$1:$1,0)+1),MATCH(C$1,[2]quests!$1:$1,0)-MATCH($B$1,[2]quests!$1:$1,0)+1,FALSE)</f>
        <v>魂を屠る黒影</v>
      </c>
      <c r="D29" s="83" t="str">
        <f ca="1">VLOOKUP($B29,OFFSET([2]quests!$A$1,0,0,COUNTA([2]quests!$A:$A),MATCH(D$1,[2]quests!$1:$1,0)-MATCH($B$1,[2]quests!$1:$1,0)+1),MATCH(D$1,[2]quests!$1:$1,0)-MATCH($B$1,[2]quests!$1:$1,0)+1,FALSE)</f>
        <v>エジプト01</v>
      </c>
      <c r="E29" s="87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【中級】魂を屠る黒影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エジプト01</v>
      </c>
      <c r="H29" s="85">
        <v>0</v>
      </c>
      <c r="I29">
        <v>6</v>
      </c>
      <c r="J29" s="84" t="s">
        <v>198</v>
      </c>
      <c r="K29" s="93" t="str">
        <f>VLOOKUP(I29,[6]stage_hints!$A:$C,3,FALSE)</f>
        <v>ユニット強化の属性ボーナス</v>
      </c>
      <c r="L29" s="94" t="str">
        <f>VLOOKUP(I29,[6]stage_hints!$A:$D,4,FALSE)</f>
        <v>同属性ユニットを強化素材にすると_x000D_経験値が多くもらえます</v>
      </c>
      <c r="M29" s="57" t="s">
        <v>211</v>
      </c>
    </row>
    <row r="30" spans="1:13" x14ac:dyDescent="0.15">
      <c r="A30" s="81" t="s">
        <v>201</v>
      </c>
      <c r="B30" s="82">
        <f>floors!$C$2</f>
        <v>20018</v>
      </c>
      <c r="C30" s="83" t="str">
        <f ca="1">VLOOKUP($B30,OFFSET([2]quests!$A$1,0,0,COUNTA([2]quests!$A:$A),MATCH(C$1,[2]quests!$1:$1,0)-MATCH($B$1,[2]quests!$1:$1,0)+1),MATCH(C$1,[2]quests!$1:$1,0)-MATCH($B$1,[2]quests!$1:$1,0)+1,FALSE)</f>
        <v>魂を屠る黒影</v>
      </c>
      <c r="D30" s="83" t="str">
        <f ca="1">VLOOKUP($B30,OFFSET([2]quests!$A$1,0,0,COUNTA([2]quests!$A:$A),MATCH(D$1,[2]quests!$1:$1,0)-MATCH($B$1,[2]quests!$1:$1,0)+1),MATCH(D$1,[2]quests!$1:$1,0)-MATCH($B$1,[2]quests!$1:$1,0)+1,FALSE)</f>
        <v>エジプト01</v>
      </c>
      <c r="E30" s="87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【中級】魂を屠る黒影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エジプト01</v>
      </c>
      <c r="H30" s="85">
        <v>0</v>
      </c>
      <c r="I30">
        <v>7</v>
      </c>
      <c r="J30" s="84" t="s">
        <v>198</v>
      </c>
      <c r="K30" s="93" t="str">
        <f>VLOOKUP(I30,[6]stage_hints!$A:$C,3,FALSE)</f>
        <v>メタルダックで経験値を獲得</v>
      </c>
      <c r="L30" s="94" t="str">
        <f>VLOOKUP(I30,[6]stage_hints!$A:$D,4,FALSE)</f>
        <v>「メタルなアヒル」を強化素材にすると_x000D_大量の経験値がもらえます</v>
      </c>
      <c r="M30" s="57" t="s">
        <v>211</v>
      </c>
    </row>
    <row r="31" spans="1:13" x14ac:dyDescent="0.15">
      <c r="A31" s="81" t="s">
        <v>201</v>
      </c>
      <c r="B31" s="82">
        <f>floors!$C$2</f>
        <v>20018</v>
      </c>
      <c r="C31" s="83" t="str">
        <f ca="1">VLOOKUP($B31,OFFSET([2]quests!$A$1,0,0,COUNTA([2]quests!$A:$A),MATCH(C$1,[2]quests!$1:$1,0)-MATCH($B$1,[2]quests!$1:$1,0)+1),MATCH(C$1,[2]quests!$1:$1,0)-MATCH($B$1,[2]quests!$1:$1,0)+1,FALSE)</f>
        <v>魂を屠る黒影</v>
      </c>
      <c r="D31" s="83" t="str">
        <f ca="1">VLOOKUP($B31,OFFSET([2]quests!$A$1,0,0,COUNTA([2]quests!$A:$A),MATCH(D$1,[2]quests!$1:$1,0)-MATCH($B$1,[2]quests!$1:$1,0)+1),MATCH(D$1,[2]quests!$1:$1,0)-MATCH($B$1,[2]quests!$1:$1,0)+1,FALSE)</f>
        <v>エジプト01</v>
      </c>
      <c r="E31" s="87">
        <v>2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【中級】魂を屠る黒影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エジプト01</v>
      </c>
      <c r="H31" s="85">
        <v>0</v>
      </c>
      <c r="I31">
        <v>8</v>
      </c>
      <c r="J31" s="84" t="s">
        <v>198</v>
      </c>
      <c r="K31" s="93" t="str">
        <f>VLOOKUP(I31,[6]stage_hints!$A:$C,3,FALSE)</f>
        <v>ゲリラクエストは要チェック</v>
      </c>
      <c r="L31" s="94" t="str">
        <f>VLOOKUP(I31,[6]stage_hints!$A:$D,4,FALSE)</f>
        <v>時間限定の「アヒル捕獲作戦」では_x000D_経験値素材ユニットが多く手に入ります</v>
      </c>
      <c r="M31" s="57" t="s">
        <v>211</v>
      </c>
    </row>
    <row r="32" spans="1:13" x14ac:dyDescent="0.15">
      <c r="A32" s="81" t="s">
        <v>201</v>
      </c>
      <c r="B32" s="82">
        <f>floors!$C$2</f>
        <v>20018</v>
      </c>
      <c r="C32" s="83" t="str">
        <f ca="1">VLOOKUP($B32,OFFSET([2]quests!$A$1,0,0,COUNTA([2]quests!$A:$A),MATCH(C$1,[2]quests!$1:$1,0)-MATCH($B$1,[2]quests!$1:$1,0)+1),MATCH(C$1,[2]quests!$1:$1,0)-MATCH($B$1,[2]quests!$1:$1,0)+1,FALSE)</f>
        <v>魂を屠る黒影</v>
      </c>
      <c r="D32" s="83" t="str">
        <f ca="1">VLOOKUP($B32,OFFSET([2]quests!$A$1,0,0,COUNTA([2]quests!$A:$A),MATCH(D$1,[2]quests!$1:$1,0)-MATCH($B$1,[2]quests!$1:$1,0)+1),MATCH(D$1,[2]quests!$1:$1,0)-MATCH($B$1,[2]quests!$1:$1,0)+1,FALSE)</f>
        <v>エジプト01</v>
      </c>
      <c r="E32" s="87">
        <v>2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【中級】魂を屠る黒影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エジプト01</v>
      </c>
      <c r="H32" s="85">
        <v>0</v>
      </c>
      <c r="I32">
        <v>9</v>
      </c>
      <c r="J32" s="84" t="s">
        <v>198</v>
      </c>
      <c r="K32" s="93" t="str">
        <f>VLOOKUP(I32,[6]stage_hints!$A:$C,3,FALSE)</f>
        <v>ゴールドダックでビットを獲得</v>
      </c>
      <c r="L32" s="94" t="str">
        <f>VLOOKUP(I32,[6]stage_hints!$A:$D,4,FALSE)</f>
        <v>「ゴールドなアヒル」を売却すると_x000D_大量のビットがもらえます</v>
      </c>
      <c r="M32" s="57" t="s">
        <v>211</v>
      </c>
    </row>
    <row r="33" spans="1:13" x14ac:dyDescent="0.15">
      <c r="A33" s="81" t="s">
        <v>201</v>
      </c>
      <c r="B33" s="82">
        <f>floors!$C$2</f>
        <v>20018</v>
      </c>
      <c r="C33" s="83" t="str">
        <f ca="1">VLOOKUP($B33,OFFSET([2]quests!$A$1,0,0,COUNTA([2]quests!$A:$A),MATCH(C$1,[2]quests!$1:$1,0)-MATCH($B$1,[2]quests!$1:$1,0)+1),MATCH(C$1,[2]quests!$1:$1,0)-MATCH($B$1,[2]quests!$1:$1,0)+1,FALSE)</f>
        <v>魂を屠る黒影</v>
      </c>
      <c r="D33" s="83" t="str">
        <f ca="1">VLOOKUP($B33,OFFSET([2]quests!$A$1,0,0,COUNTA([2]quests!$A:$A),MATCH(D$1,[2]quests!$1:$1,0)-MATCH($B$1,[2]quests!$1:$1,0)+1),MATCH(D$1,[2]quests!$1:$1,0)-MATCH($B$1,[2]quests!$1:$1,0)+1,FALSE)</f>
        <v>エジプト01</v>
      </c>
      <c r="E33" s="87">
        <v>2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【中級】魂を屠る黒影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エジプト01</v>
      </c>
      <c r="H33" s="85">
        <v>0</v>
      </c>
      <c r="I33">
        <v>10</v>
      </c>
      <c r="J33" s="84" t="s">
        <v>198</v>
      </c>
      <c r="K33" s="93" t="str">
        <f>VLOOKUP(I33,[6]stage_hints!$A:$C,3,FALSE)</f>
        <v>土日に大量のビットを獲得</v>
      </c>
      <c r="L33" s="94" t="str">
        <f>VLOOKUP(I33,[6]stage_hints!$A:$D,4,FALSE)</f>
        <v>土日限定の「ゴールドカジノ」では_x000D_売却素材ユニットが多く手に入ります</v>
      </c>
      <c r="M33" s="57" t="s">
        <v>211</v>
      </c>
    </row>
    <row r="34" spans="1:13" x14ac:dyDescent="0.15">
      <c r="A34" s="81" t="s">
        <v>201</v>
      </c>
      <c r="B34" s="82">
        <f>floors!$C$2</f>
        <v>20018</v>
      </c>
      <c r="C34" s="83" t="str">
        <f ca="1">VLOOKUP($B34,OFFSET([2]quests!$A$1,0,0,COUNTA([2]quests!$A:$A),MATCH(C$1,[2]quests!$1:$1,0)-MATCH($B$1,[2]quests!$1:$1,0)+1),MATCH(C$1,[2]quests!$1:$1,0)-MATCH($B$1,[2]quests!$1:$1,0)+1,FALSE)</f>
        <v>魂を屠る黒影</v>
      </c>
      <c r="D34" s="83" t="str">
        <f ca="1">VLOOKUP($B34,OFFSET([2]quests!$A$1,0,0,COUNTA([2]quests!$A:$A),MATCH(D$1,[2]quests!$1:$1,0)-MATCH($B$1,[2]quests!$1:$1,0)+1),MATCH(D$1,[2]quests!$1:$1,0)-MATCH($B$1,[2]quests!$1:$1,0)+1,FALSE)</f>
        <v>エジプト01</v>
      </c>
      <c r="E34" s="87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【中級】魂を屠る黒影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エジプト01</v>
      </c>
      <c r="H34" s="85">
        <v>0</v>
      </c>
      <c r="I34">
        <v>11</v>
      </c>
      <c r="J34" s="84" t="s">
        <v>198</v>
      </c>
      <c r="K34" s="93" t="str">
        <f>VLOOKUP(I34,[6]stage_hints!$A:$C,3,FALSE)</f>
        <v>ランク解放クエスト</v>
      </c>
      <c r="L34" s="94" t="str">
        <f>VLOOKUP(I34,[6]stage_hints!$A:$D,4,FALSE)</f>
        <v>一定ランクに到達すると_x000D_報酬付きのランク開放クエストが現れます</v>
      </c>
      <c r="M34" s="57" t="s">
        <v>211</v>
      </c>
    </row>
    <row r="35" spans="1:13" x14ac:dyDescent="0.15">
      <c r="A35" s="81" t="s">
        <v>201</v>
      </c>
      <c r="B35" s="82">
        <f>floors!$C$2</f>
        <v>20018</v>
      </c>
      <c r="C35" s="83" t="str">
        <f ca="1">VLOOKUP($B35,OFFSET([2]quests!$A$1,0,0,COUNTA([2]quests!$A:$A),MATCH(C$1,[2]quests!$1:$1,0)-MATCH($B$1,[2]quests!$1:$1,0)+1),MATCH(C$1,[2]quests!$1:$1,0)-MATCH($B$1,[2]quests!$1:$1,0)+1,FALSE)</f>
        <v>魂を屠る黒影</v>
      </c>
      <c r="D35" s="83" t="str">
        <f ca="1">VLOOKUP($B35,OFFSET([2]quests!$A$1,0,0,COUNTA([2]quests!$A:$A),MATCH(D$1,[2]quests!$1:$1,0)-MATCH($B$1,[2]quests!$1:$1,0)+1),MATCH(D$1,[2]quests!$1:$1,0)-MATCH($B$1,[2]quests!$1:$1,0)+1,FALSE)</f>
        <v>エジプト01</v>
      </c>
      <c r="E35" s="87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【中級】魂を屠る黒影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エジプト01</v>
      </c>
      <c r="H35" s="85">
        <v>0</v>
      </c>
      <c r="I35">
        <v>12</v>
      </c>
      <c r="J35" s="84" t="s">
        <v>198</v>
      </c>
      <c r="K35" s="93" t="str">
        <f>VLOOKUP(I35,[6]stage_hints!$A:$C,3,FALSE)</f>
        <v>ユニットのお気に入り登録</v>
      </c>
      <c r="L35" s="94" t="str">
        <f>VLOOKUP(I35,[6]stage_hints!$A:$D,4,FALSE)</f>
        <v>大事なユニットを誤って消さないように_x000D_フォルダから「お気に入り登録」しましょう</v>
      </c>
      <c r="M35" s="57" t="s">
        <v>211</v>
      </c>
    </row>
    <row r="36" spans="1:13" x14ac:dyDescent="0.15">
      <c r="A36" s="81" t="s">
        <v>201</v>
      </c>
      <c r="B36" s="82">
        <f>floors!$C$2</f>
        <v>20018</v>
      </c>
      <c r="C36" s="83" t="str">
        <f ca="1">VLOOKUP($B36,OFFSET([2]quests!$A$1,0,0,COUNTA([2]quests!$A:$A),MATCH(C$1,[2]quests!$1:$1,0)-MATCH($B$1,[2]quests!$1:$1,0)+1),MATCH(C$1,[2]quests!$1:$1,0)-MATCH($B$1,[2]quests!$1:$1,0)+1,FALSE)</f>
        <v>魂を屠る黒影</v>
      </c>
      <c r="D36" s="83" t="str">
        <f ca="1">VLOOKUP($B36,OFFSET([2]quests!$A$1,0,0,COUNTA([2]quests!$A:$A),MATCH(D$1,[2]quests!$1:$1,0)-MATCH($B$1,[2]quests!$1:$1,0)+1),MATCH(D$1,[2]quests!$1:$1,0)-MATCH($B$1,[2]quests!$1:$1,0)+1,FALSE)</f>
        <v>エジプト01</v>
      </c>
      <c r="E36" s="87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【中級】魂を屠る黒影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エジプト01</v>
      </c>
      <c r="H36" s="85">
        <v>0</v>
      </c>
      <c r="I36">
        <v>13</v>
      </c>
      <c r="J36" s="84" t="s">
        <v>198</v>
      </c>
      <c r="K36" s="93" t="str">
        <f>VLOOKUP(I36,[6]stage_hints!$A:$C,3,FALSE)</f>
        <v>ユニットの覚醒</v>
      </c>
      <c r="L36" s="94" t="str">
        <f>VLOOKUP(I36,[6]stage_hints!$A:$D,4,FALSE)</f>
        <v>ユニットを覚醒させると_x000D_比べものにならない強さが手に入ります</v>
      </c>
      <c r="M36" s="57" t="s">
        <v>211</v>
      </c>
    </row>
    <row r="37" spans="1:13" x14ac:dyDescent="0.15">
      <c r="A37" s="81" t="s">
        <v>201</v>
      </c>
      <c r="B37" s="82">
        <f>floors!$C$2</f>
        <v>20018</v>
      </c>
      <c r="C37" s="83" t="str">
        <f ca="1">VLOOKUP($B37,OFFSET([2]quests!$A$1,0,0,COUNTA([2]quests!$A:$A),MATCH(C$1,[2]quests!$1:$1,0)-MATCH($B$1,[2]quests!$1:$1,0)+1),MATCH(C$1,[2]quests!$1:$1,0)-MATCH($B$1,[2]quests!$1:$1,0)+1,FALSE)</f>
        <v>魂を屠る黒影</v>
      </c>
      <c r="D37" s="83" t="str">
        <f ca="1">VLOOKUP($B37,OFFSET([2]quests!$A$1,0,0,COUNTA([2]quests!$A:$A),MATCH(D$1,[2]quests!$1:$1,0)-MATCH($B$1,[2]quests!$1:$1,0)+1),MATCH(D$1,[2]quests!$1:$1,0)-MATCH($B$1,[2]quests!$1:$1,0)+1,FALSE)</f>
        <v>エジプト01</v>
      </c>
      <c r="E37" s="87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【中級】魂を屠る黒影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エジプト01</v>
      </c>
      <c r="H37" s="85">
        <v>0</v>
      </c>
      <c r="I37">
        <v>14</v>
      </c>
      <c r="J37" s="84" t="s">
        <v>198</v>
      </c>
      <c r="K37" s="93" t="str">
        <f>VLOOKUP(I37,[6]stage_hints!$A:$C,3,FALSE)</f>
        <v>覚醒するにはレベルを最大に</v>
      </c>
      <c r="L37" s="94" t="str">
        <f>VLOOKUP(I37,[6]stage_hints!$A:$D,4,FALSE)</f>
        <v>覚醒するにはユニットのレベルを_x000D_最大まで上げる必要があります</v>
      </c>
      <c r="M37" s="57" t="s">
        <v>211</v>
      </c>
    </row>
    <row r="38" spans="1:13" x14ac:dyDescent="0.15">
      <c r="A38" s="81" t="s">
        <v>201</v>
      </c>
      <c r="B38" s="82">
        <f>floors!$C$2</f>
        <v>20018</v>
      </c>
      <c r="C38" s="83" t="str">
        <f ca="1">VLOOKUP($B38,OFFSET([2]quests!$A$1,0,0,COUNTA([2]quests!$A:$A),MATCH(C$1,[2]quests!$1:$1,0)-MATCH($B$1,[2]quests!$1:$1,0)+1),MATCH(C$1,[2]quests!$1:$1,0)-MATCH($B$1,[2]quests!$1:$1,0)+1,FALSE)</f>
        <v>魂を屠る黒影</v>
      </c>
      <c r="D38" s="83" t="str">
        <f ca="1">VLOOKUP($B38,OFFSET([2]quests!$A$1,0,0,COUNTA([2]quests!$A:$A),MATCH(D$1,[2]quests!$1:$1,0)-MATCH($B$1,[2]quests!$1:$1,0)+1),MATCH(D$1,[2]quests!$1:$1,0)-MATCH($B$1,[2]quests!$1:$1,0)+1,FALSE)</f>
        <v>エジプト01</v>
      </c>
      <c r="E38" s="87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【中級】魂を屠る黒影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エジプト01</v>
      </c>
      <c r="H38" s="85">
        <v>0</v>
      </c>
      <c r="I38">
        <v>15</v>
      </c>
      <c r="J38" s="84" t="s">
        <v>198</v>
      </c>
      <c r="K38" s="93" t="str">
        <f>VLOOKUP(I38,[6]stage_hints!$A:$C,3,FALSE)</f>
        <v>覚醒素材を獲得</v>
      </c>
      <c r="L38" s="94" t="str">
        <f>VLOOKUP(I38,[6]stage_hints!$A:$D,4,FALSE)</f>
        <v>「曜日クエスト」では_x000D_ユニットの覚醒に必要な素材が手に入ります</v>
      </c>
      <c r="M38" s="57" t="s">
        <v>211</v>
      </c>
    </row>
    <row r="39" spans="1:13" x14ac:dyDescent="0.15">
      <c r="A39" s="81" t="s">
        <v>201</v>
      </c>
      <c r="B39" s="82">
        <f>floors!$C$2</f>
        <v>20018</v>
      </c>
      <c r="C39" s="83" t="str">
        <f ca="1">VLOOKUP($B39,OFFSET([2]quests!$A$1,0,0,COUNTA([2]quests!$A:$A),MATCH(C$1,[2]quests!$1:$1,0)-MATCH($B$1,[2]quests!$1:$1,0)+1),MATCH(C$1,[2]quests!$1:$1,0)-MATCH($B$1,[2]quests!$1:$1,0)+1,FALSE)</f>
        <v>魂を屠る黒影</v>
      </c>
      <c r="D39" s="83" t="str">
        <f ca="1">VLOOKUP($B39,OFFSET([2]quests!$A$1,0,0,COUNTA([2]quests!$A:$A),MATCH(D$1,[2]quests!$1:$1,0)-MATCH($B$1,[2]quests!$1:$1,0)+1),MATCH(D$1,[2]quests!$1:$1,0)-MATCH($B$1,[2]quests!$1:$1,0)+1,FALSE)</f>
        <v>エジプト01</v>
      </c>
      <c r="E39" s="87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【中級】魂を屠る黒影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エジプト01</v>
      </c>
      <c r="H39" s="85">
        <v>0</v>
      </c>
      <c r="I39">
        <v>16</v>
      </c>
      <c r="J39" s="84" t="s">
        <v>198</v>
      </c>
      <c r="K39" s="93" t="str">
        <f>VLOOKUP(I39,[6]stage_hints!$A:$C,3,FALSE)</f>
        <v>マルチプレイのメリット（その1）</v>
      </c>
      <c r="L39" s="94" t="str">
        <f>VLOOKUP(I39,[6]stage_hints!$A:$D,4,FALSE)</f>
        <v>他のプレイヤーとマルチプレイで遊ぶと_x000D_ポリゴンがもらえます（100人まで）</v>
      </c>
      <c r="M39" s="57" t="s">
        <v>211</v>
      </c>
    </row>
    <row r="40" spans="1:13" x14ac:dyDescent="0.15">
      <c r="A40" s="81" t="s">
        <v>201</v>
      </c>
      <c r="B40" s="82">
        <f>floors!$C$2</f>
        <v>20018</v>
      </c>
      <c r="C40" s="83" t="str">
        <f ca="1">VLOOKUP($B40,OFFSET([2]quests!$A$1,0,0,COUNTA([2]quests!$A:$A),MATCH(C$1,[2]quests!$1:$1,0)-MATCH($B$1,[2]quests!$1:$1,0)+1),MATCH(C$1,[2]quests!$1:$1,0)-MATCH($B$1,[2]quests!$1:$1,0)+1,FALSE)</f>
        <v>魂を屠る黒影</v>
      </c>
      <c r="D40" s="83" t="str">
        <f ca="1">VLOOKUP($B40,OFFSET([2]quests!$A$1,0,0,COUNTA([2]quests!$A:$A),MATCH(D$1,[2]quests!$1:$1,0)-MATCH($B$1,[2]quests!$1:$1,0)+1),MATCH(D$1,[2]quests!$1:$1,0)-MATCH($B$1,[2]quests!$1:$1,0)+1,FALSE)</f>
        <v>エジプト01</v>
      </c>
      <c r="E40" s="87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【中級】魂を屠る黒影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エジプト01</v>
      </c>
      <c r="H40" s="85">
        <v>0</v>
      </c>
      <c r="I40">
        <v>17</v>
      </c>
      <c r="J40" s="84" t="s">
        <v>198</v>
      </c>
      <c r="K40" s="93" t="str">
        <f>VLOOKUP(I40,[6]stage_hints!$A:$C,3,FALSE)</f>
        <v>リンクガチャ</v>
      </c>
      <c r="L40" s="94" t="str">
        <f>VLOOKUP(I40,[6]stage_hints!$A:$D,4,FALSE)</f>
        <v>無料のリンクガチャを回して_x000D_経験値素材や売却素材を獲得しましょう</v>
      </c>
      <c r="M40" s="57" t="s">
        <v>211</v>
      </c>
    </row>
    <row r="41" spans="1:13" x14ac:dyDescent="0.15">
      <c r="A41" s="81" t="s">
        <v>201</v>
      </c>
      <c r="B41" s="82">
        <f>floors!$C$2</f>
        <v>20018</v>
      </c>
      <c r="C41" s="83" t="str">
        <f ca="1">VLOOKUP($B41,OFFSET([2]quests!$A$1,0,0,COUNTA([2]quests!$A:$A),MATCH(C$1,[2]quests!$1:$1,0)-MATCH($B$1,[2]quests!$1:$1,0)+1),MATCH(C$1,[2]quests!$1:$1,0)-MATCH($B$1,[2]quests!$1:$1,0)+1,FALSE)</f>
        <v>魂を屠る黒影</v>
      </c>
      <c r="D41" s="83" t="str">
        <f ca="1">VLOOKUP($B41,OFFSET([2]quests!$A$1,0,0,COUNTA([2]quests!$A:$A),MATCH(D$1,[2]quests!$1:$1,0)-MATCH($B$1,[2]quests!$1:$1,0)+1),MATCH(D$1,[2]quests!$1:$1,0)-MATCH($B$1,[2]quests!$1:$1,0)+1,FALSE)</f>
        <v>エジプト01</v>
      </c>
      <c r="E41" s="87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【中級】魂を屠る黒影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エジプト01</v>
      </c>
      <c r="H41" s="85">
        <v>0</v>
      </c>
      <c r="I41">
        <v>18</v>
      </c>
      <c r="J41" s="84" t="s">
        <v>198</v>
      </c>
      <c r="K41" s="93" t="str">
        <f>VLOOKUP(I41,[6]stage_hints!$A:$C,3,FALSE)</f>
        <v>マルチプレイのメリット（その2）</v>
      </c>
      <c r="L41" s="94" t="str">
        <f>VLOOKUP(I41,[6]stage_hints!$A:$D,4,FALSE)</f>
        <v>マルチプレイならリンクが2倍もらえます_x000D_リンクガチャをたくさん回しましょう</v>
      </c>
      <c r="M41" s="57" t="s">
        <v>211</v>
      </c>
    </row>
    <row r="42" spans="1:13" x14ac:dyDescent="0.15">
      <c r="A42" s="81" t="s">
        <v>201</v>
      </c>
      <c r="B42" s="82">
        <f>floors!$C$2</f>
        <v>20018</v>
      </c>
      <c r="C42" s="83" t="str">
        <f ca="1">VLOOKUP($B42,OFFSET([2]quests!$A$1,0,0,COUNTA([2]quests!$A:$A),MATCH(C$1,[2]quests!$1:$1,0)-MATCH($B$1,[2]quests!$1:$1,0)+1),MATCH(C$1,[2]quests!$1:$1,0)-MATCH($B$1,[2]quests!$1:$1,0)+1,FALSE)</f>
        <v>魂を屠る黒影</v>
      </c>
      <c r="D42" s="83" t="str">
        <f ca="1">VLOOKUP($B42,OFFSET([2]quests!$A$1,0,0,COUNTA([2]quests!$A:$A),MATCH(D$1,[2]quests!$1:$1,0)-MATCH($B$1,[2]quests!$1:$1,0)+1),MATCH(D$1,[2]quests!$1:$1,0)-MATCH($B$1,[2]quests!$1:$1,0)+1,FALSE)</f>
        <v>エジプト01</v>
      </c>
      <c r="E42" s="87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【中級】魂を屠る黒影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エジプト01</v>
      </c>
      <c r="H42" s="85">
        <v>0</v>
      </c>
      <c r="I42">
        <v>19</v>
      </c>
      <c r="J42" s="84" t="s">
        <v>198</v>
      </c>
      <c r="K42" s="93" t="str">
        <f>VLOOKUP(I42,[6]stage_hints!$A:$C,3,FALSE)</f>
        <v>ソロ専用タワーオブザクイーン</v>
      </c>
      <c r="L42" s="94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7" t="s">
        <v>211</v>
      </c>
    </row>
    <row r="43" spans="1:13" x14ac:dyDescent="0.15">
      <c r="A43" s="81" t="s">
        <v>201</v>
      </c>
      <c r="B43" s="82">
        <f>floors!$C$2</f>
        <v>20018</v>
      </c>
      <c r="C43" s="83" t="str">
        <f ca="1">VLOOKUP($B43,OFFSET([2]quests!$A$1,0,0,COUNTA([2]quests!$A:$A),MATCH(C$1,[2]quests!$1:$1,0)-MATCH($B$1,[2]quests!$1:$1,0)+1),MATCH(C$1,[2]quests!$1:$1,0)-MATCH($B$1,[2]quests!$1:$1,0)+1,FALSE)</f>
        <v>魂を屠る黒影</v>
      </c>
      <c r="D43" s="83" t="str">
        <f ca="1">VLOOKUP($B43,OFFSET([2]quests!$A$1,0,0,COUNTA([2]quests!$A:$A),MATCH(D$1,[2]quests!$1:$1,0)-MATCH($B$1,[2]quests!$1:$1,0)+1),MATCH(D$1,[2]quests!$1:$1,0)-MATCH($B$1,[2]quests!$1:$1,0)+1,FALSE)</f>
        <v>エジプト01</v>
      </c>
      <c r="E43" s="87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【中級】魂を屠る黒影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エジプト01</v>
      </c>
      <c r="H43" s="85">
        <v>0</v>
      </c>
      <c r="I43">
        <v>20</v>
      </c>
      <c r="J43" s="84" t="s">
        <v>198</v>
      </c>
      <c r="K43" s="93" t="str">
        <f>VLOOKUP(I43,[6]stage_hints!$A:$C,3,FALSE)</f>
        <v>マルチプレイのメリット（その3）</v>
      </c>
      <c r="L43" s="94" t="str">
        <f>VLOOKUP(I43,[6]stage_hints!$A:$D,4,FALSE)</f>
        <v>マルチプレイへの参加はエナジー消費ゼロ_x000D_いつでも好きなだけ遊ぶことができます</v>
      </c>
      <c r="M43" s="57" t="s">
        <v>211</v>
      </c>
    </row>
    <row r="44" spans="1:13" x14ac:dyDescent="0.15">
      <c r="A44" s="81" t="s">
        <v>201</v>
      </c>
      <c r="B44" s="82">
        <f>floors!$C$2</f>
        <v>20018</v>
      </c>
      <c r="C44" s="83" t="str">
        <f ca="1">VLOOKUP($B44,OFFSET([2]quests!$A$1,0,0,COUNTA([2]quests!$A:$A),MATCH(C$1,[2]quests!$1:$1,0)-MATCH($B$1,[2]quests!$1:$1,0)+1),MATCH(C$1,[2]quests!$1:$1,0)-MATCH($B$1,[2]quests!$1:$1,0)+1,FALSE)</f>
        <v>魂を屠る黒影</v>
      </c>
      <c r="D44" s="83" t="str">
        <f ca="1">VLOOKUP($B44,OFFSET([2]quests!$A$1,0,0,COUNTA([2]quests!$A:$A),MATCH(D$1,[2]quests!$1:$1,0)-MATCH($B$1,[2]quests!$1:$1,0)+1),MATCH(D$1,[2]quests!$1:$1,0)-MATCH($B$1,[2]quests!$1:$1,0)+1,FALSE)</f>
        <v>エジプト01</v>
      </c>
      <c r="E44" s="87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【中級】魂を屠る黒影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エジプト01</v>
      </c>
      <c r="H44" s="85">
        <v>0</v>
      </c>
      <c r="I44">
        <v>21</v>
      </c>
      <c r="J44" s="84" t="s">
        <v>198</v>
      </c>
      <c r="K44" s="93" t="str">
        <f>VLOOKUP(I44,[6]stage_hints!$A:$C,3,FALSE)</f>
        <v>スキルを有効に</v>
      </c>
      <c r="L44" s="94" t="str">
        <f>VLOOKUP(I44,[6]stage_hints!$A:$D,4,FALSE)</f>
        <v>ターン経過でユニットのスキルが使えます_x000D_強力スキルでバトルを有利に進めましょう</v>
      </c>
      <c r="M44" s="57" t="s">
        <v>211</v>
      </c>
    </row>
    <row r="45" spans="1:13" x14ac:dyDescent="0.15">
      <c r="A45" s="81" t="s">
        <v>201</v>
      </c>
      <c r="B45" s="82">
        <f>floors!$C$2</f>
        <v>20018</v>
      </c>
      <c r="C45" s="83" t="str">
        <f ca="1">VLOOKUP($B45,OFFSET([2]quests!$A$1,0,0,COUNTA([2]quests!$A:$A),MATCH(C$1,[2]quests!$1:$1,0)-MATCH($B$1,[2]quests!$1:$1,0)+1),MATCH(C$1,[2]quests!$1:$1,0)-MATCH($B$1,[2]quests!$1:$1,0)+1,FALSE)</f>
        <v>魂を屠る黒影</v>
      </c>
      <c r="D45" s="83" t="str">
        <f ca="1">VLOOKUP($B45,OFFSET([2]quests!$A$1,0,0,COUNTA([2]quests!$A:$A),MATCH(D$1,[2]quests!$1:$1,0)-MATCH($B$1,[2]quests!$1:$1,0)+1),MATCH(D$1,[2]quests!$1:$1,0)-MATCH($B$1,[2]quests!$1:$1,0)+1,FALSE)</f>
        <v>エジプト01</v>
      </c>
      <c r="E45" s="87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【中級】魂を屠る黒影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エジプト01</v>
      </c>
      <c r="H45" s="85">
        <v>0</v>
      </c>
      <c r="I45">
        <v>22</v>
      </c>
      <c r="J45" s="84" t="s">
        <v>198</v>
      </c>
      <c r="K45" s="93" t="str">
        <f>VLOOKUP(I45,[6]stage_hints!$A:$C,3,FALSE)</f>
        <v>フィーバーで一発逆転（その1）</v>
      </c>
      <c r="L45" s="94" t="str">
        <f>VLOOKUP(I45,[6]stage_hints!$A:$D,4,FALSE)</f>
        <v>フィーバーは攻撃と回復を兼ね備えます_x000D_ピンチからの一発逆転を狙いましょう</v>
      </c>
      <c r="M45" s="57" t="s">
        <v>211</v>
      </c>
    </row>
    <row r="46" spans="1:13" x14ac:dyDescent="0.15">
      <c r="A46" s="81" t="s">
        <v>201</v>
      </c>
      <c r="B46" s="82">
        <f>floors!$C$2</f>
        <v>20018</v>
      </c>
      <c r="C46" s="83" t="str">
        <f ca="1">VLOOKUP($B46,OFFSET([2]quests!$A$1,0,0,COUNTA([2]quests!$A:$A),MATCH(C$1,[2]quests!$1:$1,0)-MATCH($B$1,[2]quests!$1:$1,0)+1),MATCH(C$1,[2]quests!$1:$1,0)-MATCH($B$1,[2]quests!$1:$1,0)+1,FALSE)</f>
        <v>魂を屠る黒影</v>
      </c>
      <c r="D46" s="83" t="str">
        <f ca="1">VLOOKUP($B46,OFFSET([2]quests!$A$1,0,0,COUNTA([2]quests!$A:$A),MATCH(D$1,[2]quests!$1:$1,0)-MATCH($B$1,[2]quests!$1:$1,0)+1),MATCH(D$1,[2]quests!$1:$1,0)-MATCH($B$1,[2]quests!$1:$1,0)+1,FALSE)</f>
        <v>エジプト01</v>
      </c>
      <c r="E46" s="87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【中級】魂を屠る黒影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エジプト01</v>
      </c>
      <c r="H46" s="85">
        <v>0</v>
      </c>
      <c r="I46">
        <v>23</v>
      </c>
      <c r="J46" s="84" t="s">
        <v>198</v>
      </c>
      <c r="K46" s="93" t="str">
        <f>VLOOKUP(I46,[6]stage_hints!$A:$C,3,FALSE)</f>
        <v>フィーバーで一発逆転（その2）</v>
      </c>
      <c r="L46" s="94" t="str">
        <f>VLOOKUP(I46,[6]stage_hints!$A:$D,4,FALSE)</f>
        <v>フィーバー中は虹色のボムパネルを狙って_x000D_画面上のパネルを一気に破壊しましょう</v>
      </c>
      <c r="M46" s="57" t="s">
        <v>211</v>
      </c>
    </row>
    <row r="47" spans="1:13" x14ac:dyDescent="0.15">
      <c r="A47" s="81" t="s">
        <v>201</v>
      </c>
      <c r="B47" s="82">
        <f>floors!$C$2</f>
        <v>20018</v>
      </c>
      <c r="C47" s="83" t="str">
        <f ca="1">VLOOKUP($B47,OFFSET([2]quests!$A$1,0,0,COUNTA([2]quests!$A:$A),MATCH(C$1,[2]quests!$1:$1,0)-MATCH($B$1,[2]quests!$1:$1,0)+1),MATCH(C$1,[2]quests!$1:$1,0)-MATCH($B$1,[2]quests!$1:$1,0)+1,FALSE)</f>
        <v>魂を屠る黒影</v>
      </c>
      <c r="D47" s="83" t="str">
        <f ca="1">VLOOKUP($B47,OFFSET([2]quests!$A$1,0,0,COUNTA([2]quests!$A:$A),MATCH(D$1,[2]quests!$1:$1,0)-MATCH($B$1,[2]quests!$1:$1,0)+1),MATCH(D$1,[2]quests!$1:$1,0)-MATCH($B$1,[2]quests!$1:$1,0)+1,FALSE)</f>
        <v>エジプト01</v>
      </c>
      <c r="E47" s="87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【中級】魂を屠る黒影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エジプト01</v>
      </c>
      <c r="H47" s="85">
        <v>0</v>
      </c>
      <c r="I47">
        <v>24</v>
      </c>
      <c r="J47" s="84" t="s">
        <v>198</v>
      </c>
      <c r="K47" s="93" t="str">
        <f>VLOOKUP(I47,[6]stage_hints!$A:$C,3,FALSE)</f>
        <v>果実を使って限界突破</v>
      </c>
      <c r="L47" s="94" t="str">
        <f>VLOOKUP(I47,[6]stage_hints!$A:$D,4,FALSE)</f>
        <v>攻めの果実 癒しの果実_x000D_生命の果実をユニット強化に使うと_x000D_ステータスが限界突破します（計99個迄）</v>
      </c>
      <c r="M47" s="57" t="s">
        <v>211</v>
      </c>
    </row>
    <row r="48" spans="1:13" x14ac:dyDescent="0.15">
      <c r="A48" s="81" t="s">
        <v>201</v>
      </c>
      <c r="B48" s="82">
        <f>floors!$C$2</f>
        <v>20018</v>
      </c>
      <c r="C48" s="83" t="str">
        <f ca="1">VLOOKUP($B48,OFFSET([2]quests!$A$1,0,0,COUNTA([2]quests!$A:$A),MATCH(C$1,[2]quests!$1:$1,0)-MATCH($B$1,[2]quests!$1:$1,0)+1),MATCH(C$1,[2]quests!$1:$1,0)-MATCH($B$1,[2]quests!$1:$1,0)+1,FALSE)</f>
        <v>魂を屠る黒影</v>
      </c>
      <c r="D48" s="83" t="str">
        <f ca="1">VLOOKUP($B48,OFFSET([2]quests!$A$1,0,0,COUNTA([2]quests!$A:$A),MATCH(D$1,[2]quests!$1:$1,0)-MATCH($B$1,[2]quests!$1:$1,0)+1),MATCH(D$1,[2]quests!$1:$1,0)-MATCH($B$1,[2]quests!$1:$1,0)+1,FALSE)</f>
        <v>エジプト01</v>
      </c>
      <c r="E48" s="87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【中級】魂を屠る黒影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エジプト01</v>
      </c>
      <c r="H48" s="85">
        <v>0</v>
      </c>
      <c r="I48">
        <v>25</v>
      </c>
      <c r="J48" s="84" t="s">
        <v>198</v>
      </c>
      <c r="K48" s="93" t="str">
        <f>VLOOKUP(I48,[6]stage_hints!$A:$C,3,FALSE)</f>
        <v>スキルレベルアップ</v>
      </c>
      <c r="L48" s="94" t="str">
        <f>VLOOKUP(I48,[6]stage_hints!$A:$D,4,FALSE)</f>
        <v>「秘術の果実」を強化に使うと_x000D_スキルレベルを上げることができます</v>
      </c>
      <c r="M48" s="57" t="s">
        <v>211</v>
      </c>
    </row>
    <row r="49" spans="1:13" x14ac:dyDescent="0.15">
      <c r="A49" s="81" t="s">
        <v>201</v>
      </c>
      <c r="B49" s="82">
        <f>floors!$C$2</f>
        <v>20018</v>
      </c>
      <c r="C49" s="83" t="str">
        <f ca="1">VLOOKUP($B49,OFFSET([2]quests!$A$1,0,0,COUNTA([2]quests!$A:$A),MATCH(C$1,[2]quests!$1:$1,0)-MATCH($B$1,[2]quests!$1:$1,0)+1),MATCH(C$1,[2]quests!$1:$1,0)-MATCH($B$1,[2]quests!$1:$1,0)+1,FALSE)</f>
        <v>魂を屠る黒影</v>
      </c>
      <c r="D49" s="83" t="str">
        <f ca="1">VLOOKUP($B49,OFFSET([2]quests!$A$1,0,0,COUNTA([2]quests!$A:$A),MATCH(D$1,[2]quests!$1:$1,0)-MATCH($B$1,[2]quests!$1:$1,0)+1),MATCH(D$1,[2]quests!$1:$1,0)-MATCH($B$1,[2]quests!$1:$1,0)+1,FALSE)</f>
        <v>エジプト01</v>
      </c>
      <c r="E49" s="87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【中級】魂を屠る黒影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エジプト01</v>
      </c>
      <c r="H49" s="85">
        <v>0</v>
      </c>
      <c r="I49">
        <v>26</v>
      </c>
      <c r="J49" s="84" t="s">
        <v>198</v>
      </c>
      <c r="K49" s="93" t="str">
        <f>VLOOKUP(I49,[6]stage_hints!$A:$C,3,FALSE)</f>
        <v>スキルレベルの効果</v>
      </c>
      <c r="L49" s="94" t="str">
        <f>VLOOKUP(I49,[6]stage_hints!$A:$D,4,FALSE)</f>
        <v>スキルレベルが上がると_x000D_短いターンでスキルを使うことができます</v>
      </c>
      <c r="M49" s="57" t="s">
        <v>211</v>
      </c>
    </row>
    <row r="50" spans="1:13" x14ac:dyDescent="0.15">
      <c r="A50" s="81" t="s">
        <v>201</v>
      </c>
      <c r="B50" s="82">
        <f>floors!$C$2</f>
        <v>20018</v>
      </c>
      <c r="C50" s="83" t="str">
        <f ca="1">VLOOKUP($B50,OFFSET([2]quests!$A$1,0,0,COUNTA([2]quests!$A:$A),MATCH(C$1,[2]quests!$1:$1,0)-MATCH($B$1,[2]quests!$1:$1,0)+1),MATCH(C$1,[2]quests!$1:$1,0)-MATCH($B$1,[2]quests!$1:$1,0)+1,FALSE)</f>
        <v>魂を屠る黒影</v>
      </c>
      <c r="D50" s="83" t="str">
        <f ca="1">VLOOKUP($B50,OFFSET([2]quests!$A$1,0,0,COUNTA([2]quests!$A:$A),MATCH(D$1,[2]quests!$1:$1,0)-MATCH($B$1,[2]quests!$1:$1,0)+1),MATCH(D$1,[2]quests!$1:$1,0)-MATCH($B$1,[2]quests!$1:$1,0)+1,FALSE)</f>
        <v>エジプト01</v>
      </c>
      <c r="E50" s="87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【中級】魂を屠る黒影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エジプト01</v>
      </c>
      <c r="H50" s="85">
        <v>0</v>
      </c>
      <c r="I50">
        <v>27</v>
      </c>
      <c r="J50" s="84" t="s">
        <v>198</v>
      </c>
      <c r="K50" s="93" t="str">
        <f>VLOOKUP(I50,[6]stage_hints!$A:$C,3,FALSE)</f>
        <v>ホーム画面からデッキを編成</v>
      </c>
      <c r="L50" s="94" t="str">
        <f>VLOOKUP(I50,[6]stage_hints!$A:$D,4,FALSE)</f>
        <v>ホーム画面でユニットを長押しすると_x000D_すぐにパーティ編成に移動できます</v>
      </c>
      <c r="M50" s="57" t="s">
        <v>211</v>
      </c>
    </row>
    <row r="51" spans="1:13" x14ac:dyDescent="0.15">
      <c r="A51" s="81" t="s">
        <v>201</v>
      </c>
      <c r="B51" s="82">
        <f>floors!$C$2</f>
        <v>20018</v>
      </c>
      <c r="C51" s="83" t="str">
        <f ca="1">VLOOKUP($B51,OFFSET([2]quests!$A$1,0,0,COUNTA([2]quests!$A:$A),MATCH(C$1,[2]quests!$1:$1,0)-MATCH($B$1,[2]quests!$1:$1,0)+1),MATCH(C$1,[2]quests!$1:$1,0)-MATCH($B$1,[2]quests!$1:$1,0)+1,FALSE)</f>
        <v>魂を屠る黒影</v>
      </c>
      <c r="D51" s="83" t="str">
        <f ca="1">VLOOKUP($B51,OFFSET([2]quests!$A$1,0,0,COUNTA([2]quests!$A:$A),MATCH(D$1,[2]quests!$1:$1,0)-MATCH($B$1,[2]quests!$1:$1,0)+1),MATCH(D$1,[2]quests!$1:$1,0)-MATCH($B$1,[2]quests!$1:$1,0)+1,FALSE)</f>
        <v>エジプト01</v>
      </c>
      <c r="E51" s="87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【中級】魂を屠る黒影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エジプト01</v>
      </c>
      <c r="H51" s="85">
        <v>0</v>
      </c>
      <c r="I51">
        <v>28</v>
      </c>
      <c r="J51" s="84" t="s">
        <v>198</v>
      </c>
      <c r="K51" s="93" t="str">
        <f>VLOOKUP(I51,[6]stage_hints!$A:$C,3,FALSE)</f>
        <v>ステータス情報は長押しで</v>
      </c>
      <c r="L51" s="94" t="str">
        <f>VLOOKUP(I51,[6]stage_hints!$A:$D,4,FALSE)</f>
        <v>ユニットのアイコンを長押しすると_x000D_ステータス情報を確認することができます</v>
      </c>
      <c r="M51" s="57" t="s">
        <v>211</v>
      </c>
    </row>
    <row r="52" spans="1:13" x14ac:dyDescent="0.15">
      <c r="A52" s="81" t="s">
        <v>201</v>
      </c>
      <c r="B52" s="82">
        <f>floors!$C$2</f>
        <v>20018</v>
      </c>
      <c r="C52" s="83" t="str">
        <f ca="1">VLOOKUP($B52,OFFSET([2]quests!$A$1,0,0,COUNTA([2]quests!$A:$A),MATCH(C$1,[2]quests!$1:$1,0)-MATCH($B$1,[2]quests!$1:$1,0)+1),MATCH(C$1,[2]quests!$1:$1,0)-MATCH($B$1,[2]quests!$1:$1,0)+1,FALSE)</f>
        <v>魂を屠る黒影</v>
      </c>
      <c r="D52" s="83" t="str">
        <f ca="1">VLOOKUP($B52,OFFSET([2]quests!$A$1,0,0,COUNTA([2]quests!$A:$A),MATCH(D$1,[2]quests!$1:$1,0)-MATCH($B$1,[2]quests!$1:$1,0)+1),MATCH(D$1,[2]quests!$1:$1,0)-MATCH($B$1,[2]quests!$1:$1,0)+1,FALSE)</f>
        <v>エジプト01</v>
      </c>
      <c r="E52" s="87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【中級】魂を屠る黒影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エジプト01</v>
      </c>
      <c r="H52" s="85">
        <v>0</v>
      </c>
      <c r="I52">
        <v>29</v>
      </c>
      <c r="J52" s="84" t="s">
        <v>198</v>
      </c>
      <c r="K52" s="93" t="str">
        <f>VLOOKUP(I52,[6]stage_hints!$A:$C,3,FALSE)</f>
        <v>「バグ」のメリット</v>
      </c>
      <c r="L52" s="94" t="str">
        <f>VLOOKUP(I52,[6]stage_hints!$A:$D,4,FALSE)</f>
        <v>ユニットの「バグ」を増やすと_x000D_報酬をもらえる確率がアップします</v>
      </c>
      <c r="M52" s="57" t="s">
        <v>211</v>
      </c>
    </row>
    <row r="53" spans="1:13" x14ac:dyDescent="0.15">
      <c r="A53" s="81" t="s">
        <v>201</v>
      </c>
      <c r="B53" s="82">
        <f>floors!$C$2</f>
        <v>20018</v>
      </c>
      <c r="C53" s="83" t="str">
        <f ca="1">VLOOKUP($B53,OFFSET([2]quests!$A$1,0,0,COUNTA([2]quests!$A:$A),MATCH(C$1,[2]quests!$1:$1,0)-MATCH($B$1,[2]quests!$1:$1,0)+1),MATCH(C$1,[2]quests!$1:$1,0)-MATCH($B$1,[2]quests!$1:$1,0)+1,FALSE)</f>
        <v>魂を屠る黒影</v>
      </c>
      <c r="D53" s="83" t="str">
        <f ca="1">VLOOKUP($B53,OFFSET([2]quests!$A$1,0,0,COUNTA([2]quests!$A:$A),MATCH(D$1,[2]quests!$1:$1,0)-MATCH($B$1,[2]quests!$1:$1,0)+1),MATCH(D$1,[2]quests!$1:$1,0)-MATCH($B$1,[2]quests!$1:$1,0)+1,FALSE)</f>
        <v>エジプト01</v>
      </c>
      <c r="E53" s="87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【中級】魂を屠る黒影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エジプト01</v>
      </c>
      <c r="H53" s="85">
        <v>0</v>
      </c>
      <c r="I53">
        <v>30</v>
      </c>
      <c r="J53" s="84" t="s">
        <v>198</v>
      </c>
      <c r="K53" s="93" t="str">
        <f>VLOOKUP(I53,[6]stage_hints!$A:$C,3,FALSE)</f>
        <v>「バグ」の増やし方</v>
      </c>
      <c r="L53" s="94" t="str">
        <f>VLOOKUP(I53,[6]stage_hints!$A:$D,4,FALSE)</f>
        <v>同じユニット同士を強化で合成すると_x000D_「バグ」を増やすことができます</v>
      </c>
      <c r="M53" s="57" t="s">
        <v>211</v>
      </c>
    </row>
    <row r="54" spans="1:13" x14ac:dyDescent="0.15">
      <c r="A54" s="81" t="s">
        <v>201</v>
      </c>
      <c r="B54" s="82">
        <f>floors!$C$2</f>
        <v>20018</v>
      </c>
      <c r="C54" s="83" t="str">
        <f ca="1">VLOOKUP($B54,OFFSET([2]quests!$A$1,0,0,COUNTA([2]quests!$A:$A),MATCH(C$1,[2]quests!$1:$1,0)-MATCH($B$1,[2]quests!$1:$1,0)+1),MATCH(C$1,[2]quests!$1:$1,0)-MATCH($B$1,[2]quests!$1:$1,0)+1,FALSE)</f>
        <v>魂を屠る黒影</v>
      </c>
      <c r="D54" s="83" t="str">
        <f ca="1">VLOOKUP($B54,OFFSET([2]quests!$A$1,0,0,COUNTA([2]quests!$A:$A),MATCH(D$1,[2]quests!$1:$1,0)-MATCH($B$1,[2]quests!$1:$1,0)+1),MATCH(D$1,[2]quests!$1:$1,0)-MATCH($B$1,[2]quests!$1:$1,0)+1,FALSE)</f>
        <v>エジプト01</v>
      </c>
      <c r="E54" s="87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【中級】魂を屠る黒影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エジプト01</v>
      </c>
      <c r="H54" s="85">
        <v>0</v>
      </c>
      <c r="I54">
        <v>31</v>
      </c>
      <c r="J54" s="84" t="s">
        <v>198</v>
      </c>
      <c r="K54" s="93" t="str">
        <f>VLOOKUP(I54,[6]stage_hints!$A:$C,3,FALSE)</f>
        <v>イベントはお知らせでチェック</v>
      </c>
      <c r="L54" s="94" t="str">
        <f>VLOOKUP(I54,[6]stage_hints!$A:$D,4,FALSE)</f>
        <v>イベント限定ユニットを取り忘れないように_x000D_お知らせをこまめにチェックしましょう</v>
      </c>
      <c r="M54" s="57" t="s">
        <v>211</v>
      </c>
    </row>
    <row r="55" spans="1:13" x14ac:dyDescent="0.15">
      <c r="A55" s="81" t="s">
        <v>201</v>
      </c>
      <c r="B55" s="82">
        <f>floors!$C$2</f>
        <v>20018</v>
      </c>
      <c r="C55" s="83" t="str">
        <f ca="1">VLOOKUP($B55,OFFSET([2]quests!$A$1,0,0,COUNTA([2]quests!$A:$A),MATCH(C$1,[2]quests!$1:$1,0)-MATCH($B$1,[2]quests!$1:$1,0)+1),MATCH(C$1,[2]quests!$1:$1,0)-MATCH($B$1,[2]quests!$1:$1,0)+1,FALSE)</f>
        <v>魂を屠る黒影</v>
      </c>
      <c r="D55" s="83" t="str">
        <f ca="1">VLOOKUP($B55,OFFSET([2]quests!$A$1,0,0,COUNTA([2]quests!$A:$A),MATCH(D$1,[2]quests!$1:$1,0)-MATCH($B$1,[2]quests!$1:$1,0)+1),MATCH(D$1,[2]quests!$1:$1,0)-MATCH($B$1,[2]quests!$1:$1,0)+1,FALSE)</f>
        <v>エジプト01</v>
      </c>
      <c r="E55" s="87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【中級】魂を屠る黒影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エジプト01</v>
      </c>
      <c r="H55" s="85">
        <v>0</v>
      </c>
      <c r="I55">
        <v>32</v>
      </c>
      <c r="J55" s="84" t="s">
        <v>198</v>
      </c>
      <c r="K55" s="93" t="str">
        <f>VLOOKUP(I55,[6]stage_hints!$A:$C,3,FALSE)</f>
        <v>敵の連続攻撃には</v>
      </c>
      <c r="L55" s="94" t="str">
        <f>VLOOKUP(I55,[6]stage_hints!$A:$D,4,FALSE)</f>
        <v>カウンタースキルを持つユニットがいれば_x000D_ダメージ回数分の反撃ができます</v>
      </c>
      <c r="M55" s="57" t="s">
        <v>211</v>
      </c>
    </row>
    <row r="56" spans="1:13" x14ac:dyDescent="0.15">
      <c r="A56" s="81" t="s">
        <v>201</v>
      </c>
      <c r="B56" s="82">
        <f>floors!$C$2</f>
        <v>20018</v>
      </c>
      <c r="C56" s="83" t="str">
        <f ca="1">VLOOKUP($B56,OFFSET([2]quests!$A$1,0,0,COUNTA([2]quests!$A:$A),MATCH(C$1,[2]quests!$1:$1,0)-MATCH($B$1,[2]quests!$1:$1,0)+1),MATCH(C$1,[2]quests!$1:$1,0)-MATCH($B$1,[2]quests!$1:$1,0)+1,FALSE)</f>
        <v>魂を屠る黒影</v>
      </c>
      <c r="D56" s="83" t="str">
        <f ca="1">VLOOKUP($B56,OFFSET([2]quests!$A$1,0,0,COUNTA([2]quests!$A:$A),MATCH(D$1,[2]quests!$1:$1,0)-MATCH($B$1,[2]quests!$1:$1,0)+1),MATCH(D$1,[2]quests!$1:$1,0)-MATCH($B$1,[2]quests!$1:$1,0)+1,FALSE)</f>
        <v>エジプト01</v>
      </c>
      <c r="E56" s="87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【中級】魂を屠る黒影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エジプト01</v>
      </c>
      <c r="H56" s="85">
        <v>0</v>
      </c>
      <c r="I56">
        <v>33</v>
      </c>
      <c r="J56" s="84" t="s">
        <v>198</v>
      </c>
      <c r="K56" s="93" t="str">
        <f>VLOOKUP(I56,[6]stage_hints!$A:$C,3,FALSE)</f>
        <v>敵のカウンター攻撃には</v>
      </c>
      <c r="L56" s="94" t="str">
        <f>VLOOKUP(I56,[6]stage_hints!$A:$D,4,FALSE)</f>
        <v>カウンターブレイクスキルを持っていれば_x000D_敵のカウンターを解除して攻撃ができます</v>
      </c>
      <c r="M56" s="57" t="s">
        <v>211</v>
      </c>
    </row>
    <row r="57" spans="1:13" x14ac:dyDescent="0.15">
      <c r="A57" s="81" t="s">
        <v>201</v>
      </c>
      <c r="B57" s="82">
        <f>floors!$C$2</f>
        <v>20018</v>
      </c>
      <c r="C57" s="83" t="str">
        <f ca="1">VLOOKUP($B57,OFFSET([2]quests!$A$1,0,0,COUNTA([2]quests!$A:$A),MATCH(C$1,[2]quests!$1:$1,0)-MATCH($B$1,[2]quests!$1:$1,0)+1),MATCH(C$1,[2]quests!$1:$1,0)-MATCH($B$1,[2]quests!$1:$1,0)+1,FALSE)</f>
        <v>魂を屠る黒影</v>
      </c>
      <c r="D57" s="83" t="str">
        <f ca="1">VLOOKUP($B57,OFFSET([2]quests!$A$1,0,0,COUNTA([2]quests!$A:$A),MATCH(D$1,[2]quests!$1:$1,0)-MATCH($B$1,[2]quests!$1:$1,0)+1),MATCH(D$1,[2]quests!$1:$1,0)-MATCH($B$1,[2]quests!$1:$1,0)+1,FALSE)</f>
        <v>エジプト01</v>
      </c>
      <c r="E57" s="87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【中級】魂を屠る黒影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エジプト01</v>
      </c>
      <c r="H57" s="85">
        <v>0</v>
      </c>
      <c r="I57">
        <v>34</v>
      </c>
      <c r="J57" s="84" t="s">
        <v>198</v>
      </c>
      <c r="K57" s="93" t="str">
        <f>VLOOKUP(I57,[6]stage_hints!$A:$C,3,FALSE)</f>
        <v>ステータスをスキルで下げられたら</v>
      </c>
      <c r="L57" s="94" t="str">
        <f>VLOOKUP(I57,[6]stage_hints!$A:$D,4,FALSE)</f>
        <v>ステータスダウンのスキルを受けたら_x000D_ステータスアップスキルで上書きしましょう</v>
      </c>
      <c r="M57" s="57" t="s">
        <v>211</v>
      </c>
    </row>
    <row r="58" spans="1:13" x14ac:dyDescent="0.15">
      <c r="A58" s="81" t="s">
        <v>201</v>
      </c>
      <c r="B58" s="82">
        <f>floors!$C$2</f>
        <v>20018</v>
      </c>
      <c r="C58" s="83" t="str">
        <f ca="1">VLOOKUP($B58,OFFSET([2]quests!$A$1,0,0,COUNTA([2]quests!$A:$A),MATCH(C$1,[2]quests!$1:$1,0)-MATCH($B$1,[2]quests!$1:$1,0)+1),MATCH(C$1,[2]quests!$1:$1,0)-MATCH($B$1,[2]quests!$1:$1,0)+1,FALSE)</f>
        <v>魂を屠る黒影</v>
      </c>
      <c r="D58" s="83" t="str">
        <f ca="1">VLOOKUP($B58,OFFSET([2]quests!$A$1,0,0,COUNTA([2]quests!$A:$A),MATCH(D$1,[2]quests!$1:$1,0)-MATCH($B$1,[2]quests!$1:$1,0)+1),MATCH(D$1,[2]quests!$1:$1,0)-MATCH($B$1,[2]quests!$1:$1,0)+1,FALSE)</f>
        <v>エジプト01</v>
      </c>
      <c r="E58" s="87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【中級】魂を屠る黒影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エジプト01</v>
      </c>
      <c r="H58" s="85">
        <v>0</v>
      </c>
      <c r="I58">
        <v>35</v>
      </c>
      <c r="J58" s="84" t="s">
        <v>198</v>
      </c>
      <c r="K58" s="93" t="str">
        <f>VLOOKUP(I58,[6]stage_hints!$A:$C,3,FALSE)</f>
        <v>敵のステータスがスキルで上がったら</v>
      </c>
      <c r="L58" s="94" t="str">
        <f>VLOOKUP(I58,[6]stage_hints!$A:$D,4,FALSE)</f>
        <v>敵のステータスがスキルでアップしたときは_x000D_ステータスダウンスキルで上書きしましょう</v>
      </c>
      <c r="M58" s="57" t="s">
        <v>211</v>
      </c>
    </row>
    <row r="59" spans="1:13" x14ac:dyDescent="0.15">
      <c r="A59" s="81" t="s">
        <v>201</v>
      </c>
      <c r="B59" s="82">
        <f>floors!$C$2</f>
        <v>20018</v>
      </c>
      <c r="C59" s="83" t="str">
        <f ca="1">VLOOKUP($B59,OFFSET([2]quests!$A$1,0,0,COUNTA([2]quests!$A:$A),MATCH(C$1,[2]quests!$1:$1,0)-MATCH($B$1,[2]quests!$1:$1,0)+1),MATCH(C$1,[2]quests!$1:$1,0)-MATCH($B$1,[2]quests!$1:$1,0)+1,FALSE)</f>
        <v>魂を屠る黒影</v>
      </c>
      <c r="D59" s="83" t="str">
        <f ca="1">VLOOKUP($B59,OFFSET([2]quests!$A$1,0,0,COUNTA([2]quests!$A:$A),MATCH(D$1,[2]quests!$1:$1,0)-MATCH($B$1,[2]quests!$1:$1,0)+1),MATCH(D$1,[2]quests!$1:$1,0)-MATCH($B$1,[2]quests!$1:$1,0)+1,FALSE)</f>
        <v>エジプト01</v>
      </c>
      <c r="E59" s="87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【中級】魂を屠る黒影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エジプト01</v>
      </c>
      <c r="H59" s="85">
        <v>0</v>
      </c>
      <c r="I59">
        <v>39</v>
      </c>
      <c r="J59" s="84" t="s">
        <v>198</v>
      </c>
      <c r="K59" s="93" t="str">
        <f>VLOOKUP(I59,[6]stage_hints!$A:$C,3,FALSE)</f>
        <v>システム適合者を確認</v>
      </c>
      <c r="L59" s="94" t="str">
        <f>VLOOKUP(I59,[6]stage_hints!$A:$D,4,FALSE)</f>
        <v>ALICEが 「アナタ」を呼んでいます</v>
      </c>
      <c r="M59" s="57" t="s">
        <v>211</v>
      </c>
    </row>
    <row r="60" spans="1:13" x14ac:dyDescent="0.15">
      <c r="A60" s="81" t="s">
        <v>201</v>
      </c>
      <c r="B60" s="82">
        <f>floors!$C$2</f>
        <v>20018</v>
      </c>
      <c r="C60" s="83" t="str">
        <f ca="1">VLOOKUP($B60,OFFSET([2]quests!$A$1,0,0,COUNTA([2]quests!$A:$A),MATCH(C$1,[2]quests!$1:$1,0)-MATCH($B$1,[2]quests!$1:$1,0)+1),MATCH(C$1,[2]quests!$1:$1,0)-MATCH($B$1,[2]quests!$1:$1,0)+1,FALSE)</f>
        <v>魂を屠る黒影</v>
      </c>
      <c r="D60" s="83" t="str">
        <f ca="1">VLOOKUP($B60,OFFSET([2]quests!$A$1,0,0,COUNTA([2]quests!$A:$A),MATCH(D$1,[2]quests!$1:$1,0)-MATCH($B$1,[2]quests!$1:$1,0)+1),MATCH(D$1,[2]quests!$1:$1,0)-MATCH($B$1,[2]quests!$1:$1,0)+1,FALSE)</f>
        <v>エジプト01</v>
      </c>
      <c r="E60" s="87">
        <v>3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【上級】魂を屠る黒影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エジプト01</v>
      </c>
      <c r="H60" s="85">
        <v>0</v>
      </c>
      <c r="I60" s="96">
        <v>3</v>
      </c>
      <c r="J60" s="84" t="s">
        <v>198</v>
      </c>
      <c r="K60" s="93" t="str">
        <f>VLOOKUP(I60,[6]stage_hints!$A:$C,3,FALSE)</f>
        <v>ターゲット</v>
      </c>
      <c r="L60" s="94" t="str">
        <f>VLOOKUP(I60,[6]stage_hints!$A:$D,4,FALSE)</f>
        <v>敵ユニットをタップすると_x000D_その敵を狙い撃ちできます</v>
      </c>
      <c r="M60" s="57" t="s">
        <v>211</v>
      </c>
    </row>
    <row r="61" spans="1:13" x14ac:dyDescent="0.15">
      <c r="A61" s="81" t="s">
        <v>201</v>
      </c>
      <c r="B61" s="82">
        <f>floors!$C$2</f>
        <v>20018</v>
      </c>
      <c r="C61" s="83" t="str">
        <f ca="1">VLOOKUP($B61,OFFSET([2]quests!$A$1,0,0,COUNTA([2]quests!$A:$A),MATCH(C$1,[2]quests!$1:$1,0)-MATCH($B$1,[2]quests!$1:$1,0)+1),MATCH(C$1,[2]quests!$1:$1,0)-MATCH($B$1,[2]quests!$1:$1,0)+1,FALSE)</f>
        <v>魂を屠る黒影</v>
      </c>
      <c r="D61" s="83" t="str">
        <f ca="1">VLOOKUP($B61,OFFSET([2]quests!$A$1,0,0,COUNTA([2]quests!$A:$A),MATCH(D$1,[2]quests!$1:$1,0)-MATCH($B$1,[2]quests!$1:$1,0)+1),MATCH(D$1,[2]quests!$1:$1,0)-MATCH($B$1,[2]quests!$1:$1,0)+1,FALSE)</f>
        <v>エジプト01</v>
      </c>
      <c r="E61" s="87">
        <v>3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【上級】魂を屠る黒影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エジプト01</v>
      </c>
      <c r="H61" s="85">
        <v>0</v>
      </c>
      <c r="I61" s="96">
        <v>6</v>
      </c>
      <c r="J61" s="84" t="s">
        <v>198</v>
      </c>
      <c r="K61" s="93" t="str">
        <f>VLOOKUP(I61,[6]stage_hints!$A:$C,3,FALSE)</f>
        <v>ユニット強化の属性ボーナス</v>
      </c>
      <c r="L61" s="94" t="str">
        <f>VLOOKUP(I61,[6]stage_hints!$A:$D,4,FALSE)</f>
        <v>同属性ユニットを強化素材にすると_x000D_経験値が多くもらえます</v>
      </c>
      <c r="M61" s="57" t="s">
        <v>211</v>
      </c>
    </row>
    <row r="62" spans="1:13" x14ac:dyDescent="0.15">
      <c r="A62" s="81" t="s">
        <v>201</v>
      </c>
      <c r="B62" s="82">
        <f>floors!$C$2</f>
        <v>20018</v>
      </c>
      <c r="C62" s="83" t="str">
        <f ca="1">VLOOKUP($B62,OFFSET([2]quests!$A$1,0,0,COUNTA([2]quests!$A:$A),MATCH(C$1,[2]quests!$1:$1,0)-MATCH($B$1,[2]quests!$1:$1,0)+1),MATCH(C$1,[2]quests!$1:$1,0)-MATCH($B$1,[2]quests!$1:$1,0)+1,FALSE)</f>
        <v>魂を屠る黒影</v>
      </c>
      <c r="D62" s="83" t="str">
        <f ca="1">VLOOKUP($B62,OFFSET([2]quests!$A$1,0,0,COUNTA([2]quests!$A:$A),MATCH(D$1,[2]quests!$1:$1,0)-MATCH($B$1,[2]quests!$1:$1,0)+1),MATCH(D$1,[2]quests!$1:$1,0)-MATCH($B$1,[2]quests!$1:$1,0)+1,FALSE)</f>
        <v>エジプト01</v>
      </c>
      <c r="E62" s="87">
        <v>3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【上級】魂を屠る黒影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エジプト01</v>
      </c>
      <c r="H62" s="85">
        <v>0</v>
      </c>
      <c r="I62" s="96">
        <v>7</v>
      </c>
      <c r="J62" s="84" t="s">
        <v>198</v>
      </c>
      <c r="K62" s="93" t="str">
        <f>VLOOKUP(I62,[6]stage_hints!$A:$C,3,FALSE)</f>
        <v>メタルダックで経験値を獲得</v>
      </c>
      <c r="L62" s="94" t="str">
        <f>VLOOKUP(I62,[6]stage_hints!$A:$D,4,FALSE)</f>
        <v>「メタルなアヒル」を強化素材にすると_x000D_大量の経験値がもらえます</v>
      </c>
      <c r="M62" s="57" t="s">
        <v>211</v>
      </c>
    </row>
    <row r="63" spans="1:13" x14ac:dyDescent="0.15">
      <c r="A63" s="81" t="s">
        <v>201</v>
      </c>
      <c r="B63" s="82">
        <f>floors!$C$2</f>
        <v>20018</v>
      </c>
      <c r="C63" s="83" t="str">
        <f ca="1">VLOOKUP($B63,OFFSET([2]quests!$A$1,0,0,COUNTA([2]quests!$A:$A),MATCH(C$1,[2]quests!$1:$1,0)-MATCH($B$1,[2]quests!$1:$1,0)+1),MATCH(C$1,[2]quests!$1:$1,0)-MATCH($B$1,[2]quests!$1:$1,0)+1,FALSE)</f>
        <v>魂を屠る黒影</v>
      </c>
      <c r="D63" s="83" t="str">
        <f ca="1">VLOOKUP($B63,OFFSET([2]quests!$A$1,0,0,COUNTA([2]quests!$A:$A),MATCH(D$1,[2]quests!$1:$1,0)-MATCH($B$1,[2]quests!$1:$1,0)+1),MATCH(D$1,[2]quests!$1:$1,0)-MATCH($B$1,[2]quests!$1:$1,0)+1,FALSE)</f>
        <v>エジプト01</v>
      </c>
      <c r="E63" s="87">
        <v>3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【上級】魂を屠る黒影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エジプト01</v>
      </c>
      <c r="H63" s="85">
        <v>0</v>
      </c>
      <c r="I63" s="96">
        <v>8</v>
      </c>
      <c r="J63" s="84" t="s">
        <v>198</v>
      </c>
      <c r="K63" s="93" t="str">
        <f>VLOOKUP(I63,[6]stage_hints!$A:$C,3,FALSE)</f>
        <v>ゲリラクエストは要チェック</v>
      </c>
      <c r="L63" s="94" t="str">
        <f>VLOOKUP(I63,[6]stage_hints!$A:$D,4,FALSE)</f>
        <v>時間限定の「アヒル捕獲作戦」では_x000D_経験値素材ユニットが多く手に入ります</v>
      </c>
      <c r="M63" s="57" t="s">
        <v>211</v>
      </c>
    </row>
    <row r="64" spans="1:13" x14ac:dyDescent="0.15">
      <c r="A64" s="81" t="s">
        <v>201</v>
      </c>
      <c r="B64" s="82">
        <f>floors!$C$2</f>
        <v>20018</v>
      </c>
      <c r="C64" s="83" t="str">
        <f ca="1">VLOOKUP($B64,OFFSET([2]quests!$A$1,0,0,COUNTA([2]quests!$A:$A),MATCH(C$1,[2]quests!$1:$1,0)-MATCH($B$1,[2]quests!$1:$1,0)+1),MATCH(C$1,[2]quests!$1:$1,0)-MATCH($B$1,[2]quests!$1:$1,0)+1,FALSE)</f>
        <v>魂を屠る黒影</v>
      </c>
      <c r="D64" s="83" t="str">
        <f ca="1">VLOOKUP($B64,OFFSET([2]quests!$A$1,0,0,COUNTA([2]quests!$A:$A),MATCH(D$1,[2]quests!$1:$1,0)-MATCH($B$1,[2]quests!$1:$1,0)+1),MATCH(D$1,[2]quests!$1:$1,0)-MATCH($B$1,[2]quests!$1:$1,0)+1,FALSE)</f>
        <v>エジプト01</v>
      </c>
      <c r="E64" s="87">
        <v>3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【上級】魂を屠る黒影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エジプト01</v>
      </c>
      <c r="H64" s="85">
        <v>0</v>
      </c>
      <c r="I64" s="96">
        <v>9</v>
      </c>
      <c r="J64" s="84" t="s">
        <v>198</v>
      </c>
      <c r="K64" s="93" t="str">
        <f>VLOOKUP(I64,[6]stage_hints!$A:$C,3,FALSE)</f>
        <v>ゴールドダックでビットを獲得</v>
      </c>
      <c r="L64" s="94" t="str">
        <f>VLOOKUP(I64,[6]stage_hints!$A:$D,4,FALSE)</f>
        <v>「ゴールドなアヒル」を売却すると_x000D_大量のビットがもらえます</v>
      </c>
      <c r="M64" s="57" t="s">
        <v>211</v>
      </c>
    </row>
    <row r="65" spans="1:13" x14ac:dyDescent="0.15">
      <c r="A65" s="81" t="s">
        <v>201</v>
      </c>
      <c r="B65" s="82">
        <f>floors!$C$2</f>
        <v>20018</v>
      </c>
      <c r="C65" s="83" t="str">
        <f ca="1">VLOOKUP($B65,OFFSET([2]quests!$A$1,0,0,COUNTA([2]quests!$A:$A),MATCH(C$1,[2]quests!$1:$1,0)-MATCH($B$1,[2]quests!$1:$1,0)+1),MATCH(C$1,[2]quests!$1:$1,0)-MATCH($B$1,[2]quests!$1:$1,0)+1,FALSE)</f>
        <v>魂を屠る黒影</v>
      </c>
      <c r="D65" s="83" t="str">
        <f ca="1">VLOOKUP($B65,OFFSET([2]quests!$A$1,0,0,COUNTA([2]quests!$A:$A),MATCH(D$1,[2]quests!$1:$1,0)-MATCH($B$1,[2]quests!$1:$1,0)+1),MATCH(D$1,[2]quests!$1:$1,0)-MATCH($B$1,[2]quests!$1:$1,0)+1,FALSE)</f>
        <v>エジプト01</v>
      </c>
      <c r="E65" s="87">
        <v>3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【上級】魂を屠る黒影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エジプト01</v>
      </c>
      <c r="H65" s="85">
        <v>0</v>
      </c>
      <c r="I65" s="96">
        <v>10</v>
      </c>
      <c r="J65" s="84" t="s">
        <v>198</v>
      </c>
      <c r="K65" s="93" t="str">
        <f>VLOOKUP(I65,[6]stage_hints!$A:$C,3,FALSE)</f>
        <v>土日に大量のビットを獲得</v>
      </c>
      <c r="L65" s="94" t="str">
        <f>VLOOKUP(I65,[6]stage_hints!$A:$D,4,FALSE)</f>
        <v>土日限定の「ゴールドカジノ」では_x000D_売却素材ユニットが多く手に入ります</v>
      </c>
      <c r="M65" s="57" t="s">
        <v>211</v>
      </c>
    </row>
    <row r="66" spans="1:13" x14ac:dyDescent="0.15">
      <c r="A66" s="81" t="s">
        <v>201</v>
      </c>
      <c r="B66" s="82">
        <f>floors!$C$2</f>
        <v>20018</v>
      </c>
      <c r="C66" s="83" t="str">
        <f ca="1">VLOOKUP($B66,OFFSET([2]quests!$A$1,0,0,COUNTA([2]quests!$A:$A),MATCH(C$1,[2]quests!$1:$1,0)-MATCH($B$1,[2]quests!$1:$1,0)+1),MATCH(C$1,[2]quests!$1:$1,0)-MATCH($B$1,[2]quests!$1:$1,0)+1,FALSE)</f>
        <v>魂を屠る黒影</v>
      </c>
      <c r="D66" s="83" t="str">
        <f ca="1">VLOOKUP($B66,OFFSET([2]quests!$A$1,0,0,COUNTA([2]quests!$A:$A),MATCH(D$1,[2]quests!$1:$1,0)-MATCH($B$1,[2]quests!$1:$1,0)+1),MATCH(D$1,[2]quests!$1:$1,0)-MATCH($B$1,[2]quests!$1:$1,0)+1,FALSE)</f>
        <v>エジプト01</v>
      </c>
      <c r="E66" s="87">
        <v>3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【上級】魂を屠る黒影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エジプト01</v>
      </c>
      <c r="H66" s="85">
        <v>0</v>
      </c>
      <c r="I66" s="96">
        <v>11</v>
      </c>
      <c r="J66" s="84" t="s">
        <v>198</v>
      </c>
      <c r="K66" s="93" t="str">
        <f>VLOOKUP(I66,[6]stage_hints!$A:$C,3,FALSE)</f>
        <v>ランク解放クエスト</v>
      </c>
      <c r="L66" s="94" t="str">
        <f>VLOOKUP(I66,[6]stage_hints!$A:$D,4,FALSE)</f>
        <v>一定ランクに到達すると_x000D_報酬付きのランク開放クエストが現れます</v>
      </c>
      <c r="M66" s="57" t="s">
        <v>211</v>
      </c>
    </row>
    <row r="67" spans="1:13" x14ac:dyDescent="0.15">
      <c r="A67" s="81" t="s">
        <v>201</v>
      </c>
      <c r="B67" s="82">
        <f>floors!$C$2</f>
        <v>20018</v>
      </c>
      <c r="C67" s="83" t="str">
        <f ca="1">VLOOKUP($B67,OFFSET([2]quests!$A$1,0,0,COUNTA([2]quests!$A:$A),MATCH(C$1,[2]quests!$1:$1,0)-MATCH($B$1,[2]quests!$1:$1,0)+1),MATCH(C$1,[2]quests!$1:$1,0)-MATCH($B$1,[2]quests!$1:$1,0)+1,FALSE)</f>
        <v>魂を屠る黒影</v>
      </c>
      <c r="D67" s="83" t="str">
        <f ca="1">VLOOKUP($B67,OFFSET([2]quests!$A$1,0,0,COUNTA([2]quests!$A:$A),MATCH(D$1,[2]quests!$1:$1,0)-MATCH($B$1,[2]quests!$1:$1,0)+1),MATCH(D$1,[2]quests!$1:$1,0)-MATCH($B$1,[2]quests!$1:$1,0)+1,FALSE)</f>
        <v>エジプト01</v>
      </c>
      <c r="E67" s="87">
        <v>3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【上級】魂を屠る黒影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エジプト01</v>
      </c>
      <c r="H67" s="85">
        <v>0</v>
      </c>
      <c r="I67" s="96">
        <v>12</v>
      </c>
      <c r="J67" s="84" t="s">
        <v>198</v>
      </c>
      <c r="K67" s="93" t="str">
        <f>VLOOKUP(I67,[6]stage_hints!$A:$C,3,FALSE)</f>
        <v>ユニットのお気に入り登録</v>
      </c>
      <c r="L67" s="94" t="str">
        <f>VLOOKUP(I67,[6]stage_hints!$A:$D,4,FALSE)</f>
        <v>大事なユニットを誤って消さないように_x000D_フォルダから「お気に入り登録」しましょう</v>
      </c>
      <c r="M67" s="57" t="s">
        <v>211</v>
      </c>
    </row>
    <row r="68" spans="1:13" x14ac:dyDescent="0.15">
      <c r="A68" s="81" t="s">
        <v>201</v>
      </c>
      <c r="B68" s="82">
        <f>floors!$C$2</f>
        <v>20018</v>
      </c>
      <c r="C68" s="83" t="str">
        <f ca="1">VLOOKUP($B68,OFFSET([2]quests!$A$1,0,0,COUNTA([2]quests!$A:$A),MATCH(C$1,[2]quests!$1:$1,0)-MATCH($B$1,[2]quests!$1:$1,0)+1),MATCH(C$1,[2]quests!$1:$1,0)-MATCH($B$1,[2]quests!$1:$1,0)+1,FALSE)</f>
        <v>魂を屠る黒影</v>
      </c>
      <c r="D68" s="83" t="str">
        <f ca="1">VLOOKUP($B68,OFFSET([2]quests!$A$1,0,0,COUNTA([2]quests!$A:$A),MATCH(D$1,[2]quests!$1:$1,0)-MATCH($B$1,[2]quests!$1:$1,0)+1),MATCH(D$1,[2]quests!$1:$1,0)-MATCH($B$1,[2]quests!$1:$1,0)+1,FALSE)</f>
        <v>エジプト01</v>
      </c>
      <c r="E68" s="87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【上級】魂を屠る黒影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エジプト01</v>
      </c>
      <c r="H68" s="85">
        <v>0</v>
      </c>
      <c r="I68" s="96">
        <v>13</v>
      </c>
      <c r="J68" s="84" t="s">
        <v>198</v>
      </c>
      <c r="K68" s="93" t="str">
        <f>VLOOKUP(I68,[6]stage_hints!$A:$C,3,FALSE)</f>
        <v>ユニットの覚醒</v>
      </c>
      <c r="L68" s="94" t="str">
        <f>VLOOKUP(I68,[6]stage_hints!$A:$D,4,FALSE)</f>
        <v>ユニットを覚醒させると_x000D_比べものにならない強さが手に入ります</v>
      </c>
      <c r="M68" s="57" t="s">
        <v>211</v>
      </c>
    </row>
    <row r="69" spans="1:13" x14ac:dyDescent="0.15">
      <c r="A69" s="81" t="s">
        <v>201</v>
      </c>
      <c r="B69" s="82">
        <f>floors!$C$2</f>
        <v>20018</v>
      </c>
      <c r="C69" s="83" t="str">
        <f ca="1">VLOOKUP($B69,OFFSET([2]quests!$A$1,0,0,COUNTA([2]quests!$A:$A),MATCH(C$1,[2]quests!$1:$1,0)-MATCH($B$1,[2]quests!$1:$1,0)+1),MATCH(C$1,[2]quests!$1:$1,0)-MATCH($B$1,[2]quests!$1:$1,0)+1,FALSE)</f>
        <v>魂を屠る黒影</v>
      </c>
      <c r="D69" s="83" t="str">
        <f ca="1">VLOOKUP($B69,OFFSET([2]quests!$A$1,0,0,COUNTA([2]quests!$A:$A),MATCH(D$1,[2]quests!$1:$1,0)-MATCH($B$1,[2]quests!$1:$1,0)+1),MATCH(D$1,[2]quests!$1:$1,0)-MATCH($B$1,[2]quests!$1:$1,0)+1,FALSE)</f>
        <v>エジプト01</v>
      </c>
      <c r="E69" s="87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【上級】魂を屠る黒影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エジプト01</v>
      </c>
      <c r="H69" s="85">
        <v>0</v>
      </c>
      <c r="I69" s="96">
        <v>14</v>
      </c>
      <c r="J69" s="84" t="s">
        <v>198</v>
      </c>
      <c r="K69" s="93" t="str">
        <f>VLOOKUP(I69,[6]stage_hints!$A:$C,3,FALSE)</f>
        <v>覚醒するにはレベルを最大に</v>
      </c>
      <c r="L69" s="94" t="str">
        <f>VLOOKUP(I69,[6]stage_hints!$A:$D,4,FALSE)</f>
        <v>覚醒するにはユニットのレベルを_x000D_最大まで上げる必要があります</v>
      </c>
      <c r="M69" s="57" t="s">
        <v>211</v>
      </c>
    </row>
    <row r="70" spans="1:13" x14ac:dyDescent="0.15">
      <c r="A70" s="81" t="s">
        <v>201</v>
      </c>
      <c r="B70" s="82">
        <f>floors!$C$2</f>
        <v>20018</v>
      </c>
      <c r="C70" s="83" t="str">
        <f ca="1">VLOOKUP($B70,OFFSET([2]quests!$A$1,0,0,COUNTA([2]quests!$A:$A),MATCH(C$1,[2]quests!$1:$1,0)-MATCH($B$1,[2]quests!$1:$1,0)+1),MATCH(C$1,[2]quests!$1:$1,0)-MATCH($B$1,[2]quests!$1:$1,0)+1,FALSE)</f>
        <v>魂を屠る黒影</v>
      </c>
      <c r="D70" s="83" t="str">
        <f ca="1">VLOOKUP($B70,OFFSET([2]quests!$A$1,0,0,COUNTA([2]quests!$A:$A),MATCH(D$1,[2]quests!$1:$1,0)-MATCH($B$1,[2]quests!$1:$1,0)+1),MATCH(D$1,[2]quests!$1:$1,0)-MATCH($B$1,[2]quests!$1:$1,0)+1,FALSE)</f>
        <v>エジプト01</v>
      </c>
      <c r="E70" s="87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【上級】魂を屠る黒影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エジプト01</v>
      </c>
      <c r="H70" s="85">
        <v>0</v>
      </c>
      <c r="I70" s="96">
        <v>15</v>
      </c>
      <c r="J70" s="84" t="s">
        <v>198</v>
      </c>
      <c r="K70" s="93" t="str">
        <f>VLOOKUP(I70,[6]stage_hints!$A:$C,3,FALSE)</f>
        <v>覚醒素材を獲得</v>
      </c>
      <c r="L70" s="94" t="str">
        <f>VLOOKUP(I70,[6]stage_hints!$A:$D,4,FALSE)</f>
        <v>「曜日クエスト」では_x000D_ユニットの覚醒に必要な素材が手に入ります</v>
      </c>
      <c r="M70" s="57" t="s">
        <v>211</v>
      </c>
    </row>
    <row r="71" spans="1:13" x14ac:dyDescent="0.15">
      <c r="A71" s="81" t="s">
        <v>201</v>
      </c>
      <c r="B71" s="82">
        <f>floors!$C$2</f>
        <v>20018</v>
      </c>
      <c r="C71" s="83" t="str">
        <f ca="1">VLOOKUP($B71,OFFSET([2]quests!$A$1,0,0,COUNTA([2]quests!$A:$A),MATCH(C$1,[2]quests!$1:$1,0)-MATCH($B$1,[2]quests!$1:$1,0)+1),MATCH(C$1,[2]quests!$1:$1,0)-MATCH($B$1,[2]quests!$1:$1,0)+1,FALSE)</f>
        <v>魂を屠る黒影</v>
      </c>
      <c r="D71" s="83" t="str">
        <f ca="1">VLOOKUP($B71,OFFSET([2]quests!$A$1,0,0,COUNTA([2]quests!$A:$A),MATCH(D$1,[2]quests!$1:$1,0)-MATCH($B$1,[2]quests!$1:$1,0)+1),MATCH(D$1,[2]quests!$1:$1,0)-MATCH($B$1,[2]quests!$1:$1,0)+1,FALSE)</f>
        <v>エジプト01</v>
      </c>
      <c r="E71" s="87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【上級】魂を屠る黒影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エジプト01</v>
      </c>
      <c r="H71" s="85">
        <v>0</v>
      </c>
      <c r="I71" s="96">
        <v>16</v>
      </c>
      <c r="J71" s="84" t="s">
        <v>198</v>
      </c>
      <c r="K71" s="93" t="str">
        <f>VLOOKUP(I71,[6]stage_hints!$A:$C,3,FALSE)</f>
        <v>マルチプレイのメリット（その1）</v>
      </c>
      <c r="L71" s="94" t="str">
        <f>VLOOKUP(I71,[6]stage_hints!$A:$D,4,FALSE)</f>
        <v>他のプレイヤーとマルチプレイで遊ぶと_x000D_ポリゴンがもらえます（100人まで）</v>
      </c>
      <c r="M71" s="57" t="s">
        <v>211</v>
      </c>
    </row>
    <row r="72" spans="1:13" x14ac:dyDescent="0.15">
      <c r="A72" s="81" t="s">
        <v>201</v>
      </c>
      <c r="B72" s="82">
        <f>floors!$C$2</f>
        <v>20018</v>
      </c>
      <c r="C72" s="83" t="str">
        <f ca="1">VLOOKUP($B72,OFFSET([2]quests!$A$1,0,0,COUNTA([2]quests!$A:$A),MATCH(C$1,[2]quests!$1:$1,0)-MATCH($B$1,[2]quests!$1:$1,0)+1),MATCH(C$1,[2]quests!$1:$1,0)-MATCH($B$1,[2]quests!$1:$1,0)+1,FALSE)</f>
        <v>魂を屠る黒影</v>
      </c>
      <c r="D72" s="83" t="str">
        <f ca="1">VLOOKUP($B72,OFFSET([2]quests!$A$1,0,0,COUNTA([2]quests!$A:$A),MATCH(D$1,[2]quests!$1:$1,0)-MATCH($B$1,[2]quests!$1:$1,0)+1),MATCH(D$1,[2]quests!$1:$1,0)-MATCH($B$1,[2]quests!$1:$1,0)+1,FALSE)</f>
        <v>エジプト01</v>
      </c>
      <c r="E72" s="87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【上級】魂を屠る黒影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エジプト01</v>
      </c>
      <c r="H72" s="85">
        <v>0</v>
      </c>
      <c r="I72" s="96">
        <v>17</v>
      </c>
      <c r="J72" s="84" t="s">
        <v>198</v>
      </c>
      <c r="K72" s="93" t="str">
        <f>VLOOKUP(I72,[6]stage_hints!$A:$C,3,FALSE)</f>
        <v>リンクガチャ</v>
      </c>
      <c r="L72" s="94" t="str">
        <f>VLOOKUP(I72,[6]stage_hints!$A:$D,4,FALSE)</f>
        <v>無料のリンクガチャを回して_x000D_経験値素材や売却素材を獲得しましょう</v>
      </c>
      <c r="M72" s="57" t="s">
        <v>211</v>
      </c>
    </row>
    <row r="73" spans="1:13" x14ac:dyDescent="0.15">
      <c r="A73" s="81" t="s">
        <v>201</v>
      </c>
      <c r="B73" s="82">
        <f>floors!$C$2</f>
        <v>20018</v>
      </c>
      <c r="C73" s="83" t="str">
        <f ca="1">VLOOKUP($B73,OFFSET([2]quests!$A$1,0,0,COUNTA([2]quests!$A:$A),MATCH(C$1,[2]quests!$1:$1,0)-MATCH($B$1,[2]quests!$1:$1,0)+1),MATCH(C$1,[2]quests!$1:$1,0)-MATCH($B$1,[2]quests!$1:$1,0)+1,FALSE)</f>
        <v>魂を屠る黒影</v>
      </c>
      <c r="D73" s="83" t="str">
        <f ca="1">VLOOKUP($B73,OFFSET([2]quests!$A$1,0,0,COUNTA([2]quests!$A:$A),MATCH(D$1,[2]quests!$1:$1,0)-MATCH($B$1,[2]quests!$1:$1,0)+1),MATCH(D$1,[2]quests!$1:$1,0)-MATCH($B$1,[2]quests!$1:$1,0)+1,FALSE)</f>
        <v>エジプト01</v>
      </c>
      <c r="E73" s="87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【上級】魂を屠る黒影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エジプト01</v>
      </c>
      <c r="H73" s="85">
        <v>0</v>
      </c>
      <c r="I73" s="96">
        <v>18</v>
      </c>
      <c r="J73" s="84" t="s">
        <v>198</v>
      </c>
      <c r="K73" s="93" t="str">
        <f>VLOOKUP(I73,[6]stage_hints!$A:$C,3,FALSE)</f>
        <v>マルチプレイのメリット（その2）</v>
      </c>
      <c r="L73" s="94" t="str">
        <f>VLOOKUP(I73,[6]stage_hints!$A:$D,4,FALSE)</f>
        <v>マルチプレイならリンクが2倍もらえます_x000D_リンクガチャをたくさん回しましょう</v>
      </c>
      <c r="M73" s="57" t="s">
        <v>211</v>
      </c>
    </row>
    <row r="74" spans="1:13" x14ac:dyDescent="0.15">
      <c r="A74" s="81" t="s">
        <v>201</v>
      </c>
      <c r="B74" s="82">
        <f>floors!$C$2</f>
        <v>20018</v>
      </c>
      <c r="C74" s="83" t="str">
        <f ca="1">VLOOKUP($B74,OFFSET([2]quests!$A$1,0,0,COUNTA([2]quests!$A:$A),MATCH(C$1,[2]quests!$1:$1,0)-MATCH($B$1,[2]quests!$1:$1,0)+1),MATCH(C$1,[2]quests!$1:$1,0)-MATCH($B$1,[2]quests!$1:$1,0)+1,FALSE)</f>
        <v>魂を屠る黒影</v>
      </c>
      <c r="D74" s="83" t="str">
        <f ca="1">VLOOKUP($B74,OFFSET([2]quests!$A$1,0,0,COUNTA([2]quests!$A:$A),MATCH(D$1,[2]quests!$1:$1,0)-MATCH($B$1,[2]quests!$1:$1,0)+1),MATCH(D$1,[2]quests!$1:$1,0)-MATCH($B$1,[2]quests!$1:$1,0)+1,FALSE)</f>
        <v>エジプト01</v>
      </c>
      <c r="E74" s="87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【上級】魂を屠る黒影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エジプト01</v>
      </c>
      <c r="H74" s="85">
        <v>0</v>
      </c>
      <c r="I74" s="96">
        <v>19</v>
      </c>
      <c r="J74" s="84" t="s">
        <v>198</v>
      </c>
      <c r="K74" s="93" t="str">
        <f>VLOOKUP(I74,[6]stage_hints!$A:$C,3,FALSE)</f>
        <v>ソロ専用タワーオブザクイーン</v>
      </c>
      <c r="L74" s="94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7" t="s">
        <v>211</v>
      </c>
    </row>
    <row r="75" spans="1:13" x14ac:dyDescent="0.15">
      <c r="A75" s="81" t="s">
        <v>201</v>
      </c>
      <c r="B75" s="82">
        <f>floors!$C$2</f>
        <v>20018</v>
      </c>
      <c r="C75" s="83" t="str">
        <f ca="1">VLOOKUP($B75,OFFSET([2]quests!$A$1,0,0,COUNTA([2]quests!$A:$A),MATCH(C$1,[2]quests!$1:$1,0)-MATCH($B$1,[2]quests!$1:$1,0)+1),MATCH(C$1,[2]quests!$1:$1,0)-MATCH($B$1,[2]quests!$1:$1,0)+1,FALSE)</f>
        <v>魂を屠る黒影</v>
      </c>
      <c r="D75" s="83" t="str">
        <f ca="1">VLOOKUP($B75,OFFSET([2]quests!$A$1,0,0,COUNTA([2]quests!$A:$A),MATCH(D$1,[2]quests!$1:$1,0)-MATCH($B$1,[2]quests!$1:$1,0)+1),MATCH(D$1,[2]quests!$1:$1,0)-MATCH($B$1,[2]quests!$1:$1,0)+1,FALSE)</f>
        <v>エジプト01</v>
      </c>
      <c r="E75" s="87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【上級】魂を屠る黒影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エジプト01</v>
      </c>
      <c r="H75" s="85">
        <v>0</v>
      </c>
      <c r="I75" s="96">
        <v>20</v>
      </c>
      <c r="J75" s="84" t="s">
        <v>198</v>
      </c>
      <c r="K75" s="93" t="str">
        <f>VLOOKUP(I75,[6]stage_hints!$A:$C,3,FALSE)</f>
        <v>マルチプレイのメリット（その3）</v>
      </c>
      <c r="L75" s="94" t="str">
        <f>VLOOKUP(I75,[6]stage_hints!$A:$D,4,FALSE)</f>
        <v>マルチプレイへの参加はエナジー消費ゼロ_x000D_いつでも好きなだけ遊ぶことができます</v>
      </c>
      <c r="M75" s="57" t="s">
        <v>211</v>
      </c>
    </row>
    <row r="76" spans="1:13" x14ac:dyDescent="0.15">
      <c r="A76" s="81" t="s">
        <v>201</v>
      </c>
      <c r="B76" s="82">
        <f>floors!$C$2</f>
        <v>20018</v>
      </c>
      <c r="C76" s="83" t="str">
        <f ca="1">VLOOKUP($B76,OFFSET([2]quests!$A$1,0,0,COUNTA([2]quests!$A:$A),MATCH(C$1,[2]quests!$1:$1,0)-MATCH($B$1,[2]quests!$1:$1,0)+1),MATCH(C$1,[2]quests!$1:$1,0)-MATCH($B$1,[2]quests!$1:$1,0)+1,FALSE)</f>
        <v>魂を屠る黒影</v>
      </c>
      <c r="D76" s="83" t="str">
        <f ca="1">VLOOKUP($B76,OFFSET([2]quests!$A$1,0,0,COUNTA([2]quests!$A:$A),MATCH(D$1,[2]quests!$1:$1,0)-MATCH($B$1,[2]quests!$1:$1,0)+1),MATCH(D$1,[2]quests!$1:$1,0)-MATCH($B$1,[2]quests!$1:$1,0)+1,FALSE)</f>
        <v>エジプト01</v>
      </c>
      <c r="E76" s="87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【上級】魂を屠る黒影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エジプト01</v>
      </c>
      <c r="H76" s="85">
        <v>0</v>
      </c>
      <c r="I76" s="96">
        <v>21</v>
      </c>
      <c r="J76" s="84" t="s">
        <v>198</v>
      </c>
      <c r="K76" s="93" t="str">
        <f>VLOOKUP(I76,[6]stage_hints!$A:$C,3,FALSE)</f>
        <v>スキルを有効に</v>
      </c>
      <c r="L76" s="94" t="str">
        <f>VLOOKUP(I76,[6]stage_hints!$A:$D,4,FALSE)</f>
        <v>ターン経過でユニットのスキルが使えます_x000D_強力スキルでバトルを有利に進めましょう</v>
      </c>
      <c r="M76" s="57" t="s">
        <v>211</v>
      </c>
    </row>
    <row r="77" spans="1:13" x14ac:dyDescent="0.15">
      <c r="A77" s="81" t="s">
        <v>201</v>
      </c>
      <c r="B77" s="82">
        <f>floors!$C$2</f>
        <v>20018</v>
      </c>
      <c r="C77" s="83" t="str">
        <f ca="1">VLOOKUP($B77,OFFSET([2]quests!$A$1,0,0,COUNTA([2]quests!$A:$A),MATCH(C$1,[2]quests!$1:$1,0)-MATCH($B$1,[2]quests!$1:$1,0)+1),MATCH(C$1,[2]quests!$1:$1,0)-MATCH($B$1,[2]quests!$1:$1,0)+1,FALSE)</f>
        <v>魂を屠る黒影</v>
      </c>
      <c r="D77" s="83" t="str">
        <f ca="1">VLOOKUP($B77,OFFSET([2]quests!$A$1,0,0,COUNTA([2]quests!$A:$A),MATCH(D$1,[2]quests!$1:$1,0)-MATCH($B$1,[2]quests!$1:$1,0)+1),MATCH(D$1,[2]quests!$1:$1,0)-MATCH($B$1,[2]quests!$1:$1,0)+1,FALSE)</f>
        <v>エジプト01</v>
      </c>
      <c r="E77" s="87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【上級】魂を屠る黒影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エジプト01</v>
      </c>
      <c r="H77" s="85">
        <v>0</v>
      </c>
      <c r="I77" s="96">
        <v>22</v>
      </c>
      <c r="J77" s="84" t="s">
        <v>198</v>
      </c>
      <c r="K77" s="93" t="str">
        <f>VLOOKUP(I77,[6]stage_hints!$A:$C,3,FALSE)</f>
        <v>フィーバーで一発逆転（その1）</v>
      </c>
      <c r="L77" s="94" t="str">
        <f>VLOOKUP(I77,[6]stage_hints!$A:$D,4,FALSE)</f>
        <v>フィーバーは攻撃と回復を兼ね備えます_x000D_ピンチからの一発逆転を狙いましょう</v>
      </c>
      <c r="M77" s="57" t="s">
        <v>211</v>
      </c>
    </row>
    <row r="78" spans="1:13" x14ac:dyDescent="0.15">
      <c r="A78" s="81" t="s">
        <v>201</v>
      </c>
      <c r="B78" s="82">
        <f>floors!$C$2</f>
        <v>20018</v>
      </c>
      <c r="C78" s="83" t="str">
        <f ca="1">VLOOKUP($B78,OFFSET([2]quests!$A$1,0,0,COUNTA([2]quests!$A:$A),MATCH(C$1,[2]quests!$1:$1,0)-MATCH($B$1,[2]quests!$1:$1,0)+1),MATCH(C$1,[2]quests!$1:$1,0)-MATCH($B$1,[2]quests!$1:$1,0)+1,FALSE)</f>
        <v>魂を屠る黒影</v>
      </c>
      <c r="D78" s="83" t="str">
        <f ca="1">VLOOKUP($B78,OFFSET([2]quests!$A$1,0,0,COUNTA([2]quests!$A:$A),MATCH(D$1,[2]quests!$1:$1,0)-MATCH($B$1,[2]quests!$1:$1,0)+1),MATCH(D$1,[2]quests!$1:$1,0)-MATCH($B$1,[2]quests!$1:$1,0)+1,FALSE)</f>
        <v>エジプト01</v>
      </c>
      <c r="E78" s="87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【上級】魂を屠る黒影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エジプト01</v>
      </c>
      <c r="H78" s="85">
        <v>0</v>
      </c>
      <c r="I78" s="96">
        <v>23</v>
      </c>
      <c r="J78" s="84" t="s">
        <v>198</v>
      </c>
      <c r="K78" s="93" t="str">
        <f>VLOOKUP(I78,[6]stage_hints!$A:$C,3,FALSE)</f>
        <v>フィーバーで一発逆転（その2）</v>
      </c>
      <c r="L78" s="94" t="str">
        <f>VLOOKUP(I78,[6]stage_hints!$A:$D,4,FALSE)</f>
        <v>フィーバー中は虹色のボムパネルを狙って_x000D_画面上のパネルを一気に破壊しましょう</v>
      </c>
      <c r="M78" s="57" t="s">
        <v>211</v>
      </c>
    </row>
    <row r="79" spans="1:13" x14ac:dyDescent="0.15">
      <c r="A79" s="81" t="s">
        <v>201</v>
      </c>
      <c r="B79" s="82">
        <f>floors!$C$2</f>
        <v>20018</v>
      </c>
      <c r="C79" s="83" t="str">
        <f ca="1">VLOOKUP($B79,OFFSET([2]quests!$A$1,0,0,COUNTA([2]quests!$A:$A),MATCH(C$1,[2]quests!$1:$1,0)-MATCH($B$1,[2]quests!$1:$1,0)+1),MATCH(C$1,[2]quests!$1:$1,0)-MATCH($B$1,[2]quests!$1:$1,0)+1,FALSE)</f>
        <v>魂を屠る黒影</v>
      </c>
      <c r="D79" s="83" t="str">
        <f ca="1">VLOOKUP($B79,OFFSET([2]quests!$A$1,0,0,COUNTA([2]quests!$A:$A),MATCH(D$1,[2]quests!$1:$1,0)-MATCH($B$1,[2]quests!$1:$1,0)+1),MATCH(D$1,[2]quests!$1:$1,0)-MATCH($B$1,[2]quests!$1:$1,0)+1,FALSE)</f>
        <v>エジプト01</v>
      </c>
      <c r="E79" s="87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【上級】魂を屠る黒影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エジプト01</v>
      </c>
      <c r="H79" s="85">
        <v>0</v>
      </c>
      <c r="I79" s="96">
        <v>24</v>
      </c>
      <c r="J79" s="84" t="s">
        <v>198</v>
      </c>
      <c r="K79" s="93" t="str">
        <f>VLOOKUP(I79,[6]stage_hints!$A:$C,3,FALSE)</f>
        <v>果実を使って限界突破</v>
      </c>
      <c r="L79" s="94" t="str">
        <f>VLOOKUP(I79,[6]stage_hints!$A:$D,4,FALSE)</f>
        <v>攻めの果実 癒しの果実_x000D_生命の果実をユニット強化に使うと_x000D_ステータスが限界突破します（計99個迄）</v>
      </c>
      <c r="M79" s="57" t="s">
        <v>211</v>
      </c>
    </row>
    <row r="80" spans="1:13" x14ac:dyDescent="0.15">
      <c r="A80" s="81" t="s">
        <v>201</v>
      </c>
      <c r="B80" s="82">
        <f>floors!$C$2</f>
        <v>20018</v>
      </c>
      <c r="C80" s="83" t="str">
        <f ca="1">VLOOKUP($B80,OFFSET([2]quests!$A$1,0,0,COUNTA([2]quests!$A:$A),MATCH(C$1,[2]quests!$1:$1,0)-MATCH($B$1,[2]quests!$1:$1,0)+1),MATCH(C$1,[2]quests!$1:$1,0)-MATCH($B$1,[2]quests!$1:$1,0)+1,FALSE)</f>
        <v>魂を屠る黒影</v>
      </c>
      <c r="D80" s="83" t="str">
        <f ca="1">VLOOKUP($B80,OFFSET([2]quests!$A$1,0,0,COUNTA([2]quests!$A:$A),MATCH(D$1,[2]quests!$1:$1,0)-MATCH($B$1,[2]quests!$1:$1,0)+1),MATCH(D$1,[2]quests!$1:$1,0)-MATCH($B$1,[2]quests!$1:$1,0)+1,FALSE)</f>
        <v>エジプト01</v>
      </c>
      <c r="E80" s="87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【上級】魂を屠る黒影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エジプト01</v>
      </c>
      <c r="H80" s="85">
        <v>0</v>
      </c>
      <c r="I80" s="96">
        <v>25</v>
      </c>
      <c r="J80" s="84" t="s">
        <v>198</v>
      </c>
      <c r="K80" s="93" t="str">
        <f>VLOOKUP(I80,[6]stage_hints!$A:$C,3,FALSE)</f>
        <v>スキルレベルアップ</v>
      </c>
      <c r="L80" s="94" t="str">
        <f>VLOOKUP(I80,[6]stage_hints!$A:$D,4,FALSE)</f>
        <v>「秘術の果実」を強化に使うと_x000D_スキルレベルを上げることができます</v>
      </c>
      <c r="M80" s="57" t="s">
        <v>211</v>
      </c>
    </row>
    <row r="81" spans="1:13" x14ac:dyDescent="0.15">
      <c r="A81" s="81" t="s">
        <v>201</v>
      </c>
      <c r="B81" s="82">
        <f>floors!$C$2</f>
        <v>20018</v>
      </c>
      <c r="C81" s="83" t="str">
        <f ca="1">VLOOKUP($B81,OFFSET([2]quests!$A$1,0,0,COUNTA([2]quests!$A:$A),MATCH(C$1,[2]quests!$1:$1,0)-MATCH($B$1,[2]quests!$1:$1,0)+1),MATCH(C$1,[2]quests!$1:$1,0)-MATCH($B$1,[2]quests!$1:$1,0)+1,FALSE)</f>
        <v>魂を屠る黒影</v>
      </c>
      <c r="D81" s="83" t="str">
        <f ca="1">VLOOKUP($B81,OFFSET([2]quests!$A$1,0,0,COUNTA([2]quests!$A:$A),MATCH(D$1,[2]quests!$1:$1,0)-MATCH($B$1,[2]quests!$1:$1,0)+1),MATCH(D$1,[2]quests!$1:$1,0)-MATCH($B$1,[2]quests!$1:$1,0)+1,FALSE)</f>
        <v>エジプト01</v>
      </c>
      <c r="E81" s="87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【上級】魂を屠る黒影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エジプト01</v>
      </c>
      <c r="H81" s="85">
        <v>0</v>
      </c>
      <c r="I81" s="96">
        <v>26</v>
      </c>
      <c r="J81" s="84" t="s">
        <v>198</v>
      </c>
      <c r="K81" s="93" t="str">
        <f>VLOOKUP(I81,[6]stage_hints!$A:$C,3,FALSE)</f>
        <v>スキルレベルの効果</v>
      </c>
      <c r="L81" s="94" t="str">
        <f>VLOOKUP(I81,[6]stage_hints!$A:$D,4,FALSE)</f>
        <v>スキルレベルが上がると_x000D_短いターンでスキルを使うことができます</v>
      </c>
      <c r="M81" s="57" t="s">
        <v>211</v>
      </c>
    </row>
    <row r="82" spans="1:13" x14ac:dyDescent="0.15">
      <c r="A82" s="81" t="s">
        <v>201</v>
      </c>
      <c r="B82" s="82">
        <f>floors!$C$2</f>
        <v>20018</v>
      </c>
      <c r="C82" s="83" t="str">
        <f ca="1">VLOOKUP($B82,OFFSET([2]quests!$A$1,0,0,COUNTA([2]quests!$A:$A),MATCH(C$1,[2]quests!$1:$1,0)-MATCH($B$1,[2]quests!$1:$1,0)+1),MATCH(C$1,[2]quests!$1:$1,0)-MATCH($B$1,[2]quests!$1:$1,0)+1,FALSE)</f>
        <v>魂を屠る黒影</v>
      </c>
      <c r="D82" s="83" t="str">
        <f ca="1">VLOOKUP($B82,OFFSET([2]quests!$A$1,0,0,COUNTA([2]quests!$A:$A),MATCH(D$1,[2]quests!$1:$1,0)-MATCH($B$1,[2]quests!$1:$1,0)+1),MATCH(D$1,[2]quests!$1:$1,0)-MATCH($B$1,[2]quests!$1:$1,0)+1,FALSE)</f>
        <v>エジプト01</v>
      </c>
      <c r="E82" s="87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【上級】魂を屠る黒影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エジプト01</v>
      </c>
      <c r="H82" s="85">
        <v>0</v>
      </c>
      <c r="I82" s="96">
        <v>27</v>
      </c>
      <c r="J82" s="84" t="s">
        <v>198</v>
      </c>
      <c r="K82" s="93" t="str">
        <f>VLOOKUP(I82,[6]stage_hints!$A:$C,3,FALSE)</f>
        <v>ホーム画面からデッキを編成</v>
      </c>
      <c r="L82" s="94" t="str">
        <f>VLOOKUP(I82,[6]stage_hints!$A:$D,4,FALSE)</f>
        <v>ホーム画面でユニットを長押しすると_x000D_すぐにパーティ編成に移動できます</v>
      </c>
      <c r="M82" s="57" t="s">
        <v>211</v>
      </c>
    </row>
    <row r="83" spans="1:13" x14ac:dyDescent="0.15">
      <c r="A83" s="81" t="s">
        <v>201</v>
      </c>
      <c r="B83" s="82">
        <f>floors!$C$2</f>
        <v>20018</v>
      </c>
      <c r="C83" s="83" t="str">
        <f ca="1">VLOOKUP($B83,OFFSET([2]quests!$A$1,0,0,COUNTA([2]quests!$A:$A),MATCH(C$1,[2]quests!$1:$1,0)-MATCH($B$1,[2]quests!$1:$1,0)+1),MATCH(C$1,[2]quests!$1:$1,0)-MATCH($B$1,[2]quests!$1:$1,0)+1,FALSE)</f>
        <v>魂を屠る黒影</v>
      </c>
      <c r="D83" s="83" t="str">
        <f ca="1">VLOOKUP($B83,OFFSET([2]quests!$A$1,0,0,COUNTA([2]quests!$A:$A),MATCH(D$1,[2]quests!$1:$1,0)-MATCH($B$1,[2]quests!$1:$1,0)+1),MATCH(D$1,[2]quests!$1:$1,0)-MATCH($B$1,[2]quests!$1:$1,0)+1,FALSE)</f>
        <v>エジプト01</v>
      </c>
      <c r="E83" s="87">
        <v>3</v>
      </c>
      <c r="F83" s="83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【上級】魂を屠る黒影</v>
      </c>
      <c r="G83" s="83" t="str">
        <f ca="1">VLOOKUP($B83&amp;"_"&amp;$E83,OFFSET([2]stages!$A$1,0,0,COUNTA([2]stages!$A:$A),MATCH(G$1,[2]stages!$2:$2,0)-MATCH("temp_stage",[2]stages!$2:$2,0)+1),MATCH(G$1,[2]stages!$2:$2,0)-MATCH("temp_stage",[2]stages!$2:$2,0)+1,FALSE)</f>
        <v>エジプト01</v>
      </c>
      <c r="H83" s="85">
        <v>0</v>
      </c>
      <c r="I83" s="96">
        <v>28</v>
      </c>
      <c r="J83" s="84" t="s">
        <v>198</v>
      </c>
      <c r="K83" s="93" t="str">
        <f>VLOOKUP(I83,[6]stage_hints!$A:$C,3,FALSE)</f>
        <v>ステータス情報は長押しで</v>
      </c>
      <c r="L83" s="94" t="str">
        <f>VLOOKUP(I83,[6]stage_hints!$A:$D,4,FALSE)</f>
        <v>ユニットのアイコンを長押しすると_x000D_ステータス情報を確認することができます</v>
      </c>
      <c r="M83" s="57" t="s">
        <v>211</v>
      </c>
    </row>
    <row r="84" spans="1:13" x14ac:dyDescent="0.15">
      <c r="A84" s="81" t="s">
        <v>201</v>
      </c>
      <c r="B84" s="82">
        <f>floors!$C$2</f>
        <v>20018</v>
      </c>
      <c r="C84" s="83" t="str">
        <f ca="1">VLOOKUP($B84,OFFSET([2]quests!$A$1,0,0,COUNTA([2]quests!$A:$A),MATCH(C$1,[2]quests!$1:$1,0)-MATCH($B$1,[2]quests!$1:$1,0)+1),MATCH(C$1,[2]quests!$1:$1,0)-MATCH($B$1,[2]quests!$1:$1,0)+1,FALSE)</f>
        <v>魂を屠る黒影</v>
      </c>
      <c r="D84" s="83" t="str">
        <f ca="1">VLOOKUP($B84,OFFSET([2]quests!$A$1,0,0,COUNTA([2]quests!$A:$A),MATCH(D$1,[2]quests!$1:$1,0)-MATCH($B$1,[2]quests!$1:$1,0)+1),MATCH(D$1,[2]quests!$1:$1,0)-MATCH($B$1,[2]quests!$1:$1,0)+1,FALSE)</f>
        <v>エジプト01</v>
      </c>
      <c r="E84" s="87">
        <v>3</v>
      </c>
      <c r="F84" s="83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【上級】魂を屠る黒影</v>
      </c>
      <c r="G84" s="83" t="str">
        <f ca="1">VLOOKUP($B84&amp;"_"&amp;$E84,OFFSET([2]stages!$A$1,0,0,COUNTA([2]stages!$A:$A),MATCH(G$1,[2]stages!$2:$2,0)-MATCH("temp_stage",[2]stages!$2:$2,0)+1),MATCH(G$1,[2]stages!$2:$2,0)-MATCH("temp_stage",[2]stages!$2:$2,0)+1,FALSE)</f>
        <v>エジプト01</v>
      </c>
      <c r="H84" s="85">
        <v>0</v>
      </c>
      <c r="I84" s="96">
        <v>29</v>
      </c>
      <c r="J84" s="84" t="s">
        <v>198</v>
      </c>
      <c r="K84" s="93" t="str">
        <f>VLOOKUP(I84,[6]stage_hints!$A:$C,3,FALSE)</f>
        <v>「バグ」のメリット</v>
      </c>
      <c r="L84" s="94" t="str">
        <f>VLOOKUP(I84,[6]stage_hints!$A:$D,4,FALSE)</f>
        <v>ユニットの「バグ」を増やすと_x000D_報酬をもらえる確率がアップします</v>
      </c>
      <c r="M84" s="57" t="s">
        <v>211</v>
      </c>
    </row>
    <row r="85" spans="1:13" x14ac:dyDescent="0.15">
      <c r="A85" s="81" t="s">
        <v>201</v>
      </c>
      <c r="B85" s="82">
        <f>floors!$C$2</f>
        <v>20018</v>
      </c>
      <c r="C85" s="83" t="str">
        <f ca="1">VLOOKUP($B85,OFFSET([2]quests!$A$1,0,0,COUNTA([2]quests!$A:$A),MATCH(C$1,[2]quests!$1:$1,0)-MATCH($B$1,[2]quests!$1:$1,0)+1),MATCH(C$1,[2]quests!$1:$1,0)-MATCH($B$1,[2]quests!$1:$1,0)+1,FALSE)</f>
        <v>魂を屠る黒影</v>
      </c>
      <c r="D85" s="83" t="str">
        <f ca="1">VLOOKUP($B85,OFFSET([2]quests!$A$1,0,0,COUNTA([2]quests!$A:$A),MATCH(D$1,[2]quests!$1:$1,0)-MATCH($B$1,[2]quests!$1:$1,0)+1),MATCH(D$1,[2]quests!$1:$1,0)-MATCH($B$1,[2]quests!$1:$1,0)+1,FALSE)</f>
        <v>エジプト01</v>
      </c>
      <c r="E85" s="87">
        <v>3</v>
      </c>
      <c r="F85" s="83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【上級】魂を屠る黒影</v>
      </c>
      <c r="G85" s="83" t="str">
        <f ca="1">VLOOKUP($B85&amp;"_"&amp;$E85,OFFSET([2]stages!$A$1,0,0,COUNTA([2]stages!$A:$A),MATCH(G$1,[2]stages!$2:$2,0)-MATCH("temp_stage",[2]stages!$2:$2,0)+1),MATCH(G$1,[2]stages!$2:$2,0)-MATCH("temp_stage",[2]stages!$2:$2,0)+1,FALSE)</f>
        <v>エジプト01</v>
      </c>
      <c r="H85" s="85">
        <v>0</v>
      </c>
      <c r="I85" s="96">
        <v>30</v>
      </c>
      <c r="J85" s="84" t="s">
        <v>198</v>
      </c>
      <c r="K85" s="93" t="str">
        <f>VLOOKUP(I85,[6]stage_hints!$A:$C,3,FALSE)</f>
        <v>「バグ」の増やし方</v>
      </c>
      <c r="L85" s="94" t="str">
        <f>VLOOKUP(I85,[6]stage_hints!$A:$D,4,FALSE)</f>
        <v>同じユニット同士を強化で合成すると_x000D_「バグ」を増やすことができます</v>
      </c>
      <c r="M85" s="57" t="s">
        <v>211</v>
      </c>
    </row>
    <row r="86" spans="1:13" x14ac:dyDescent="0.15">
      <c r="A86" s="81" t="s">
        <v>201</v>
      </c>
      <c r="B86" s="82">
        <f>floors!$C$2</f>
        <v>20018</v>
      </c>
      <c r="C86" s="83" t="str">
        <f ca="1">VLOOKUP($B86,OFFSET([2]quests!$A$1,0,0,COUNTA([2]quests!$A:$A),MATCH(C$1,[2]quests!$1:$1,0)-MATCH($B$1,[2]quests!$1:$1,0)+1),MATCH(C$1,[2]quests!$1:$1,0)-MATCH($B$1,[2]quests!$1:$1,0)+1,FALSE)</f>
        <v>魂を屠る黒影</v>
      </c>
      <c r="D86" s="83" t="str">
        <f ca="1">VLOOKUP($B86,OFFSET([2]quests!$A$1,0,0,COUNTA([2]quests!$A:$A),MATCH(D$1,[2]quests!$1:$1,0)-MATCH($B$1,[2]quests!$1:$1,0)+1),MATCH(D$1,[2]quests!$1:$1,0)-MATCH($B$1,[2]quests!$1:$1,0)+1,FALSE)</f>
        <v>エジプト01</v>
      </c>
      <c r="E86" s="87">
        <v>3</v>
      </c>
      <c r="F86" s="83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【上級】魂を屠る黒影</v>
      </c>
      <c r="G86" s="83" t="str">
        <f ca="1">VLOOKUP($B86&amp;"_"&amp;$E86,OFFSET([2]stages!$A$1,0,0,COUNTA([2]stages!$A:$A),MATCH(G$1,[2]stages!$2:$2,0)-MATCH("temp_stage",[2]stages!$2:$2,0)+1),MATCH(G$1,[2]stages!$2:$2,0)-MATCH("temp_stage",[2]stages!$2:$2,0)+1,FALSE)</f>
        <v>エジプト01</v>
      </c>
      <c r="H86" s="85">
        <v>0</v>
      </c>
      <c r="I86" s="96">
        <v>31</v>
      </c>
      <c r="J86" s="84" t="s">
        <v>198</v>
      </c>
      <c r="K86" s="93" t="str">
        <f>VLOOKUP(I86,[6]stage_hints!$A:$C,3,FALSE)</f>
        <v>イベントはお知らせでチェック</v>
      </c>
      <c r="L86" s="94" t="str">
        <f>VLOOKUP(I86,[6]stage_hints!$A:$D,4,FALSE)</f>
        <v>イベント限定ユニットを取り忘れないように_x000D_お知らせをこまめにチェックしましょう</v>
      </c>
      <c r="M86" s="57" t="s">
        <v>211</v>
      </c>
    </row>
    <row r="87" spans="1:13" x14ac:dyDescent="0.15">
      <c r="A87" s="81" t="s">
        <v>201</v>
      </c>
      <c r="B87" s="82">
        <f>floors!$C$2</f>
        <v>20018</v>
      </c>
      <c r="C87" s="83" t="str">
        <f ca="1">VLOOKUP($B87,OFFSET([2]quests!$A$1,0,0,COUNTA([2]quests!$A:$A),MATCH(C$1,[2]quests!$1:$1,0)-MATCH($B$1,[2]quests!$1:$1,0)+1),MATCH(C$1,[2]quests!$1:$1,0)-MATCH($B$1,[2]quests!$1:$1,0)+1,FALSE)</f>
        <v>魂を屠る黒影</v>
      </c>
      <c r="D87" s="83" t="str">
        <f ca="1">VLOOKUP($B87,OFFSET([2]quests!$A$1,0,0,COUNTA([2]quests!$A:$A),MATCH(D$1,[2]quests!$1:$1,0)-MATCH($B$1,[2]quests!$1:$1,0)+1),MATCH(D$1,[2]quests!$1:$1,0)-MATCH($B$1,[2]quests!$1:$1,0)+1,FALSE)</f>
        <v>エジプト01</v>
      </c>
      <c r="E87" s="87">
        <v>3</v>
      </c>
      <c r="F87" s="83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【上級】魂を屠る黒影</v>
      </c>
      <c r="G87" s="83" t="str">
        <f ca="1">VLOOKUP($B87&amp;"_"&amp;$E87,OFFSET([2]stages!$A$1,0,0,COUNTA([2]stages!$A:$A),MATCH(G$1,[2]stages!$2:$2,0)-MATCH("temp_stage",[2]stages!$2:$2,0)+1),MATCH(G$1,[2]stages!$2:$2,0)-MATCH("temp_stage",[2]stages!$2:$2,0)+1,FALSE)</f>
        <v>エジプト01</v>
      </c>
      <c r="H87" s="85">
        <v>0</v>
      </c>
      <c r="I87" s="96">
        <v>32</v>
      </c>
      <c r="J87" s="84" t="s">
        <v>198</v>
      </c>
      <c r="K87" s="93" t="str">
        <f>VLOOKUP(I87,[6]stage_hints!$A:$C,3,FALSE)</f>
        <v>敵の連続攻撃には</v>
      </c>
      <c r="L87" s="94" t="str">
        <f>VLOOKUP(I87,[6]stage_hints!$A:$D,4,FALSE)</f>
        <v>カウンタースキルを持つユニットがいれば_x000D_ダメージ回数分の反撃ができます</v>
      </c>
      <c r="M87" s="57" t="s">
        <v>211</v>
      </c>
    </row>
    <row r="88" spans="1:13" x14ac:dyDescent="0.15">
      <c r="A88" s="81" t="s">
        <v>201</v>
      </c>
      <c r="B88" s="82">
        <f>floors!$C$2</f>
        <v>20018</v>
      </c>
      <c r="C88" s="83" t="str">
        <f ca="1">VLOOKUP($B88,OFFSET([2]quests!$A$1,0,0,COUNTA([2]quests!$A:$A),MATCH(C$1,[2]quests!$1:$1,0)-MATCH($B$1,[2]quests!$1:$1,0)+1),MATCH(C$1,[2]quests!$1:$1,0)-MATCH($B$1,[2]quests!$1:$1,0)+1,FALSE)</f>
        <v>魂を屠る黒影</v>
      </c>
      <c r="D88" s="83" t="str">
        <f ca="1">VLOOKUP($B88,OFFSET([2]quests!$A$1,0,0,COUNTA([2]quests!$A:$A),MATCH(D$1,[2]quests!$1:$1,0)-MATCH($B$1,[2]quests!$1:$1,0)+1),MATCH(D$1,[2]quests!$1:$1,0)-MATCH($B$1,[2]quests!$1:$1,0)+1,FALSE)</f>
        <v>エジプト01</v>
      </c>
      <c r="E88" s="87">
        <v>3</v>
      </c>
      <c r="F88" s="83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【上級】魂を屠る黒影</v>
      </c>
      <c r="G88" s="83" t="str">
        <f ca="1">VLOOKUP($B88&amp;"_"&amp;$E88,OFFSET([2]stages!$A$1,0,0,COUNTA([2]stages!$A:$A),MATCH(G$1,[2]stages!$2:$2,0)-MATCH("temp_stage",[2]stages!$2:$2,0)+1),MATCH(G$1,[2]stages!$2:$2,0)-MATCH("temp_stage",[2]stages!$2:$2,0)+1,FALSE)</f>
        <v>エジプト01</v>
      </c>
      <c r="H88" s="85">
        <v>0</v>
      </c>
      <c r="I88" s="96">
        <v>33</v>
      </c>
      <c r="J88" s="84" t="s">
        <v>198</v>
      </c>
      <c r="K88" s="93" t="str">
        <f>VLOOKUP(I88,[6]stage_hints!$A:$C,3,FALSE)</f>
        <v>敵のカウンター攻撃には</v>
      </c>
      <c r="L88" s="94" t="str">
        <f>VLOOKUP(I88,[6]stage_hints!$A:$D,4,FALSE)</f>
        <v>カウンターブレイクスキルを持っていれば_x000D_敵のカウンターを解除して攻撃ができます</v>
      </c>
      <c r="M88" s="57" t="s">
        <v>211</v>
      </c>
    </row>
    <row r="89" spans="1:13" x14ac:dyDescent="0.15">
      <c r="A89" s="81" t="s">
        <v>201</v>
      </c>
      <c r="B89" s="82">
        <f>floors!$C$2</f>
        <v>20018</v>
      </c>
      <c r="C89" s="83" t="str">
        <f ca="1">VLOOKUP($B89,OFFSET([2]quests!$A$1,0,0,COUNTA([2]quests!$A:$A),MATCH(C$1,[2]quests!$1:$1,0)-MATCH($B$1,[2]quests!$1:$1,0)+1),MATCH(C$1,[2]quests!$1:$1,0)-MATCH($B$1,[2]quests!$1:$1,0)+1,FALSE)</f>
        <v>魂を屠る黒影</v>
      </c>
      <c r="D89" s="83" t="str">
        <f ca="1">VLOOKUP($B89,OFFSET([2]quests!$A$1,0,0,COUNTA([2]quests!$A:$A),MATCH(D$1,[2]quests!$1:$1,0)-MATCH($B$1,[2]quests!$1:$1,0)+1),MATCH(D$1,[2]quests!$1:$1,0)-MATCH($B$1,[2]quests!$1:$1,0)+1,FALSE)</f>
        <v>エジプト01</v>
      </c>
      <c r="E89" s="87">
        <v>3</v>
      </c>
      <c r="F89" s="83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【上級】魂を屠る黒影</v>
      </c>
      <c r="G89" s="83" t="str">
        <f ca="1">VLOOKUP($B89&amp;"_"&amp;$E89,OFFSET([2]stages!$A$1,0,0,COUNTA([2]stages!$A:$A),MATCH(G$1,[2]stages!$2:$2,0)-MATCH("temp_stage",[2]stages!$2:$2,0)+1),MATCH(G$1,[2]stages!$2:$2,0)-MATCH("temp_stage",[2]stages!$2:$2,0)+1,FALSE)</f>
        <v>エジプト01</v>
      </c>
      <c r="H89" s="85">
        <v>0</v>
      </c>
      <c r="I89" s="96">
        <v>34</v>
      </c>
      <c r="J89" s="84" t="s">
        <v>198</v>
      </c>
      <c r="K89" s="93" t="str">
        <f>VLOOKUP(I89,[6]stage_hints!$A:$C,3,FALSE)</f>
        <v>ステータスをスキルで下げられたら</v>
      </c>
      <c r="L89" s="94" t="str">
        <f>VLOOKUP(I89,[6]stage_hints!$A:$D,4,FALSE)</f>
        <v>ステータスダウンのスキルを受けたら_x000D_ステータスアップスキルで上書きしましょう</v>
      </c>
      <c r="M89" s="57" t="s">
        <v>211</v>
      </c>
    </row>
    <row r="90" spans="1:13" x14ac:dyDescent="0.15">
      <c r="A90" s="81" t="s">
        <v>201</v>
      </c>
      <c r="B90" s="82">
        <f>floors!$C$2</f>
        <v>20018</v>
      </c>
      <c r="C90" s="83" t="str">
        <f ca="1">VLOOKUP($B90,OFFSET([2]quests!$A$1,0,0,COUNTA([2]quests!$A:$A),MATCH(C$1,[2]quests!$1:$1,0)-MATCH($B$1,[2]quests!$1:$1,0)+1),MATCH(C$1,[2]quests!$1:$1,0)-MATCH($B$1,[2]quests!$1:$1,0)+1,FALSE)</f>
        <v>魂を屠る黒影</v>
      </c>
      <c r="D90" s="83" t="str">
        <f ca="1">VLOOKUP($B90,OFFSET([2]quests!$A$1,0,0,COUNTA([2]quests!$A:$A),MATCH(D$1,[2]quests!$1:$1,0)-MATCH($B$1,[2]quests!$1:$1,0)+1),MATCH(D$1,[2]quests!$1:$1,0)-MATCH($B$1,[2]quests!$1:$1,0)+1,FALSE)</f>
        <v>エジプト01</v>
      </c>
      <c r="E90" s="87">
        <v>3</v>
      </c>
      <c r="F90" s="83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【上級】魂を屠る黒影</v>
      </c>
      <c r="G90" s="83" t="str">
        <f ca="1">VLOOKUP($B90&amp;"_"&amp;$E90,OFFSET([2]stages!$A$1,0,0,COUNTA([2]stages!$A:$A),MATCH(G$1,[2]stages!$2:$2,0)-MATCH("temp_stage",[2]stages!$2:$2,0)+1),MATCH(G$1,[2]stages!$2:$2,0)-MATCH("temp_stage",[2]stages!$2:$2,0)+1,FALSE)</f>
        <v>エジプト01</v>
      </c>
      <c r="H90" s="85">
        <v>0</v>
      </c>
      <c r="I90" s="96">
        <v>35</v>
      </c>
      <c r="J90" s="84" t="s">
        <v>198</v>
      </c>
      <c r="K90" s="93" t="str">
        <f>VLOOKUP(I90,[6]stage_hints!$A:$C,3,FALSE)</f>
        <v>敵のステータスがスキルで上がったら</v>
      </c>
      <c r="L90" s="94" t="str">
        <f>VLOOKUP(I90,[6]stage_hints!$A:$D,4,FALSE)</f>
        <v>敵のステータスがスキルでアップしたときは_x000D_ステータスダウンスキルで上書きしましょう</v>
      </c>
      <c r="M90" s="57" t="s">
        <v>211</v>
      </c>
    </row>
    <row r="91" spans="1:13" x14ac:dyDescent="0.15">
      <c r="A91" s="81" t="s">
        <v>201</v>
      </c>
      <c r="B91" s="82">
        <f>floors!$C$2</f>
        <v>20018</v>
      </c>
      <c r="C91" s="83" t="str">
        <f ca="1">VLOOKUP($B91,OFFSET([2]quests!$A$1,0,0,COUNTA([2]quests!$A:$A),MATCH(C$1,[2]quests!$1:$1,0)-MATCH($B$1,[2]quests!$1:$1,0)+1),MATCH(C$1,[2]quests!$1:$1,0)-MATCH($B$1,[2]quests!$1:$1,0)+1,FALSE)</f>
        <v>魂を屠る黒影</v>
      </c>
      <c r="D91" s="83" t="str">
        <f ca="1">VLOOKUP($B91,OFFSET([2]quests!$A$1,0,0,COUNTA([2]quests!$A:$A),MATCH(D$1,[2]quests!$1:$1,0)-MATCH($B$1,[2]quests!$1:$1,0)+1),MATCH(D$1,[2]quests!$1:$1,0)-MATCH($B$1,[2]quests!$1:$1,0)+1,FALSE)</f>
        <v>エジプト01</v>
      </c>
      <c r="E91" s="87">
        <v>3</v>
      </c>
      <c r="F91" s="83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【上級】魂を屠る黒影</v>
      </c>
      <c r="G91" s="83" t="str">
        <f ca="1">VLOOKUP($B91&amp;"_"&amp;$E91,OFFSET([2]stages!$A$1,0,0,COUNTA([2]stages!$A:$A),MATCH(G$1,[2]stages!$2:$2,0)-MATCH("temp_stage",[2]stages!$2:$2,0)+1),MATCH(G$1,[2]stages!$2:$2,0)-MATCH("temp_stage",[2]stages!$2:$2,0)+1,FALSE)</f>
        <v>エジプト01</v>
      </c>
      <c r="H91" s="85">
        <v>0</v>
      </c>
      <c r="I91" s="96">
        <v>36</v>
      </c>
      <c r="J91" s="84" t="s">
        <v>198</v>
      </c>
      <c r="K91" s="93" t="str">
        <f>VLOOKUP(I91,[6]stage_hints!$A:$C,3,FALSE)</f>
        <v>タワーオブザクイーンのボス</v>
      </c>
      <c r="L91" s="94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7" t="s">
        <v>211</v>
      </c>
    </row>
    <row r="92" spans="1:13" x14ac:dyDescent="0.15">
      <c r="A92" s="81" t="s">
        <v>201</v>
      </c>
      <c r="B92" s="82">
        <f>floors!$C$2</f>
        <v>20018</v>
      </c>
      <c r="C92" s="83" t="str">
        <f ca="1">VLOOKUP($B92,OFFSET([2]quests!$A$1,0,0,COUNTA([2]quests!$A:$A),MATCH(C$1,[2]quests!$1:$1,0)-MATCH($B$1,[2]quests!$1:$1,0)+1),MATCH(C$1,[2]quests!$1:$1,0)-MATCH($B$1,[2]quests!$1:$1,0)+1,FALSE)</f>
        <v>魂を屠る黒影</v>
      </c>
      <c r="D92" s="83" t="str">
        <f ca="1">VLOOKUP($B92,OFFSET([2]quests!$A$1,0,0,COUNTA([2]quests!$A:$A),MATCH(D$1,[2]quests!$1:$1,0)-MATCH($B$1,[2]quests!$1:$1,0)+1),MATCH(D$1,[2]quests!$1:$1,0)-MATCH($B$1,[2]quests!$1:$1,0)+1,FALSE)</f>
        <v>エジプト01</v>
      </c>
      <c r="E92" s="87">
        <v>3</v>
      </c>
      <c r="F92" s="83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【上級】魂を屠る黒影</v>
      </c>
      <c r="G92" s="83" t="str">
        <f ca="1">VLOOKUP($B92&amp;"_"&amp;$E92,OFFSET([2]stages!$A$1,0,0,COUNTA([2]stages!$A:$A),MATCH(G$1,[2]stages!$2:$2,0)-MATCH("temp_stage",[2]stages!$2:$2,0)+1),MATCH(G$1,[2]stages!$2:$2,0)-MATCH("temp_stage",[2]stages!$2:$2,0)+1,FALSE)</f>
        <v>エジプト01</v>
      </c>
      <c r="H92" s="85">
        <v>0</v>
      </c>
      <c r="I92" s="96">
        <v>37</v>
      </c>
      <c r="J92" s="84" t="s">
        <v>198</v>
      </c>
      <c r="K92" s="93" t="str">
        <f>VLOOKUP(I92,[6]stage_hints!$A:$C,3,FALSE)</f>
        <v>限界突破値の引き継ぎ</v>
      </c>
      <c r="L92" s="94" t="str">
        <f>VLOOKUP(I92,[6]stage_hints!$A:$D,4,FALSE)</f>
        <v>同じユニットを強化で合成すると_x000D_限界突破値を引き継げます（覚醒前後も可）</v>
      </c>
      <c r="M92" s="57" t="s">
        <v>211</v>
      </c>
    </row>
    <row r="93" spans="1:13" x14ac:dyDescent="0.15">
      <c r="A93" s="81" t="s">
        <v>201</v>
      </c>
      <c r="B93" s="82">
        <f>floors!$C$2</f>
        <v>20018</v>
      </c>
      <c r="C93" s="83" t="str">
        <f ca="1">VLOOKUP($B93,OFFSET([2]quests!$A$1,0,0,COUNTA([2]quests!$A:$A),MATCH(C$1,[2]quests!$1:$1,0)-MATCH($B$1,[2]quests!$1:$1,0)+1),MATCH(C$1,[2]quests!$1:$1,0)-MATCH($B$1,[2]quests!$1:$1,0)+1,FALSE)</f>
        <v>魂を屠る黒影</v>
      </c>
      <c r="D93" s="83" t="str">
        <f ca="1">VLOOKUP($B93,OFFSET([2]quests!$A$1,0,0,COUNTA([2]quests!$A:$A),MATCH(D$1,[2]quests!$1:$1,0)-MATCH($B$1,[2]quests!$1:$1,0)+1),MATCH(D$1,[2]quests!$1:$1,0)-MATCH($B$1,[2]quests!$1:$1,0)+1,FALSE)</f>
        <v>エジプト01</v>
      </c>
      <c r="E93" s="87">
        <v>3</v>
      </c>
      <c r="F93" s="83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【上級】魂を屠る黒影</v>
      </c>
      <c r="G93" s="83" t="str">
        <f ca="1">VLOOKUP($B93&amp;"_"&amp;$E93,OFFSET([2]stages!$A$1,0,0,COUNTA([2]stages!$A:$A),MATCH(G$1,[2]stages!$2:$2,0)-MATCH("temp_stage",[2]stages!$2:$2,0)+1),MATCH(G$1,[2]stages!$2:$2,0)-MATCH("temp_stage",[2]stages!$2:$2,0)+1,FALSE)</f>
        <v>エジプト01</v>
      </c>
      <c r="H93" s="85">
        <v>0</v>
      </c>
      <c r="I93" s="96">
        <v>39</v>
      </c>
      <c r="J93" s="84" t="s">
        <v>198</v>
      </c>
      <c r="K93" s="93" t="str">
        <f>VLOOKUP(I93,[6]stage_hints!$A:$C,3,FALSE)</f>
        <v>システム適合者を確認</v>
      </c>
      <c r="L93" s="94" t="str">
        <f>VLOOKUP(I93,[6]stage_hints!$A:$D,4,FALSE)</f>
        <v>ALICEが 「アナタ」を呼んでいます</v>
      </c>
      <c r="M93" s="57" t="s">
        <v>211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0"/>
  <sheetViews>
    <sheetView showGridLines="0" workbookViewId="0">
      <pane ySplit="1" topLeftCell="A2" activePane="bottomLeft" state="frozen"/>
      <selection pane="bottomLeft" activeCell="M5" sqref="M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151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56" x14ac:dyDescent="0.15">
      <c r="A2" s="81" t="s">
        <v>197</v>
      </c>
      <c r="B2" s="82">
        <f>floors!$C$2</f>
        <v>20018</v>
      </c>
      <c r="C2" s="83" t="str">
        <f ca="1">VLOOKUP($B2,OFFSET([2]quests!$A$1,0,0,COUNTA([2]quests!$A:$A),MATCH(C$1,[2]quests!$1:$1,0)-MATCH($B$1,[2]quests!$1:$1,0)+1),MATCH(C$1,[2]quests!$1:$1,0)-MATCH($B$1,[2]quests!$1:$1,0)+1,FALSE)</f>
        <v>魂を屠る黒影</v>
      </c>
      <c r="D2" s="83" t="str">
        <f ca="1">VLOOKUP($B2,OFFSET([2]quests!$A$1,0,0,COUNTA([2]quests!$A:$A),MATCH(D$1,[2]quests!$1:$1,0)-MATCH($B$1,[2]quests!$1:$1,0)+1),MATCH(D$1,[2]quests!$1:$1,0)-MATCH($B$1,[2]quests!$1:$1,0)+1,FALSE)</f>
        <v>エジプト01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【初級】魂を屠る黒影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エジプト01</v>
      </c>
      <c r="H2" s="85">
        <v>3</v>
      </c>
      <c r="I2" s="90">
        <f>ROW()-1</f>
        <v>1</v>
      </c>
      <c r="J2" s="86" t="str">
        <f>B2&amp;TEXT(I2,"00")</f>
        <v>2001801</v>
      </c>
      <c r="K2" s="84" t="s">
        <v>198</v>
      </c>
      <c r="L2" s="87" t="s">
        <v>199</v>
      </c>
      <c r="M2" s="105" t="s">
        <v>286</v>
      </c>
      <c r="N2" s="57" t="s">
        <v>200</v>
      </c>
    </row>
    <row r="3" spans="1:14" ht="56" x14ac:dyDescent="0.15">
      <c r="A3" s="81" t="s">
        <v>197</v>
      </c>
      <c r="B3" s="82">
        <f>floors!$C$2</f>
        <v>20018</v>
      </c>
      <c r="C3" s="83" t="str">
        <f ca="1">VLOOKUP($B3,OFFSET([2]quests!$A$1,0,0,COUNTA([2]quests!$A:$A),MATCH(C$1,[2]quests!$1:$1,0)-MATCH($B$1,[2]quests!$1:$1,0)+1),MATCH(C$1,[2]quests!$1:$1,0)-MATCH($B$1,[2]quests!$1:$1,0)+1,FALSE)</f>
        <v>魂を屠る黒影</v>
      </c>
      <c r="D3" s="83" t="str">
        <f ca="1">VLOOKUP($B3,OFFSET([2]quests!$A$1,0,0,COUNTA([2]quests!$A:$A),MATCH(D$1,[2]quests!$1:$1,0)-MATCH($B$1,[2]quests!$1:$1,0)+1),MATCH(D$1,[2]quests!$1:$1,0)-MATCH($B$1,[2]quests!$1:$1,0)+1,FALSE)</f>
        <v>エジプト01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【初級】魂を屠る黒影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エジプト01</v>
      </c>
      <c r="H3" s="85">
        <v>4</v>
      </c>
      <c r="I3" s="90">
        <f t="shared" ref="I3:I10" si="0">ROW()-1</f>
        <v>2</v>
      </c>
      <c r="J3" s="86" t="str">
        <f t="shared" ref="J3:J10" si="1">B3&amp;TEXT(I3,"00")</f>
        <v>2001802</v>
      </c>
      <c r="K3" s="84" t="s">
        <v>198</v>
      </c>
      <c r="L3" s="87" t="s">
        <v>199</v>
      </c>
      <c r="M3" s="105" t="s">
        <v>284</v>
      </c>
      <c r="N3" s="57" t="s">
        <v>200</v>
      </c>
    </row>
    <row r="4" spans="1:14" ht="70" x14ac:dyDescent="0.15">
      <c r="A4" s="81" t="s">
        <v>197</v>
      </c>
      <c r="B4" s="82">
        <f>floors!$C$2</f>
        <v>20018</v>
      </c>
      <c r="C4" s="83" t="str">
        <f ca="1">VLOOKUP($B4,OFFSET([2]quests!$A$1,0,0,COUNTA([2]quests!$A:$A),MATCH(C$1,[2]quests!$1:$1,0)-MATCH($B$1,[2]quests!$1:$1,0)+1),MATCH(C$1,[2]quests!$1:$1,0)-MATCH($B$1,[2]quests!$1:$1,0)+1,FALSE)</f>
        <v>魂を屠る黒影</v>
      </c>
      <c r="D4" s="83" t="str">
        <f ca="1">VLOOKUP($B4,OFFSET([2]quests!$A$1,0,0,COUNTA([2]quests!$A:$A),MATCH(D$1,[2]quests!$1:$1,0)-MATCH($B$1,[2]quests!$1:$1,0)+1),MATCH(D$1,[2]quests!$1:$1,0)-MATCH($B$1,[2]quests!$1:$1,0)+1,FALSE)</f>
        <v>エジプト01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【初級】魂を屠る黒影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エジプト01</v>
      </c>
      <c r="H4" s="85">
        <v>4</v>
      </c>
      <c r="I4" s="90">
        <f t="shared" si="0"/>
        <v>3</v>
      </c>
      <c r="J4" s="86" t="str">
        <f t="shared" si="1"/>
        <v>2001803</v>
      </c>
      <c r="K4" s="84" t="s">
        <v>198</v>
      </c>
      <c r="L4" s="87" t="s">
        <v>199</v>
      </c>
      <c r="M4" s="105" t="s">
        <v>285</v>
      </c>
      <c r="N4" s="57" t="s">
        <v>200</v>
      </c>
    </row>
    <row r="5" spans="1:14" ht="56" x14ac:dyDescent="0.15">
      <c r="A5" s="81" t="s">
        <v>197</v>
      </c>
      <c r="B5" s="82">
        <f>floors!$C$2</f>
        <v>20018</v>
      </c>
      <c r="C5" s="83" t="str">
        <f ca="1">VLOOKUP($B5,OFFSET([2]quests!$A$1,0,0,COUNTA([2]quests!$A:$A),MATCH(C$1,[2]quests!$1:$1,0)-MATCH($B$1,[2]quests!$1:$1,0)+1),MATCH(C$1,[2]quests!$1:$1,0)-MATCH($B$1,[2]quests!$1:$1,0)+1,FALSE)</f>
        <v>魂を屠る黒影</v>
      </c>
      <c r="D5" s="83" t="str">
        <f ca="1">VLOOKUP($B5,OFFSET([2]quests!$A$1,0,0,COUNTA([2]quests!$A:$A),MATCH(D$1,[2]quests!$1:$1,0)-MATCH($B$1,[2]quests!$1:$1,0)+1),MATCH(D$1,[2]quests!$1:$1,0)-MATCH($B$1,[2]quests!$1:$1,0)+1,FALSE)</f>
        <v>エジプト01</v>
      </c>
      <c r="E5" s="84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【中級】魂を屠る黒影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エジプト01</v>
      </c>
      <c r="H5" s="85">
        <v>3</v>
      </c>
      <c r="I5" s="90">
        <f t="shared" si="0"/>
        <v>4</v>
      </c>
      <c r="J5" s="86" t="str">
        <f t="shared" si="1"/>
        <v>2001804</v>
      </c>
      <c r="K5" s="84" t="s">
        <v>198</v>
      </c>
      <c r="L5" s="87" t="s">
        <v>199</v>
      </c>
      <c r="M5" s="105" t="s">
        <v>283</v>
      </c>
      <c r="N5" s="57" t="s">
        <v>200</v>
      </c>
    </row>
    <row r="6" spans="1:14" ht="56" x14ac:dyDescent="0.15">
      <c r="A6" s="81" t="s">
        <v>197</v>
      </c>
      <c r="B6" s="82">
        <f>floors!$C$2</f>
        <v>20018</v>
      </c>
      <c r="C6" s="83" t="str">
        <f ca="1">VLOOKUP($B6,OFFSET([2]quests!$A$1,0,0,COUNTA([2]quests!$A:$A),MATCH(C$1,[2]quests!$1:$1,0)-MATCH($B$1,[2]quests!$1:$1,0)+1),MATCH(C$1,[2]quests!$1:$1,0)-MATCH($B$1,[2]quests!$1:$1,0)+1,FALSE)</f>
        <v>魂を屠る黒影</v>
      </c>
      <c r="D6" s="83" t="str">
        <f ca="1">VLOOKUP($B6,OFFSET([2]quests!$A$1,0,0,COUNTA([2]quests!$A:$A),MATCH(D$1,[2]quests!$1:$1,0)-MATCH($B$1,[2]quests!$1:$1,0)+1),MATCH(D$1,[2]quests!$1:$1,0)-MATCH($B$1,[2]quests!$1:$1,0)+1,FALSE)</f>
        <v>エジプト01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【中級】魂を屠る黒影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エジプト01</v>
      </c>
      <c r="H6" s="85">
        <v>4</v>
      </c>
      <c r="I6" s="90">
        <f t="shared" si="0"/>
        <v>5</v>
      </c>
      <c r="J6" s="86" t="str">
        <f t="shared" si="1"/>
        <v>2001805</v>
      </c>
      <c r="K6" s="84" t="s">
        <v>198</v>
      </c>
      <c r="L6" s="87" t="s">
        <v>199</v>
      </c>
      <c r="M6" s="105" t="s">
        <v>284</v>
      </c>
      <c r="N6" s="57" t="s">
        <v>200</v>
      </c>
    </row>
    <row r="7" spans="1:14" ht="70" x14ac:dyDescent="0.15">
      <c r="A7" s="81" t="s">
        <v>197</v>
      </c>
      <c r="B7" s="82">
        <f>floors!$C$2</f>
        <v>20018</v>
      </c>
      <c r="C7" s="83" t="str">
        <f ca="1">VLOOKUP($B7,OFFSET([2]quests!$A$1,0,0,COUNTA([2]quests!$A:$A),MATCH(C$1,[2]quests!$1:$1,0)-MATCH($B$1,[2]quests!$1:$1,0)+1),MATCH(C$1,[2]quests!$1:$1,0)-MATCH($B$1,[2]quests!$1:$1,0)+1,FALSE)</f>
        <v>魂を屠る黒影</v>
      </c>
      <c r="D7" s="83" t="str">
        <f ca="1">VLOOKUP($B7,OFFSET([2]quests!$A$1,0,0,COUNTA([2]quests!$A:$A),MATCH(D$1,[2]quests!$1:$1,0)-MATCH($B$1,[2]quests!$1:$1,0)+1),MATCH(D$1,[2]quests!$1:$1,0)-MATCH($B$1,[2]quests!$1:$1,0)+1,FALSE)</f>
        <v>エジプト01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【中級】魂を屠る黒影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エジプト01</v>
      </c>
      <c r="H7" s="85">
        <v>4</v>
      </c>
      <c r="I7" s="90">
        <f t="shared" si="0"/>
        <v>6</v>
      </c>
      <c r="J7" s="86" t="str">
        <f t="shared" si="1"/>
        <v>2001806</v>
      </c>
      <c r="K7" s="84" t="s">
        <v>198</v>
      </c>
      <c r="L7" s="87" t="s">
        <v>199</v>
      </c>
      <c r="M7" s="105" t="s">
        <v>285</v>
      </c>
      <c r="N7" s="57" t="s">
        <v>200</v>
      </c>
    </row>
    <row r="8" spans="1:14" ht="56" x14ac:dyDescent="0.15">
      <c r="A8" s="81" t="s">
        <v>197</v>
      </c>
      <c r="B8" s="82">
        <f>floors!$C$2</f>
        <v>20018</v>
      </c>
      <c r="C8" s="83" t="str">
        <f ca="1">VLOOKUP($B8,OFFSET([2]quests!$A$1,0,0,COUNTA([2]quests!$A:$A),MATCH(C$1,[2]quests!$1:$1,0)-MATCH($B$1,[2]quests!$1:$1,0)+1),MATCH(C$1,[2]quests!$1:$1,0)-MATCH($B$1,[2]quests!$1:$1,0)+1,FALSE)</f>
        <v>魂を屠る黒影</v>
      </c>
      <c r="D8" s="83" t="str">
        <f ca="1">VLOOKUP($B8,OFFSET([2]quests!$A$1,0,0,COUNTA([2]quests!$A:$A),MATCH(D$1,[2]quests!$1:$1,0)-MATCH($B$1,[2]quests!$1:$1,0)+1),MATCH(D$1,[2]quests!$1:$1,0)-MATCH($B$1,[2]quests!$1:$1,0)+1,FALSE)</f>
        <v>エジプト01</v>
      </c>
      <c r="E8" s="84">
        <v>3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【上級】魂を屠る黒影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エジプト01</v>
      </c>
      <c r="H8" s="85">
        <v>3</v>
      </c>
      <c r="I8" s="90">
        <f t="shared" si="0"/>
        <v>7</v>
      </c>
      <c r="J8" s="86" t="str">
        <f t="shared" si="1"/>
        <v>2001807</v>
      </c>
      <c r="K8" s="84" t="s">
        <v>198</v>
      </c>
      <c r="L8" s="87" t="s">
        <v>199</v>
      </c>
      <c r="M8" s="105" t="s">
        <v>283</v>
      </c>
      <c r="N8" s="57" t="s">
        <v>200</v>
      </c>
    </row>
    <row r="9" spans="1:14" ht="56" x14ac:dyDescent="0.15">
      <c r="A9" s="81" t="s">
        <v>197</v>
      </c>
      <c r="B9" s="82">
        <f>floors!$C$2</f>
        <v>20018</v>
      </c>
      <c r="C9" s="83" t="str">
        <f ca="1">VLOOKUP($B9,OFFSET([2]quests!$A$1,0,0,COUNTA([2]quests!$A:$A),MATCH(C$1,[2]quests!$1:$1,0)-MATCH($B$1,[2]quests!$1:$1,0)+1),MATCH(C$1,[2]quests!$1:$1,0)-MATCH($B$1,[2]quests!$1:$1,0)+1,FALSE)</f>
        <v>魂を屠る黒影</v>
      </c>
      <c r="D9" s="83" t="str">
        <f ca="1">VLOOKUP($B9,OFFSET([2]quests!$A$1,0,0,COUNTA([2]quests!$A:$A),MATCH(D$1,[2]quests!$1:$1,0)-MATCH($B$1,[2]quests!$1:$1,0)+1),MATCH(D$1,[2]quests!$1:$1,0)-MATCH($B$1,[2]quests!$1:$1,0)+1,FALSE)</f>
        <v>エジプト01</v>
      </c>
      <c r="E9" s="84">
        <v>3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【上級】魂を屠る黒影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エジプト01</v>
      </c>
      <c r="H9" s="85">
        <v>4</v>
      </c>
      <c r="I9" s="90">
        <f t="shared" si="0"/>
        <v>8</v>
      </c>
      <c r="J9" s="86" t="str">
        <f t="shared" si="1"/>
        <v>2001808</v>
      </c>
      <c r="K9" s="84" t="s">
        <v>198</v>
      </c>
      <c r="L9" s="87" t="s">
        <v>199</v>
      </c>
      <c r="M9" s="105" t="s">
        <v>284</v>
      </c>
      <c r="N9" s="57" t="s">
        <v>200</v>
      </c>
    </row>
    <row r="10" spans="1:14" ht="70" x14ac:dyDescent="0.15">
      <c r="A10" s="81" t="s">
        <v>197</v>
      </c>
      <c r="B10" s="82">
        <f>floors!$C$2</f>
        <v>20018</v>
      </c>
      <c r="C10" s="83" t="str">
        <f ca="1">VLOOKUP($B10,OFFSET([2]quests!$A$1,0,0,COUNTA([2]quests!$A:$A),MATCH(C$1,[2]quests!$1:$1,0)-MATCH($B$1,[2]quests!$1:$1,0)+1),MATCH(C$1,[2]quests!$1:$1,0)-MATCH($B$1,[2]quests!$1:$1,0)+1,FALSE)</f>
        <v>魂を屠る黒影</v>
      </c>
      <c r="D10" s="83" t="str">
        <f ca="1">VLOOKUP($B10,OFFSET([2]quests!$A$1,0,0,COUNTA([2]quests!$A:$A),MATCH(D$1,[2]quests!$1:$1,0)-MATCH($B$1,[2]quests!$1:$1,0)+1),MATCH(D$1,[2]quests!$1:$1,0)-MATCH($B$1,[2]quests!$1:$1,0)+1,FALSE)</f>
        <v>エジプト01</v>
      </c>
      <c r="E10" s="84">
        <v>3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【上級】魂を屠る黒影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エジプト01</v>
      </c>
      <c r="H10" s="85">
        <v>4</v>
      </c>
      <c r="I10" s="90">
        <f t="shared" si="0"/>
        <v>9</v>
      </c>
      <c r="J10" s="86" t="str">
        <f t="shared" si="1"/>
        <v>2001809</v>
      </c>
      <c r="K10" s="84" t="s">
        <v>198</v>
      </c>
      <c r="L10" s="87" t="s">
        <v>199</v>
      </c>
      <c r="M10" s="105" t="s">
        <v>285</v>
      </c>
      <c r="N10" s="57" t="s">
        <v>200</v>
      </c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C8" sqref="C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214</v>
      </c>
      <c r="B1" s="98" t="s">
        <v>215</v>
      </c>
      <c r="C1" s="77" t="s">
        <v>216</v>
      </c>
      <c r="D1" s="77" t="s">
        <v>33</v>
      </c>
      <c r="E1" s="98" t="s">
        <v>217</v>
      </c>
      <c r="F1" s="77" t="s">
        <v>218</v>
      </c>
      <c r="G1" s="77" t="s">
        <v>33</v>
      </c>
      <c r="H1" s="98" t="s">
        <v>219</v>
      </c>
      <c r="I1" s="98" t="s">
        <v>220</v>
      </c>
      <c r="J1" s="98" t="s">
        <v>221</v>
      </c>
      <c r="K1" s="73" t="s">
        <v>222</v>
      </c>
      <c r="L1" s="73" t="s">
        <v>223</v>
      </c>
      <c r="M1" s="73" t="s">
        <v>157</v>
      </c>
      <c r="N1" s="77" t="s">
        <v>16</v>
      </c>
      <c r="O1" s="73" t="s">
        <v>224</v>
      </c>
      <c r="P1" s="73" t="s">
        <v>57</v>
      </c>
      <c r="Q1" s="73" t="s">
        <v>225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226</v>
      </c>
      <c r="X1" s="73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2017-03-08T03:51:39Z</dcterms:modified>
</cp:coreProperties>
</file>