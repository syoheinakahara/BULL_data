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840" yWindow="460" windowWidth="28900" windowHeight="1460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failure" sheetId="19" r:id="rId9"/>
    <sheet name="stage_hints_complete" sheetId="20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6" hidden="1">enemy_skill_sets!$A$1:$R$1</definedName>
    <definedName name="_xlnm._FilterDatabase" localSheetId="5" hidden="1">enemy_skill_triggers!$A$1:$G$41</definedName>
    <definedName name="_xlnm._FilterDatabase" localSheetId="4" hidden="1">enemy_skills!$A$1:$AB$1</definedName>
    <definedName name="_xlnm._FilterDatabase" localSheetId="9" hidden="1">stage_hints_complete!$C$1:$N$1</definedName>
    <definedName name="_xlnm._FilterDatabase" localSheetId="8" hidden="1">stage_hints_failure!$C$1:$N$2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7" i="9" l="1"/>
  <c r="D37" i="9"/>
  <c r="E37" i="9"/>
  <c r="G37" i="9"/>
  <c r="H37" i="9"/>
  <c r="I37" i="9"/>
  <c r="J37" i="9"/>
  <c r="K37" i="9"/>
  <c r="L37" i="9"/>
  <c r="M37" i="9"/>
  <c r="N37" i="9"/>
  <c r="J45" i="11"/>
  <c r="O37" i="9"/>
  <c r="A38" i="9"/>
  <c r="D38" i="9"/>
  <c r="E38" i="9"/>
  <c r="G38" i="9"/>
  <c r="H38" i="9"/>
  <c r="I38" i="9"/>
  <c r="J38" i="9"/>
  <c r="K38" i="9"/>
  <c r="L38" i="9"/>
  <c r="M38" i="9"/>
  <c r="N38" i="9"/>
  <c r="J46" i="11"/>
  <c r="O38" i="9"/>
  <c r="A39" i="9"/>
  <c r="D39" i="9"/>
  <c r="E39" i="9"/>
  <c r="G39" i="9"/>
  <c r="H39" i="9"/>
  <c r="I39" i="9"/>
  <c r="J39" i="9"/>
  <c r="K39" i="9"/>
  <c r="L39" i="9"/>
  <c r="M39" i="9"/>
  <c r="N39" i="9"/>
  <c r="J47" i="11"/>
  <c r="O39" i="9"/>
  <c r="A40" i="9"/>
  <c r="D40" i="9"/>
  <c r="E40" i="9"/>
  <c r="G40" i="9"/>
  <c r="H40" i="9"/>
  <c r="I40" i="9"/>
  <c r="J40" i="9"/>
  <c r="K40" i="9"/>
  <c r="L40" i="9"/>
  <c r="M40" i="9"/>
  <c r="N40" i="9"/>
  <c r="J48" i="11"/>
  <c r="O40" i="9"/>
  <c r="A33" i="9"/>
  <c r="D33" i="9"/>
  <c r="E33" i="9"/>
  <c r="G33" i="9"/>
  <c r="H33" i="9"/>
  <c r="I33" i="9"/>
  <c r="J33" i="9"/>
  <c r="K33" i="9"/>
  <c r="L33" i="9"/>
  <c r="M33" i="9"/>
  <c r="N33" i="9"/>
  <c r="O33" i="9"/>
  <c r="A34" i="9"/>
  <c r="D34" i="9"/>
  <c r="E34" i="9"/>
  <c r="G34" i="9"/>
  <c r="H34" i="9"/>
  <c r="I34" i="9"/>
  <c r="J34" i="9"/>
  <c r="K34" i="9"/>
  <c r="L34" i="9"/>
  <c r="M34" i="9"/>
  <c r="N34" i="9"/>
  <c r="O34" i="9"/>
  <c r="A35" i="9"/>
  <c r="D35" i="9"/>
  <c r="E35" i="9"/>
  <c r="G35" i="9"/>
  <c r="H35" i="9"/>
  <c r="I35" i="9"/>
  <c r="J35" i="9"/>
  <c r="K35" i="9"/>
  <c r="L35" i="9"/>
  <c r="M35" i="9"/>
  <c r="N35" i="9"/>
  <c r="O35" i="9"/>
  <c r="A36" i="9"/>
  <c r="D36" i="9"/>
  <c r="E36" i="9"/>
  <c r="G36" i="9"/>
  <c r="H36" i="9"/>
  <c r="I36" i="9"/>
  <c r="J36" i="9"/>
  <c r="K36" i="9"/>
  <c r="L36" i="9"/>
  <c r="M36" i="9"/>
  <c r="N36" i="9"/>
  <c r="O36" i="9"/>
  <c r="M3" i="20"/>
  <c r="N3" i="20"/>
  <c r="M4" i="20"/>
  <c r="N4" i="20"/>
  <c r="M5" i="20"/>
  <c r="N5" i="20"/>
  <c r="M6" i="20"/>
  <c r="N6" i="20"/>
  <c r="M7" i="20"/>
  <c r="N7" i="20"/>
  <c r="M8" i="20"/>
  <c r="N8" i="20"/>
  <c r="M9" i="20"/>
  <c r="N9" i="20"/>
  <c r="M10" i="20"/>
  <c r="N10" i="20"/>
  <c r="M11" i="20"/>
  <c r="N11" i="20"/>
  <c r="M12" i="20"/>
  <c r="N12" i="20"/>
  <c r="M13" i="20"/>
  <c r="N13" i="20"/>
  <c r="M14" i="20"/>
  <c r="N14" i="20"/>
  <c r="M15" i="20"/>
  <c r="N15" i="20"/>
  <c r="M16" i="20"/>
  <c r="N16" i="20"/>
  <c r="M17" i="20"/>
  <c r="N17" i="20"/>
  <c r="M18" i="20"/>
  <c r="N18" i="20"/>
  <c r="M19" i="20"/>
  <c r="N19" i="20"/>
  <c r="M20" i="20"/>
  <c r="N20" i="20"/>
  <c r="M21" i="20"/>
  <c r="N21" i="20"/>
  <c r="M22" i="20"/>
  <c r="N22" i="20"/>
  <c r="M23" i="20"/>
  <c r="N23" i="20"/>
  <c r="M24" i="20"/>
  <c r="N24" i="20"/>
  <c r="M25" i="20"/>
  <c r="N25" i="20"/>
  <c r="N2" i="20"/>
  <c r="M2" i="20"/>
  <c r="C25" i="20"/>
  <c r="J25" i="20"/>
  <c r="H25" i="20"/>
  <c r="G25" i="20"/>
  <c r="E25" i="20"/>
  <c r="D25" i="20"/>
  <c r="A25" i="20"/>
  <c r="C24" i="20"/>
  <c r="J24" i="20"/>
  <c r="H24" i="20"/>
  <c r="G24" i="20"/>
  <c r="E24" i="20"/>
  <c r="D24" i="20"/>
  <c r="A24" i="20"/>
  <c r="C23" i="20"/>
  <c r="J23" i="20"/>
  <c r="H23" i="20"/>
  <c r="G23" i="20"/>
  <c r="E23" i="20"/>
  <c r="D23" i="20"/>
  <c r="A23" i="20"/>
  <c r="C22" i="20"/>
  <c r="J22" i="20"/>
  <c r="H22" i="20"/>
  <c r="G22" i="20"/>
  <c r="E22" i="20"/>
  <c r="D22" i="20"/>
  <c r="A22" i="20"/>
  <c r="C21" i="20"/>
  <c r="J21" i="20"/>
  <c r="H21" i="20"/>
  <c r="G21" i="20"/>
  <c r="E21" i="20"/>
  <c r="D21" i="20"/>
  <c r="A21" i="20"/>
  <c r="C20" i="20"/>
  <c r="J20" i="20"/>
  <c r="H20" i="20"/>
  <c r="G20" i="20"/>
  <c r="E20" i="20"/>
  <c r="D20" i="20"/>
  <c r="A20" i="20"/>
  <c r="C19" i="20"/>
  <c r="J19" i="20"/>
  <c r="H19" i="20"/>
  <c r="G19" i="20"/>
  <c r="E19" i="20"/>
  <c r="D19" i="20"/>
  <c r="A19" i="20"/>
  <c r="C18" i="20"/>
  <c r="J18" i="20"/>
  <c r="H18" i="20"/>
  <c r="G18" i="20"/>
  <c r="E18" i="20"/>
  <c r="D18" i="20"/>
  <c r="A18" i="20"/>
  <c r="C17" i="20"/>
  <c r="J17" i="20"/>
  <c r="H17" i="20"/>
  <c r="G17" i="20"/>
  <c r="E17" i="20"/>
  <c r="D17" i="20"/>
  <c r="A17" i="20"/>
  <c r="C16" i="20"/>
  <c r="J16" i="20"/>
  <c r="H16" i="20"/>
  <c r="G16" i="20"/>
  <c r="E16" i="20"/>
  <c r="D16" i="20"/>
  <c r="A16" i="20"/>
  <c r="C15" i="20"/>
  <c r="J15" i="20"/>
  <c r="H15" i="20"/>
  <c r="G15" i="20"/>
  <c r="E15" i="20"/>
  <c r="D15" i="20"/>
  <c r="A15" i="20"/>
  <c r="C14" i="20"/>
  <c r="J14" i="20"/>
  <c r="H14" i="20"/>
  <c r="G14" i="20"/>
  <c r="E14" i="20"/>
  <c r="D14" i="20"/>
  <c r="A14" i="20"/>
  <c r="C13" i="20"/>
  <c r="J13" i="20"/>
  <c r="H13" i="20"/>
  <c r="G13" i="20"/>
  <c r="E13" i="20"/>
  <c r="D13" i="20"/>
  <c r="A13" i="20"/>
  <c r="C12" i="20"/>
  <c r="J12" i="20"/>
  <c r="H12" i="20"/>
  <c r="G12" i="20"/>
  <c r="E12" i="20"/>
  <c r="D12" i="20"/>
  <c r="A12" i="20"/>
  <c r="C11" i="20"/>
  <c r="J11" i="20"/>
  <c r="H11" i="20"/>
  <c r="G11" i="20"/>
  <c r="E11" i="20"/>
  <c r="D11" i="20"/>
  <c r="A11" i="20"/>
  <c r="C10" i="20"/>
  <c r="J10" i="20"/>
  <c r="H10" i="20"/>
  <c r="G10" i="20"/>
  <c r="E10" i="20"/>
  <c r="D10" i="20"/>
  <c r="A10" i="20"/>
  <c r="C9" i="20"/>
  <c r="J9" i="20"/>
  <c r="H9" i="20"/>
  <c r="G9" i="20"/>
  <c r="E9" i="20"/>
  <c r="D9" i="20"/>
  <c r="A9" i="20"/>
  <c r="C8" i="20"/>
  <c r="J8" i="20"/>
  <c r="H8" i="20"/>
  <c r="G8" i="20"/>
  <c r="E8" i="20"/>
  <c r="D8" i="20"/>
  <c r="A8" i="20"/>
  <c r="C7" i="20"/>
  <c r="J7" i="20"/>
  <c r="H7" i="20"/>
  <c r="G7" i="20"/>
  <c r="E7" i="20"/>
  <c r="D7" i="20"/>
  <c r="A7" i="20"/>
  <c r="C6" i="20"/>
  <c r="J6" i="20"/>
  <c r="H6" i="20"/>
  <c r="G6" i="20"/>
  <c r="E6" i="20"/>
  <c r="D6" i="20"/>
  <c r="A6" i="20"/>
  <c r="C5" i="20"/>
  <c r="J5" i="20"/>
  <c r="H5" i="20"/>
  <c r="G5" i="20"/>
  <c r="E5" i="20"/>
  <c r="D5" i="20"/>
  <c r="A5" i="20"/>
  <c r="C4" i="20"/>
  <c r="J4" i="20"/>
  <c r="H4" i="20"/>
  <c r="G4" i="20"/>
  <c r="E4" i="20"/>
  <c r="D4" i="20"/>
  <c r="A4" i="20"/>
  <c r="C3" i="20"/>
  <c r="J3" i="20"/>
  <c r="H3" i="20"/>
  <c r="G3" i="20"/>
  <c r="E3" i="20"/>
  <c r="D3" i="20"/>
  <c r="A3" i="20"/>
  <c r="C2" i="20"/>
  <c r="J2" i="20"/>
  <c r="H2" i="20"/>
  <c r="G2" i="20"/>
  <c r="E2" i="20"/>
  <c r="D2" i="20"/>
  <c r="A2" i="20"/>
  <c r="C11" i="16"/>
  <c r="C12" i="16"/>
  <c r="E12" i="16"/>
  <c r="E11" i="16"/>
  <c r="C10" i="16"/>
  <c r="E10" i="16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C13" i="19"/>
  <c r="J13" i="19"/>
  <c r="K13" i="19"/>
  <c r="H13" i="19"/>
  <c r="G13" i="19"/>
  <c r="E13" i="19"/>
  <c r="D13" i="19"/>
  <c r="A13" i="19"/>
  <c r="C12" i="19"/>
  <c r="J12" i="19"/>
  <c r="K12" i="19"/>
  <c r="H12" i="19"/>
  <c r="G12" i="19"/>
  <c r="E12" i="19"/>
  <c r="D12" i="19"/>
  <c r="A12" i="19"/>
  <c r="C11" i="19"/>
  <c r="J11" i="19"/>
  <c r="K11" i="19"/>
  <c r="H11" i="19"/>
  <c r="G11" i="19"/>
  <c r="E11" i="19"/>
  <c r="D11" i="19"/>
  <c r="A11" i="19"/>
  <c r="C10" i="19"/>
  <c r="J10" i="19"/>
  <c r="K10" i="19"/>
  <c r="H10" i="19"/>
  <c r="G10" i="19"/>
  <c r="E10" i="19"/>
  <c r="D10" i="19"/>
  <c r="A10" i="19"/>
  <c r="C9" i="19"/>
  <c r="J9" i="19"/>
  <c r="K9" i="19"/>
  <c r="H9" i="19"/>
  <c r="G9" i="19"/>
  <c r="E9" i="19"/>
  <c r="D9" i="19"/>
  <c r="A9" i="19"/>
  <c r="C8" i="19"/>
  <c r="J8" i="19"/>
  <c r="K8" i="19"/>
  <c r="H8" i="19"/>
  <c r="G8" i="19"/>
  <c r="E8" i="19"/>
  <c r="D8" i="19"/>
  <c r="A8" i="19"/>
  <c r="J43" i="11"/>
  <c r="O32" i="9"/>
  <c r="N32" i="9"/>
  <c r="M32" i="9"/>
  <c r="L32" i="9"/>
  <c r="K32" i="9"/>
  <c r="J32" i="9"/>
  <c r="I32" i="9"/>
  <c r="H32" i="9"/>
  <c r="G32" i="9"/>
  <c r="E32" i="9"/>
  <c r="D32" i="9"/>
  <c r="A32" i="9"/>
  <c r="J44" i="11"/>
  <c r="J42" i="11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J40" i="11"/>
  <c r="J41" i="11"/>
  <c r="O26" i="9"/>
  <c r="N26" i="9"/>
  <c r="M26" i="9"/>
  <c r="L26" i="9"/>
  <c r="K26" i="9"/>
  <c r="J26" i="9"/>
  <c r="I26" i="9"/>
  <c r="H26" i="9"/>
  <c r="G26" i="9"/>
  <c r="E26" i="9"/>
  <c r="D26" i="9"/>
  <c r="A26" i="9"/>
  <c r="C7" i="19"/>
  <c r="J7" i="19"/>
  <c r="K7" i="19"/>
  <c r="H7" i="19"/>
  <c r="G7" i="19"/>
  <c r="E7" i="19"/>
  <c r="D7" i="19"/>
  <c r="A7" i="19"/>
  <c r="C6" i="19"/>
  <c r="J6" i="19"/>
  <c r="K6" i="19"/>
  <c r="H6" i="19"/>
  <c r="G6" i="19"/>
  <c r="E6" i="19"/>
  <c r="D6" i="19"/>
  <c r="A6" i="19"/>
  <c r="C5" i="19"/>
  <c r="J5" i="19"/>
  <c r="K5" i="19"/>
  <c r="H5" i="19"/>
  <c r="G5" i="19"/>
  <c r="E5" i="19"/>
  <c r="D5" i="19"/>
  <c r="A5" i="19"/>
  <c r="C4" i="19"/>
  <c r="J4" i="19"/>
  <c r="K4" i="19"/>
  <c r="H4" i="19"/>
  <c r="G4" i="19"/>
  <c r="E4" i="19"/>
  <c r="D4" i="19"/>
  <c r="A4" i="19"/>
  <c r="C3" i="19"/>
  <c r="J3" i="19"/>
  <c r="K3" i="19"/>
  <c r="H3" i="19"/>
  <c r="G3" i="19"/>
  <c r="E3" i="19"/>
  <c r="D3" i="19"/>
  <c r="A3" i="19"/>
  <c r="C2" i="19"/>
  <c r="J2" i="19"/>
  <c r="A2" i="19"/>
  <c r="D2" i="19"/>
  <c r="E2" i="19"/>
  <c r="G2" i="19"/>
  <c r="H2" i="19"/>
  <c r="K2" i="19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J20" i="11"/>
  <c r="J21" i="11"/>
  <c r="J22" i="11"/>
  <c r="J23" i="11"/>
  <c r="J24" i="11"/>
  <c r="J19" i="11"/>
  <c r="J18" i="11"/>
  <c r="J17" i="11"/>
  <c r="J16" i="11"/>
  <c r="J3" i="11"/>
  <c r="O31" i="9"/>
  <c r="N31" i="9"/>
  <c r="M31" i="9"/>
  <c r="L31" i="9"/>
  <c r="K31" i="9"/>
  <c r="J31" i="9"/>
  <c r="I31" i="9"/>
  <c r="H31" i="9"/>
  <c r="G31" i="9"/>
  <c r="E31" i="9"/>
  <c r="D31" i="9"/>
  <c r="A31" i="9"/>
  <c r="J39" i="11"/>
  <c r="O30" i="9"/>
  <c r="N30" i="9"/>
  <c r="M30" i="9"/>
  <c r="L30" i="9"/>
  <c r="K30" i="9"/>
  <c r="J30" i="9"/>
  <c r="I30" i="9"/>
  <c r="H30" i="9"/>
  <c r="G30" i="9"/>
  <c r="E30" i="9"/>
  <c r="D30" i="9"/>
  <c r="A30" i="9"/>
  <c r="J38" i="11"/>
  <c r="O29" i="9"/>
  <c r="N29" i="9"/>
  <c r="M29" i="9"/>
  <c r="L29" i="9"/>
  <c r="K29" i="9"/>
  <c r="J29" i="9"/>
  <c r="I29" i="9"/>
  <c r="H29" i="9"/>
  <c r="G29" i="9"/>
  <c r="E29" i="9"/>
  <c r="D29" i="9"/>
  <c r="A29" i="9"/>
  <c r="J37" i="11"/>
  <c r="O28" i="9"/>
  <c r="N28" i="9"/>
  <c r="M28" i="9"/>
  <c r="L28" i="9"/>
  <c r="K28" i="9"/>
  <c r="J28" i="9"/>
  <c r="I28" i="9"/>
  <c r="H28" i="9"/>
  <c r="G28" i="9"/>
  <c r="E28" i="9"/>
  <c r="D28" i="9"/>
  <c r="A28" i="9"/>
  <c r="J14" i="11"/>
  <c r="O27" i="9"/>
  <c r="N27" i="9"/>
  <c r="M27" i="9"/>
  <c r="L27" i="9"/>
  <c r="K27" i="9"/>
  <c r="J27" i="9"/>
  <c r="I27" i="9"/>
  <c r="H27" i="9"/>
  <c r="G27" i="9"/>
  <c r="E27" i="9"/>
  <c r="D27" i="9"/>
  <c r="A27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J36" i="11"/>
  <c r="O21" i="9"/>
  <c r="N21" i="9"/>
  <c r="M21" i="9"/>
  <c r="L21" i="9"/>
  <c r="K21" i="9"/>
  <c r="J21" i="9"/>
  <c r="I21" i="9"/>
  <c r="H21" i="9"/>
  <c r="G21" i="9"/>
  <c r="E21" i="9"/>
  <c r="D21" i="9"/>
  <c r="A21" i="9"/>
  <c r="J9" i="11"/>
  <c r="J32" i="11"/>
  <c r="O20" i="9"/>
  <c r="N20" i="9"/>
  <c r="M20" i="9"/>
  <c r="L20" i="9"/>
  <c r="K20" i="9"/>
  <c r="J20" i="9"/>
  <c r="I20" i="9"/>
  <c r="H20" i="9"/>
  <c r="G20" i="9"/>
  <c r="E20" i="9"/>
  <c r="D20" i="9"/>
  <c r="A20" i="9"/>
  <c r="J26" i="11"/>
  <c r="O19" i="9"/>
  <c r="N19" i="9"/>
  <c r="M19" i="9"/>
  <c r="L19" i="9"/>
  <c r="K19" i="9"/>
  <c r="J19" i="9"/>
  <c r="I19" i="9"/>
  <c r="H19" i="9"/>
  <c r="G19" i="9"/>
  <c r="E19" i="9"/>
  <c r="D19" i="9"/>
  <c r="A19" i="9"/>
  <c r="J2" i="11"/>
  <c r="O18" i="9"/>
  <c r="N18" i="9"/>
  <c r="M18" i="9"/>
  <c r="L18" i="9"/>
  <c r="K18" i="9"/>
  <c r="J18" i="9"/>
  <c r="I18" i="9"/>
  <c r="H18" i="9"/>
  <c r="G18" i="9"/>
  <c r="E18" i="9"/>
  <c r="D18" i="9"/>
  <c r="A18" i="9"/>
  <c r="J27" i="11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J15" i="11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J35" i="11"/>
  <c r="J34" i="11"/>
  <c r="J33" i="11"/>
  <c r="J31" i="11"/>
  <c r="J30" i="11"/>
  <c r="J29" i="11"/>
  <c r="J28" i="11"/>
  <c r="J25" i="11"/>
  <c r="J13" i="11"/>
  <c r="J12" i="11"/>
  <c r="J11" i="11"/>
  <c r="J10" i="11"/>
  <c r="J8" i="11"/>
  <c r="J7" i="11"/>
  <c r="J6" i="11"/>
  <c r="J5" i="11"/>
  <c r="J4" i="11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AB17" i="1"/>
  <c r="AD17" i="1"/>
  <c r="AG17" i="1"/>
  <c r="AE17" i="1"/>
  <c r="AC17" i="1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AA16" i="1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AA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AA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AA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AA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AA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AA4" i="1"/>
  <c r="V4" i="1"/>
  <c r="Q4" i="1"/>
  <c r="P4" i="1"/>
  <c r="O4" i="1"/>
  <c r="N4" i="1"/>
  <c r="M4" i="1"/>
  <c r="H4" i="1"/>
  <c r="J4" i="1"/>
  <c r="I4" i="1"/>
  <c r="D4" i="1"/>
  <c r="F4" i="1"/>
  <c r="E4" i="1"/>
  <c r="A4" i="1"/>
  <c r="AB3" i="1"/>
  <c r="AD3" i="1"/>
  <c r="AG3" i="1"/>
  <c r="AE3" i="1"/>
  <c r="AC3" i="1"/>
  <c r="AA3" i="1"/>
  <c r="V3" i="1"/>
  <c r="Q3" i="1"/>
  <c r="P3" i="1"/>
  <c r="O3" i="1"/>
  <c r="N3" i="1"/>
  <c r="M3" i="1"/>
  <c r="H3" i="1"/>
  <c r="J3" i="1"/>
  <c r="I3" i="1"/>
  <c r="D3" i="1"/>
  <c r="F3" i="1"/>
  <c r="E3" i="1"/>
  <c r="A3" i="1"/>
  <c r="H11" i="2"/>
  <c r="E11" i="2"/>
  <c r="D11" i="2"/>
  <c r="H2" i="1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O2" i="9"/>
  <c r="N2" i="9"/>
  <c r="M2" i="9"/>
  <c r="L2" i="9"/>
  <c r="K2" i="9"/>
  <c r="J2" i="9"/>
  <c r="I2" i="9"/>
  <c r="H2" i="9"/>
  <c r="G2" i="9"/>
  <c r="E2" i="9"/>
  <c r="D2" i="9"/>
  <c r="E9" i="16"/>
  <c r="W2" i="7"/>
  <c r="V2" i="1"/>
  <c r="R2" i="7"/>
  <c r="Q2" i="7"/>
  <c r="P2" i="7"/>
  <c r="O2" i="7"/>
  <c r="N2" i="7"/>
  <c r="AB2" i="1"/>
  <c r="AE2" i="1"/>
  <c r="AD2" i="1"/>
  <c r="AC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<sst xmlns="http://schemas.openxmlformats.org/spreadsheetml/2006/main" count="958" uniqueCount="335">
  <si>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</si>
  <si>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</si>
  <si>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</si>
  <si>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</si>
  <si>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</si>
  <si>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</si>
  <si>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</si>
  <si>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</si>
  <si>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</si>
  <si>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</si>
  <si>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</si>
  <si>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</si>
  <si>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</si>
  <si>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</si>
  <si>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</si>
  <si>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</si>
  <si>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</si>
  <si>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</si>
  <si>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</si>
  <si>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</si>
  <si>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</si>
  <si>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</si>
  <si>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</si>
  <si>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</si>
  <si>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</si>
  <si>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</si>
  <si>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</si>
  <si>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</si>
  <si>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</si>
  <si>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</si>
  <si>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</si>
  <si>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</si>
  <si>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</si>
  <si>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</si>
  <si>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</si>
  <si>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</si>
  <si>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</si>
  <si>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</si>
  <si>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</si>
  <si>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</si>
  <si>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</si>
  <si>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</si>
  <si>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</si>
  <si>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</si>
  <si>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</si>
  <si>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</si>
  <si>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</si>
  <si>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</si>
  <si>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</si>
  <si>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</si>
  <si>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</si>
  <si>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</si>
  <si>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</si>
  <si>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</si>
  <si>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</si>
  <si>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</si>
  <si>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</si>
  <si>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</si>
  <si>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</si>
  <si>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</si>
  <si>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</si>
  <si>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</si>
  <si>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</si>
  <si>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</si>
  <si>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</si>
  <si>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</si>
  <si>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</si>
  <si>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</si>
  <si>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</si>
  <si>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</si>
  <si>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</si>
  <si>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</si>
  <si>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</si>
  <si>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</si>
  <si>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</si>
  <si>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</si>
  <si>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</si>
  <si>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</si>
  <si>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</si>
  <si>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</si>
  <si>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</si>
  <si>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</si>
  <si>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</si>
  <si>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</si>
  <si>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</si>
  <si>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</si>
  <si>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</si>
  <si>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</si>
  <si>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</si>
  <si>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</si>
  <si>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</si>
  <si>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</si>
  <si>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</si>
  <si>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</si>
  <si>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</si>
  <si>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</si>
  <si>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</si>
  <si>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</si>
  <si>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</si>
  <si>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</si>
  <si>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</si>
  <si>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</si>
  <si>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</si>
  <si>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</si>
  <si>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</si>
  <si>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</si>
  <si>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</si>
  <si>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</si>
  <si>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</si>
  <si>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</si>
  <si>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</si>
  <si>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</si>
  <si>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</si>
  <si>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</si>
  <si>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</si>
  <si>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</si>
  <si>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</si>
  <si>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</si>
  <si>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</si>
  <si>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</si>
  <si>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</si>
  <si>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</si>
  <si>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</si>
  <si>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</si>
  <si>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</si>
  <si>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</si>
  <si>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</si>
  <si>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</si>
  <si>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</si>
  <si>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</si>
  <si>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</si>
  <si>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</si>
  <si>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</si>
  <si>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</si>
  <si>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</si>
  <si>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</si>
  <si>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</si>
  <si>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</si>
  <si>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</si>
  <si>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</si>
  <si>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</si>
  <si>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</si>
  <si>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</si>
  <si>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</si>
  <si>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</si>
  <si>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</si>
  <si>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</si>
  <si>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</si>
  <si>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</si>
  <si>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</si>
  <si>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</si>
  <si>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</si>
  <si>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</si>
  <si>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</si>
  <si>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</si>
  <si>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</si>
  <si>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</si>
  <si>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</si>
  <si>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</si>
  <si>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</si>
  <si>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</si>
  <si>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</si>
  <si>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</si>
  <si>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</si>
  <si>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</si>
  <si>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</si>
  <si>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</si>
  <si>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</si>
  <si>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</si>
  <si>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</si>
  <si>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</si>
  <si>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</si>
  <si>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</si>
  <si>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</si>
  <si>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</si>
  <si>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</si>
  <si>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</si>
  <si>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</si>
  <si>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</si>
  <si>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</si>
  <si>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</si>
  <si>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t>hint</t>
    <phoneticPr fontId="5"/>
  </si>
  <si>
    <t>filename</t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</si>
  <si>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</si>
  <si>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</si>
  <si>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</si>
  <si>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</si>
  <si>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</si>
  <si>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</si>
  <si>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</si>
  <si>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</si>
  <si>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</si>
  <si>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</si>
  <si>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</si>
  <si>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</si>
  <si>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</si>
  <si>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</si>
  <si>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フロア1　スガル　予備</t>
    <rPh sb="9" eb="11">
      <t>ヨb</t>
    </rPh>
    <phoneticPr fontId="5"/>
  </si>
  <si>
    <t>フロア2　ヒュウガ　攻撃頻度アップ</t>
    <rPh sb="10" eb="17">
      <t>コウゲk</t>
    </rPh>
    <phoneticPr fontId="5"/>
  </si>
  <si>
    <t>フロア2　ヒュウガ　予備</t>
    <rPh sb="10" eb="12">
      <t>ヨb</t>
    </rPh>
    <phoneticPr fontId="5"/>
  </si>
  <si>
    <t>フロア2　ヴェロキー　予備</t>
    <rPh sb="11" eb="13">
      <t>ヨb</t>
    </rPh>
    <phoneticPr fontId="5"/>
  </si>
  <si>
    <t>フロア4　ムゥ　予備</t>
    <rPh sb="8" eb="10">
      <t>ヨb</t>
    </rPh>
    <phoneticPr fontId="5"/>
  </si>
  <si>
    <t>フロア4　ムゥ　予備</t>
    <phoneticPr fontId="5"/>
  </si>
  <si>
    <t>フロア5　スガル1　予備</t>
    <rPh sb="10" eb="12">
      <t>ヨb</t>
    </rPh>
    <phoneticPr fontId="5"/>
  </si>
  <si>
    <t>フロア5　スガル2　予備</t>
    <rPh sb="10" eb="12">
      <t>ヨb</t>
    </rPh>
    <phoneticPr fontId="5"/>
  </si>
  <si>
    <t>フロア5　スガル3　予備</t>
    <rPh sb="10" eb="12">
      <t>ヨb</t>
    </rPh>
    <phoneticPr fontId="5"/>
  </si>
  <si>
    <t>[effect:nothing]</t>
    <phoneticPr fontId="5"/>
  </si>
  <si>
    <t>種族ゴッドのユニットに大ダメージ</t>
  </si>
  <si>
    <t>種族ドラゴン以外のユニットにスキルバインド</t>
    <rPh sb="0" eb="2">
      <t>シュゾク</t>
    </rPh>
    <rPh sb="6" eb="8">
      <t>イガイ</t>
    </rPh>
    <phoneticPr fontId="5"/>
  </si>
  <si>
    <t>緑属性のユニットに大ダメージ</t>
    <phoneticPr fontId="5"/>
  </si>
  <si>
    <t>[effect:freq_turn, target:myself, turn:3, val:1, animation:enemy_freq_turn]</t>
    <phoneticPr fontId="5"/>
  </si>
  <si>
    <t>3ターン攻撃頻度が1ターンにUP</t>
    <phoneticPr fontId="5"/>
  </si>
  <si>
    <t>3ターン攻撃頻度が1ターンにUP</t>
    <phoneticPr fontId="5"/>
  </si>
  <si>
    <t>[effect:critical, val:2]</t>
    <phoneticPr fontId="5"/>
  </si>
  <si>
    <t>攻撃力×2.0倍の攻撃</t>
    <phoneticPr fontId="5"/>
  </si>
  <si>
    <t>Cパネル生成延長</t>
    <phoneticPr fontId="5"/>
  </si>
  <si>
    <t>全体攻撃</t>
    <phoneticPr fontId="5"/>
  </si>
  <si>
    <t>自身のHPを回復</t>
    <rPh sb="0" eb="2">
      <t>ジシン</t>
    </rPh>
    <phoneticPr fontId="5"/>
  </si>
  <si>
    <t>[effect:change_block, new_block:jammer, target:block_all, count:4, val:0, animation:change_block]</t>
    <phoneticPr fontId="5"/>
  </si>
  <si>
    <t>お邪魔パネル出現</t>
    <rPh sb="1" eb="6">
      <t>ジャマパネr</t>
    </rPh>
    <rPh sb="6" eb="8">
      <t>シュツゲン</t>
    </rPh>
    <phoneticPr fontId="5"/>
  </si>
  <si>
    <t>5回連続攻撃</t>
    <rPh sb="1" eb="2">
      <t>カイ</t>
    </rPh>
    <rPh sb="2" eb="6">
      <t>レンゾクコウゲキ</t>
    </rPh>
    <phoneticPr fontId="5"/>
  </si>
  <si>
    <t>null</t>
    <phoneticPr fontId="5"/>
  </si>
  <si>
    <t>null</t>
    <phoneticPr fontId="5"/>
  </si>
  <si>
    <t>[effect:critical, val:0.6, animation:enemy_critical]</t>
    <phoneticPr fontId="5"/>
  </si>
  <si>
    <t>[effect:critical, val:1.0, animation:enemy_critical]</t>
    <phoneticPr fontId="5"/>
  </si>
  <si>
    <t>[effect:critical, val:1.2, animation:enemy_critical]</t>
    <phoneticPr fontId="5"/>
  </si>
  <si>
    <t>[effect:critical, val:1.5, animation:enemy_critical]</t>
    <phoneticPr fontId="5"/>
  </si>
  <si>
    <t>[effect:heal, target:myself, val:0.5, animation:enemy_heal]</t>
    <phoneticPr fontId="5"/>
  </si>
  <si>
    <t>[effect:spread, val:0.3, animation:enemy_spread]</t>
    <phoneticPr fontId="5"/>
  </si>
  <si>
    <t>フロア3　青龍　予備</t>
    <rPh sb="5" eb="7">
      <t>セイリュ</t>
    </rPh>
    <rPh sb="8" eb="10">
      <t>ヨb</t>
    </rPh>
    <phoneticPr fontId="5"/>
  </si>
  <si>
    <t>北方七宿撃・序</t>
  </si>
  <si>
    <t>HPが低いほど強力な攻撃</t>
  </si>
  <si>
    <t>北方七宿撃・破</t>
  </si>
  <si>
    <t>北方七宿撃・急</t>
  </si>
  <si>
    <t>北方七宿撃・終</t>
  </si>
  <si>
    <t>null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</si>
  <si>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</si>
  <si>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</si>
  <si>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</si>
  <si>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</si>
  <si>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解除するまで攻撃力がアップ</t>
    <rPh sb="0" eb="6">
      <t>カ</t>
    </rPh>
    <rPh sb="6" eb="13">
      <t>コウゲk</t>
    </rPh>
    <phoneticPr fontId="5"/>
  </si>
  <si>
    <t>解除するまで行動頻度が1になる</t>
    <rPh sb="0" eb="6">
      <t>カイジョス</t>
    </rPh>
    <rPh sb="6" eb="11">
      <t>コウド</t>
    </rPh>
    <phoneticPr fontId="5"/>
  </si>
  <si>
    <t>ハートパネル出現率0%</t>
    <rPh sb="6" eb="9">
      <t>シュツゲンリツ</t>
    </rPh>
    <phoneticPr fontId="5"/>
  </si>
  <si>
    <t>[effect:freq_turn, target:myself, turn:-1, val:1, animation:enemy_freq_turn]</t>
    <phoneticPr fontId="5"/>
  </si>
  <si>
    <t>[effect:change_panel_ratio, turn:-1, block_type:heart, val:0.05, animation:block_incidence04]</t>
  </si>
  <si>
    <t>[effect:damage_anti_color, target:unit_all, color:green, val1:0.9, val2:0.1]</t>
    <phoneticPr fontId="5"/>
  </si>
  <si>
    <t>[effect:rush, count:5, val:0.3]</t>
    <phoneticPr fontId="5"/>
  </si>
  <si>
    <t>[effect:sleep, target:unit_one, turn:3, rate:1.0, animation:enemy_sleep],[effect:critical, val:1.1, animation:enemy_critical]</t>
    <phoneticPr fontId="5"/>
  </si>
  <si>
    <t>[effect:critical, val:2.5, animation:enemy_critical]</t>
    <phoneticPr fontId="5"/>
  </si>
  <si>
    <t>[effect:critical, val:2.3, animation:enemy_critical]</t>
    <phoneticPr fontId="5"/>
  </si>
  <si>
    <t>[effect:rush, count:5, val:0.3]</t>
    <phoneticPr fontId="5"/>
  </si>
  <si>
    <t>[effect:rush, count:5, val:0.3]</t>
    <phoneticPr fontId="5"/>
  </si>
  <si>
    <t>[effect:damage_anti_tribe, target:unit_all, tribe:god, val1:2.0, val2:0.15]</t>
    <phoneticPr fontId="5"/>
  </si>
  <si>
    <t>重層空間</t>
    <rPh sb="0" eb="4">
      <t>ジュウソ</t>
    </rPh>
    <phoneticPr fontId="5"/>
  </si>
  <si>
    <t>硬直秘孔突</t>
    <phoneticPr fontId="5"/>
  </si>
  <si>
    <t>火炎</t>
    <rPh sb="0" eb="2">
      <t>カエン</t>
    </rPh>
    <phoneticPr fontId="5"/>
  </si>
  <si>
    <t>黒亀装甲</t>
    <rPh sb="0" eb="1">
      <t>クr</t>
    </rPh>
    <rPh sb="1" eb="2">
      <t>カメ</t>
    </rPh>
    <rPh sb="2" eb="3">
      <t>ソウ</t>
    </rPh>
    <rPh sb="3" eb="4">
      <t>ソウコウ</t>
    </rPh>
    <phoneticPr fontId="5"/>
  </si>
  <si>
    <t>霊亀の憤怒</t>
    <rPh sb="0" eb="2">
      <t>レイキ</t>
    </rPh>
    <rPh sb="3" eb="5">
      <t>フン</t>
    </rPh>
    <phoneticPr fontId="5"/>
  </si>
  <si>
    <t>神龍の憤怒</t>
    <rPh sb="0" eb="3">
      <t>シンリュ</t>
    </rPh>
    <rPh sb="3" eb="5">
      <t>フン</t>
    </rPh>
    <phoneticPr fontId="5"/>
  </si>
  <si>
    <t>突撃</t>
    <rPh sb="0" eb="2">
      <t>トツg</t>
    </rPh>
    <phoneticPr fontId="5"/>
  </si>
  <si>
    <t>癒身の神酒</t>
    <rPh sb="0" eb="1">
      <t>イヤ</t>
    </rPh>
    <rPh sb="1" eb="2">
      <t>ミ</t>
    </rPh>
    <rPh sb="3" eb="5">
      <t>シン</t>
    </rPh>
    <phoneticPr fontId="5"/>
  </si>
  <si>
    <t>神殺しの雷</t>
    <rPh sb="0" eb="4">
      <t>カm</t>
    </rPh>
    <rPh sb="4" eb="5">
      <t>イカズt</t>
    </rPh>
    <phoneticPr fontId="5"/>
  </si>
  <si>
    <t>サンダーアロー</t>
    <phoneticPr fontId="5"/>
  </si>
  <si>
    <t>サンダーアロー</t>
    <phoneticPr fontId="5"/>
  </si>
  <si>
    <t>リミッターを解除する！</t>
    <rPh sb="6" eb="8">
      <t>カ</t>
    </rPh>
    <phoneticPr fontId="5"/>
  </si>
  <si>
    <t>スガルの姿が変わっていく！</t>
    <rPh sb="4" eb="6">
      <t>スガt</t>
    </rPh>
    <rPh sb="6" eb="12">
      <t>カワtt</t>
    </rPh>
    <phoneticPr fontId="5"/>
  </si>
  <si>
    <t>サンダーアロー</t>
    <phoneticPr fontId="5"/>
  </si>
  <si>
    <t>若造にしてはよくやる…だが！</t>
    <rPh sb="0" eb="6">
      <t>ワk</t>
    </rPh>
    <phoneticPr fontId="5"/>
  </si>
  <si>
    <t>プロトンサンダー</t>
    <phoneticPr fontId="5"/>
  </si>
  <si>
    <t>とてつもないエネルギーが集まる！</t>
    <rPh sb="12" eb="16">
      <t>アツマr</t>
    </rPh>
    <phoneticPr fontId="5"/>
  </si>
  <si>
    <t>いい戦いだ。敬意に値する！</t>
    <rPh sb="2" eb="5">
      <t>タタk</t>
    </rPh>
    <rPh sb="6" eb="8">
      <t>ケ</t>
    </rPh>
    <rPh sb="9" eb="12">
      <t>アタ</t>
    </rPh>
    <phoneticPr fontId="5"/>
  </si>
  <si>
    <t>サンダーウィング</t>
    <phoneticPr fontId="5"/>
  </si>
  <si>
    <t>これで終わりだ…！</t>
    <rPh sb="3" eb="7">
      <t>オワr</t>
    </rPh>
    <phoneticPr fontId="5"/>
  </si>
  <si>
    <t>ラスト・プロトンサンダー</t>
    <phoneticPr fontId="5"/>
  </si>
  <si>
    <t>真剣勝負だ！</t>
    <rPh sb="0" eb="5">
      <t>シンケンショウb</t>
    </rPh>
    <phoneticPr fontId="5"/>
  </si>
  <si>
    <t>サンダーウィング</t>
    <phoneticPr fontId="5"/>
  </si>
  <si>
    <t>スガルの闘志が燃え上がる！</t>
    <rPh sb="4" eb="7">
      <t>ト</t>
    </rPh>
    <rPh sb="7" eb="12">
      <t>モ</t>
    </rPh>
    <phoneticPr fontId="5"/>
  </si>
  <si>
    <t>翔竜氷嵐弾</t>
    <phoneticPr fontId="5"/>
  </si>
  <si>
    <t>3ターンの間スリープ</t>
    <rPh sb="5" eb="6">
      <t>ア</t>
    </rPh>
    <phoneticPr fontId="5"/>
  </si>
  <si>
    <t>まとわりつき</t>
    <phoneticPr fontId="5"/>
  </si>
  <si>
    <t>[effect:sleep, target:unit_one, turn:3, rate:1.0, animation:enemy_sleep],[effect:critical, val:1.2, animation:enemy_critical]</t>
    <phoneticPr fontId="5"/>
  </si>
  <si>
    <t>甘い香り</t>
    <rPh sb="0" eb="2">
      <t>アマ</t>
    </rPh>
    <rPh sb="2" eb="4">
      <t>カオr</t>
    </rPh>
    <phoneticPr fontId="5"/>
  </si>
  <si>
    <t>3ターンの間スリープ</t>
    <phoneticPr fontId="5"/>
  </si>
  <si>
    <t>超強力な雷撃が襲いかかる！</t>
    <rPh sb="0" eb="4">
      <t>チョ</t>
    </rPh>
    <rPh sb="4" eb="7">
      <t>ライゲ</t>
    </rPh>
    <rPh sb="7" eb="13">
      <t>オs</t>
    </rPh>
    <phoneticPr fontId="5"/>
  </si>
  <si>
    <t>強力な雷撃が襲いかかる！</t>
    <phoneticPr fontId="5"/>
  </si>
  <si>
    <t>[effect:enhance_enemy, target:myself, turn:3, status:defense, val:5000, calc:add, animation:enemy_enhance_enemy],[effect:fix_speed,target:myself,turn:3]</t>
    <phoneticPr fontId="5"/>
  </si>
  <si>
    <t>3ターン防御力UP</t>
    <phoneticPr fontId="5"/>
  </si>
  <si>
    <t>[effect:enhance_enemy, target:myself, turn:-1, status:attack, val:1.3, animation:enemy_enhance_enemy]</t>
    <phoneticPr fontId="5"/>
  </si>
  <si>
    <t>null</t>
    <phoneticPr fontId="5"/>
  </si>
  <si>
    <t>2970-01-01 09:00:00</t>
    <phoneticPr fontId="5"/>
  </si>
  <si>
    <t>link</t>
    <phoneticPr fontId="5"/>
  </si>
  <si>
    <t>2970-01-01 09:00:00</t>
    <phoneticPr fontId="5"/>
  </si>
  <si>
    <t>unit</t>
    <phoneticPr fontId="5"/>
  </si>
  <si>
    <t>unit</t>
    <phoneticPr fontId="5"/>
  </si>
  <si>
    <t>unit</t>
    <phoneticPr fontId="5"/>
  </si>
  <si>
    <t>null</t>
    <phoneticPr fontId="5"/>
  </si>
  <si>
    <t>link</t>
    <phoneticPr fontId="5"/>
  </si>
  <si>
    <t>complete</t>
  </si>
  <si>
    <t>[effect:change_panel_ratio, turn:-1, block_type:heal, val:0.0]</t>
    <phoneticPr fontId="5"/>
  </si>
  <si>
    <t>龍称以外は立ち去るがよい</t>
    <rPh sb="0" eb="1">
      <t>リュウ</t>
    </rPh>
    <rPh sb="1" eb="2">
      <t>ショウ</t>
    </rPh>
    <rPh sb="2" eb="4">
      <t>イガイ</t>
    </rPh>
    <rPh sb="5" eb="6">
      <t>タ</t>
    </rPh>
    <rPh sb="7" eb="8">
      <t>サ</t>
    </rPh>
    <phoneticPr fontId="5"/>
  </si>
  <si>
    <t>龍称以外は立ち去れ</t>
    <rPh sb="0" eb="1">
      <t>リュウウ</t>
    </rPh>
    <rPh sb="1" eb="2">
      <t>ショウ</t>
    </rPh>
    <rPh sb="2" eb="4">
      <t>イガイ</t>
    </rPh>
    <rPh sb="5" eb="6">
      <t>タ</t>
    </rPh>
    <rPh sb="7" eb="8">
      <t>サ</t>
    </rPh>
    <phoneticPr fontId="5"/>
  </si>
  <si>
    <t>サンダースパイラル</t>
    <phoneticPr fontId="5"/>
  </si>
  <si>
    <t>stage_hints_data_c_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</si>
  <si>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</si>
  <si>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hint_type</t>
    <phoneticPr fontId="5"/>
  </si>
  <si>
    <t>stage_hints_data_f_</t>
    <phoneticPr fontId="5"/>
  </si>
  <si>
    <t>stage_hints_i18n_f_</t>
    <phoneticPr fontId="5"/>
  </si>
  <si>
    <t>hint</t>
    <phoneticPr fontId="5"/>
  </si>
  <si>
    <t>title</t>
    <phoneticPr fontId="5"/>
  </si>
  <si>
    <t>stage_hints_failure</t>
    <phoneticPr fontId="5"/>
  </si>
  <si>
    <t>stage_hints_failure</t>
    <phoneticPr fontId="5"/>
  </si>
  <si>
    <t>ドラゴン種族以外のユニットは
このクエストには連れて行くのは難しいです
ドラゴン種族のパーティーを考えましょう</t>
    <phoneticPr fontId="5"/>
  </si>
  <si>
    <t>ヒュウガは緑属性のユニットに対して
強力な攻撃を仕掛けてきます
ヒュウガを優先して倒しましょう</t>
    <rPh sb="42" eb="43">
      <t>タオ</t>
    </rPh>
    <phoneticPr fontId="5"/>
  </si>
  <si>
    <t>玄武はHPが低くなるほど
強力な攻撃を仕掛けてきます
HPを減らし過ぎず一気に倒しましょう</t>
    <phoneticPr fontId="5"/>
  </si>
  <si>
    <t>ムゥは一定ターン数ごとに
お邪魔パネルを使ってきます
発動される前に倒しましょう</t>
    <rPh sb="20" eb="21">
      <t>ツカ</t>
    </rPh>
    <rPh sb="35" eb="36">
      <t>タオ</t>
    </rPh>
    <phoneticPr fontId="5"/>
  </si>
  <si>
    <t>スガルはHPが一定以下になると
強力な攻撃を仕掛けてきます
その前に一気に倒し切りましょう</t>
    <rPh sb="33" eb="34">
      <t>マエ</t>
    </rPh>
    <rPh sb="35" eb="37">
      <t>イッキ</t>
    </rPh>
    <phoneticPr fontId="5"/>
  </si>
  <si>
    <t>スガルの連続攻撃には
カウンタースキルの反撃が有効です</t>
    <rPh sb="20" eb="22">
      <t>ハンゲキ</t>
    </rPh>
    <phoneticPr fontId="5"/>
  </si>
  <si>
    <t>種族ドラゴン以外に超大ダメージ！
ヒュドラが反撃をした！</t>
    <rPh sb="22" eb="27">
      <t>ハンゲk</t>
    </rPh>
    <phoneticPr fontId="5"/>
  </si>
  <si>
    <t>種族ドラゴン以外に超大ダメージ！
リンドブルムが反撃をした！</t>
    <rPh sb="24" eb="29">
      <t>ハンゲk</t>
    </rPh>
    <phoneticPr fontId="5"/>
  </si>
  <si>
    <t>種族ドラゴン以外に超大ダメージ！
ラーフが反撃をした！</t>
    <rPh sb="21" eb="26">
      <t>ハンゲk</t>
    </rPh>
    <phoneticPr fontId="5"/>
  </si>
  <si>
    <t>種族ドラゴン以外に超大ダメージ！
フェルニゲシュが反撃をした！</t>
    <rPh sb="25" eb="30">
      <t>ハンゲk</t>
    </rPh>
    <phoneticPr fontId="5"/>
  </si>
  <si>
    <t>hp_threshold</t>
    <phoneticPr fontId="5"/>
  </si>
  <si>
    <t>null</t>
    <phoneticPr fontId="5"/>
  </si>
  <si>
    <t>hp_termination</t>
    <phoneticPr fontId="5"/>
  </si>
  <si>
    <t>[effect:crash_condition, target:unit_all, val:4, turn:5, animation:enemy_crash_extend]</t>
    <phoneticPr fontId="5"/>
  </si>
  <si>
    <t>[effect:damage_anti_tribe, target:unit_all, tribe:god, val1:2.0, val2:0.15]</t>
    <phoneticPr fontId="5"/>
  </si>
  <si>
    <t>skip</t>
    <phoneticPr fontId="5"/>
  </si>
  <si>
    <t>old</t>
    <phoneticPr fontId="5"/>
  </si>
  <si>
    <t xml:space="preserve">[effect:damage_anti_tribe, target:unit_all, tribe:dragon, val1:0.01, val2:5.0],[effect:damage_anti_tribe, target:unit_all, tribe:dragon, val1:0.01, val2:5.0],[effect:suicide, val:0.2, dead_type:suicide, target:myself, animation:enemy_suicide]    </t>
    <phoneticPr fontId="5"/>
  </si>
  <si>
    <t xml:space="preserve">[effect:damage_anti_tribe, target:unit_all, tribe:dragon, val1:0.01, val2:5.0],[effect:damage_anti_tribe, target:unit_all, tribe:dragon, val1:0.01, val2:5.0],[effect:suicide, val:0.2, dead_type:suicide, target:myself, animation:enemy_suicide]    </t>
    <phoneticPr fontId="5"/>
  </si>
  <si>
    <t xml:space="preserve">[effect:damage_anti_tribe, target:unit_all, tribe:dragon, val1:0.01, val2:5.0],[effect:damage_anti_tribe, target:unit_all, tribe:dragon, val1:0.01, val2:5.0],[effect:suicide, val:0.2, dead_type:suicide, target:myself, animation:enemy_suicide]    </t>
    <phoneticPr fontId="5"/>
  </si>
  <si>
    <t xml:space="preserve">[effect:damage_anti_tribe, target:unit_all, tribe:dragon, val1:0.01, val2:5.0],[effect:damage_anti_tribe, target:unit_all, tribe:dragon, val1:0.01, val2:5.0],[effect:suicide, val:0.2, dead_type:suicide, target:myself, animation:enemy_suicide]    </t>
    <phoneticPr fontId="5"/>
  </si>
  <si>
    <t>[effect:damage_anti_tribe, target:unit_all, tribe:dragon, val1:0.01, val2:5.0],[effect:damage_anti_tribe, target:unit_all, tribe:dragon, val1:0.01, val2:5.0],[effect:hungup, target:unit_dragon/not, turn:15, rate:1, animation:hungup01]</t>
    <phoneticPr fontId="5"/>
  </si>
  <si>
    <t>[effect:damage_anti_tribe, target:unit_all, tribe:dragon, val1:0.01, val2:5.0],[effect:damage_anti_tribe, target:unit_all, tribe:dragon, val1:0.01, val2:5.0],[effect:hungup, target:unit_dragon/not, turn:15, rate:1, animation:hungup01]</t>
    <phoneticPr fontId="5"/>
  </si>
  <si>
    <t>skip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</si>
</sst>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6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100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13" fillId="7" borderId="0" xfId="0" applyFont="1" applyFill="1" applyAlignment="1">
      <alignment horizontal="center"/>
    </xf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56" fontId="16" fillId="15" borderId="7" xfId="0" applyNumberFormat="1" applyFont="1" applyFill="1" applyBorder="1" applyAlignment="1">
      <alignment horizontal="center"/>
    </xf>
    <xf numFmtId="0" fontId="0" fillId="15" borderId="7" xfId="0" applyFill="1" applyBorder="1"/>
    <xf numFmtId="0" fontId="13" fillId="7" borderId="0" xfId="0" applyFont="1" applyFill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8" fillId="0" borderId="0" xfId="0" applyFont="1" applyAlignment="1">
      <alignment horizontal="left" vertical="center"/>
    </xf>
    <xf numFmtId="0" fontId="11" fillId="0" borderId="7" xfId="0" applyFont="1" applyBorder="1" applyAlignment="1">
      <alignment horizontal="left" vertical="center" wrapText="1"/>
    </xf>
    <xf numFmtId="0" fontId="11" fillId="0" borderId="10" xfId="0" applyFont="1" applyBorder="1" applyAlignment="1">
      <alignment vertical="center"/>
    </xf>
    <xf numFmtId="0" fontId="11" fillId="0" borderId="12" xfId="0" applyFont="1" applyBorder="1" applyAlignment="1">
      <alignment horizontal="left" vertical="center" wrapText="1"/>
    </xf>
    <xf numFmtId="0" fontId="11" fillId="0" borderId="23" xfId="0" applyFont="1" applyBorder="1" applyAlignment="1">
      <alignment vertical="center"/>
    </xf>
    <xf numFmtId="0" fontId="4" fillId="31" borderId="1" xfId="0" applyFont="1" applyFill="1" applyBorder="1" applyAlignment="1">
      <alignment horizontal="center" vertical="center"/>
    </xf>
    <xf numFmtId="0" fontId="4" fillId="32" borderId="1" xfId="0" applyFont="1" applyFill="1" applyBorder="1" applyAlignment="1">
      <alignment horizontal="center" vertical="center"/>
    </xf>
    <xf numFmtId="0" fontId="4" fillId="33" borderId="1" xfId="0" applyFont="1" applyFill="1" applyBorder="1" applyAlignment="1">
      <alignment horizontal="center" vertical="center"/>
    </xf>
    <xf numFmtId="0" fontId="4" fillId="34" borderId="1" xfId="0" applyFont="1" applyFill="1" applyBorder="1" applyAlignment="1">
      <alignment horizontal="center" vertical="center"/>
    </xf>
    <xf numFmtId="0" fontId="16" fillId="31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1" fillId="37" borderId="7" xfId="0" applyFont="1" applyFill="1" applyBorder="1" applyAlignment="1">
      <alignment vertical="center"/>
    </xf>
    <xf numFmtId="0" fontId="16" fillId="11" borderId="7" xfId="0" applyFont="1" applyFill="1" applyBorder="1" applyAlignment="1">
      <alignment vertical="center"/>
    </xf>
    <xf numFmtId="0" fontId="16" fillId="11" borderId="7" xfId="0" applyFont="1" applyFill="1" applyBorder="1" applyAlignment="1">
      <alignment horizontal="left" vertical="center"/>
    </xf>
    <xf numFmtId="0" fontId="16" fillId="11" borderId="7" xfId="0" applyFont="1" applyFill="1" applyBorder="1" applyAlignment="1">
      <alignment horizontal="left" vertical="center" wrapText="1"/>
    </xf>
    <xf numFmtId="0" fontId="27" fillId="38" borderId="7" xfId="0" applyFont="1" applyFill="1" applyBorder="1"/>
    <xf numFmtId="49" fontId="0" fillId="0" borderId="7" xfId="0" applyNumberFormat="1" applyFill="1" applyBorder="1"/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1" fillId="0" borderId="7" xfId="0" applyFont="1" applyBorder="1" applyAlignment="1">
      <alignment horizontal="right" vertical="center" wrapText="1"/>
    </xf>
    <xf numFmtId="0" fontId="0" fillId="0" borderId="7" xfId="0" applyBorder="1" applyAlignment="1">
      <alignment wrapText="1"/>
    </xf>
    <xf numFmtId="0" fontId="51" fillId="0" borderId="0" xfId="0" applyFont="1" applyFill="1" applyAlignment="1">
      <alignment vertical="center"/>
    </xf>
    <xf numFmtId="0" fontId="27" fillId="0" borderId="12" xfId="0" applyFont="1" applyFill="1" applyBorder="1"/>
    <xf numFmtId="0" fontId="27" fillId="38" borderId="12" xfId="0" applyFont="1" applyFill="1" applyBorder="1"/>
    <xf numFmtId="49" fontId="0" fillId="0" borderId="12" xfId="0" applyNumberFormat="1" applyFill="1" applyBorder="1"/>
    <xf numFmtId="0" fontId="27" fillId="0" borderId="24" xfId="0" applyFont="1" applyFill="1" applyBorder="1"/>
    <xf numFmtId="0" fontId="27" fillId="38" borderId="24" xfId="0" applyFont="1" applyFill="1" applyBorder="1"/>
    <xf numFmtId="49" fontId="0" fillId="0" borderId="24" xfId="0" applyNumberFormat="1" applyFill="1" applyBorder="1"/>
  </cellXfs>
  <cellStyles count="100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赤字強調" xfId="431"/>
    <cellStyle name="青字強調" xfId="43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2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2280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2460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2670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2980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3750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2310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2490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2700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3010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3780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2410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2590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2800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3120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3880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2610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2790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3000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3310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4080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2850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3030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3240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3550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5250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11006_4</v>
          </cell>
          <cell r="B223">
            <v>3</v>
          </cell>
          <cell r="C223">
            <v>11006</v>
          </cell>
          <cell r="D223" t="str">
            <v>【土日限定】 ゴールドカジノ</v>
          </cell>
          <cell r="E223" t="str">
            <v>土日クエスト</v>
          </cell>
          <cell r="F223">
            <v>4</v>
          </cell>
          <cell r="G223" t="str">
            <v>ja</v>
          </cell>
          <cell r="H223" t="str">
            <v xml:space="preserve">【超級】ゴールドカジノ </v>
          </cell>
          <cell r="I223" t="str">
            <v>超級</v>
          </cell>
          <cell r="J223">
            <v>120</v>
          </cell>
          <cell r="K223">
            <v>30</v>
          </cell>
          <cell r="L223">
            <v>1400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105</v>
          </cell>
          <cell r="AD223">
            <v>6</v>
          </cell>
          <cell r="AE223" t="str">
            <v>everyone</v>
          </cell>
        </row>
        <row r="224">
          <cell r="A224" t="str">
            <v>11007_1</v>
          </cell>
          <cell r="B224">
            <v>3</v>
          </cell>
          <cell r="C224">
            <v>11007</v>
          </cell>
          <cell r="D224" t="str">
            <v>【土曜限定】 赤と緑の素材</v>
          </cell>
          <cell r="E224" t="str">
            <v>土曜クエスト</v>
          </cell>
          <cell r="F224">
            <v>1</v>
          </cell>
          <cell r="G224" t="str">
            <v>ja</v>
          </cell>
          <cell r="H224" t="str">
            <v xml:space="preserve">【初級】火と樹のチェシャ猫 </v>
          </cell>
          <cell r="I224" t="str">
            <v>初級</v>
          </cell>
          <cell r="J224">
            <v>101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everyone</v>
          </cell>
        </row>
        <row r="225">
          <cell r="A225" t="str">
            <v>11007_2</v>
          </cell>
          <cell r="B225">
            <v>3</v>
          </cell>
          <cell r="C225">
            <v>11007</v>
          </cell>
          <cell r="D225" t="str">
            <v>【土曜限定】 赤と緑の素材</v>
          </cell>
          <cell r="E225" t="str">
            <v>土曜クエスト</v>
          </cell>
          <cell r="F225">
            <v>2</v>
          </cell>
          <cell r="G225" t="str">
            <v>ja</v>
          </cell>
          <cell r="H225" t="str">
            <v xml:space="preserve">【中級】火と樹のウサギ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102</v>
          </cell>
          <cell r="AD225">
            <v>6</v>
          </cell>
          <cell r="AE225" t="str">
            <v>everyone</v>
          </cell>
        </row>
        <row r="226">
          <cell r="A226" t="str">
            <v>11007_3</v>
          </cell>
          <cell r="B226">
            <v>3</v>
          </cell>
          <cell r="C226">
            <v>11007</v>
          </cell>
          <cell r="D226" t="str">
            <v>【土曜限定】 赤と緑の素材</v>
          </cell>
          <cell r="E226" t="str">
            <v>土曜クエスト</v>
          </cell>
          <cell r="F226">
            <v>3</v>
          </cell>
          <cell r="G226" t="str">
            <v>ja</v>
          </cell>
          <cell r="H226" t="str">
            <v xml:space="preserve">【上級】火と樹のイモムシ </v>
          </cell>
          <cell r="I226" t="str">
            <v>上級</v>
          </cell>
          <cell r="J226">
            <v>103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everyone</v>
          </cell>
        </row>
        <row r="227">
          <cell r="A227" t="str">
            <v>11007_4</v>
          </cell>
          <cell r="B227">
            <v>3</v>
          </cell>
          <cell r="C227">
            <v>11007</v>
          </cell>
          <cell r="D227" t="str">
            <v>【土曜限定】 赤と緑の素材</v>
          </cell>
          <cell r="E227" t="str">
            <v>土曜クエスト</v>
          </cell>
          <cell r="F227">
            <v>4</v>
          </cell>
          <cell r="G227" t="str">
            <v>ja</v>
          </cell>
          <cell r="H227" t="str">
            <v xml:space="preserve">【超級】火と樹の帽子屋 </v>
          </cell>
          <cell r="I227" t="str">
            <v>超級（★5覚醒素材）</v>
          </cell>
          <cell r="J227">
            <v>108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everyone</v>
          </cell>
        </row>
        <row r="228">
          <cell r="A228" t="str">
            <v>11007_5</v>
          </cell>
          <cell r="B228">
            <v>3</v>
          </cell>
          <cell r="C228">
            <v>11007</v>
          </cell>
          <cell r="D228" t="str">
            <v>【土曜限定】 赤と緑の素材</v>
          </cell>
          <cell r="E228" t="str">
            <v>土曜クエスト</v>
          </cell>
          <cell r="F228">
            <v>5</v>
          </cell>
          <cell r="G228" t="str">
            <v>ja</v>
          </cell>
          <cell r="H228" t="str">
            <v>【超絶級】ドードーとグリフォン</v>
          </cell>
          <cell r="I228" t="str">
            <v>超絶級（★6覚醒素材）</v>
          </cell>
          <cell r="J228">
            <v>356</v>
          </cell>
          <cell r="K228">
            <v>35</v>
          </cell>
          <cell r="L228">
            <v>2240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everyone</v>
          </cell>
        </row>
        <row r="229">
          <cell r="A229" t="str">
            <v>11008_1</v>
          </cell>
          <cell r="B229">
            <v>3</v>
          </cell>
          <cell r="C229">
            <v>11008</v>
          </cell>
          <cell r="D229" t="str">
            <v>【日曜限定】 青と黄の素材</v>
          </cell>
          <cell r="E229" t="str">
            <v>日曜クエスト</v>
          </cell>
          <cell r="F229">
            <v>1</v>
          </cell>
          <cell r="G229" t="str">
            <v>ja</v>
          </cell>
          <cell r="H229" t="str">
            <v xml:space="preserve">【初級】水と雷のチェシャ猫 </v>
          </cell>
          <cell r="I229" t="str">
            <v>初級</v>
          </cell>
          <cell r="J229">
            <v>109</v>
          </cell>
          <cell r="K229">
            <v>8</v>
          </cell>
          <cell r="L229">
            <v>240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everyone</v>
          </cell>
        </row>
        <row r="230">
          <cell r="A230" t="str">
            <v>11008_2</v>
          </cell>
          <cell r="B230">
            <v>3</v>
          </cell>
          <cell r="C230">
            <v>11008</v>
          </cell>
          <cell r="D230" t="str">
            <v>【日曜限定】 青と黄の素材</v>
          </cell>
          <cell r="E230" t="str">
            <v>日曜クエスト</v>
          </cell>
          <cell r="F230">
            <v>2</v>
          </cell>
          <cell r="G230" t="str">
            <v>ja</v>
          </cell>
          <cell r="H230" t="str">
            <v xml:space="preserve">【中級】水と雷のウサギ </v>
          </cell>
          <cell r="I230" t="str">
            <v>中級</v>
          </cell>
          <cell r="J230">
            <v>114</v>
          </cell>
          <cell r="K230">
            <v>15</v>
          </cell>
          <cell r="L230">
            <v>525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everyone</v>
          </cell>
        </row>
        <row r="231">
          <cell r="A231" t="str">
            <v>11008_3</v>
          </cell>
          <cell r="B231">
            <v>3</v>
          </cell>
          <cell r="C231">
            <v>11008</v>
          </cell>
          <cell r="D231" t="str">
            <v>【日曜限定】 青と黄の素材</v>
          </cell>
          <cell r="E231" t="str">
            <v>日曜クエスト</v>
          </cell>
          <cell r="F231">
            <v>3</v>
          </cell>
          <cell r="G231" t="str">
            <v>ja</v>
          </cell>
          <cell r="H231" t="str">
            <v xml:space="preserve">【上級】水と雷のイモムシ </v>
          </cell>
          <cell r="I231" t="str">
            <v>上級</v>
          </cell>
          <cell r="J231">
            <v>111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103</v>
          </cell>
          <cell r="AD231">
            <v>6</v>
          </cell>
          <cell r="AE231" t="str">
            <v>everyone</v>
          </cell>
        </row>
        <row r="232">
          <cell r="A232" t="str">
            <v>11008_4</v>
          </cell>
          <cell r="B232">
            <v>3</v>
          </cell>
          <cell r="C232">
            <v>11008</v>
          </cell>
          <cell r="D232" t="str">
            <v>【日曜限定】 青と黄の素材</v>
          </cell>
          <cell r="E232" t="str">
            <v>日曜クエスト</v>
          </cell>
          <cell r="F232">
            <v>4</v>
          </cell>
          <cell r="G232" t="str">
            <v>ja</v>
          </cell>
          <cell r="H232" t="str">
            <v xml:space="preserve">【超級】水と雷の帽子屋 </v>
          </cell>
          <cell r="I232" t="str">
            <v>超級（★5覚醒素材）</v>
          </cell>
          <cell r="J232">
            <v>116</v>
          </cell>
          <cell r="K232">
            <v>30</v>
          </cell>
          <cell r="L232">
            <v>1400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101</v>
          </cell>
          <cell r="AD232">
            <v>6</v>
          </cell>
          <cell r="AE232" t="str">
            <v>everyone</v>
          </cell>
        </row>
        <row r="233">
          <cell r="A233" t="str">
            <v>11008_5</v>
          </cell>
          <cell r="B233">
            <v>3</v>
          </cell>
          <cell r="C233">
            <v>11008</v>
          </cell>
          <cell r="D233" t="str">
            <v>【日曜限定】 青と黄の素材</v>
          </cell>
          <cell r="E233" t="str">
            <v>日曜クエスト</v>
          </cell>
          <cell r="F233">
            <v>5</v>
          </cell>
          <cell r="G233" t="str">
            <v>ja</v>
          </cell>
          <cell r="H233" t="str">
            <v>【超絶級】ウミガメとネズミ</v>
          </cell>
          <cell r="I233" t="str">
            <v>超絶級（★6覚醒素材）</v>
          </cell>
          <cell r="J233">
            <v>358</v>
          </cell>
          <cell r="K233">
            <v>35</v>
          </cell>
          <cell r="L233">
            <v>2240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everyone</v>
          </cell>
        </row>
        <row r="234">
          <cell r="A234" t="str">
            <v>11016_1</v>
          </cell>
          <cell r="B234">
            <v>3</v>
          </cell>
          <cell r="C234">
            <v>11016</v>
          </cell>
          <cell r="D234" t="str">
            <v>【マルチ専用1/2】 ゴールドカジノ</v>
          </cell>
          <cell r="E234" t="str">
            <v>土日クエスト1</v>
          </cell>
          <cell r="F234">
            <v>1</v>
          </cell>
          <cell r="G234" t="str">
            <v>ja</v>
          </cell>
          <cell r="H234" t="str">
            <v xml:space="preserve">【上級】ゴールドカジノ </v>
          </cell>
          <cell r="I234" t="str">
            <v>上級</v>
          </cell>
          <cell r="J234">
            <v>119</v>
          </cell>
          <cell r="K234">
            <v>10</v>
          </cell>
          <cell r="L234">
            <v>860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multionly</v>
          </cell>
        </row>
        <row r="235">
          <cell r="A235" t="str">
            <v>11017_1</v>
          </cell>
          <cell r="B235">
            <v>3</v>
          </cell>
          <cell r="C235">
            <v>11017</v>
          </cell>
          <cell r="D235" t="str">
            <v>【期間限定】リトルハンプティを追え！</v>
          </cell>
          <cell r="E235" t="str">
            <v>期間限定クエスト</v>
          </cell>
          <cell r="F235">
            <v>1</v>
          </cell>
          <cell r="G235" t="str">
            <v>ja</v>
          </cell>
          <cell r="H235" t="str">
            <v>【上級】リトルハンプティを追え！</v>
          </cell>
          <cell r="I235" t="str">
            <v>上級</v>
          </cell>
          <cell r="J235">
            <v>837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</v>
          </cell>
          <cell r="AD235">
            <v>6</v>
          </cell>
          <cell r="AE235" t="str">
            <v>everyone</v>
          </cell>
        </row>
        <row r="236">
          <cell r="A236" t="str">
            <v>11018_1</v>
          </cell>
          <cell r="B236">
            <v>3</v>
          </cell>
          <cell r="C236">
            <v>11018</v>
          </cell>
          <cell r="D236" t="str">
            <v>【エナジー1/2】 ゴールドカジノ</v>
          </cell>
          <cell r="E236" t="str">
            <v>土日クエスト1</v>
          </cell>
          <cell r="F236">
            <v>1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10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11101_1</v>
          </cell>
          <cell r="B237">
            <v>3</v>
          </cell>
          <cell r="C237">
            <v>11101</v>
          </cell>
          <cell r="D237" t="str">
            <v>【期間限定】 黄の素材</v>
          </cell>
          <cell r="E237" t="str">
            <v>月曜クエスト</v>
          </cell>
          <cell r="F237">
            <v>1</v>
          </cell>
          <cell r="G237" t="str">
            <v>ja</v>
          </cell>
          <cell r="H237" t="str">
            <v>【初級】雷のチェシャ猫</v>
          </cell>
          <cell r="I237" t="str">
            <v>初級</v>
          </cell>
          <cell r="J237">
            <v>113</v>
          </cell>
          <cell r="K237">
            <v>8</v>
          </cell>
          <cell r="L237">
            <v>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101</v>
          </cell>
          <cell r="AD237">
            <v>6</v>
          </cell>
          <cell r="AE237" t="str">
            <v>everyone</v>
          </cell>
        </row>
        <row r="238">
          <cell r="A238" t="str">
            <v>11101_2</v>
          </cell>
          <cell r="B238">
            <v>3</v>
          </cell>
          <cell r="C238">
            <v>11101</v>
          </cell>
          <cell r="D238" t="str">
            <v>【期間限定】 黄の素材</v>
          </cell>
          <cell r="E238" t="str">
            <v>月曜クエスト</v>
          </cell>
          <cell r="F238">
            <v>2</v>
          </cell>
          <cell r="G238" t="str">
            <v>ja</v>
          </cell>
          <cell r="H238" t="str">
            <v xml:space="preserve">【中級】雷のウサギ </v>
          </cell>
          <cell r="I238" t="str">
            <v>中級</v>
          </cell>
          <cell r="J238">
            <v>114</v>
          </cell>
          <cell r="K238">
            <v>15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101</v>
          </cell>
          <cell r="AD238">
            <v>6</v>
          </cell>
          <cell r="AE238" t="str">
            <v>everyone</v>
          </cell>
        </row>
        <row r="239">
          <cell r="A239" t="str">
            <v>11101_3</v>
          </cell>
          <cell r="B239">
            <v>0</v>
          </cell>
          <cell r="C239">
            <v>11101</v>
          </cell>
          <cell r="D239" t="str">
            <v>【期間限定】 黄の素材</v>
          </cell>
          <cell r="E239" t="str">
            <v>月曜クエスト</v>
          </cell>
          <cell r="F239">
            <v>3</v>
          </cell>
          <cell r="G239" t="str">
            <v>ja</v>
          </cell>
          <cell r="H239" t="str">
            <v>【上級】雷のイモムシ</v>
          </cell>
          <cell r="I239" t="str">
            <v>上級</v>
          </cell>
          <cell r="J239">
            <v>115</v>
          </cell>
          <cell r="K239">
            <v>20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101</v>
          </cell>
          <cell r="AD239">
            <v>6</v>
          </cell>
          <cell r="AE239" t="str">
            <v>everyone</v>
          </cell>
        </row>
        <row r="240">
          <cell r="A240" t="str">
            <v>11101_4</v>
          </cell>
          <cell r="B240">
            <v>3</v>
          </cell>
          <cell r="C240">
            <v>11101</v>
          </cell>
          <cell r="D240" t="str">
            <v>【期間限定】 黄の素材</v>
          </cell>
          <cell r="E240" t="str">
            <v>月曜クエスト</v>
          </cell>
          <cell r="F240">
            <v>4</v>
          </cell>
          <cell r="G240" t="str">
            <v>ja</v>
          </cell>
          <cell r="H240" t="str">
            <v>【上級】雷のイモムシ</v>
          </cell>
          <cell r="I240" t="str">
            <v>上級</v>
          </cell>
          <cell r="J240">
            <v>115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101</v>
          </cell>
          <cell r="AD240">
            <v>6</v>
          </cell>
          <cell r="AE240" t="str">
            <v>everyone</v>
          </cell>
        </row>
        <row r="241">
          <cell r="A241" t="str">
            <v>11101_10</v>
          </cell>
          <cell r="B241">
            <v>3</v>
          </cell>
          <cell r="C241">
            <v>11101</v>
          </cell>
          <cell r="D241" t="str">
            <v>【期間限定】 黄の素材</v>
          </cell>
          <cell r="E241" t="str">
            <v>月曜クエスト</v>
          </cell>
          <cell r="F241">
            <v>10</v>
          </cell>
          <cell r="G241" t="str">
            <v>ja</v>
          </cell>
          <cell r="H241" t="str">
            <v>【超絶級】醒電の眠りネズミ</v>
          </cell>
          <cell r="I241" t="str">
            <v>超絶級（★6覚醒素材）</v>
          </cell>
          <cell r="J241">
            <v>359</v>
          </cell>
          <cell r="K241">
            <v>35</v>
          </cell>
          <cell r="L241">
            <v>2240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101</v>
          </cell>
          <cell r="AD241">
            <v>6</v>
          </cell>
          <cell r="AE241" t="str">
            <v>everyone</v>
          </cell>
        </row>
        <row r="242">
          <cell r="A242" t="str">
            <v>11102_1</v>
          </cell>
          <cell r="B242">
            <v>3</v>
          </cell>
          <cell r="C242">
            <v>11102</v>
          </cell>
          <cell r="D242" t="str">
            <v>【期間限定】 赤の素材</v>
          </cell>
          <cell r="E242" t="str">
            <v>火曜クエスト</v>
          </cell>
          <cell r="F242">
            <v>1</v>
          </cell>
          <cell r="G242" t="str">
            <v>ja</v>
          </cell>
          <cell r="H242" t="str">
            <v xml:space="preserve">【初級】火のチェシャ猫 </v>
          </cell>
          <cell r="I242" t="str">
            <v>初級</v>
          </cell>
          <cell r="J242">
            <v>101</v>
          </cell>
          <cell r="K242">
            <v>8</v>
          </cell>
          <cell r="L242">
            <v>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102</v>
          </cell>
          <cell r="AD242">
            <v>6</v>
          </cell>
          <cell r="AE242" t="str">
            <v>everyone</v>
          </cell>
        </row>
        <row r="243">
          <cell r="A243" t="str">
            <v>11102_2</v>
          </cell>
          <cell r="B243">
            <v>3</v>
          </cell>
          <cell r="C243">
            <v>11102</v>
          </cell>
          <cell r="D243" t="str">
            <v>【期間限定】 赤の素材</v>
          </cell>
          <cell r="E243" t="str">
            <v>火曜クエスト</v>
          </cell>
          <cell r="F243">
            <v>2</v>
          </cell>
          <cell r="G243" t="str">
            <v>ja</v>
          </cell>
          <cell r="H243" t="str">
            <v xml:space="preserve">【中級】火のウサギ </v>
          </cell>
          <cell r="I243" t="str">
            <v>中級</v>
          </cell>
          <cell r="J243">
            <v>102</v>
          </cell>
          <cell r="K243">
            <v>15</v>
          </cell>
          <cell r="L243">
            <v>525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11102_3</v>
          </cell>
          <cell r="B244">
            <v>0</v>
          </cell>
          <cell r="C244">
            <v>11102</v>
          </cell>
          <cell r="D244" t="str">
            <v>【期間限定】 赤の素材</v>
          </cell>
          <cell r="E244" t="str">
            <v>火曜クエスト</v>
          </cell>
          <cell r="F244">
            <v>3</v>
          </cell>
          <cell r="G244" t="str">
            <v>ja</v>
          </cell>
          <cell r="H244" t="str">
            <v xml:space="preserve">【上級】火のイモムシ </v>
          </cell>
          <cell r="I244" t="str">
            <v>上級</v>
          </cell>
          <cell r="J244">
            <v>103</v>
          </cell>
          <cell r="K244">
            <v>20</v>
          </cell>
          <cell r="L244">
            <v>860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102</v>
          </cell>
          <cell r="AD244">
            <v>6</v>
          </cell>
          <cell r="AE244" t="str">
            <v>everyone</v>
          </cell>
        </row>
        <row r="245">
          <cell r="A245" t="str">
            <v>11102_4</v>
          </cell>
          <cell r="B245">
            <v>3</v>
          </cell>
          <cell r="C245">
            <v>11102</v>
          </cell>
          <cell r="D245" t="str">
            <v>【期間限定】 赤の素材</v>
          </cell>
          <cell r="E245" t="str">
            <v>火曜クエスト</v>
          </cell>
          <cell r="F245">
            <v>4</v>
          </cell>
          <cell r="G245" t="str">
            <v>ja</v>
          </cell>
          <cell r="H245" t="str">
            <v xml:space="preserve">【上級】火のイモムシ </v>
          </cell>
          <cell r="I245" t="str">
            <v>上級</v>
          </cell>
          <cell r="J245">
            <v>103</v>
          </cell>
          <cell r="K245">
            <v>20</v>
          </cell>
          <cell r="L245">
            <v>860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102</v>
          </cell>
          <cell r="AD245">
            <v>6</v>
          </cell>
          <cell r="AE245" t="str">
            <v>everyone</v>
          </cell>
        </row>
        <row r="246">
          <cell r="A246" t="str">
            <v>11102_10</v>
          </cell>
          <cell r="B246">
            <v>3</v>
          </cell>
          <cell r="C246">
            <v>11102</v>
          </cell>
          <cell r="D246" t="str">
            <v>【期間限定】 赤の素材</v>
          </cell>
          <cell r="E246" t="str">
            <v>火曜クエスト</v>
          </cell>
          <cell r="F246">
            <v>10</v>
          </cell>
          <cell r="G246" t="str">
            <v>ja</v>
          </cell>
          <cell r="H246" t="str">
            <v>【超絶級】炎上のドードー</v>
          </cell>
          <cell r="I246" t="str">
            <v>超絶級（★6覚醒素材）</v>
          </cell>
          <cell r="J246">
            <v>356</v>
          </cell>
          <cell r="K246">
            <v>35</v>
          </cell>
          <cell r="L246">
            <v>2240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102</v>
          </cell>
          <cell r="AD246">
            <v>6</v>
          </cell>
          <cell r="AE246" t="str">
            <v>everyone</v>
          </cell>
        </row>
        <row r="247">
          <cell r="A247" t="str">
            <v>11103_1</v>
          </cell>
          <cell r="B247">
            <v>3</v>
          </cell>
          <cell r="C247">
            <v>11103</v>
          </cell>
          <cell r="D247" t="str">
            <v>【期間限定】 青の素材</v>
          </cell>
          <cell r="E247" t="str">
            <v>水曜クエスト</v>
          </cell>
          <cell r="F247">
            <v>1</v>
          </cell>
          <cell r="G247" t="str">
            <v>ja</v>
          </cell>
          <cell r="H247" t="str">
            <v>【初級】水のチェシャ猫</v>
          </cell>
          <cell r="I247" t="str">
            <v>初級</v>
          </cell>
          <cell r="J247">
            <v>109</v>
          </cell>
          <cell r="K247">
            <v>8</v>
          </cell>
          <cell r="L247">
            <v>240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103</v>
          </cell>
          <cell r="AD247">
            <v>6</v>
          </cell>
          <cell r="AE247" t="str">
            <v>everyone</v>
          </cell>
        </row>
        <row r="248">
          <cell r="A248" t="str">
            <v>11103_2</v>
          </cell>
          <cell r="B248">
            <v>3</v>
          </cell>
          <cell r="C248">
            <v>11103</v>
          </cell>
          <cell r="D248" t="str">
            <v>【期間限定】 青の素材</v>
          </cell>
          <cell r="E248" t="str">
            <v>水曜クエスト</v>
          </cell>
          <cell r="F248">
            <v>2</v>
          </cell>
          <cell r="G248" t="str">
            <v>ja</v>
          </cell>
          <cell r="H248" t="str">
            <v xml:space="preserve">【中級】水のウサギ </v>
          </cell>
          <cell r="I248" t="str">
            <v>中級</v>
          </cell>
          <cell r="J248">
            <v>110</v>
          </cell>
          <cell r="K248">
            <v>15</v>
          </cell>
          <cell r="L248">
            <v>525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103</v>
          </cell>
          <cell r="AD248">
            <v>6</v>
          </cell>
          <cell r="AE248" t="str">
            <v>everyone</v>
          </cell>
        </row>
        <row r="249">
          <cell r="A249" t="str">
            <v>11103_3</v>
          </cell>
          <cell r="B249">
            <v>0</v>
          </cell>
          <cell r="C249">
            <v>11103</v>
          </cell>
          <cell r="D249" t="str">
            <v>【期間限定】 青の素材</v>
          </cell>
          <cell r="E249" t="str">
            <v>水曜クエスト</v>
          </cell>
          <cell r="F249">
            <v>3</v>
          </cell>
          <cell r="G249" t="str">
            <v>ja</v>
          </cell>
          <cell r="H249" t="str">
            <v xml:space="preserve">【上級】水のイモムシ </v>
          </cell>
          <cell r="I249" t="str">
            <v>上級</v>
          </cell>
          <cell r="J249">
            <v>111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103</v>
          </cell>
          <cell r="AD249">
            <v>6</v>
          </cell>
          <cell r="AE249" t="str">
            <v>everyone</v>
          </cell>
        </row>
        <row r="250">
          <cell r="A250" t="str">
            <v>11103_4</v>
          </cell>
          <cell r="B250">
            <v>3</v>
          </cell>
          <cell r="C250">
            <v>11103</v>
          </cell>
          <cell r="D250" t="str">
            <v>【期間限定】 青の素材</v>
          </cell>
          <cell r="E250" t="str">
            <v>水曜クエスト</v>
          </cell>
          <cell r="F250">
            <v>4</v>
          </cell>
          <cell r="G250" t="str">
            <v>ja</v>
          </cell>
          <cell r="H250" t="str">
            <v xml:space="preserve">【上級】水のイモムシ </v>
          </cell>
          <cell r="I250" t="str">
            <v>上級</v>
          </cell>
          <cell r="J250">
            <v>111</v>
          </cell>
          <cell r="K250">
            <v>20</v>
          </cell>
          <cell r="L250">
            <v>860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103</v>
          </cell>
          <cell r="AD250">
            <v>6</v>
          </cell>
          <cell r="AE250" t="str">
            <v>everyone</v>
          </cell>
        </row>
        <row r="251">
          <cell r="A251" t="str">
            <v>11103_10</v>
          </cell>
          <cell r="B251">
            <v>3</v>
          </cell>
          <cell r="C251">
            <v>11103</v>
          </cell>
          <cell r="D251" t="str">
            <v>【期間限定】 青の素材</v>
          </cell>
          <cell r="E251" t="str">
            <v>水曜クエスト</v>
          </cell>
          <cell r="F251">
            <v>10</v>
          </cell>
          <cell r="G251" t="str">
            <v>ja</v>
          </cell>
          <cell r="H251" t="str">
            <v>【超絶級】深淵の代用ウミガメ</v>
          </cell>
          <cell r="I251" t="str">
            <v>超絶級（★6覚醒素材）</v>
          </cell>
          <cell r="J251">
            <v>358</v>
          </cell>
          <cell r="K251">
            <v>35</v>
          </cell>
          <cell r="L251">
            <v>2240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103</v>
          </cell>
          <cell r="AD251">
            <v>6</v>
          </cell>
          <cell r="AE251" t="str">
            <v>everyone</v>
          </cell>
        </row>
        <row r="252">
          <cell r="A252" t="str">
            <v>11104_1</v>
          </cell>
          <cell r="B252">
            <v>3</v>
          </cell>
          <cell r="C252">
            <v>11104</v>
          </cell>
          <cell r="D252" t="str">
            <v>【期間限定】 緑の素材</v>
          </cell>
          <cell r="E252" t="str">
            <v>木曜クエスト</v>
          </cell>
          <cell r="F252">
            <v>1</v>
          </cell>
          <cell r="G252" t="str">
            <v>ja</v>
          </cell>
          <cell r="H252" t="str">
            <v xml:space="preserve">【初級】樹のチェシャ猫 </v>
          </cell>
          <cell r="I252" t="str">
            <v>初級</v>
          </cell>
          <cell r="J252">
            <v>105</v>
          </cell>
          <cell r="K252">
            <v>8</v>
          </cell>
          <cell r="L252">
            <v>240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104</v>
          </cell>
          <cell r="AD252">
            <v>6</v>
          </cell>
          <cell r="AE252" t="str">
            <v>everyone</v>
          </cell>
        </row>
        <row r="253">
          <cell r="A253" t="str">
            <v>11104_2</v>
          </cell>
          <cell r="B253">
            <v>3</v>
          </cell>
          <cell r="C253">
            <v>11104</v>
          </cell>
          <cell r="D253" t="str">
            <v>【期間限定】 緑の素材</v>
          </cell>
          <cell r="E253" t="str">
            <v>木曜クエスト</v>
          </cell>
          <cell r="F253">
            <v>2</v>
          </cell>
          <cell r="G253" t="str">
            <v>ja</v>
          </cell>
          <cell r="H253" t="str">
            <v xml:space="preserve">【中級】樹のウサギ </v>
          </cell>
          <cell r="I253" t="str">
            <v>中級</v>
          </cell>
          <cell r="J253">
            <v>106</v>
          </cell>
          <cell r="K253">
            <v>15</v>
          </cell>
          <cell r="L253">
            <v>525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104</v>
          </cell>
          <cell r="AD253">
            <v>6</v>
          </cell>
          <cell r="AE253" t="str">
            <v>everyone</v>
          </cell>
        </row>
        <row r="254">
          <cell r="A254" t="str">
            <v>11104_3</v>
          </cell>
          <cell r="B254">
            <v>0</v>
          </cell>
          <cell r="C254">
            <v>11104</v>
          </cell>
          <cell r="D254" t="str">
            <v>【期間限定】 緑の素材</v>
          </cell>
          <cell r="E254" t="str">
            <v>木曜クエスト</v>
          </cell>
          <cell r="F254">
            <v>3</v>
          </cell>
          <cell r="G254" t="str">
            <v>ja</v>
          </cell>
          <cell r="H254" t="str">
            <v>【上級】樹のイモムシ</v>
          </cell>
          <cell r="I254" t="str">
            <v>上級</v>
          </cell>
          <cell r="J254">
            <v>107</v>
          </cell>
          <cell r="K254">
            <v>20</v>
          </cell>
          <cell r="L254">
            <v>860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104</v>
          </cell>
          <cell r="AD254">
            <v>6</v>
          </cell>
          <cell r="AE254" t="str">
            <v>everyone</v>
          </cell>
        </row>
        <row r="255">
          <cell r="A255" t="str">
            <v>11104_4</v>
          </cell>
          <cell r="B255">
            <v>3</v>
          </cell>
          <cell r="C255">
            <v>11104</v>
          </cell>
          <cell r="D255" t="str">
            <v>【期間限定】 緑の素材</v>
          </cell>
          <cell r="E255" t="str">
            <v>木曜クエスト</v>
          </cell>
          <cell r="F255">
            <v>4</v>
          </cell>
          <cell r="G255" t="str">
            <v>ja</v>
          </cell>
          <cell r="H255" t="str">
            <v>【上級】樹のイモムシ</v>
          </cell>
          <cell r="I255" t="str">
            <v>上級</v>
          </cell>
          <cell r="J255">
            <v>107</v>
          </cell>
          <cell r="K255">
            <v>20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104</v>
          </cell>
          <cell r="AD255">
            <v>6</v>
          </cell>
          <cell r="AE255" t="str">
            <v>everyone</v>
          </cell>
        </row>
        <row r="256">
          <cell r="A256" t="str">
            <v>11104_10</v>
          </cell>
          <cell r="B256">
            <v>3</v>
          </cell>
          <cell r="C256">
            <v>11104</v>
          </cell>
          <cell r="D256" t="str">
            <v>【期間限定】 緑の素材</v>
          </cell>
          <cell r="E256" t="str">
            <v>木曜クエスト</v>
          </cell>
          <cell r="F256">
            <v>10</v>
          </cell>
          <cell r="G256" t="str">
            <v>ja</v>
          </cell>
          <cell r="H256" t="str">
            <v>【超絶級】千風のグリフォン</v>
          </cell>
          <cell r="I256" t="str">
            <v>超絶級（★6覚醒素材）</v>
          </cell>
          <cell r="J256">
            <v>357</v>
          </cell>
          <cell r="K256">
            <v>35</v>
          </cell>
          <cell r="L256">
            <v>2240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104</v>
          </cell>
          <cell r="AD256">
            <v>6</v>
          </cell>
          <cell r="AE256" t="str">
            <v>everyone</v>
          </cell>
        </row>
        <row r="257">
          <cell r="A257" t="str">
            <v>11105_1</v>
          </cell>
          <cell r="B257">
            <v>3</v>
          </cell>
          <cell r="C257">
            <v>11105</v>
          </cell>
          <cell r="D257" t="str">
            <v>【期間限定】 帽子屋を追え！</v>
          </cell>
          <cell r="E257" t="str">
            <v>金曜クエスト</v>
          </cell>
          <cell r="F257">
            <v>1</v>
          </cell>
          <cell r="G257" t="str">
            <v>ja</v>
          </cell>
          <cell r="H257" t="str">
            <v xml:space="preserve">【超級】火の帽子屋 </v>
          </cell>
          <cell r="I257" t="str">
            <v>赤R5</v>
          </cell>
          <cell r="J257">
            <v>104</v>
          </cell>
          <cell r="K257">
            <v>30</v>
          </cell>
          <cell r="L257">
            <v>1400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102</v>
          </cell>
          <cell r="AD257">
            <v>6</v>
          </cell>
          <cell r="AE257" t="str">
            <v>everyone</v>
          </cell>
        </row>
        <row r="258">
          <cell r="A258" t="str">
            <v>11105_2</v>
          </cell>
          <cell r="B258">
            <v>3</v>
          </cell>
          <cell r="C258">
            <v>11105</v>
          </cell>
          <cell r="D258" t="str">
            <v>【期間限定】 帽子屋を追え！</v>
          </cell>
          <cell r="E258" t="str">
            <v>金曜クエスト</v>
          </cell>
          <cell r="F258">
            <v>2</v>
          </cell>
          <cell r="G258" t="str">
            <v>ja</v>
          </cell>
          <cell r="H258" t="str">
            <v>【超級】樹の帽子屋</v>
          </cell>
          <cell r="I258" t="str">
            <v>緑R5</v>
          </cell>
          <cell r="J258">
            <v>108</v>
          </cell>
          <cell r="K258">
            <v>30</v>
          </cell>
          <cell r="L258">
            <v>1400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104</v>
          </cell>
          <cell r="AD258">
            <v>6</v>
          </cell>
          <cell r="AE258" t="str">
            <v>everyone</v>
          </cell>
        </row>
        <row r="259">
          <cell r="A259" t="str">
            <v>11105_3</v>
          </cell>
          <cell r="B259">
            <v>3</v>
          </cell>
          <cell r="C259">
            <v>11105</v>
          </cell>
          <cell r="D259" t="str">
            <v>【期間限定】 帽子屋を追え！</v>
          </cell>
          <cell r="E259" t="str">
            <v>金曜クエスト</v>
          </cell>
          <cell r="F259">
            <v>3</v>
          </cell>
          <cell r="G259" t="str">
            <v>ja</v>
          </cell>
          <cell r="H259" t="str">
            <v xml:space="preserve">【超級】水の帽子屋 </v>
          </cell>
          <cell r="I259" t="str">
            <v>青R5</v>
          </cell>
          <cell r="J259">
            <v>112</v>
          </cell>
          <cell r="K259">
            <v>30</v>
          </cell>
          <cell r="L259">
            <v>1400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103</v>
          </cell>
          <cell r="AD259">
            <v>6</v>
          </cell>
          <cell r="AE259" t="str">
            <v>everyone</v>
          </cell>
        </row>
        <row r="260">
          <cell r="A260" t="str">
            <v>11105_4</v>
          </cell>
          <cell r="B260">
            <v>3</v>
          </cell>
          <cell r="C260">
            <v>11105</v>
          </cell>
          <cell r="D260" t="str">
            <v>【期間限定】 帽子屋を追え！</v>
          </cell>
          <cell r="E260" t="str">
            <v>金曜クエスト</v>
          </cell>
          <cell r="F260">
            <v>4</v>
          </cell>
          <cell r="G260" t="str">
            <v>ja</v>
          </cell>
          <cell r="H260" t="str">
            <v xml:space="preserve">【超級】雷の帽子屋 </v>
          </cell>
          <cell r="I260" t="str">
            <v>黄R5</v>
          </cell>
          <cell r="J260">
            <v>116</v>
          </cell>
          <cell r="K260">
            <v>30</v>
          </cell>
          <cell r="L260">
            <v>1400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101</v>
          </cell>
          <cell r="AD260">
            <v>6</v>
          </cell>
          <cell r="AE260" t="str">
            <v>everyone</v>
          </cell>
        </row>
        <row r="261">
          <cell r="A261" t="str">
            <v>11106_1</v>
          </cell>
          <cell r="B261">
            <v>0</v>
          </cell>
          <cell r="C261">
            <v>11106</v>
          </cell>
          <cell r="D261" t="str">
            <v>【キャンペーン限定】 ゴールドカジノ</v>
          </cell>
          <cell r="E261" t="str">
            <v>土日クエスト1</v>
          </cell>
          <cell r="F261">
            <v>1</v>
          </cell>
          <cell r="G261" t="str">
            <v>ja</v>
          </cell>
          <cell r="H261" t="str">
            <v xml:space="preserve">【初級】ゴールドカジノ </v>
          </cell>
          <cell r="I261" t="str">
            <v>初級</v>
          </cell>
          <cell r="J261">
            <v>117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11106_2</v>
          </cell>
          <cell r="B262">
            <v>0</v>
          </cell>
          <cell r="C262">
            <v>11106</v>
          </cell>
          <cell r="D262" t="str">
            <v>【キャンペーン限定】 ゴールドカジノ</v>
          </cell>
          <cell r="E262" t="str">
            <v>土日クエスト1</v>
          </cell>
          <cell r="F262">
            <v>2</v>
          </cell>
          <cell r="G262" t="str">
            <v>ja</v>
          </cell>
          <cell r="H262" t="str">
            <v xml:space="preserve">【中級】ゴールドカジノ </v>
          </cell>
          <cell r="I262" t="str">
            <v>中級</v>
          </cell>
          <cell r="J262">
            <v>118</v>
          </cell>
          <cell r="K262">
            <v>15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105</v>
          </cell>
          <cell r="AD262">
            <v>6</v>
          </cell>
          <cell r="AE262" t="str">
            <v>everyone</v>
          </cell>
        </row>
        <row r="263">
          <cell r="A263" t="str">
            <v>11106_3</v>
          </cell>
          <cell r="B263">
            <v>0</v>
          </cell>
          <cell r="C263">
            <v>11106</v>
          </cell>
          <cell r="D263" t="str">
            <v>【キャンペーン限定】 ゴールドカジノ</v>
          </cell>
          <cell r="E263" t="str">
            <v>土日クエスト1</v>
          </cell>
          <cell r="F263">
            <v>3</v>
          </cell>
          <cell r="G263" t="str">
            <v>ja</v>
          </cell>
          <cell r="H263" t="str">
            <v xml:space="preserve">【上級】ゴールドカジノ </v>
          </cell>
          <cell r="I263" t="str">
            <v>上級</v>
          </cell>
          <cell r="J263">
            <v>119</v>
          </cell>
          <cell r="K263">
            <v>20</v>
          </cell>
          <cell r="L263">
            <v>860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everyone</v>
          </cell>
        </row>
        <row r="264">
          <cell r="A264" t="str">
            <v>11206_1</v>
          </cell>
          <cell r="B264">
            <v>0</v>
          </cell>
          <cell r="C264">
            <v>11206</v>
          </cell>
          <cell r="D264" t="str">
            <v>【キャンペーン限定】 ゴールドカジノ</v>
          </cell>
          <cell r="E264" t="str">
            <v>土日クエスト2</v>
          </cell>
          <cell r="F264">
            <v>1</v>
          </cell>
          <cell r="G264" t="str">
            <v>ja</v>
          </cell>
          <cell r="H264" t="str">
            <v>【初級】ゴールドカジノ</v>
          </cell>
          <cell r="I264" t="str">
            <v>初級</v>
          </cell>
          <cell r="J264">
            <v>117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everyone</v>
          </cell>
        </row>
        <row r="265">
          <cell r="A265" t="str">
            <v>11206_2</v>
          </cell>
          <cell r="B265">
            <v>0</v>
          </cell>
          <cell r="C265">
            <v>11206</v>
          </cell>
          <cell r="D265" t="str">
            <v>【キャンペーン限定】 ゴールドカジノ</v>
          </cell>
          <cell r="E265" t="str">
            <v>土日クエスト2</v>
          </cell>
          <cell r="F265">
            <v>2</v>
          </cell>
          <cell r="G265" t="str">
            <v>ja</v>
          </cell>
          <cell r="H265" t="str">
            <v xml:space="preserve">【中級】ゴールドカジノ </v>
          </cell>
          <cell r="I265" t="str">
            <v>中級</v>
          </cell>
          <cell r="J265">
            <v>118</v>
          </cell>
          <cell r="K265">
            <v>15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everyone</v>
          </cell>
        </row>
        <row r="266">
          <cell r="A266" t="str">
            <v>11206_3</v>
          </cell>
          <cell r="B266">
            <v>0</v>
          </cell>
          <cell r="C266">
            <v>11206</v>
          </cell>
          <cell r="D266" t="str">
            <v>【キャンペーン限定】 ゴールドカジノ</v>
          </cell>
          <cell r="E266" t="str">
            <v>土日クエスト2</v>
          </cell>
          <cell r="F266">
            <v>3</v>
          </cell>
          <cell r="G266" t="str">
            <v>ja</v>
          </cell>
          <cell r="H266" t="str">
            <v xml:space="preserve">【上級】ゴールドカジノ </v>
          </cell>
          <cell r="I266" t="str">
            <v>上級</v>
          </cell>
          <cell r="J266">
            <v>119</v>
          </cell>
          <cell r="K266">
            <v>20</v>
          </cell>
          <cell r="L266">
            <v>860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105</v>
          </cell>
          <cell r="AD266">
            <v>6</v>
          </cell>
          <cell r="AE266" t="str">
            <v>everyone</v>
          </cell>
        </row>
        <row r="267">
          <cell r="A267" t="str">
            <v>11207_1</v>
          </cell>
          <cell r="B267">
            <v>3</v>
          </cell>
          <cell r="C267">
            <v>11207</v>
          </cell>
          <cell r="D267" t="str">
            <v>果実達の大宴会</v>
          </cell>
          <cell r="E267">
            <v>0</v>
          </cell>
          <cell r="F267">
            <v>1</v>
          </cell>
          <cell r="G267" t="str">
            <v>ja</v>
          </cell>
          <cell r="H267" t="str">
            <v>【上級】果実達の大宴会</v>
          </cell>
          <cell r="I267" t="str">
            <v>ボーナス</v>
          </cell>
          <cell r="J267" t="str">
            <v>NULL</v>
          </cell>
          <cell r="K267">
            <v>20</v>
          </cell>
          <cell r="L267">
            <v>525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21</v>
          </cell>
          <cell r="AD267">
            <v>6</v>
          </cell>
          <cell r="AE267" t="str">
            <v>singleonly</v>
          </cell>
        </row>
        <row r="268">
          <cell r="A268" t="str">
            <v>11207_2</v>
          </cell>
          <cell r="B268">
            <v>3</v>
          </cell>
          <cell r="C268">
            <v>11207</v>
          </cell>
          <cell r="D268" t="str">
            <v>果実達の大宴会</v>
          </cell>
          <cell r="E268">
            <v>0</v>
          </cell>
          <cell r="F268">
            <v>2</v>
          </cell>
          <cell r="G268" t="str">
            <v>ja</v>
          </cell>
          <cell r="H268" t="str">
            <v>【超級】果実達の大宴会</v>
          </cell>
          <cell r="I268" t="str">
            <v>ボーナス</v>
          </cell>
          <cell r="J268">
            <v>610</v>
          </cell>
          <cell r="K268">
            <v>30</v>
          </cell>
          <cell r="L268">
            <v>860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0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21</v>
          </cell>
          <cell r="AD268">
            <v>6</v>
          </cell>
          <cell r="AE268" t="str">
            <v>singleonly</v>
          </cell>
        </row>
        <row r="269">
          <cell r="A269" t="str">
            <v>11208_1</v>
          </cell>
          <cell r="B269">
            <v>0</v>
          </cell>
          <cell r="C269">
            <v>11208</v>
          </cell>
          <cell r="D269" t="str">
            <v>果実達の大宴会</v>
          </cell>
          <cell r="E269">
            <v>0</v>
          </cell>
          <cell r="F269">
            <v>1</v>
          </cell>
          <cell r="G269" t="str">
            <v>ja</v>
          </cell>
          <cell r="H269" t="str">
            <v>【上級】果実達の大宴会</v>
          </cell>
          <cell r="I269" t="str">
            <v>ボーナス</v>
          </cell>
          <cell r="J269" t="str">
            <v>NULL</v>
          </cell>
          <cell r="K269">
            <v>20</v>
          </cell>
          <cell r="L269">
            <v>525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21</v>
          </cell>
          <cell r="AD269">
            <v>6</v>
          </cell>
          <cell r="AE269" t="str">
            <v>singleonly</v>
          </cell>
        </row>
        <row r="270">
          <cell r="A270" t="str">
            <v>11208_2</v>
          </cell>
          <cell r="B270">
            <v>0</v>
          </cell>
          <cell r="C270">
            <v>11208</v>
          </cell>
          <cell r="D270" t="str">
            <v>果実達の大宴会</v>
          </cell>
          <cell r="E270">
            <v>0</v>
          </cell>
          <cell r="F270">
            <v>2</v>
          </cell>
          <cell r="G270" t="str">
            <v>ja</v>
          </cell>
          <cell r="H270" t="str">
            <v>【超級】果実達の大宴会</v>
          </cell>
          <cell r="I270" t="str">
            <v>ボーナス</v>
          </cell>
          <cell r="J270">
            <v>125</v>
          </cell>
          <cell r="K270">
            <v>40</v>
          </cell>
          <cell r="L270">
            <v>860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21</v>
          </cell>
          <cell r="AD270">
            <v>6</v>
          </cell>
          <cell r="AE270" t="str">
            <v>singleonly</v>
          </cell>
        </row>
        <row r="271">
          <cell r="A271" t="str">
            <v>11209_1</v>
          </cell>
          <cell r="B271">
            <v>3</v>
          </cell>
          <cell r="C271">
            <v>11209</v>
          </cell>
          <cell r="D271" t="str">
            <v>スタートダッシュキャンペーンクエスト</v>
          </cell>
          <cell r="E271" t="str">
            <v>スタートダッシュキャンペーンクエスト</v>
          </cell>
          <cell r="F271">
            <v>1</v>
          </cell>
          <cell r="G271" t="str">
            <v>ja</v>
          </cell>
          <cell r="H271" t="str">
            <v>【初級】メタルダックを捕獲せよ！</v>
          </cell>
          <cell r="I271" t="str">
            <v>経験値ゲリラ</v>
          </cell>
          <cell r="J271">
            <v>334</v>
          </cell>
          <cell r="K271">
            <v>8</v>
          </cell>
          <cell r="L271">
            <v>140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0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201</v>
          </cell>
          <cell r="AD271">
            <v>6</v>
          </cell>
          <cell r="AE271" t="str">
            <v>everyone</v>
          </cell>
        </row>
        <row r="272">
          <cell r="A272" t="str">
            <v>11209_2</v>
          </cell>
          <cell r="B272">
            <v>3</v>
          </cell>
          <cell r="C272">
            <v>11209</v>
          </cell>
          <cell r="D272" t="str">
            <v>スタートダッシュキャンペーンクエスト</v>
          </cell>
          <cell r="E272" t="str">
            <v>スタートダッシュキャンペーンクエスト</v>
          </cell>
          <cell r="F272">
            <v>2</v>
          </cell>
          <cell r="G272" t="str">
            <v>ja</v>
          </cell>
          <cell r="H272" t="str">
            <v>【初級】ゴールドカジノ</v>
          </cell>
          <cell r="I272" t="str">
            <v>初級</v>
          </cell>
          <cell r="J272">
            <v>117</v>
          </cell>
          <cell r="K272">
            <v>8</v>
          </cell>
          <cell r="L272">
            <v>140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105</v>
          </cell>
          <cell r="AD272">
            <v>6</v>
          </cell>
          <cell r="AE272" t="str">
            <v>everyone</v>
          </cell>
        </row>
        <row r="273">
          <cell r="A273" t="str">
            <v>11212_1</v>
          </cell>
          <cell r="B273">
            <v>1</v>
          </cell>
          <cell r="C273">
            <v>11212</v>
          </cell>
          <cell r="D273" t="str">
            <v>100万DL記念★特別クエスト</v>
          </cell>
          <cell r="E273" t="str">
            <v>100万DL記念★特別クエスト</v>
          </cell>
          <cell r="F273">
            <v>1</v>
          </cell>
          <cell r="G273" t="str">
            <v>ja</v>
          </cell>
          <cell r="H273" t="str">
            <v>ミリオンダックより愛をこめて</v>
          </cell>
          <cell r="I273" t="str">
            <v>100万DL記念限定クエスト</v>
          </cell>
          <cell r="J273">
            <v>97</v>
          </cell>
          <cell r="K273">
            <v>1</v>
          </cell>
          <cell r="L273">
            <v>100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once</v>
          </cell>
          <cell r="AC273">
            <v>1</v>
          </cell>
          <cell r="AD273">
            <v>6</v>
          </cell>
          <cell r="AE273" t="str">
            <v>singleonly</v>
          </cell>
        </row>
        <row r="274">
          <cell r="A274" t="str">
            <v>11213_1</v>
          </cell>
          <cell r="B274">
            <v>0</v>
          </cell>
          <cell r="C274">
            <v>11213</v>
          </cell>
          <cell r="D274" t="str">
            <v>クエスト名</v>
          </cell>
          <cell r="E274" t="str">
            <v>【超級】カジノ</v>
          </cell>
          <cell r="F274">
            <v>1</v>
          </cell>
          <cell r="G274" t="str">
            <v>ja</v>
          </cell>
          <cell r="H274" t="str">
            <v xml:space="preserve">【超級】ゴールドカジノ </v>
          </cell>
          <cell r="I274" t="str">
            <v>超級カジノ</v>
          </cell>
          <cell r="J274">
            <v>119</v>
          </cell>
          <cell r="K274">
            <v>30</v>
          </cell>
          <cell r="L274">
            <v>777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105</v>
          </cell>
          <cell r="AD274">
            <v>6</v>
          </cell>
          <cell r="AE274" t="str">
            <v>everyone</v>
          </cell>
        </row>
        <row r="275">
          <cell r="A275" t="str">
            <v>11214_1</v>
          </cell>
          <cell r="B275">
            <v>0</v>
          </cell>
          <cell r="C275">
            <v>11214</v>
          </cell>
          <cell r="D275" t="str">
            <v>プロメテウスの恋</v>
          </cell>
          <cell r="E275" t="str">
            <v>2015年クリスマスクエスト</v>
          </cell>
          <cell r="F275">
            <v>1</v>
          </cell>
          <cell r="G275" t="str">
            <v>ja</v>
          </cell>
          <cell r="H275" t="str">
            <v>【ストーリー前編】勢いまかせ</v>
          </cell>
          <cell r="I275" t="str">
            <v>2015年クリスマスクエスト</v>
          </cell>
          <cell r="J275">
            <v>202</v>
          </cell>
          <cell r="K275">
            <v>1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520,521,522,523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1</v>
          </cell>
          <cell r="AD275">
            <v>6</v>
          </cell>
          <cell r="AE275" t="str">
            <v>singleonly</v>
          </cell>
        </row>
        <row r="276">
          <cell r="A276" t="str">
            <v>11214_2</v>
          </cell>
          <cell r="B276">
            <v>0</v>
          </cell>
          <cell r="C276">
            <v>11214</v>
          </cell>
          <cell r="D276" t="str">
            <v>プロメテウスの恋</v>
          </cell>
          <cell r="E276" t="str">
            <v>2015年クリスマスクエスト</v>
          </cell>
          <cell r="F276">
            <v>2</v>
          </cell>
          <cell r="G276" t="str">
            <v>ja</v>
          </cell>
          <cell r="H276" t="str">
            <v>【ストーリー中編】恋の奥義</v>
          </cell>
          <cell r="I276" t="str">
            <v>幻と化したボツステージ</v>
          </cell>
          <cell r="J276">
            <v>202</v>
          </cell>
          <cell r="K276">
            <v>1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none</v>
          </cell>
          <cell r="T276">
            <v>0</v>
          </cell>
          <cell r="U276">
            <v>11214</v>
          </cell>
          <cell r="V276">
            <v>1</v>
          </cell>
          <cell r="W276" t="str">
            <v>【ストーリー前編】勢いまかせ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105</v>
          </cell>
          <cell r="AD276">
            <v>6</v>
          </cell>
          <cell r="AE276" t="str">
            <v>singleonly</v>
          </cell>
        </row>
        <row r="277">
          <cell r="A277" t="str">
            <v>11214_3</v>
          </cell>
          <cell r="B277">
            <v>0</v>
          </cell>
          <cell r="C277">
            <v>11214</v>
          </cell>
          <cell r="D277" t="str">
            <v>プロメテウスの恋</v>
          </cell>
          <cell r="E277" t="str">
            <v>2015年クリスマスクエスト</v>
          </cell>
          <cell r="F277">
            <v>3</v>
          </cell>
          <cell r="G277" t="str">
            <v>ja</v>
          </cell>
          <cell r="H277" t="str">
            <v>【ストーリー後編】フィーバーの力</v>
          </cell>
          <cell r="I277" t="str">
            <v>2015年クリスマスクエスト</v>
          </cell>
          <cell r="J277">
            <v>202</v>
          </cell>
          <cell r="K277">
            <v>1</v>
          </cell>
          <cell r="L277">
            <v>2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520,521,522,523</v>
          </cell>
          <cell r="U277">
            <v>11214</v>
          </cell>
          <cell r="V277">
            <v>1</v>
          </cell>
          <cell r="W277" t="str">
            <v>【ストーリー前編】勢いまかせ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105</v>
          </cell>
          <cell r="AD277">
            <v>6</v>
          </cell>
          <cell r="AE277" t="str">
            <v>singleonly</v>
          </cell>
        </row>
        <row r="278">
          <cell r="A278" t="str">
            <v>11215_1</v>
          </cell>
          <cell r="B278">
            <v>0</v>
          </cell>
          <cell r="C278">
            <v>11215</v>
          </cell>
          <cell r="D278" t="str">
            <v>【マルチ】サンタダックを捕獲せよ！</v>
          </cell>
          <cell r="E278" t="str">
            <v>2015年クリスマスゲリラクエスト</v>
          </cell>
          <cell r="F278">
            <v>1</v>
          </cell>
          <cell r="G278" t="str">
            <v>ja</v>
          </cell>
          <cell r="H278" t="str">
            <v>【上級】サンタダックを捕獲せよ！</v>
          </cell>
          <cell r="I278" t="str">
            <v>2015年クリスマスゲリラクエスト</v>
          </cell>
          <cell r="J278">
            <v>520</v>
          </cell>
          <cell r="K278">
            <v>10</v>
          </cell>
          <cell r="L278">
            <v>350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105</v>
          </cell>
          <cell r="AD278">
            <v>6</v>
          </cell>
          <cell r="AE278" t="str">
            <v>multionly</v>
          </cell>
        </row>
        <row r="279">
          <cell r="A279" t="str">
            <v>11216_1</v>
          </cell>
          <cell r="B279">
            <v>0</v>
          </cell>
          <cell r="C279">
            <v>11216</v>
          </cell>
          <cell r="D279" t="str">
            <v>年越し★特別クエスト</v>
          </cell>
          <cell r="E279" t="str">
            <v>2015年年越しクエスト</v>
          </cell>
          <cell r="F279">
            <v>1</v>
          </cell>
          <cell r="G279" t="str">
            <v>ja</v>
          </cell>
          <cell r="H279" t="str">
            <v>【上級】年を越える宴（ハートなし）</v>
          </cell>
          <cell r="I279" t="str">
            <v>2015年年忘れクエスト</v>
          </cell>
          <cell r="J279">
            <v>377</v>
          </cell>
          <cell r="K279">
            <v>10</v>
          </cell>
          <cell r="L279">
            <v>350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0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901</v>
          </cell>
          <cell r="AD279">
            <v>6</v>
          </cell>
          <cell r="AE279" t="str">
            <v>multionly</v>
          </cell>
        </row>
        <row r="280">
          <cell r="A280" t="str">
            <v>11217_1</v>
          </cell>
          <cell r="B280">
            <v>0</v>
          </cell>
          <cell r="C280">
            <v>11217</v>
          </cell>
          <cell r="D280" t="str">
            <v>年明け★特別クエスト</v>
          </cell>
          <cell r="E280" t="str">
            <v>2016年あけおめクエスト</v>
          </cell>
          <cell r="F280">
            <v>1</v>
          </cell>
          <cell r="G280" t="str">
            <v>ja</v>
          </cell>
          <cell r="H280" t="str">
            <v>あけおめダックのお年玉</v>
          </cell>
          <cell r="I280" t="str">
            <v>2016年あけおめクエスト</v>
          </cell>
          <cell r="J280">
            <v>524</v>
          </cell>
          <cell r="K280">
            <v>1</v>
          </cell>
          <cell r="L280">
            <v>2016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0</v>
          </cell>
          <cell r="R280">
            <v>3</v>
          </cell>
          <cell r="S280" t="str">
            <v>polygon</v>
          </cell>
          <cell r="T280">
            <v>1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once</v>
          </cell>
          <cell r="AC280">
            <v>2</v>
          </cell>
          <cell r="AD280">
            <v>6</v>
          </cell>
          <cell r="AE280" t="str">
            <v>singleonly</v>
          </cell>
        </row>
        <row r="281">
          <cell r="A281" t="str">
            <v>11218_1</v>
          </cell>
          <cell r="B281">
            <v>3</v>
          </cell>
          <cell r="C281">
            <v>11218</v>
          </cell>
          <cell r="D281" t="str">
            <v>バレンタイン★特別クエスト</v>
          </cell>
          <cell r="E281" t="str">
            <v>2016年バレンタインクエスト</v>
          </cell>
          <cell r="F281">
            <v>1</v>
          </cell>
          <cell r="G281" t="str">
            <v>ja</v>
          </cell>
          <cell r="H281" t="str">
            <v>【ストーリー】バレンタイン狂想曲</v>
          </cell>
          <cell r="I281" t="str">
            <v>ストーリー</v>
          </cell>
          <cell r="J281">
            <v>572</v>
          </cell>
          <cell r="K281">
            <v>1</v>
          </cell>
          <cell r="L281">
            <v>214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polygon</v>
          </cell>
          <cell r="T281">
            <v>1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once</v>
          </cell>
          <cell r="AC281">
            <v>1</v>
          </cell>
          <cell r="AD281">
            <v>6</v>
          </cell>
          <cell r="AE281" t="str">
            <v>singleonly</v>
          </cell>
        </row>
        <row r="282">
          <cell r="A282" t="str">
            <v>11219_1</v>
          </cell>
          <cell r="B282">
            <v>3</v>
          </cell>
          <cell r="C282">
            <v>11219</v>
          </cell>
          <cell r="D282" t="str">
            <v>200万DL記念★特別クエスト</v>
          </cell>
          <cell r="E282" t="str">
            <v>200万DL記念★特別クエスト</v>
          </cell>
          <cell r="F282">
            <v>1</v>
          </cell>
          <cell r="G282" t="str">
            <v>ja</v>
          </cell>
          <cell r="H282" t="str">
            <v>ミリオンダックより愛を込めて 2</v>
          </cell>
          <cell r="I282" t="str">
            <v>200万DL記念限定クエスト</v>
          </cell>
          <cell r="J282">
            <v>97</v>
          </cell>
          <cell r="K282">
            <v>1</v>
          </cell>
          <cell r="L282">
            <v>200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polygon</v>
          </cell>
          <cell r="T282">
            <v>1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1</v>
          </cell>
          <cell r="AD282">
            <v>6</v>
          </cell>
          <cell r="AE282" t="str">
            <v>singleonly</v>
          </cell>
        </row>
        <row r="283">
          <cell r="A283" t="str">
            <v>11220_1</v>
          </cell>
          <cell r="B283">
            <v>3</v>
          </cell>
          <cell r="C283">
            <v>11220</v>
          </cell>
          <cell r="D283" t="str">
            <v>ホワイトデー★特別クエスト</v>
          </cell>
          <cell r="E283" t="str">
            <v>2016年ホワイトデークエスト</v>
          </cell>
          <cell r="F283">
            <v>1</v>
          </cell>
          <cell r="G283" t="str">
            <v>ja</v>
          </cell>
          <cell r="H283" t="str">
            <v>【ストーリー】ホワイトデー独騒曲</v>
          </cell>
          <cell r="I283" t="str">
            <v>2016年ホワイトデークエスト</v>
          </cell>
          <cell r="J283">
            <v>350</v>
          </cell>
          <cell r="K283">
            <v>1</v>
          </cell>
          <cell r="L283">
            <v>314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polygon</v>
          </cell>
          <cell r="T283">
            <v>1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once</v>
          </cell>
          <cell r="AC283">
            <v>1</v>
          </cell>
          <cell r="AD283">
            <v>6</v>
          </cell>
          <cell r="AE283" t="str">
            <v>singleonly</v>
          </cell>
        </row>
        <row r="284">
          <cell r="A284" t="str">
            <v>11221_1</v>
          </cell>
          <cell r="B284">
            <v>3</v>
          </cell>
          <cell r="C284">
            <v>11221</v>
          </cell>
          <cell r="D284" t="str">
            <v>新生活★応援クエスト</v>
          </cell>
          <cell r="E284" t="str">
            <v>2016年卒業クエスト</v>
          </cell>
          <cell r="F284">
            <v>1</v>
          </cell>
          <cell r="G284" t="str">
            <v>ja</v>
          </cell>
          <cell r="H284" t="str">
            <v>【ストーリー】桜舞い散る樹の下で</v>
          </cell>
          <cell r="I284" t="str">
            <v>2016年卒業クエスト</v>
          </cell>
          <cell r="J284">
            <v>794</v>
          </cell>
          <cell r="K284">
            <v>1</v>
          </cell>
          <cell r="L284">
            <v>331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polygon</v>
          </cell>
          <cell r="T284">
            <v>1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once</v>
          </cell>
          <cell r="AC284">
            <v>926</v>
          </cell>
          <cell r="AD284">
            <v>6</v>
          </cell>
          <cell r="AE284" t="str">
            <v>singleonly</v>
          </cell>
        </row>
        <row r="285">
          <cell r="A285" t="str">
            <v>11224_1</v>
          </cell>
          <cell r="B285">
            <v>3</v>
          </cell>
          <cell r="C285">
            <v>11224</v>
          </cell>
          <cell r="D285" t="str">
            <v>TVCM放送記念★特別クエスト</v>
          </cell>
          <cell r="E285" t="str">
            <v>TVCM放送記念★特別クエスト</v>
          </cell>
          <cell r="F285">
            <v>1</v>
          </cell>
          <cell r="G285" t="str">
            <v>ja</v>
          </cell>
          <cell r="H285" t="str">
            <v>【超ウザード級】ウザリーマン襲来！</v>
          </cell>
          <cell r="I285" t="str">
            <v>記念クエスト</v>
          </cell>
          <cell r="J285">
            <v>976</v>
          </cell>
          <cell r="K285">
            <v>1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0</v>
          </cell>
          <cell r="R285">
            <v>3</v>
          </cell>
          <cell r="S285" t="str">
            <v>polygon</v>
          </cell>
          <cell r="T285">
            <v>10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907</v>
          </cell>
          <cell r="AD285">
            <v>6</v>
          </cell>
          <cell r="AE285" t="str">
            <v>singleonly</v>
          </cell>
        </row>
        <row r="286">
          <cell r="A286" t="str">
            <v>11225_1</v>
          </cell>
          <cell r="B286">
            <v>3</v>
          </cell>
          <cell r="C286">
            <v>11225</v>
          </cell>
          <cell r="D286" t="str">
            <v>400万DL記念★特別クエスト</v>
          </cell>
          <cell r="E286" t="str">
            <v>400万DL記念★特別クエスト</v>
          </cell>
          <cell r="F286">
            <v>1</v>
          </cell>
          <cell r="G286" t="str">
            <v>ja</v>
          </cell>
          <cell r="H286" t="str">
            <v>ミリオンダックより愛をこめて 4</v>
          </cell>
          <cell r="I286" t="str">
            <v>400万DL記念限定クエスト</v>
          </cell>
          <cell r="J286">
            <v>444</v>
          </cell>
          <cell r="K286">
            <v>1</v>
          </cell>
          <cell r="L286">
            <v>200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polygon</v>
          </cell>
          <cell r="T286">
            <v>1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once</v>
          </cell>
          <cell r="AC286">
            <v>1</v>
          </cell>
          <cell r="AD286">
            <v>6</v>
          </cell>
          <cell r="AE286" t="str">
            <v>singleonly</v>
          </cell>
        </row>
        <row r="287">
          <cell r="A287" t="str">
            <v>11226_1</v>
          </cell>
          <cell r="B287">
            <v>3</v>
          </cell>
          <cell r="C287">
            <v>11226</v>
          </cell>
          <cell r="F287">
            <v>1</v>
          </cell>
          <cell r="G287" t="str">
            <v>ja</v>
          </cell>
          <cell r="H287" t="str">
            <v>1周年のキセキ</v>
          </cell>
          <cell r="I287" t="str">
            <v>1周年記念限定クエスト</v>
          </cell>
          <cell r="J287">
            <v>1079</v>
          </cell>
          <cell r="K287">
            <v>1</v>
          </cell>
          <cell r="L287">
            <v>200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polygon</v>
          </cell>
          <cell r="T287">
            <v>1</v>
          </cell>
          <cell r="U287" t="str">
            <v>NULL</v>
          </cell>
          <cell r="V287" t="str">
            <v>NULL</v>
          </cell>
          <cell r="W287" t="str">
            <v/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once</v>
          </cell>
          <cell r="AC287">
            <v>1</v>
          </cell>
          <cell r="AD287">
            <v>6</v>
          </cell>
          <cell r="AE287" t="str">
            <v>singleonly</v>
          </cell>
        </row>
        <row r="288">
          <cell r="A288" t="str">
            <v>11226_2</v>
          </cell>
          <cell r="B288">
            <v>3</v>
          </cell>
          <cell r="C288">
            <v>11226</v>
          </cell>
          <cell r="D288" t="str">
            <v>1周年記念★特別クエスト</v>
          </cell>
          <cell r="E288" t="str">
            <v>1周年記念★特別クエスト</v>
          </cell>
          <cell r="F288">
            <v>2</v>
          </cell>
          <cell r="G288" t="str">
            <v>ja</v>
          </cell>
          <cell r="H288" t="str">
            <v>【クリスマス前編】勢いまかせ</v>
          </cell>
          <cell r="I288" t="str">
            <v>2015年クリスマスクエスト</v>
          </cell>
          <cell r="J288">
            <v>202</v>
          </cell>
          <cell r="K288">
            <v>1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520,521,522,523</v>
          </cell>
          <cell r="U288">
            <v>11226</v>
          </cell>
          <cell r="V288">
            <v>1</v>
          </cell>
          <cell r="W288" t="str">
            <v>1周年のキセキ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once</v>
          </cell>
          <cell r="AC288">
            <v>1</v>
          </cell>
          <cell r="AD288">
            <v>100</v>
          </cell>
          <cell r="AE288" t="str">
            <v>singleonly</v>
          </cell>
        </row>
        <row r="289">
          <cell r="A289" t="str">
            <v>11226_3</v>
          </cell>
          <cell r="B289">
            <v>3</v>
          </cell>
          <cell r="C289">
            <v>11226</v>
          </cell>
          <cell r="D289" t="str">
            <v>1周年記念★特別クエスト</v>
          </cell>
          <cell r="E289" t="str">
            <v>1周年記念★特別クエスト</v>
          </cell>
          <cell r="F289">
            <v>3</v>
          </cell>
          <cell r="G289" t="str">
            <v>ja</v>
          </cell>
          <cell r="H289" t="str">
            <v>【クリスマス後編】フィーバーの力</v>
          </cell>
          <cell r="I289" t="str">
            <v>2015年クリスマスクエスト</v>
          </cell>
          <cell r="J289">
            <v>202</v>
          </cell>
          <cell r="K289">
            <v>1</v>
          </cell>
          <cell r="L289">
            <v>2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520,521,522,523</v>
          </cell>
          <cell r="U289">
            <v>11226</v>
          </cell>
          <cell r="V289">
            <v>1</v>
          </cell>
          <cell r="W289" t="str">
            <v>1周年のキセキ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once</v>
          </cell>
          <cell r="AC289">
            <v>105</v>
          </cell>
          <cell r="AD289">
            <v>100</v>
          </cell>
          <cell r="AE289" t="str">
            <v>singleonly</v>
          </cell>
        </row>
        <row r="290">
          <cell r="A290" t="str">
            <v>11226_4</v>
          </cell>
          <cell r="B290">
            <v>3</v>
          </cell>
          <cell r="C290">
            <v>11226</v>
          </cell>
          <cell r="D290" t="str">
            <v>1周年記念★特別クエスト</v>
          </cell>
          <cell r="E290" t="str">
            <v>1周年記念★特別クエスト</v>
          </cell>
          <cell r="F290">
            <v>4</v>
          </cell>
          <cell r="G290" t="str">
            <v>ja</v>
          </cell>
          <cell r="H290" t="str">
            <v>【上級】年を越える宴（ハートなし）</v>
          </cell>
          <cell r="I290" t="str">
            <v>2015年年忘れクエスト</v>
          </cell>
          <cell r="J290">
            <v>377</v>
          </cell>
          <cell r="K290">
            <v>20</v>
          </cell>
          <cell r="L290">
            <v>350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0</v>
          </cell>
          <cell r="R290">
            <v>3</v>
          </cell>
          <cell r="S290" t="str">
            <v>none</v>
          </cell>
          <cell r="T290">
            <v>0</v>
          </cell>
          <cell r="U290">
            <v>11226</v>
          </cell>
          <cell r="V290">
            <v>1</v>
          </cell>
          <cell r="W290" t="str">
            <v>1周年のキセキ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901</v>
          </cell>
          <cell r="AD290">
            <v>6</v>
          </cell>
          <cell r="AE290" t="str">
            <v>multionly</v>
          </cell>
        </row>
        <row r="291">
          <cell r="A291" t="str">
            <v>11226_5</v>
          </cell>
          <cell r="B291">
            <v>3</v>
          </cell>
          <cell r="C291">
            <v>11226</v>
          </cell>
          <cell r="D291" t="str">
            <v>1周年記念★特別クエスト</v>
          </cell>
          <cell r="E291" t="str">
            <v>1周年記念★特別クエスト</v>
          </cell>
          <cell r="F291">
            <v>5</v>
          </cell>
          <cell r="G291" t="str">
            <v>ja</v>
          </cell>
          <cell r="H291" t="str">
            <v>あけおめダックのお年玉</v>
          </cell>
          <cell r="I291" t="str">
            <v>2016年あけおめクエスト</v>
          </cell>
          <cell r="J291">
            <v>524</v>
          </cell>
          <cell r="K291">
            <v>1</v>
          </cell>
          <cell r="L291">
            <v>2016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0</v>
          </cell>
          <cell r="R291">
            <v>3</v>
          </cell>
          <cell r="S291" t="str">
            <v>polygon</v>
          </cell>
          <cell r="T291">
            <v>1</v>
          </cell>
          <cell r="U291">
            <v>11226</v>
          </cell>
          <cell r="V291">
            <v>1</v>
          </cell>
          <cell r="W291" t="str">
            <v>1周年のキセキ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once</v>
          </cell>
          <cell r="AC291">
            <v>2</v>
          </cell>
          <cell r="AD291">
            <v>100</v>
          </cell>
          <cell r="AE291" t="str">
            <v>singleonly</v>
          </cell>
        </row>
        <row r="292">
          <cell r="A292" t="str">
            <v>11226_6</v>
          </cell>
          <cell r="B292">
            <v>3</v>
          </cell>
          <cell r="C292">
            <v>11226</v>
          </cell>
          <cell r="D292" t="str">
            <v>1周年記念★特別クエスト</v>
          </cell>
          <cell r="E292" t="str">
            <v>1周年記念★特別クエスト</v>
          </cell>
          <cell r="F292">
            <v>6</v>
          </cell>
          <cell r="G292" t="str">
            <v>ja</v>
          </cell>
          <cell r="H292" t="str">
            <v>【ストーリー】バレンタイン狂想曲</v>
          </cell>
          <cell r="I292" t="str">
            <v>ストーリー</v>
          </cell>
          <cell r="J292">
            <v>572</v>
          </cell>
          <cell r="K292">
            <v>1</v>
          </cell>
          <cell r="L292">
            <v>214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polygon</v>
          </cell>
          <cell r="T292">
            <v>1</v>
          </cell>
          <cell r="U292">
            <v>11226</v>
          </cell>
          <cell r="V292">
            <v>1</v>
          </cell>
          <cell r="W292" t="str">
            <v>1周年のキセキ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once</v>
          </cell>
          <cell r="AC292">
            <v>1</v>
          </cell>
          <cell r="AD292">
            <v>100</v>
          </cell>
          <cell r="AE292" t="str">
            <v>singleonly</v>
          </cell>
        </row>
        <row r="293">
          <cell r="A293" t="str">
            <v>11226_7</v>
          </cell>
          <cell r="B293">
            <v>3</v>
          </cell>
          <cell r="C293">
            <v>11226</v>
          </cell>
          <cell r="D293" t="str">
            <v>1周年記念★特別クエスト</v>
          </cell>
          <cell r="E293" t="str">
            <v>1周年記念★特別クエスト</v>
          </cell>
          <cell r="F293">
            <v>7</v>
          </cell>
          <cell r="G293" t="str">
            <v>ja</v>
          </cell>
          <cell r="H293" t="str">
            <v>【ストーリー】ホワイトデー独騒曲</v>
          </cell>
          <cell r="I293" t="str">
            <v>2016年ホワイトデークエスト</v>
          </cell>
          <cell r="J293">
            <v>350</v>
          </cell>
          <cell r="K293">
            <v>1</v>
          </cell>
          <cell r="L293">
            <v>314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polygon</v>
          </cell>
          <cell r="T293">
            <v>1</v>
          </cell>
          <cell r="U293">
            <v>11226</v>
          </cell>
          <cell r="V293">
            <v>1</v>
          </cell>
          <cell r="W293" t="str">
            <v>1周年のキセキ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once</v>
          </cell>
          <cell r="AC293">
            <v>1</v>
          </cell>
          <cell r="AD293">
            <v>100</v>
          </cell>
          <cell r="AE293" t="str">
            <v>singleonly</v>
          </cell>
        </row>
        <row r="294">
          <cell r="A294" t="str">
            <v>11226_8</v>
          </cell>
          <cell r="B294">
            <v>3</v>
          </cell>
          <cell r="C294">
            <v>11226</v>
          </cell>
          <cell r="D294" t="str">
            <v>1周年記念★特別クエスト</v>
          </cell>
          <cell r="E294" t="str">
            <v>1周年記念★特別クエスト</v>
          </cell>
          <cell r="F294">
            <v>8</v>
          </cell>
          <cell r="G294" t="str">
            <v>ja</v>
          </cell>
          <cell r="H294" t="str">
            <v>【ストーリー】桜舞い散る樹の下で</v>
          </cell>
          <cell r="I294" t="str">
            <v>2016年卒業クエスト</v>
          </cell>
          <cell r="J294">
            <v>794</v>
          </cell>
          <cell r="K294">
            <v>1</v>
          </cell>
          <cell r="L294">
            <v>331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polygon</v>
          </cell>
          <cell r="T294">
            <v>1</v>
          </cell>
          <cell r="U294">
            <v>11226</v>
          </cell>
          <cell r="V294">
            <v>1</v>
          </cell>
          <cell r="W294" t="str">
            <v>1周年のキセキ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once</v>
          </cell>
          <cell r="AC294">
            <v>926</v>
          </cell>
          <cell r="AD294">
            <v>100</v>
          </cell>
          <cell r="AE294" t="str">
            <v>singleonly</v>
          </cell>
        </row>
        <row r="295">
          <cell r="A295" t="str">
            <v>11227_1</v>
          </cell>
          <cell r="B295">
            <v>1</v>
          </cell>
          <cell r="C295">
            <v>11227</v>
          </cell>
          <cell r="D295" t="str">
            <v>TVCM第2弾放送記念★特別クエスト</v>
          </cell>
          <cell r="E295" t="str">
            <v>TVCM第2弾放送記念★特別クエスト</v>
          </cell>
          <cell r="F295">
            <v>1</v>
          </cell>
          <cell r="G295" t="str">
            <v>ja</v>
          </cell>
          <cell r="H295" t="str">
            <v>【ALICE日常編】…勘違いじゃないよ。</v>
          </cell>
          <cell r="I295" t="str">
            <v>幻と化したボツステージ</v>
          </cell>
          <cell r="J295">
            <v>619</v>
          </cell>
          <cell r="K295">
            <v>1</v>
          </cell>
          <cell r="L295">
            <v>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926</v>
          </cell>
          <cell r="AD295">
            <v>100</v>
          </cell>
          <cell r="AE295" t="str">
            <v>singleonly</v>
          </cell>
        </row>
        <row r="296">
          <cell r="A296" t="str">
            <v>11227_2</v>
          </cell>
          <cell r="B296">
            <v>3</v>
          </cell>
          <cell r="C296">
            <v>11227</v>
          </cell>
          <cell r="D296" t="str">
            <v>TVCM第2弾放送記念★特別クエスト</v>
          </cell>
          <cell r="E296" t="str">
            <v>TVCM第2弾放送記念★特別クエスト</v>
          </cell>
          <cell r="F296">
            <v>2</v>
          </cell>
          <cell r="G296" t="str">
            <v>ja</v>
          </cell>
          <cell r="H296" t="str">
            <v>…勘違いじゃないよ。</v>
          </cell>
          <cell r="I296" t="str">
            <v>記念クエスト</v>
          </cell>
          <cell r="J296">
            <v>619</v>
          </cell>
          <cell r="K296">
            <v>1</v>
          </cell>
          <cell r="L296">
            <v>1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polygon</v>
          </cell>
          <cell r="T296">
            <v>10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926</v>
          </cell>
          <cell r="AD296">
            <v>100</v>
          </cell>
          <cell r="AE296" t="str">
            <v>singleonly</v>
          </cell>
        </row>
        <row r="297">
          <cell r="A297" t="str">
            <v>11228_1</v>
          </cell>
          <cell r="B297">
            <v>3</v>
          </cell>
          <cell r="C297">
            <v>11228</v>
          </cell>
          <cell r="D297" t="str">
            <v>バレンタイン★特別クエスト</v>
          </cell>
          <cell r="E297" t="str">
            <v>2016年バレンタインクエスト復刻</v>
          </cell>
          <cell r="F297">
            <v>1</v>
          </cell>
          <cell r="G297" t="str">
            <v>ja</v>
          </cell>
          <cell r="H297" t="str">
            <v>【ストーリー】バレンタイン狂想曲</v>
          </cell>
          <cell r="I297" t="str">
            <v>ストーリー</v>
          </cell>
          <cell r="J297">
            <v>572</v>
          </cell>
          <cell r="K297">
            <v>1</v>
          </cell>
          <cell r="L297">
            <v>214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polygon</v>
          </cell>
          <cell r="T297">
            <v>1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once</v>
          </cell>
          <cell r="AC297">
            <v>1</v>
          </cell>
          <cell r="AD297">
            <v>6</v>
          </cell>
          <cell r="AE297" t="str">
            <v>singleonly</v>
          </cell>
        </row>
        <row r="298">
          <cell r="A298" t="str">
            <v>11229_1</v>
          </cell>
          <cell r="B298">
            <v>3</v>
          </cell>
          <cell r="C298">
            <v>11229</v>
          </cell>
          <cell r="D298" t="str">
            <v>ホワイトデー★特別クエスト</v>
          </cell>
          <cell r="E298" t="str">
            <v>2016年ホワイトデークエスト復刻</v>
          </cell>
          <cell r="F298">
            <v>1</v>
          </cell>
          <cell r="G298" t="str">
            <v>ja</v>
          </cell>
          <cell r="H298" t="str">
            <v>【ストーリー】ホワイトデー独騒曲</v>
          </cell>
          <cell r="I298" t="str">
            <v>2016年ホワイトデークエスト</v>
          </cell>
          <cell r="J298">
            <v>350</v>
          </cell>
          <cell r="K298">
            <v>1</v>
          </cell>
          <cell r="L298">
            <v>314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polygon</v>
          </cell>
          <cell r="T298">
            <v>1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once</v>
          </cell>
          <cell r="AC298">
            <v>1</v>
          </cell>
          <cell r="AD298">
            <v>6</v>
          </cell>
          <cell r="AE298" t="str">
            <v>singleonly</v>
          </cell>
        </row>
        <row r="299">
          <cell r="A299" t="str">
            <v>12001_1</v>
          </cell>
          <cell r="B299">
            <v>3</v>
          </cell>
          <cell r="C299">
            <v>12001</v>
          </cell>
          <cell r="D299" t="str">
            <v>【緊急！！】 アヒル捕獲作戦</v>
          </cell>
          <cell r="E299" t="str">
            <v>ゲリラクエスト</v>
          </cell>
          <cell r="F299">
            <v>1</v>
          </cell>
          <cell r="G299" t="str">
            <v>ja</v>
          </cell>
          <cell r="H299" t="str">
            <v xml:space="preserve">【初級】メタルダックを捕獲せよ！ </v>
          </cell>
          <cell r="I299" t="str">
            <v>経験値ゲリラ</v>
          </cell>
          <cell r="J299">
            <v>334</v>
          </cell>
          <cell r="K299">
            <v>8</v>
          </cell>
          <cell r="L299">
            <v>140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0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201</v>
          </cell>
          <cell r="AD299">
            <v>6</v>
          </cell>
          <cell r="AE299" t="str">
            <v>everyone</v>
          </cell>
        </row>
        <row r="300">
          <cell r="A300" t="str">
            <v>12001_2</v>
          </cell>
          <cell r="B300">
            <v>3</v>
          </cell>
          <cell r="C300">
            <v>12001</v>
          </cell>
          <cell r="D300" t="str">
            <v>【緊急！！】 アヒル捕獲作戦</v>
          </cell>
          <cell r="E300" t="str">
            <v>ゲリラクエスト</v>
          </cell>
          <cell r="F300">
            <v>2</v>
          </cell>
          <cell r="G300" t="str">
            <v>ja</v>
          </cell>
          <cell r="H300" t="str">
            <v xml:space="preserve">【上級】メタルダックを捕獲せよ！ </v>
          </cell>
          <cell r="I300" t="str">
            <v>経験値ゲリラ</v>
          </cell>
          <cell r="J300">
            <v>334</v>
          </cell>
          <cell r="K300">
            <v>20</v>
          </cell>
          <cell r="L300">
            <v>350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201</v>
          </cell>
          <cell r="AD300">
            <v>6</v>
          </cell>
          <cell r="AE300" t="str">
            <v>everyone</v>
          </cell>
        </row>
        <row r="301">
          <cell r="A301" t="str">
            <v>12001_3</v>
          </cell>
          <cell r="B301">
            <v>3</v>
          </cell>
          <cell r="C301">
            <v>12001</v>
          </cell>
          <cell r="D301" t="str">
            <v>【緊急！！】 アヒル捕獲作戦</v>
          </cell>
          <cell r="E301" t="str">
            <v>ゲリラクエスト</v>
          </cell>
          <cell r="F301">
            <v>3</v>
          </cell>
          <cell r="G301" t="str">
            <v>ja</v>
          </cell>
          <cell r="H301" t="str">
            <v xml:space="preserve">【超級】メタルダックを捕獲せよ！ </v>
          </cell>
          <cell r="I301" t="str">
            <v>経験値ゲリラ</v>
          </cell>
          <cell r="J301">
            <v>334</v>
          </cell>
          <cell r="K301">
            <v>30</v>
          </cell>
          <cell r="L301">
            <v>444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7</v>
          </cell>
          <cell r="AD301">
            <v>6</v>
          </cell>
          <cell r="AE301" t="str">
            <v>everyone</v>
          </cell>
        </row>
        <row r="302">
          <cell r="A302" t="str">
            <v>12002_1</v>
          </cell>
          <cell r="B302">
            <v>3</v>
          </cell>
          <cell r="C302">
            <v>12002</v>
          </cell>
          <cell r="D302" t="str">
            <v>【マルチ専用1/2】 アヒル捕獲作戦</v>
          </cell>
          <cell r="E302" t="str">
            <v>ゲリラクエスト</v>
          </cell>
          <cell r="F302">
            <v>1</v>
          </cell>
          <cell r="G302" t="str">
            <v>ja</v>
          </cell>
          <cell r="H302" t="str">
            <v>【上級】メタルダックを捕獲せよ！</v>
          </cell>
          <cell r="I302" t="str">
            <v>経験値ゲリラ</v>
          </cell>
          <cell r="J302">
            <v>334</v>
          </cell>
          <cell r="K302">
            <v>10</v>
          </cell>
          <cell r="L302">
            <v>350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201</v>
          </cell>
          <cell r="AD302">
            <v>6</v>
          </cell>
          <cell r="AE302" t="str">
            <v>multionly</v>
          </cell>
        </row>
        <row r="303">
          <cell r="A303" t="str">
            <v>12002_2</v>
          </cell>
          <cell r="B303">
            <v>1</v>
          </cell>
          <cell r="C303">
            <v>12002</v>
          </cell>
          <cell r="D303" t="str">
            <v>【マルチ専用1/2】 アヒル捕獲作戦</v>
          </cell>
          <cell r="E303" t="str">
            <v>ゲリラクエスト</v>
          </cell>
          <cell r="F303">
            <v>2</v>
          </cell>
          <cell r="G303" t="str">
            <v>ja</v>
          </cell>
          <cell r="H303" t="str">
            <v xml:space="preserve">【超級】メタルダックを捕獲せよ！ </v>
          </cell>
          <cell r="I303" t="str">
            <v>経験値ゲリラ</v>
          </cell>
          <cell r="J303">
            <v>334</v>
          </cell>
          <cell r="K303">
            <v>15</v>
          </cell>
          <cell r="L303">
            <v>444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7</v>
          </cell>
          <cell r="AD303">
            <v>6</v>
          </cell>
          <cell r="AE303" t="str">
            <v>multionly</v>
          </cell>
        </row>
        <row r="304">
          <cell r="A304" t="str">
            <v>12003_1</v>
          </cell>
          <cell r="B304">
            <v>3</v>
          </cell>
          <cell r="C304">
            <v>12003</v>
          </cell>
          <cell r="D304" t="str">
            <v>【超緊急！！】メタルジェントルを追え</v>
          </cell>
          <cell r="E304" t="str">
            <v>ゲリラ【超級】</v>
          </cell>
          <cell r="F304">
            <v>1</v>
          </cell>
          <cell r="G304" t="str">
            <v>ja</v>
          </cell>
          <cell r="H304" t="str">
            <v>【超級】雷のジェントルを追え！</v>
          </cell>
          <cell r="I304" t="str">
            <v>超級ゲリラ</v>
          </cell>
          <cell r="J304">
            <v>347</v>
          </cell>
          <cell r="K304">
            <v>40</v>
          </cell>
          <cell r="L304">
            <v>500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12</v>
          </cell>
          <cell r="AD304">
            <v>6</v>
          </cell>
          <cell r="AE304" t="str">
            <v>singleonly</v>
          </cell>
        </row>
        <row r="305">
          <cell r="A305" t="str">
            <v>12003_2</v>
          </cell>
          <cell r="B305">
            <v>3</v>
          </cell>
          <cell r="C305">
            <v>12003</v>
          </cell>
          <cell r="D305" t="str">
            <v>【超緊急！！】メタルジェントルを追え</v>
          </cell>
          <cell r="E305" t="str">
            <v>ゲリラ【超級】</v>
          </cell>
          <cell r="F305">
            <v>2</v>
          </cell>
          <cell r="G305" t="str">
            <v>ja</v>
          </cell>
          <cell r="H305" t="str">
            <v>【超級】水のジェントルを追え！</v>
          </cell>
          <cell r="I305" t="str">
            <v>超級ゲリラ</v>
          </cell>
          <cell r="J305">
            <v>343</v>
          </cell>
          <cell r="K305">
            <v>40</v>
          </cell>
          <cell r="L305">
            <v>500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5</v>
          </cell>
          <cell r="AD305">
            <v>6</v>
          </cell>
          <cell r="AE305" t="str">
            <v>singleonly</v>
          </cell>
        </row>
        <row r="306">
          <cell r="A306" t="str">
            <v>12003_3</v>
          </cell>
          <cell r="B306">
            <v>3</v>
          </cell>
          <cell r="C306">
            <v>12003</v>
          </cell>
          <cell r="D306" t="str">
            <v>【超緊急！！】メタルジェントルを追え</v>
          </cell>
          <cell r="E306" t="str">
            <v>ゲリラ【超級】</v>
          </cell>
          <cell r="F306">
            <v>3</v>
          </cell>
          <cell r="G306" t="str">
            <v>ja</v>
          </cell>
          <cell r="H306" t="str">
            <v>【超級】森のジェントルを追え！</v>
          </cell>
          <cell r="I306" t="str">
            <v>超級ゲリラ</v>
          </cell>
          <cell r="J306">
            <v>339</v>
          </cell>
          <cell r="K306">
            <v>40</v>
          </cell>
          <cell r="L306">
            <v>500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7</v>
          </cell>
          <cell r="AD306">
            <v>6</v>
          </cell>
          <cell r="AE306" t="str">
            <v>singleonly</v>
          </cell>
        </row>
        <row r="307">
          <cell r="A307" t="str">
            <v>12003_4</v>
          </cell>
          <cell r="B307">
            <v>3</v>
          </cell>
          <cell r="C307">
            <v>12003</v>
          </cell>
          <cell r="D307" t="str">
            <v>【超緊急！！】メタルジェントルを追え</v>
          </cell>
          <cell r="E307" t="str">
            <v>ゲリラ【超級】</v>
          </cell>
          <cell r="F307">
            <v>4</v>
          </cell>
          <cell r="G307" t="str">
            <v>ja</v>
          </cell>
          <cell r="H307" t="str">
            <v>【超級】炎のジェントルを追え！</v>
          </cell>
          <cell r="I307" t="str">
            <v>超級ゲリラ</v>
          </cell>
          <cell r="J307">
            <v>335</v>
          </cell>
          <cell r="K307">
            <v>40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10</v>
          </cell>
          <cell r="AD307">
            <v>6</v>
          </cell>
          <cell r="AE307" t="str">
            <v>singleonly</v>
          </cell>
        </row>
        <row r="308">
          <cell r="A308" t="str">
            <v>12004_1</v>
          </cell>
          <cell r="B308">
            <v>3</v>
          </cell>
          <cell r="C308">
            <v>12004</v>
          </cell>
          <cell r="D308" t="str">
            <v>メタルフロッグをもとめて</v>
          </cell>
          <cell r="E308" t="str">
            <v>イベントクエスト</v>
          </cell>
          <cell r="F308">
            <v>1</v>
          </cell>
          <cell r="G308" t="str">
            <v>ja</v>
          </cell>
          <cell r="H308" t="str">
            <v>【上級】メタルフロッグをもとめて</v>
          </cell>
          <cell r="I308" t="str">
            <v>経験値イベント</v>
          </cell>
          <cell r="J308">
            <v>351</v>
          </cell>
          <cell r="K308">
            <v>20</v>
          </cell>
          <cell r="L308">
            <v>100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23</v>
          </cell>
          <cell r="AD308">
            <v>6</v>
          </cell>
          <cell r="AE308" t="str">
            <v>everyone</v>
          </cell>
        </row>
        <row r="309">
          <cell r="A309" t="str">
            <v>13001_1</v>
          </cell>
          <cell r="B309">
            <v>3</v>
          </cell>
          <cell r="C309">
            <v>13001</v>
          </cell>
          <cell r="D309" t="str">
            <v>チャレンジタワー(ソロ専用)</v>
          </cell>
          <cell r="E309" t="str">
            <v>試練の塔</v>
          </cell>
          <cell r="F309">
            <v>1</v>
          </cell>
          <cell r="G309" t="str">
            <v>ja</v>
          </cell>
          <cell r="H309" t="str">
            <v>チャレンジタワー 1F</v>
          </cell>
          <cell r="I309" t="str">
            <v>試練の塔</v>
          </cell>
          <cell r="J309">
            <v>345</v>
          </cell>
          <cell r="K309">
            <v>3</v>
          </cell>
          <cell r="L309">
            <v>120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character</v>
          </cell>
          <cell r="T309" t="str">
            <v>345,345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26</v>
          </cell>
          <cell r="AD309">
            <v>6</v>
          </cell>
          <cell r="AE309" t="str">
            <v>singleonly</v>
          </cell>
        </row>
        <row r="310">
          <cell r="A310" t="str">
            <v>13001_2</v>
          </cell>
          <cell r="B310">
            <v>3</v>
          </cell>
          <cell r="C310">
            <v>13001</v>
          </cell>
          <cell r="D310" t="str">
            <v>チャレンジタワー(ソロ専用)</v>
          </cell>
          <cell r="E310" t="str">
            <v>試練の塔</v>
          </cell>
          <cell r="F310">
            <v>2</v>
          </cell>
          <cell r="G310" t="str">
            <v>ja</v>
          </cell>
          <cell r="H310" t="str">
            <v>チャレンジタワー 2F</v>
          </cell>
          <cell r="I310" t="str">
            <v>試練の塔</v>
          </cell>
          <cell r="J310">
            <v>333</v>
          </cell>
          <cell r="K310">
            <v>4</v>
          </cell>
          <cell r="L310">
            <v>176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character</v>
          </cell>
          <cell r="T310" t="str">
            <v>333,333</v>
          </cell>
          <cell r="U310">
            <v>13001</v>
          </cell>
          <cell r="V310">
            <v>1</v>
          </cell>
          <cell r="W310" t="str">
            <v>チャレンジタワー 1F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26</v>
          </cell>
          <cell r="AD310">
            <v>6</v>
          </cell>
          <cell r="AE310" t="str">
            <v>singleonly</v>
          </cell>
        </row>
        <row r="311">
          <cell r="A311" t="str">
            <v>13001_3</v>
          </cell>
          <cell r="B311">
            <v>3</v>
          </cell>
          <cell r="C311">
            <v>13001</v>
          </cell>
          <cell r="D311" t="str">
            <v>チャレンジタワー(ソロ専用)</v>
          </cell>
          <cell r="E311" t="str">
            <v>試練の塔</v>
          </cell>
          <cell r="F311">
            <v>3</v>
          </cell>
          <cell r="G311" t="str">
            <v>ja</v>
          </cell>
          <cell r="H311" t="str">
            <v>チャレンジタワー 3F</v>
          </cell>
          <cell r="I311" t="str">
            <v>試練の塔</v>
          </cell>
          <cell r="J311">
            <v>337</v>
          </cell>
          <cell r="K311">
            <v>5</v>
          </cell>
          <cell r="L311">
            <v>242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character</v>
          </cell>
          <cell r="T311" t="str">
            <v>337,337</v>
          </cell>
          <cell r="U311">
            <v>13001</v>
          </cell>
          <cell r="V311">
            <v>2</v>
          </cell>
          <cell r="W311" t="str">
            <v>チャレンジタワー 2F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26</v>
          </cell>
          <cell r="AD311">
            <v>6</v>
          </cell>
          <cell r="AE311" t="str">
            <v>singleonly</v>
          </cell>
        </row>
        <row r="312">
          <cell r="A312" t="str">
            <v>13001_4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4</v>
          </cell>
          <cell r="G312" t="str">
            <v>ja</v>
          </cell>
          <cell r="H312" t="str">
            <v>チャレンジタワー 4F</v>
          </cell>
          <cell r="I312" t="str">
            <v>試練の塔</v>
          </cell>
          <cell r="J312">
            <v>341</v>
          </cell>
          <cell r="K312">
            <v>7</v>
          </cell>
          <cell r="L312">
            <v>508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341,341</v>
          </cell>
          <cell r="U312">
            <v>13001</v>
          </cell>
          <cell r="V312">
            <v>3</v>
          </cell>
          <cell r="W312" t="str">
            <v>チャレンジタワー 3F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13001_5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5</v>
          </cell>
          <cell r="G313" t="str">
            <v>ja</v>
          </cell>
          <cell r="H313" t="str">
            <v>チャレンジタワー 5F</v>
          </cell>
          <cell r="I313" t="str">
            <v>試練の塔</v>
          </cell>
          <cell r="J313">
            <v>333</v>
          </cell>
          <cell r="K313">
            <v>7</v>
          </cell>
          <cell r="L313">
            <v>280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333,337,341,345</v>
          </cell>
          <cell r="U313">
            <v>13001</v>
          </cell>
          <cell r="V313">
            <v>4</v>
          </cell>
          <cell r="W313" t="str">
            <v>チャレンジタワー 4F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13001_6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6</v>
          </cell>
          <cell r="G314" t="str">
            <v>ja</v>
          </cell>
          <cell r="H314" t="str">
            <v>チャレンジタワー 6F</v>
          </cell>
          <cell r="I314" t="str">
            <v>試練の塔</v>
          </cell>
          <cell r="J314">
            <v>346</v>
          </cell>
          <cell r="K314">
            <v>8</v>
          </cell>
          <cell r="L314">
            <v>474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346,345</v>
          </cell>
          <cell r="U314">
            <v>13001</v>
          </cell>
          <cell r="V314">
            <v>5</v>
          </cell>
          <cell r="W314" t="str">
            <v>チャレンジタワー 5F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13001_7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7</v>
          </cell>
          <cell r="G315" t="str">
            <v>ja</v>
          </cell>
          <cell r="H315" t="str">
            <v>チャレンジタワー 7F</v>
          </cell>
          <cell r="I315" t="str">
            <v>試練の塔</v>
          </cell>
          <cell r="J315">
            <v>342</v>
          </cell>
          <cell r="K315">
            <v>8</v>
          </cell>
          <cell r="L315">
            <v>486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342,341</v>
          </cell>
          <cell r="U315">
            <v>13001</v>
          </cell>
          <cell r="V315">
            <v>6</v>
          </cell>
          <cell r="W315" t="str">
            <v>チャレンジタワー 6F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13001_8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8</v>
          </cell>
          <cell r="G316" t="str">
            <v>ja</v>
          </cell>
          <cell r="H316" t="str">
            <v>チャレンジタワー 8F</v>
          </cell>
          <cell r="I316" t="str">
            <v>試練の塔</v>
          </cell>
          <cell r="J316">
            <v>334</v>
          </cell>
          <cell r="K316">
            <v>10</v>
          </cell>
          <cell r="L316">
            <v>1006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334,333</v>
          </cell>
          <cell r="U316">
            <v>13001</v>
          </cell>
          <cell r="V316">
            <v>7</v>
          </cell>
          <cell r="W316" t="str">
            <v>チャレンジタワー 7F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13001_9</v>
          </cell>
          <cell r="B317">
            <v>3</v>
          </cell>
          <cell r="C317">
            <v>13001</v>
          </cell>
          <cell r="D317" t="str">
            <v>チャレンジタワー(ソロ専用)</v>
          </cell>
          <cell r="E317" t="str">
            <v>試練の塔</v>
          </cell>
          <cell r="F317">
            <v>9</v>
          </cell>
          <cell r="G317" t="str">
            <v>ja</v>
          </cell>
          <cell r="H317" t="str">
            <v>チャレンジタワー 9F</v>
          </cell>
          <cell r="I317" t="str">
            <v>試練の塔</v>
          </cell>
          <cell r="J317">
            <v>338</v>
          </cell>
          <cell r="K317">
            <v>10</v>
          </cell>
          <cell r="L317">
            <v>702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character</v>
          </cell>
          <cell r="T317" t="str">
            <v>337,337,338</v>
          </cell>
          <cell r="U317">
            <v>13001</v>
          </cell>
          <cell r="V317">
            <v>8</v>
          </cell>
          <cell r="W317" t="str">
            <v>チャレンジタワー 8F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26</v>
          </cell>
          <cell r="AD317">
            <v>6</v>
          </cell>
          <cell r="AE317" t="str">
            <v>singleonly</v>
          </cell>
        </row>
        <row r="318">
          <cell r="A318" t="str">
            <v>13001_10</v>
          </cell>
          <cell r="B318">
            <v>3</v>
          </cell>
          <cell r="C318">
            <v>13001</v>
          </cell>
          <cell r="D318" t="str">
            <v>チャレンジタワー(ソロ専用)</v>
          </cell>
          <cell r="E318" t="str">
            <v>試練の塔</v>
          </cell>
          <cell r="F318">
            <v>10</v>
          </cell>
          <cell r="G318" t="str">
            <v>ja</v>
          </cell>
          <cell r="H318" t="str">
            <v>チャレンジタワー 10F</v>
          </cell>
          <cell r="I318" t="str">
            <v>試練の塔</v>
          </cell>
          <cell r="J318">
            <v>346</v>
          </cell>
          <cell r="K318">
            <v>11</v>
          </cell>
          <cell r="L318">
            <v>788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character</v>
          </cell>
          <cell r="T318" t="str">
            <v>346,333,337,341</v>
          </cell>
          <cell r="U318">
            <v>13001</v>
          </cell>
          <cell r="V318">
            <v>9</v>
          </cell>
          <cell r="W318" t="str">
            <v>チャレンジタワー 9F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26</v>
          </cell>
          <cell r="AD318">
            <v>6</v>
          </cell>
          <cell r="AE318" t="str">
            <v>singleonly</v>
          </cell>
        </row>
        <row r="319">
          <cell r="A319" t="str">
            <v>13001_11</v>
          </cell>
          <cell r="B319">
            <v>3</v>
          </cell>
          <cell r="C319">
            <v>13001</v>
          </cell>
          <cell r="D319" t="str">
            <v>チャレンジタワー(ソロ専用)</v>
          </cell>
          <cell r="E319" t="str">
            <v>試練の塔</v>
          </cell>
          <cell r="F319">
            <v>11</v>
          </cell>
          <cell r="G319" t="str">
            <v>ja</v>
          </cell>
          <cell r="H319" t="str">
            <v>チャレンジタワー 11F</v>
          </cell>
          <cell r="I319" t="str">
            <v>試練の塔</v>
          </cell>
          <cell r="J319">
            <v>346</v>
          </cell>
          <cell r="K319">
            <v>12</v>
          </cell>
          <cell r="L319">
            <v>936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character</v>
          </cell>
          <cell r="T319" t="str">
            <v>346,346</v>
          </cell>
          <cell r="U319">
            <v>13001</v>
          </cell>
          <cell r="V319">
            <v>10</v>
          </cell>
          <cell r="W319" t="str">
            <v>チャレンジタワー 10F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26</v>
          </cell>
          <cell r="AD319">
            <v>6</v>
          </cell>
          <cell r="AE319" t="str">
            <v>singleonly</v>
          </cell>
        </row>
        <row r="320">
          <cell r="A320" t="str">
            <v>13001_12</v>
          </cell>
          <cell r="B320">
            <v>3</v>
          </cell>
          <cell r="C320">
            <v>13001</v>
          </cell>
          <cell r="D320" t="str">
            <v>チャレンジタワー(ソロ専用)</v>
          </cell>
          <cell r="E320" t="str">
            <v>試練の塔</v>
          </cell>
          <cell r="F320">
            <v>12</v>
          </cell>
          <cell r="G320" t="str">
            <v>ja</v>
          </cell>
          <cell r="H320" t="str">
            <v>チャレンジタワー 12F</v>
          </cell>
          <cell r="I320" t="str">
            <v>試練の塔</v>
          </cell>
          <cell r="J320">
            <v>342</v>
          </cell>
          <cell r="K320">
            <v>13</v>
          </cell>
          <cell r="L320">
            <v>1601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character</v>
          </cell>
          <cell r="T320" t="str">
            <v>342,342</v>
          </cell>
          <cell r="U320">
            <v>13001</v>
          </cell>
          <cell r="V320">
            <v>11</v>
          </cell>
          <cell r="W320" t="str">
            <v>チャレンジタワー 11F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</v>
          </cell>
          <cell r="AD320">
            <v>6</v>
          </cell>
          <cell r="AE320" t="str">
            <v>singleonly</v>
          </cell>
        </row>
        <row r="321">
          <cell r="A321" t="str">
            <v>13001_13</v>
          </cell>
          <cell r="B321">
            <v>3</v>
          </cell>
          <cell r="C321">
            <v>13001</v>
          </cell>
          <cell r="D321" t="str">
            <v>チャレンジタワー(ソロ専用)</v>
          </cell>
          <cell r="E321" t="str">
            <v>試練の塔</v>
          </cell>
          <cell r="F321">
            <v>13</v>
          </cell>
          <cell r="G321" t="str">
            <v>ja</v>
          </cell>
          <cell r="H321" t="str">
            <v>チャレンジタワー 13F</v>
          </cell>
          <cell r="I321" t="str">
            <v>試練の塔</v>
          </cell>
          <cell r="J321">
            <v>338</v>
          </cell>
          <cell r="K321">
            <v>14</v>
          </cell>
          <cell r="L321">
            <v>945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character</v>
          </cell>
          <cell r="T321" t="str">
            <v>338,338</v>
          </cell>
          <cell r="U321">
            <v>13001</v>
          </cell>
          <cell r="V321">
            <v>12</v>
          </cell>
          <cell r="W321" t="str">
            <v>チャレンジタワー 12F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</v>
          </cell>
          <cell r="AD321">
            <v>6</v>
          </cell>
          <cell r="AE321" t="str">
            <v>singleonly</v>
          </cell>
        </row>
        <row r="322">
          <cell r="A322" t="str">
            <v>13001_14</v>
          </cell>
          <cell r="B322">
            <v>3</v>
          </cell>
          <cell r="C322">
            <v>13001</v>
          </cell>
          <cell r="D322" t="str">
            <v>チャレンジタワー(ソロ専用)</v>
          </cell>
          <cell r="E322" t="str">
            <v>試練の塔</v>
          </cell>
          <cell r="F322">
            <v>14</v>
          </cell>
          <cell r="G322" t="str">
            <v>ja</v>
          </cell>
          <cell r="H322" t="str">
            <v>チャレンジタワー 14F</v>
          </cell>
          <cell r="I322" t="str">
            <v>試練の塔</v>
          </cell>
          <cell r="J322">
            <v>334</v>
          </cell>
          <cell r="K322">
            <v>14</v>
          </cell>
          <cell r="L322">
            <v>1188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character</v>
          </cell>
          <cell r="T322" t="str">
            <v>334,334</v>
          </cell>
          <cell r="U322">
            <v>13001</v>
          </cell>
          <cell r="V322">
            <v>13</v>
          </cell>
          <cell r="W322" t="str">
            <v>チャレンジタワー 13F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</v>
          </cell>
          <cell r="AD322">
            <v>6</v>
          </cell>
          <cell r="AE322" t="str">
            <v>singleonly</v>
          </cell>
        </row>
        <row r="323">
          <cell r="A323" t="str">
            <v>13001_15</v>
          </cell>
          <cell r="B323">
            <v>3</v>
          </cell>
          <cell r="C323">
            <v>13001</v>
          </cell>
          <cell r="D323" t="str">
            <v>チャレンジタワー(ソロ専用)</v>
          </cell>
          <cell r="E323" t="str">
            <v>試練の塔</v>
          </cell>
          <cell r="F323">
            <v>15</v>
          </cell>
          <cell r="G323" t="str">
            <v>ja</v>
          </cell>
          <cell r="H323" t="str">
            <v>チャレンジタワー 15F</v>
          </cell>
          <cell r="I323" t="str">
            <v>試練の塔</v>
          </cell>
          <cell r="J323">
            <v>316</v>
          </cell>
          <cell r="K323">
            <v>14</v>
          </cell>
          <cell r="L323">
            <v>1008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character</v>
          </cell>
          <cell r="T323" t="str">
            <v>316</v>
          </cell>
          <cell r="U323">
            <v>13001</v>
          </cell>
          <cell r="V323">
            <v>14</v>
          </cell>
          <cell r="W323" t="str">
            <v>チャレンジタワー 14F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26</v>
          </cell>
          <cell r="AD323">
            <v>6</v>
          </cell>
          <cell r="AE323" t="str">
            <v>singleonly</v>
          </cell>
        </row>
        <row r="324">
          <cell r="A324" t="str">
            <v>13001_16</v>
          </cell>
          <cell r="B324">
            <v>3</v>
          </cell>
          <cell r="C324">
            <v>13001</v>
          </cell>
          <cell r="D324" t="str">
            <v>チャレンジタワー(ソロ専用)</v>
          </cell>
          <cell r="E324" t="str">
            <v>試練の塔</v>
          </cell>
          <cell r="F324">
            <v>16</v>
          </cell>
          <cell r="G324" t="str">
            <v>ja</v>
          </cell>
          <cell r="H324" t="str">
            <v>チャレンジタワー 16F</v>
          </cell>
          <cell r="I324" t="str">
            <v>試練の塔</v>
          </cell>
          <cell r="J324">
            <v>338</v>
          </cell>
          <cell r="K324">
            <v>16</v>
          </cell>
          <cell r="L324">
            <v>2573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character</v>
          </cell>
          <cell r="T324" t="str">
            <v>338,338,337</v>
          </cell>
          <cell r="U324">
            <v>13001</v>
          </cell>
          <cell r="V324">
            <v>15</v>
          </cell>
          <cell r="W324" t="str">
            <v>チャレンジタワー 15F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26</v>
          </cell>
          <cell r="AD324">
            <v>6</v>
          </cell>
          <cell r="AE324" t="str">
            <v>singleonly</v>
          </cell>
        </row>
        <row r="325">
          <cell r="A325" t="str">
            <v>13001_17</v>
          </cell>
          <cell r="B325">
            <v>3</v>
          </cell>
          <cell r="C325">
            <v>13001</v>
          </cell>
          <cell r="D325" t="str">
            <v>チャレンジタワー(ソロ専用)</v>
          </cell>
          <cell r="E325" t="str">
            <v>試練の塔</v>
          </cell>
          <cell r="F325">
            <v>17</v>
          </cell>
          <cell r="G325" t="str">
            <v>ja</v>
          </cell>
          <cell r="H325" t="str">
            <v>チャレンジタワー 17F</v>
          </cell>
          <cell r="I325" t="str">
            <v>試練の塔</v>
          </cell>
          <cell r="J325">
            <v>346</v>
          </cell>
          <cell r="K325">
            <v>16</v>
          </cell>
          <cell r="L325">
            <v>1568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character</v>
          </cell>
          <cell r="T325" t="str">
            <v>346,346,345</v>
          </cell>
          <cell r="U325">
            <v>13001</v>
          </cell>
          <cell r="V325">
            <v>16</v>
          </cell>
          <cell r="W325" t="str">
            <v>チャレンジタワー 16F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26</v>
          </cell>
          <cell r="AD325">
            <v>6</v>
          </cell>
          <cell r="AE325" t="str">
            <v>singleonly</v>
          </cell>
        </row>
        <row r="326">
          <cell r="A326" t="str">
            <v>13001_18</v>
          </cell>
          <cell r="B326">
            <v>3</v>
          </cell>
          <cell r="C326">
            <v>13001</v>
          </cell>
          <cell r="D326" t="str">
            <v>チャレンジタワー(ソロ専用)</v>
          </cell>
          <cell r="E326" t="str">
            <v>試練の塔</v>
          </cell>
          <cell r="F326">
            <v>18</v>
          </cell>
          <cell r="G326" t="str">
            <v>ja</v>
          </cell>
          <cell r="H326" t="str">
            <v>チャレンジタワー 18F</v>
          </cell>
          <cell r="I326" t="str">
            <v>試練の塔</v>
          </cell>
          <cell r="J326">
            <v>334</v>
          </cell>
          <cell r="K326">
            <v>17</v>
          </cell>
          <cell r="L326">
            <v>1821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character</v>
          </cell>
          <cell r="T326" t="str">
            <v>334,334,333</v>
          </cell>
          <cell r="U326">
            <v>13001</v>
          </cell>
          <cell r="V326">
            <v>17</v>
          </cell>
          <cell r="W326" t="str">
            <v>チャレンジタワー 17F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26</v>
          </cell>
          <cell r="AD326">
            <v>6</v>
          </cell>
          <cell r="AE326" t="str">
            <v>singleonly</v>
          </cell>
        </row>
        <row r="327">
          <cell r="A327" t="str">
            <v>13001_19</v>
          </cell>
          <cell r="B327">
            <v>3</v>
          </cell>
          <cell r="C327">
            <v>13001</v>
          </cell>
          <cell r="D327" t="str">
            <v>チャレンジタワー(ソロ専用)</v>
          </cell>
          <cell r="E327" t="str">
            <v>試練の塔</v>
          </cell>
          <cell r="F327">
            <v>19</v>
          </cell>
          <cell r="G327" t="str">
            <v>ja</v>
          </cell>
          <cell r="H327" t="str">
            <v>チャレンジタワー 19F</v>
          </cell>
          <cell r="I327" t="str">
            <v>試練の塔</v>
          </cell>
          <cell r="J327">
            <v>342</v>
          </cell>
          <cell r="K327">
            <v>18</v>
          </cell>
          <cell r="L327">
            <v>2108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character</v>
          </cell>
          <cell r="T327" t="str">
            <v>342,342,341</v>
          </cell>
          <cell r="U327">
            <v>13001</v>
          </cell>
          <cell r="V327">
            <v>18</v>
          </cell>
          <cell r="W327" t="str">
            <v>チャレンジタワー 18F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26</v>
          </cell>
          <cell r="AD327">
            <v>6</v>
          </cell>
          <cell r="AE327" t="str">
            <v>singleonly</v>
          </cell>
        </row>
        <row r="328">
          <cell r="A328" t="str">
            <v>13001_20</v>
          </cell>
          <cell r="B328">
            <v>3</v>
          </cell>
          <cell r="C328">
            <v>13001</v>
          </cell>
          <cell r="D328" t="str">
            <v>チャレンジタワー(ソロ専用)</v>
          </cell>
          <cell r="E328" t="str">
            <v>試練の塔</v>
          </cell>
          <cell r="F328">
            <v>20</v>
          </cell>
          <cell r="G328" t="str">
            <v>ja</v>
          </cell>
          <cell r="H328" t="str">
            <v>チャレンジタワー 20F</v>
          </cell>
          <cell r="I328" t="str">
            <v>試練の塔</v>
          </cell>
          <cell r="J328">
            <v>318</v>
          </cell>
          <cell r="K328">
            <v>18</v>
          </cell>
          <cell r="L328">
            <v>1620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character</v>
          </cell>
          <cell r="T328" t="str">
            <v>318</v>
          </cell>
          <cell r="U328">
            <v>13001</v>
          </cell>
          <cell r="V328">
            <v>19</v>
          </cell>
          <cell r="W328" t="str">
            <v>チャレンジタワー 19F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26</v>
          </cell>
          <cell r="AD328">
            <v>6</v>
          </cell>
          <cell r="AE328" t="str">
            <v>singleonly</v>
          </cell>
        </row>
        <row r="329">
          <cell r="A329" t="str">
            <v>13001_21</v>
          </cell>
          <cell r="B329">
            <v>3</v>
          </cell>
          <cell r="C329">
            <v>13001</v>
          </cell>
          <cell r="D329" t="str">
            <v>チャレンジタワー(ソロ専用)</v>
          </cell>
          <cell r="E329" t="str">
            <v>試練の塔</v>
          </cell>
          <cell r="F329">
            <v>21</v>
          </cell>
          <cell r="G329" t="str">
            <v>ja</v>
          </cell>
          <cell r="H329" t="str">
            <v>チャレンジタワー 21F</v>
          </cell>
          <cell r="I329" t="str">
            <v>試練の塔</v>
          </cell>
          <cell r="J329" t="str">
            <v>335</v>
          </cell>
          <cell r="K329">
            <v>18</v>
          </cell>
          <cell r="L329">
            <v>1620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character</v>
          </cell>
          <cell r="T329" t="str">
            <v>334,335,335</v>
          </cell>
          <cell r="U329">
            <v>13001</v>
          </cell>
          <cell r="V329">
            <v>20</v>
          </cell>
          <cell r="W329" t="str">
            <v>チャレンジタワー 20F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26</v>
          </cell>
          <cell r="AD329">
            <v>6</v>
          </cell>
          <cell r="AE329" t="str">
            <v>singleonly</v>
          </cell>
        </row>
        <row r="330">
          <cell r="A330" t="str">
            <v>13001_22</v>
          </cell>
          <cell r="B330">
            <v>3</v>
          </cell>
          <cell r="C330">
            <v>13001</v>
          </cell>
          <cell r="D330" t="str">
            <v>チャレンジタワー(ソロ専用)</v>
          </cell>
          <cell r="E330" t="str">
            <v>試練の塔</v>
          </cell>
          <cell r="F330">
            <v>22</v>
          </cell>
          <cell r="G330" t="str">
            <v>ja</v>
          </cell>
          <cell r="H330" t="str">
            <v>チャレンジタワー 22F</v>
          </cell>
          <cell r="I330" t="str">
            <v>試練の塔</v>
          </cell>
          <cell r="J330" t="str">
            <v>339</v>
          </cell>
          <cell r="K330">
            <v>18</v>
          </cell>
          <cell r="L330">
            <v>1620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character</v>
          </cell>
          <cell r="T330" t="str">
            <v>338,339,339</v>
          </cell>
          <cell r="U330">
            <v>13001</v>
          </cell>
          <cell r="V330">
            <v>21</v>
          </cell>
          <cell r="W330" t="str">
            <v>チャレンジタワー 21F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26</v>
          </cell>
          <cell r="AD330">
            <v>6</v>
          </cell>
          <cell r="AE330" t="str">
            <v>singleonly</v>
          </cell>
        </row>
        <row r="331">
          <cell r="A331" t="str">
            <v>13001_23</v>
          </cell>
          <cell r="B331">
            <v>3</v>
          </cell>
          <cell r="C331">
            <v>13001</v>
          </cell>
          <cell r="D331" t="str">
            <v>チャレンジタワー(ソロ専用)</v>
          </cell>
          <cell r="E331" t="str">
            <v>試練の塔</v>
          </cell>
          <cell r="F331">
            <v>23</v>
          </cell>
          <cell r="G331" t="str">
            <v>ja</v>
          </cell>
          <cell r="H331" t="str">
            <v>チャレンジタワー 23F</v>
          </cell>
          <cell r="I331" t="str">
            <v>試練の塔</v>
          </cell>
          <cell r="J331" t="str">
            <v>347</v>
          </cell>
          <cell r="K331">
            <v>20</v>
          </cell>
          <cell r="L331">
            <v>1821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character</v>
          </cell>
          <cell r="T331" t="str">
            <v>346,347,347</v>
          </cell>
          <cell r="U331">
            <v>13001</v>
          </cell>
          <cell r="V331">
            <v>22</v>
          </cell>
          <cell r="W331" t="str">
            <v>チャレンジタワー 22F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26</v>
          </cell>
          <cell r="AD331">
            <v>6</v>
          </cell>
          <cell r="AE331" t="str">
            <v>singleonly</v>
          </cell>
        </row>
        <row r="332">
          <cell r="A332" t="str">
            <v>13001_24</v>
          </cell>
          <cell r="B332">
            <v>3</v>
          </cell>
          <cell r="C332">
            <v>13001</v>
          </cell>
          <cell r="D332" t="str">
            <v>チャレンジタワー(ソロ専用)</v>
          </cell>
          <cell r="E332" t="str">
            <v>試練の塔</v>
          </cell>
          <cell r="F332">
            <v>24</v>
          </cell>
          <cell r="G332" t="str">
            <v>ja</v>
          </cell>
          <cell r="H332" t="str">
            <v>チャレンジタワー 24F</v>
          </cell>
          <cell r="I332" t="str">
            <v>試練の塔</v>
          </cell>
          <cell r="J332" t="str">
            <v>343</v>
          </cell>
          <cell r="K332">
            <v>20</v>
          </cell>
          <cell r="L332">
            <v>2871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character</v>
          </cell>
          <cell r="T332" t="str">
            <v>342,343,343</v>
          </cell>
          <cell r="U332">
            <v>13001</v>
          </cell>
          <cell r="V332">
            <v>23</v>
          </cell>
          <cell r="W332" t="str">
            <v>チャレンジタワー 23F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26</v>
          </cell>
          <cell r="AD332">
            <v>6</v>
          </cell>
          <cell r="AE332" t="str">
            <v>singleonly</v>
          </cell>
        </row>
        <row r="333">
          <cell r="A333" t="str">
            <v>13001_25</v>
          </cell>
          <cell r="B333">
            <v>3</v>
          </cell>
          <cell r="C333">
            <v>13001</v>
          </cell>
          <cell r="D333" t="str">
            <v>チャレンジタワー(ソロ専用)</v>
          </cell>
          <cell r="E333" t="str">
            <v>試練の塔</v>
          </cell>
          <cell r="F333">
            <v>25</v>
          </cell>
          <cell r="G333" t="str">
            <v>ja</v>
          </cell>
          <cell r="H333" t="str">
            <v>チャレンジタワー 25F</v>
          </cell>
          <cell r="I333" t="str">
            <v>試練の塔</v>
          </cell>
          <cell r="J333" t="str">
            <v>368</v>
          </cell>
          <cell r="K333">
            <v>22</v>
          </cell>
          <cell r="L333">
            <v>3740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character</v>
          </cell>
          <cell r="T333" t="str">
            <v>368</v>
          </cell>
          <cell r="U333">
            <v>13001</v>
          </cell>
          <cell r="V333">
            <v>24</v>
          </cell>
          <cell r="W333" t="str">
            <v>チャレンジタワー 24F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26</v>
          </cell>
          <cell r="AD333">
            <v>6</v>
          </cell>
          <cell r="AE333" t="str">
            <v>singleonly</v>
          </cell>
        </row>
        <row r="334">
          <cell r="A334" t="str">
            <v>13101_1</v>
          </cell>
          <cell r="B334">
            <v>1</v>
          </cell>
          <cell r="C334">
            <v>13101</v>
          </cell>
          <cell r="D334" t="str">
            <v>チャレンジタワー</v>
          </cell>
          <cell r="E334" t="str">
            <v>リセット型チャレンジタワー</v>
          </cell>
          <cell r="F334">
            <v>1</v>
          </cell>
          <cell r="G334" t="str">
            <v>ja</v>
          </cell>
          <cell r="H334" t="str">
            <v>チャレンジタワー 1F</v>
          </cell>
          <cell r="I334" t="str">
            <v>試練の塔</v>
          </cell>
          <cell r="J334">
            <v>345</v>
          </cell>
          <cell r="K334">
            <v>3</v>
          </cell>
          <cell r="L334">
            <v>120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character</v>
          </cell>
          <cell r="T334" t="str">
            <v>345,345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26</v>
          </cell>
          <cell r="AD334">
            <v>6</v>
          </cell>
          <cell r="AE334" t="str">
            <v>singleonly</v>
          </cell>
        </row>
        <row r="335">
          <cell r="A335" t="str">
            <v>13101_2</v>
          </cell>
          <cell r="B335">
            <v>1</v>
          </cell>
          <cell r="C335">
            <v>13101</v>
          </cell>
          <cell r="D335" t="str">
            <v>チャレンジタワー</v>
          </cell>
          <cell r="E335" t="str">
            <v>リセット型チャレンジタワー</v>
          </cell>
          <cell r="F335">
            <v>2</v>
          </cell>
          <cell r="G335" t="str">
            <v>ja</v>
          </cell>
          <cell r="H335" t="str">
            <v>チャレンジタワー 2F</v>
          </cell>
          <cell r="I335" t="str">
            <v>試練の塔</v>
          </cell>
          <cell r="J335">
            <v>333</v>
          </cell>
          <cell r="K335">
            <v>4</v>
          </cell>
          <cell r="L335">
            <v>176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character</v>
          </cell>
          <cell r="T335" t="str">
            <v>333,333</v>
          </cell>
          <cell r="U335">
            <v>13101</v>
          </cell>
          <cell r="V335">
            <v>1</v>
          </cell>
          <cell r="W335" t="str">
            <v>チャレンジタワー 1F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26</v>
          </cell>
          <cell r="AD335">
            <v>6</v>
          </cell>
          <cell r="AE335" t="str">
            <v>singleonly</v>
          </cell>
        </row>
        <row r="336">
          <cell r="A336" t="str">
            <v>13101_3</v>
          </cell>
          <cell r="B336">
            <v>1</v>
          </cell>
          <cell r="C336">
            <v>13101</v>
          </cell>
          <cell r="D336" t="str">
            <v>チャレンジタワー</v>
          </cell>
          <cell r="E336" t="str">
            <v>リセット型チャレンジタワー</v>
          </cell>
          <cell r="F336">
            <v>3</v>
          </cell>
          <cell r="G336" t="str">
            <v>ja</v>
          </cell>
          <cell r="H336" t="str">
            <v>チャレンジタワー 3F</v>
          </cell>
          <cell r="I336" t="str">
            <v>試練の塔</v>
          </cell>
          <cell r="J336">
            <v>337</v>
          </cell>
          <cell r="K336">
            <v>5</v>
          </cell>
          <cell r="L336">
            <v>242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character</v>
          </cell>
          <cell r="T336" t="str">
            <v>337,337</v>
          </cell>
          <cell r="U336">
            <v>13101</v>
          </cell>
          <cell r="V336">
            <v>2</v>
          </cell>
          <cell r="W336" t="str">
            <v>チャレンジタワー 2F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26</v>
          </cell>
          <cell r="AD336">
            <v>6</v>
          </cell>
          <cell r="AE336" t="str">
            <v>singleonly</v>
          </cell>
        </row>
        <row r="337">
          <cell r="A337" t="str">
            <v>13101_4</v>
          </cell>
          <cell r="B337">
            <v>1</v>
          </cell>
          <cell r="C337">
            <v>13101</v>
          </cell>
          <cell r="D337" t="str">
            <v>チャレンジタワー</v>
          </cell>
          <cell r="E337" t="str">
            <v>リセット型チャレンジタワー</v>
          </cell>
          <cell r="F337">
            <v>4</v>
          </cell>
          <cell r="G337" t="str">
            <v>ja</v>
          </cell>
          <cell r="H337" t="str">
            <v>チャレンジタワー 4F</v>
          </cell>
          <cell r="I337" t="str">
            <v>試練の塔</v>
          </cell>
          <cell r="J337">
            <v>341</v>
          </cell>
          <cell r="K337">
            <v>7</v>
          </cell>
          <cell r="L337">
            <v>508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character</v>
          </cell>
          <cell r="T337" t="str">
            <v>341,341</v>
          </cell>
          <cell r="U337">
            <v>13101</v>
          </cell>
          <cell r="V337">
            <v>3</v>
          </cell>
          <cell r="W337" t="str">
            <v>チャレンジタワー 3F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26</v>
          </cell>
          <cell r="AD337">
            <v>6</v>
          </cell>
          <cell r="AE337" t="str">
            <v>singleonly</v>
          </cell>
        </row>
        <row r="338">
          <cell r="A338" t="str">
            <v>13101_5</v>
          </cell>
          <cell r="B338">
            <v>1</v>
          </cell>
          <cell r="C338">
            <v>13101</v>
          </cell>
          <cell r="D338" t="str">
            <v>チャレンジタワー</v>
          </cell>
          <cell r="E338" t="str">
            <v>リセット型チャレンジタワー</v>
          </cell>
          <cell r="F338">
            <v>5</v>
          </cell>
          <cell r="G338" t="str">
            <v>ja</v>
          </cell>
          <cell r="H338" t="str">
            <v>チャレンジタワー 5F</v>
          </cell>
          <cell r="I338" t="str">
            <v>試練の塔</v>
          </cell>
          <cell r="J338">
            <v>333</v>
          </cell>
          <cell r="K338">
            <v>7</v>
          </cell>
          <cell r="L338">
            <v>280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character</v>
          </cell>
          <cell r="T338" t="str">
            <v>333,337,341,345</v>
          </cell>
          <cell r="U338">
            <v>13101</v>
          </cell>
          <cell r="V338">
            <v>4</v>
          </cell>
          <cell r="W338" t="str">
            <v>チャレンジタワー 4F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26</v>
          </cell>
          <cell r="AD338">
            <v>6</v>
          </cell>
          <cell r="AE338" t="str">
            <v>singleonly</v>
          </cell>
        </row>
        <row r="339">
          <cell r="A339" t="str">
            <v>13101_6</v>
          </cell>
          <cell r="B339">
            <v>1</v>
          </cell>
          <cell r="C339">
            <v>13101</v>
          </cell>
          <cell r="D339" t="str">
            <v>チャレンジタワー</v>
          </cell>
          <cell r="E339" t="str">
            <v>リセット型チャレンジタワー</v>
          </cell>
          <cell r="F339">
            <v>6</v>
          </cell>
          <cell r="G339" t="str">
            <v>ja</v>
          </cell>
          <cell r="H339" t="str">
            <v>チャレンジタワー 6F</v>
          </cell>
          <cell r="I339" t="str">
            <v>試練の塔</v>
          </cell>
          <cell r="J339">
            <v>346</v>
          </cell>
          <cell r="K339">
            <v>8</v>
          </cell>
          <cell r="L339">
            <v>474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character</v>
          </cell>
          <cell r="T339" t="str">
            <v>346,345</v>
          </cell>
          <cell r="U339">
            <v>13101</v>
          </cell>
          <cell r="V339">
            <v>5</v>
          </cell>
          <cell r="W339" t="str">
            <v>チャレンジタワー 5F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26</v>
          </cell>
          <cell r="AD339">
            <v>6</v>
          </cell>
          <cell r="AE339" t="str">
            <v>singleonly</v>
          </cell>
        </row>
        <row r="340">
          <cell r="A340" t="str">
            <v>13101_7</v>
          </cell>
          <cell r="B340">
            <v>1</v>
          </cell>
          <cell r="C340">
            <v>13101</v>
          </cell>
          <cell r="D340" t="str">
            <v>チャレンジタワー</v>
          </cell>
          <cell r="E340" t="str">
            <v>リセット型チャレンジタワー</v>
          </cell>
          <cell r="F340">
            <v>7</v>
          </cell>
          <cell r="G340" t="str">
            <v>ja</v>
          </cell>
          <cell r="H340" t="str">
            <v>チャレンジタワー 7F</v>
          </cell>
          <cell r="I340" t="str">
            <v>試練の塔</v>
          </cell>
          <cell r="J340">
            <v>342</v>
          </cell>
          <cell r="K340">
            <v>8</v>
          </cell>
          <cell r="L340">
            <v>486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character</v>
          </cell>
          <cell r="T340" t="str">
            <v>342,341</v>
          </cell>
          <cell r="U340">
            <v>13101</v>
          </cell>
          <cell r="V340">
            <v>6</v>
          </cell>
          <cell r="W340" t="str">
            <v>チャレンジタワー 6F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26</v>
          </cell>
          <cell r="AD340">
            <v>6</v>
          </cell>
          <cell r="AE340" t="str">
            <v>singleonly</v>
          </cell>
        </row>
        <row r="341">
          <cell r="A341" t="str">
            <v>13101_8</v>
          </cell>
          <cell r="B341">
            <v>1</v>
          </cell>
          <cell r="C341">
            <v>13101</v>
          </cell>
          <cell r="D341" t="str">
            <v>チャレンジタワー</v>
          </cell>
          <cell r="E341" t="str">
            <v>リセット型チャレンジタワー</v>
          </cell>
          <cell r="F341">
            <v>8</v>
          </cell>
          <cell r="G341" t="str">
            <v>ja</v>
          </cell>
          <cell r="H341" t="str">
            <v>チャレンジタワー 8F</v>
          </cell>
          <cell r="I341" t="str">
            <v>試練の塔</v>
          </cell>
          <cell r="J341">
            <v>334</v>
          </cell>
          <cell r="K341">
            <v>10</v>
          </cell>
          <cell r="L341">
            <v>1006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character</v>
          </cell>
          <cell r="T341" t="str">
            <v>334,333</v>
          </cell>
          <cell r="U341">
            <v>13101</v>
          </cell>
          <cell r="V341">
            <v>7</v>
          </cell>
          <cell r="W341" t="str">
            <v>チャレンジタワー 7F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26</v>
          </cell>
          <cell r="AD341">
            <v>6</v>
          </cell>
          <cell r="AE341" t="str">
            <v>singleonly</v>
          </cell>
        </row>
        <row r="342">
          <cell r="A342" t="str">
            <v>13101_9</v>
          </cell>
          <cell r="B342">
            <v>1</v>
          </cell>
          <cell r="C342">
            <v>13101</v>
          </cell>
          <cell r="D342" t="str">
            <v>チャレンジタワー</v>
          </cell>
          <cell r="E342" t="str">
            <v>リセット型チャレンジタワー</v>
          </cell>
          <cell r="F342">
            <v>9</v>
          </cell>
          <cell r="G342" t="str">
            <v>ja</v>
          </cell>
          <cell r="H342" t="str">
            <v>チャレンジタワー 9F</v>
          </cell>
          <cell r="I342" t="str">
            <v>試練の塔</v>
          </cell>
          <cell r="J342">
            <v>338</v>
          </cell>
          <cell r="K342">
            <v>10</v>
          </cell>
          <cell r="L342">
            <v>702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character</v>
          </cell>
          <cell r="T342" t="str">
            <v>337,337,338</v>
          </cell>
          <cell r="U342">
            <v>13101</v>
          </cell>
          <cell r="V342">
            <v>8</v>
          </cell>
          <cell r="W342" t="str">
            <v>チャレンジタワー 8F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26</v>
          </cell>
          <cell r="AD342">
            <v>6</v>
          </cell>
          <cell r="AE342" t="str">
            <v>singleonly</v>
          </cell>
        </row>
        <row r="343">
          <cell r="A343" t="str">
            <v>13101_10</v>
          </cell>
          <cell r="B343">
            <v>1</v>
          </cell>
          <cell r="C343">
            <v>13101</v>
          </cell>
          <cell r="D343" t="str">
            <v>チャレンジタワー</v>
          </cell>
          <cell r="E343" t="str">
            <v>リセット型チャレンジタワー</v>
          </cell>
          <cell r="F343">
            <v>10</v>
          </cell>
          <cell r="G343" t="str">
            <v>ja</v>
          </cell>
          <cell r="H343" t="str">
            <v>チャレンジタワー 10F</v>
          </cell>
          <cell r="I343" t="str">
            <v>試練の塔</v>
          </cell>
          <cell r="J343">
            <v>346</v>
          </cell>
          <cell r="K343">
            <v>11</v>
          </cell>
          <cell r="L343">
            <v>788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character</v>
          </cell>
          <cell r="T343" t="str">
            <v>346,333,337,341</v>
          </cell>
          <cell r="U343">
            <v>13101</v>
          </cell>
          <cell r="V343">
            <v>9</v>
          </cell>
          <cell r="W343" t="str">
            <v>チャレンジタワー 9F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26</v>
          </cell>
          <cell r="AD343">
            <v>6</v>
          </cell>
          <cell r="AE343" t="str">
            <v>singleonly</v>
          </cell>
        </row>
        <row r="344">
          <cell r="A344" t="str">
            <v>13101_11</v>
          </cell>
          <cell r="B344">
            <v>1</v>
          </cell>
          <cell r="C344">
            <v>13101</v>
          </cell>
          <cell r="D344" t="str">
            <v>チャレンジタワー</v>
          </cell>
          <cell r="E344" t="str">
            <v>リセット型チャレンジタワー</v>
          </cell>
          <cell r="F344">
            <v>11</v>
          </cell>
          <cell r="G344" t="str">
            <v>ja</v>
          </cell>
          <cell r="H344" t="str">
            <v>チャレンジタワー 11F</v>
          </cell>
          <cell r="I344" t="str">
            <v>試練の塔</v>
          </cell>
          <cell r="J344">
            <v>346</v>
          </cell>
          <cell r="K344">
            <v>12</v>
          </cell>
          <cell r="L344">
            <v>936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character</v>
          </cell>
          <cell r="T344" t="str">
            <v>346,346</v>
          </cell>
          <cell r="U344">
            <v>13101</v>
          </cell>
          <cell r="V344">
            <v>10</v>
          </cell>
          <cell r="W344" t="str">
            <v>チャレンジタワー 10F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26</v>
          </cell>
          <cell r="AD344">
            <v>6</v>
          </cell>
          <cell r="AE344" t="str">
            <v>singleonly</v>
          </cell>
        </row>
        <row r="345">
          <cell r="A345" t="str">
            <v>13101_12</v>
          </cell>
          <cell r="B345">
            <v>1</v>
          </cell>
          <cell r="C345">
            <v>13101</v>
          </cell>
          <cell r="D345" t="str">
            <v>チャレンジタワー</v>
          </cell>
          <cell r="E345" t="str">
            <v>リセット型チャレンジタワー</v>
          </cell>
          <cell r="F345">
            <v>12</v>
          </cell>
          <cell r="G345" t="str">
            <v>ja</v>
          </cell>
          <cell r="H345" t="str">
            <v>チャレンジタワー 12F</v>
          </cell>
          <cell r="I345" t="str">
            <v>試練の塔</v>
          </cell>
          <cell r="J345">
            <v>342</v>
          </cell>
          <cell r="K345">
            <v>13</v>
          </cell>
          <cell r="L345">
            <v>1601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character</v>
          </cell>
          <cell r="T345" t="str">
            <v>342,342</v>
          </cell>
          <cell r="U345">
            <v>13101</v>
          </cell>
          <cell r="V345">
            <v>11</v>
          </cell>
          <cell r="W345" t="str">
            <v>チャレンジタワー 11F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26</v>
          </cell>
          <cell r="AD345">
            <v>6</v>
          </cell>
          <cell r="AE345" t="str">
            <v>singleonly</v>
          </cell>
        </row>
        <row r="346">
          <cell r="A346" t="str">
            <v>13101_13</v>
          </cell>
          <cell r="B346">
            <v>1</v>
          </cell>
          <cell r="C346">
            <v>13101</v>
          </cell>
          <cell r="D346" t="str">
            <v>チャレンジタワー</v>
          </cell>
          <cell r="E346" t="str">
            <v>リセット型チャレンジタワー</v>
          </cell>
          <cell r="F346">
            <v>13</v>
          </cell>
          <cell r="G346" t="str">
            <v>ja</v>
          </cell>
          <cell r="H346" t="str">
            <v>チャレンジタワー 13F</v>
          </cell>
          <cell r="I346" t="str">
            <v>試練の塔</v>
          </cell>
          <cell r="J346">
            <v>338</v>
          </cell>
          <cell r="K346">
            <v>14</v>
          </cell>
          <cell r="L346">
            <v>945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character</v>
          </cell>
          <cell r="T346" t="str">
            <v>338,338</v>
          </cell>
          <cell r="U346">
            <v>13101</v>
          </cell>
          <cell r="V346">
            <v>12</v>
          </cell>
          <cell r="W346" t="str">
            <v>チャレンジタワー 12F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26</v>
          </cell>
          <cell r="AD346">
            <v>6</v>
          </cell>
          <cell r="AE346" t="str">
            <v>singleonly</v>
          </cell>
        </row>
        <row r="347">
          <cell r="A347" t="str">
            <v>13101_14</v>
          </cell>
          <cell r="B347">
            <v>1</v>
          </cell>
          <cell r="C347">
            <v>13101</v>
          </cell>
          <cell r="D347" t="str">
            <v>チャレンジタワー</v>
          </cell>
          <cell r="E347" t="str">
            <v>リセット型チャレンジタワー</v>
          </cell>
          <cell r="F347">
            <v>14</v>
          </cell>
          <cell r="G347" t="str">
            <v>ja</v>
          </cell>
          <cell r="H347" t="str">
            <v>チャレンジタワー 14F</v>
          </cell>
          <cell r="I347" t="str">
            <v>試練の塔</v>
          </cell>
          <cell r="J347">
            <v>334</v>
          </cell>
          <cell r="K347">
            <v>14</v>
          </cell>
          <cell r="L347">
            <v>1188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character</v>
          </cell>
          <cell r="T347" t="str">
            <v>334,334</v>
          </cell>
          <cell r="U347">
            <v>13101</v>
          </cell>
          <cell r="V347">
            <v>13</v>
          </cell>
          <cell r="W347" t="str">
            <v>チャレンジタワー 13F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26</v>
          </cell>
          <cell r="AD347">
            <v>6</v>
          </cell>
          <cell r="AE347" t="str">
            <v>singleonly</v>
          </cell>
        </row>
        <row r="348">
          <cell r="A348" t="str">
            <v>13101_15</v>
          </cell>
          <cell r="B348">
            <v>1</v>
          </cell>
          <cell r="C348">
            <v>13101</v>
          </cell>
          <cell r="D348" t="str">
            <v>チャレンジタワー</v>
          </cell>
          <cell r="E348" t="str">
            <v>リセット型チャレンジタワー</v>
          </cell>
          <cell r="F348">
            <v>15</v>
          </cell>
          <cell r="G348" t="str">
            <v>ja</v>
          </cell>
          <cell r="H348" t="str">
            <v>チャレンジタワー 15F</v>
          </cell>
          <cell r="I348" t="str">
            <v>試練の塔</v>
          </cell>
          <cell r="J348">
            <v>316</v>
          </cell>
          <cell r="K348">
            <v>14</v>
          </cell>
          <cell r="L348">
            <v>1008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character</v>
          </cell>
          <cell r="T348" t="str">
            <v>316</v>
          </cell>
          <cell r="U348">
            <v>13101</v>
          </cell>
          <cell r="V348">
            <v>14</v>
          </cell>
          <cell r="W348" t="str">
            <v>チャレンジタワー 14F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26</v>
          </cell>
          <cell r="AD348">
            <v>6</v>
          </cell>
          <cell r="AE348" t="str">
            <v>singleonly</v>
          </cell>
        </row>
        <row r="349">
          <cell r="A349" t="str">
            <v>13101_16</v>
          </cell>
          <cell r="B349">
            <v>1</v>
          </cell>
          <cell r="C349">
            <v>13101</v>
          </cell>
          <cell r="D349" t="str">
            <v>チャレンジタワー</v>
          </cell>
          <cell r="E349" t="str">
            <v>リセット型チャレンジタワー</v>
          </cell>
          <cell r="F349">
            <v>16</v>
          </cell>
          <cell r="G349" t="str">
            <v>ja</v>
          </cell>
          <cell r="H349" t="str">
            <v>チャレンジタワー 16F</v>
          </cell>
          <cell r="I349" t="str">
            <v>試練の塔</v>
          </cell>
          <cell r="J349">
            <v>338</v>
          </cell>
          <cell r="K349">
            <v>16</v>
          </cell>
          <cell r="L349">
            <v>2573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character</v>
          </cell>
          <cell r="T349" t="str">
            <v>338,338,337</v>
          </cell>
          <cell r="U349">
            <v>13101</v>
          </cell>
          <cell r="V349">
            <v>15</v>
          </cell>
          <cell r="W349" t="str">
            <v>チャレンジタワー 15F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26</v>
          </cell>
          <cell r="AD349">
            <v>6</v>
          </cell>
          <cell r="AE349" t="str">
            <v>singleonly</v>
          </cell>
        </row>
        <row r="350">
          <cell r="A350" t="str">
            <v>13101_17</v>
          </cell>
          <cell r="B350">
            <v>1</v>
          </cell>
          <cell r="C350">
            <v>13101</v>
          </cell>
          <cell r="D350" t="str">
            <v>チャレンジタワー</v>
          </cell>
          <cell r="E350" t="str">
            <v>リセット型チャレンジタワー</v>
          </cell>
          <cell r="F350">
            <v>17</v>
          </cell>
          <cell r="G350" t="str">
            <v>ja</v>
          </cell>
          <cell r="H350" t="str">
            <v>チャレンジタワー 17F</v>
          </cell>
          <cell r="I350" t="str">
            <v>試練の塔</v>
          </cell>
          <cell r="J350">
            <v>346</v>
          </cell>
          <cell r="K350">
            <v>16</v>
          </cell>
          <cell r="L350">
            <v>1568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character</v>
          </cell>
          <cell r="T350" t="str">
            <v>346,346,345</v>
          </cell>
          <cell r="U350">
            <v>13101</v>
          </cell>
          <cell r="V350">
            <v>16</v>
          </cell>
          <cell r="W350" t="str">
            <v>チャレンジタワー 16F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26</v>
          </cell>
          <cell r="AD350">
            <v>6</v>
          </cell>
          <cell r="AE350" t="str">
            <v>singleonly</v>
          </cell>
        </row>
        <row r="351">
          <cell r="A351" t="str">
            <v>13101_18</v>
          </cell>
          <cell r="B351">
            <v>1</v>
          </cell>
          <cell r="C351">
            <v>13101</v>
          </cell>
          <cell r="D351" t="str">
            <v>チャレンジタワー</v>
          </cell>
          <cell r="E351" t="str">
            <v>リセット型チャレンジタワー</v>
          </cell>
          <cell r="F351">
            <v>18</v>
          </cell>
          <cell r="G351" t="str">
            <v>ja</v>
          </cell>
          <cell r="H351" t="str">
            <v>チャレンジタワー 18F</v>
          </cell>
          <cell r="I351" t="str">
            <v>試練の塔</v>
          </cell>
          <cell r="J351">
            <v>334</v>
          </cell>
          <cell r="K351">
            <v>17</v>
          </cell>
          <cell r="L351">
            <v>1821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character</v>
          </cell>
          <cell r="T351" t="str">
            <v>334,334,333</v>
          </cell>
          <cell r="U351">
            <v>13101</v>
          </cell>
          <cell r="V351">
            <v>17</v>
          </cell>
          <cell r="W351" t="str">
            <v>チャレンジタワー 17F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26</v>
          </cell>
          <cell r="AD351">
            <v>6</v>
          </cell>
          <cell r="AE351" t="str">
            <v>singleonly</v>
          </cell>
        </row>
        <row r="352">
          <cell r="A352" t="str">
            <v>13101_19</v>
          </cell>
          <cell r="B352">
            <v>1</v>
          </cell>
          <cell r="C352">
            <v>13101</v>
          </cell>
          <cell r="D352" t="str">
            <v>チャレンジタワー</v>
          </cell>
          <cell r="E352" t="str">
            <v>リセット型チャレンジタワー</v>
          </cell>
          <cell r="F352">
            <v>19</v>
          </cell>
          <cell r="G352" t="str">
            <v>ja</v>
          </cell>
          <cell r="H352" t="str">
            <v>チャレンジタワー 19F</v>
          </cell>
          <cell r="I352" t="str">
            <v>試練の塔</v>
          </cell>
          <cell r="J352">
            <v>342</v>
          </cell>
          <cell r="K352">
            <v>18</v>
          </cell>
          <cell r="L352">
            <v>2108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character</v>
          </cell>
          <cell r="T352" t="str">
            <v>342,342,341</v>
          </cell>
          <cell r="U352">
            <v>13101</v>
          </cell>
          <cell r="V352">
            <v>18</v>
          </cell>
          <cell r="W352" t="str">
            <v>チャレンジタワー 18F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26</v>
          </cell>
          <cell r="AD352">
            <v>6</v>
          </cell>
          <cell r="AE352" t="str">
            <v>singleonly</v>
          </cell>
        </row>
        <row r="353">
          <cell r="A353" t="str">
            <v>13101_20</v>
          </cell>
          <cell r="B353">
            <v>1</v>
          </cell>
          <cell r="C353">
            <v>13101</v>
          </cell>
          <cell r="D353" t="str">
            <v>チャレンジタワー</v>
          </cell>
          <cell r="E353" t="str">
            <v>リセット型チャレンジタワー</v>
          </cell>
          <cell r="F353">
            <v>20</v>
          </cell>
          <cell r="G353" t="str">
            <v>ja</v>
          </cell>
          <cell r="H353" t="str">
            <v>チャレンジタワー 20F</v>
          </cell>
          <cell r="I353" t="str">
            <v>試練の塔</v>
          </cell>
          <cell r="J353">
            <v>318</v>
          </cell>
          <cell r="K353">
            <v>18</v>
          </cell>
          <cell r="L353">
            <v>1620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character</v>
          </cell>
          <cell r="T353" t="str">
            <v>318</v>
          </cell>
          <cell r="U353">
            <v>13101</v>
          </cell>
          <cell r="V353">
            <v>19</v>
          </cell>
          <cell r="W353" t="str">
            <v>チャレンジタワー 19F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26</v>
          </cell>
          <cell r="AD353">
            <v>6</v>
          </cell>
          <cell r="AE353" t="str">
            <v>singleonly</v>
          </cell>
        </row>
        <row r="354">
          <cell r="A354" t="str">
            <v>13101_21</v>
          </cell>
          <cell r="B354">
            <v>1</v>
          </cell>
          <cell r="C354">
            <v>13101</v>
          </cell>
          <cell r="D354" t="str">
            <v>チャレンジタワー</v>
          </cell>
          <cell r="E354" t="str">
            <v>リセット型チャレンジタワー</v>
          </cell>
          <cell r="F354">
            <v>21</v>
          </cell>
          <cell r="G354" t="str">
            <v>ja</v>
          </cell>
          <cell r="H354" t="str">
            <v>チャレンジタワー 21F</v>
          </cell>
          <cell r="I354" t="str">
            <v>試練の塔</v>
          </cell>
          <cell r="J354" t="str">
            <v>335</v>
          </cell>
          <cell r="K354">
            <v>18</v>
          </cell>
          <cell r="L354">
            <v>1620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character</v>
          </cell>
          <cell r="T354" t="str">
            <v>334,335,335</v>
          </cell>
          <cell r="U354">
            <v>13101</v>
          </cell>
          <cell r="V354">
            <v>20</v>
          </cell>
          <cell r="W354" t="str">
            <v>チャレンジタワー 20F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26</v>
          </cell>
          <cell r="AD354">
            <v>6</v>
          </cell>
          <cell r="AE354" t="str">
            <v>singleonly</v>
          </cell>
        </row>
        <row r="355">
          <cell r="A355" t="str">
            <v>13101_22</v>
          </cell>
          <cell r="B355">
            <v>1</v>
          </cell>
          <cell r="C355">
            <v>13101</v>
          </cell>
          <cell r="D355" t="str">
            <v>チャレンジタワー</v>
          </cell>
          <cell r="E355" t="str">
            <v>リセット型チャレンジタワー</v>
          </cell>
          <cell r="F355">
            <v>22</v>
          </cell>
          <cell r="G355" t="str">
            <v>ja</v>
          </cell>
          <cell r="H355" t="str">
            <v>チャレンジタワー 22F</v>
          </cell>
          <cell r="I355" t="str">
            <v>試練の塔</v>
          </cell>
          <cell r="J355" t="str">
            <v>339</v>
          </cell>
          <cell r="K355">
            <v>18</v>
          </cell>
          <cell r="L355">
            <v>1620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character</v>
          </cell>
          <cell r="T355" t="str">
            <v>338,339,339</v>
          </cell>
          <cell r="U355">
            <v>13101</v>
          </cell>
          <cell r="V355">
            <v>21</v>
          </cell>
          <cell r="W355" t="str">
            <v>チャレンジタワー 21F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26</v>
          </cell>
          <cell r="AD355">
            <v>6</v>
          </cell>
          <cell r="AE355" t="str">
            <v>singleonly</v>
          </cell>
        </row>
        <row r="356">
          <cell r="A356" t="str">
            <v>13101_23</v>
          </cell>
          <cell r="B356">
            <v>1</v>
          </cell>
          <cell r="C356">
            <v>13101</v>
          </cell>
          <cell r="D356" t="str">
            <v>チャレンジタワー</v>
          </cell>
          <cell r="E356" t="str">
            <v>リセット型チャレンジタワー</v>
          </cell>
          <cell r="F356">
            <v>23</v>
          </cell>
          <cell r="G356" t="str">
            <v>ja</v>
          </cell>
          <cell r="H356" t="str">
            <v>チャレンジタワー 23F</v>
          </cell>
          <cell r="I356" t="str">
            <v>試練の塔</v>
          </cell>
          <cell r="J356" t="str">
            <v>347</v>
          </cell>
          <cell r="K356">
            <v>20</v>
          </cell>
          <cell r="L356">
            <v>1821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character</v>
          </cell>
          <cell r="T356" t="str">
            <v>346,347,347</v>
          </cell>
          <cell r="U356">
            <v>13101</v>
          </cell>
          <cell r="V356">
            <v>22</v>
          </cell>
          <cell r="W356" t="str">
            <v>チャレンジタワー 22F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26</v>
          </cell>
          <cell r="AD356">
            <v>6</v>
          </cell>
          <cell r="AE356" t="str">
            <v>singleonly</v>
          </cell>
        </row>
        <row r="357">
          <cell r="A357" t="str">
            <v>13101_24</v>
          </cell>
          <cell r="B357">
            <v>1</v>
          </cell>
          <cell r="C357">
            <v>13101</v>
          </cell>
          <cell r="D357" t="str">
            <v>チャレンジタワー</v>
          </cell>
          <cell r="E357" t="str">
            <v>リセット型チャレンジタワー</v>
          </cell>
          <cell r="F357">
            <v>24</v>
          </cell>
          <cell r="G357" t="str">
            <v>ja</v>
          </cell>
          <cell r="H357" t="str">
            <v>チャレンジタワー 24F</v>
          </cell>
          <cell r="I357" t="str">
            <v>試練の塔</v>
          </cell>
          <cell r="J357" t="str">
            <v>343</v>
          </cell>
          <cell r="K357">
            <v>20</v>
          </cell>
          <cell r="L357">
            <v>2871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character</v>
          </cell>
          <cell r="T357" t="str">
            <v>342,343,343</v>
          </cell>
          <cell r="U357">
            <v>13101</v>
          </cell>
          <cell r="V357">
            <v>23</v>
          </cell>
          <cell r="W357" t="str">
            <v>チャレンジタワー 23F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26</v>
          </cell>
          <cell r="AD357">
            <v>6</v>
          </cell>
          <cell r="AE357" t="str">
            <v>singleonly</v>
          </cell>
        </row>
        <row r="358">
          <cell r="A358" t="str">
            <v>13101_25</v>
          </cell>
          <cell r="B358">
            <v>1</v>
          </cell>
          <cell r="C358">
            <v>13101</v>
          </cell>
          <cell r="D358" t="str">
            <v>チャレンジタワー</v>
          </cell>
          <cell r="E358" t="str">
            <v>リセット型チャレンジタワー</v>
          </cell>
          <cell r="F358">
            <v>25</v>
          </cell>
          <cell r="G358" t="str">
            <v>ja</v>
          </cell>
          <cell r="H358" t="str">
            <v>チャレンジタワー 25F</v>
          </cell>
          <cell r="I358" t="str">
            <v>試練の塔</v>
          </cell>
          <cell r="J358" t="str">
            <v>368</v>
          </cell>
          <cell r="K358">
            <v>22</v>
          </cell>
          <cell r="L358">
            <v>3740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character</v>
          </cell>
          <cell r="T358" t="str">
            <v>368</v>
          </cell>
          <cell r="U358">
            <v>13101</v>
          </cell>
          <cell r="V358">
            <v>24</v>
          </cell>
          <cell r="W358" t="str">
            <v>チャレンジタワー 24F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26</v>
          </cell>
          <cell r="AD358">
            <v>6</v>
          </cell>
          <cell r="AE358" t="str">
            <v>singleonly</v>
          </cell>
        </row>
        <row r="359">
          <cell r="A359" t="str">
            <v>13300_1</v>
          </cell>
          <cell r="B359">
            <v>3</v>
          </cell>
          <cell r="C359">
            <v>13300</v>
          </cell>
          <cell r="D359" t="str">
            <v>タワーオブザクイーン -アヴァルシア-</v>
          </cell>
          <cell r="E359" t="str">
            <v>タワーオブザクイーン1本目</v>
          </cell>
          <cell r="F359">
            <v>1</v>
          </cell>
          <cell r="G359" t="str">
            <v>ja</v>
          </cell>
          <cell r="H359" t="str">
            <v>1階 コスト制限なし</v>
          </cell>
          <cell r="I359" t="str">
            <v>タワーオブザクイーン</v>
          </cell>
          <cell r="J359">
            <v>347</v>
          </cell>
          <cell r="K359">
            <v>15</v>
          </cell>
          <cell r="L359">
            <v>750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character</v>
          </cell>
          <cell r="T359" t="str">
            <v>347,347,347,837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965</v>
          </cell>
          <cell r="AD359">
            <v>6</v>
          </cell>
          <cell r="AE359" t="str">
            <v>singleonly</v>
          </cell>
        </row>
        <row r="360">
          <cell r="A360" t="str">
            <v>13300_2</v>
          </cell>
          <cell r="B360">
            <v>3</v>
          </cell>
          <cell r="C360">
            <v>13300</v>
          </cell>
          <cell r="D360" t="str">
            <v>タワーオブザクイーン -アヴァルシア-</v>
          </cell>
          <cell r="E360" t="str">
            <v>タワーオブザクイーン1本目</v>
          </cell>
          <cell r="F360">
            <v>2</v>
          </cell>
          <cell r="G360" t="str">
            <v>ja</v>
          </cell>
          <cell r="H360" t="str">
            <v>2階 コスト制限なし</v>
          </cell>
          <cell r="I360" t="str">
            <v>タワーオブザクイーン</v>
          </cell>
          <cell r="J360">
            <v>343</v>
          </cell>
          <cell r="K360">
            <v>18</v>
          </cell>
          <cell r="L360">
            <v>990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character</v>
          </cell>
          <cell r="T360" t="str">
            <v>343,343,343,342</v>
          </cell>
          <cell r="U360">
            <v>13300</v>
          </cell>
          <cell r="V360">
            <v>1</v>
          </cell>
          <cell r="W360" t="str">
            <v>1階 コスト制限なし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965</v>
          </cell>
          <cell r="AD360">
            <v>6</v>
          </cell>
          <cell r="AE360" t="str">
            <v>singleonly</v>
          </cell>
        </row>
        <row r="361">
          <cell r="A361" t="str">
            <v>13300_3</v>
          </cell>
          <cell r="B361">
            <v>3</v>
          </cell>
          <cell r="C361">
            <v>13300</v>
          </cell>
          <cell r="D361" t="str">
            <v>タワーオブザクイーン -アヴァルシア-</v>
          </cell>
          <cell r="E361" t="str">
            <v>タワーオブザクイーン1本目</v>
          </cell>
          <cell r="F361">
            <v>3</v>
          </cell>
          <cell r="G361" t="str">
            <v>ja</v>
          </cell>
          <cell r="H361" t="str">
            <v>3階 コスト制限なし</v>
          </cell>
          <cell r="I361" t="str">
            <v>タワーオブザクイーン</v>
          </cell>
          <cell r="J361">
            <v>335</v>
          </cell>
          <cell r="K361">
            <v>19</v>
          </cell>
          <cell r="L361">
            <v>1140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character</v>
          </cell>
          <cell r="T361" t="str">
            <v>335,335,335,334</v>
          </cell>
          <cell r="U361">
            <v>13300</v>
          </cell>
          <cell r="V361">
            <v>2</v>
          </cell>
          <cell r="W361" t="str">
            <v>2階 コスト制限なし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965</v>
          </cell>
          <cell r="AD361">
            <v>6</v>
          </cell>
          <cell r="AE361" t="str">
            <v>singleonly</v>
          </cell>
        </row>
        <row r="362">
          <cell r="A362" t="str">
            <v>13300_4</v>
          </cell>
          <cell r="B362">
            <v>3</v>
          </cell>
          <cell r="C362">
            <v>13300</v>
          </cell>
          <cell r="D362" t="str">
            <v>タワーオブザクイーン -アヴァルシア-</v>
          </cell>
          <cell r="E362" t="str">
            <v>タワーオブザクイーン1本目</v>
          </cell>
          <cell r="F362">
            <v>4</v>
          </cell>
          <cell r="G362" t="str">
            <v>ja</v>
          </cell>
          <cell r="H362" t="str">
            <v>4階 コスト制限なし</v>
          </cell>
          <cell r="I362" t="str">
            <v>タワーオブザクイーン</v>
          </cell>
          <cell r="J362">
            <v>339</v>
          </cell>
          <cell r="K362">
            <v>20</v>
          </cell>
          <cell r="L362">
            <v>1300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character</v>
          </cell>
          <cell r="T362" t="str">
            <v>339,339,339,338</v>
          </cell>
          <cell r="U362">
            <v>13300</v>
          </cell>
          <cell r="V362">
            <v>3</v>
          </cell>
          <cell r="W362" t="str">
            <v>3階 コスト制限なし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965</v>
          </cell>
          <cell r="AD362">
            <v>6</v>
          </cell>
          <cell r="AE362" t="str">
            <v>singleonly</v>
          </cell>
        </row>
        <row r="363">
          <cell r="A363" t="str">
            <v>13300_5</v>
          </cell>
          <cell r="B363">
            <v>3</v>
          </cell>
          <cell r="C363">
            <v>13300</v>
          </cell>
          <cell r="D363" t="str">
            <v>タワーオブザクイーン -アヴァルシア-</v>
          </cell>
          <cell r="E363" t="str">
            <v>タワーオブザクイーン1本目</v>
          </cell>
          <cell r="F363">
            <v>5</v>
          </cell>
          <cell r="G363" t="str">
            <v>ja</v>
          </cell>
          <cell r="H363" t="str">
            <v>5階 コスト30以下限定</v>
          </cell>
          <cell r="I363" t="str">
            <v>タワーオブザクイーン</v>
          </cell>
          <cell r="J363">
            <v>837</v>
          </cell>
          <cell r="K363">
            <v>24</v>
          </cell>
          <cell r="L363">
            <v>1680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character</v>
          </cell>
          <cell r="T363" t="str">
            <v>837,610,125</v>
          </cell>
          <cell r="U363">
            <v>13300</v>
          </cell>
          <cell r="V363">
            <v>4</v>
          </cell>
          <cell r="W363" t="str">
            <v>4階 コスト制限なし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965</v>
          </cell>
          <cell r="AD363">
            <v>6</v>
          </cell>
          <cell r="AE363" t="str">
            <v>singleonly</v>
          </cell>
        </row>
        <row r="364">
          <cell r="A364" t="str">
            <v>13300_6</v>
          </cell>
          <cell r="B364">
            <v>3</v>
          </cell>
          <cell r="C364">
            <v>13300</v>
          </cell>
          <cell r="D364" t="str">
            <v>タワーオブザクイーン -アヴァルシア-</v>
          </cell>
          <cell r="E364" t="str">
            <v>タワーオブザクイーン1本目</v>
          </cell>
          <cell r="F364">
            <v>6</v>
          </cell>
          <cell r="G364" t="str">
            <v>ja</v>
          </cell>
          <cell r="H364" t="str">
            <v>6階 コスト30以下ヒューマン限定</v>
          </cell>
          <cell r="I364" t="str">
            <v>タワーオブザクイーン</v>
          </cell>
          <cell r="J364">
            <v>612</v>
          </cell>
          <cell r="K364">
            <v>25</v>
          </cell>
          <cell r="L364">
            <v>1875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character</v>
          </cell>
          <cell r="T364" t="str">
            <v>612,612,355</v>
          </cell>
          <cell r="U364">
            <v>13300</v>
          </cell>
          <cell r="V364">
            <v>5</v>
          </cell>
          <cell r="W364" t="str">
            <v>5階 コスト30以下限定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965</v>
          </cell>
          <cell r="AD364">
            <v>6</v>
          </cell>
          <cell r="AE364" t="str">
            <v>singleonly</v>
          </cell>
        </row>
        <row r="365">
          <cell r="A365" t="str">
            <v>13300_7</v>
          </cell>
          <cell r="B365">
            <v>3</v>
          </cell>
          <cell r="C365">
            <v>13300</v>
          </cell>
          <cell r="D365" t="str">
            <v>タワーオブザクイーン -アヴァルシア-</v>
          </cell>
          <cell r="E365" t="str">
            <v>タワーオブザクイーン1本目</v>
          </cell>
          <cell r="F365">
            <v>7</v>
          </cell>
          <cell r="G365" t="str">
            <v>ja</v>
          </cell>
          <cell r="H365" t="str">
            <v>7階 コスト制限なし</v>
          </cell>
          <cell r="I365" t="str">
            <v>タワーオブザクイーン</v>
          </cell>
          <cell r="J365">
            <v>613</v>
          </cell>
          <cell r="K365">
            <v>28</v>
          </cell>
          <cell r="L365">
            <v>2240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character</v>
          </cell>
          <cell r="T365" t="str">
            <v>613,613,353</v>
          </cell>
          <cell r="U365">
            <v>13300</v>
          </cell>
          <cell r="V365">
            <v>6</v>
          </cell>
          <cell r="W365" t="str">
            <v>6階 コスト30以下ヒューマン限定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965</v>
          </cell>
          <cell r="AD365">
            <v>6</v>
          </cell>
          <cell r="AE365" t="str">
            <v>singleonly</v>
          </cell>
        </row>
        <row r="366">
          <cell r="A366" t="str">
            <v>13300_8</v>
          </cell>
          <cell r="B366">
            <v>3</v>
          </cell>
          <cell r="C366">
            <v>13300</v>
          </cell>
          <cell r="D366" t="str">
            <v>タワーオブザクイーン -アヴァルシア-</v>
          </cell>
          <cell r="E366" t="str">
            <v>タワーオブザクイーン1本目</v>
          </cell>
          <cell r="F366">
            <v>8</v>
          </cell>
          <cell r="G366" t="str">
            <v>ja</v>
          </cell>
          <cell r="H366" t="str">
            <v>8階 コスト28以下限定</v>
          </cell>
          <cell r="I366" t="str">
            <v>タワーオブザクイーン</v>
          </cell>
          <cell r="J366">
            <v>611</v>
          </cell>
          <cell r="K366">
            <v>30</v>
          </cell>
          <cell r="L366">
            <v>2550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character</v>
          </cell>
          <cell r="T366" t="str">
            <v>611,611,349</v>
          </cell>
          <cell r="U366">
            <v>13300</v>
          </cell>
          <cell r="V366">
            <v>7</v>
          </cell>
          <cell r="W366" t="str">
            <v>7階 コスト制限なし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965</v>
          </cell>
          <cell r="AD366">
            <v>6</v>
          </cell>
          <cell r="AE366" t="str">
            <v>singleonly</v>
          </cell>
        </row>
        <row r="367">
          <cell r="A367" t="str">
            <v>13300_9</v>
          </cell>
          <cell r="B367">
            <v>3</v>
          </cell>
          <cell r="C367">
            <v>13300</v>
          </cell>
          <cell r="D367" t="str">
            <v>タワーオブザクイーン -アヴァルシア-</v>
          </cell>
          <cell r="E367" t="str">
            <v>タワーオブザクイーン1本目</v>
          </cell>
          <cell r="F367">
            <v>9</v>
          </cell>
          <cell r="G367" t="str">
            <v>ja</v>
          </cell>
          <cell r="H367" t="str">
            <v>9階 コスト28以下ヒューマン限定</v>
          </cell>
          <cell r="I367" t="str">
            <v>タワーオブザクイーン</v>
          </cell>
          <cell r="J367">
            <v>610</v>
          </cell>
          <cell r="K367">
            <v>31</v>
          </cell>
          <cell r="L367">
            <v>2790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character</v>
          </cell>
          <cell r="T367" t="str">
            <v>837,610,125</v>
          </cell>
          <cell r="U367">
            <v>13300</v>
          </cell>
          <cell r="V367">
            <v>8</v>
          </cell>
          <cell r="W367" t="str">
            <v>8階 コスト28以下限定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965</v>
          </cell>
          <cell r="AD367">
            <v>6</v>
          </cell>
          <cell r="AE367" t="str">
            <v>singleonly</v>
          </cell>
        </row>
        <row r="368">
          <cell r="A368" t="str">
            <v>13300_10</v>
          </cell>
          <cell r="B368">
            <v>3</v>
          </cell>
          <cell r="C368">
            <v>13300</v>
          </cell>
          <cell r="D368" t="str">
            <v>タワーオブザクイーン -アヴァルシア-</v>
          </cell>
          <cell r="E368" t="str">
            <v>タワーオブザクイーン1本目</v>
          </cell>
          <cell r="F368">
            <v>10</v>
          </cell>
          <cell r="G368" t="str">
            <v>ja</v>
          </cell>
          <cell r="H368" t="str">
            <v>10階 ボナンザ 現る！</v>
          </cell>
          <cell r="I368" t="str">
            <v>タワーオブザクイーン</v>
          </cell>
          <cell r="J368">
            <v>0</v>
          </cell>
          <cell r="K368">
            <v>35</v>
          </cell>
          <cell r="L368">
            <v>3325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polygon</v>
          </cell>
          <cell r="T368" t="str">
            <v>2</v>
          </cell>
          <cell r="U368">
            <v>13300</v>
          </cell>
          <cell r="V368">
            <v>9</v>
          </cell>
          <cell r="W368" t="str">
            <v>9階 コスト28以下ヒューマン限定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965</v>
          </cell>
          <cell r="AD368">
            <v>6</v>
          </cell>
          <cell r="AE368" t="str">
            <v>singleonly</v>
          </cell>
        </row>
        <row r="369">
          <cell r="A369" t="str">
            <v>13300_11</v>
          </cell>
          <cell r="B369">
            <v>3</v>
          </cell>
          <cell r="C369">
            <v>13300</v>
          </cell>
          <cell r="D369" t="str">
            <v>タワーオブザクイーン -アヴァルシア-</v>
          </cell>
          <cell r="E369" t="str">
            <v>タワーオブザクイーン1本目</v>
          </cell>
          <cell r="F369">
            <v>11</v>
          </cell>
          <cell r="G369" t="str">
            <v>ja</v>
          </cell>
          <cell r="H369" t="str">
            <v>11階 コスト30以下限定</v>
          </cell>
          <cell r="I369" t="str">
            <v>タワーオブザクイーン</v>
          </cell>
          <cell r="J369">
            <v>612</v>
          </cell>
          <cell r="K369">
            <v>37</v>
          </cell>
          <cell r="L369">
            <v>3700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character</v>
          </cell>
          <cell r="T369" t="str">
            <v>612,612,612,351</v>
          </cell>
          <cell r="U369">
            <v>13300</v>
          </cell>
          <cell r="V369">
            <v>10</v>
          </cell>
          <cell r="W369" t="str">
            <v>10階 ボナンザ 現る！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965</v>
          </cell>
          <cell r="AD369">
            <v>6</v>
          </cell>
          <cell r="AE369" t="str">
            <v>singleonly</v>
          </cell>
        </row>
        <row r="370">
          <cell r="A370" t="str">
            <v>13300_12</v>
          </cell>
          <cell r="B370">
            <v>3</v>
          </cell>
          <cell r="C370">
            <v>13300</v>
          </cell>
          <cell r="D370" t="str">
            <v>タワーオブザクイーン -アヴァルシア-</v>
          </cell>
          <cell r="E370" t="str">
            <v>タワーオブザクイーン1本目</v>
          </cell>
          <cell r="F370">
            <v>12</v>
          </cell>
          <cell r="G370" t="str">
            <v>ja</v>
          </cell>
          <cell r="H370" t="str">
            <v>12階 コスト30以下ヒューマン限定</v>
          </cell>
          <cell r="I370" t="str">
            <v>タワーオブザクイーン</v>
          </cell>
          <cell r="J370">
            <v>613</v>
          </cell>
          <cell r="K370">
            <v>38</v>
          </cell>
          <cell r="L370">
            <v>3990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character</v>
          </cell>
          <cell r="T370" t="str">
            <v>613,613,613,346</v>
          </cell>
          <cell r="U370">
            <v>13300</v>
          </cell>
          <cell r="V370">
            <v>11</v>
          </cell>
          <cell r="W370" t="str">
            <v>11階 コスト30以下限定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965</v>
          </cell>
          <cell r="AD370">
            <v>6</v>
          </cell>
          <cell r="AE370" t="str">
            <v>singleonly</v>
          </cell>
        </row>
        <row r="371">
          <cell r="A371" t="str">
            <v>13300_13</v>
          </cell>
          <cell r="B371">
            <v>3</v>
          </cell>
          <cell r="C371">
            <v>13300</v>
          </cell>
          <cell r="D371" t="str">
            <v>タワーオブザクイーン -アヴァルシア-</v>
          </cell>
          <cell r="E371" t="str">
            <v>タワーオブザクイーン1本目</v>
          </cell>
          <cell r="F371">
            <v>13</v>
          </cell>
          <cell r="G371" t="str">
            <v>ja</v>
          </cell>
          <cell r="H371" t="str">
            <v>13階 コスト制限なし</v>
          </cell>
          <cell r="I371" t="str">
            <v>タワーオブザクイーン</v>
          </cell>
          <cell r="J371">
            <v>611</v>
          </cell>
          <cell r="K371">
            <v>39</v>
          </cell>
          <cell r="L371">
            <v>4290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character</v>
          </cell>
          <cell r="T371" t="str">
            <v>611,611,611,338</v>
          </cell>
          <cell r="U371">
            <v>13300</v>
          </cell>
          <cell r="V371">
            <v>12</v>
          </cell>
          <cell r="W371" t="str">
            <v>12階 コスト30以下ヒューマン限定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965</v>
          </cell>
          <cell r="AD371">
            <v>6</v>
          </cell>
          <cell r="AE371" t="str">
            <v>singleonly</v>
          </cell>
        </row>
        <row r="372">
          <cell r="A372" t="str">
            <v>13300_14</v>
          </cell>
          <cell r="B372">
            <v>3</v>
          </cell>
          <cell r="C372">
            <v>13300</v>
          </cell>
          <cell r="D372" t="str">
            <v>タワーオブザクイーン -アヴァルシア-</v>
          </cell>
          <cell r="E372" t="str">
            <v>タワーオブザクイーン1本目</v>
          </cell>
          <cell r="F372">
            <v>14</v>
          </cell>
          <cell r="G372" t="str">
            <v>ja</v>
          </cell>
          <cell r="H372" t="str">
            <v>14階 コスト制限なし</v>
          </cell>
          <cell r="I372" t="str">
            <v>タワーオブザクイーン</v>
          </cell>
          <cell r="J372">
            <v>614</v>
          </cell>
          <cell r="K372">
            <v>40</v>
          </cell>
          <cell r="L372">
            <v>4600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character</v>
          </cell>
          <cell r="T372" t="str">
            <v>614,611,334,334</v>
          </cell>
          <cell r="U372">
            <v>13300</v>
          </cell>
          <cell r="V372">
            <v>13</v>
          </cell>
          <cell r="W372" t="str">
            <v>13階 コスト制限なし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965</v>
          </cell>
          <cell r="AD372">
            <v>6</v>
          </cell>
          <cell r="AE372" t="str">
            <v>singleonly</v>
          </cell>
        </row>
        <row r="373">
          <cell r="A373" t="str">
            <v>13300_15</v>
          </cell>
          <cell r="B373">
            <v>3</v>
          </cell>
          <cell r="C373">
            <v>13300</v>
          </cell>
          <cell r="D373" t="str">
            <v>タワーオブザクイーン -アヴァルシア-</v>
          </cell>
          <cell r="E373" t="str">
            <v>タワーオブザクイーン1本目</v>
          </cell>
          <cell r="F373">
            <v>15</v>
          </cell>
          <cell r="G373" t="str">
            <v>ja</v>
          </cell>
          <cell r="H373" t="str">
            <v>15階 アヴァルシアの女王 ボナンザ</v>
          </cell>
          <cell r="I373" t="str">
            <v>タワーオブザクイーン</v>
          </cell>
          <cell r="J373">
            <v>1115</v>
          </cell>
          <cell r="K373">
            <v>50</v>
          </cell>
          <cell r="L373">
            <v>6250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character</v>
          </cell>
          <cell r="T373" t="str">
            <v>1114</v>
          </cell>
          <cell r="U373">
            <v>13300</v>
          </cell>
          <cell r="V373">
            <v>14</v>
          </cell>
          <cell r="W373" t="str">
            <v>14階 コスト制限なし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965</v>
          </cell>
          <cell r="AD373">
            <v>6</v>
          </cell>
          <cell r="AE373" t="str">
            <v>singleonly</v>
          </cell>
        </row>
        <row r="374">
          <cell r="A374" t="str">
            <v>13301_1</v>
          </cell>
          <cell r="B374">
            <v>3</v>
          </cell>
          <cell r="C374">
            <v>13301</v>
          </cell>
          <cell r="D374" t="str">
            <v>タワーオブザクイーン -アヴァルシア-</v>
          </cell>
          <cell r="E374" t="str">
            <v>タワーオブザクイーン1本目</v>
          </cell>
          <cell r="F374">
            <v>1</v>
          </cell>
          <cell r="G374" t="str">
            <v>ja</v>
          </cell>
          <cell r="H374" t="str">
            <v>1階 コスト制限なし</v>
          </cell>
          <cell r="I374" t="str">
            <v>タワーオブザクイーン</v>
          </cell>
          <cell r="J374">
            <v>347</v>
          </cell>
          <cell r="K374">
            <v>15</v>
          </cell>
          <cell r="L374">
            <v>750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character</v>
          </cell>
          <cell r="T374" t="str">
            <v>347,837,347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965</v>
          </cell>
          <cell r="AD374">
            <v>6</v>
          </cell>
          <cell r="AE374" t="str">
            <v>singleonly</v>
          </cell>
        </row>
        <row r="375">
          <cell r="A375" t="str">
            <v>13301_2</v>
          </cell>
          <cell r="B375">
            <v>3</v>
          </cell>
          <cell r="C375">
            <v>13301</v>
          </cell>
          <cell r="D375" t="str">
            <v>タワーオブザクイーン -アヴァルシア-</v>
          </cell>
          <cell r="E375" t="str">
            <v>タワーオブザクイーン1本目</v>
          </cell>
          <cell r="F375">
            <v>2</v>
          </cell>
          <cell r="G375" t="str">
            <v>ja</v>
          </cell>
          <cell r="H375" t="str">
            <v>2階 コスト制限なし</v>
          </cell>
          <cell r="I375" t="str">
            <v>タワーオブザクイーン</v>
          </cell>
          <cell r="J375">
            <v>343</v>
          </cell>
          <cell r="K375">
            <v>18</v>
          </cell>
          <cell r="L375">
            <v>990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character</v>
          </cell>
          <cell r="T375" t="str">
            <v>343,343,343</v>
          </cell>
          <cell r="U375">
            <v>13301</v>
          </cell>
          <cell r="V375">
            <v>1</v>
          </cell>
          <cell r="W375" t="str">
            <v>1階 コスト制限なし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965</v>
          </cell>
          <cell r="AD375">
            <v>6</v>
          </cell>
          <cell r="AE375" t="str">
            <v>singleonly</v>
          </cell>
        </row>
        <row r="376">
          <cell r="A376" t="str">
            <v>13301_3</v>
          </cell>
          <cell r="B376">
            <v>3</v>
          </cell>
          <cell r="C376">
            <v>13301</v>
          </cell>
          <cell r="D376" t="str">
            <v>タワーオブザクイーン -アヴァルシア-</v>
          </cell>
          <cell r="E376" t="str">
            <v>タワーオブザクイーン1本目</v>
          </cell>
          <cell r="F376">
            <v>3</v>
          </cell>
          <cell r="G376" t="str">
            <v>ja</v>
          </cell>
          <cell r="H376" t="str">
            <v>3階 コスト制限なし</v>
          </cell>
          <cell r="I376" t="str">
            <v>タワーオブザクイーン</v>
          </cell>
          <cell r="J376">
            <v>335</v>
          </cell>
          <cell r="K376">
            <v>19</v>
          </cell>
          <cell r="L376">
            <v>1140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character</v>
          </cell>
          <cell r="T376" t="str">
            <v>335,335,335</v>
          </cell>
          <cell r="U376">
            <v>13301</v>
          </cell>
          <cell r="V376">
            <v>2</v>
          </cell>
          <cell r="W376" t="str">
            <v>2階 コスト制限なし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965</v>
          </cell>
          <cell r="AD376">
            <v>6</v>
          </cell>
          <cell r="AE376" t="str">
            <v>singleonly</v>
          </cell>
        </row>
        <row r="377">
          <cell r="A377" t="str">
            <v>13301_4</v>
          </cell>
          <cell r="B377">
            <v>3</v>
          </cell>
          <cell r="C377">
            <v>13301</v>
          </cell>
          <cell r="D377" t="str">
            <v>タワーオブザクイーン -アヴァルシア-</v>
          </cell>
          <cell r="E377" t="str">
            <v>タワーオブザクイーン1本目</v>
          </cell>
          <cell r="F377">
            <v>4</v>
          </cell>
          <cell r="G377" t="str">
            <v>ja</v>
          </cell>
          <cell r="H377" t="str">
            <v>4階 コスト制限なし</v>
          </cell>
          <cell r="I377" t="str">
            <v>タワーオブザクイーン</v>
          </cell>
          <cell r="J377">
            <v>339</v>
          </cell>
          <cell r="K377">
            <v>20</v>
          </cell>
          <cell r="L377">
            <v>1300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character</v>
          </cell>
          <cell r="T377" t="str">
            <v>339,339,339</v>
          </cell>
          <cell r="U377">
            <v>13301</v>
          </cell>
          <cell r="V377">
            <v>3</v>
          </cell>
          <cell r="W377" t="str">
            <v>3階 コスト制限なし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965</v>
          </cell>
          <cell r="AD377">
            <v>6</v>
          </cell>
          <cell r="AE377" t="str">
            <v>singleonly</v>
          </cell>
        </row>
        <row r="378">
          <cell r="A378" t="str">
            <v>13301_5</v>
          </cell>
          <cell r="B378">
            <v>3</v>
          </cell>
          <cell r="C378">
            <v>13301</v>
          </cell>
          <cell r="D378" t="str">
            <v>タワーオブザクイーン -アヴァルシア-</v>
          </cell>
          <cell r="E378" t="str">
            <v>タワーオブザクイーン1本目</v>
          </cell>
          <cell r="F378">
            <v>5</v>
          </cell>
          <cell r="G378" t="str">
            <v>ja</v>
          </cell>
          <cell r="H378" t="str">
            <v>5階 コスト30以下限定</v>
          </cell>
          <cell r="I378" t="str">
            <v>タワーオブザクイーン</v>
          </cell>
          <cell r="J378">
            <v>837</v>
          </cell>
          <cell r="K378">
            <v>24</v>
          </cell>
          <cell r="L378">
            <v>1680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character</v>
          </cell>
          <cell r="T378" t="str">
            <v>837,610,125</v>
          </cell>
          <cell r="U378">
            <v>13301</v>
          </cell>
          <cell r="V378">
            <v>4</v>
          </cell>
          <cell r="W378" t="str">
            <v>4階 コスト制限なし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965</v>
          </cell>
          <cell r="AD378">
            <v>6</v>
          </cell>
          <cell r="AE378" t="str">
            <v>singleonly</v>
          </cell>
        </row>
        <row r="379">
          <cell r="A379" t="str">
            <v>13301_6</v>
          </cell>
          <cell r="B379">
            <v>3</v>
          </cell>
          <cell r="C379">
            <v>13301</v>
          </cell>
          <cell r="D379" t="str">
            <v>タワーオブザクイーン -アヴァルシア-</v>
          </cell>
          <cell r="E379" t="str">
            <v>タワーオブザクイーン1本目</v>
          </cell>
          <cell r="F379">
            <v>6</v>
          </cell>
          <cell r="G379" t="str">
            <v>ja</v>
          </cell>
          <cell r="H379" t="str">
            <v>6階 コスト30以下ヒューマン限定</v>
          </cell>
          <cell r="I379" t="str">
            <v>タワーオブザクイーン</v>
          </cell>
          <cell r="J379">
            <v>612</v>
          </cell>
          <cell r="K379">
            <v>25</v>
          </cell>
          <cell r="L379">
            <v>1875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character</v>
          </cell>
          <cell r="T379" t="str">
            <v>612,612,355</v>
          </cell>
          <cell r="U379">
            <v>13301</v>
          </cell>
          <cell r="V379">
            <v>5</v>
          </cell>
          <cell r="W379" t="str">
            <v>5階 コスト30以下限定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965</v>
          </cell>
          <cell r="AD379">
            <v>6</v>
          </cell>
          <cell r="AE379" t="str">
            <v>singleonly</v>
          </cell>
        </row>
        <row r="380">
          <cell r="A380" t="str">
            <v>13301_7</v>
          </cell>
          <cell r="B380">
            <v>3</v>
          </cell>
          <cell r="C380">
            <v>13301</v>
          </cell>
          <cell r="D380" t="str">
            <v>タワーオブザクイーン -アヴァルシア-</v>
          </cell>
          <cell r="E380" t="str">
            <v>タワーオブザクイーン1本目</v>
          </cell>
          <cell r="F380">
            <v>7</v>
          </cell>
          <cell r="G380" t="str">
            <v>ja</v>
          </cell>
          <cell r="H380" t="str">
            <v>7階 コスト制限なし</v>
          </cell>
          <cell r="I380" t="str">
            <v>タワーオブザクイーン</v>
          </cell>
          <cell r="J380">
            <v>613</v>
          </cell>
          <cell r="K380">
            <v>28</v>
          </cell>
          <cell r="L380">
            <v>2240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character</v>
          </cell>
          <cell r="T380" t="str">
            <v>613,613,353</v>
          </cell>
          <cell r="U380">
            <v>13301</v>
          </cell>
          <cell r="V380">
            <v>6</v>
          </cell>
          <cell r="W380" t="str">
            <v>6階 コスト30以下ヒューマン限定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965</v>
          </cell>
          <cell r="AD380">
            <v>6</v>
          </cell>
          <cell r="AE380" t="str">
            <v>singleonly</v>
          </cell>
        </row>
        <row r="381">
          <cell r="A381" t="str">
            <v>13301_8</v>
          </cell>
          <cell r="B381">
            <v>3</v>
          </cell>
          <cell r="C381">
            <v>13301</v>
          </cell>
          <cell r="D381" t="str">
            <v>タワーオブザクイーン -アヴァルシア-</v>
          </cell>
          <cell r="E381" t="str">
            <v>タワーオブザクイーン1本目</v>
          </cell>
          <cell r="F381">
            <v>8</v>
          </cell>
          <cell r="G381" t="str">
            <v>ja</v>
          </cell>
          <cell r="H381" t="str">
            <v>8階 コスト28以下限定</v>
          </cell>
          <cell r="I381" t="str">
            <v>タワーオブザクイーン</v>
          </cell>
          <cell r="J381">
            <v>611</v>
          </cell>
          <cell r="K381">
            <v>30</v>
          </cell>
          <cell r="L381">
            <v>2550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character</v>
          </cell>
          <cell r="T381" t="str">
            <v>611,611,349</v>
          </cell>
          <cell r="U381">
            <v>13301</v>
          </cell>
          <cell r="V381">
            <v>7</v>
          </cell>
          <cell r="W381" t="str">
            <v>7階 コスト制限なし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965</v>
          </cell>
          <cell r="AD381">
            <v>6</v>
          </cell>
          <cell r="AE381" t="str">
            <v>singleonly</v>
          </cell>
        </row>
        <row r="382">
          <cell r="A382" t="str">
            <v>13301_9</v>
          </cell>
          <cell r="B382">
            <v>3</v>
          </cell>
          <cell r="C382">
            <v>13301</v>
          </cell>
          <cell r="D382" t="str">
            <v>タワーオブザクイーン -アヴァルシア-</v>
          </cell>
          <cell r="E382" t="str">
            <v>タワーオブザクイーン1本目</v>
          </cell>
          <cell r="F382">
            <v>9</v>
          </cell>
          <cell r="G382" t="str">
            <v>ja</v>
          </cell>
          <cell r="H382" t="str">
            <v>9階 コスト28以下ヒューマン限定</v>
          </cell>
          <cell r="I382" t="str">
            <v>タワーオブザクイーン</v>
          </cell>
          <cell r="J382">
            <v>837</v>
          </cell>
          <cell r="K382">
            <v>31</v>
          </cell>
          <cell r="L382">
            <v>2790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character</v>
          </cell>
          <cell r="T382" t="str">
            <v>837,610,125</v>
          </cell>
          <cell r="U382">
            <v>13301</v>
          </cell>
          <cell r="V382">
            <v>8</v>
          </cell>
          <cell r="W382" t="str">
            <v>8階 コスト28以下限定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965</v>
          </cell>
          <cell r="AD382">
            <v>6</v>
          </cell>
          <cell r="AE382" t="str">
            <v>singleonly</v>
          </cell>
        </row>
        <row r="383">
          <cell r="A383" t="str">
            <v>13301_10</v>
          </cell>
          <cell r="B383">
            <v>3</v>
          </cell>
          <cell r="C383">
            <v>13301</v>
          </cell>
          <cell r="D383" t="str">
            <v>タワーオブザクイーン -アヴァルシア-</v>
          </cell>
          <cell r="E383" t="str">
            <v>タワーオブザクイーン1本目</v>
          </cell>
          <cell r="F383">
            <v>10</v>
          </cell>
          <cell r="G383" t="str">
            <v>ja</v>
          </cell>
          <cell r="H383" t="str">
            <v>10階 ボナンザ 現る！</v>
          </cell>
          <cell r="I383" t="str">
            <v>タワーオブザクイーン</v>
          </cell>
          <cell r="J383">
            <v>0</v>
          </cell>
          <cell r="K383">
            <v>35</v>
          </cell>
          <cell r="L383">
            <v>3325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polygon</v>
          </cell>
          <cell r="T383" t="str">
            <v>2</v>
          </cell>
          <cell r="U383">
            <v>13301</v>
          </cell>
          <cell r="V383">
            <v>9</v>
          </cell>
          <cell r="W383" t="str">
            <v>9階 コスト28以下ヒューマン限定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965</v>
          </cell>
          <cell r="AD383">
            <v>6</v>
          </cell>
          <cell r="AE383" t="str">
            <v>singleonly</v>
          </cell>
        </row>
        <row r="384">
          <cell r="A384" t="str">
            <v>13301_11</v>
          </cell>
          <cell r="B384">
            <v>3</v>
          </cell>
          <cell r="C384">
            <v>13301</v>
          </cell>
          <cell r="D384" t="str">
            <v>タワーオブザクイーン -アヴァルシア-</v>
          </cell>
          <cell r="E384" t="str">
            <v>タワーオブザクイーン1本目</v>
          </cell>
          <cell r="F384">
            <v>11</v>
          </cell>
          <cell r="G384" t="str">
            <v>ja</v>
          </cell>
          <cell r="H384" t="str">
            <v>11階 コスト30以下限定</v>
          </cell>
          <cell r="I384" t="str">
            <v>タワーオブザクイーン</v>
          </cell>
          <cell r="J384">
            <v>612</v>
          </cell>
          <cell r="K384">
            <v>37</v>
          </cell>
          <cell r="L384">
            <v>3700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 t="str">
            <v>612,612,612</v>
          </cell>
          <cell r="U384">
            <v>13301</v>
          </cell>
          <cell r="V384">
            <v>10</v>
          </cell>
          <cell r="W384" t="str">
            <v>10階 ボナンザ 現る！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965</v>
          </cell>
          <cell r="AD384">
            <v>6</v>
          </cell>
          <cell r="AE384" t="str">
            <v>singleonly</v>
          </cell>
        </row>
        <row r="385">
          <cell r="A385" t="str">
            <v>13301_12</v>
          </cell>
          <cell r="B385">
            <v>3</v>
          </cell>
          <cell r="C385">
            <v>13301</v>
          </cell>
          <cell r="D385" t="str">
            <v>タワーオブザクイーン -アヴァルシア-</v>
          </cell>
          <cell r="E385" t="str">
            <v>タワーオブザクイーン1本目</v>
          </cell>
          <cell r="F385">
            <v>12</v>
          </cell>
          <cell r="G385" t="str">
            <v>ja</v>
          </cell>
          <cell r="H385" t="str">
            <v>12階 コスト30以下ヒューマン限定</v>
          </cell>
          <cell r="I385" t="str">
            <v>タワーオブザクイーン</v>
          </cell>
          <cell r="J385">
            <v>613</v>
          </cell>
          <cell r="K385">
            <v>38</v>
          </cell>
          <cell r="L385">
            <v>3990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character</v>
          </cell>
          <cell r="T385" t="str">
            <v>613,613,613</v>
          </cell>
          <cell r="U385">
            <v>13301</v>
          </cell>
          <cell r="V385">
            <v>11</v>
          </cell>
          <cell r="W385" t="str">
            <v>11階 コスト30以下限定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965</v>
          </cell>
          <cell r="AD385">
            <v>6</v>
          </cell>
          <cell r="AE385" t="str">
            <v>singleonly</v>
          </cell>
        </row>
        <row r="386">
          <cell r="A386" t="str">
            <v>13301_13</v>
          </cell>
          <cell r="B386">
            <v>3</v>
          </cell>
          <cell r="C386">
            <v>13301</v>
          </cell>
          <cell r="D386" t="str">
            <v>タワーオブザクイーン -アヴァルシア-</v>
          </cell>
          <cell r="E386" t="str">
            <v>タワーオブザクイーン1本目</v>
          </cell>
          <cell r="F386">
            <v>13</v>
          </cell>
          <cell r="G386" t="str">
            <v>ja</v>
          </cell>
          <cell r="H386" t="str">
            <v>13階 コスト制限なし</v>
          </cell>
          <cell r="I386" t="str">
            <v>タワーオブザクイーン</v>
          </cell>
          <cell r="J386">
            <v>611</v>
          </cell>
          <cell r="K386">
            <v>39</v>
          </cell>
          <cell r="L386">
            <v>4290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character</v>
          </cell>
          <cell r="T386" t="str">
            <v>611,611,611</v>
          </cell>
          <cell r="U386">
            <v>13301</v>
          </cell>
          <cell r="V386">
            <v>12</v>
          </cell>
          <cell r="W386" t="str">
            <v>12階 コスト30以下ヒューマン限定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965</v>
          </cell>
          <cell r="AD386">
            <v>6</v>
          </cell>
          <cell r="AE386" t="str">
            <v>singleonly</v>
          </cell>
        </row>
        <row r="387">
          <cell r="A387" t="str">
            <v>13301_14</v>
          </cell>
          <cell r="B387">
            <v>3</v>
          </cell>
          <cell r="C387">
            <v>13301</v>
          </cell>
          <cell r="D387" t="str">
            <v>タワーオブザクイーン -アヴァルシア-</v>
          </cell>
          <cell r="E387" t="str">
            <v>タワーオブザクイーン1本目</v>
          </cell>
          <cell r="F387">
            <v>14</v>
          </cell>
          <cell r="G387" t="str">
            <v>ja</v>
          </cell>
          <cell r="H387" t="str">
            <v>14階 コスト制限なし</v>
          </cell>
          <cell r="I387" t="str">
            <v>タワーオブザクイーン</v>
          </cell>
          <cell r="J387">
            <v>614</v>
          </cell>
          <cell r="K387">
            <v>40</v>
          </cell>
          <cell r="L387">
            <v>4600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character</v>
          </cell>
          <cell r="T387" t="str">
            <v>614,611,351</v>
          </cell>
          <cell r="U387">
            <v>13301</v>
          </cell>
          <cell r="V387">
            <v>13</v>
          </cell>
          <cell r="W387" t="str">
            <v>13階 コスト制限なし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965</v>
          </cell>
          <cell r="AD387">
            <v>6</v>
          </cell>
          <cell r="AE387" t="str">
            <v>singleonly</v>
          </cell>
        </row>
        <row r="388">
          <cell r="A388" t="str">
            <v>13301_15</v>
          </cell>
          <cell r="B388">
            <v>3</v>
          </cell>
          <cell r="C388">
            <v>13301</v>
          </cell>
          <cell r="D388" t="str">
            <v>タワーオブザクイーン -アヴァルシア-</v>
          </cell>
          <cell r="E388" t="str">
            <v>タワーオブザクイーン1本目</v>
          </cell>
          <cell r="F388">
            <v>15</v>
          </cell>
          <cell r="G388" t="str">
            <v>ja</v>
          </cell>
          <cell r="H388" t="str">
            <v>15階 アヴァルシアの女王 ボナンザ</v>
          </cell>
          <cell r="I388" t="str">
            <v>タワーオブザクイーン</v>
          </cell>
          <cell r="J388">
            <v>1115</v>
          </cell>
          <cell r="K388">
            <v>50</v>
          </cell>
          <cell r="L388">
            <v>6250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character</v>
          </cell>
          <cell r="T388" t="str">
            <v>1114</v>
          </cell>
          <cell r="U388">
            <v>13301</v>
          </cell>
          <cell r="V388">
            <v>14</v>
          </cell>
          <cell r="W388" t="str">
            <v>14階 コスト制限なし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965</v>
          </cell>
          <cell r="AD388">
            <v>6</v>
          </cell>
          <cell r="AE388" t="str">
            <v>singleonly</v>
          </cell>
        </row>
        <row r="389">
          <cell r="A389" t="str">
            <v>13302_1</v>
          </cell>
          <cell r="B389">
            <v>3</v>
          </cell>
          <cell r="C389">
            <v>13302</v>
          </cell>
          <cell r="D389" t="str">
            <v>タワーオブザクイーン -アヴァルシア-</v>
          </cell>
          <cell r="E389" t="str">
            <v>タワーオブザクイーン1本目</v>
          </cell>
          <cell r="F389">
            <v>1</v>
          </cell>
          <cell r="G389" t="str">
            <v>ja</v>
          </cell>
          <cell r="H389" t="str">
            <v>1階 コスト制限なし</v>
          </cell>
          <cell r="I389" t="str">
            <v>タワーオブザクイーン</v>
          </cell>
          <cell r="J389">
            <v>347</v>
          </cell>
          <cell r="K389">
            <v>10</v>
          </cell>
          <cell r="L389">
            <v>600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character</v>
          </cell>
          <cell r="T389" t="str">
            <v>347,837,347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965</v>
          </cell>
          <cell r="AD389">
            <v>6</v>
          </cell>
          <cell r="AE389" t="str">
            <v>singleonly</v>
          </cell>
        </row>
        <row r="390">
          <cell r="A390" t="str">
            <v>13302_2</v>
          </cell>
          <cell r="B390">
            <v>3</v>
          </cell>
          <cell r="C390">
            <v>13302</v>
          </cell>
          <cell r="D390" t="str">
            <v>タワーオブザクイーン -アヴァルシア-</v>
          </cell>
          <cell r="E390" t="str">
            <v>タワーオブザクイーン1本目</v>
          </cell>
          <cell r="F390">
            <v>2</v>
          </cell>
          <cell r="G390" t="str">
            <v>ja</v>
          </cell>
          <cell r="H390" t="str">
            <v>2階 コスト制限なし</v>
          </cell>
          <cell r="I390" t="str">
            <v>タワーオブザクイーン</v>
          </cell>
          <cell r="J390">
            <v>343</v>
          </cell>
          <cell r="K390">
            <v>11</v>
          </cell>
          <cell r="L390">
            <v>860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character</v>
          </cell>
          <cell r="T390" t="str">
            <v>343,343,125</v>
          </cell>
          <cell r="U390">
            <v>13302</v>
          </cell>
          <cell r="V390">
            <v>1</v>
          </cell>
          <cell r="W390" t="str">
            <v>1階 コスト制限なし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965</v>
          </cell>
          <cell r="AD390">
            <v>6</v>
          </cell>
          <cell r="AE390" t="str">
            <v>singleonly</v>
          </cell>
        </row>
        <row r="391">
          <cell r="A391" t="str">
            <v>13302_3</v>
          </cell>
          <cell r="B391">
            <v>3</v>
          </cell>
          <cell r="C391">
            <v>13302</v>
          </cell>
          <cell r="D391" t="str">
            <v>タワーオブザクイーン -アヴァルシア-</v>
          </cell>
          <cell r="E391" t="str">
            <v>タワーオブザクイーン1本目</v>
          </cell>
          <cell r="F391">
            <v>3</v>
          </cell>
          <cell r="G391" t="str">
            <v>ja</v>
          </cell>
          <cell r="H391" t="str">
            <v>3階 コスト制限なし</v>
          </cell>
          <cell r="I391" t="str">
            <v>タワーオブザクイーン</v>
          </cell>
          <cell r="J391">
            <v>335</v>
          </cell>
          <cell r="K391">
            <v>12</v>
          </cell>
          <cell r="L391">
            <v>1140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character</v>
          </cell>
          <cell r="T391" t="str">
            <v>335,335,125</v>
          </cell>
          <cell r="U391">
            <v>13302</v>
          </cell>
          <cell r="V391">
            <v>2</v>
          </cell>
          <cell r="W391" t="str">
            <v>2階 コスト制限なし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965</v>
          </cell>
          <cell r="AD391">
            <v>6</v>
          </cell>
          <cell r="AE391" t="str">
            <v>singleonly</v>
          </cell>
        </row>
        <row r="392">
          <cell r="A392" t="str">
            <v>13302_4</v>
          </cell>
          <cell r="B392">
            <v>3</v>
          </cell>
          <cell r="C392">
            <v>13302</v>
          </cell>
          <cell r="D392" t="str">
            <v>タワーオブザクイーン -アヴァルシア-</v>
          </cell>
          <cell r="E392" t="str">
            <v>タワーオブザクイーン1本目</v>
          </cell>
          <cell r="F392">
            <v>4</v>
          </cell>
          <cell r="G392" t="str">
            <v>ja</v>
          </cell>
          <cell r="H392" t="str">
            <v>4階 コスト制限なし</v>
          </cell>
          <cell r="I392" t="str">
            <v>タワーオブザクイーン</v>
          </cell>
          <cell r="J392">
            <v>339</v>
          </cell>
          <cell r="K392">
            <v>13</v>
          </cell>
          <cell r="L392">
            <v>1440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character</v>
          </cell>
          <cell r="T392" t="str">
            <v>339,339,125</v>
          </cell>
          <cell r="U392">
            <v>13302</v>
          </cell>
          <cell r="V392">
            <v>3</v>
          </cell>
          <cell r="W392" t="str">
            <v>3階 コスト制限なし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965</v>
          </cell>
          <cell r="AD392">
            <v>6</v>
          </cell>
          <cell r="AE392" t="str">
            <v>singleonly</v>
          </cell>
        </row>
        <row r="393">
          <cell r="A393" t="str">
            <v>13302_5</v>
          </cell>
          <cell r="B393">
            <v>3</v>
          </cell>
          <cell r="C393">
            <v>13302</v>
          </cell>
          <cell r="D393" t="str">
            <v>タワーオブザクイーン -アヴァルシア-</v>
          </cell>
          <cell r="E393" t="str">
            <v>タワーオブザクイーン1本目</v>
          </cell>
          <cell r="F393">
            <v>5</v>
          </cell>
          <cell r="G393" t="str">
            <v>ja</v>
          </cell>
          <cell r="H393" t="str">
            <v>5階 コスト30以下限定</v>
          </cell>
          <cell r="I393" t="str">
            <v>タワーオブザクイーン</v>
          </cell>
          <cell r="J393">
            <v>837</v>
          </cell>
          <cell r="K393">
            <v>14</v>
          </cell>
          <cell r="L393">
            <v>1760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character</v>
          </cell>
          <cell r="T393" t="str">
            <v>837,610,610</v>
          </cell>
          <cell r="U393">
            <v>13302</v>
          </cell>
          <cell r="V393">
            <v>4</v>
          </cell>
          <cell r="W393" t="str">
            <v>4階 コスト制限なし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965</v>
          </cell>
          <cell r="AD393">
            <v>6</v>
          </cell>
          <cell r="AE393" t="str">
            <v>singleonly</v>
          </cell>
        </row>
        <row r="394">
          <cell r="A394" t="str">
            <v>13302_6</v>
          </cell>
          <cell r="B394">
            <v>3</v>
          </cell>
          <cell r="C394">
            <v>13302</v>
          </cell>
          <cell r="D394" t="str">
            <v>タワーオブザクイーン -アヴァルシア-</v>
          </cell>
          <cell r="E394" t="str">
            <v>タワーオブザクイーン1本目</v>
          </cell>
          <cell r="F394">
            <v>6</v>
          </cell>
          <cell r="G394" t="str">
            <v>ja</v>
          </cell>
          <cell r="H394" t="str">
            <v>6階 コスト30以下ヒューマン限定</v>
          </cell>
          <cell r="I394" t="str">
            <v>タワーオブザクイーン</v>
          </cell>
          <cell r="J394">
            <v>612</v>
          </cell>
          <cell r="K394">
            <v>15</v>
          </cell>
          <cell r="L394">
            <v>2100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character</v>
          </cell>
          <cell r="T394" t="str">
            <v>612,612,355</v>
          </cell>
          <cell r="U394">
            <v>13302</v>
          </cell>
          <cell r="V394">
            <v>5</v>
          </cell>
          <cell r="W394" t="str">
            <v>5階 コスト30以下限定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965</v>
          </cell>
          <cell r="AD394">
            <v>6</v>
          </cell>
          <cell r="AE394" t="str">
            <v>singleonly</v>
          </cell>
        </row>
        <row r="395">
          <cell r="A395" t="str">
            <v>13302_7</v>
          </cell>
          <cell r="B395">
            <v>3</v>
          </cell>
          <cell r="C395">
            <v>13302</v>
          </cell>
          <cell r="D395" t="str">
            <v>タワーオブザクイーン -アヴァルシア-</v>
          </cell>
          <cell r="E395" t="str">
            <v>タワーオブザクイーン1本目</v>
          </cell>
          <cell r="F395">
            <v>7</v>
          </cell>
          <cell r="G395" t="str">
            <v>ja</v>
          </cell>
          <cell r="H395" t="str">
            <v>7階 コスト制限なし</v>
          </cell>
          <cell r="I395" t="str">
            <v>タワーオブザクイーン</v>
          </cell>
          <cell r="J395">
            <v>613</v>
          </cell>
          <cell r="K395">
            <v>16</v>
          </cell>
          <cell r="L395">
            <v>2460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character</v>
          </cell>
          <cell r="T395" t="str">
            <v>613,613,353</v>
          </cell>
          <cell r="U395">
            <v>13302</v>
          </cell>
          <cell r="V395">
            <v>6</v>
          </cell>
          <cell r="W395" t="str">
            <v>6階 コスト30以下ヒューマン限定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965</v>
          </cell>
          <cell r="AD395">
            <v>6</v>
          </cell>
          <cell r="AE395" t="str">
            <v>singleonly</v>
          </cell>
        </row>
        <row r="396">
          <cell r="A396" t="str">
            <v>13302_8</v>
          </cell>
          <cell r="B396">
            <v>3</v>
          </cell>
          <cell r="C396">
            <v>13302</v>
          </cell>
          <cell r="D396" t="str">
            <v>タワーオブザクイーン -アヴァルシア-</v>
          </cell>
          <cell r="E396" t="str">
            <v>タワーオブザクイーン1本目</v>
          </cell>
          <cell r="F396">
            <v>8</v>
          </cell>
          <cell r="G396" t="str">
            <v>ja</v>
          </cell>
          <cell r="H396" t="str">
            <v>8階 コスト28以下限定</v>
          </cell>
          <cell r="I396" t="str">
            <v>タワーオブザクイーン</v>
          </cell>
          <cell r="J396">
            <v>611</v>
          </cell>
          <cell r="K396">
            <v>17</v>
          </cell>
          <cell r="L396">
            <v>2840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character</v>
          </cell>
          <cell r="T396" t="str">
            <v>611,611,349</v>
          </cell>
          <cell r="U396">
            <v>13302</v>
          </cell>
          <cell r="V396">
            <v>7</v>
          </cell>
          <cell r="W396" t="str">
            <v>7階 コスト制限なし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965</v>
          </cell>
          <cell r="AD396">
            <v>6</v>
          </cell>
          <cell r="AE396" t="str">
            <v>singleonly</v>
          </cell>
        </row>
        <row r="397">
          <cell r="A397" t="str">
            <v>13302_9</v>
          </cell>
          <cell r="B397">
            <v>3</v>
          </cell>
          <cell r="C397">
            <v>13302</v>
          </cell>
          <cell r="D397" t="str">
            <v>タワーオブザクイーン -アヴァルシア-</v>
          </cell>
          <cell r="E397" t="str">
            <v>タワーオブザクイーン1本目</v>
          </cell>
          <cell r="F397">
            <v>9</v>
          </cell>
          <cell r="G397" t="str">
            <v>ja</v>
          </cell>
          <cell r="H397" t="str">
            <v>9階 コスト28以下ヒューマン限定</v>
          </cell>
          <cell r="I397" t="str">
            <v>タワーオブザクイーン</v>
          </cell>
          <cell r="J397">
            <v>837</v>
          </cell>
          <cell r="K397">
            <v>18</v>
          </cell>
          <cell r="L397">
            <v>3240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character</v>
          </cell>
          <cell r="T397" t="str">
            <v>837,614,351</v>
          </cell>
          <cell r="U397">
            <v>13302</v>
          </cell>
          <cell r="V397">
            <v>8</v>
          </cell>
          <cell r="W397" t="str">
            <v>8階 コスト28以下限定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965</v>
          </cell>
          <cell r="AD397">
            <v>6</v>
          </cell>
          <cell r="AE397" t="str">
            <v>singleonly</v>
          </cell>
        </row>
        <row r="398">
          <cell r="A398" t="str">
            <v>13302_10</v>
          </cell>
          <cell r="B398">
            <v>3</v>
          </cell>
          <cell r="C398">
            <v>13302</v>
          </cell>
          <cell r="D398" t="str">
            <v>タワーオブザクイーン -アヴァルシア-</v>
          </cell>
          <cell r="E398" t="str">
            <v>タワーオブザクイーン1本目</v>
          </cell>
          <cell r="F398">
            <v>10</v>
          </cell>
          <cell r="G398" t="str">
            <v>ja</v>
          </cell>
          <cell r="H398" t="str">
            <v>10階 ボナンザ 現る！</v>
          </cell>
          <cell r="I398" t="str">
            <v>タワーオブザクイーン</v>
          </cell>
          <cell r="J398">
            <v>0</v>
          </cell>
          <cell r="K398">
            <v>19</v>
          </cell>
          <cell r="L398">
            <v>3660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polygon</v>
          </cell>
          <cell r="T398" t="str">
            <v>7</v>
          </cell>
          <cell r="U398">
            <v>13302</v>
          </cell>
          <cell r="V398">
            <v>9</v>
          </cell>
          <cell r="W398" t="str">
            <v>9階 コスト28以下ヒューマン限定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965</v>
          </cell>
          <cell r="AD398">
            <v>6</v>
          </cell>
          <cell r="AE398" t="str">
            <v>singleonly</v>
          </cell>
        </row>
        <row r="399">
          <cell r="A399" t="str">
            <v>13302_11</v>
          </cell>
          <cell r="B399">
            <v>3</v>
          </cell>
          <cell r="C399">
            <v>13302</v>
          </cell>
          <cell r="D399" t="str">
            <v>タワーオブザクイーン -アヴァルシア-</v>
          </cell>
          <cell r="E399" t="str">
            <v>タワーオブザクイーン1本目</v>
          </cell>
          <cell r="F399">
            <v>11</v>
          </cell>
          <cell r="G399" t="str">
            <v>ja</v>
          </cell>
          <cell r="H399" t="str">
            <v>11階 コスト30以下限定</v>
          </cell>
          <cell r="I399" t="str">
            <v>タワーオブザクイーン</v>
          </cell>
          <cell r="J399">
            <v>612</v>
          </cell>
          <cell r="K399">
            <v>20</v>
          </cell>
          <cell r="L399">
            <v>4100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character</v>
          </cell>
          <cell r="T399" t="str">
            <v>612,612,612</v>
          </cell>
          <cell r="U399">
            <v>13302</v>
          </cell>
          <cell r="V399">
            <v>10</v>
          </cell>
          <cell r="W399" t="str">
            <v>10階 ボナンザ 現る！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965</v>
          </cell>
          <cell r="AD399">
            <v>6</v>
          </cell>
          <cell r="AE399" t="str">
            <v>singleonly</v>
          </cell>
        </row>
        <row r="400">
          <cell r="A400" t="str">
            <v>13302_12</v>
          </cell>
          <cell r="B400">
            <v>3</v>
          </cell>
          <cell r="C400">
            <v>13302</v>
          </cell>
          <cell r="D400" t="str">
            <v>タワーオブザクイーン -アヴァルシア-</v>
          </cell>
          <cell r="E400" t="str">
            <v>タワーオブザクイーン1本目</v>
          </cell>
          <cell r="F400">
            <v>12</v>
          </cell>
          <cell r="G400" t="str">
            <v>ja</v>
          </cell>
          <cell r="H400" t="str">
            <v>12階 コスト30以下ヒューマン限定</v>
          </cell>
          <cell r="I400" t="str">
            <v>タワーオブザクイーン</v>
          </cell>
          <cell r="J400">
            <v>613</v>
          </cell>
          <cell r="K400">
            <v>21</v>
          </cell>
          <cell r="L400">
            <v>4560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character</v>
          </cell>
          <cell r="T400" t="str">
            <v>613,613,613</v>
          </cell>
          <cell r="U400">
            <v>13302</v>
          </cell>
          <cell r="V400">
            <v>11</v>
          </cell>
          <cell r="W400" t="str">
            <v>11階 コスト30以下限定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965</v>
          </cell>
          <cell r="AD400">
            <v>6</v>
          </cell>
          <cell r="AE400" t="str">
            <v>singleonly</v>
          </cell>
        </row>
        <row r="401">
          <cell r="A401" t="str">
            <v>13302_13</v>
          </cell>
          <cell r="B401">
            <v>3</v>
          </cell>
          <cell r="C401">
            <v>13302</v>
          </cell>
          <cell r="D401" t="str">
            <v>タワーオブザクイーン -アヴァルシア-</v>
          </cell>
          <cell r="E401" t="str">
            <v>タワーオブザクイーン1本目</v>
          </cell>
          <cell r="F401">
            <v>13</v>
          </cell>
          <cell r="G401" t="str">
            <v>ja</v>
          </cell>
          <cell r="H401" t="str">
            <v>13階 コスト制限なし</v>
          </cell>
          <cell r="I401" t="str">
            <v>タワーオブザクイーン</v>
          </cell>
          <cell r="J401">
            <v>611</v>
          </cell>
          <cell r="K401">
            <v>22</v>
          </cell>
          <cell r="L401">
            <v>5040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character</v>
          </cell>
          <cell r="T401" t="str">
            <v>611,611,611</v>
          </cell>
          <cell r="U401">
            <v>13302</v>
          </cell>
          <cell r="V401">
            <v>12</v>
          </cell>
          <cell r="W401" t="str">
            <v>12階 コスト30以下ヒューマン限定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965</v>
          </cell>
          <cell r="AD401">
            <v>6</v>
          </cell>
          <cell r="AE401" t="str">
            <v>singleonly</v>
          </cell>
        </row>
        <row r="402">
          <cell r="A402" t="str">
            <v>13302_14</v>
          </cell>
          <cell r="B402">
            <v>3</v>
          </cell>
          <cell r="C402">
            <v>13302</v>
          </cell>
          <cell r="D402" t="str">
            <v>タワーオブザクイーン -アヴァルシア-</v>
          </cell>
          <cell r="E402" t="str">
            <v>タワーオブザクイーン1本目</v>
          </cell>
          <cell r="F402">
            <v>14</v>
          </cell>
          <cell r="G402" t="str">
            <v>ja</v>
          </cell>
          <cell r="H402" t="str">
            <v>14階 コスト制限なし</v>
          </cell>
          <cell r="I402" t="str">
            <v>タワーオブザクイーン</v>
          </cell>
          <cell r="J402">
            <v>614</v>
          </cell>
          <cell r="K402">
            <v>23</v>
          </cell>
          <cell r="L402">
            <v>5540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character</v>
          </cell>
          <cell r="T402" t="str">
            <v>614,614</v>
          </cell>
          <cell r="U402">
            <v>13302</v>
          </cell>
          <cell r="V402">
            <v>13</v>
          </cell>
          <cell r="W402" t="str">
            <v>13階 コスト制限なし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965</v>
          </cell>
          <cell r="AD402">
            <v>6</v>
          </cell>
          <cell r="AE402" t="str">
            <v>singleonly</v>
          </cell>
        </row>
        <row r="403">
          <cell r="A403" t="str">
            <v>13302_15</v>
          </cell>
          <cell r="B403">
            <v>3</v>
          </cell>
          <cell r="C403">
            <v>13302</v>
          </cell>
          <cell r="D403" t="str">
            <v>タワーオブザクイーン -アヴァルシア-</v>
          </cell>
          <cell r="E403" t="str">
            <v>タワーオブザクイーン1本目</v>
          </cell>
          <cell r="F403">
            <v>15</v>
          </cell>
          <cell r="G403" t="str">
            <v>ja</v>
          </cell>
          <cell r="H403" t="str">
            <v>15階 アヴァルシアの女王 ボナンザ</v>
          </cell>
          <cell r="I403" t="str">
            <v>タワーオブザクイーン</v>
          </cell>
          <cell r="J403">
            <v>1115</v>
          </cell>
          <cell r="K403">
            <v>50</v>
          </cell>
          <cell r="L403">
            <v>10000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character</v>
          </cell>
          <cell r="T403" t="str">
            <v>1114</v>
          </cell>
          <cell r="U403">
            <v>13302</v>
          </cell>
          <cell r="V403">
            <v>14</v>
          </cell>
          <cell r="W403" t="str">
            <v>14階 コスト制限なし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965</v>
          </cell>
          <cell r="AD403">
            <v>6</v>
          </cell>
          <cell r="AE403" t="str">
            <v>singleonly</v>
          </cell>
        </row>
        <row r="404">
          <cell r="A404" t="str">
            <v>13400_1</v>
          </cell>
          <cell r="B404">
            <v>1</v>
          </cell>
          <cell r="C404">
            <v>13400</v>
          </cell>
          <cell r="D404" t="str">
            <v>タワーオブザクイーン -セカンド（仮）-</v>
          </cell>
          <cell r="E404" t="str">
            <v>タワーオブザクイーン2本目</v>
          </cell>
          <cell r="F404">
            <v>1</v>
          </cell>
          <cell r="G404" t="str">
            <v>ja</v>
          </cell>
          <cell r="H404" t="str">
            <v>1階 コスト制限なし</v>
          </cell>
          <cell r="I404" t="str">
            <v>タワーオブザクイーン</v>
          </cell>
          <cell r="J404">
            <v>347</v>
          </cell>
          <cell r="K404">
            <v>10</v>
          </cell>
          <cell r="L404">
            <v>600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character</v>
          </cell>
          <cell r="T404" t="str">
            <v>347,837,347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976</v>
          </cell>
          <cell r="AD404">
            <v>6</v>
          </cell>
          <cell r="AE404" t="str">
            <v>singleonly</v>
          </cell>
        </row>
        <row r="405">
          <cell r="A405" t="str">
            <v>13400_2</v>
          </cell>
          <cell r="B405">
            <v>1</v>
          </cell>
          <cell r="C405">
            <v>13400</v>
          </cell>
          <cell r="D405" t="str">
            <v>タワーオブザクイーン -セカンド（仮）-</v>
          </cell>
          <cell r="E405" t="str">
            <v>タワーオブザクイーン2本目</v>
          </cell>
          <cell r="F405">
            <v>2</v>
          </cell>
          <cell r="G405" t="str">
            <v>ja</v>
          </cell>
          <cell r="H405" t="str">
            <v>2階 コスト制限なし</v>
          </cell>
          <cell r="I405" t="str">
            <v>タワーオブザクイーン</v>
          </cell>
          <cell r="J405">
            <v>343</v>
          </cell>
          <cell r="K405">
            <v>11</v>
          </cell>
          <cell r="L405">
            <v>860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character</v>
          </cell>
          <cell r="T405" t="str">
            <v>343,343,125</v>
          </cell>
          <cell r="U405">
            <v>13400</v>
          </cell>
          <cell r="V405">
            <v>1</v>
          </cell>
          <cell r="W405" t="str">
            <v>1階 コスト制限なし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976</v>
          </cell>
          <cell r="AD405">
            <v>6</v>
          </cell>
          <cell r="AE405" t="str">
            <v>singleonly</v>
          </cell>
        </row>
        <row r="406">
          <cell r="A406" t="str">
            <v>13400_3</v>
          </cell>
          <cell r="B406">
            <v>1</v>
          </cell>
          <cell r="C406">
            <v>13400</v>
          </cell>
          <cell r="D406" t="str">
            <v>タワーオブザクイーン -セカンド（仮）-</v>
          </cell>
          <cell r="E406" t="str">
            <v>タワーオブザクイーン2本目</v>
          </cell>
          <cell r="F406">
            <v>3</v>
          </cell>
          <cell r="G406" t="str">
            <v>ja</v>
          </cell>
          <cell r="H406" t="str">
            <v>3階 コスト制限なし</v>
          </cell>
          <cell r="I406" t="str">
            <v>タワーオブザクイーン</v>
          </cell>
          <cell r="J406">
            <v>335</v>
          </cell>
          <cell r="K406">
            <v>12</v>
          </cell>
          <cell r="L406">
            <v>1140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character</v>
          </cell>
          <cell r="T406" t="str">
            <v>335,335,125</v>
          </cell>
          <cell r="U406">
            <v>13400</v>
          </cell>
          <cell r="V406">
            <v>2</v>
          </cell>
          <cell r="W406" t="str">
            <v>2階 コスト制限なし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976</v>
          </cell>
          <cell r="AD406">
            <v>6</v>
          </cell>
          <cell r="AE406" t="str">
            <v>singleonly</v>
          </cell>
        </row>
        <row r="407">
          <cell r="A407" t="str">
            <v>13400_4</v>
          </cell>
          <cell r="B407">
            <v>1</v>
          </cell>
          <cell r="C407">
            <v>13400</v>
          </cell>
          <cell r="D407" t="str">
            <v>タワーオブザクイーン -セカンド（仮）-</v>
          </cell>
          <cell r="E407" t="str">
            <v>タワーオブザクイーン2本目</v>
          </cell>
          <cell r="F407">
            <v>4</v>
          </cell>
          <cell r="G407" t="str">
            <v>ja</v>
          </cell>
          <cell r="H407" t="str">
            <v>4階 コスト制限なし</v>
          </cell>
          <cell r="I407" t="str">
            <v>タワーオブザクイーン</v>
          </cell>
          <cell r="J407">
            <v>339</v>
          </cell>
          <cell r="K407">
            <v>13</v>
          </cell>
          <cell r="L407">
            <v>1440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character</v>
          </cell>
          <cell r="T407" t="str">
            <v>339,339,125</v>
          </cell>
          <cell r="U407">
            <v>13400</v>
          </cell>
          <cell r="V407">
            <v>3</v>
          </cell>
          <cell r="W407" t="str">
            <v>3階 コスト制限なし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976</v>
          </cell>
          <cell r="AD407">
            <v>6</v>
          </cell>
          <cell r="AE407" t="str">
            <v>singleonly</v>
          </cell>
        </row>
        <row r="408">
          <cell r="A408" t="str">
            <v>13400_5</v>
          </cell>
          <cell r="B408">
            <v>1</v>
          </cell>
          <cell r="C408">
            <v>13400</v>
          </cell>
          <cell r="D408" t="str">
            <v>タワーオブザクイーン -セカンド（仮）-</v>
          </cell>
          <cell r="E408" t="str">
            <v>タワーオブザクイーン2本目</v>
          </cell>
          <cell r="F408">
            <v>5</v>
          </cell>
          <cell r="G408" t="str">
            <v>ja</v>
          </cell>
          <cell r="H408" t="str">
            <v>5階 バランスタイプ限定</v>
          </cell>
          <cell r="I408" t="str">
            <v>タワーオブザクイーン</v>
          </cell>
          <cell r="J408">
            <v>837</v>
          </cell>
          <cell r="K408">
            <v>14</v>
          </cell>
          <cell r="L408">
            <v>1760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character</v>
          </cell>
          <cell r="T408" t="str">
            <v>837,610,610</v>
          </cell>
          <cell r="U408">
            <v>13400</v>
          </cell>
          <cell r="V408">
            <v>4</v>
          </cell>
          <cell r="W408" t="str">
            <v>4階 コスト制限なし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976</v>
          </cell>
          <cell r="AD408">
            <v>6</v>
          </cell>
          <cell r="AE408" t="str">
            <v>singleonly</v>
          </cell>
        </row>
        <row r="409">
          <cell r="A409" t="str">
            <v>13400_6</v>
          </cell>
          <cell r="B409">
            <v>1</v>
          </cell>
          <cell r="C409">
            <v>13400</v>
          </cell>
          <cell r="D409" t="str">
            <v>タワーオブザクイーン -セカンド（仮）-</v>
          </cell>
          <cell r="E409" t="str">
            <v>タワーオブザクイーン2本目</v>
          </cell>
          <cell r="F409">
            <v>6</v>
          </cell>
          <cell r="G409" t="str">
            <v>ja</v>
          </cell>
          <cell r="H409" t="str">
            <v>6階 コスト制限なし</v>
          </cell>
          <cell r="I409" t="str">
            <v>タワーオブザクイーン</v>
          </cell>
          <cell r="J409">
            <v>612</v>
          </cell>
          <cell r="K409">
            <v>15</v>
          </cell>
          <cell r="L409">
            <v>2100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character</v>
          </cell>
          <cell r="T409" t="str">
            <v>612,612,355</v>
          </cell>
          <cell r="U409">
            <v>13400</v>
          </cell>
          <cell r="V409">
            <v>5</v>
          </cell>
          <cell r="W409" t="str">
            <v>5階 バランスタイプ限定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976</v>
          </cell>
          <cell r="AD409">
            <v>6</v>
          </cell>
          <cell r="AE409" t="str">
            <v>singleonly</v>
          </cell>
        </row>
        <row r="410">
          <cell r="A410" t="str">
            <v>13400_7</v>
          </cell>
          <cell r="B410">
            <v>1</v>
          </cell>
          <cell r="C410">
            <v>13400</v>
          </cell>
          <cell r="D410" t="str">
            <v>タワーオブザクイーン -セカンド（仮）-</v>
          </cell>
          <cell r="E410" t="str">
            <v>タワーオブザクイーン2本目</v>
          </cell>
          <cell r="F410">
            <v>7</v>
          </cell>
          <cell r="G410" t="str">
            <v>ja</v>
          </cell>
          <cell r="H410" t="str">
            <v>7階 コスト30以下限定</v>
          </cell>
          <cell r="I410" t="str">
            <v>タワーオブザクイーン</v>
          </cell>
          <cell r="J410">
            <v>613</v>
          </cell>
          <cell r="K410">
            <v>16</v>
          </cell>
          <cell r="L410">
            <v>2460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character</v>
          </cell>
          <cell r="T410" t="str">
            <v>613,613,353</v>
          </cell>
          <cell r="U410">
            <v>13400</v>
          </cell>
          <cell r="V410">
            <v>6</v>
          </cell>
          <cell r="W410" t="str">
            <v>6階 コスト制限なし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976</v>
          </cell>
          <cell r="AD410">
            <v>6</v>
          </cell>
          <cell r="AE410" t="str">
            <v>singleonly</v>
          </cell>
        </row>
        <row r="411">
          <cell r="A411" t="str">
            <v>13400_8</v>
          </cell>
          <cell r="B411">
            <v>1</v>
          </cell>
          <cell r="C411">
            <v>13400</v>
          </cell>
          <cell r="D411" t="str">
            <v>タワーオブザクイーン -セカンド（仮）-</v>
          </cell>
          <cell r="E411" t="str">
            <v>タワーオブザクイーン2本目</v>
          </cell>
          <cell r="F411">
            <v>8</v>
          </cell>
          <cell r="G411" t="str">
            <v>ja</v>
          </cell>
          <cell r="H411" t="str">
            <v>8階 コスト制限なし</v>
          </cell>
          <cell r="I411" t="str">
            <v>タワーオブザクイーン</v>
          </cell>
          <cell r="J411">
            <v>611</v>
          </cell>
          <cell r="K411">
            <v>17</v>
          </cell>
          <cell r="L411">
            <v>2840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0</v>
          </cell>
          <cell r="R411">
            <v>3</v>
          </cell>
          <cell r="S411" t="str">
            <v>character</v>
          </cell>
          <cell r="T411" t="str">
            <v>611,611,349</v>
          </cell>
          <cell r="U411">
            <v>13400</v>
          </cell>
          <cell r="V411">
            <v>7</v>
          </cell>
          <cell r="W411" t="str">
            <v>7階 コスト30以下限定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976</v>
          </cell>
          <cell r="AD411">
            <v>6</v>
          </cell>
          <cell r="AE411" t="str">
            <v>singleonly</v>
          </cell>
        </row>
        <row r="412">
          <cell r="A412" t="str">
            <v>13400_9</v>
          </cell>
          <cell r="B412">
            <v>1</v>
          </cell>
          <cell r="C412">
            <v>13400</v>
          </cell>
          <cell r="D412" t="str">
            <v>タワーオブザクイーン -セカンド（仮）-</v>
          </cell>
          <cell r="E412" t="str">
            <v>タワーオブザクイーン2本目</v>
          </cell>
          <cell r="F412">
            <v>9</v>
          </cell>
          <cell r="G412" t="str">
            <v>ja</v>
          </cell>
          <cell r="H412" t="str">
            <v>9階 テクニカルタイプ限定</v>
          </cell>
          <cell r="I412" t="str">
            <v>タワーオブザクイーン</v>
          </cell>
          <cell r="J412">
            <v>837</v>
          </cell>
          <cell r="K412">
            <v>18</v>
          </cell>
          <cell r="L412">
            <v>3240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character</v>
          </cell>
          <cell r="T412" t="str">
            <v>837,614,351</v>
          </cell>
          <cell r="U412">
            <v>13400</v>
          </cell>
          <cell r="V412">
            <v>8</v>
          </cell>
          <cell r="W412" t="str">
            <v>8階 コスト制限なし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976</v>
          </cell>
          <cell r="AD412">
            <v>6</v>
          </cell>
          <cell r="AE412" t="str">
            <v>singleonly</v>
          </cell>
        </row>
        <row r="413">
          <cell r="A413" t="str">
            <v>13400_10</v>
          </cell>
          <cell r="B413">
            <v>1</v>
          </cell>
          <cell r="C413">
            <v>13400</v>
          </cell>
          <cell r="D413" t="str">
            <v>タワーオブザクイーン -セカンド（仮）-</v>
          </cell>
          <cell r="E413" t="str">
            <v>タワーオブザクイーン2本目</v>
          </cell>
          <cell r="F413">
            <v>10</v>
          </cell>
          <cell r="G413" t="str">
            <v>ja</v>
          </cell>
          <cell r="H413" t="str">
            <v>10階 ローズ 現る！</v>
          </cell>
          <cell r="I413" t="str">
            <v>タワーオブザクイーン</v>
          </cell>
          <cell r="J413">
            <v>0</v>
          </cell>
          <cell r="K413">
            <v>19</v>
          </cell>
          <cell r="L413">
            <v>3660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polygon</v>
          </cell>
          <cell r="T413" t="str">
            <v>7</v>
          </cell>
          <cell r="U413">
            <v>13400</v>
          </cell>
          <cell r="V413">
            <v>9</v>
          </cell>
          <cell r="W413" t="str">
            <v>9階 テクニカルタイプ限定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976</v>
          </cell>
          <cell r="AD413">
            <v>6</v>
          </cell>
          <cell r="AE413" t="str">
            <v>singleonly</v>
          </cell>
        </row>
        <row r="414">
          <cell r="A414" t="str">
            <v>13400_11</v>
          </cell>
          <cell r="B414">
            <v>1</v>
          </cell>
          <cell r="C414">
            <v>13400</v>
          </cell>
          <cell r="D414" t="str">
            <v>タワーオブザクイーン -セカンド（仮）-</v>
          </cell>
          <cell r="E414" t="str">
            <v>タワーオブザクイーン2本目</v>
          </cell>
          <cell r="F414">
            <v>11</v>
          </cell>
          <cell r="G414" t="str">
            <v>ja</v>
          </cell>
          <cell r="H414" t="str">
            <v>11階 コスト制限なし</v>
          </cell>
          <cell r="I414" t="str">
            <v>タワーオブザクイーン</v>
          </cell>
          <cell r="J414">
            <v>612</v>
          </cell>
          <cell r="K414">
            <v>20</v>
          </cell>
          <cell r="L414">
            <v>4100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character</v>
          </cell>
          <cell r="T414" t="str">
            <v>612,612,612</v>
          </cell>
          <cell r="U414">
            <v>13400</v>
          </cell>
          <cell r="V414">
            <v>10</v>
          </cell>
          <cell r="W414" t="str">
            <v>10階 ローズ 現る！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976</v>
          </cell>
          <cell r="AD414">
            <v>6</v>
          </cell>
          <cell r="AE414" t="str">
            <v>singleonly</v>
          </cell>
        </row>
        <row r="415">
          <cell r="A415" t="str">
            <v>13400_12</v>
          </cell>
          <cell r="B415">
            <v>1</v>
          </cell>
          <cell r="C415">
            <v>13400</v>
          </cell>
          <cell r="D415" t="str">
            <v>タワーオブザクイーン -セカンド（仮）-</v>
          </cell>
          <cell r="E415" t="str">
            <v>タワーオブザクイーン2本目</v>
          </cell>
          <cell r="F415">
            <v>12</v>
          </cell>
          <cell r="G415" t="str">
            <v>ja</v>
          </cell>
          <cell r="H415" t="str">
            <v>12階 コスト制限なし</v>
          </cell>
          <cell r="I415" t="str">
            <v>タワーオブザクイーン</v>
          </cell>
          <cell r="J415">
            <v>613</v>
          </cell>
          <cell r="K415">
            <v>21</v>
          </cell>
          <cell r="L415">
            <v>4560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character</v>
          </cell>
          <cell r="T415" t="str">
            <v>613,613,613</v>
          </cell>
          <cell r="U415">
            <v>13400</v>
          </cell>
          <cell r="V415">
            <v>11</v>
          </cell>
          <cell r="W415" t="str">
            <v>11階 コスト制限なし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976</v>
          </cell>
          <cell r="AD415">
            <v>6</v>
          </cell>
          <cell r="AE415" t="str">
            <v>singleonly</v>
          </cell>
        </row>
        <row r="416">
          <cell r="A416" t="str">
            <v>13400_13</v>
          </cell>
          <cell r="B416">
            <v>1</v>
          </cell>
          <cell r="C416">
            <v>13400</v>
          </cell>
          <cell r="D416" t="str">
            <v>タワーオブザクイーン -セカンド（仮）-</v>
          </cell>
          <cell r="E416" t="str">
            <v>タワーオブザクイーン2本目</v>
          </cell>
          <cell r="F416">
            <v>13</v>
          </cell>
          <cell r="G416" t="str">
            <v>ja</v>
          </cell>
          <cell r="H416" t="str">
            <v>13階 コスト30以下限定</v>
          </cell>
          <cell r="I416" t="str">
            <v>タワーオブザクイーン</v>
          </cell>
          <cell r="J416">
            <v>611</v>
          </cell>
          <cell r="K416">
            <v>22</v>
          </cell>
          <cell r="L416">
            <v>5040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character</v>
          </cell>
          <cell r="T416" t="str">
            <v>611,611,611</v>
          </cell>
          <cell r="U416">
            <v>13400</v>
          </cell>
          <cell r="V416">
            <v>12</v>
          </cell>
          <cell r="W416" t="str">
            <v>12階 コスト制限なし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976</v>
          </cell>
          <cell r="AD416">
            <v>6</v>
          </cell>
          <cell r="AE416" t="str">
            <v>singleonly</v>
          </cell>
        </row>
        <row r="417">
          <cell r="A417" t="str">
            <v>13400_14</v>
          </cell>
          <cell r="B417">
            <v>1</v>
          </cell>
          <cell r="C417">
            <v>13400</v>
          </cell>
          <cell r="D417" t="str">
            <v>タワーオブザクイーン -セカンド（仮）-</v>
          </cell>
          <cell r="E417" t="str">
            <v>タワーオブザクイーン2本目</v>
          </cell>
          <cell r="F417">
            <v>14</v>
          </cell>
          <cell r="G417" t="str">
            <v>ja</v>
          </cell>
          <cell r="H417" t="str">
            <v>14階 コスト制限なし</v>
          </cell>
          <cell r="I417" t="str">
            <v>タワーオブザクイーン</v>
          </cell>
          <cell r="J417">
            <v>614</v>
          </cell>
          <cell r="K417">
            <v>23</v>
          </cell>
          <cell r="L417">
            <v>5540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character</v>
          </cell>
          <cell r="T417" t="str">
            <v>614,614</v>
          </cell>
          <cell r="U417">
            <v>13400</v>
          </cell>
          <cell r="V417">
            <v>13</v>
          </cell>
          <cell r="W417" t="str">
            <v>13階 コスト30以下限定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976</v>
          </cell>
          <cell r="AD417">
            <v>6</v>
          </cell>
          <cell r="AE417" t="str">
            <v>singleonly</v>
          </cell>
        </row>
        <row r="418">
          <cell r="A418" t="str">
            <v>13400_15</v>
          </cell>
          <cell r="B418">
            <v>1</v>
          </cell>
          <cell r="C418">
            <v>13400</v>
          </cell>
          <cell r="D418" t="str">
            <v>タワーオブザクイーン -セカンド（仮）-</v>
          </cell>
          <cell r="E418" t="str">
            <v>タワーオブザクイーン2本目</v>
          </cell>
          <cell r="F418">
            <v>15</v>
          </cell>
          <cell r="G418" t="str">
            <v>ja</v>
          </cell>
          <cell r="H418" t="str">
            <v>15階 ローズ</v>
          </cell>
          <cell r="I418" t="str">
            <v>タワーオブザクイーン</v>
          </cell>
          <cell r="J418">
            <v>0</v>
          </cell>
          <cell r="K418">
            <v>50</v>
          </cell>
          <cell r="L418">
            <v>10000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character</v>
          </cell>
          <cell r="T418">
            <v>1268</v>
          </cell>
          <cell r="U418">
            <v>13400</v>
          </cell>
          <cell r="V418">
            <v>14</v>
          </cell>
          <cell r="W418" t="str">
            <v>14階 コスト制限なし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976</v>
          </cell>
          <cell r="AD418">
            <v>6</v>
          </cell>
          <cell r="AE418" t="str">
            <v>singleonly</v>
          </cell>
        </row>
        <row r="419">
          <cell r="A419" t="str">
            <v>14001_1</v>
          </cell>
          <cell r="B419">
            <v>3</v>
          </cell>
          <cell r="C419">
            <v>14001</v>
          </cell>
          <cell r="D419" t="str">
            <v>【ロック】経験値/ソロ</v>
          </cell>
          <cell r="E419" t="str">
            <v>【ロック】経験値/ソロ</v>
          </cell>
          <cell r="F419">
            <v>1</v>
          </cell>
          <cell r="G419" t="str">
            <v>ja</v>
          </cell>
          <cell r="H419" t="str">
            <v>【超級】雷ファミリー（ハートなし）</v>
          </cell>
          <cell r="I419" t="str">
            <v>【ロッククエスト】経験値</v>
          </cell>
          <cell r="J419">
            <v>347</v>
          </cell>
          <cell r="K419">
            <v>1</v>
          </cell>
          <cell r="L419">
            <v>500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0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12</v>
          </cell>
          <cell r="AD419">
            <v>6</v>
          </cell>
          <cell r="AE419" t="str">
            <v>singleonly</v>
          </cell>
        </row>
        <row r="420">
          <cell r="A420" t="str">
            <v>14001_2</v>
          </cell>
          <cell r="B420">
            <v>3</v>
          </cell>
          <cell r="C420">
            <v>14001</v>
          </cell>
          <cell r="D420" t="str">
            <v>【ロック】経験値/ソロ</v>
          </cell>
          <cell r="E420" t="str">
            <v>【ロック】経験値/ソロ</v>
          </cell>
          <cell r="F420">
            <v>2</v>
          </cell>
          <cell r="G420" t="str">
            <v>ja</v>
          </cell>
          <cell r="H420" t="str">
            <v>【超級】水ファミリー（ハートなし）</v>
          </cell>
          <cell r="I420" t="str">
            <v>【ロッククエスト】経験値</v>
          </cell>
          <cell r="J420">
            <v>343</v>
          </cell>
          <cell r="K420">
            <v>1</v>
          </cell>
          <cell r="L420">
            <v>500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0</v>
          </cell>
          <cell r="R420">
            <v>3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5</v>
          </cell>
          <cell r="AD420">
            <v>6</v>
          </cell>
          <cell r="AE420" t="str">
            <v>singleonly</v>
          </cell>
        </row>
        <row r="421">
          <cell r="A421" t="str">
            <v>14001_3</v>
          </cell>
          <cell r="B421">
            <v>3</v>
          </cell>
          <cell r="C421">
            <v>14001</v>
          </cell>
          <cell r="D421" t="str">
            <v>【ロック】経験値/ソロ</v>
          </cell>
          <cell r="E421" t="str">
            <v>【ロック】経験値/ソロ</v>
          </cell>
          <cell r="F421">
            <v>3</v>
          </cell>
          <cell r="G421" t="str">
            <v>ja</v>
          </cell>
          <cell r="H421" t="str">
            <v>【超級】森ファミリー（ハートなし）</v>
          </cell>
          <cell r="I421" t="str">
            <v>【ロッククエスト】経験値</v>
          </cell>
          <cell r="J421">
            <v>339</v>
          </cell>
          <cell r="K421">
            <v>1</v>
          </cell>
          <cell r="L421">
            <v>500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0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7</v>
          </cell>
          <cell r="AD421">
            <v>6</v>
          </cell>
          <cell r="AE421" t="str">
            <v>singleonly</v>
          </cell>
        </row>
        <row r="422">
          <cell r="A422" t="str">
            <v>14001_4</v>
          </cell>
          <cell r="B422">
            <v>3</v>
          </cell>
          <cell r="C422">
            <v>14001</v>
          </cell>
          <cell r="D422" t="str">
            <v>【ロック】経験値/ソロ</v>
          </cell>
          <cell r="E422" t="str">
            <v>【ロック】経験値/ソロ</v>
          </cell>
          <cell r="F422">
            <v>4</v>
          </cell>
          <cell r="G422" t="str">
            <v>ja</v>
          </cell>
          <cell r="H422" t="str">
            <v>【超級】炎ファミリー（ハートなし）</v>
          </cell>
          <cell r="I422" t="str">
            <v>【ロッククエスト】経験値</v>
          </cell>
          <cell r="J422">
            <v>335</v>
          </cell>
          <cell r="K422">
            <v>1</v>
          </cell>
          <cell r="L422">
            <v>500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0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10</v>
          </cell>
          <cell r="AD422">
            <v>6</v>
          </cell>
          <cell r="AE422" t="str">
            <v>singleonly</v>
          </cell>
        </row>
        <row r="423">
          <cell r="A423" t="str">
            <v>14001_5</v>
          </cell>
          <cell r="B423">
            <v>0</v>
          </cell>
          <cell r="C423">
            <v>14001</v>
          </cell>
          <cell r="D423" t="str">
            <v>【ロック】経験値/ソロ</v>
          </cell>
          <cell r="E423" t="str">
            <v>【ロック】経験値/ソロ</v>
          </cell>
          <cell r="F423">
            <v>5</v>
          </cell>
          <cell r="G423" t="str">
            <v>ja</v>
          </cell>
          <cell r="H423" t="str">
            <v>【超絶級】雷のサミット（ハートなし）</v>
          </cell>
          <cell r="I423" t="str">
            <v>【ロッククエスト】経験値</v>
          </cell>
          <cell r="J423">
            <v>334</v>
          </cell>
          <cell r="K423">
            <v>1</v>
          </cell>
          <cell r="L423">
            <v>350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0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201</v>
          </cell>
          <cell r="AD423">
            <v>6</v>
          </cell>
          <cell r="AE423" t="str">
            <v>singleonly</v>
          </cell>
        </row>
        <row r="424">
          <cell r="A424" t="str">
            <v>14001_6</v>
          </cell>
          <cell r="B424">
            <v>0</v>
          </cell>
          <cell r="C424">
            <v>14001</v>
          </cell>
          <cell r="D424" t="str">
            <v>【ロック】経験値/ソロ</v>
          </cell>
          <cell r="E424" t="str">
            <v>【ロック】経験値/ソロ</v>
          </cell>
          <cell r="F424">
            <v>6</v>
          </cell>
          <cell r="G424" t="str">
            <v>ja</v>
          </cell>
          <cell r="H424" t="str">
            <v>【超絶級】水のサミット（ハートなし）</v>
          </cell>
          <cell r="I424" t="str">
            <v>【ロッククエスト】経験値</v>
          </cell>
          <cell r="J424">
            <v>334</v>
          </cell>
          <cell r="K424">
            <v>1</v>
          </cell>
          <cell r="L424">
            <v>350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0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201</v>
          </cell>
          <cell r="AD424">
            <v>6</v>
          </cell>
          <cell r="AE424" t="str">
            <v>singleonly</v>
          </cell>
        </row>
        <row r="425">
          <cell r="A425" t="str">
            <v>14001_7</v>
          </cell>
          <cell r="B425">
            <v>0</v>
          </cell>
          <cell r="C425">
            <v>14001</v>
          </cell>
          <cell r="D425" t="str">
            <v>【ロック】経験値/ソロ</v>
          </cell>
          <cell r="E425" t="str">
            <v>【ロック】経験値/ソロ</v>
          </cell>
          <cell r="F425">
            <v>7</v>
          </cell>
          <cell r="G425" t="str">
            <v>ja</v>
          </cell>
          <cell r="H425" t="str">
            <v>【超絶級】森のサミット（ハートなし）</v>
          </cell>
          <cell r="I425" t="str">
            <v>【ロッククエスト】経験値</v>
          </cell>
          <cell r="J425">
            <v>334</v>
          </cell>
          <cell r="K425">
            <v>1</v>
          </cell>
          <cell r="L425">
            <v>350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0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201</v>
          </cell>
          <cell r="AD425">
            <v>6</v>
          </cell>
          <cell r="AE425" t="str">
            <v>singleonly</v>
          </cell>
        </row>
        <row r="426">
          <cell r="A426" t="str">
            <v>14001_8</v>
          </cell>
          <cell r="B426">
            <v>0</v>
          </cell>
          <cell r="C426">
            <v>14001</v>
          </cell>
          <cell r="D426" t="str">
            <v>【ロック】経験値/ソロ</v>
          </cell>
          <cell r="E426" t="str">
            <v>【ロック】経験値/ソロ</v>
          </cell>
          <cell r="F426">
            <v>8</v>
          </cell>
          <cell r="G426" t="str">
            <v>ja</v>
          </cell>
          <cell r="H426" t="str">
            <v>【超絶級】炎のサミット（ハートなし）</v>
          </cell>
          <cell r="I426" t="str">
            <v>【ロッククエスト】経験値</v>
          </cell>
          <cell r="J426">
            <v>334</v>
          </cell>
          <cell r="K426">
            <v>1</v>
          </cell>
          <cell r="L426">
            <v>350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0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201</v>
          </cell>
          <cell r="AD426">
            <v>6</v>
          </cell>
          <cell r="AE426" t="str">
            <v>singleonly</v>
          </cell>
        </row>
        <row r="427">
          <cell r="A427" t="str">
            <v>14002_1</v>
          </cell>
          <cell r="B427">
            <v>3</v>
          </cell>
          <cell r="C427">
            <v>14002</v>
          </cell>
          <cell r="D427" t="str">
            <v>【ロック】ビット/ソロ</v>
          </cell>
          <cell r="E427" t="str">
            <v>【ロック】ビット/ソロ</v>
          </cell>
          <cell r="F427">
            <v>1</v>
          </cell>
          <cell r="G427" t="str">
            <v>ja</v>
          </cell>
          <cell r="H427" t="str">
            <v>【超級】ハイローラー（ハートなし）</v>
          </cell>
          <cell r="I427" t="str">
            <v>【ロッククエスト】ビット</v>
          </cell>
          <cell r="J427">
            <v>119</v>
          </cell>
          <cell r="K427">
            <v>1</v>
          </cell>
          <cell r="L427">
            <v>777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0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105</v>
          </cell>
          <cell r="AD427">
            <v>6</v>
          </cell>
          <cell r="AE427" t="str">
            <v>singleonly</v>
          </cell>
        </row>
        <row r="428">
          <cell r="A428" t="str">
            <v>14002_2</v>
          </cell>
          <cell r="B428">
            <v>0</v>
          </cell>
          <cell r="C428">
            <v>14002</v>
          </cell>
          <cell r="D428" t="str">
            <v>【ロック】ビット/ソロ</v>
          </cell>
          <cell r="E428" t="str">
            <v>【ロック】ビット/ソロ</v>
          </cell>
          <cell r="F428">
            <v>2</v>
          </cell>
          <cell r="G428" t="str">
            <v>ja</v>
          </cell>
          <cell r="H428" t="str">
            <v>【上級】ゴールドカジノ （ハートなし）</v>
          </cell>
          <cell r="I428" t="str">
            <v>【ロッククエスト】ビット</v>
          </cell>
          <cell r="J428">
            <v>119</v>
          </cell>
          <cell r="K428">
            <v>1</v>
          </cell>
          <cell r="L428">
            <v>350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0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105</v>
          </cell>
          <cell r="AD428">
            <v>6</v>
          </cell>
          <cell r="AE428" t="str">
            <v>singleonly</v>
          </cell>
        </row>
        <row r="429">
          <cell r="A429" t="str">
            <v>14003_1</v>
          </cell>
          <cell r="B429">
            <v>3</v>
          </cell>
          <cell r="C429">
            <v>14003</v>
          </cell>
          <cell r="D429" t="str">
            <v>【ロック】限界突破/ソロ</v>
          </cell>
          <cell r="E429" t="str">
            <v>【ロック】限界突破/ソロ</v>
          </cell>
          <cell r="F429">
            <v>1</v>
          </cell>
          <cell r="G429" t="str">
            <v>ja</v>
          </cell>
          <cell r="H429" t="str">
            <v>【超級】果実の楽園（ハートなし）</v>
          </cell>
          <cell r="I429" t="str">
            <v>【ロッククエスト】限界突破</v>
          </cell>
          <cell r="J429">
            <v>125</v>
          </cell>
          <cell r="K429">
            <v>1</v>
          </cell>
          <cell r="L429">
            <v>860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0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7</v>
          </cell>
          <cell r="AD429">
            <v>6</v>
          </cell>
          <cell r="AE429" t="str">
            <v>singleonly</v>
          </cell>
        </row>
        <row r="430">
          <cell r="A430" t="str">
            <v>14003_2</v>
          </cell>
          <cell r="B430">
            <v>3</v>
          </cell>
          <cell r="C430">
            <v>14003</v>
          </cell>
          <cell r="D430" t="str">
            <v>【ロック】限界突破/ソロ</v>
          </cell>
          <cell r="E430" t="str">
            <v>【ロック】限界突破/ソロ</v>
          </cell>
          <cell r="F430">
            <v>2</v>
          </cell>
          <cell r="G430" t="str">
            <v>ja</v>
          </cell>
          <cell r="H430" t="str">
            <v>【超級】攻めの極意（ハートなし）</v>
          </cell>
          <cell r="I430" t="str">
            <v>【ロッククエスト】限界突破</v>
          </cell>
          <cell r="J430">
            <v>611</v>
          </cell>
          <cell r="K430">
            <v>1</v>
          </cell>
          <cell r="L430">
            <v>999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0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10</v>
          </cell>
          <cell r="AD430">
            <v>6</v>
          </cell>
          <cell r="AE430" t="str">
            <v>singleonly</v>
          </cell>
        </row>
        <row r="431">
          <cell r="A431" t="str">
            <v>14003_3</v>
          </cell>
          <cell r="B431">
            <v>3</v>
          </cell>
          <cell r="C431">
            <v>14003</v>
          </cell>
          <cell r="D431" t="str">
            <v>【ロック】限界突破/ソロ</v>
          </cell>
          <cell r="E431" t="str">
            <v>【ロック】限界突破/ソロ</v>
          </cell>
          <cell r="F431">
            <v>3</v>
          </cell>
          <cell r="G431" t="str">
            <v>ja</v>
          </cell>
          <cell r="H431" t="str">
            <v>【超級】癒しの極意（ハートなし）</v>
          </cell>
          <cell r="I431" t="str">
            <v>【ロッククエスト】限界突破</v>
          </cell>
          <cell r="J431">
            <v>613</v>
          </cell>
          <cell r="K431">
            <v>1</v>
          </cell>
          <cell r="L431">
            <v>999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0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5</v>
          </cell>
          <cell r="AD431">
            <v>6</v>
          </cell>
          <cell r="AE431" t="str">
            <v>singleonly</v>
          </cell>
        </row>
        <row r="432">
          <cell r="A432" t="str">
            <v>14003_4</v>
          </cell>
          <cell r="B432">
            <v>3</v>
          </cell>
          <cell r="C432">
            <v>14003</v>
          </cell>
          <cell r="D432" t="str">
            <v>【ロック】限界突破/ソロ</v>
          </cell>
          <cell r="E432" t="str">
            <v>【ロック】限界突破/ソロ</v>
          </cell>
          <cell r="F432">
            <v>4</v>
          </cell>
          <cell r="G432" t="str">
            <v>ja</v>
          </cell>
          <cell r="H432" t="str">
            <v>【超級】生命の極意（ハートなし）</v>
          </cell>
          <cell r="I432" t="str">
            <v>【ロッククエスト】限界突破</v>
          </cell>
          <cell r="J432">
            <v>612</v>
          </cell>
          <cell r="K432">
            <v>1</v>
          </cell>
          <cell r="L432">
            <v>999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0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7</v>
          </cell>
          <cell r="AD432">
            <v>6</v>
          </cell>
          <cell r="AE432" t="str">
            <v>singleonly</v>
          </cell>
        </row>
        <row r="433">
          <cell r="A433" t="str">
            <v>14004_1</v>
          </cell>
          <cell r="B433">
            <v>1</v>
          </cell>
          <cell r="C433">
            <v>14004</v>
          </cell>
          <cell r="D433" t="str">
            <v>【ロック】経験値/LINEマルチ</v>
          </cell>
          <cell r="E433" t="str">
            <v>【ロック】経験値/LINEマルチ</v>
          </cell>
          <cell r="F433">
            <v>1</v>
          </cell>
          <cell r="G433" t="str">
            <v>ja</v>
          </cell>
          <cell r="H433" t="str">
            <v>【超級】雷ファミリー（ハートなし）</v>
          </cell>
          <cell r="I433" t="str">
            <v>【ロッククエスト】経験値</v>
          </cell>
          <cell r="J433">
            <v>347</v>
          </cell>
          <cell r="K433">
            <v>1</v>
          </cell>
          <cell r="L433">
            <v>500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0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12</v>
          </cell>
          <cell r="AD433">
            <v>6</v>
          </cell>
          <cell r="AE433" t="str">
            <v>lineonly</v>
          </cell>
        </row>
        <row r="434">
          <cell r="A434" t="str">
            <v>14004_2</v>
          </cell>
          <cell r="B434">
            <v>1</v>
          </cell>
          <cell r="C434">
            <v>14004</v>
          </cell>
          <cell r="D434" t="str">
            <v>【ロック】経験値/LINEマルチ</v>
          </cell>
          <cell r="E434" t="str">
            <v>【ロック】経験値/LINEマルチ</v>
          </cell>
          <cell r="F434">
            <v>2</v>
          </cell>
          <cell r="G434" t="str">
            <v>ja</v>
          </cell>
          <cell r="H434" t="str">
            <v>【超級】水ファミリー（ハートなし）</v>
          </cell>
          <cell r="I434" t="str">
            <v>【ロッククエスト】経験値</v>
          </cell>
          <cell r="J434">
            <v>343</v>
          </cell>
          <cell r="K434">
            <v>1</v>
          </cell>
          <cell r="L434">
            <v>500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0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5</v>
          </cell>
          <cell r="AD434">
            <v>6</v>
          </cell>
          <cell r="AE434" t="str">
            <v>lineonly</v>
          </cell>
        </row>
        <row r="435">
          <cell r="A435" t="str">
            <v>14004_3</v>
          </cell>
          <cell r="B435">
            <v>1</v>
          </cell>
          <cell r="C435">
            <v>14004</v>
          </cell>
          <cell r="D435" t="str">
            <v>【ロック】経験値/LINEマルチ</v>
          </cell>
          <cell r="E435" t="str">
            <v>【ロック】経験値/LINEマルチ</v>
          </cell>
          <cell r="F435">
            <v>3</v>
          </cell>
          <cell r="G435" t="str">
            <v>ja</v>
          </cell>
          <cell r="H435" t="str">
            <v>【超級】森ファミリー（ハートなし）</v>
          </cell>
          <cell r="I435" t="str">
            <v>【ロッククエスト】経験値</v>
          </cell>
          <cell r="J435">
            <v>339</v>
          </cell>
          <cell r="K435">
            <v>1</v>
          </cell>
          <cell r="L435">
            <v>500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0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7</v>
          </cell>
          <cell r="AD435">
            <v>6</v>
          </cell>
          <cell r="AE435" t="str">
            <v>lineonly</v>
          </cell>
        </row>
        <row r="436">
          <cell r="A436" t="str">
            <v>14004_4</v>
          </cell>
          <cell r="B436">
            <v>1</v>
          </cell>
          <cell r="C436">
            <v>14004</v>
          </cell>
          <cell r="D436" t="str">
            <v>【ロック】経験値/LINEマルチ</v>
          </cell>
          <cell r="E436" t="str">
            <v>【ロック】経験値/LINEマルチ</v>
          </cell>
          <cell r="F436">
            <v>4</v>
          </cell>
          <cell r="G436" t="str">
            <v>ja</v>
          </cell>
          <cell r="H436" t="str">
            <v>【超級】炎ファミリー（ハートなし）</v>
          </cell>
          <cell r="I436" t="str">
            <v>【ロッククエスト】経験値</v>
          </cell>
          <cell r="J436">
            <v>335</v>
          </cell>
          <cell r="K436">
            <v>1</v>
          </cell>
          <cell r="L436">
            <v>500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0</v>
          </cell>
          <cell r="R436">
            <v>3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10</v>
          </cell>
          <cell r="AD436">
            <v>6</v>
          </cell>
          <cell r="AE436" t="str">
            <v>lineonly</v>
          </cell>
        </row>
        <row r="437">
          <cell r="A437" t="str">
            <v>14005_1</v>
          </cell>
          <cell r="B437">
            <v>1</v>
          </cell>
          <cell r="C437">
            <v>14005</v>
          </cell>
          <cell r="D437" t="str">
            <v>【ロック】ビット/LINEマルチ</v>
          </cell>
          <cell r="E437" t="str">
            <v>【ロック】ビット/LINEマルチ</v>
          </cell>
          <cell r="F437">
            <v>1</v>
          </cell>
          <cell r="G437" t="str">
            <v>ja</v>
          </cell>
          <cell r="H437" t="str">
            <v>【超級】ハイローラー（ハートなし）</v>
          </cell>
          <cell r="I437" t="str">
            <v>【ロッククエスト】ビット</v>
          </cell>
          <cell r="J437">
            <v>119</v>
          </cell>
          <cell r="K437">
            <v>1</v>
          </cell>
          <cell r="L437">
            <v>777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0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105</v>
          </cell>
          <cell r="AD437">
            <v>6</v>
          </cell>
          <cell r="AE437" t="str">
            <v>lineonly</v>
          </cell>
        </row>
        <row r="438">
          <cell r="A438" t="str">
            <v>14006_1</v>
          </cell>
          <cell r="B438">
            <v>1</v>
          </cell>
          <cell r="C438">
            <v>14006</v>
          </cell>
          <cell r="D438" t="str">
            <v>【ロック】限界突破/LINEマルチ</v>
          </cell>
          <cell r="E438" t="str">
            <v>【ロック】限界突破/LINEマルチ</v>
          </cell>
          <cell r="F438">
            <v>1</v>
          </cell>
          <cell r="G438" t="str">
            <v>ja</v>
          </cell>
          <cell r="H438" t="str">
            <v>【超級】果実の楽園（ハートなし）</v>
          </cell>
          <cell r="I438" t="str">
            <v>【ロッククエスト】限界突破</v>
          </cell>
          <cell r="J438">
            <v>125</v>
          </cell>
          <cell r="K438">
            <v>1</v>
          </cell>
          <cell r="L438">
            <v>860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0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7</v>
          </cell>
          <cell r="AD438">
            <v>6</v>
          </cell>
          <cell r="AE438" t="str">
            <v>lineonly</v>
          </cell>
        </row>
        <row r="439">
          <cell r="A439" t="str">
            <v>15027_1</v>
          </cell>
          <cell r="B439">
            <v>3</v>
          </cell>
          <cell r="C439">
            <v>15027</v>
          </cell>
          <cell r="D439" t="str">
            <v>27. 雷雨の登山道</v>
          </cell>
          <cell r="E439" t="str">
            <v>黄青DL6</v>
          </cell>
          <cell r="F439">
            <v>1</v>
          </cell>
          <cell r="G439" t="str">
            <v>ja</v>
          </cell>
          <cell r="H439" t="str">
            <v>27-1. 登山道入口</v>
          </cell>
          <cell r="J439" t="str">
            <v>NULL</v>
          </cell>
          <cell r="K439">
            <v>18</v>
          </cell>
          <cell r="L439">
            <v>3740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none</v>
          </cell>
          <cell r="T439">
            <v>0</v>
          </cell>
          <cell r="U439">
            <v>26</v>
          </cell>
          <cell r="V439">
            <v>6</v>
          </cell>
          <cell r="W439" t="str">
            <v>26-6．【1回のみ】ボーナスステージ</v>
          </cell>
          <cell r="X439">
            <v>0</v>
          </cell>
          <cell r="Y439">
            <v>1</v>
          </cell>
          <cell r="Z439">
            <v>0</v>
          </cell>
          <cell r="AA439">
            <v>1</v>
          </cell>
          <cell r="AB439" t="str">
            <v>anytime</v>
          </cell>
          <cell r="AC439">
            <v>27</v>
          </cell>
          <cell r="AD439">
            <v>6</v>
          </cell>
          <cell r="AE439" t="str">
            <v>everyone</v>
          </cell>
        </row>
        <row r="440">
          <cell r="A440" t="str">
            <v>15027_2</v>
          </cell>
          <cell r="B440">
            <v>3</v>
          </cell>
          <cell r="C440">
            <v>15027</v>
          </cell>
          <cell r="D440" t="str">
            <v>27. 雷雨の登山道</v>
          </cell>
          <cell r="E440" t="str">
            <v>黄青DL6</v>
          </cell>
          <cell r="F440">
            <v>2</v>
          </cell>
          <cell r="G440" t="str">
            <v>ja</v>
          </cell>
          <cell r="H440" t="str">
            <v>27-2. 霊峰の守護者</v>
          </cell>
          <cell r="J440" t="str">
            <v>NULL</v>
          </cell>
          <cell r="K440">
            <v>19</v>
          </cell>
          <cell r="L440">
            <v>4140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>
            <v>15027</v>
          </cell>
          <cell r="V440">
            <v>1</v>
          </cell>
          <cell r="W440" t="str">
            <v>27-1. 登山道入口</v>
          </cell>
          <cell r="X440">
            <v>0</v>
          </cell>
          <cell r="Y440">
            <v>1</v>
          </cell>
          <cell r="Z440">
            <v>0</v>
          </cell>
          <cell r="AA440">
            <v>1</v>
          </cell>
          <cell r="AB440" t="str">
            <v>anytime</v>
          </cell>
          <cell r="AC440">
            <v>27</v>
          </cell>
          <cell r="AD440">
            <v>6</v>
          </cell>
          <cell r="AE440" t="str">
            <v>everyone</v>
          </cell>
        </row>
        <row r="441">
          <cell r="A441" t="str">
            <v>15027_3</v>
          </cell>
          <cell r="B441">
            <v>3</v>
          </cell>
          <cell r="C441">
            <v>15027</v>
          </cell>
          <cell r="D441" t="str">
            <v>27. 雷雨の登山道</v>
          </cell>
          <cell r="E441" t="str">
            <v>黄青DL6</v>
          </cell>
          <cell r="F441">
            <v>3</v>
          </cell>
          <cell r="G441" t="str">
            <v>ja</v>
          </cell>
          <cell r="H441" t="str">
            <v>27-3. 山岳の王者</v>
          </cell>
          <cell r="J441" t="str">
            <v>NULL</v>
          </cell>
          <cell r="K441">
            <v>22</v>
          </cell>
          <cell r="L441">
            <v>5250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>
            <v>15027</v>
          </cell>
          <cell r="V441">
            <v>2</v>
          </cell>
          <cell r="W441" t="str">
            <v>27-2. 霊峰の守護者</v>
          </cell>
          <cell r="X441">
            <v>0</v>
          </cell>
          <cell r="Y441">
            <v>1</v>
          </cell>
          <cell r="Z441">
            <v>0</v>
          </cell>
          <cell r="AA441">
            <v>1</v>
          </cell>
          <cell r="AB441" t="str">
            <v>anytime</v>
          </cell>
          <cell r="AC441">
            <v>27</v>
          </cell>
          <cell r="AD441">
            <v>6</v>
          </cell>
          <cell r="AE441" t="str">
            <v>everyone</v>
          </cell>
        </row>
        <row r="442">
          <cell r="A442" t="str">
            <v>15027_4</v>
          </cell>
          <cell r="B442">
            <v>3</v>
          </cell>
          <cell r="C442">
            <v>15027</v>
          </cell>
          <cell r="D442" t="str">
            <v>27. 雷雨の登山道</v>
          </cell>
          <cell r="E442" t="str">
            <v>黄青DL6</v>
          </cell>
          <cell r="F442">
            <v>4</v>
          </cell>
          <cell r="G442" t="str">
            <v>ja</v>
          </cell>
          <cell r="H442" t="str">
            <v>27-4. 【1回のみ】ボーナスステージ</v>
          </cell>
          <cell r="I442" t="str">
            <v>ボーナス</v>
          </cell>
          <cell r="J442">
            <v>343</v>
          </cell>
          <cell r="K442">
            <v>1</v>
          </cell>
          <cell r="L442">
            <v>1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none</v>
          </cell>
          <cell r="T442">
            <v>0</v>
          </cell>
          <cell r="U442">
            <v>15027</v>
          </cell>
          <cell r="V442">
            <v>3</v>
          </cell>
          <cell r="W442" t="str">
            <v>27-3. 山岳の王者</v>
          </cell>
          <cell r="X442">
            <v>0</v>
          </cell>
          <cell r="Y442">
            <v>1</v>
          </cell>
          <cell r="Z442">
            <v>0</v>
          </cell>
          <cell r="AA442">
            <v>1</v>
          </cell>
          <cell r="AB442" t="str">
            <v>once</v>
          </cell>
          <cell r="AC442">
            <v>27</v>
          </cell>
          <cell r="AD442">
            <v>6</v>
          </cell>
          <cell r="AE442" t="str">
            <v>singleonly</v>
          </cell>
        </row>
        <row r="443">
          <cell r="A443" t="str">
            <v>15028_1</v>
          </cell>
          <cell r="B443">
            <v>3</v>
          </cell>
          <cell r="C443">
            <v>15028</v>
          </cell>
          <cell r="D443" t="str">
            <v>28. 暴風と灼熱の罪浄</v>
          </cell>
          <cell r="E443" t="str">
            <v>赤緑DL6</v>
          </cell>
          <cell r="F443">
            <v>1</v>
          </cell>
          <cell r="G443" t="str">
            <v>ja</v>
          </cell>
          <cell r="H443" t="str">
            <v>28-1. 轟翼のかまど</v>
          </cell>
          <cell r="J443" t="str">
            <v>NULL</v>
          </cell>
          <cell r="K443">
            <v>18</v>
          </cell>
          <cell r="L443">
            <v>3870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>
            <v>15027</v>
          </cell>
          <cell r="V443">
            <v>4</v>
          </cell>
          <cell r="W443" t="str">
            <v>27-4. 【1回のみ】ボーナスステージ</v>
          </cell>
          <cell r="X443">
            <v>1</v>
          </cell>
          <cell r="Y443">
            <v>0</v>
          </cell>
          <cell r="Z443">
            <v>1</v>
          </cell>
          <cell r="AA443">
            <v>0</v>
          </cell>
          <cell r="AB443" t="str">
            <v>anytime</v>
          </cell>
          <cell r="AC443">
            <v>28</v>
          </cell>
          <cell r="AD443">
            <v>6</v>
          </cell>
          <cell r="AE443" t="str">
            <v>everyone</v>
          </cell>
        </row>
        <row r="444">
          <cell r="A444" t="str">
            <v>15028_2</v>
          </cell>
          <cell r="B444">
            <v>3</v>
          </cell>
          <cell r="C444">
            <v>15028</v>
          </cell>
          <cell r="D444" t="str">
            <v>28. 暴風と灼熱の罪浄</v>
          </cell>
          <cell r="E444" t="str">
            <v>赤緑DL6</v>
          </cell>
          <cell r="F444">
            <v>2</v>
          </cell>
          <cell r="G444" t="str">
            <v>ja</v>
          </cell>
          <cell r="H444" t="str">
            <v>28-2. 空の寝殿</v>
          </cell>
          <cell r="J444" t="str">
            <v>NULL</v>
          </cell>
          <cell r="K444">
            <v>19</v>
          </cell>
          <cell r="L444">
            <v>4500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>
            <v>15028</v>
          </cell>
          <cell r="V444">
            <v>1</v>
          </cell>
          <cell r="W444" t="str">
            <v>28-1. 轟翼のかまど</v>
          </cell>
          <cell r="X444">
            <v>1</v>
          </cell>
          <cell r="Y444">
            <v>0</v>
          </cell>
          <cell r="Z444">
            <v>1</v>
          </cell>
          <cell r="AA444">
            <v>0</v>
          </cell>
          <cell r="AB444" t="str">
            <v>anytime</v>
          </cell>
          <cell r="AC444">
            <v>28</v>
          </cell>
          <cell r="AD444">
            <v>6</v>
          </cell>
          <cell r="AE444" t="str">
            <v>everyone</v>
          </cell>
        </row>
        <row r="445">
          <cell r="A445" t="str">
            <v>15028_3</v>
          </cell>
          <cell r="B445">
            <v>3</v>
          </cell>
          <cell r="C445">
            <v>15028</v>
          </cell>
          <cell r="D445" t="str">
            <v>28. 暴風と灼熱の罪浄</v>
          </cell>
          <cell r="E445" t="str">
            <v>赤緑DL6</v>
          </cell>
          <cell r="F445">
            <v>3</v>
          </cell>
          <cell r="G445" t="str">
            <v>ja</v>
          </cell>
          <cell r="H445" t="str">
            <v>28-3. 縛風の洞窟</v>
          </cell>
          <cell r="J445" t="str">
            <v>NULL</v>
          </cell>
          <cell r="K445">
            <v>22</v>
          </cell>
          <cell r="L445">
            <v>5580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none</v>
          </cell>
          <cell r="T445">
            <v>0</v>
          </cell>
          <cell r="U445">
            <v>15028</v>
          </cell>
          <cell r="V445">
            <v>2</v>
          </cell>
          <cell r="W445" t="str">
            <v>28-2. 空の寝殿</v>
          </cell>
          <cell r="X445">
            <v>1</v>
          </cell>
          <cell r="Y445">
            <v>0</v>
          </cell>
          <cell r="Z445">
            <v>1</v>
          </cell>
          <cell r="AA445">
            <v>0</v>
          </cell>
          <cell r="AB445" t="str">
            <v>anytime</v>
          </cell>
          <cell r="AC445">
            <v>28</v>
          </cell>
          <cell r="AD445">
            <v>6</v>
          </cell>
          <cell r="AE445" t="str">
            <v>everyone</v>
          </cell>
        </row>
        <row r="446">
          <cell r="A446" t="str">
            <v>15028_4</v>
          </cell>
          <cell r="B446">
            <v>3</v>
          </cell>
          <cell r="C446">
            <v>15028</v>
          </cell>
          <cell r="D446" t="str">
            <v>28. 暴風と灼熱の罪浄</v>
          </cell>
          <cell r="E446" t="str">
            <v>赤緑DL6</v>
          </cell>
          <cell r="F446">
            <v>4</v>
          </cell>
          <cell r="G446" t="str">
            <v>ja</v>
          </cell>
          <cell r="H446" t="str">
            <v>28-4. 【1回のみ】ボーナスステージ</v>
          </cell>
          <cell r="I446" t="str">
            <v>ボーナス</v>
          </cell>
          <cell r="J446">
            <v>339</v>
          </cell>
          <cell r="K446">
            <v>1</v>
          </cell>
          <cell r="L446">
            <v>1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>
            <v>15028</v>
          </cell>
          <cell r="V446">
            <v>3</v>
          </cell>
          <cell r="W446" t="str">
            <v>28-3. 縛風の洞窟</v>
          </cell>
          <cell r="X446">
            <v>1</v>
          </cell>
          <cell r="Y446">
            <v>0</v>
          </cell>
          <cell r="Z446">
            <v>1</v>
          </cell>
          <cell r="AA446">
            <v>0</v>
          </cell>
          <cell r="AB446" t="str">
            <v>once</v>
          </cell>
          <cell r="AC446">
            <v>28</v>
          </cell>
          <cell r="AD446">
            <v>6</v>
          </cell>
          <cell r="AE446" t="str">
            <v>singleonly</v>
          </cell>
        </row>
        <row r="447">
          <cell r="A447" t="str">
            <v>15029_1</v>
          </cell>
          <cell r="B447">
            <v>3</v>
          </cell>
          <cell r="C447">
            <v>15029</v>
          </cell>
          <cell r="D447" t="str">
            <v>29. 雪の望郷</v>
          </cell>
          <cell r="E447" t="str">
            <v>緑黄DL6</v>
          </cell>
          <cell r="F447">
            <v>1</v>
          </cell>
          <cell r="G447" t="str">
            <v>ja</v>
          </cell>
          <cell r="H447" t="str">
            <v>29-1. 雪の中のケモノたち</v>
          </cell>
          <cell r="J447" t="str">
            <v>NULL</v>
          </cell>
          <cell r="K447">
            <v>18</v>
          </cell>
          <cell r="L447">
            <v>4210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>
            <v>15028</v>
          </cell>
          <cell r="V447">
            <v>4</v>
          </cell>
          <cell r="W447" t="str">
            <v>28-4. 【1回のみ】ボーナスステージ</v>
          </cell>
          <cell r="X447">
            <v>0</v>
          </cell>
          <cell r="Y447">
            <v>0</v>
          </cell>
          <cell r="Z447">
            <v>1</v>
          </cell>
          <cell r="AA447">
            <v>1</v>
          </cell>
          <cell r="AB447" t="str">
            <v>anytime</v>
          </cell>
          <cell r="AC447">
            <v>29</v>
          </cell>
          <cell r="AD447">
            <v>6</v>
          </cell>
          <cell r="AE447" t="str">
            <v>everyone</v>
          </cell>
        </row>
        <row r="448">
          <cell r="A448" t="str">
            <v>15029_2</v>
          </cell>
          <cell r="B448">
            <v>3</v>
          </cell>
          <cell r="C448">
            <v>15029</v>
          </cell>
          <cell r="D448" t="str">
            <v>29. 雪の望郷</v>
          </cell>
          <cell r="E448" t="str">
            <v>緑黄DL6</v>
          </cell>
          <cell r="F448">
            <v>2</v>
          </cell>
          <cell r="G448" t="str">
            <v>ja</v>
          </cell>
          <cell r="H448" t="str">
            <v>29-2. ねこみみマフラー</v>
          </cell>
          <cell r="J448" t="str">
            <v>NULL</v>
          </cell>
          <cell r="K448">
            <v>19</v>
          </cell>
          <cell r="L448">
            <v>4800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>
            <v>15029</v>
          </cell>
          <cell r="V448">
            <v>1</v>
          </cell>
          <cell r="W448" t="str">
            <v>29-1. 雪の中のケモノたち</v>
          </cell>
          <cell r="X448">
            <v>0</v>
          </cell>
          <cell r="Y448">
            <v>0</v>
          </cell>
          <cell r="Z448">
            <v>1</v>
          </cell>
          <cell r="AA448">
            <v>1</v>
          </cell>
          <cell r="AB448" t="str">
            <v>anytime</v>
          </cell>
          <cell r="AC448">
            <v>29</v>
          </cell>
          <cell r="AD448">
            <v>6</v>
          </cell>
          <cell r="AE448" t="str">
            <v>everyone</v>
          </cell>
        </row>
        <row r="449">
          <cell r="A449" t="str">
            <v>15029_3</v>
          </cell>
          <cell r="B449">
            <v>3</v>
          </cell>
          <cell r="C449">
            <v>15029</v>
          </cell>
          <cell r="D449" t="str">
            <v>29. 雪の望郷</v>
          </cell>
          <cell r="E449" t="str">
            <v>緑黄DL6</v>
          </cell>
          <cell r="F449">
            <v>3</v>
          </cell>
          <cell r="G449" t="str">
            <v>ja</v>
          </cell>
          <cell r="H449" t="str">
            <v>29-3. 仕立屋と兄妹</v>
          </cell>
          <cell r="J449" t="str">
            <v>NULL</v>
          </cell>
          <cell r="K449">
            <v>22</v>
          </cell>
          <cell r="L449">
            <v>5970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>
            <v>15029</v>
          </cell>
          <cell r="V449">
            <v>2</v>
          </cell>
          <cell r="W449" t="str">
            <v>29-2. ねこみみマフラー</v>
          </cell>
          <cell r="X449">
            <v>0</v>
          </cell>
          <cell r="Y449">
            <v>0</v>
          </cell>
          <cell r="Z449">
            <v>1</v>
          </cell>
          <cell r="AA449">
            <v>1</v>
          </cell>
          <cell r="AB449" t="str">
            <v>anytime</v>
          </cell>
          <cell r="AC449">
            <v>29</v>
          </cell>
          <cell r="AD449">
            <v>6</v>
          </cell>
          <cell r="AE449" t="str">
            <v>everyone</v>
          </cell>
        </row>
        <row r="450">
          <cell r="A450" t="str">
            <v>15029_4</v>
          </cell>
          <cell r="B450">
            <v>3</v>
          </cell>
          <cell r="C450">
            <v>15029</v>
          </cell>
          <cell r="D450" t="str">
            <v>29. 雪の望郷</v>
          </cell>
          <cell r="E450" t="str">
            <v>緑黄DL6</v>
          </cell>
          <cell r="F450">
            <v>4</v>
          </cell>
          <cell r="G450" t="str">
            <v>ja</v>
          </cell>
          <cell r="H450" t="str">
            <v>29-4. 【1回のみ】ボーナスステージ</v>
          </cell>
          <cell r="I450" t="str">
            <v>ボーナス</v>
          </cell>
          <cell r="J450">
            <v>347</v>
          </cell>
          <cell r="K450">
            <v>1</v>
          </cell>
          <cell r="L450">
            <v>1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>
            <v>15029</v>
          </cell>
          <cell r="V450">
            <v>3</v>
          </cell>
          <cell r="W450" t="str">
            <v>29-3. 仕立屋と兄妹</v>
          </cell>
          <cell r="X450">
            <v>0</v>
          </cell>
          <cell r="Y450">
            <v>0</v>
          </cell>
          <cell r="Z450">
            <v>1</v>
          </cell>
          <cell r="AA450">
            <v>1</v>
          </cell>
          <cell r="AB450" t="str">
            <v>once</v>
          </cell>
          <cell r="AC450">
            <v>29</v>
          </cell>
          <cell r="AD450">
            <v>6</v>
          </cell>
          <cell r="AE450" t="str">
            <v>singleonly</v>
          </cell>
        </row>
        <row r="451">
          <cell r="A451" t="str">
            <v>15030_1</v>
          </cell>
          <cell r="B451">
            <v>3</v>
          </cell>
          <cell r="C451">
            <v>15030</v>
          </cell>
          <cell r="D451" t="str">
            <v>30. 月夜のオールドシティ</v>
          </cell>
          <cell r="E451" t="str">
            <v>赤青DL6</v>
          </cell>
          <cell r="F451">
            <v>1</v>
          </cell>
          <cell r="G451" t="str">
            <v>ja</v>
          </cell>
          <cell r="H451" t="str">
            <v>30-1. 月夜に煌めく刃</v>
          </cell>
          <cell r="J451" t="str">
            <v>NULL</v>
          </cell>
          <cell r="K451">
            <v>18</v>
          </cell>
          <cell r="L451">
            <v>4460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>
            <v>15029</v>
          </cell>
          <cell r="V451">
            <v>4</v>
          </cell>
          <cell r="W451" t="str">
            <v>29-4. 【1回のみ】ボーナスステージ</v>
          </cell>
          <cell r="X451">
            <v>1</v>
          </cell>
          <cell r="Y451">
            <v>1</v>
          </cell>
          <cell r="Z451">
            <v>0</v>
          </cell>
          <cell r="AA451">
            <v>0</v>
          </cell>
          <cell r="AB451" t="str">
            <v>anytime</v>
          </cell>
          <cell r="AC451">
            <v>30</v>
          </cell>
          <cell r="AD451">
            <v>6</v>
          </cell>
          <cell r="AE451" t="str">
            <v>everyone</v>
          </cell>
        </row>
        <row r="452">
          <cell r="A452" t="str">
            <v>15030_2</v>
          </cell>
          <cell r="B452">
            <v>3</v>
          </cell>
          <cell r="C452">
            <v>15030</v>
          </cell>
          <cell r="D452" t="str">
            <v>30. 月夜のオールドシティ</v>
          </cell>
          <cell r="E452" t="str">
            <v>赤青DL6</v>
          </cell>
          <cell r="F452">
            <v>2</v>
          </cell>
          <cell r="G452" t="str">
            <v>ja</v>
          </cell>
          <cell r="H452" t="str">
            <v>30-2. 深夜のお茶会</v>
          </cell>
          <cell r="J452" t="str">
            <v>NULL</v>
          </cell>
          <cell r="K452">
            <v>19</v>
          </cell>
          <cell r="L452">
            <v>5040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>
            <v>15030</v>
          </cell>
          <cell r="V452">
            <v>1</v>
          </cell>
          <cell r="W452" t="str">
            <v>30-1. 月夜に煌めく刃</v>
          </cell>
          <cell r="X452">
            <v>1</v>
          </cell>
          <cell r="Y452">
            <v>1</v>
          </cell>
          <cell r="Z452">
            <v>0</v>
          </cell>
          <cell r="AA452">
            <v>0</v>
          </cell>
          <cell r="AB452" t="str">
            <v>anytime</v>
          </cell>
          <cell r="AC452">
            <v>30</v>
          </cell>
          <cell r="AD452">
            <v>6</v>
          </cell>
          <cell r="AE452" t="str">
            <v>everyone</v>
          </cell>
        </row>
        <row r="453">
          <cell r="A453" t="str">
            <v>15030_3</v>
          </cell>
          <cell r="B453">
            <v>3</v>
          </cell>
          <cell r="C453">
            <v>15030</v>
          </cell>
          <cell r="D453" t="str">
            <v>30. 月夜のオールドシティ</v>
          </cell>
          <cell r="E453" t="str">
            <v>赤青DL6</v>
          </cell>
          <cell r="F453">
            <v>3</v>
          </cell>
          <cell r="G453" t="str">
            <v>ja</v>
          </cell>
          <cell r="H453" t="str">
            <v>30-3. 月影の襲撃者</v>
          </cell>
          <cell r="J453" t="str">
            <v>NULL</v>
          </cell>
          <cell r="K453">
            <v>22</v>
          </cell>
          <cell r="L453">
            <v>6370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>
            <v>15030</v>
          </cell>
          <cell r="V453">
            <v>2</v>
          </cell>
          <cell r="W453" t="str">
            <v>30-2. 深夜のお茶会</v>
          </cell>
          <cell r="X453">
            <v>1</v>
          </cell>
          <cell r="Y453">
            <v>1</v>
          </cell>
          <cell r="Z453">
            <v>0</v>
          </cell>
          <cell r="AA453">
            <v>0</v>
          </cell>
          <cell r="AB453" t="str">
            <v>anytime</v>
          </cell>
          <cell r="AC453">
            <v>30</v>
          </cell>
          <cell r="AD453">
            <v>6</v>
          </cell>
          <cell r="AE453" t="str">
            <v>everyone</v>
          </cell>
        </row>
        <row r="454">
          <cell r="A454" t="str">
            <v>15030_4</v>
          </cell>
          <cell r="B454">
            <v>3</v>
          </cell>
          <cell r="C454">
            <v>15030</v>
          </cell>
          <cell r="D454" t="str">
            <v>30. 月夜のオールドシティ</v>
          </cell>
          <cell r="E454" t="str">
            <v>赤青DL6</v>
          </cell>
          <cell r="F454">
            <v>4</v>
          </cell>
          <cell r="G454" t="str">
            <v>ja</v>
          </cell>
          <cell r="H454" t="str">
            <v>30-4. 【1回のみ】ボーナスステージ</v>
          </cell>
          <cell r="I454" t="str">
            <v>ボーナス</v>
          </cell>
          <cell r="J454">
            <v>335</v>
          </cell>
          <cell r="K454">
            <v>1</v>
          </cell>
          <cell r="L454">
            <v>1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>
            <v>15030</v>
          </cell>
          <cell r="V454">
            <v>3</v>
          </cell>
          <cell r="W454" t="str">
            <v>30-3. 月影の襲撃者</v>
          </cell>
          <cell r="X454">
            <v>1</v>
          </cell>
          <cell r="Y454">
            <v>1</v>
          </cell>
          <cell r="Z454">
            <v>0</v>
          </cell>
          <cell r="AA454">
            <v>0</v>
          </cell>
          <cell r="AB454" t="str">
            <v>once</v>
          </cell>
          <cell r="AC454">
            <v>30</v>
          </cell>
          <cell r="AD454">
            <v>6</v>
          </cell>
          <cell r="AE454" t="str">
            <v>singleonly</v>
          </cell>
        </row>
        <row r="455">
          <cell r="A455" t="str">
            <v>15031_1</v>
          </cell>
          <cell r="B455">
            <v>3</v>
          </cell>
          <cell r="C455">
            <v>15031</v>
          </cell>
          <cell r="D455" t="str">
            <v>31. 桜花乱城</v>
          </cell>
          <cell r="E455" t="str">
            <v>混色DL6</v>
          </cell>
          <cell r="F455">
            <v>1</v>
          </cell>
          <cell r="G455" t="str">
            <v>ja</v>
          </cell>
          <cell r="H455" t="str">
            <v>31-1. 忍び寄る影</v>
          </cell>
          <cell r="J455" t="str">
            <v>NULL</v>
          </cell>
          <cell r="K455">
            <v>19</v>
          </cell>
          <cell r="L455">
            <v>5040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>
            <v>15030</v>
          </cell>
          <cell r="V455">
            <v>4</v>
          </cell>
          <cell r="W455" t="str">
            <v>30-4. 【1回のみ】ボーナスステージ</v>
          </cell>
          <cell r="X455">
            <v>1</v>
          </cell>
          <cell r="Y455">
            <v>1</v>
          </cell>
          <cell r="Z455">
            <v>1</v>
          </cell>
          <cell r="AA455">
            <v>1</v>
          </cell>
          <cell r="AB455" t="str">
            <v>anytime</v>
          </cell>
          <cell r="AC455">
            <v>31</v>
          </cell>
          <cell r="AD455">
            <v>6</v>
          </cell>
          <cell r="AE455" t="str">
            <v>everyone</v>
          </cell>
        </row>
        <row r="456">
          <cell r="A456" t="str">
            <v>15031_2</v>
          </cell>
          <cell r="B456">
            <v>3</v>
          </cell>
          <cell r="C456">
            <v>15031</v>
          </cell>
          <cell r="D456" t="str">
            <v>31. 桜花乱城</v>
          </cell>
          <cell r="E456" t="str">
            <v>混色DL6</v>
          </cell>
          <cell r="F456">
            <v>2</v>
          </cell>
          <cell r="G456" t="str">
            <v>ja</v>
          </cell>
          <cell r="H456" t="str">
            <v>31-2. 赤鉄の将</v>
          </cell>
          <cell r="J456" t="str">
            <v>NULL</v>
          </cell>
          <cell r="K456">
            <v>21</v>
          </cell>
          <cell r="L456">
            <v>5760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>
            <v>15031</v>
          </cell>
          <cell r="V456">
            <v>1</v>
          </cell>
          <cell r="W456" t="str">
            <v>31-1. 忍び寄る影</v>
          </cell>
          <cell r="X456">
            <v>1</v>
          </cell>
          <cell r="Y456">
            <v>1</v>
          </cell>
          <cell r="Z456">
            <v>1</v>
          </cell>
          <cell r="AA456">
            <v>1</v>
          </cell>
          <cell r="AB456" t="str">
            <v>anytime</v>
          </cell>
          <cell r="AC456">
            <v>31</v>
          </cell>
          <cell r="AD456">
            <v>6</v>
          </cell>
          <cell r="AE456" t="str">
            <v>everyone</v>
          </cell>
        </row>
        <row r="457">
          <cell r="A457" t="str">
            <v>15031_3</v>
          </cell>
          <cell r="B457">
            <v>3</v>
          </cell>
          <cell r="C457">
            <v>15031</v>
          </cell>
          <cell r="D457" t="str">
            <v>31. 桜花乱城</v>
          </cell>
          <cell r="E457" t="str">
            <v>混色DL6</v>
          </cell>
          <cell r="F457">
            <v>3</v>
          </cell>
          <cell r="G457" t="str">
            <v>ja</v>
          </cell>
          <cell r="H457" t="str">
            <v>31-3. 神域の試練</v>
          </cell>
          <cell r="J457" t="str">
            <v>NULL</v>
          </cell>
          <cell r="K457">
            <v>24</v>
          </cell>
          <cell r="L457">
            <v>7200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>
            <v>15031</v>
          </cell>
          <cell r="V457">
            <v>2</v>
          </cell>
          <cell r="W457" t="str">
            <v>31-2. 赤鉄の将</v>
          </cell>
          <cell r="X457">
            <v>1</v>
          </cell>
          <cell r="Y457">
            <v>1</v>
          </cell>
          <cell r="Z457">
            <v>1</v>
          </cell>
          <cell r="AA457">
            <v>1</v>
          </cell>
          <cell r="AB457" t="str">
            <v>anytime</v>
          </cell>
          <cell r="AC457">
            <v>31</v>
          </cell>
          <cell r="AD457">
            <v>6</v>
          </cell>
          <cell r="AE457" t="str">
            <v>everyone</v>
          </cell>
        </row>
        <row r="458">
          <cell r="A458" t="str">
            <v>15031_4</v>
          </cell>
          <cell r="B458">
            <v>3</v>
          </cell>
          <cell r="C458">
            <v>15031</v>
          </cell>
          <cell r="D458" t="str">
            <v>31. 桜花乱城</v>
          </cell>
          <cell r="E458" t="str">
            <v>混色DL6</v>
          </cell>
          <cell r="F458">
            <v>4</v>
          </cell>
          <cell r="G458" t="str">
            <v>ja</v>
          </cell>
          <cell r="H458" t="str">
            <v>31-4. 【1回のみ】ボーナスステージ</v>
          </cell>
          <cell r="I458" t="str">
            <v>ボーナス</v>
          </cell>
          <cell r="J458">
            <v>610</v>
          </cell>
          <cell r="K458">
            <v>1</v>
          </cell>
          <cell r="L458">
            <v>1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>
            <v>15031</v>
          </cell>
          <cell r="V458">
            <v>3</v>
          </cell>
          <cell r="W458" t="str">
            <v>31-3. 神域の試練</v>
          </cell>
          <cell r="X458">
            <v>1</v>
          </cell>
          <cell r="Y458">
            <v>1</v>
          </cell>
          <cell r="Z458">
            <v>1</v>
          </cell>
          <cell r="AA458">
            <v>1</v>
          </cell>
          <cell r="AB458" t="str">
            <v>once</v>
          </cell>
          <cell r="AC458">
            <v>31</v>
          </cell>
          <cell r="AD458">
            <v>6</v>
          </cell>
          <cell r="AE458" t="str">
            <v>singleonly</v>
          </cell>
        </row>
        <row r="459">
          <cell r="A459" t="str">
            <v>20001_1</v>
          </cell>
          <cell r="B459">
            <v>3</v>
          </cell>
          <cell r="C459">
            <v>20001</v>
          </cell>
          <cell r="D459" t="str">
            <v>紅き執行者</v>
          </cell>
          <cell r="E459" t="str">
            <v>ドロップイベント1-1</v>
          </cell>
          <cell r="F459">
            <v>1</v>
          </cell>
          <cell r="G459" t="str">
            <v>ja</v>
          </cell>
          <cell r="H459" t="str">
            <v xml:space="preserve">【初級】紅き執行者 </v>
          </cell>
          <cell r="I459" t="str">
            <v>初級</v>
          </cell>
          <cell r="J459">
            <v>262</v>
          </cell>
          <cell r="K459">
            <v>8</v>
          </cell>
          <cell r="L459">
            <v>384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14</v>
          </cell>
          <cell r="AD459">
            <v>6</v>
          </cell>
          <cell r="AE459" t="str">
            <v>everyone</v>
          </cell>
        </row>
        <row r="460">
          <cell r="A460" t="str">
            <v>20001_2</v>
          </cell>
          <cell r="B460">
            <v>3</v>
          </cell>
          <cell r="C460">
            <v>20001</v>
          </cell>
          <cell r="D460" t="str">
            <v>紅き執行者</v>
          </cell>
          <cell r="E460" t="str">
            <v>ドロップイベント1-1</v>
          </cell>
          <cell r="F460">
            <v>2</v>
          </cell>
          <cell r="G460" t="str">
            <v>ja</v>
          </cell>
          <cell r="H460" t="str">
            <v>【中級】紅き執行者</v>
          </cell>
          <cell r="I460" t="str">
            <v>中級</v>
          </cell>
          <cell r="J460">
            <v>262</v>
          </cell>
          <cell r="K460">
            <v>15</v>
          </cell>
          <cell r="L460">
            <v>1200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14</v>
          </cell>
          <cell r="AD460">
            <v>6</v>
          </cell>
          <cell r="AE460" t="str">
            <v>everyone</v>
          </cell>
        </row>
        <row r="461">
          <cell r="A461" t="str">
            <v>20001_3</v>
          </cell>
          <cell r="B461">
            <v>3</v>
          </cell>
          <cell r="C461">
            <v>20001</v>
          </cell>
          <cell r="D461" t="str">
            <v>紅き執行者</v>
          </cell>
          <cell r="E461" t="str">
            <v>ドロップイベント1-1</v>
          </cell>
          <cell r="F461">
            <v>3</v>
          </cell>
          <cell r="G461" t="str">
            <v>ja</v>
          </cell>
          <cell r="H461" t="str">
            <v xml:space="preserve">【上級】紅き執行者 </v>
          </cell>
          <cell r="I461" t="str">
            <v>上級</v>
          </cell>
          <cell r="J461">
            <v>263</v>
          </cell>
          <cell r="K461">
            <v>20</v>
          </cell>
          <cell r="L461">
            <v>2000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polygon</v>
          </cell>
          <cell r="T461">
            <v>1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14</v>
          </cell>
          <cell r="AD461">
            <v>6</v>
          </cell>
          <cell r="AE461" t="str">
            <v>everyone</v>
          </cell>
        </row>
        <row r="462">
          <cell r="A462" t="str">
            <v>20002_1</v>
          </cell>
          <cell r="B462">
            <v>3</v>
          </cell>
          <cell r="C462">
            <v>20002</v>
          </cell>
          <cell r="D462" t="str">
            <v>孤高の一角獣</v>
          </cell>
          <cell r="E462" t="str">
            <v>ドロップイベント1-2</v>
          </cell>
          <cell r="F462">
            <v>1</v>
          </cell>
          <cell r="G462" t="str">
            <v>ja</v>
          </cell>
          <cell r="H462" t="str">
            <v>【初級】孤高の一角獣</v>
          </cell>
          <cell r="I462" t="str">
            <v>初級</v>
          </cell>
          <cell r="J462">
            <v>264</v>
          </cell>
          <cell r="K462">
            <v>8</v>
          </cell>
          <cell r="L462">
            <v>384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0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19</v>
          </cell>
          <cell r="AD462">
            <v>6</v>
          </cell>
          <cell r="AE462" t="str">
            <v>everyone</v>
          </cell>
        </row>
        <row r="463">
          <cell r="A463" t="str">
            <v>20002_2</v>
          </cell>
          <cell r="B463">
            <v>3</v>
          </cell>
          <cell r="C463">
            <v>20002</v>
          </cell>
          <cell r="D463" t="str">
            <v>孤高の一角獣</v>
          </cell>
          <cell r="E463" t="str">
            <v>ドロップイベント1-2</v>
          </cell>
          <cell r="F463">
            <v>2</v>
          </cell>
          <cell r="G463" t="str">
            <v>ja</v>
          </cell>
          <cell r="H463" t="str">
            <v>【中級】孤高の一角獣</v>
          </cell>
          <cell r="I463" t="str">
            <v>中級</v>
          </cell>
          <cell r="J463">
            <v>264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0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19</v>
          </cell>
          <cell r="AD463">
            <v>6</v>
          </cell>
          <cell r="AE463" t="str">
            <v>everyone</v>
          </cell>
        </row>
        <row r="464">
          <cell r="A464" t="str">
            <v>20002_3</v>
          </cell>
          <cell r="B464">
            <v>3</v>
          </cell>
          <cell r="C464">
            <v>20002</v>
          </cell>
          <cell r="D464" t="str">
            <v>孤高の一角獣</v>
          </cell>
          <cell r="E464" t="str">
            <v>ドロップイベント1-2</v>
          </cell>
          <cell r="F464">
            <v>3</v>
          </cell>
          <cell r="G464" t="str">
            <v>ja</v>
          </cell>
          <cell r="H464" t="str">
            <v>【上級】孤高の一角獣</v>
          </cell>
          <cell r="I464" t="str">
            <v>上級</v>
          </cell>
          <cell r="J464">
            <v>265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0</v>
          </cell>
          <cell r="R464">
            <v>3</v>
          </cell>
          <cell r="S464" t="str">
            <v>polygon</v>
          </cell>
          <cell r="T464">
            <v>1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19</v>
          </cell>
          <cell r="AD464">
            <v>6</v>
          </cell>
          <cell r="AE464" t="str">
            <v>everyone</v>
          </cell>
        </row>
        <row r="465">
          <cell r="A465" t="str">
            <v>20003_1</v>
          </cell>
          <cell r="B465">
            <v>3</v>
          </cell>
          <cell r="C465">
            <v>20003</v>
          </cell>
          <cell r="D465" t="str">
            <v>忍び寄る短剣</v>
          </cell>
          <cell r="E465" t="str">
            <v>ドロップイベント1-3</v>
          </cell>
          <cell r="F465">
            <v>1</v>
          </cell>
          <cell r="G465" t="str">
            <v>ja</v>
          </cell>
          <cell r="H465" t="str">
            <v xml:space="preserve">【初級】忍び寄る短剣 </v>
          </cell>
          <cell r="I465" t="str">
            <v>初級</v>
          </cell>
          <cell r="J465">
            <v>266</v>
          </cell>
          <cell r="K465">
            <v>8</v>
          </cell>
          <cell r="L465">
            <v>384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11</v>
          </cell>
          <cell r="AD465">
            <v>6</v>
          </cell>
          <cell r="AE465" t="str">
            <v>everyone</v>
          </cell>
        </row>
        <row r="466">
          <cell r="A466" t="str">
            <v>20003_2</v>
          </cell>
          <cell r="B466">
            <v>3</v>
          </cell>
          <cell r="C466">
            <v>20003</v>
          </cell>
          <cell r="D466" t="str">
            <v>忍び寄る短剣</v>
          </cell>
          <cell r="E466" t="str">
            <v>ドロップイベント1-3</v>
          </cell>
          <cell r="F466">
            <v>2</v>
          </cell>
          <cell r="G466" t="str">
            <v>ja</v>
          </cell>
          <cell r="H466" t="str">
            <v xml:space="preserve">【中級】忍び寄る短剣 </v>
          </cell>
          <cell r="I466" t="str">
            <v>中級</v>
          </cell>
          <cell r="J466">
            <v>266</v>
          </cell>
          <cell r="K466">
            <v>15</v>
          </cell>
          <cell r="L466">
            <v>1200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11</v>
          </cell>
          <cell r="AD466">
            <v>6</v>
          </cell>
          <cell r="AE466" t="str">
            <v>everyone</v>
          </cell>
        </row>
        <row r="467">
          <cell r="A467" t="str">
            <v>20003_3</v>
          </cell>
          <cell r="B467">
            <v>3</v>
          </cell>
          <cell r="C467">
            <v>20003</v>
          </cell>
          <cell r="D467" t="str">
            <v>忍び寄る短剣</v>
          </cell>
          <cell r="E467" t="str">
            <v>ドロップイベント1-3</v>
          </cell>
          <cell r="F467">
            <v>3</v>
          </cell>
          <cell r="G467" t="str">
            <v>ja</v>
          </cell>
          <cell r="H467" t="str">
            <v xml:space="preserve">【上級】忍び寄る短剣 </v>
          </cell>
          <cell r="I467" t="str">
            <v>上級</v>
          </cell>
          <cell r="J467">
            <v>267</v>
          </cell>
          <cell r="K467">
            <v>20</v>
          </cell>
          <cell r="L467">
            <v>2000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polygon</v>
          </cell>
          <cell r="T467">
            <v>1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11</v>
          </cell>
          <cell r="AD467">
            <v>6</v>
          </cell>
          <cell r="AE467" t="str">
            <v>everyone</v>
          </cell>
        </row>
        <row r="468">
          <cell r="A468" t="str">
            <v>20004_1</v>
          </cell>
          <cell r="B468">
            <v>3</v>
          </cell>
          <cell r="C468">
            <v>20004</v>
          </cell>
          <cell r="D468" t="str">
            <v>雷雲からの刺客</v>
          </cell>
          <cell r="E468" t="str">
            <v>ドロップイベント1-4</v>
          </cell>
          <cell r="F468">
            <v>1</v>
          </cell>
          <cell r="G468" t="str">
            <v>ja</v>
          </cell>
          <cell r="H468" t="str">
            <v>【初級】雷雲からの刺客</v>
          </cell>
          <cell r="I468" t="str">
            <v>初級</v>
          </cell>
          <cell r="J468">
            <v>268</v>
          </cell>
          <cell r="K468">
            <v>8</v>
          </cell>
          <cell r="L468">
            <v>384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4</v>
          </cell>
          <cell r="AD468">
            <v>6</v>
          </cell>
          <cell r="AE468" t="str">
            <v>everyone</v>
          </cell>
        </row>
        <row r="469">
          <cell r="A469" t="str">
            <v>20004_2</v>
          </cell>
          <cell r="B469">
            <v>3</v>
          </cell>
          <cell r="C469">
            <v>20004</v>
          </cell>
          <cell r="D469" t="str">
            <v>雷雲からの刺客</v>
          </cell>
          <cell r="E469" t="str">
            <v>ドロップイベント1-4</v>
          </cell>
          <cell r="F469">
            <v>2</v>
          </cell>
          <cell r="G469" t="str">
            <v>ja</v>
          </cell>
          <cell r="H469" t="str">
            <v>【中級】雷雲からの刺客</v>
          </cell>
          <cell r="I469" t="str">
            <v>中級</v>
          </cell>
          <cell r="J469">
            <v>268</v>
          </cell>
          <cell r="K469">
            <v>15</v>
          </cell>
          <cell r="L469">
            <v>1200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4</v>
          </cell>
          <cell r="AD469">
            <v>6</v>
          </cell>
          <cell r="AE469" t="str">
            <v>everyone</v>
          </cell>
        </row>
        <row r="470">
          <cell r="A470" t="str">
            <v>20004_3</v>
          </cell>
          <cell r="B470">
            <v>3</v>
          </cell>
          <cell r="C470">
            <v>20004</v>
          </cell>
          <cell r="D470" t="str">
            <v>雷雲からの刺客</v>
          </cell>
          <cell r="E470" t="str">
            <v>ドロップイベント1-4</v>
          </cell>
          <cell r="F470">
            <v>3</v>
          </cell>
          <cell r="G470" t="str">
            <v>ja</v>
          </cell>
          <cell r="H470" t="str">
            <v>【上級】雷雲からの刺客</v>
          </cell>
          <cell r="I470" t="str">
            <v>上級</v>
          </cell>
          <cell r="J470">
            <v>269</v>
          </cell>
          <cell r="K470">
            <v>20</v>
          </cell>
          <cell r="L470">
            <v>2000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3</v>
          </cell>
          <cell r="S470" t="str">
            <v>polygon</v>
          </cell>
          <cell r="T470">
            <v>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4</v>
          </cell>
          <cell r="AD470">
            <v>6</v>
          </cell>
          <cell r="AE470" t="str">
            <v>everyone</v>
          </cell>
        </row>
        <row r="471">
          <cell r="A471" t="str">
            <v>20005_1</v>
          </cell>
          <cell r="B471">
            <v>3</v>
          </cell>
          <cell r="C471">
            <v>20005</v>
          </cell>
          <cell r="D471" t="str">
            <v>ザ・キャノン</v>
          </cell>
          <cell r="E471" t="str">
            <v>ドロップイベント2-2</v>
          </cell>
          <cell r="F471">
            <v>1</v>
          </cell>
          <cell r="G471" t="str">
            <v>ja</v>
          </cell>
          <cell r="H471" t="str">
            <v>【初級】ザ・キャノン(4タップ）</v>
          </cell>
          <cell r="I471" t="str">
            <v>初級</v>
          </cell>
          <cell r="J471">
            <v>286</v>
          </cell>
          <cell r="K471">
            <v>8</v>
          </cell>
          <cell r="L471">
            <v>384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4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14</v>
          </cell>
          <cell r="AD471">
            <v>6</v>
          </cell>
          <cell r="AE471" t="str">
            <v>everyone</v>
          </cell>
        </row>
        <row r="472">
          <cell r="A472" t="str">
            <v>20005_2</v>
          </cell>
          <cell r="B472">
            <v>3</v>
          </cell>
          <cell r="C472">
            <v>20005</v>
          </cell>
          <cell r="D472" t="str">
            <v>ザ・キャノン</v>
          </cell>
          <cell r="E472" t="str">
            <v>ドロップイベント2-2</v>
          </cell>
          <cell r="F472">
            <v>2</v>
          </cell>
          <cell r="G472" t="str">
            <v>ja</v>
          </cell>
          <cell r="H472" t="str">
            <v>【中級】ザ・キャノン(4タップ)</v>
          </cell>
          <cell r="I472" t="str">
            <v>中級</v>
          </cell>
          <cell r="J472">
            <v>286</v>
          </cell>
          <cell r="K472">
            <v>15</v>
          </cell>
          <cell r="L472">
            <v>1200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4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14</v>
          </cell>
          <cell r="AD472">
            <v>6</v>
          </cell>
          <cell r="AE472" t="str">
            <v>everyone</v>
          </cell>
        </row>
        <row r="473">
          <cell r="A473" t="str">
            <v>20005_3</v>
          </cell>
          <cell r="B473">
            <v>3</v>
          </cell>
          <cell r="C473">
            <v>20005</v>
          </cell>
          <cell r="D473" t="str">
            <v>ザ・キャノン</v>
          </cell>
          <cell r="E473" t="str">
            <v>ドロップイベント2-2</v>
          </cell>
          <cell r="F473">
            <v>3</v>
          </cell>
          <cell r="G473" t="str">
            <v>ja</v>
          </cell>
          <cell r="H473" t="str">
            <v>【上級】ザ・キャノン(4タップ)</v>
          </cell>
          <cell r="I473" t="str">
            <v>上級</v>
          </cell>
          <cell r="J473">
            <v>287</v>
          </cell>
          <cell r="K473">
            <v>20</v>
          </cell>
          <cell r="L473">
            <v>2000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4</v>
          </cell>
          <cell r="S473" t="str">
            <v>polygon</v>
          </cell>
          <cell r="T473">
            <v>1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14</v>
          </cell>
          <cell r="AD473">
            <v>6</v>
          </cell>
          <cell r="AE473" t="str">
            <v>everyone</v>
          </cell>
        </row>
        <row r="474">
          <cell r="A474" t="str">
            <v>20006_1</v>
          </cell>
          <cell r="B474">
            <v>3</v>
          </cell>
          <cell r="C474">
            <v>20006</v>
          </cell>
          <cell r="D474" t="str">
            <v>スチール・プレデター</v>
          </cell>
          <cell r="E474" t="str">
            <v>ドロップイベント2-3</v>
          </cell>
          <cell r="F474">
            <v>1</v>
          </cell>
          <cell r="G474" t="str">
            <v>ja</v>
          </cell>
          <cell r="H474" t="str">
            <v>【初級】スチール・プレデター</v>
          </cell>
          <cell r="I474" t="str">
            <v>初級</v>
          </cell>
          <cell r="J474">
            <v>280</v>
          </cell>
          <cell r="K474">
            <v>8</v>
          </cell>
          <cell r="L474">
            <v>384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2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19</v>
          </cell>
          <cell r="AD474">
            <v>6</v>
          </cell>
          <cell r="AE474" t="str">
            <v>everyone</v>
          </cell>
        </row>
        <row r="475">
          <cell r="A475" t="str">
            <v>20006_2</v>
          </cell>
          <cell r="B475">
            <v>3</v>
          </cell>
          <cell r="C475">
            <v>20006</v>
          </cell>
          <cell r="D475" t="str">
            <v>スチール・プレデター</v>
          </cell>
          <cell r="E475" t="str">
            <v>ドロップイベント2-3</v>
          </cell>
          <cell r="F475">
            <v>2</v>
          </cell>
          <cell r="G475" t="str">
            <v>ja</v>
          </cell>
          <cell r="H475" t="str">
            <v>【中級】スチール・プレデター</v>
          </cell>
          <cell r="I475" t="str">
            <v>中級</v>
          </cell>
          <cell r="J475">
            <v>280</v>
          </cell>
          <cell r="K475">
            <v>15</v>
          </cell>
          <cell r="L475">
            <v>1200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2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19</v>
          </cell>
          <cell r="AD475">
            <v>6</v>
          </cell>
          <cell r="AE475" t="str">
            <v>everyone</v>
          </cell>
        </row>
        <row r="476">
          <cell r="A476" t="str">
            <v>20006_3</v>
          </cell>
          <cell r="B476">
            <v>3</v>
          </cell>
          <cell r="C476">
            <v>20006</v>
          </cell>
          <cell r="D476" t="str">
            <v>スチール・プレデター</v>
          </cell>
          <cell r="E476" t="str">
            <v>ドロップイベント2-3</v>
          </cell>
          <cell r="F476">
            <v>3</v>
          </cell>
          <cell r="G476" t="str">
            <v>ja</v>
          </cell>
          <cell r="H476" t="str">
            <v>【上級】スチール・プレデター</v>
          </cell>
          <cell r="I476" t="str">
            <v>上級</v>
          </cell>
          <cell r="J476">
            <v>281</v>
          </cell>
          <cell r="K476">
            <v>20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2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19</v>
          </cell>
          <cell r="AD476">
            <v>6</v>
          </cell>
          <cell r="AE476" t="str">
            <v>everyone</v>
          </cell>
        </row>
        <row r="477">
          <cell r="A477" t="str">
            <v>20007_1</v>
          </cell>
          <cell r="B477">
            <v>3</v>
          </cell>
          <cell r="C477">
            <v>20007</v>
          </cell>
          <cell r="D477" t="str">
            <v>女王陛下の処刑龍</v>
          </cell>
          <cell r="E477" t="str">
            <v>ドロップイベント2-1</v>
          </cell>
          <cell r="F477">
            <v>1</v>
          </cell>
          <cell r="G477" t="str">
            <v>ja</v>
          </cell>
          <cell r="H477" t="str">
            <v>【初級】女王陛下の処刑龍</v>
          </cell>
          <cell r="I477" t="str">
            <v>初級</v>
          </cell>
          <cell r="J477">
            <v>282</v>
          </cell>
          <cell r="K477">
            <v>8</v>
          </cell>
          <cell r="L477">
            <v>384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4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17</v>
          </cell>
          <cell r="AD477">
            <v>6</v>
          </cell>
          <cell r="AE477" t="str">
            <v>everyone</v>
          </cell>
        </row>
        <row r="478">
          <cell r="A478" t="str">
            <v>20007_2</v>
          </cell>
          <cell r="B478">
            <v>3</v>
          </cell>
          <cell r="C478">
            <v>20007</v>
          </cell>
          <cell r="D478" t="str">
            <v>女王陛下の処刑龍</v>
          </cell>
          <cell r="E478" t="str">
            <v>ドロップイベント2-1</v>
          </cell>
          <cell r="F478">
            <v>2</v>
          </cell>
          <cell r="G478" t="str">
            <v>ja</v>
          </cell>
          <cell r="H478" t="str">
            <v>【中級】女王陛下の処刑龍</v>
          </cell>
          <cell r="I478" t="str">
            <v>中級</v>
          </cell>
          <cell r="J478">
            <v>282</v>
          </cell>
          <cell r="K478">
            <v>15</v>
          </cell>
          <cell r="L478">
            <v>1200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4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17</v>
          </cell>
          <cell r="AD478">
            <v>6</v>
          </cell>
          <cell r="AE478" t="str">
            <v>everyone</v>
          </cell>
        </row>
        <row r="479">
          <cell r="A479" t="str">
            <v>20007_3</v>
          </cell>
          <cell r="B479">
            <v>3</v>
          </cell>
          <cell r="C479">
            <v>20007</v>
          </cell>
          <cell r="D479" t="str">
            <v>女王陛下の処刑龍</v>
          </cell>
          <cell r="E479" t="str">
            <v>ドロップイベント2-1</v>
          </cell>
          <cell r="F479">
            <v>3</v>
          </cell>
          <cell r="G479" t="str">
            <v>ja</v>
          </cell>
          <cell r="H479" t="str">
            <v>【上級】女王陛下の処刑龍</v>
          </cell>
          <cell r="I479" t="str">
            <v>上級</v>
          </cell>
          <cell r="J479">
            <v>283</v>
          </cell>
          <cell r="K479">
            <v>20</v>
          </cell>
          <cell r="L479">
            <v>2000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4</v>
          </cell>
          <cell r="S479" t="str">
            <v>polygon</v>
          </cell>
          <cell r="T479">
            <v>1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17</v>
          </cell>
          <cell r="AD479">
            <v>6</v>
          </cell>
          <cell r="AE479" t="str">
            <v>everyone</v>
          </cell>
        </row>
        <row r="480">
          <cell r="A480" t="str">
            <v>20008_1</v>
          </cell>
          <cell r="B480">
            <v>3</v>
          </cell>
          <cell r="C480">
            <v>20008</v>
          </cell>
          <cell r="D480" t="str">
            <v>天翔ける金轟機龍</v>
          </cell>
          <cell r="E480" t="str">
            <v>ドロップイベント2-4</v>
          </cell>
          <cell r="F480">
            <v>1</v>
          </cell>
          <cell r="G480" t="str">
            <v>ja</v>
          </cell>
          <cell r="H480" t="str">
            <v>【初級】天翔ける金轟機龍</v>
          </cell>
          <cell r="I480" t="str">
            <v>初級</v>
          </cell>
          <cell r="J480">
            <v>284</v>
          </cell>
          <cell r="K480">
            <v>8</v>
          </cell>
          <cell r="L480">
            <v>384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8</v>
          </cell>
          <cell r="AD480">
            <v>6</v>
          </cell>
          <cell r="AE480" t="str">
            <v>everyone</v>
          </cell>
        </row>
        <row r="481">
          <cell r="A481" t="str">
            <v>20008_2</v>
          </cell>
          <cell r="B481">
            <v>3</v>
          </cell>
          <cell r="C481">
            <v>20008</v>
          </cell>
          <cell r="D481" t="str">
            <v>天翔ける金轟機龍</v>
          </cell>
          <cell r="E481" t="str">
            <v>ドロップイベント2-4</v>
          </cell>
          <cell r="F481">
            <v>2</v>
          </cell>
          <cell r="G481" t="str">
            <v>ja</v>
          </cell>
          <cell r="H481" t="str">
            <v>【中級】天翔ける金轟機龍</v>
          </cell>
          <cell r="I481" t="str">
            <v>中級</v>
          </cell>
          <cell r="J481">
            <v>284</v>
          </cell>
          <cell r="K481">
            <v>15</v>
          </cell>
          <cell r="L481">
            <v>1200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8</v>
          </cell>
          <cell r="AD481">
            <v>6</v>
          </cell>
          <cell r="AE481" t="str">
            <v>everyone</v>
          </cell>
        </row>
        <row r="482">
          <cell r="A482" t="str">
            <v>20008_3</v>
          </cell>
          <cell r="B482">
            <v>3</v>
          </cell>
          <cell r="C482">
            <v>20008</v>
          </cell>
          <cell r="D482" t="str">
            <v>天翔ける金轟機龍</v>
          </cell>
          <cell r="E482" t="str">
            <v>ドロップイベント2-4</v>
          </cell>
          <cell r="F482">
            <v>3</v>
          </cell>
          <cell r="G482" t="str">
            <v>ja</v>
          </cell>
          <cell r="H482" t="str">
            <v>【上級】天翔ける金轟機龍</v>
          </cell>
          <cell r="I482" t="str">
            <v>上級</v>
          </cell>
          <cell r="J482">
            <v>285</v>
          </cell>
          <cell r="K482">
            <v>20</v>
          </cell>
          <cell r="L482">
            <v>2000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polygon</v>
          </cell>
          <cell r="T482">
            <v>1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8</v>
          </cell>
          <cell r="AD482">
            <v>6</v>
          </cell>
          <cell r="AE482" t="str">
            <v>everyone</v>
          </cell>
        </row>
        <row r="483">
          <cell r="A483" t="str">
            <v>20009_1</v>
          </cell>
          <cell r="B483">
            <v>0</v>
          </cell>
          <cell r="C483">
            <v>20009</v>
          </cell>
          <cell r="D483" t="str">
            <v>迫り来る窒息</v>
          </cell>
          <cell r="E483" t="str">
            <v>ドロップイベント3</v>
          </cell>
          <cell r="F483">
            <v>1</v>
          </cell>
          <cell r="G483" t="str">
            <v>ja</v>
          </cell>
          <cell r="H483" t="str">
            <v>【初級】迫り来る窒息</v>
          </cell>
          <cell r="I483" t="str">
            <v>初級</v>
          </cell>
          <cell r="J483" t="str">
            <v>NULL</v>
          </cell>
          <cell r="K483">
            <v>8</v>
          </cell>
          <cell r="L483">
            <v>384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25</v>
          </cell>
          <cell r="AD483">
            <v>5</v>
          </cell>
          <cell r="AE483" t="str">
            <v>everyone</v>
          </cell>
        </row>
        <row r="484">
          <cell r="A484" t="str">
            <v>20009_2</v>
          </cell>
          <cell r="B484">
            <v>3</v>
          </cell>
          <cell r="C484">
            <v>20009</v>
          </cell>
          <cell r="D484" t="str">
            <v>迫り来る窒息</v>
          </cell>
          <cell r="E484" t="str">
            <v>ドロップイベント3</v>
          </cell>
          <cell r="F484">
            <v>2</v>
          </cell>
          <cell r="G484" t="str">
            <v>ja</v>
          </cell>
          <cell r="H484" t="str">
            <v>【中級】迫り来る窒息</v>
          </cell>
          <cell r="I484" t="str">
            <v>中級</v>
          </cell>
          <cell r="J484">
            <v>302</v>
          </cell>
          <cell r="K484">
            <v>15</v>
          </cell>
          <cell r="L484">
            <v>1200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25</v>
          </cell>
          <cell r="AD484">
            <v>5</v>
          </cell>
          <cell r="AE484" t="str">
            <v>everyone</v>
          </cell>
        </row>
        <row r="485">
          <cell r="A485" t="str">
            <v>20009_3</v>
          </cell>
          <cell r="B485">
            <v>3</v>
          </cell>
          <cell r="C485">
            <v>20009</v>
          </cell>
          <cell r="D485" t="str">
            <v>迫り来る窒息</v>
          </cell>
          <cell r="E485" t="str">
            <v>ドロップイベント3</v>
          </cell>
          <cell r="F485">
            <v>3</v>
          </cell>
          <cell r="G485" t="str">
            <v>ja</v>
          </cell>
          <cell r="H485" t="str">
            <v>【上級】迫り来る窒息</v>
          </cell>
          <cell r="I485" t="str">
            <v>上級</v>
          </cell>
          <cell r="J485">
            <v>303</v>
          </cell>
          <cell r="K485">
            <v>20</v>
          </cell>
          <cell r="L485">
            <v>2000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polygon</v>
          </cell>
          <cell r="T485">
            <v>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25</v>
          </cell>
          <cell r="AD485">
            <v>5</v>
          </cell>
          <cell r="AE485" t="str">
            <v>everyone</v>
          </cell>
        </row>
        <row r="486">
          <cell r="A486" t="str">
            <v>20010_1</v>
          </cell>
          <cell r="B486">
            <v>3</v>
          </cell>
          <cell r="C486">
            <v>20010</v>
          </cell>
          <cell r="D486" t="str">
            <v>悪夢の一目惚れ</v>
          </cell>
          <cell r="E486" t="str">
            <v>ドロップイベント3</v>
          </cell>
          <cell r="F486">
            <v>1</v>
          </cell>
          <cell r="G486" t="str">
            <v>ja</v>
          </cell>
          <cell r="H486" t="str">
            <v>【初級】悪夢の一目惚れ</v>
          </cell>
          <cell r="I486" t="str">
            <v>初級</v>
          </cell>
          <cell r="J486">
            <v>304</v>
          </cell>
          <cell r="K486">
            <v>8</v>
          </cell>
          <cell r="L486">
            <v>384</v>
          </cell>
          <cell r="M486">
            <v>1</v>
          </cell>
          <cell r="N486">
            <v>1</v>
          </cell>
          <cell r="O486">
            <v>0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2601</v>
          </cell>
          <cell r="AD486">
            <v>6</v>
          </cell>
          <cell r="AE486" t="str">
            <v>everyone</v>
          </cell>
        </row>
        <row r="487">
          <cell r="A487" t="str">
            <v>20010_2</v>
          </cell>
          <cell r="B487">
            <v>3</v>
          </cell>
          <cell r="C487">
            <v>20010</v>
          </cell>
          <cell r="D487" t="str">
            <v>悪夢の一目惚れ</v>
          </cell>
          <cell r="E487" t="str">
            <v>ドロップイベント3</v>
          </cell>
          <cell r="F487">
            <v>2</v>
          </cell>
          <cell r="G487" t="str">
            <v>ja</v>
          </cell>
          <cell r="H487" t="str">
            <v>【中級】悪夢の一目惚れ</v>
          </cell>
          <cell r="I487" t="str">
            <v>中級</v>
          </cell>
          <cell r="J487">
            <v>304</v>
          </cell>
          <cell r="K487">
            <v>15</v>
          </cell>
          <cell r="L487">
            <v>1200</v>
          </cell>
          <cell r="M487">
            <v>1</v>
          </cell>
          <cell r="N487">
            <v>1</v>
          </cell>
          <cell r="O487">
            <v>0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2601</v>
          </cell>
          <cell r="AD487">
            <v>6</v>
          </cell>
          <cell r="AE487" t="str">
            <v>everyone</v>
          </cell>
        </row>
        <row r="488">
          <cell r="A488" t="str">
            <v>20010_3</v>
          </cell>
          <cell r="B488">
            <v>3</v>
          </cell>
          <cell r="C488">
            <v>20010</v>
          </cell>
          <cell r="D488" t="str">
            <v>悪夢の一目惚れ</v>
          </cell>
          <cell r="E488" t="str">
            <v>ドロップイベント3</v>
          </cell>
          <cell r="F488">
            <v>3</v>
          </cell>
          <cell r="G488" t="str">
            <v>ja</v>
          </cell>
          <cell r="H488" t="str">
            <v>【上級】悪夢の一目惚れ</v>
          </cell>
          <cell r="I488" t="str">
            <v>上級</v>
          </cell>
          <cell r="J488">
            <v>305</v>
          </cell>
          <cell r="K488">
            <v>20</v>
          </cell>
          <cell r="L488">
            <v>2000</v>
          </cell>
          <cell r="M488">
            <v>1</v>
          </cell>
          <cell r="N488">
            <v>1</v>
          </cell>
          <cell r="O488">
            <v>0</v>
          </cell>
          <cell r="P488">
            <v>1</v>
          </cell>
          <cell r="Q488">
            <v>1</v>
          </cell>
          <cell r="R488">
            <v>3</v>
          </cell>
          <cell r="S488" t="str">
            <v>polygon</v>
          </cell>
          <cell r="T488">
            <v>1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2601</v>
          </cell>
          <cell r="AD488">
            <v>6</v>
          </cell>
          <cell r="AE488" t="str">
            <v>everyone</v>
          </cell>
        </row>
        <row r="489">
          <cell r="A489" t="str">
            <v>20011_1</v>
          </cell>
          <cell r="B489">
            <v>3</v>
          </cell>
          <cell r="C489">
            <v>20011</v>
          </cell>
          <cell r="D489" t="str">
            <v>すべてが灰になる</v>
          </cell>
          <cell r="E489" t="str">
            <v>ドロップイベント3</v>
          </cell>
          <cell r="F489">
            <v>1</v>
          </cell>
          <cell r="G489" t="str">
            <v>ja</v>
          </cell>
          <cell r="H489" t="str">
            <v>【初級】すべてが灰になる</v>
          </cell>
          <cell r="I489" t="str">
            <v>初級</v>
          </cell>
          <cell r="J489">
            <v>298</v>
          </cell>
          <cell r="K489">
            <v>8</v>
          </cell>
          <cell r="L489">
            <v>384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10</v>
          </cell>
          <cell r="AD489">
            <v>5</v>
          </cell>
          <cell r="AE489" t="str">
            <v>everyone</v>
          </cell>
        </row>
        <row r="490">
          <cell r="A490" t="str">
            <v>20011_2</v>
          </cell>
          <cell r="B490">
            <v>3</v>
          </cell>
          <cell r="C490">
            <v>20011</v>
          </cell>
          <cell r="D490" t="str">
            <v>すべてが灰になる</v>
          </cell>
          <cell r="E490" t="str">
            <v>ドロップイベント3</v>
          </cell>
          <cell r="F490">
            <v>2</v>
          </cell>
          <cell r="G490" t="str">
            <v>ja</v>
          </cell>
          <cell r="H490" t="str">
            <v>【中級】すべてが灰になる</v>
          </cell>
          <cell r="I490" t="str">
            <v>中級</v>
          </cell>
          <cell r="J490">
            <v>298</v>
          </cell>
          <cell r="K490">
            <v>15</v>
          </cell>
          <cell r="L490">
            <v>1200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10</v>
          </cell>
          <cell r="AD490">
            <v>5</v>
          </cell>
          <cell r="AE490" t="str">
            <v>everyone</v>
          </cell>
        </row>
        <row r="491">
          <cell r="A491" t="str">
            <v>20011_3</v>
          </cell>
          <cell r="B491">
            <v>3</v>
          </cell>
          <cell r="C491">
            <v>20011</v>
          </cell>
          <cell r="D491" t="str">
            <v>すべてが灰になる</v>
          </cell>
          <cell r="E491" t="str">
            <v>ドロップイベント3</v>
          </cell>
          <cell r="F491">
            <v>3</v>
          </cell>
          <cell r="G491" t="str">
            <v>ja</v>
          </cell>
          <cell r="H491" t="str">
            <v>【上級】すべてが灰になる</v>
          </cell>
          <cell r="I491" t="str">
            <v>上級</v>
          </cell>
          <cell r="J491">
            <v>299</v>
          </cell>
          <cell r="K491">
            <v>20</v>
          </cell>
          <cell r="L491">
            <v>2000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polygon</v>
          </cell>
          <cell r="T491">
            <v>1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10</v>
          </cell>
          <cell r="AD491">
            <v>5</v>
          </cell>
          <cell r="AE491" t="str">
            <v>everyone</v>
          </cell>
        </row>
        <row r="492">
          <cell r="A492" t="str">
            <v>20012_1</v>
          </cell>
          <cell r="B492">
            <v>3</v>
          </cell>
          <cell r="C492">
            <v>20012</v>
          </cell>
          <cell r="D492" t="str">
            <v>罪と劇薬</v>
          </cell>
          <cell r="E492" t="str">
            <v>ドロップイベント3</v>
          </cell>
          <cell r="F492">
            <v>1</v>
          </cell>
          <cell r="G492" t="str">
            <v>ja</v>
          </cell>
          <cell r="H492" t="str">
            <v>【初級】罪と劇薬</v>
          </cell>
          <cell r="I492" t="str">
            <v>初級</v>
          </cell>
          <cell r="J492">
            <v>300</v>
          </cell>
          <cell r="K492">
            <v>8</v>
          </cell>
          <cell r="L492">
            <v>384</v>
          </cell>
          <cell r="M492">
            <v>0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19</v>
          </cell>
          <cell r="AD492">
            <v>6</v>
          </cell>
          <cell r="AE492" t="str">
            <v>everyone</v>
          </cell>
        </row>
        <row r="493">
          <cell r="A493" t="str">
            <v>20012_2</v>
          </cell>
          <cell r="B493">
            <v>3</v>
          </cell>
          <cell r="C493">
            <v>20012</v>
          </cell>
          <cell r="D493" t="str">
            <v>罪と劇薬</v>
          </cell>
          <cell r="E493" t="str">
            <v>ドロップイベント3</v>
          </cell>
          <cell r="F493">
            <v>2</v>
          </cell>
          <cell r="G493" t="str">
            <v>ja</v>
          </cell>
          <cell r="H493" t="str">
            <v>【中級】罪と劇薬</v>
          </cell>
          <cell r="I493" t="str">
            <v>中級</v>
          </cell>
          <cell r="J493">
            <v>300</v>
          </cell>
          <cell r="K493">
            <v>15</v>
          </cell>
          <cell r="L493">
            <v>1200</v>
          </cell>
          <cell r="M493">
            <v>0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19</v>
          </cell>
          <cell r="AD493">
            <v>6</v>
          </cell>
          <cell r="AE493" t="str">
            <v>everyone</v>
          </cell>
        </row>
        <row r="494">
          <cell r="A494" t="str">
            <v>20012_3</v>
          </cell>
          <cell r="B494">
            <v>3</v>
          </cell>
          <cell r="C494">
            <v>20012</v>
          </cell>
          <cell r="D494" t="str">
            <v>罪と劇薬</v>
          </cell>
          <cell r="E494" t="str">
            <v>ドロップイベント3</v>
          </cell>
          <cell r="F494">
            <v>3</v>
          </cell>
          <cell r="G494" t="str">
            <v>ja</v>
          </cell>
          <cell r="H494" t="str">
            <v>【上級】罪と劇薬</v>
          </cell>
          <cell r="I494" t="str">
            <v>上級</v>
          </cell>
          <cell r="J494">
            <v>301</v>
          </cell>
          <cell r="K494">
            <v>20</v>
          </cell>
          <cell r="L494">
            <v>2000</v>
          </cell>
          <cell r="M494">
            <v>0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polygon</v>
          </cell>
          <cell r="T494">
            <v>1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19</v>
          </cell>
          <cell r="AD494">
            <v>6</v>
          </cell>
          <cell r="AE494" t="str">
            <v>everyone</v>
          </cell>
        </row>
        <row r="495">
          <cell r="A495" t="str">
            <v>20013_1</v>
          </cell>
          <cell r="B495">
            <v>3</v>
          </cell>
          <cell r="C495">
            <v>20013</v>
          </cell>
          <cell r="D495" t="str">
            <v>天の時、地の利、人の和</v>
          </cell>
          <cell r="E495" t="str">
            <v>ドロップイベント4</v>
          </cell>
          <cell r="F495">
            <v>1</v>
          </cell>
          <cell r="G495" t="str">
            <v>ja</v>
          </cell>
          <cell r="H495" t="str">
            <v>【初級】天の時、地の利、人の和</v>
          </cell>
          <cell r="I495" t="str">
            <v>初級</v>
          </cell>
          <cell r="J495">
            <v>720</v>
          </cell>
          <cell r="K495">
            <v>8</v>
          </cell>
          <cell r="L495">
            <v>384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10</v>
          </cell>
          <cell r="AD495">
            <v>6</v>
          </cell>
          <cell r="AE495" t="str">
            <v>everyone</v>
          </cell>
        </row>
        <row r="496">
          <cell r="A496" t="str">
            <v>20013_2</v>
          </cell>
          <cell r="B496">
            <v>3</v>
          </cell>
          <cell r="C496">
            <v>20013</v>
          </cell>
          <cell r="D496" t="str">
            <v>天の時、地の利、人の和</v>
          </cell>
          <cell r="E496" t="str">
            <v>ドロップイベント4</v>
          </cell>
          <cell r="F496">
            <v>2</v>
          </cell>
          <cell r="G496" t="str">
            <v>ja</v>
          </cell>
          <cell r="H496" t="str">
            <v>【中級】天の時、地の利、人の和</v>
          </cell>
          <cell r="I496" t="str">
            <v>中級</v>
          </cell>
          <cell r="J496">
            <v>720</v>
          </cell>
          <cell r="K496">
            <v>15</v>
          </cell>
          <cell r="L496">
            <v>1200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10</v>
          </cell>
          <cell r="AD496">
            <v>6</v>
          </cell>
          <cell r="AE496" t="str">
            <v>everyone</v>
          </cell>
        </row>
        <row r="497">
          <cell r="A497" t="str">
            <v>20013_3</v>
          </cell>
          <cell r="B497">
            <v>3</v>
          </cell>
          <cell r="C497">
            <v>20013</v>
          </cell>
          <cell r="D497" t="str">
            <v>天の時、地の利、人の和</v>
          </cell>
          <cell r="E497" t="str">
            <v>ドロップイベント4</v>
          </cell>
          <cell r="F497">
            <v>3</v>
          </cell>
          <cell r="G497" t="str">
            <v>ja</v>
          </cell>
          <cell r="H497" t="str">
            <v>【上級】天の時、地の利、人の和</v>
          </cell>
          <cell r="I497" t="str">
            <v>上級</v>
          </cell>
          <cell r="J497">
            <v>721</v>
          </cell>
          <cell r="K497">
            <v>20</v>
          </cell>
          <cell r="L497">
            <v>2000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polygon</v>
          </cell>
          <cell r="T497">
            <v>1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10</v>
          </cell>
          <cell r="AD497">
            <v>6</v>
          </cell>
          <cell r="AE497" t="str">
            <v>everyone</v>
          </cell>
        </row>
        <row r="498">
          <cell r="A498" t="str">
            <v>20014_1</v>
          </cell>
          <cell r="B498">
            <v>3</v>
          </cell>
          <cell r="C498">
            <v>20014</v>
          </cell>
          <cell r="D498" t="str">
            <v>魅了する歌声</v>
          </cell>
          <cell r="E498" t="str">
            <v>天使と悪魔編1</v>
          </cell>
          <cell r="F498">
            <v>1</v>
          </cell>
          <cell r="G498" t="str">
            <v>ja</v>
          </cell>
          <cell r="H498" t="str">
            <v>【初級】魅了する歌声</v>
          </cell>
          <cell r="I498" t="str">
            <v>初級</v>
          </cell>
          <cell r="J498">
            <v>842</v>
          </cell>
          <cell r="K498">
            <v>8</v>
          </cell>
          <cell r="L498">
            <v>384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17</v>
          </cell>
          <cell r="AD498">
            <v>4</v>
          </cell>
          <cell r="AE498" t="str">
            <v>everyone</v>
          </cell>
        </row>
        <row r="499">
          <cell r="A499" t="str">
            <v>20014_2</v>
          </cell>
          <cell r="B499">
            <v>3</v>
          </cell>
          <cell r="C499">
            <v>20014</v>
          </cell>
          <cell r="D499" t="str">
            <v>魅了する歌声</v>
          </cell>
          <cell r="E499" t="str">
            <v>天使と悪魔編1</v>
          </cell>
          <cell r="F499">
            <v>2</v>
          </cell>
          <cell r="G499" t="str">
            <v>ja</v>
          </cell>
          <cell r="H499" t="str">
            <v>【中級】魅了する歌声</v>
          </cell>
          <cell r="I499" t="str">
            <v>中級</v>
          </cell>
          <cell r="J499">
            <v>842</v>
          </cell>
          <cell r="K499">
            <v>15</v>
          </cell>
          <cell r="L499">
            <v>1200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17</v>
          </cell>
          <cell r="AD499">
            <v>4</v>
          </cell>
          <cell r="AE499" t="str">
            <v>everyone</v>
          </cell>
        </row>
        <row r="500">
          <cell r="A500" t="str">
            <v>20014_3</v>
          </cell>
          <cell r="B500">
            <v>3</v>
          </cell>
          <cell r="C500">
            <v>20014</v>
          </cell>
          <cell r="D500" t="str">
            <v>魅了する歌声</v>
          </cell>
          <cell r="E500" t="str">
            <v>天使と悪魔編1</v>
          </cell>
          <cell r="F500">
            <v>3</v>
          </cell>
          <cell r="G500" t="str">
            <v>ja</v>
          </cell>
          <cell r="H500" t="str">
            <v>【上級】魅了する歌声</v>
          </cell>
          <cell r="I500" t="str">
            <v>上級</v>
          </cell>
          <cell r="J500">
            <v>842</v>
          </cell>
          <cell r="K500">
            <v>20</v>
          </cell>
          <cell r="L500">
            <v>2000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polygon</v>
          </cell>
          <cell r="T500">
            <v>1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17</v>
          </cell>
          <cell r="AD500">
            <v>4</v>
          </cell>
          <cell r="AE500" t="str">
            <v>everyone</v>
          </cell>
        </row>
        <row r="501">
          <cell r="A501" t="str">
            <v>20015_1</v>
          </cell>
          <cell r="B501">
            <v>3</v>
          </cell>
          <cell r="C501">
            <v>20015</v>
          </cell>
          <cell r="D501" t="str">
            <v>妄執とり憑く美貌の妃</v>
          </cell>
          <cell r="E501" t="str">
            <v>おとぎ話シリーズ3</v>
          </cell>
          <cell r="F501">
            <v>1</v>
          </cell>
          <cell r="G501" t="str">
            <v>ja</v>
          </cell>
          <cell r="H501" t="str">
            <v>【初級】妄執とり憑く美貌の妃</v>
          </cell>
          <cell r="I501" t="str">
            <v>初級</v>
          </cell>
          <cell r="J501">
            <v>856</v>
          </cell>
          <cell r="K501">
            <v>8</v>
          </cell>
          <cell r="L501">
            <v>384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6</v>
          </cell>
          <cell r="AD501">
            <v>6</v>
          </cell>
          <cell r="AE501" t="str">
            <v>everyone</v>
          </cell>
        </row>
        <row r="502">
          <cell r="A502" t="str">
            <v>20015_2</v>
          </cell>
          <cell r="B502">
            <v>3</v>
          </cell>
          <cell r="C502">
            <v>20015</v>
          </cell>
          <cell r="D502" t="str">
            <v>妄執とり憑く美貌の妃</v>
          </cell>
          <cell r="E502" t="str">
            <v>おとぎ話シリーズ3</v>
          </cell>
          <cell r="F502">
            <v>2</v>
          </cell>
          <cell r="G502" t="str">
            <v>ja</v>
          </cell>
          <cell r="H502" t="str">
            <v>【中級】妄執とり憑く美貌の妃</v>
          </cell>
          <cell r="I502" t="str">
            <v>中級</v>
          </cell>
          <cell r="J502">
            <v>856</v>
          </cell>
          <cell r="K502">
            <v>15</v>
          </cell>
          <cell r="L502">
            <v>1200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6</v>
          </cell>
          <cell r="AD502">
            <v>6</v>
          </cell>
          <cell r="AE502" t="str">
            <v>everyone</v>
          </cell>
        </row>
        <row r="503">
          <cell r="A503" t="str">
            <v>20015_3</v>
          </cell>
          <cell r="B503">
            <v>3</v>
          </cell>
          <cell r="C503">
            <v>20015</v>
          </cell>
          <cell r="D503" t="str">
            <v>妄執とり憑く美貌の妃</v>
          </cell>
          <cell r="E503" t="str">
            <v>おとぎ話シリーズ3</v>
          </cell>
          <cell r="F503">
            <v>3</v>
          </cell>
          <cell r="G503" t="str">
            <v>ja</v>
          </cell>
          <cell r="H503" t="str">
            <v>【上級】妄執とり憑く美貌の妃</v>
          </cell>
          <cell r="I503" t="str">
            <v>上級</v>
          </cell>
          <cell r="J503">
            <v>857</v>
          </cell>
          <cell r="K503">
            <v>20</v>
          </cell>
          <cell r="L503">
            <v>2000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polygon</v>
          </cell>
          <cell r="T503">
            <v>1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6</v>
          </cell>
          <cell r="AD503">
            <v>6</v>
          </cell>
          <cell r="AE503" t="str">
            <v>everyone</v>
          </cell>
        </row>
        <row r="504">
          <cell r="A504" t="str">
            <v>20016_1</v>
          </cell>
          <cell r="B504">
            <v>3</v>
          </cell>
          <cell r="C504">
            <v>20016</v>
          </cell>
          <cell r="D504" t="str">
            <v>寡黙な翼竜の侵攻</v>
          </cell>
          <cell r="E504" t="str">
            <v>ギリシャ神話01</v>
          </cell>
          <cell r="F504">
            <v>1</v>
          </cell>
          <cell r="G504" t="str">
            <v>ja</v>
          </cell>
          <cell r="H504" t="str">
            <v>【初級】寡黙な翼竜の侵攻</v>
          </cell>
          <cell r="I504" t="str">
            <v>初級</v>
          </cell>
          <cell r="J504">
            <v>739</v>
          </cell>
          <cell r="K504">
            <v>8</v>
          </cell>
          <cell r="L504">
            <v>384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13</v>
          </cell>
          <cell r="AD504">
            <v>6</v>
          </cell>
          <cell r="AE504" t="str">
            <v>everyone</v>
          </cell>
        </row>
        <row r="505">
          <cell r="A505" t="str">
            <v>20016_2</v>
          </cell>
          <cell r="B505">
            <v>3</v>
          </cell>
          <cell r="C505">
            <v>20016</v>
          </cell>
          <cell r="D505" t="str">
            <v>寡黙な翼竜の侵攻</v>
          </cell>
          <cell r="E505" t="str">
            <v>ギリシャ神話01</v>
          </cell>
          <cell r="F505">
            <v>2</v>
          </cell>
          <cell r="G505" t="str">
            <v>ja</v>
          </cell>
          <cell r="H505" t="str">
            <v>【中級】寡黙な翼竜の侵攻</v>
          </cell>
          <cell r="I505" t="str">
            <v>中級</v>
          </cell>
          <cell r="J505">
            <v>739</v>
          </cell>
          <cell r="K505">
            <v>15</v>
          </cell>
          <cell r="L505">
            <v>1200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13</v>
          </cell>
          <cell r="AD505">
            <v>6</v>
          </cell>
          <cell r="AE505" t="str">
            <v>everyone</v>
          </cell>
        </row>
        <row r="506">
          <cell r="A506" t="str">
            <v>20016_3</v>
          </cell>
          <cell r="B506">
            <v>3</v>
          </cell>
          <cell r="C506">
            <v>20016</v>
          </cell>
          <cell r="D506" t="str">
            <v>寡黙な翼竜の侵攻</v>
          </cell>
          <cell r="E506" t="str">
            <v>ギリシャ神話01</v>
          </cell>
          <cell r="F506">
            <v>3</v>
          </cell>
          <cell r="G506" t="str">
            <v>ja</v>
          </cell>
          <cell r="H506" t="str">
            <v>【上級】寡黙な翼竜の侵攻</v>
          </cell>
          <cell r="I506" t="str">
            <v>上級</v>
          </cell>
          <cell r="J506">
            <v>739</v>
          </cell>
          <cell r="K506">
            <v>20</v>
          </cell>
          <cell r="L506">
            <v>2000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polygon</v>
          </cell>
          <cell r="T506">
            <v>1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13</v>
          </cell>
          <cell r="AD506">
            <v>6</v>
          </cell>
          <cell r="AE506" t="str">
            <v>everyone</v>
          </cell>
        </row>
        <row r="507">
          <cell r="A507" t="str">
            <v>20017_1</v>
          </cell>
          <cell r="B507">
            <v>3</v>
          </cell>
          <cell r="C507">
            <v>20017</v>
          </cell>
          <cell r="D507" t="str">
            <v>隻腕の提督</v>
          </cell>
          <cell r="E507" t="str">
            <v>フランス革命01</v>
          </cell>
          <cell r="F507">
            <v>1</v>
          </cell>
          <cell r="G507" t="str">
            <v>ja</v>
          </cell>
          <cell r="H507" t="str">
            <v>【初級】隻腕の提督</v>
          </cell>
          <cell r="I507" t="str">
            <v>初級</v>
          </cell>
          <cell r="J507">
            <v>932</v>
          </cell>
          <cell r="K507">
            <v>8</v>
          </cell>
          <cell r="L507">
            <v>384</v>
          </cell>
          <cell r="M507">
            <v>1</v>
          </cell>
          <cell r="N507">
            <v>1</v>
          </cell>
          <cell r="O507">
            <v>1</v>
          </cell>
          <cell r="P507">
            <v>0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24</v>
          </cell>
          <cell r="AD507">
            <v>6</v>
          </cell>
          <cell r="AE507" t="str">
            <v>everyone</v>
          </cell>
        </row>
        <row r="508">
          <cell r="A508" t="str">
            <v>20017_2</v>
          </cell>
          <cell r="B508">
            <v>3</v>
          </cell>
          <cell r="C508">
            <v>20017</v>
          </cell>
          <cell r="D508" t="str">
            <v>隻腕の提督</v>
          </cell>
          <cell r="E508" t="str">
            <v>フランス革命01</v>
          </cell>
          <cell r="F508">
            <v>2</v>
          </cell>
          <cell r="G508" t="str">
            <v>ja</v>
          </cell>
          <cell r="H508" t="str">
            <v>【中級】隻腕の提督</v>
          </cell>
          <cell r="I508" t="str">
            <v>中級</v>
          </cell>
          <cell r="J508">
            <v>932</v>
          </cell>
          <cell r="K508">
            <v>15</v>
          </cell>
          <cell r="L508">
            <v>1200</v>
          </cell>
          <cell r="M508">
            <v>1</v>
          </cell>
          <cell r="N508">
            <v>1</v>
          </cell>
          <cell r="O508">
            <v>1</v>
          </cell>
          <cell r="P508">
            <v>0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24</v>
          </cell>
          <cell r="AD508">
            <v>6</v>
          </cell>
          <cell r="AE508" t="str">
            <v>everyone</v>
          </cell>
        </row>
        <row r="509">
          <cell r="A509" t="str">
            <v>20017_3</v>
          </cell>
          <cell r="B509">
            <v>3</v>
          </cell>
          <cell r="C509">
            <v>20017</v>
          </cell>
          <cell r="D509" t="str">
            <v>隻腕の提督</v>
          </cell>
          <cell r="E509" t="str">
            <v>フランス革命01</v>
          </cell>
          <cell r="F509">
            <v>3</v>
          </cell>
          <cell r="G509" t="str">
            <v>ja</v>
          </cell>
          <cell r="H509" t="str">
            <v>【上級】隻腕の提督</v>
          </cell>
          <cell r="I509" t="str">
            <v>上級</v>
          </cell>
          <cell r="J509">
            <v>932</v>
          </cell>
          <cell r="K509">
            <v>20</v>
          </cell>
          <cell r="L509">
            <v>2000</v>
          </cell>
          <cell r="M509">
            <v>1</v>
          </cell>
          <cell r="N509">
            <v>1</v>
          </cell>
          <cell r="O509">
            <v>1</v>
          </cell>
          <cell r="P509">
            <v>0</v>
          </cell>
          <cell r="Q509">
            <v>1</v>
          </cell>
          <cell r="R509">
            <v>3</v>
          </cell>
          <cell r="S509" t="str">
            <v>polygon</v>
          </cell>
          <cell r="T509">
            <v>1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24</v>
          </cell>
          <cell r="AD509">
            <v>6</v>
          </cell>
          <cell r="AE509" t="str">
            <v>everyone</v>
          </cell>
        </row>
        <row r="510">
          <cell r="A510" t="str">
            <v>20018_1</v>
          </cell>
          <cell r="B510">
            <v>3</v>
          </cell>
          <cell r="C510">
            <v>20018</v>
          </cell>
          <cell r="D510" t="str">
            <v>魂を屠る黒影</v>
          </cell>
          <cell r="E510" t="str">
            <v>エジプト01</v>
          </cell>
          <cell r="F510">
            <v>1</v>
          </cell>
          <cell r="G510" t="str">
            <v>ja</v>
          </cell>
          <cell r="H510" t="str">
            <v>【初級】魂を屠る黒影</v>
          </cell>
          <cell r="I510" t="str">
            <v>初級</v>
          </cell>
          <cell r="J510">
            <v>1005</v>
          </cell>
          <cell r="K510">
            <v>8</v>
          </cell>
          <cell r="L510">
            <v>384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7</v>
          </cell>
          <cell r="AD510">
            <v>6</v>
          </cell>
          <cell r="AE510" t="str">
            <v>everyone</v>
          </cell>
        </row>
        <row r="511">
          <cell r="A511" t="str">
            <v>20018_2</v>
          </cell>
          <cell r="B511">
            <v>3</v>
          </cell>
          <cell r="C511">
            <v>20018</v>
          </cell>
          <cell r="D511" t="str">
            <v>魂を屠る黒影</v>
          </cell>
          <cell r="E511" t="str">
            <v>エジプト01</v>
          </cell>
          <cell r="F511">
            <v>2</v>
          </cell>
          <cell r="G511" t="str">
            <v>ja</v>
          </cell>
          <cell r="H511" t="str">
            <v>【中級】魂を屠る黒影</v>
          </cell>
          <cell r="I511" t="str">
            <v>中級</v>
          </cell>
          <cell r="J511">
            <v>1005</v>
          </cell>
          <cell r="K511">
            <v>15</v>
          </cell>
          <cell r="L511">
            <v>1200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none</v>
          </cell>
          <cell r="T511">
            <v>0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7</v>
          </cell>
          <cell r="AD511">
            <v>6</v>
          </cell>
          <cell r="AE511" t="str">
            <v>everyone</v>
          </cell>
        </row>
        <row r="512">
          <cell r="A512" t="str">
            <v>20018_3</v>
          </cell>
          <cell r="B512">
            <v>3</v>
          </cell>
          <cell r="C512">
            <v>20018</v>
          </cell>
          <cell r="D512" t="str">
            <v>魂を屠る黒影</v>
          </cell>
          <cell r="E512" t="str">
            <v>エジプト01</v>
          </cell>
          <cell r="F512">
            <v>3</v>
          </cell>
          <cell r="G512" t="str">
            <v>ja</v>
          </cell>
          <cell r="H512" t="str">
            <v>【上級】魂を屠る黒影</v>
          </cell>
          <cell r="I512" t="str">
            <v>上級</v>
          </cell>
          <cell r="J512">
            <v>1005</v>
          </cell>
          <cell r="K512">
            <v>20</v>
          </cell>
          <cell r="L512">
            <v>2000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polygon</v>
          </cell>
          <cell r="T512">
            <v>1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7</v>
          </cell>
          <cell r="AD512">
            <v>6</v>
          </cell>
          <cell r="AE512" t="str">
            <v>everyone</v>
          </cell>
        </row>
        <row r="513">
          <cell r="A513" t="str">
            <v>20019_1</v>
          </cell>
          <cell r="B513">
            <v>3</v>
          </cell>
          <cell r="C513">
            <v>20019</v>
          </cell>
          <cell r="D513" t="str">
            <v>灼熱の舞姫</v>
          </cell>
          <cell r="E513" t="str">
            <v>平安01</v>
          </cell>
          <cell r="F513">
            <v>1</v>
          </cell>
          <cell r="G513" t="str">
            <v>ja</v>
          </cell>
          <cell r="H513" t="str">
            <v>【初級】灼熱の舞姫</v>
          </cell>
          <cell r="I513" t="str">
            <v>初級</v>
          </cell>
          <cell r="J513">
            <v>1020</v>
          </cell>
          <cell r="K513">
            <v>8</v>
          </cell>
          <cell r="L513">
            <v>384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2</v>
          </cell>
          <cell r="AD513">
            <v>6</v>
          </cell>
          <cell r="AE513" t="str">
            <v>everyone</v>
          </cell>
        </row>
        <row r="514">
          <cell r="A514" t="str">
            <v>20019_2</v>
          </cell>
          <cell r="B514">
            <v>3</v>
          </cell>
          <cell r="C514">
            <v>20019</v>
          </cell>
          <cell r="D514" t="str">
            <v>灼熱の舞姫</v>
          </cell>
          <cell r="E514" t="str">
            <v>平安01</v>
          </cell>
          <cell r="F514">
            <v>2</v>
          </cell>
          <cell r="G514" t="str">
            <v>ja</v>
          </cell>
          <cell r="H514" t="str">
            <v>【中級】灼熱の舞姫</v>
          </cell>
          <cell r="I514" t="str">
            <v>中級</v>
          </cell>
          <cell r="J514">
            <v>1020</v>
          </cell>
          <cell r="K514">
            <v>15</v>
          </cell>
          <cell r="L514">
            <v>1200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2</v>
          </cell>
          <cell r="AD514">
            <v>6</v>
          </cell>
          <cell r="AE514" t="str">
            <v>everyone</v>
          </cell>
        </row>
        <row r="515">
          <cell r="A515" t="str">
            <v>20019_3</v>
          </cell>
          <cell r="B515">
            <v>3</v>
          </cell>
          <cell r="C515">
            <v>20019</v>
          </cell>
          <cell r="D515" t="str">
            <v>灼熱の舞姫</v>
          </cell>
          <cell r="E515" t="str">
            <v>平安01</v>
          </cell>
          <cell r="F515">
            <v>3</v>
          </cell>
          <cell r="G515" t="str">
            <v>ja</v>
          </cell>
          <cell r="H515" t="str">
            <v>【上級】灼熱の舞姫</v>
          </cell>
          <cell r="I515" t="str">
            <v>上級</v>
          </cell>
          <cell r="J515">
            <v>1020</v>
          </cell>
          <cell r="K515">
            <v>20</v>
          </cell>
          <cell r="L515">
            <v>2000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polygon</v>
          </cell>
          <cell r="T515">
            <v>1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2</v>
          </cell>
          <cell r="AD515">
            <v>6</v>
          </cell>
          <cell r="AE515" t="str">
            <v>everyone</v>
          </cell>
        </row>
        <row r="516">
          <cell r="A516" t="str">
            <v>20020_1</v>
          </cell>
          <cell r="B516">
            <v>3</v>
          </cell>
          <cell r="C516">
            <v>20020</v>
          </cell>
          <cell r="D516" t="str">
            <v>変幻自在の風</v>
          </cell>
          <cell r="E516" t="str">
            <v>メソポタミア01</v>
          </cell>
          <cell r="F516">
            <v>1</v>
          </cell>
          <cell r="G516" t="str">
            <v>ja</v>
          </cell>
          <cell r="H516" t="str">
            <v>【初級】変幻自在の風</v>
          </cell>
          <cell r="I516" t="str">
            <v>初級</v>
          </cell>
          <cell r="J516">
            <v>1060</v>
          </cell>
          <cell r="K516">
            <v>8</v>
          </cell>
          <cell r="L516">
            <v>384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23</v>
          </cell>
          <cell r="AD516">
            <v>6</v>
          </cell>
          <cell r="AE516" t="str">
            <v>everyone</v>
          </cell>
        </row>
        <row r="517">
          <cell r="A517" t="str">
            <v>20020_2</v>
          </cell>
          <cell r="B517">
            <v>3</v>
          </cell>
          <cell r="C517">
            <v>20020</v>
          </cell>
          <cell r="D517" t="str">
            <v>変幻自在の風</v>
          </cell>
          <cell r="E517" t="str">
            <v>メソポタミア01</v>
          </cell>
          <cell r="F517">
            <v>2</v>
          </cell>
          <cell r="G517" t="str">
            <v>ja</v>
          </cell>
          <cell r="H517" t="str">
            <v>【中級】変幻自在の風</v>
          </cell>
          <cell r="I517" t="str">
            <v>中級</v>
          </cell>
          <cell r="J517">
            <v>1060</v>
          </cell>
          <cell r="K517">
            <v>15</v>
          </cell>
          <cell r="L517">
            <v>1200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none</v>
          </cell>
          <cell r="T517">
            <v>0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23</v>
          </cell>
          <cell r="AD517">
            <v>6</v>
          </cell>
          <cell r="AE517" t="str">
            <v>everyone</v>
          </cell>
        </row>
        <row r="518">
          <cell r="A518" t="str">
            <v>20020_3</v>
          </cell>
          <cell r="B518">
            <v>3</v>
          </cell>
          <cell r="C518">
            <v>20020</v>
          </cell>
          <cell r="D518" t="str">
            <v>変幻自在の風</v>
          </cell>
          <cell r="E518" t="str">
            <v>メソポタミア01</v>
          </cell>
          <cell r="F518">
            <v>3</v>
          </cell>
          <cell r="G518" t="str">
            <v>ja</v>
          </cell>
          <cell r="H518" t="str">
            <v>【上級】変幻自在の風</v>
          </cell>
          <cell r="I518" t="str">
            <v>上級</v>
          </cell>
          <cell r="J518">
            <v>1060</v>
          </cell>
          <cell r="K518">
            <v>20</v>
          </cell>
          <cell r="L518">
            <v>2000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polygon</v>
          </cell>
          <cell r="T518">
            <v>1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23</v>
          </cell>
          <cell r="AD518">
            <v>6</v>
          </cell>
          <cell r="AE518" t="str">
            <v>everyone</v>
          </cell>
        </row>
        <row r="519">
          <cell r="A519" t="str">
            <v>20021_1</v>
          </cell>
          <cell r="B519">
            <v>3</v>
          </cell>
          <cell r="C519">
            <v>20021</v>
          </cell>
          <cell r="D519" t="str">
            <v>ペインター・オブ・ラブ</v>
          </cell>
          <cell r="E519" t="str">
            <v>画家シリーズ01</v>
          </cell>
          <cell r="F519">
            <v>1</v>
          </cell>
          <cell r="G519" t="str">
            <v>ja</v>
          </cell>
          <cell r="H519" t="str">
            <v>【初級】ペインター・オブ・ラブ</v>
          </cell>
          <cell r="I519" t="str">
            <v>初級</v>
          </cell>
          <cell r="J519">
            <v>1095</v>
          </cell>
          <cell r="K519">
            <v>8</v>
          </cell>
          <cell r="L519">
            <v>384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4</v>
          </cell>
          <cell r="AD519">
            <v>6</v>
          </cell>
          <cell r="AE519" t="str">
            <v>everyone</v>
          </cell>
        </row>
        <row r="520">
          <cell r="A520" t="str">
            <v>20021_2</v>
          </cell>
          <cell r="B520">
            <v>3</v>
          </cell>
          <cell r="C520">
            <v>20021</v>
          </cell>
          <cell r="D520" t="str">
            <v>ペインター・オブ・ラブ</v>
          </cell>
          <cell r="E520" t="str">
            <v>画家シリーズ01</v>
          </cell>
          <cell r="F520">
            <v>2</v>
          </cell>
          <cell r="G520" t="str">
            <v>ja</v>
          </cell>
          <cell r="H520" t="str">
            <v>【中級】ペインター・オブ・ラブ</v>
          </cell>
          <cell r="I520" t="str">
            <v>中級</v>
          </cell>
          <cell r="J520">
            <v>1095</v>
          </cell>
          <cell r="K520">
            <v>15</v>
          </cell>
          <cell r="L520">
            <v>1200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none</v>
          </cell>
          <cell r="T520">
            <v>0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4</v>
          </cell>
          <cell r="AD520">
            <v>6</v>
          </cell>
          <cell r="AE520" t="str">
            <v>everyone</v>
          </cell>
        </row>
        <row r="521">
          <cell r="A521" t="str">
            <v>20021_3</v>
          </cell>
          <cell r="B521">
            <v>3</v>
          </cell>
          <cell r="C521">
            <v>20021</v>
          </cell>
          <cell r="D521" t="str">
            <v>ペインター・オブ・ラブ</v>
          </cell>
          <cell r="E521" t="str">
            <v>画家シリーズ01</v>
          </cell>
          <cell r="F521">
            <v>3</v>
          </cell>
          <cell r="G521" t="str">
            <v>ja</v>
          </cell>
          <cell r="H521" t="str">
            <v>【上級】ペインター・オブ・ラブ</v>
          </cell>
          <cell r="I521" t="str">
            <v>上級</v>
          </cell>
          <cell r="J521">
            <v>1095</v>
          </cell>
          <cell r="K521">
            <v>20</v>
          </cell>
          <cell r="L521">
            <v>2000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polygon</v>
          </cell>
          <cell r="T521">
            <v>1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4</v>
          </cell>
          <cell r="AD521">
            <v>6</v>
          </cell>
          <cell r="AE521" t="str">
            <v>everyone</v>
          </cell>
        </row>
        <row r="522">
          <cell r="A522" t="str">
            <v>20022_1</v>
          </cell>
          <cell r="B522">
            <v>3</v>
          </cell>
          <cell r="C522">
            <v>20022</v>
          </cell>
          <cell r="D522" t="str">
            <v>年を越える宴</v>
          </cell>
          <cell r="E522" t="str">
            <v>季節イベント</v>
          </cell>
          <cell r="F522">
            <v>1</v>
          </cell>
          <cell r="G522" t="str">
            <v>ja</v>
          </cell>
          <cell r="H522" t="str">
            <v>【上級】年を越える宴（ハートなし）</v>
          </cell>
          <cell r="I522" t="str">
            <v>2016年年忘れクエスト</v>
          </cell>
          <cell r="J522">
            <v>377</v>
          </cell>
          <cell r="K522">
            <v>10</v>
          </cell>
          <cell r="L522">
            <v>350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0</v>
          </cell>
          <cell r="R522">
            <v>3</v>
          </cell>
          <cell r="S522" t="str">
            <v>polygon</v>
          </cell>
          <cell r="T522">
            <v>1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901</v>
          </cell>
          <cell r="AD522">
            <v>6</v>
          </cell>
          <cell r="AE522" t="str">
            <v>multionly</v>
          </cell>
        </row>
        <row r="523">
          <cell r="A523" t="str">
            <v>30001_1</v>
          </cell>
          <cell r="B523">
            <v>3</v>
          </cell>
          <cell r="C523">
            <v>30001</v>
          </cell>
          <cell r="D523" t="str">
            <v>ハンター・オブ・ハンター</v>
          </cell>
          <cell r="E523" t="str">
            <v>ドロップイベント1-1（マルチ専用）</v>
          </cell>
          <cell r="F523">
            <v>1</v>
          </cell>
          <cell r="G523" t="str">
            <v>ja</v>
          </cell>
          <cell r="H523" t="str">
            <v xml:space="preserve">【中級】ハンター・オブ・ハンター </v>
          </cell>
          <cell r="I523" t="str">
            <v>中級</v>
          </cell>
          <cell r="J523">
            <v>270</v>
          </cell>
          <cell r="K523">
            <v>15</v>
          </cell>
          <cell r="L523">
            <v>1200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none</v>
          </cell>
          <cell r="T523">
            <v>0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7</v>
          </cell>
          <cell r="AD523">
            <v>6</v>
          </cell>
          <cell r="AE523" t="str">
            <v>everyone</v>
          </cell>
        </row>
        <row r="524">
          <cell r="A524" t="str">
            <v>30001_2</v>
          </cell>
          <cell r="B524">
            <v>3</v>
          </cell>
          <cell r="C524">
            <v>30001</v>
          </cell>
          <cell r="D524" t="str">
            <v>ハンター・オブ・ハンター</v>
          </cell>
          <cell r="E524" t="str">
            <v>ドロップイベント1-1（マルチ専用）</v>
          </cell>
          <cell r="F524">
            <v>2</v>
          </cell>
          <cell r="G524" t="str">
            <v>ja</v>
          </cell>
          <cell r="H524" t="str">
            <v xml:space="preserve">【上級】ハンター・オブ・ハンター </v>
          </cell>
          <cell r="I524" t="str">
            <v>上級</v>
          </cell>
          <cell r="J524">
            <v>270</v>
          </cell>
          <cell r="K524">
            <v>20</v>
          </cell>
          <cell r="L524">
            <v>2000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none</v>
          </cell>
          <cell r="T524">
            <v>0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7</v>
          </cell>
          <cell r="AD524">
            <v>6</v>
          </cell>
          <cell r="AE524" t="str">
            <v>everyone</v>
          </cell>
        </row>
        <row r="525">
          <cell r="A525" t="str">
            <v>30001_3</v>
          </cell>
          <cell r="B525">
            <v>3</v>
          </cell>
          <cell r="C525">
            <v>30001</v>
          </cell>
          <cell r="D525" t="str">
            <v>ハンター・オブ・ハンター</v>
          </cell>
          <cell r="E525" t="str">
            <v>ドロップイベント1-1（マルチ専用）</v>
          </cell>
          <cell r="F525">
            <v>3</v>
          </cell>
          <cell r="G525" t="str">
            <v>ja</v>
          </cell>
          <cell r="H525" t="str">
            <v xml:space="preserve">【超級】ハンター・オブ・ハンター </v>
          </cell>
          <cell r="I525" t="str">
            <v>超級</v>
          </cell>
          <cell r="J525">
            <v>271</v>
          </cell>
          <cell r="K525">
            <v>30</v>
          </cell>
          <cell r="L525">
            <v>3300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polygon</v>
          </cell>
          <cell r="T525">
            <v>1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7</v>
          </cell>
          <cell r="AD525">
            <v>6</v>
          </cell>
          <cell r="AE525" t="str">
            <v>everyone</v>
          </cell>
        </row>
        <row r="526">
          <cell r="A526" t="str">
            <v>30002_1</v>
          </cell>
          <cell r="B526">
            <v>3</v>
          </cell>
          <cell r="C526">
            <v>30002</v>
          </cell>
          <cell r="D526" t="str">
            <v>トリックスター</v>
          </cell>
          <cell r="E526" t="str">
            <v>ドロップイベント1-2（マルチ専用）</v>
          </cell>
          <cell r="F526">
            <v>1</v>
          </cell>
          <cell r="G526" t="str">
            <v>ja</v>
          </cell>
          <cell r="H526" t="str">
            <v xml:space="preserve">【中級】トリックスター </v>
          </cell>
          <cell r="I526" t="str">
            <v>中級</v>
          </cell>
          <cell r="J526">
            <v>272</v>
          </cell>
          <cell r="K526">
            <v>15</v>
          </cell>
          <cell r="L526">
            <v>1200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17</v>
          </cell>
          <cell r="AD526">
            <v>6</v>
          </cell>
          <cell r="AE526" t="str">
            <v>everyone</v>
          </cell>
        </row>
        <row r="527">
          <cell r="A527" t="str">
            <v>30002_2</v>
          </cell>
          <cell r="B527">
            <v>3</v>
          </cell>
          <cell r="C527">
            <v>30002</v>
          </cell>
          <cell r="D527" t="str">
            <v>トリックスター</v>
          </cell>
          <cell r="E527" t="str">
            <v>ドロップイベント1-2（マルチ専用）</v>
          </cell>
          <cell r="F527">
            <v>2</v>
          </cell>
          <cell r="G527" t="str">
            <v>ja</v>
          </cell>
          <cell r="H527" t="str">
            <v xml:space="preserve">【上級】トリックスター </v>
          </cell>
          <cell r="I527" t="str">
            <v>上級</v>
          </cell>
          <cell r="J527">
            <v>272</v>
          </cell>
          <cell r="K527">
            <v>20</v>
          </cell>
          <cell r="L527">
            <v>2000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none</v>
          </cell>
          <cell r="T527">
            <v>0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17</v>
          </cell>
          <cell r="AD527">
            <v>6</v>
          </cell>
          <cell r="AE527" t="str">
            <v>everyone</v>
          </cell>
        </row>
        <row r="528">
          <cell r="A528" t="str">
            <v>30002_3</v>
          </cell>
          <cell r="B528">
            <v>3</v>
          </cell>
          <cell r="C528">
            <v>30002</v>
          </cell>
          <cell r="D528" t="str">
            <v>トリックスター</v>
          </cell>
          <cell r="E528" t="str">
            <v>ドロップイベント1-2（マルチ専用）</v>
          </cell>
          <cell r="F528">
            <v>3</v>
          </cell>
          <cell r="G528" t="str">
            <v>ja</v>
          </cell>
          <cell r="H528" t="str">
            <v xml:space="preserve">【超級】トリックスター </v>
          </cell>
          <cell r="I528" t="str">
            <v>超級</v>
          </cell>
          <cell r="J528">
            <v>273</v>
          </cell>
          <cell r="K528">
            <v>30</v>
          </cell>
          <cell r="L528">
            <v>3300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polygon</v>
          </cell>
          <cell r="T528">
            <v>1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17</v>
          </cell>
          <cell r="AD528">
            <v>6</v>
          </cell>
          <cell r="AE528" t="str">
            <v>everyone</v>
          </cell>
        </row>
        <row r="529">
          <cell r="A529" t="str">
            <v>30003_1</v>
          </cell>
          <cell r="B529">
            <v>3</v>
          </cell>
          <cell r="C529">
            <v>30003</v>
          </cell>
          <cell r="D529" t="str">
            <v>打ち下ろされる砕棒</v>
          </cell>
          <cell r="E529" t="str">
            <v>ドロップイベント1-3（マルチ専用）</v>
          </cell>
          <cell r="F529">
            <v>1</v>
          </cell>
          <cell r="G529" t="str">
            <v>ja</v>
          </cell>
          <cell r="H529" t="str">
            <v xml:space="preserve">【中級】打ち下ろされる砕棒 </v>
          </cell>
          <cell r="I529" t="str">
            <v>中級</v>
          </cell>
          <cell r="J529">
            <v>274</v>
          </cell>
          <cell r="K529">
            <v>15</v>
          </cell>
          <cell r="L529">
            <v>1200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none</v>
          </cell>
          <cell r="T529">
            <v>0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20</v>
          </cell>
          <cell r="AD529">
            <v>6</v>
          </cell>
          <cell r="AE529" t="str">
            <v>everyone</v>
          </cell>
        </row>
        <row r="530">
          <cell r="A530" t="str">
            <v>30003_2</v>
          </cell>
          <cell r="B530">
            <v>3</v>
          </cell>
          <cell r="C530">
            <v>30003</v>
          </cell>
          <cell r="D530" t="str">
            <v>打ち下ろされる砕棒</v>
          </cell>
          <cell r="E530" t="str">
            <v>ドロップイベント1-3（マルチ専用）</v>
          </cell>
          <cell r="F530">
            <v>2</v>
          </cell>
          <cell r="G530" t="str">
            <v>ja</v>
          </cell>
          <cell r="H530" t="str">
            <v>【上級】打ち下ろされる砕棒</v>
          </cell>
          <cell r="I530" t="str">
            <v>上級</v>
          </cell>
          <cell r="J530">
            <v>274</v>
          </cell>
          <cell r="K530">
            <v>20</v>
          </cell>
          <cell r="L530">
            <v>2000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none</v>
          </cell>
          <cell r="T530">
            <v>0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20</v>
          </cell>
          <cell r="AD530">
            <v>6</v>
          </cell>
          <cell r="AE530" t="str">
            <v>everyone</v>
          </cell>
        </row>
        <row r="531">
          <cell r="A531" t="str">
            <v>30003_3</v>
          </cell>
          <cell r="B531">
            <v>3</v>
          </cell>
          <cell r="C531">
            <v>30003</v>
          </cell>
          <cell r="D531" t="str">
            <v>打ち下ろされる砕棒</v>
          </cell>
          <cell r="E531" t="str">
            <v>ドロップイベント1-3（マルチ専用）</v>
          </cell>
          <cell r="F531">
            <v>3</v>
          </cell>
          <cell r="G531" t="str">
            <v>ja</v>
          </cell>
          <cell r="H531" t="str">
            <v xml:space="preserve">【超級】打ち下ろされる砕棒 </v>
          </cell>
          <cell r="I531" t="str">
            <v>超級</v>
          </cell>
          <cell r="J531">
            <v>275</v>
          </cell>
          <cell r="K531">
            <v>30</v>
          </cell>
          <cell r="L531">
            <v>3300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polygon</v>
          </cell>
          <cell r="T531">
            <v>1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20</v>
          </cell>
          <cell r="AD531">
            <v>6</v>
          </cell>
          <cell r="AE531" t="str">
            <v>everyone</v>
          </cell>
        </row>
        <row r="532">
          <cell r="A532" t="str">
            <v>30004_1</v>
          </cell>
          <cell r="B532">
            <v>3</v>
          </cell>
          <cell r="C532">
            <v>30004</v>
          </cell>
          <cell r="D532" t="str">
            <v>危険な仲裁者</v>
          </cell>
          <cell r="E532" t="str">
            <v>ドロップイベント1-4（マルチ専用）</v>
          </cell>
          <cell r="F532">
            <v>1</v>
          </cell>
          <cell r="G532" t="str">
            <v>ja</v>
          </cell>
          <cell r="H532" t="str">
            <v xml:space="preserve">【中級】危険な仲裁者 </v>
          </cell>
          <cell r="I532" t="str">
            <v>中級</v>
          </cell>
          <cell r="J532">
            <v>276</v>
          </cell>
          <cell r="K532">
            <v>15</v>
          </cell>
          <cell r="L532">
            <v>1200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none</v>
          </cell>
          <cell r="T532">
            <v>0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14</v>
          </cell>
          <cell r="AD532">
            <v>6</v>
          </cell>
          <cell r="AE532" t="str">
            <v>everyone</v>
          </cell>
        </row>
        <row r="533">
          <cell r="A533" t="str">
            <v>30004_2</v>
          </cell>
          <cell r="B533">
            <v>3</v>
          </cell>
          <cell r="C533">
            <v>30004</v>
          </cell>
          <cell r="D533" t="str">
            <v>危険な仲裁者</v>
          </cell>
          <cell r="E533" t="str">
            <v>ドロップイベント1-4（マルチ専用）</v>
          </cell>
          <cell r="F533">
            <v>2</v>
          </cell>
          <cell r="G533" t="str">
            <v>ja</v>
          </cell>
          <cell r="H533" t="str">
            <v xml:space="preserve">【上級】危険な仲裁者 </v>
          </cell>
          <cell r="I533" t="str">
            <v>上級</v>
          </cell>
          <cell r="J533">
            <v>276</v>
          </cell>
          <cell r="K533">
            <v>20</v>
          </cell>
          <cell r="L533">
            <v>2000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none</v>
          </cell>
          <cell r="T533">
            <v>0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14</v>
          </cell>
          <cell r="AD533">
            <v>6</v>
          </cell>
          <cell r="AE533" t="str">
            <v>everyone</v>
          </cell>
        </row>
        <row r="534">
          <cell r="A534" t="str">
            <v>30004_3</v>
          </cell>
          <cell r="B534">
            <v>3</v>
          </cell>
          <cell r="C534">
            <v>30004</v>
          </cell>
          <cell r="D534" t="str">
            <v>危険な仲裁者</v>
          </cell>
          <cell r="E534" t="str">
            <v>ドロップイベント1-4（マルチ専用）</v>
          </cell>
          <cell r="F534">
            <v>3</v>
          </cell>
          <cell r="G534" t="str">
            <v>ja</v>
          </cell>
          <cell r="H534" t="str">
            <v xml:space="preserve">【超級】危険な仲裁者 </v>
          </cell>
          <cell r="I534" t="str">
            <v>超級</v>
          </cell>
          <cell r="J534">
            <v>277</v>
          </cell>
          <cell r="K534">
            <v>30</v>
          </cell>
          <cell r="L534">
            <v>3300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14</v>
          </cell>
          <cell r="AD534">
            <v>6</v>
          </cell>
          <cell r="AE534" t="str">
            <v>everyone</v>
          </cell>
        </row>
        <row r="535">
          <cell r="A535" t="str">
            <v>30005_1</v>
          </cell>
          <cell r="B535">
            <v>3</v>
          </cell>
          <cell r="C535">
            <v>30005</v>
          </cell>
          <cell r="D535" t="str">
            <v>ニンゲンにしてあげる☆</v>
          </cell>
          <cell r="E535" t="str">
            <v>ドロップイベント2-1（マルチ専用）</v>
          </cell>
          <cell r="F535">
            <v>1</v>
          </cell>
          <cell r="G535" t="str">
            <v>ja</v>
          </cell>
          <cell r="H535" t="str">
            <v xml:space="preserve">【中級】ニンゲンにしてあげる </v>
          </cell>
          <cell r="I535" t="str">
            <v>中級</v>
          </cell>
          <cell r="J535">
            <v>290</v>
          </cell>
          <cell r="K535">
            <v>15</v>
          </cell>
          <cell r="L535">
            <v>1200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none</v>
          </cell>
          <cell r="T535">
            <v>0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11</v>
          </cell>
          <cell r="AD535">
            <v>6</v>
          </cell>
          <cell r="AE535" t="str">
            <v>everyone</v>
          </cell>
        </row>
        <row r="536">
          <cell r="A536" t="str">
            <v>30005_2</v>
          </cell>
          <cell r="B536">
            <v>3</v>
          </cell>
          <cell r="C536">
            <v>30005</v>
          </cell>
          <cell r="D536" t="str">
            <v>ニンゲンにしてあげる☆</v>
          </cell>
          <cell r="E536" t="str">
            <v>ドロップイベント2-1（マルチ専用）</v>
          </cell>
          <cell r="F536">
            <v>2</v>
          </cell>
          <cell r="G536" t="str">
            <v>ja</v>
          </cell>
          <cell r="H536" t="str">
            <v xml:space="preserve">【上級】ニンゲンにしてあげる </v>
          </cell>
          <cell r="I536" t="str">
            <v>上級</v>
          </cell>
          <cell r="J536">
            <v>290</v>
          </cell>
          <cell r="K536">
            <v>20</v>
          </cell>
          <cell r="L536">
            <v>2000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none</v>
          </cell>
          <cell r="T536">
            <v>0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11</v>
          </cell>
          <cell r="AD536">
            <v>6</v>
          </cell>
          <cell r="AE536" t="str">
            <v>everyone</v>
          </cell>
        </row>
        <row r="537">
          <cell r="A537" t="str">
            <v>30005_3</v>
          </cell>
          <cell r="B537">
            <v>3</v>
          </cell>
          <cell r="C537">
            <v>30005</v>
          </cell>
          <cell r="D537" t="str">
            <v>ニンゲンにしてあげる☆</v>
          </cell>
          <cell r="E537" t="str">
            <v>ドロップイベント2-1（マルチ専用）</v>
          </cell>
          <cell r="F537">
            <v>3</v>
          </cell>
          <cell r="G537" t="str">
            <v>ja</v>
          </cell>
          <cell r="H537" t="str">
            <v>【超級】ニンゲンにしてあげる</v>
          </cell>
          <cell r="I537" t="str">
            <v>超級</v>
          </cell>
          <cell r="J537">
            <v>291</v>
          </cell>
          <cell r="K537">
            <v>30</v>
          </cell>
          <cell r="L537">
            <v>3300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polygon</v>
          </cell>
          <cell r="T537">
            <v>1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11</v>
          </cell>
          <cell r="AD537">
            <v>6</v>
          </cell>
          <cell r="AE537" t="str">
            <v>everyone</v>
          </cell>
        </row>
        <row r="538">
          <cell r="A538" t="str">
            <v>30006_1</v>
          </cell>
          <cell r="B538">
            <v>3</v>
          </cell>
          <cell r="C538">
            <v>30006</v>
          </cell>
          <cell r="D538" t="str">
            <v>それはお前を食べるためさ</v>
          </cell>
          <cell r="E538" t="str">
            <v>ドロップイベント2-3（マルチ専用）</v>
          </cell>
          <cell r="F538">
            <v>1</v>
          </cell>
          <cell r="G538" t="str">
            <v>ja</v>
          </cell>
          <cell r="H538" t="str">
            <v>【中級】それはお前を食べるためさ</v>
          </cell>
          <cell r="I538" t="str">
            <v>中級</v>
          </cell>
          <cell r="J538">
            <v>294</v>
          </cell>
          <cell r="K538">
            <v>15</v>
          </cell>
          <cell r="L538">
            <v>1200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none</v>
          </cell>
          <cell r="T538">
            <v>0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7</v>
          </cell>
          <cell r="AD538">
            <v>6</v>
          </cell>
          <cell r="AE538" t="str">
            <v>everyone</v>
          </cell>
        </row>
        <row r="539">
          <cell r="A539" t="str">
            <v>30006_2</v>
          </cell>
          <cell r="B539">
            <v>3</v>
          </cell>
          <cell r="C539">
            <v>30006</v>
          </cell>
          <cell r="D539" t="str">
            <v>それはお前を食べるためさ</v>
          </cell>
          <cell r="E539" t="str">
            <v>ドロップイベント2-3（マルチ専用）</v>
          </cell>
          <cell r="F539">
            <v>2</v>
          </cell>
          <cell r="G539" t="str">
            <v>ja</v>
          </cell>
          <cell r="H539" t="str">
            <v>【上級】それはお前を食べるためさ</v>
          </cell>
          <cell r="I539" t="str">
            <v>上級</v>
          </cell>
          <cell r="J539">
            <v>294</v>
          </cell>
          <cell r="K539">
            <v>20</v>
          </cell>
          <cell r="L539">
            <v>2000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none</v>
          </cell>
          <cell r="T539">
            <v>0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7</v>
          </cell>
          <cell r="AD539">
            <v>6</v>
          </cell>
          <cell r="AE539" t="str">
            <v>everyone</v>
          </cell>
        </row>
        <row r="540">
          <cell r="A540" t="str">
            <v>30006_3</v>
          </cell>
          <cell r="B540">
            <v>3</v>
          </cell>
          <cell r="C540">
            <v>30006</v>
          </cell>
          <cell r="D540" t="str">
            <v>それはお前を食べるためさ</v>
          </cell>
          <cell r="E540" t="str">
            <v>ドロップイベント2-3（マルチ専用）</v>
          </cell>
          <cell r="F540">
            <v>3</v>
          </cell>
          <cell r="G540" t="str">
            <v>ja</v>
          </cell>
          <cell r="H540" t="str">
            <v>【超級】それはお前を食べるためさ</v>
          </cell>
          <cell r="I540" t="str">
            <v>超級</v>
          </cell>
          <cell r="J540">
            <v>295</v>
          </cell>
          <cell r="K540">
            <v>30</v>
          </cell>
          <cell r="L540">
            <v>3300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polygon</v>
          </cell>
          <cell r="T540">
            <v>1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7</v>
          </cell>
          <cell r="AD540">
            <v>6</v>
          </cell>
          <cell r="AE540" t="str">
            <v>everyone</v>
          </cell>
        </row>
        <row r="541">
          <cell r="A541" t="str">
            <v>30007_1</v>
          </cell>
          <cell r="B541">
            <v>3</v>
          </cell>
          <cell r="C541">
            <v>30007</v>
          </cell>
          <cell r="D541" t="str">
            <v>ガラスの靴は私のもの</v>
          </cell>
          <cell r="E541" t="str">
            <v>ドロップイベント2-2（マルチ専用）</v>
          </cell>
          <cell r="F541">
            <v>1</v>
          </cell>
          <cell r="G541" t="str">
            <v>ja</v>
          </cell>
          <cell r="H541" t="str">
            <v xml:space="preserve">【中級】ガラスの靴は私のもの </v>
          </cell>
          <cell r="I541" t="str">
            <v>中級</v>
          </cell>
          <cell r="J541">
            <v>292</v>
          </cell>
          <cell r="K541">
            <v>15</v>
          </cell>
          <cell r="L541">
            <v>1200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</v>
          </cell>
          <cell r="AD541">
            <v>6</v>
          </cell>
          <cell r="AE541" t="str">
            <v>everyone</v>
          </cell>
        </row>
        <row r="542">
          <cell r="A542" t="str">
            <v>30007_2</v>
          </cell>
          <cell r="B542">
            <v>3</v>
          </cell>
          <cell r="C542">
            <v>30007</v>
          </cell>
          <cell r="D542" t="str">
            <v>ガラスの靴は私のもの</v>
          </cell>
          <cell r="E542" t="str">
            <v>ドロップイベント2-2（マルチ専用）</v>
          </cell>
          <cell r="F542">
            <v>2</v>
          </cell>
          <cell r="G542" t="str">
            <v>ja</v>
          </cell>
          <cell r="H542" t="str">
            <v>【上級】ガラスの靴は私のもの</v>
          </cell>
          <cell r="I542" t="str">
            <v>上級</v>
          </cell>
          <cell r="J542">
            <v>292</v>
          </cell>
          <cell r="K542">
            <v>20</v>
          </cell>
          <cell r="L542">
            <v>2000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none</v>
          </cell>
          <cell r="T542">
            <v>0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9</v>
          </cell>
          <cell r="AD542">
            <v>6</v>
          </cell>
          <cell r="AE542" t="str">
            <v>everyone</v>
          </cell>
        </row>
        <row r="543">
          <cell r="A543" t="str">
            <v>30007_3</v>
          </cell>
          <cell r="B543">
            <v>3</v>
          </cell>
          <cell r="C543">
            <v>30007</v>
          </cell>
          <cell r="D543" t="str">
            <v>ガラスの靴は私のもの</v>
          </cell>
          <cell r="E543" t="str">
            <v>ドロップイベント2-2（マルチ専用）</v>
          </cell>
          <cell r="F543">
            <v>3</v>
          </cell>
          <cell r="G543" t="str">
            <v>ja</v>
          </cell>
          <cell r="H543" t="str">
            <v xml:space="preserve">【超級】ガラスの靴は私のもの </v>
          </cell>
          <cell r="I543" t="str">
            <v>超級</v>
          </cell>
          <cell r="J543">
            <v>293</v>
          </cell>
          <cell r="K543">
            <v>30</v>
          </cell>
          <cell r="L543">
            <v>3300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polygon</v>
          </cell>
          <cell r="T543">
            <v>1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</v>
          </cell>
          <cell r="AD543">
            <v>6</v>
          </cell>
          <cell r="AE543" t="str">
            <v>everyone</v>
          </cell>
        </row>
        <row r="544">
          <cell r="A544" t="str">
            <v>30008_1</v>
          </cell>
          <cell r="B544">
            <v>3</v>
          </cell>
          <cell r="C544">
            <v>30008</v>
          </cell>
          <cell r="D544" t="str">
            <v>わたしの嫁を返してもらおう</v>
          </cell>
          <cell r="E544" t="str">
            <v>ドロップイベント2-4（マルチ専用）</v>
          </cell>
          <cell r="F544">
            <v>1</v>
          </cell>
          <cell r="G544" t="str">
            <v>ja</v>
          </cell>
          <cell r="H544" t="str">
            <v>【中級】わたしの嫁を返してもらおう</v>
          </cell>
          <cell r="I544" t="str">
            <v>中級</v>
          </cell>
          <cell r="J544">
            <v>288</v>
          </cell>
          <cell r="K544">
            <v>15</v>
          </cell>
          <cell r="L544">
            <v>1200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22</v>
          </cell>
          <cell r="AD544">
            <v>6</v>
          </cell>
          <cell r="AE544" t="str">
            <v>everyone</v>
          </cell>
        </row>
        <row r="545">
          <cell r="A545" t="str">
            <v>30008_2</v>
          </cell>
          <cell r="B545">
            <v>3</v>
          </cell>
          <cell r="C545">
            <v>30008</v>
          </cell>
          <cell r="D545" t="str">
            <v>わたしの嫁を返してもらおう</v>
          </cell>
          <cell r="E545" t="str">
            <v>ドロップイベント2-4（マルチ専用）</v>
          </cell>
          <cell r="F545">
            <v>2</v>
          </cell>
          <cell r="G545" t="str">
            <v>ja</v>
          </cell>
          <cell r="H545" t="str">
            <v>【上級】わたしの嫁を返してもらおう</v>
          </cell>
          <cell r="I545" t="str">
            <v>上級</v>
          </cell>
          <cell r="J545">
            <v>288</v>
          </cell>
          <cell r="K545">
            <v>20</v>
          </cell>
          <cell r="L545">
            <v>2000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none</v>
          </cell>
          <cell r="T545">
            <v>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22</v>
          </cell>
          <cell r="AD545">
            <v>6</v>
          </cell>
          <cell r="AE545" t="str">
            <v>everyone</v>
          </cell>
        </row>
        <row r="546">
          <cell r="A546" t="str">
            <v>30008_3</v>
          </cell>
          <cell r="B546">
            <v>3</v>
          </cell>
          <cell r="C546">
            <v>30008</v>
          </cell>
          <cell r="D546" t="str">
            <v>わたしの嫁を返してもらおう</v>
          </cell>
          <cell r="E546" t="str">
            <v>ドロップイベント2-4（マルチ専用）</v>
          </cell>
          <cell r="F546">
            <v>3</v>
          </cell>
          <cell r="G546" t="str">
            <v>ja</v>
          </cell>
          <cell r="H546" t="str">
            <v>【超級】わたしの嫁を返してもらおう</v>
          </cell>
          <cell r="I546" t="str">
            <v>超級</v>
          </cell>
          <cell r="J546">
            <v>289</v>
          </cell>
          <cell r="K546">
            <v>30</v>
          </cell>
          <cell r="L546">
            <v>3300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polygon</v>
          </cell>
          <cell r="T546">
            <v>1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22</v>
          </cell>
          <cell r="AD546">
            <v>6</v>
          </cell>
          <cell r="AE546" t="str">
            <v>everyone</v>
          </cell>
        </row>
        <row r="547">
          <cell r="A547" t="str">
            <v>30009_3</v>
          </cell>
          <cell r="B547">
            <v>0</v>
          </cell>
          <cell r="C547">
            <v>30009</v>
          </cell>
          <cell r="D547" t="str">
            <v>復活の捕食者</v>
          </cell>
          <cell r="E547" t="str">
            <v>ドロップイベント3（マルチ専用）</v>
          </cell>
          <cell r="F547">
            <v>3</v>
          </cell>
          <cell r="G547" t="str">
            <v>ja</v>
          </cell>
          <cell r="H547" t="str">
            <v>【上級】復活の捕食者</v>
          </cell>
          <cell r="I547" t="str">
            <v>上級</v>
          </cell>
          <cell r="J547">
            <v>312</v>
          </cell>
          <cell r="K547">
            <v>20</v>
          </cell>
          <cell r="L547">
            <v>2000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2</v>
          </cell>
          <cell r="S547" t="str">
            <v>none</v>
          </cell>
          <cell r="T547">
            <v>0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8</v>
          </cell>
          <cell r="AD547">
            <v>6</v>
          </cell>
          <cell r="AE547" t="str">
            <v>everyone</v>
          </cell>
        </row>
        <row r="548">
          <cell r="A548" t="str">
            <v>30009_1</v>
          </cell>
          <cell r="B548">
            <v>3</v>
          </cell>
          <cell r="C548">
            <v>30009</v>
          </cell>
          <cell r="D548" t="str">
            <v>復活の捕食者</v>
          </cell>
          <cell r="E548" t="str">
            <v>ドロップイベント3（マルチ専用）</v>
          </cell>
          <cell r="F548">
            <v>1</v>
          </cell>
          <cell r="G548" t="str">
            <v>ja</v>
          </cell>
          <cell r="H548" t="str">
            <v>【超級】復活の捕食者</v>
          </cell>
          <cell r="I548" t="str">
            <v>超級</v>
          </cell>
          <cell r="J548">
            <v>312</v>
          </cell>
          <cell r="K548">
            <v>30</v>
          </cell>
          <cell r="L548">
            <v>3300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2</v>
          </cell>
          <cell r="S548" t="str">
            <v>none</v>
          </cell>
          <cell r="T548">
            <v>0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8</v>
          </cell>
          <cell r="AD548">
            <v>6</v>
          </cell>
          <cell r="AE548" t="str">
            <v>everyone</v>
          </cell>
        </row>
        <row r="549">
          <cell r="A549" t="str">
            <v>30009_2</v>
          </cell>
          <cell r="B549">
            <v>3</v>
          </cell>
          <cell r="C549">
            <v>30009</v>
          </cell>
          <cell r="D549" t="str">
            <v>復活の捕食者</v>
          </cell>
          <cell r="E549" t="str">
            <v>ドロップイベント3（マルチ専用）</v>
          </cell>
          <cell r="F549">
            <v>2</v>
          </cell>
          <cell r="G549" t="str">
            <v>ja</v>
          </cell>
          <cell r="H549" t="str">
            <v>【超絶級】復活の捕食者</v>
          </cell>
          <cell r="I549" t="str">
            <v>超絶級</v>
          </cell>
          <cell r="J549">
            <v>312</v>
          </cell>
          <cell r="K549">
            <v>35</v>
          </cell>
          <cell r="L549">
            <v>4200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2</v>
          </cell>
          <cell r="S549" t="str">
            <v>polygon</v>
          </cell>
          <cell r="T549">
            <v>1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8</v>
          </cell>
          <cell r="AD549">
            <v>6</v>
          </cell>
          <cell r="AE549" t="str">
            <v>everyone</v>
          </cell>
        </row>
        <row r="550">
          <cell r="A550" t="str">
            <v>30010_1</v>
          </cell>
          <cell r="B550">
            <v>3</v>
          </cell>
          <cell r="C550">
            <v>30010</v>
          </cell>
          <cell r="D550" t="str">
            <v>最大最凶</v>
          </cell>
          <cell r="E550" t="str">
            <v>ドロップイベント3（マルチ専用）</v>
          </cell>
          <cell r="F550">
            <v>1</v>
          </cell>
          <cell r="G550" t="str">
            <v>ja</v>
          </cell>
          <cell r="H550" t="str">
            <v>【上級】最大最凶</v>
          </cell>
          <cell r="I550" t="str">
            <v>上級</v>
          </cell>
          <cell r="J550">
            <v>306</v>
          </cell>
          <cell r="K550">
            <v>20</v>
          </cell>
          <cell r="L550">
            <v>2000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3</v>
          </cell>
          <cell r="S550" t="str">
            <v>none</v>
          </cell>
          <cell r="T550">
            <v>0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2</v>
          </cell>
          <cell r="AD550">
            <v>7</v>
          </cell>
          <cell r="AE550" t="str">
            <v>everyone</v>
          </cell>
        </row>
        <row r="551">
          <cell r="A551" t="str">
            <v>30010_2</v>
          </cell>
          <cell r="B551">
            <v>3</v>
          </cell>
          <cell r="C551">
            <v>30010</v>
          </cell>
          <cell r="D551" t="str">
            <v>最大最凶</v>
          </cell>
          <cell r="E551" t="str">
            <v>ドロップイベント3（マルチ専用）</v>
          </cell>
          <cell r="F551">
            <v>2</v>
          </cell>
          <cell r="G551" t="str">
            <v>ja</v>
          </cell>
          <cell r="H551" t="str">
            <v>【超級】最大最凶</v>
          </cell>
          <cell r="I551" t="str">
            <v>超級</v>
          </cell>
          <cell r="J551">
            <v>306</v>
          </cell>
          <cell r="K551">
            <v>30</v>
          </cell>
          <cell r="L551">
            <v>3300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none</v>
          </cell>
          <cell r="T551">
            <v>0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2</v>
          </cell>
          <cell r="AD551">
            <v>7</v>
          </cell>
          <cell r="AE551" t="str">
            <v>everyone</v>
          </cell>
        </row>
        <row r="552">
          <cell r="A552" t="str">
            <v>30010_3</v>
          </cell>
          <cell r="B552">
            <v>3</v>
          </cell>
          <cell r="C552">
            <v>30010</v>
          </cell>
          <cell r="D552" t="str">
            <v>最大最凶</v>
          </cell>
          <cell r="E552" t="str">
            <v>ドロップイベント3（マルチ専用）</v>
          </cell>
          <cell r="F552">
            <v>3</v>
          </cell>
          <cell r="G552" t="str">
            <v>ja</v>
          </cell>
          <cell r="H552" t="str">
            <v>【超絶級】最大最凶</v>
          </cell>
          <cell r="I552" t="str">
            <v>超絶級</v>
          </cell>
          <cell r="J552">
            <v>306</v>
          </cell>
          <cell r="K552">
            <v>35</v>
          </cell>
          <cell r="L552">
            <v>4200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polygon</v>
          </cell>
          <cell r="T552">
            <v>1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2</v>
          </cell>
          <cell r="AD552">
            <v>7</v>
          </cell>
          <cell r="AE552" t="str">
            <v>everyone</v>
          </cell>
        </row>
        <row r="553">
          <cell r="A553" t="str">
            <v>30011_1</v>
          </cell>
          <cell r="B553">
            <v>3</v>
          </cell>
          <cell r="C553">
            <v>30011</v>
          </cell>
          <cell r="D553" t="str">
            <v>気怠い巨読者</v>
          </cell>
          <cell r="E553" t="str">
            <v>ドロップイベント3（マルチ専用）</v>
          </cell>
          <cell r="F553">
            <v>1</v>
          </cell>
          <cell r="G553" t="str">
            <v>ja</v>
          </cell>
          <cell r="H553" t="str">
            <v>【上級】気怠い巨読者</v>
          </cell>
          <cell r="I553" t="str">
            <v>上級</v>
          </cell>
          <cell r="J553">
            <v>308</v>
          </cell>
          <cell r="K553">
            <v>20</v>
          </cell>
          <cell r="L553">
            <v>2000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2</v>
          </cell>
          <cell r="S553" t="str">
            <v>none</v>
          </cell>
          <cell r="T553">
            <v>0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19</v>
          </cell>
          <cell r="AD553">
            <v>6</v>
          </cell>
          <cell r="AE553" t="str">
            <v>everyone</v>
          </cell>
        </row>
        <row r="554">
          <cell r="A554" t="str">
            <v>30011_2</v>
          </cell>
          <cell r="B554">
            <v>3</v>
          </cell>
          <cell r="C554">
            <v>30011</v>
          </cell>
          <cell r="D554" t="str">
            <v>気怠い巨読者</v>
          </cell>
          <cell r="E554" t="str">
            <v>ドロップイベント3（マルチ専用）</v>
          </cell>
          <cell r="F554">
            <v>2</v>
          </cell>
          <cell r="G554" t="str">
            <v>ja</v>
          </cell>
          <cell r="H554" t="str">
            <v>【超級】気怠い巨読者</v>
          </cell>
          <cell r="I554" t="str">
            <v>超級</v>
          </cell>
          <cell r="J554">
            <v>308</v>
          </cell>
          <cell r="K554">
            <v>30</v>
          </cell>
          <cell r="L554">
            <v>3300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2</v>
          </cell>
          <cell r="S554" t="str">
            <v>none</v>
          </cell>
          <cell r="T554">
            <v>0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19</v>
          </cell>
          <cell r="AD554">
            <v>6</v>
          </cell>
          <cell r="AE554" t="str">
            <v>everyone</v>
          </cell>
        </row>
        <row r="555">
          <cell r="A555" t="str">
            <v>30011_3</v>
          </cell>
          <cell r="B555">
            <v>3</v>
          </cell>
          <cell r="C555">
            <v>30011</v>
          </cell>
          <cell r="D555" t="str">
            <v>気怠い巨読者</v>
          </cell>
          <cell r="E555" t="str">
            <v>ドロップイベント3（マルチ専用）</v>
          </cell>
          <cell r="F555">
            <v>3</v>
          </cell>
          <cell r="G555" t="str">
            <v>ja</v>
          </cell>
          <cell r="H555" t="str">
            <v>【超絶級】気怠い巨読者</v>
          </cell>
          <cell r="I555" t="str">
            <v>超絶級</v>
          </cell>
          <cell r="J555">
            <v>309</v>
          </cell>
          <cell r="K555">
            <v>35</v>
          </cell>
          <cell r="L555">
            <v>4200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2</v>
          </cell>
          <cell r="S555" t="str">
            <v>polygon</v>
          </cell>
          <cell r="T555">
            <v>1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19</v>
          </cell>
          <cell r="AD555">
            <v>6</v>
          </cell>
          <cell r="AE555" t="str">
            <v>everyone</v>
          </cell>
        </row>
        <row r="556">
          <cell r="A556" t="str">
            <v>30012_1</v>
          </cell>
          <cell r="B556">
            <v>3</v>
          </cell>
          <cell r="C556">
            <v>30012</v>
          </cell>
          <cell r="D556" t="str">
            <v>底なしの胃袋</v>
          </cell>
          <cell r="E556" t="str">
            <v>ドロップイベント3（マルチ専用）</v>
          </cell>
          <cell r="F556">
            <v>1</v>
          </cell>
          <cell r="G556" t="str">
            <v>ja</v>
          </cell>
          <cell r="H556" t="str">
            <v>【上級】底なしの胃袋</v>
          </cell>
          <cell r="I556" t="str">
            <v>上級</v>
          </cell>
          <cell r="J556">
            <v>310</v>
          </cell>
          <cell r="K556">
            <v>20</v>
          </cell>
          <cell r="L556">
            <v>2000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0</v>
          </cell>
          <cell r="R556">
            <v>3</v>
          </cell>
          <cell r="S556" t="str">
            <v>none</v>
          </cell>
          <cell r="T556">
            <v>0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5</v>
          </cell>
          <cell r="AD556">
            <v>6</v>
          </cell>
          <cell r="AE556" t="str">
            <v>everyone</v>
          </cell>
        </row>
        <row r="557">
          <cell r="A557" t="str">
            <v>30012_2</v>
          </cell>
          <cell r="B557">
            <v>3</v>
          </cell>
          <cell r="C557">
            <v>30012</v>
          </cell>
          <cell r="D557" t="str">
            <v>底なしの胃袋</v>
          </cell>
          <cell r="E557" t="str">
            <v>ドロップイベント3（マルチ専用）</v>
          </cell>
          <cell r="F557">
            <v>2</v>
          </cell>
          <cell r="G557" t="str">
            <v>ja</v>
          </cell>
          <cell r="H557" t="str">
            <v>【超級】底なしの胃袋</v>
          </cell>
          <cell r="I557" t="str">
            <v>超級</v>
          </cell>
          <cell r="J557">
            <v>310</v>
          </cell>
          <cell r="K557">
            <v>30</v>
          </cell>
          <cell r="L557">
            <v>3300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0</v>
          </cell>
          <cell r="R557">
            <v>3</v>
          </cell>
          <cell r="S557" t="str">
            <v>none</v>
          </cell>
          <cell r="T557">
            <v>0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5</v>
          </cell>
          <cell r="AD557">
            <v>6</v>
          </cell>
          <cell r="AE557" t="str">
            <v>everyone</v>
          </cell>
        </row>
        <row r="558">
          <cell r="A558" t="str">
            <v>30012_3</v>
          </cell>
          <cell r="B558">
            <v>3</v>
          </cell>
          <cell r="C558">
            <v>30012</v>
          </cell>
          <cell r="D558" t="str">
            <v>底なしの胃袋</v>
          </cell>
          <cell r="E558" t="str">
            <v>ドロップイベント3（マルチ専用）</v>
          </cell>
          <cell r="F558">
            <v>3</v>
          </cell>
          <cell r="G558" t="str">
            <v>ja</v>
          </cell>
          <cell r="H558" t="str">
            <v>【超絶級】底なしの胃袋</v>
          </cell>
          <cell r="I558" t="str">
            <v>超絶級</v>
          </cell>
          <cell r="J558">
            <v>310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0</v>
          </cell>
          <cell r="R558">
            <v>3</v>
          </cell>
          <cell r="S558" t="str">
            <v>polygon</v>
          </cell>
          <cell r="T558">
            <v>1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5</v>
          </cell>
          <cell r="AD558">
            <v>6</v>
          </cell>
          <cell r="AE558" t="str">
            <v>everyone</v>
          </cell>
        </row>
        <row r="559">
          <cell r="A559" t="str">
            <v>30013_1</v>
          </cell>
          <cell r="B559">
            <v>3</v>
          </cell>
          <cell r="C559">
            <v>30013</v>
          </cell>
          <cell r="D559" t="str">
            <v>決戦・竜宮城</v>
          </cell>
          <cell r="E559" t="str">
            <v>ドロップイベント4（マルチ専用）</v>
          </cell>
          <cell r="F559">
            <v>1</v>
          </cell>
          <cell r="G559" t="str">
            <v>ja</v>
          </cell>
          <cell r="H559" t="str">
            <v>【超級】決戦・竜宮城</v>
          </cell>
          <cell r="I559" t="str">
            <v>超級</v>
          </cell>
          <cell r="J559">
            <v>418</v>
          </cell>
          <cell r="K559">
            <v>30</v>
          </cell>
          <cell r="L559">
            <v>3300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none</v>
          </cell>
          <cell r="T559">
            <v>0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17</v>
          </cell>
          <cell r="AD559">
            <v>6</v>
          </cell>
          <cell r="AE559" t="str">
            <v>everyone</v>
          </cell>
        </row>
        <row r="560">
          <cell r="A560" t="str">
            <v>30013_2</v>
          </cell>
          <cell r="B560">
            <v>3</v>
          </cell>
          <cell r="C560">
            <v>30013</v>
          </cell>
          <cell r="D560" t="str">
            <v>決戦・竜宮城</v>
          </cell>
          <cell r="E560" t="str">
            <v>ドロップイベント4（マルチ専用）</v>
          </cell>
          <cell r="F560">
            <v>2</v>
          </cell>
          <cell r="G560" t="str">
            <v>ja</v>
          </cell>
          <cell r="H560" t="str">
            <v>【超絶級】決戦・竜宮城</v>
          </cell>
          <cell r="I560" t="str">
            <v>超絶級</v>
          </cell>
          <cell r="J560">
            <v>419</v>
          </cell>
          <cell r="K560">
            <v>35</v>
          </cell>
          <cell r="L560">
            <v>4200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polygon</v>
          </cell>
          <cell r="T560">
            <v>1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17</v>
          </cell>
          <cell r="AD560">
            <v>6</v>
          </cell>
          <cell r="AE560" t="str">
            <v>everyone</v>
          </cell>
        </row>
        <row r="561">
          <cell r="A561" t="str">
            <v>30014_1</v>
          </cell>
          <cell r="B561">
            <v>3</v>
          </cell>
          <cell r="C561">
            <v>30014</v>
          </cell>
          <cell r="D561" t="str">
            <v>親指を突き立てろ！</v>
          </cell>
          <cell r="E561" t="str">
            <v>ドロップイベント4（マルチ専用）</v>
          </cell>
          <cell r="F561">
            <v>1</v>
          </cell>
          <cell r="G561" t="str">
            <v>ja</v>
          </cell>
          <cell r="H561" t="str">
            <v>【超級】親指を突き立てろ！</v>
          </cell>
          <cell r="I561" t="str">
            <v>超級</v>
          </cell>
          <cell r="J561">
            <v>420</v>
          </cell>
          <cell r="K561">
            <v>30</v>
          </cell>
          <cell r="L561">
            <v>3300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none</v>
          </cell>
          <cell r="T561">
            <v>0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23</v>
          </cell>
          <cell r="AD561">
            <v>5</v>
          </cell>
          <cell r="AE561" t="str">
            <v>everyone</v>
          </cell>
        </row>
        <row r="562">
          <cell r="A562" t="str">
            <v>30014_2</v>
          </cell>
          <cell r="B562">
            <v>3</v>
          </cell>
          <cell r="C562">
            <v>30014</v>
          </cell>
          <cell r="D562" t="str">
            <v>親指を突き立てろ！</v>
          </cell>
          <cell r="E562" t="str">
            <v>ドロップイベント4（マルチ専用）</v>
          </cell>
          <cell r="F562">
            <v>2</v>
          </cell>
          <cell r="G562" t="str">
            <v>ja</v>
          </cell>
          <cell r="H562" t="str">
            <v>【超絶級】親指を突き立てろ！</v>
          </cell>
          <cell r="I562" t="str">
            <v>超絶級</v>
          </cell>
          <cell r="J562">
            <v>421</v>
          </cell>
          <cell r="K562">
            <v>35</v>
          </cell>
          <cell r="L562">
            <v>4200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polygon</v>
          </cell>
          <cell r="T562">
            <v>1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23</v>
          </cell>
          <cell r="AD562">
            <v>5</v>
          </cell>
          <cell r="AE562" t="str">
            <v>everyone</v>
          </cell>
        </row>
        <row r="563">
          <cell r="A563" t="str">
            <v>30015_1</v>
          </cell>
          <cell r="B563">
            <v>3</v>
          </cell>
          <cell r="C563">
            <v>30015</v>
          </cell>
          <cell r="D563" t="str">
            <v>兄妹の大冒険</v>
          </cell>
          <cell r="E563" t="str">
            <v>ドロップイベント4（マルチ専用）</v>
          </cell>
          <cell r="F563">
            <v>1</v>
          </cell>
          <cell r="G563" t="str">
            <v>ja</v>
          </cell>
          <cell r="H563" t="str">
            <v>【超級】兄妹の大冒険</v>
          </cell>
          <cell r="I563" t="str">
            <v>超級</v>
          </cell>
          <cell r="J563">
            <v>422</v>
          </cell>
          <cell r="K563">
            <v>30</v>
          </cell>
          <cell r="L563">
            <v>3300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none</v>
          </cell>
          <cell r="T563">
            <v>0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16</v>
          </cell>
          <cell r="AD563">
            <v>6</v>
          </cell>
          <cell r="AE563" t="str">
            <v>everyone</v>
          </cell>
        </row>
        <row r="564">
          <cell r="A564" t="str">
            <v>30015_2</v>
          </cell>
          <cell r="B564">
            <v>3</v>
          </cell>
          <cell r="C564">
            <v>30015</v>
          </cell>
          <cell r="D564" t="str">
            <v>兄妹の大冒険</v>
          </cell>
          <cell r="E564" t="str">
            <v>ドロップイベント4（マルチ専用）</v>
          </cell>
          <cell r="F564">
            <v>2</v>
          </cell>
          <cell r="G564" t="str">
            <v>ja</v>
          </cell>
          <cell r="H564" t="str">
            <v>【超絶級】兄妹の大冒険</v>
          </cell>
          <cell r="I564" t="str">
            <v>超絶級</v>
          </cell>
          <cell r="J564">
            <v>423</v>
          </cell>
          <cell r="K564">
            <v>35</v>
          </cell>
          <cell r="L564">
            <v>4200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polygon</v>
          </cell>
          <cell r="T564">
            <v>1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16</v>
          </cell>
          <cell r="AD564">
            <v>6</v>
          </cell>
          <cell r="AE564" t="str">
            <v>everyone</v>
          </cell>
        </row>
        <row r="565">
          <cell r="A565" t="str">
            <v>30016_1</v>
          </cell>
          <cell r="B565">
            <v>3</v>
          </cell>
          <cell r="C565">
            <v>30016</v>
          </cell>
          <cell r="D565" t="str">
            <v>私がワニの天敵よ？</v>
          </cell>
          <cell r="E565" t="str">
            <v>ドロップイベント4（マルチ専用）</v>
          </cell>
          <cell r="F565">
            <v>1</v>
          </cell>
          <cell r="G565" t="str">
            <v>ja</v>
          </cell>
          <cell r="H565" t="str">
            <v>【超級】私がワニの天敵よ？</v>
          </cell>
          <cell r="I565" t="str">
            <v>超級</v>
          </cell>
          <cell r="J565">
            <v>424</v>
          </cell>
          <cell r="K565">
            <v>30</v>
          </cell>
          <cell r="L565">
            <v>3300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none</v>
          </cell>
          <cell r="T565">
            <v>0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4</v>
          </cell>
          <cell r="AD565">
            <v>6</v>
          </cell>
          <cell r="AE565" t="str">
            <v>everyone</v>
          </cell>
        </row>
        <row r="566">
          <cell r="A566" t="str">
            <v>30016_2</v>
          </cell>
          <cell r="B566">
            <v>3</v>
          </cell>
          <cell r="C566">
            <v>30016</v>
          </cell>
          <cell r="D566" t="str">
            <v>私がワニの天敵よ？</v>
          </cell>
          <cell r="E566" t="str">
            <v>ドロップイベント4（マルチ専用）</v>
          </cell>
          <cell r="F566">
            <v>2</v>
          </cell>
          <cell r="G566" t="str">
            <v>ja</v>
          </cell>
          <cell r="H566" t="str">
            <v>【超絶級】私がワニの天敵よ？</v>
          </cell>
          <cell r="I566" t="str">
            <v>超絶級</v>
          </cell>
          <cell r="J566">
            <v>425</v>
          </cell>
          <cell r="K566">
            <v>35</v>
          </cell>
          <cell r="L566">
            <v>4200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polygon</v>
          </cell>
          <cell r="T566">
            <v>1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4</v>
          </cell>
          <cell r="AD566">
            <v>6</v>
          </cell>
          <cell r="AE566" t="str">
            <v>everyone</v>
          </cell>
        </row>
        <row r="567">
          <cell r="A567" t="str">
            <v>30017_1</v>
          </cell>
          <cell r="B567">
            <v>3</v>
          </cell>
          <cell r="C567">
            <v>30017</v>
          </cell>
          <cell r="D567" t="str">
            <v>狩人の挽歌</v>
          </cell>
          <cell r="E567" t="str">
            <v>ドロップイベント5（マルチ専用）</v>
          </cell>
          <cell r="F567">
            <v>1</v>
          </cell>
          <cell r="G567" t="str">
            <v>ja</v>
          </cell>
          <cell r="H567" t="str">
            <v>【超級】狩人の挽歌</v>
          </cell>
          <cell r="I567" t="str">
            <v>超級</v>
          </cell>
          <cell r="J567">
            <v>452</v>
          </cell>
          <cell r="K567">
            <v>30</v>
          </cell>
          <cell r="L567">
            <v>3300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none</v>
          </cell>
          <cell r="T567">
            <v>0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20</v>
          </cell>
          <cell r="AD567">
            <v>6</v>
          </cell>
          <cell r="AE567" t="str">
            <v>multionly</v>
          </cell>
        </row>
        <row r="568">
          <cell r="A568" t="str">
            <v>30017_2</v>
          </cell>
          <cell r="B568">
            <v>3</v>
          </cell>
          <cell r="C568">
            <v>30017</v>
          </cell>
          <cell r="D568" t="str">
            <v>狩人の挽歌</v>
          </cell>
          <cell r="E568" t="str">
            <v>ドロップイベント5（マルチ専用）</v>
          </cell>
          <cell r="F568">
            <v>2</v>
          </cell>
          <cell r="G568" t="str">
            <v>ja</v>
          </cell>
          <cell r="H568" t="str">
            <v>【超絶級】狩人の挽歌</v>
          </cell>
          <cell r="I568" t="str">
            <v>超絶級</v>
          </cell>
          <cell r="J568">
            <v>453</v>
          </cell>
          <cell r="K568">
            <v>35</v>
          </cell>
          <cell r="L568">
            <v>4200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polygon</v>
          </cell>
          <cell r="T568">
            <v>1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20</v>
          </cell>
          <cell r="AD568">
            <v>6</v>
          </cell>
          <cell r="AE568" t="str">
            <v>multionly</v>
          </cell>
        </row>
        <row r="569">
          <cell r="A569" t="str">
            <v>30018_1</v>
          </cell>
          <cell r="B569">
            <v>3</v>
          </cell>
          <cell r="C569">
            <v>30018</v>
          </cell>
          <cell r="D569" t="str">
            <v>バックストリートファイト</v>
          </cell>
          <cell r="E569" t="str">
            <v>ドロップイベント5（マルチ専用）</v>
          </cell>
          <cell r="F569">
            <v>1</v>
          </cell>
          <cell r="G569" t="str">
            <v>ja</v>
          </cell>
          <cell r="H569" t="str">
            <v>【超級】バックストリートファイト</v>
          </cell>
          <cell r="I569" t="str">
            <v>超級</v>
          </cell>
          <cell r="J569">
            <v>454</v>
          </cell>
          <cell r="K569">
            <v>30</v>
          </cell>
          <cell r="L569">
            <v>3300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0</v>
          </cell>
          <cell r="R569">
            <v>3</v>
          </cell>
          <cell r="S569" t="str">
            <v>none</v>
          </cell>
          <cell r="T569">
            <v>0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14</v>
          </cell>
          <cell r="AD569">
            <v>6</v>
          </cell>
          <cell r="AE569" t="str">
            <v>everyone</v>
          </cell>
        </row>
        <row r="570">
          <cell r="A570" t="str">
            <v>30018_2</v>
          </cell>
          <cell r="B570">
            <v>3</v>
          </cell>
          <cell r="C570">
            <v>30018</v>
          </cell>
          <cell r="D570" t="str">
            <v>バックストリートファイト</v>
          </cell>
          <cell r="E570" t="str">
            <v>ドロップイベント5（マルチ専用）</v>
          </cell>
          <cell r="F570">
            <v>2</v>
          </cell>
          <cell r="G570" t="str">
            <v>ja</v>
          </cell>
          <cell r="H570" t="str">
            <v>【超絶級】バックストリートファイト</v>
          </cell>
          <cell r="I570" t="str">
            <v>超絶級</v>
          </cell>
          <cell r="J570">
            <v>455</v>
          </cell>
          <cell r="K570">
            <v>35</v>
          </cell>
          <cell r="L570">
            <v>4200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0</v>
          </cell>
          <cell r="R570">
            <v>3</v>
          </cell>
          <cell r="S570" t="str">
            <v>polygon</v>
          </cell>
          <cell r="T570">
            <v>1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14</v>
          </cell>
          <cell r="AD570">
            <v>6</v>
          </cell>
          <cell r="AE570" t="str">
            <v>everyone</v>
          </cell>
        </row>
        <row r="571">
          <cell r="A571" t="str">
            <v>30019_1</v>
          </cell>
          <cell r="B571">
            <v>3</v>
          </cell>
          <cell r="C571">
            <v>30019</v>
          </cell>
          <cell r="D571" t="str">
            <v>狙撃は終わらない</v>
          </cell>
          <cell r="E571" t="str">
            <v>ドロップイベント5（マルチ専用）</v>
          </cell>
          <cell r="F571">
            <v>1</v>
          </cell>
          <cell r="G571" t="str">
            <v>ja</v>
          </cell>
          <cell r="H571" t="str">
            <v>【超級】狙撃は終わらない</v>
          </cell>
          <cell r="I571" t="str">
            <v>超級</v>
          </cell>
          <cell r="J571">
            <v>456</v>
          </cell>
          <cell r="K571">
            <v>30</v>
          </cell>
          <cell r="L571">
            <v>3300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none</v>
          </cell>
          <cell r="T571">
            <v>0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24</v>
          </cell>
          <cell r="AD571">
            <v>6</v>
          </cell>
          <cell r="AE571" t="str">
            <v>multionly</v>
          </cell>
        </row>
        <row r="572">
          <cell r="A572" t="str">
            <v>30019_2</v>
          </cell>
          <cell r="B572">
            <v>3</v>
          </cell>
          <cell r="C572">
            <v>30019</v>
          </cell>
          <cell r="D572" t="str">
            <v>狙撃は終わらない</v>
          </cell>
          <cell r="E572" t="str">
            <v>ドロップイベント5（マルチ専用）</v>
          </cell>
          <cell r="F572">
            <v>2</v>
          </cell>
          <cell r="G572" t="str">
            <v>ja</v>
          </cell>
          <cell r="H572" t="str">
            <v>【超絶級】狙撃は終わらない</v>
          </cell>
          <cell r="I572" t="str">
            <v>超絶級</v>
          </cell>
          <cell r="J572">
            <v>457</v>
          </cell>
          <cell r="K572">
            <v>35</v>
          </cell>
          <cell r="L572">
            <v>4200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1</v>
          </cell>
          <cell r="R572">
            <v>3</v>
          </cell>
          <cell r="S572" t="str">
            <v>polygon</v>
          </cell>
          <cell r="T572">
            <v>1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24</v>
          </cell>
          <cell r="AD572">
            <v>6</v>
          </cell>
          <cell r="AE572" t="str">
            <v>multionly</v>
          </cell>
        </row>
        <row r="573">
          <cell r="A573" t="str">
            <v>30020_1</v>
          </cell>
          <cell r="B573">
            <v>3</v>
          </cell>
          <cell r="C573">
            <v>30020</v>
          </cell>
          <cell r="D573" t="str">
            <v>若造よ、身の程を知れ</v>
          </cell>
          <cell r="E573" t="str">
            <v>ドロップイベント5（マルチ専用）</v>
          </cell>
          <cell r="F573">
            <v>1</v>
          </cell>
          <cell r="G573" t="str">
            <v>ja</v>
          </cell>
          <cell r="H573" t="str">
            <v>【超級】若造よ、身の程を知れ</v>
          </cell>
          <cell r="I573" t="str">
            <v>超級</v>
          </cell>
          <cell r="J573">
            <v>458</v>
          </cell>
          <cell r="K573">
            <v>30</v>
          </cell>
          <cell r="L573">
            <v>3300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1</v>
          </cell>
          <cell r="R573">
            <v>3</v>
          </cell>
          <cell r="S573" t="str">
            <v>none</v>
          </cell>
          <cell r="T573">
            <v>0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13</v>
          </cell>
          <cell r="AD573">
            <v>6</v>
          </cell>
          <cell r="AE573" t="str">
            <v>everyone</v>
          </cell>
        </row>
        <row r="574">
          <cell r="A574" t="str">
            <v>30020_2</v>
          </cell>
          <cell r="B574">
            <v>3</v>
          </cell>
          <cell r="C574">
            <v>30020</v>
          </cell>
          <cell r="D574" t="str">
            <v>若造よ、身の程を知れ</v>
          </cell>
          <cell r="E574" t="str">
            <v>ドロップイベント5（マルチ専用）</v>
          </cell>
          <cell r="F574">
            <v>2</v>
          </cell>
          <cell r="G574" t="str">
            <v>ja</v>
          </cell>
          <cell r="H574" t="str">
            <v>【超絶級】若造よ、身の程を知れ</v>
          </cell>
          <cell r="I574" t="str">
            <v>超絶級</v>
          </cell>
          <cell r="J574">
            <v>459</v>
          </cell>
          <cell r="K574">
            <v>35</v>
          </cell>
          <cell r="L574">
            <v>4200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polygon</v>
          </cell>
          <cell r="T574">
            <v>1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13</v>
          </cell>
          <cell r="AD574">
            <v>6</v>
          </cell>
          <cell r="AE574" t="str">
            <v>everyone</v>
          </cell>
        </row>
        <row r="575">
          <cell r="A575" t="str">
            <v>30021_1</v>
          </cell>
          <cell r="B575">
            <v>3</v>
          </cell>
          <cell r="C575">
            <v>30021</v>
          </cell>
          <cell r="D575" t="str">
            <v>野獣死すべしっ！</v>
          </cell>
          <cell r="E575" t="str">
            <v>ドロップイベント6（マルチ専用）</v>
          </cell>
          <cell r="F575">
            <v>1</v>
          </cell>
          <cell r="G575" t="str">
            <v>ja</v>
          </cell>
          <cell r="H575" t="str">
            <v>【中級】野獣死すべしっ！</v>
          </cell>
          <cell r="I575" t="str">
            <v>中級</v>
          </cell>
          <cell r="J575">
            <v>502</v>
          </cell>
          <cell r="K575">
            <v>15</v>
          </cell>
          <cell r="L575">
            <v>1200</v>
          </cell>
          <cell r="M575">
            <v>1</v>
          </cell>
          <cell r="N575">
            <v>1</v>
          </cell>
          <cell r="O575">
            <v>0</v>
          </cell>
          <cell r="P575">
            <v>1</v>
          </cell>
          <cell r="Q575">
            <v>1</v>
          </cell>
          <cell r="R575">
            <v>3</v>
          </cell>
          <cell r="S575" t="str">
            <v>none</v>
          </cell>
          <cell r="T575">
            <v>0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14</v>
          </cell>
          <cell r="AD575">
            <v>6</v>
          </cell>
          <cell r="AE575" t="str">
            <v>everyone</v>
          </cell>
        </row>
        <row r="576">
          <cell r="A576" t="str">
            <v>30021_2</v>
          </cell>
          <cell r="B576">
            <v>3</v>
          </cell>
          <cell r="C576">
            <v>30021</v>
          </cell>
          <cell r="D576" t="str">
            <v>野獣死すべしっ！</v>
          </cell>
          <cell r="E576" t="str">
            <v>ドロップイベント6（マルチ専用）</v>
          </cell>
          <cell r="F576">
            <v>2</v>
          </cell>
          <cell r="G576" t="str">
            <v>ja</v>
          </cell>
          <cell r="H576" t="str">
            <v>【上級】野獣死すべしっ！</v>
          </cell>
          <cell r="I576" t="str">
            <v>上級</v>
          </cell>
          <cell r="J576">
            <v>502</v>
          </cell>
          <cell r="K576">
            <v>20</v>
          </cell>
          <cell r="L576">
            <v>2000</v>
          </cell>
          <cell r="M576">
            <v>1</v>
          </cell>
          <cell r="N576">
            <v>1</v>
          </cell>
          <cell r="O576">
            <v>0</v>
          </cell>
          <cell r="P576">
            <v>1</v>
          </cell>
          <cell r="Q576">
            <v>1</v>
          </cell>
          <cell r="R576">
            <v>3</v>
          </cell>
          <cell r="S576" t="str">
            <v>none</v>
          </cell>
          <cell r="T576">
            <v>0</v>
          </cell>
          <cell r="U576" t="str">
            <v>NULL</v>
          </cell>
          <cell r="V576" t="str">
            <v>NULL</v>
          </cell>
          <cell r="W576" t="str">
            <v/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14</v>
          </cell>
          <cell r="AD576">
            <v>6</v>
          </cell>
          <cell r="AE576" t="str">
            <v>everyone</v>
          </cell>
        </row>
        <row r="577">
          <cell r="A577" t="str">
            <v>30021_3</v>
          </cell>
          <cell r="B577">
            <v>3</v>
          </cell>
          <cell r="C577">
            <v>30021</v>
          </cell>
          <cell r="D577" t="str">
            <v>野獣死すべしっ！</v>
          </cell>
          <cell r="E577" t="str">
            <v>ドロップイベント6（マルチ専用）</v>
          </cell>
          <cell r="F577">
            <v>3</v>
          </cell>
          <cell r="G577" t="str">
            <v>ja</v>
          </cell>
          <cell r="H577" t="str">
            <v>【超級】野獣死すべしっ！</v>
          </cell>
          <cell r="I577" t="str">
            <v>超級</v>
          </cell>
          <cell r="J577">
            <v>503</v>
          </cell>
          <cell r="K577">
            <v>30</v>
          </cell>
          <cell r="L577">
            <v>3300</v>
          </cell>
          <cell r="M577">
            <v>1</v>
          </cell>
          <cell r="N577">
            <v>1</v>
          </cell>
          <cell r="O577">
            <v>0</v>
          </cell>
          <cell r="P577">
            <v>1</v>
          </cell>
          <cell r="Q577">
            <v>1</v>
          </cell>
          <cell r="R577">
            <v>3</v>
          </cell>
          <cell r="S577" t="str">
            <v>polygon</v>
          </cell>
          <cell r="T577">
            <v>1</v>
          </cell>
          <cell r="U577" t="str">
            <v>NULL</v>
          </cell>
          <cell r="V577" t="str">
            <v>NULL</v>
          </cell>
          <cell r="W577" t="str">
            <v/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14</v>
          </cell>
          <cell r="AD577">
            <v>6</v>
          </cell>
          <cell r="AE577" t="str">
            <v>everyone</v>
          </cell>
        </row>
        <row r="578">
          <cell r="A578" t="str">
            <v>30022_1</v>
          </cell>
          <cell r="B578">
            <v>3</v>
          </cell>
          <cell r="C578">
            <v>30022</v>
          </cell>
          <cell r="D578" t="str">
            <v>凶鼠ネコを咬む</v>
          </cell>
          <cell r="E578" t="str">
            <v>ドロップイベント6（マルチ専用）</v>
          </cell>
          <cell r="F578">
            <v>1</v>
          </cell>
          <cell r="G578" t="str">
            <v>ja</v>
          </cell>
          <cell r="H578" t="str">
            <v>【超級】凶鼠ネコを咬む</v>
          </cell>
          <cell r="I578" t="str">
            <v>超級</v>
          </cell>
          <cell r="J578">
            <v>504</v>
          </cell>
          <cell r="K578">
            <v>30</v>
          </cell>
          <cell r="L578">
            <v>3300</v>
          </cell>
          <cell r="M578">
            <v>1</v>
          </cell>
          <cell r="N578">
            <v>1</v>
          </cell>
          <cell r="O578">
            <v>1</v>
          </cell>
          <cell r="P578">
            <v>1</v>
          </cell>
          <cell r="Q578">
            <v>1</v>
          </cell>
          <cell r="R578">
            <v>3</v>
          </cell>
          <cell r="S578" t="str">
            <v>none</v>
          </cell>
          <cell r="T578">
            <v>0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6</v>
          </cell>
          <cell r="AD578">
            <v>6</v>
          </cell>
          <cell r="AE578" t="str">
            <v>everyone</v>
          </cell>
        </row>
        <row r="579">
          <cell r="A579" t="str">
            <v>30022_2</v>
          </cell>
          <cell r="B579">
            <v>3</v>
          </cell>
          <cell r="C579">
            <v>30022</v>
          </cell>
          <cell r="D579" t="str">
            <v>凶鼠ネコを咬む</v>
          </cell>
          <cell r="E579" t="str">
            <v>ドロップイベント6（マルチ専用）</v>
          </cell>
          <cell r="F579">
            <v>2</v>
          </cell>
          <cell r="G579" t="str">
            <v>ja</v>
          </cell>
          <cell r="H579" t="str">
            <v>【超絶級】凶鼠ネコを咬む</v>
          </cell>
          <cell r="I579" t="str">
            <v>超絶級</v>
          </cell>
          <cell r="J579">
            <v>505</v>
          </cell>
          <cell r="K579">
            <v>35</v>
          </cell>
          <cell r="L579">
            <v>4200</v>
          </cell>
          <cell r="M579">
            <v>1</v>
          </cell>
          <cell r="N579">
            <v>1</v>
          </cell>
          <cell r="O579">
            <v>1</v>
          </cell>
          <cell r="P579">
            <v>1</v>
          </cell>
          <cell r="Q579">
            <v>1</v>
          </cell>
          <cell r="R579">
            <v>3</v>
          </cell>
          <cell r="S579" t="str">
            <v>polygon</v>
          </cell>
          <cell r="T579">
            <v>1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6</v>
          </cell>
          <cell r="AD579">
            <v>6</v>
          </cell>
          <cell r="AE579" t="str">
            <v>everyone</v>
          </cell>
        </row>
        <row r="580">
          <cell r="A580" t="str">
            <v>30023_1</v>
          </cell>
          <cell r="B580">
            <v>3</v>
          </cell>
          <cell r="C580">
            <v>30023</v>
          </cell>
          <cell r="D580" t="str">
            <v>隔離からのエスケイプ</v>
          </cell>
          <cell r="E580" t="str">
            <v>ドロップイベント6（マルチ専用）</v>
          </cell>
          <cell r="F580">
            <v>1</v>
          </cell>
          <cell r="G580" t="str">
            <v>ja</v>
          </cell>
          <cell r="H580" t="str">
            <v>【中級】隔離からのエスケイプ</v>
          </cell>
          <cell r="I580" t="str">
            <v>中級</v>
          </cell>
          <cell r="J580">
            <v>506</v>
          </cell>
          <cell r="K580">
            <v>15</v>
          </cell>
          <cell r="L580">
            <v>1200</v>
          </cell>
          <cell r="M580">
            <v>1</v>
          </cell>
          <cell r="N580">
            <v>1</v>
          </cell>
          <cell r="O580">
            <v>1</v>
          </cell>
          <cell r="P580">
            <v>1</v>
          </cell>
          <cell r="Q580">
            <v>1</v>
          </cell>
          <cell r="R580">
            <v>3</v>
          </cell>
          <cell r="S580" t="str">
            <v>none</v>
          </cell>
          <cell r="T580">
            <v>0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25</v>
          </cell>
          <cell r="AD580">
            <v>6</v>
          </cell>
          <cell r="AE580" t="str">
            <v>everyone</v>
          </cell>
        </row>
        <row r="581">
          <cell r="A581" t="str">
            <v>30023_2</v>
          </cell>
          <cell r="B581">
            <v>3</v>
          </cell>
          <cell r="C581">
            <v>30023</v>
          </cell>
          <cell r="D581" t="str">
            <v>隔離からのエスケイプ</v>
          </cell>
          <cell r="E581" t="str">
            <v>ドロップイベント6（マルチ専用）</v>
          </cell>
          <cell r="F581">
            <v>2</v>
          </cell>
          <cell r="G581" t="str">
            <v>ja</v>
          </cell>
          <cell r="H581" t="str">
            <v>【上級】隔離からのエスケイプ</v>
          </cell>
          <cell r="I581" t="str">
            <v>上級</v>
          </cell>
          <cell r="J581">
            <v>506</v>
          </cell>
          <cell r="K581">
            <v>20</v>
          </cell>
          <cell r="L581">
            <v>2000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none</v>
          </cell>
          <cell r="T581">
            <v>0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25</v>
          </cell>
          <cell r="AD581">
            <v>6</v>
          </cell>
          <cell r="AE581" t="str">
            <v>everyone</v>
          </cell>
        </row>
        <row r="582">
          <cell r="A582" t="str">
            <v>30023_3</v>
          </cell>
          <cell r="B582">
            <v>3</v>
          </cell>
          <cell r="C582">
            <v>30023</v>
          </cell>
          <cell r="D582" t="str">
            <v>隔離からのエスケイプ</v>
          </cell>
          <cell r="E582" t="str">
            <v>ドロップイベント6（マルチ専用）</v>
          </cell>
          <cell r="F582">
            <v>3</v>
          </cell>
          <cell r="G582" t="str">
            <v>ja</v>
          </cell>
          <cell r="H582" t="str">
            <v>【超級】隔離からのエスケイプ</v>
          </cell>
          <cell r="I582" t="str">
            <v>超級</v>
          </cell>
          <cell r="J582">
            <v>507</v>
          </cell>
          <cell r="K582">
            <v>30</v>
          </cell>
          <cell r="L582">
            <v>3300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polygon</v>
          </cell>
          <cell r="T582">
            <v>1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25</v>
          </cell>
          <cell r="AD582">
            <v>6</v>
          </cell>
          <cell r="AE582" t="str">
            <v>everyone</v>
          </cell>
        </row>
        <row r="583">
          <cell r="A583" t="str">
            <v>30024_1</v>
          </cell>
          <cell r="B583">
            <v>3</v>
          </cell>
          <cell r="C583">
            <v>30024</v>
          </cell>
          <cell r="D583" t="str">
            <v>雷鎚の選定</v>
          </cell>
          <cell r="E583" t="str">
            <v>ドロップイベント7（マルチ専用）</v>
          </cell>
          <cell r="F583">
            <v>1</v>
          </cell>
          <cell r="G583" t="str">
            <v>ja</v>
          </cell>
          <cell r="H583" t="str">
            <v>【中級】雷鎚の選定</v>
          </cell>
          <cell r="I583" t="str">
            <v>中級</v>
          </cell>
          <cell r="J583">
            <v>583</v>
          </cell>
          <cell r="K583">
            <v>15</v>
          </cell>
          <cell r="L583">
            <v>1200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none</v>
          </cell>
          <cell r="T583">
            <v>0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20</v>
          </cell>
          <cell r="AD583">
            <v>6</v>
          </cell>
          <cell r="AE583" t="str">
            <v>multionly</v>
          </cell>
        </row>
        <row r="584">
          <cell r="A584" t="str">
            <v>30024_2</v>
          </cell>
          <cell r="B584">
            <v>3</v>
          </cell>
          <cell r="C584">
            <v>30024</v>
          </cell>
          <cell r="D584" t="str">
            <v>雷鎚の選定</v>
          </cell>
          <cell r="E584" t="str">
            <v>ドロップイベント7（マルチ専用）</v>
          </cell>
          <cell r="F584">
            <v>2</v>
          </cell>
          <cell r="G584" t="str">
            <v>ja</v>
          </cell>
          <cell r="H584" t="str">
            <v>【上級】雷鎚の選定</v>
          </cell>
          <cell r="I584" t="str">
            <v>上級</v>
          </cell>
          <cell r="J584">
            <v>583</v>
          </cell>
          <cell r="K584">
            <v>20</v>
          </cell>
          <cell r="L584">
            <v>2000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none</v>
          </cell>
          <cell r="T584">
            <v>0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20</v>
          </cell>
          <cell r="AD584">
            <v>6</v>
          </cell>
          <cell r="AE584" t="str">
            <v>multionly</v>
          </cell>
        </row>
        <row r="585">
          <cell r="A585" t="str">
            <v>30024_3</v>
          </cell>
          <cell r="B585">
            <v>3</v>
          </cell>
          <cell r="C585">
            <v>30024</v>
          </cell>
          <cell r="D585" t="str">
            <v>雷鎚の選定</v>
          </cell>
          <cell r="E585" t="str">
            <v>ドロップイベント7（マルチ専用）</v>
          </cell>
          <cell r="F585">
            <v>3</v>
          </cell>
          <cell r="G585" t="str">
            <v>ja</v>
          </cell>
          <cell r="H585" t="str">
            <v>【超級】雷鎚の選定</v>
          </cell>
          <cell r="I585" t="str">
            <v>超級</v>
          </cell>
          <cell r="J585">
            <v>584</v>
          </cell>
          <cell r="K585">
            <v>30</v>
          </cell>
          <cell r="L585">
            <v>3300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polygon</v>
          </cell>
          <cell r="T585">
            <v>1</v>
          </cell>
          <cell r="U585" t="str">
            <v>NULL</v>
          </cell>
          <cell r="V585" t="str">
            <v>NULL</v>
          </cell>
          <cell r="W585" t="str">
            <v/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20</v>
          </cell>
          <cell r="AD585">
            <v>6</v>
          </cell>
          <cell r="AE585" t="str">
            <v>multionly</v>
          </cell>
        </row>
        <row r="586">
          <cell r="A586" t="str">
            <v>30025_1</v>
          </cell>
          <cell r="B586">
            <v>3</v>
          </cell>
          <cell r="C586">
            <v>30025</v>
          </cell>
          <cell r="D586" t="str">
            <v>真実の探求者</v>
          </cell>
          <cell r="E586" t="str">
            <v>ドロップイベント7（マルチ専用）</v>
          </cell>
          <cell r="F586">
            <v>1</v>
          </cell>
          <cell r="G586" t="str">
            <v>ja</v>
          </cell>
          <cell r="H586" t="str">
            <v>【中級】真実の探求者</v>
          </cell>
          <cell r="I586" t="str">
            <v>中級</v>
          </cell>
          <cell r="J586">
            <v>579</v>
          </cell>
          <cell r="K586">
            <v>15</v>
          </cell>
          <cell r="L586">
            <v>1200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none</v>
          </cell>
          <cell r="T586">
            <v>0</v>
          </cell>
          <cell r="U586" t="str">
            <v>NULL</v>
          </cell>
          <cell r="V586" t="str">
            <v>NULL</v>
          </cell>
          <cell r="W586" t="str">
            <v/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7</v>
          </cell>
          <cell r="AD586">
            <v>6</v>
          </cell>
          <cell r="AE586" t="str">
            <v>everyone</v>
          </cell>
        </row>
        <row r="587">
          <cell r="A587" t="str">
            <v>30025_2</v>
          </cell>
          <cell r="B587">
            <v>3</v>
          </cell>
          <cell r="C587">
            <v>30025</v>
          </cell>
          <cell r="D587" t="str">
            <v>真実の探求者</v>
          </cell>
          <cell r="E587" t="str">
            <v>ドロップイベント7（マルチ専用）</v>
          </cell>
          <cell r="F587">
            <v>2</v>
          </cell>
          <cell r="G587" t="str">
            <v>ja</v>
          </cell>
          <cell r="H587" t="str">
            <v>【上級】真実の探求者</v>
          </cell>
          <cell r="I587" t="str">
            <v>上級</v>
          </cell>
          <cell r="J587">
            <v>579</v>
          </cell>
          <cell r="K587">
            <v>20</v>
          </cell>
          <cell r="L587">
            <v>2000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none</v>
          </cell>
          <cell r="T587">
            <v>0</v>
          </cell>
          <cell r="U587" t="str">
            <v>NULL</v>
          </cell>
          <cell r="V587" t="str">
            <v>NULL</v>
          </cell>
          <cell r="W587" t="str">
            <v/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7</v>
          </cell>
          <cell r="AD587">
            <v>6</v>
          </cell>
          <cell r="AE587" t="str">
            <v>everyone</v>
          </cell>
        </row>
        <row r="588">
          <cell r="A588" t="str">
            <v>30025_3</v>
          </cell>
          <cell r="B588">
            <v>3</v>
          </cell>
          <cell r="C588">
            <v>30025</v>
          </cell>
          <cell r="D588" t="str">
            <v>真実の探求者</v>
          </cell>
          <cell r="E588" t="str">
            <v>ドロップイベント7（マルチ専用）</v>
          </cell>
          <cell r="F588">
            <v>3</v>
          </cell>
          <cell r="G588" t="str">
            <v>ja</v>
          </cell>
          <cell r="H588" t="str">
            <v>【超級】真実の探求者</v>
          </cell>
          <cell r="I588" t="str">
            <v>超級</v>
          </cell>
          <cell r="J588">
            <v>580</v>
          </cell>
          <cell r="K588">
            <v>30</v>
          </cell>
          <cell r="L588">
            <v>3300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polygon</v>
          </cell>
          <cell r="T588">
            <v>1</v>
          </cell>
          <cell r="U588" t="str">
            <v>NULL</v>
          </cell>
          <cell r="V588" t="str">
            <v>NULL</v>
          </cell>
          <cell r="W588" t="str">
            <v/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7</v>
          </cell>
          <cell r="AD588">
            <v>6</v>
          </cell>
          <cell r="AE588" t="str">
            <v>everyone</v>
          </cell>
        </row>
        <row r="589">
          <cell r="A589" t="str">
            <v>30026_1</v>
          </cell>
          <cell r="B589">
            <v>3</v>
          </cell>
          <cell r="C589">
            <v>30026</v>
          </cell>
          <cell r="D589" t="str">
            <v>道を阻む妖精夫婦</v>
          </cell>
          <cell r="E589" t="str">
            <v>ドロップイベント7（マルチ専用）</v>
          </cell>
          <cell r="F589">
            <v>1</v>
          </cell>
          <cell r="G589" t="str">
            <v>ja</v>
          </cell>
          <cell r="H589" t="str">
            <v>【中級】道を阻む妖精夫婦</v>
          </cell>
          <cell r="I589" t="str">
            <v>中級</v>
          </cell>
          <cell r="J589">
            <v>577</v>
          </cell>
          <cell r="K589">
            <v>15</v>
          </cell>
          <cell r="L589">
            <v>1200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none</v>
          </cell>
          <cell r="T589">
            <v>0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21</v>
          </cell>
          <cell r="AD589">
            <v>6</v>
          </cell>
          <cell r="AE589" t="str">
            <v>everyone</v>
          </cell>
        </row>
        <row r="590">
          <cell r="A590" t="str">
            <v>30026_2</v>
          </cell>
          <cell r="B590">
            <v>3</v>
          </cell>
          <cell r="C590">
            <v>30026</v>
          </cell>
          <cell r="D590" t="str">
            <v>道を阻む妖精夫婦</v>
          </cell>
          <cell r="E590" t="str">
            <v>ドロップイベント7（マルチ専用）</v>
          </cell>
          <cell r="F590">
            <v>2</v>
          </cell>
          <cell r="G590" t="str">
            <v>ja</v>
          </cell>
          <cell r="H590" t="str">
            <v>【上級】道を阻む妖精夫婦</v>
          </cell>
          <cell r="I590" t="str">
            <v>上級</v>
          </cell>
          <cell r="J590">
            <v>577</v>
          </cell>
          <cell r="K590">
            <v>20</v>
          </cell>
          <cell r="L590">
            <v>2000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none</v>
          </cell>
          <cell r="T590">
            <v>0</v>
          </cell>
          <cell r="U590" t="str">
            <v>NULL</v>
          </cell>
          <cell r="V590" t="str">
            <v>NULL</v>
          </cell>
          <cell r="W590" t="str">
            <v/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21</v>
          </cell>
          <cell r="AD590">
            <v>6</v>
          </cell>
          <cell r="AE590" t="str">
            <v>everyone</v>
          </cell>
        </row>
        <row r="591">
          <cell r="A591" t="str">
            <v>30026_3</v>
          </cell>
          <cell r="B591">
            <v>3</v>
          </cell>
          <cell r="C591">
            <v>30026</v>
          </cell>
          <cell r="D591" t="str">
            <v>道を阻む妖精夫婦</v>
          </cell>
          <cell r="E591" t="str">
            <v>ドロップイベント7（マルチ専用）</v>
          </cell>
          <cell r="F591">
            <v>3</v>
          </cell>
          <cell r="G591" t="str">
            <v>ja</v>
          </cell>
          <cell r="H591" t="str">
            <v>【超級】道を阻む妖精夫婦</v>
          </cell>
          <cell r="I591" t="str">
            <v>超級</v>
          </cell>
          <cell r="J591">
            <v>578</v>
          </cell>
          <cell r="K591">
            <v>30</v>
          </cell>
          <cell r="L591">
            <v>3300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polygon</v>
          </cell>
          <cell r="T591">
            <v>1</v>
          </cell>
          <cell r="U591" t="str">
            <v>NULL</v>
          </cell>
          <cell r="V591" t="str">
            <v>NULL</v>
          </cell>
          <cell r="W591" t="str">
            <v/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21</v>
          </cell>
          <cell r="AD591">
            <v>6</v>
          </cell>
          <cell r="AE591" t="str">
            <v>everyone</v>
          </cell>
        </row>
        <row r="592">
          <cell r="A592" t="str">
            <v>30027_1</v>
          </cell>
          <cell r="B592">
            <v>3</v>
          </cell>
          <cell r="C592">
            <v>30027</v>
          </cell>
          <cell r="D592" t="str">
            <v>凍りつくまで愛してあげる</v>
          </cell>
          <cell r="E592" t="str">
            <v>ドロップイベント7（マルチ専用）</v>
          </cell>
          <cell r="F592">
            <v>1</v>
          </cell>
          <cell r="G592" t="str">
            <v>ja</v>
          </cell>
          <cell r="H592" t="str">
            <v>【中級】凍りつくまで愛してあげる</v>
          </cell>
          <cell r="I592" t="str">
            <v>中級</v>
          </cell>
          <cell r="J592">
            <v>646</v>
          </cell>
          <cell r="K592">
            <v>15</v>
          </cell>
          <cell r="L592">
            <v>1200</v>
          </cell>
          <cell r="M592">
            <v>0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none</v>
          </cell>
          <cell r="T592">
            <v>0</v>
          </cell>
          <cell r="U592" t="str">
            <v>NULL</v>
          </cell>
          <cell r="V592" t="str">
            <v>NULL</v>
          </cell>
          <cell r="W592" t="str">
            <v/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9</v>
          </cell>
          <cell r="AD592">
            <v>6</v>
          </cell>
          <cell r="AE592" t="str">
            <v>everyone</v>
          </cell>
        </row>
        <row r="593">
          <cell r="A593" t="str">
            <v>30027_2</v>
          </cell>
          <cell r="B593">
            <v>3</v>
          </cell>
          <cell r="C593">
            <v>30027</v>
          </cell>
          <cell r="D593" t="str">
            <v>凍りつくまで愛してあげる</v>
          </cell>
          <cell r="E593" t="str">
            <v>ドロップイベント7（マルチ専用）</v>
          </cell>
          <cell r="F593">
            <v>2</v>
          </cell>
          <cell r="G593" t="str">
            <v>ja</v>
          </cell>
          <cell r="H593" t="str">
            <v>【上級】凍りつくまで愛してあげる</v>
          </cell>
          <cell r="I593" t="str">
            <v>上級</v>
          </cell>
          <cell r="J593">
            <v>646</v>
          </cell>
          <cell r="K593">
            <v>20</v>
          </cell>
          <cell r="L593">
            <v>2000</v>
          </cell>
          <cell r="M593">
            <v>0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none</v>
          </cell>
          <cell r="T593">
            <v>0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9</v>
          </cell>
          <cell r="AD593">
            <v>6</v>
          </cell>
          <cell r="AE593" t="str">
            <v>everyone</v>
          </cell>
        </row>
        <row r="594">
          <cell r="A594" t="str">
            <v>30027_3</v>
          </cell>
          <cell r="B594">
            <v>3</v>
          </cell>
          <cell r="C594">
            <v>30027</v>
          </cell>
          <cell r="D594" t="str">
            <v>凍りつくまで愛してあげる</v>
          </cell>
          <cell r="E594" t="str">
            <v>ドロップイベント7（マルチ専用）</v>
          </cell>
          <cell r="F594">
            <v>3</v>
          </cell>
          <cell r="G594" t="str">
            <v>ja</v>
          </cell>
          <cell r="H594" t="str">
            <v>【超級】凍りつくまで愛してあげる</v>
          </cell>
          <cell r="I594" t="str">
            <v>超級</v>
          </cell>
          <cell r="J594">
            <v>647</v>
          </cell>
          <cell r="K594">
            <v>30</v>
          </cell>
          <cell r="L594">
            <v>3300</v>
          </cell>
          <cell r="M594">
            <v>0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polygon</v>
          </cell>
          <cell r="T594">
            <v>1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9</v>
          </cell>
          <cell r="AD594">
            <v>6</v>
          </cell>
          <cell r="AE594" t="str">
            <v>everyone</v>
          </cell>
        </row>
        <row r="595">
          <cell r="A595" t="str">
            <v>30028_1</v>
          </cell>
          <cell r="B595">
            <v>3</v>
          </cell>
          <cell r="C595">
            <v>30028</v>
          </cell>
          <cell r="D595" t="str">
            <v>最悪の刺客</v>
          </cell>
          <cell r="E595" t="str">
            <v>ドロップイベント8（マルチ専用）</v>
          </cell>
          <cell r="F595">
            <v>1</v>
          </cell>
          <cell r="G595" t="str">
            <v>ja</v>
          </cell>
          <cell r="H595" t="str">
            <v>【中級】最悪の刺客</v>
          </cell>
          <cell r="I595" t="str">
            <v>中級</v>
          </cell>
          <cell r="J595">
            <v>650</v>
          </cell>
          <cell r="K595">
            <v>15</v>
          </cell>
          <cell r="L595">
            <v>1200</v>
          </cell>
          <cell r="M595">
            <v>1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none</v>
          </cell>
          <cell r="T595">
            <v>0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2601</v>
          </cell>
          <cell r="AD595">
            <v>6</v>
          </cell>
          <cell r="AE595" t="str">
            <v>everyone</v>
          </cell>
        </row>
        <row r="596">
          <cell r="A596" t="str">
            <v>30028_2</v>
          </cell>
          <cell r="B596">
            <v>3</v>
          </cell>
          <cell r="C596">
            <v>30028</v>
          </cell>
          <cell r="D596" t="str">
            <v>最悪の刺客</v>
          </cell>
          <cell r="E596" t="str">
            <v>ドロップイベント8（マルチ専用）</v>
          </cell>
          <cell r="F596">
            <v>2</v>
          </cell>
          <cell r="G596" t="str">
            <v>ja</v>
          </cell>
          <cell r="H596" t="str">
            <v>【上級】最悪の刺客</v>
          </cell>
          <cell r="I596" t="str">
            <v>上級</v>
          </cell>
          <cell r="J596">
            <v>650</v>
          </cell>
          <cell r="K596">
            <v>20</v>
          </cell>
          <cell r="L596">
            <v>2000</v>
          </cell>
          <cell r="M596">
            <v>1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none</v>
          </cell>
          <cell r="T596">
            <v>0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2601</v>
          </cell>
          <cell r="AD596">
            <v>6</v>
          </cell>
          <cell r="AE596" t="str">
            <v>everyone</v>
          </cell>
        </row>
        <row r="597">
          <cell r="A597" t="str">
            <v>30028_3</v>
          </cell>
          <cell r="B597">
            <v>3</v>
          </cell>
          <cell r="C597">
            <v>30028</v>
          </cell>
          <cell r="D597" t="str">
            <v>最悪の刺客</v>
          </cell>
          <cell r="E597" t="str">
            <v>ドロップイベント8（マルチ専用）</v>
          </cell>
          <cell r="F597">
            <v>3</v>
          </cell>
          <cell r="G597" t="str">
            <v>ja</v>
          </cell>
          <cell r="H597" t="str">
            <v>【超級】最悪の刺客</v>
          </cell>
          <cell r="I597" t="str">
            <v>超級</v>
          </cell>
          <cell r="J597">
            <v>651</v>
          </cell>
          <cell r="K597">
            <v>30</v>
          </cell>
          <cell r="L597">
            <v>3300</v>
          </cell>
          <cell r="M597">
            <v>1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polygon</v>
          </cell>
          <cell r="T597">
            <v>1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2601</v>
          </cell>
          <cell r="AD597">
            <v>6</v>
          </cell>
          <cell r="AE597" t="str">
            <v>everyone</v>
          </cell>
        </row>
        <row r="598">
          <cell r="A598" t="str">
            <v>30029_1</v>
          </cell>
          <cell r="B598">
            <v>3</v>
          </cell>
          <cell r="C598">
            <v>30029</v>
          </cell>
          <cell r="D598" t="str">
            <v>全ては主のために</v>
          </cell>
          <cell r="E598" t="str">
            <v>ドロップイベント8（マルチ専用）</v>
          </cell>
          <cell r="F598">
            <v>1</v>
          </cell>
          <cell r="G598" t="str">
            <v>ja</v>
          </cell>
          <cell r="H598" t="str">
            <v>【中級】全ては主のために</v>
          </cell>
          <cell r="I598" t="str">
            <v>中級</v>
          </cell>
          <cell r="J598">
            <v>648</v>
          </cell>
          <cell r="K598">
            <v>15</v>
          </cell>
          <cell r="L598">
            <v>1200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none</v>
          </cell>
          <cell r="T598">
            <v>0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5</v>
          </cell>
          <cell r="AD598">
            <v>6</v>
          </cell>
          <cell r="AE598" t="str">
            <v>everyone</v>
          </cell>
        </row>
        <row r="599">
          <cell r="A599" t="str">
            <v>30029_2</v>
          </cell>
          <cell r="B599">
            <v>3</v>
          </cell>
          <cell r="C599">
            <v>30029</v>
          </cell>
          <cell r="D599" t="str">
            <v>全ては主のために</v>
          </cell>
          <cell r="E599" t="str">
            <v>ドロップイベント8（マルチ専用）</v>
          </cell>
          <cell r="F599">
            <v>2</v>
          </cell>
          <cell r="G599" t="str">
            <v>ja</v>
          </cell>
          <cell r="H599" t="str">
            <v>【上級】全ては主のために</v>
          </cell>
          <cell r="I599" t="str">
            <v>上級</v>
          </cell>
          <cell r="J599">
            <v>648</v>
          </cell>
          <cell r="K599">
            <v>20</v>
          </cell>
          <cell r="L599">
            <v>2000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none</v>
          </cell>
          <cell r="T599">
            <v>0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5</v>
          </cell>
          <cell r="AD599">
            <v>6</v>
          </cell>
          <cell r="AE599" t="str">
            <v>everyone</v>
          </cell>
        </row>
        <row r="600">
          <cell r="A600" t="str">
            <v>30029_3</v>
          </cell>
          <cell r="B600">
            <v>3</v>
          </cell>
          <cell r="C600">
            <v>30029</v>
          </cell>
          <cell r="D600" t="str">
            <v>全ては主のために</v>
          </cell>
          <cell r="E600" t="str">
            <v>ドロップイベント8（マルチ専用）</v>
          </cell>
          <cell r="F600">
            <v>3</v>
          </cell>
          <cell r="G600" t="str">
            <v>ja</v>
          </cell>
          <cell r="H600" t="str">
            <v>【超級】全ては主のために</v>
          </cell>
          <cell r="I600" t="str">
            <v>超級</v>
          </cell>
          <cell r="J600">
            <v>648</v>
          </cell>
          <cell r="K600">
            <v>30</v>
          </cell>
          <cell r="L600">
            <v>3300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polygon</v>
          </cell>
          <cell r="T600">
            <v>1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5</v>
          </cell>
          <cell r="AD600">
            <v>6</v>
          </cell>
          <cell r="AE600" t="str">
            <v>everyone</v>
          </cell>
        </row>
        <row r="601">
          <cell r="A601" t="str">
            <v>30030_1</v>
          </cell>
          <cell r="B601">
            <v>3</v>
          </cell>
          <cell r="C601">
            <v>30030</v>
          </cell>
          <cell r="D601" t="str">
            <v>ここは誰の箱庭じゃ？</v>
          </cell>
          <cell r="E601" t="str">
            <v>ドロップイベント9（マルチ専用）</v>
          </cell>
          <cell r="F601">
            <v>1</v>
          </cell>
          <cell r="G601" t="str">
            <v>ja</v>
          </cell>
          <cell r="H601" t="str">
            <v>【中級】ここは誰の箱庭じゃ？</v>
          </cell>
          <cell r="I601" t="str">
            <v>中級</v>
          </cell>
          <cell r="J601">
            <v>652</v>
          </cell>
          <cell r="K601">
            <v>15</v>
          </cell>
          <cell r="L601">
            <v>1200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none</v>
          </cell>
          <cell r="T601">
            <v>0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8</v>
          </cell>
          <cell r="AD601">
            <v>6</v>
          </cell>
          <cell r="AE601" t="str">
            <v>everyone</v>
          </cell>
        </row>
        <row r="602">
          <cell r="A602" t="str">
            <v>30030_2</v>
          </cell>
          <cell r="B602">
            <v>3</v>
          </cell>
          <cell r="C602">
            <v>30030</v>
          </cell>
          <cell r="D602" t="str">
            <v>ここは誰の箱庭じゃ？</v>
          </cell>
          <cell r="E602" t="str">
            <v>ドロップイベント9（マルチ専用）</v>
          </cell>
          <cell r="F602">
            <v>2</v>
          </cell>
          <cell r="G602" t="str">
            <v>ja</v>
          </cell>
          <cell r="H602" t="str">
            <v>【上級】ここは誰の箱庭じゃ？</v>
          </cell>
          <cell r="I602" t="str">
            <v>上級</v>
          </cell>
          <cell r="J602">
            <v>653</v>
          </cell>
          <cell r="K602">
            <v>20</v>
          </cell>
          <cell r="L602">
            <v>2000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none</v>
          </cell>
          <cell r="T602">
            <v>0</v>
          </cell>
          <cell r="U602" t="str">
            <v>NULL</v>
          </cell>
          <cell r="V602" t="str">
            <v>NULL</v>
          </cell>
          <cell r="W602" t="str">
            <v/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8</v>
          </cell>
          <cell r="AD602">
            <v>6</v>
          </cell>
          <cell r="AE602" t="str">
            <v>everyone</v>
          </cell>
        </row>
        <row r="603">
          <cell r="A603" t="str">
            <v>30030_3</v>
          </cell>
          <cell r="B603">
            <v>3</v>
          </cell>
          <cell r="C603">
            <v>30030</v>
          </cell>
          <cell r="D603" t="str">
            <v>ここは誰の箱庭じゃ？</v>
          </cell>
          <cell r="E603" t="str">
            <v>ドロップイベント9（マルチ専用）</v>
          </cell>
          <cell r="F603">
            <v>3</v>
          </cell>
          <cell r="G603" t="str">
            <v>ja</v>
          </cell>
          <cell r="H603" t="str">
            <v>【超級】ここは誰の箱庭じゃ？</v>
          </cell>
          <cell r="I603" t="str">
            <v>超級</v>
          </cell>
          <cell r="J603">
            <v>653</v>
          </cell>
          <cell r="K603">
            <v>30</v>
          </cell>
          <cell r="L603">
            <v>3300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polygon</v>
          </cell>
          <cell r="T603">
            <v>1</v>
          </cell>
          <cell r="U603" t="str">
            <v>NULL</v>
          </cell>
          <cell r="V603" t="str">
            <v>NULL</v>
          </cell>
          <cell r="W603" t="str">
            <v/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8</v>
          </cell>
          <cell r="AD603">
            <v>6</v>
          </cell>
          <cell r="AE603" t="str">
            <v>everyone</v>
          </cell>
        </row>
        <row r="604">
          <cell r="A604" t="str">
            <v>30031_1</v>
          </cell>
          <cell r="B604">
            <v>3</v>
          </cell>
          <cell r="C604">
            <v>30031</v>
          </cell>
          <cell r="D604" t="str">
            <v>力への羨望</v>
          </cell>
          <cell r="E604" t="str">
            <v>ドロップイベント10（マルチ専用）</v>
          </cell>
          <cell r="F604">
            <v>1</v>
          </cell>
          <cell r="G604" t="str">
            <v>ja</v>
          </cell>
          <cell r="H604" t="str">
            <v>【中級】力への羨望</v>
          </cell>
          <cell r="I604" t="str">
            <v>中級</v>
          </cell>
          <cell r="J604">
            <v>764</v>
          </cell>
          <cell r="K604">
            <v>15</v>
          </cell>
          <cell r="L604">
            <v>1200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none</v>
          </cell>
          <cell r="T604">
            <v>0</v>
          </cell>
          <cell r="U604" t="str">
            <v>NULL</v>
          </cell>
          <cell r="V604" t="str">
            <v>NULL</v>
          </cell>
          <cell r="W604" t="str">
            <v/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20</v>
          </cell>
          <cell r="AD604">
            <v>6</v>
          </cell>
          <cell r="AE604" t="str">
            <v>everyone</v>
          </cell>
        </row>
        <row r="605">
          <cell r="A605" t="str">
            <v>30031_2</v>
          </cell>
          <cell r="B605">
            <v>3</v>
          </cell>
          <cell r="C605">
            <v>30031</v>
          </cell>
          <cell r="D605" t="str">
            <v>力への羨望</v>
          </cell>
          <cell r="E605" t="str">
            <v>ドロップイベント10（マルチ専用）</v>
          </cell>
          <cell r="F605">
            <v>2</v>
          </cell>
          <cell r="G605" t="str">
            <v>ja</v>
          </cell>
          <cell r="H605" t="str">
            <v>【上級】力への羨望</v>
          </cell>
          <cell r="I605" t="str">
            <v>上級</v>
          </cell>
          <cell r="J605">
            <v>764</v>
          </cell>
          <cell r="K605">
            <v>20</v>
          </cell>
          <cell r="L605">
            <v>2000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none</v>
          </cell>
          <cell r="T605">
            <v>0</v>
          </cell>
          <cell r="U605" t="str">
            <v>NULL</v>
          </cell>
          <cell r="V605" t="str">
            <v>NULL</v>
          </cell>
          <cell r="W605" t="str">
            <v/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20</v>
          </cell>
          <cell r="AD605">
            <v>6</v>
          </cell>
          <cell r="AE605" t="str">
            <v>everyone</v>
          </cell>
        </row>
        <row r="606">
          <cell r="A606" t="str">
            <v>30031_3</v>
          </cell>
          <cell r="B606">
            <v>3</v>
          </cell>
          <cell r="C606">
            <v>30031</v>
          </cell>
          <cell r="D606" t="str">
            <v>力への羨望</v>
          </cell>
          <cell r="E606" t="str">
            <v>ドロップイベント10（マルチ専用）</v>
          </cell>
          <cell r="F606">
            <v>3</v>
          </cell>
          <cell r="G606" t="str">
            <v>ja</v>
          </cell>
          <cell r="H606" t="str">
            <v>【超級】力への羨望</v>
          </cell>
          <cell r="I606" t="str">
            <v>超級</v>
          </cell>
          <cell r="J606">
            <v>765</v>
          </cell>
          <cell r="K606">
            <v>30</v>
          </cell>
          <cell r="L606">
            <v>3300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polygon</v>
          </cell>
          <cell r="T606">
            <v>1</v>
          </cell>
          <cell r="U606" t="str">
            <v>NULL</v>
          </cell>
          <cell r="V606" t="str">
            <v>NULL</v>
          </cell>
          <cell r="W606" t="str">
            <v/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20</v>
          </cell>
          <cell r="AD606">
            <v>6</v>
          </cell>
          <cell r="AE606" t="str">
            <v>everyone</v>
          </cell>
        </row>
        <row r="607">
          <cell r="A607" t="str">
            <v>30032_1</v>
          </cell>
          <cell r="B607">
            <v>3</v>
          </cell>
          <cell r="C607">
            <v>30032</v>
          </cell>
          <cell r="D607" t="str">
            <v>赤き竜の制裁</v>
          </cell>
          <cell r="E607" t="str">
            <v>円卓2（マルチ専用）</v>
          </cell>
          <cell r="F607">
            <v>1</v>
          </cell>
          <cell r="G607" t="str">
            <v>ja</v>
          </cell>
          <cell r="H607" t="str">
            <v>【中級】赤き竜の制裁</v>
          </cell>
          <cell r="I607" t="str">
            <v>中級</v>
          </cell>
          <cell r="J607">
            <v>767</v>
          </cell>
          <cell r="K607">
            <v>15</v>
          </cell>
          <cell r="L607">
            <v>1200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none</v>
          </cell>
          <cell r="T607">
            <v>0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14</v>
          </cell>
          <cell r="AD607">
            <v>6</v>
          </cell>
          <cell r="AE607" t="str">
            <v>everyone</v>
          </cell>
        </row>
        <row r="608">
          <cell r="A608" t="str">
            <v>30032_2</v>
          </cell>
          <cell r="B608">
            <v>3</v>
          </cell>
          <cell r="C608">
            <v>30032</v>
          </cell>
          <cell r="D608" t="str">
            <v>赤き竜の制裁</v>
          </cell>
          <cell r="E608" t="str">
            <v>円卓2（マルチ専用）</v>
          </cell>
          <cell r="F608">
            <v>2</v>
          </cell>
          <cell r="G608" t="str">
            <v>ja</v>
          </cell>
          <cell r="H608" t="str">
            <v>【上級】赤き竜の制裁</v>
          </cell>
          <cell r="I608" t="str">
            <v>上級</v>
          </cell>
          <cell r="J608">
            <v>767</v>
          </cell>
          <cell r="K608">
            <v>20</v>
          </cell>
          <cell r="L608">
            <v>2000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none</v>
          </cell>
          <cell r="T608">
            <v>0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14</v>
          </cell>
          <cell r="AD608">
            <v>6</v>
          </cell>
          <cell r="AE608" t="str">
            <v>everyone</v>
          </cell>
        </row>
        <row r="609">
          <cell r="A609" t="str">
            <v>30032_3</v>
          </cell>
          <cell r="B609">
            <v>3</v>
          </cell>
          <cell r="C609">
            <v>30032</v>
          </cell>
          <cell r="D609" t="str">
            <v>赤き竜の制裁</v>
          </cell>
          <cell r="E609" t="str">
            <v>円卓2（マルチ専用）</v>
          </cell>
          <cell r="F609">
            <v>3</v>
          </cell>
          <cell r="G609" t="str">
            <v>ja</v>
          </cell>
          <cell r="H609" t="str">
            <v>【超級】赤き竜の制裁</v>
          </cell>
          <cell r="I609" t="str">
            <v>超級</v>
          </cell>
          <cell r="J609">
            <v>767</v>
          </cell>
          <cell r="K609">
            <v>30</v>
          </cell>
          <cell r="L609">
            <v>3300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polygon</v>
          </cell>
          <cell r="T609">
            <v>1</v>
          </cell>
          <cell r="U609" t="str">
            <v>NULL</v>
          </cell>
          <cell r="V609" t="str">
            <v>NULL</v>
          </cell>
          <cell r="W609" t="str">
            <v/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14</v>
          </cell>
          <cell r="AD609">
            <v>6</v>
          </cell>
          <cell r="AE609" t="str">
            <v>everyone</v>
          </cell>
        </row>
        <row r="610">
          <cell r="A610" t="str">
            <v>30033_1</v>
          </cell>
          <cell r="B610">
            <v>3</v>
          </cell>
          <cell r="C610">
            <v>30033</v>
          </cell>
          <cell r="D610" t="str">
            <v>御館様の懐刀</v>
          </cell>
          <cell r="E610" t="str">
            <v>戦国１</v>
          </cell>
          <cell r="F610">
            <v>1</v>
          </cell>
          <cell r="G610" t="str">
            <v>ja</v>
          </cell>
          <cell r="H610" t="str">
            <v>【中級】御館様の懐刀</v>
          </cell>
          <cell r="I610" t="str">
            <v>中級</v>
          </cell>
          <cell r="J610">
            <v>722</v>
          </cell>
          <cell r="K610">
            <v>15</v>
          </cell>
          <cell r="L610">
            <v>1200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none</v>
          </cell>
          <cell r="T610">
            <v>0</v>
          </cell>
          <cell r="U610" t="str">
            <v>NULL</v>
          </cell>
          <cell r="V610" t="str">
            <v>NULL</v>
          </cell>
          <cell r="W610" t="str">
            <v/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2</v>
          </cell>
          <cell r="AD610">
            <v>6</v>
          </cell>
          <cell r="AE610" t="str">
            <v>everyone</v>
          </cell>
        </row>
        <row r="611">
          <cell r="A611" t="str">
            <v>30033_2</v>
          </cell>
          <cell r="B611">
            <v>3</v>
          </cell>
          <cell r="C611">
            <v>30033</v>
          </cell>
          <cell r="D611" t="str">
            <v>御館様の懐刀</v>
          </cell>
          <cell r="E611" t="str">
            <v>戦国１</v>
          </cell>
          <cell r="F611">
            <v>2</v>
          </cell>
          <cell r="G611" t="str">
            <v>ja</v>
          </cell>
          <cell r="H611" t="str">
            <v>【上級】御館様の懐刀</v>
          </cell>
          <cell r="I611" t="str">
            <v>上級</v>
          </cell>
          <cell r="J611">
            <v>722</v>
          </cell>
          <cell r="K611">
            <v>20</v>
          </cell>
          <cell r="L611">
            <v>2000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none</v>
          </cell>
          <cell r="T611">
            <v>0</v>
          </cell>
          <cell r="U611" t="str">
            <v>NULL</v>
          </cell>
          <cell r="V611" t="str">
            <v>NULL</v>
          </cell>
          <cell r="W611" t="str">
            <v/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2</v>
          </cell>
          <cell r="AD611">
            <v>6</v>
          </cell>
          <cell r="AE611" t="str">
            <v>everyone</v>
          </cell>
        </row>
        <row r="612">
          <cell r="A612" t="str">
            <v>30033_3</v>
          </cell>
          <cell r="B612">
            <v>3</v>
          </cell>
          <cell r="C612">
            <v>30033</v>
          </cell>
          <cell r="D612" t="str">
            <v>御館様の懐刀</v>
          </cell>
          <cell r="E612" t="str">
            <v>戦国１</v>
          </cell>
          <cell r="F612">
            <v>3</v>
          </cell>
          <cell r="G612" t="str">
            <v>ja</v>
          </cell>
          <cell r="H612" t="str">
            <v>【超級】御館様の懐刀</v>
          </cell>
          <cell r="I612" t="str">
            <v>超級</v>
          </cell>
          <cell r="J612">
            <v>723</v>
          </cell>
          <cell r="K612">
            <v>30</v>
          </cell>
          <cell r="L612">
            <v>3300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polygon</v>
          </cell>
          <cell r="T612">
            <v>1</v>
          </cell>
          <cell r="U612" t="str">
            <v>NULL</v>
          </cell>
          <cell r="V612" t="str">
            <v>NULL</v>
          </cell>
          <cell r="W612" t="str">
            <v/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2</v>
          </cell>
          <cell r="AD612">
            <v>6</v>
          </cell>
          <cell r="AE612" t="str">
            <v>everyone</v>
          </cell>
        </row>
        <row r="613">
          <cell r="A613" t="str">
            <v>30034_1</v>
          </cell>
          <cell r="B613">
            <v>3</v>
          </cell>
          <cell r="C613">
            <v>30034</v>
          </cell>
          <cell r="D613" t="str">
            <v>孤高の焔翼</v>
          </cell>
          <cell r="E613" t="str">
            <v>天使と悪魔</v>
          </cell>
          <cell r="F613">
            <v>1</v>
          </cell>
          <cell r="G613" t="str">
            <v>ja</v>
          </cell>
          <cell r="H613" t="str">
            <v>【中級】孤高の焔翼</v>
          </cell>
          <cell r="I613" t="str">
            <v>中級</v>
          </cell>
          <cell r="J613">
            <v>840</v>
          </cell>
          <cell r="K613">
            <v>15</v>
          </cell>
          <cell r="L613">
            <v>1200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none</v>
          </cell>
          <cell r="T613">
            <v>0</v>
          </cell>
          <cell r="U613" t="str">
            <v>NULL</v>
          </cell>
          <cell r="V613" t="str">
            <v>NULL</v>
          </cell>
          <cell r="W613" t="str">
            <v/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10</v>
          </cell>
          <cell r="AD613">
            <v>6</v>
          </cell>
          <cell r="AE613" t="str">
            <v>everyone</v>
          </cell>
        </row>
        <row r="614">
          <cell r="A614" t="str">
            <v>30034_2</v>
          </cell>
          <cell r="B614">
            <v>3</v>
          </cell>
          <cell r="C614">
            <v>30034</v>
          </cell>
          <cell r="D614" t="str">
            <v>孤高の焔翼</v>
          </cell>
          <cell r="E614" t="str">
            <v>天使と悪魔</v>
          </cell>
          <cell r="F614">
            <v>2</v>
          </cell>
          <cell r="G614" t="str">
            <v>ja</v>
          </cell>
          <cell r="H614" t="str">
            <v>【上級】孤高の焔翼</v>
          </cell>
          <cell r="I614" t="str">
            <v>上級</v>
          </cell>
          <cell r="J614">
            <v>840</v>
          </cell>
          <cell r="K614">
            <v>20</v>
          </cell>
          <cell r="L614">
            <v>2000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none</v>
          </cell>
          <cell r="T614">
            <v>0</v>
          </cell>
          <cell r="U614" t="str">
            <v>NULL</v>
          </cell>
          <cell r="V614" t="str">
            <v>NULL</v>
          </cell>
          <cell r="W614" t="str">
            <v/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10</v>
          </cell>
          <cell r="AD614">
            <v>6</v>
          </cell>
          <cell r="AE614" t="str">
            <v>everyone</v>
          </cell>
        </row>
        <row r="615">
          <cell r="A615" t="str">
            <v>30034_3</v>
          </cell>
          <cell r="B615">
            <v>3</v>
          </cell>
          <cell r="C615">
            <v>30034</v>
          </cell>
          <cell r="D615" t="str">
            <v>孤高の焔翼</v>
          </cell>
          <cell r="E615" t="str">
            <v>天使と悪魔</v>
          </cell>
          <cell r="F615">
            <v>3</v>
          </cell>
          <cell r="G615" t="str">
            <v>ja</v>
          </cell>
          <cell r="H615" t="str">
            <v>【超級】孤高の焔翼</v>
          </cell>
          <cell r="I615" t="str">
            <v>超級</v>
          </cell>
          <cell r="J615">
            <v>841</v>
          </cell>
          <cell r="K615">
            <v>30</v>
          </cell>
          <cell r="L615">
            <v>3300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polygon</v>
          </cell>
          <cell r="T615">
            <v>1</v>
          </cell>
          <cell r="U615" t="str">
            <v>NULL</v>
          </cell>
          <cell r="V615" t="str">
            <v>NULL</v>
          </cell>
          <cell r="W615" t="str">
            <v/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10</v>
          </cell>
          <cell r="AD615">
            <v>6</v>
          </cell>
          <cell r="AE615" t="str">
            <v>everyone</v>
          </cell>
        </row>
        <row r="616">
          <cell r="A616" t="str">
            <v>30035_1</v>
          </cell>
          <cell r="B616">
            <v>3</v>
          </cell>
          <cell r="C616">
            <v>30035</v>
          </cell>
          <cell r="D616" t="str">
            <v>大鯨の呼び声</v>
          </cell>
          <cell r="E616" t="str">
            <v>童話シリーズ3本目</v>
          </cell>
          <cell r="F616">
            <v>1</v>
          </cell>
          <cell r="G616" t="str">
            <v>ja</v>
          </cell>
          <cell r="H616" t="str">
            <v>【中級】大鯨の呼び声</v>
          </cell>
          <cell r="I616" t="str">
            <v>中級</v>
          </cell>
          <cell r="J616">
            <v>858</v>
          </cell>
          <cell r="K616">
            <v>15</v>
          </cell>
          <cell r="L616">
            <v>1200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none</v>
          </cell>
          <cell r="T616">
            <v>0</v>
          </cell>
          <cell r="U616" t="str">
            <v>NULL</v>
          </cell>
          <cell r="V616" t="str">
            <v>NULL</v>
          </cell>
          <cell r="W616" t="str">
            <v/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5</v>
          </cell>
          <cell r="AD616">
            <v>6</v>
          </cell>
          <cell r="AE616" t="str">
            <v>everyone</v>
          </cell>
        </row>
        <row r="617">
          <cell r="A617" t="str">
            <v>30035_2</v>
          </cell>
          <cell r="B617">
            <v>3</v>
          </cell>
          <cell r="C617">
            <v>30035</v>
          </cell>
          <cell r="D617" t="str">
            <v>大鯨の呼び声</v>
          </cell>
          <cell r="E617" t="str">
            <v>童話シリーズ3本目</v>
          </cell>
          <cell r="F617">
            <v>2</v>
          </cell>
          <cell r="G617" t="str">
            <v>ja</v>
          </cell>
          <cell r="H617" t="str">
            <v>【上級】大鯨の呼び声</v>
          </cell>
          <cell r="I617" t="str">
            <v>上級</v>
          </cell>
          <cell r="J617">
            <v>858</v>
          </cell>
          <cell r="K617">
            <v>20</v>
          </cell>
          <cell r="L617">
            <v>2000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none</v>
          </cell>
          <cell r="T617">
            <v>0</v>
          </cell>
          <cell r="U617" t="str">
            <v>NULL</v>
          </cell>
          <cell r="V617" t="str">
            <v>NULL</v>
          </cell>
          <cell r="W617" t="str">
            <v/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5</v>
          </cell>
          <cell r="AD617">
            <v>6</v>
          </cell>
          <cell r="AE617" t="str">
            <v>everyone</v>
          </cell>
        </row>
        <row r="618">
          <cell r="A618" t="str">
            <v>30035_3</v>
          </cell>
          <cell r="B618">
            <v>3</v>
          </cell>
          <cell r="C618">
            <v>30035</v>
          </cell>
          <cell r="D618" t="str">
            <v>大鯨の呼び声</v>
          </cell>
          <cell r="E618" t="str">
            <v>童話シリーズ3本目</v>
          </cell>
          <cell r="F618">
            <v>3</v>
          </cell>
          <cell r="G618" t="str">
            <v>ja</v>
          </cell>
          <cell r="H618" t="str">
            <v>【超級】大鯨の呼び声</v>
          </cell>
          <cell r="I618" t="str">
            <v>超級</v>
          </cell>
          <cell r="J618">
            <v>859</v>
          </cell>
          <cell r="K618">
            <v>30</v>
          </cell>
          <cell r="L618">
            <v>3300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polygon</v>
          </cell>
          <cell r="T618">
            <v>1</v>
          </cell>
          <cell r="U618" t="str">
            <v>NULL</v>
          </cell>
          <cell r="V618" t="str">
            <v>NULL</v>
          </cell>
          <cell r="W618" t="str">
            <v/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5</v>
          </cell>
          <cell r="AD618">
            <v>6</v>
          </cell>
          <cell r="AE618" t="str">
            <v>everyone</v>
          </cell>
        </row>
        <row r="619">
          <cell r="A619" t="str">
            <v>30036_1</v>
          </cell>
          <cell r="B619">
            <v>3</v>
          </cell>
          <cell r="C619">
            <v>30036</v>
          </cell>
          <cell r="D619" t="str">
            <v>猛然たる炎獣使い</v>
          </cell>
          <cell r="E619" t="str">
            <v>ギリシャ神話シリーズ超級</v>
          </cell>
          <cell r="F619">
            <v>1</v>
          </cell>
          <cell r="G619" t="str">
            <v>ja</v>
          </cell>
          <cell r="H619" t="str">
            <v>【中級】猛然たる炎獣使い</v>
          </cell>
          <cell r="I619" t="str">
            <v>中級</v>
          </cell>
          <cell r="J619">
            <v>736</v>
          </cell>
          <cell r="K619">
            <v>15</v>
          </cell>
          <cell r="L619">
            <v>1200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none</v>
          </cell>
          <cell r="T619">
            <v>0</v>
          </cell>
          <cell r="U619" t="str">
            <v>NULL</v>
          </cell>
          <cell r="V619" t="str">
            <v>NULL</v>
          </cell>
          <cell r="W619" t="str">
            <v/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14</v>
          </cell>
          <cell r="AD619">
            <v>6</v>
          </cell>
          <cell r="AE619" t="str">
            <v>everyone</v>
          </cell>
        </row>
        <row r="620">
          <cell r="A620" t="str">
            <v>30036_2</v>
          </cell>
          <cell r="B620">
            <v>3</v>
          </cell>
          <cell r="C620">
            <v>30036</v>
          </cell>
          <cell r="D620" t="str">
            <v>猛然たる炎獣使い</v>
          </cell>
          <cell r="E620" t="str">
            <v>ギリシャ神話シリーズ超級</v>
          </cell>
          <cell r="F620">
            <v>2</v>
          </cell>
          <cell r="G620" t="str">
            <v>ja</v>
          </cell>
          <cell r="H620" t="str">
            <v>【上級】猛然たる炎獣使い</v>
          </cell>
          <cell r="I620" t="str">
            <v>上級</v>
          </cell>
          <cell r="J620">
            <v>737</v>
          </cell>
          <cell r="K620">
            <v>20</v>
          </cell>
          <cell r="L620">
            <v>2000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none</v>
          </cell>
          <cell r="T620">
            <v>0</v>
          </cell>
          <cell r="U620" t="str">
            <v>NULL</v>
          </cell>
          <cell r="V620" t="str">
            <v>NULL</v>
          </cell>
          <cell r="W620" t="str">
            <v/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14</v>
          </cell>
          <cell r="AD620">
            <v>6</v>
          </cell>
          <cell r="AE620" t="str">
            <v>everyone</v>
          </cell>
        </row>
        <row r="621">
          <cell r="A621" t="str">
            <v>30036_3</v>
          </cell>
          <cell r="B621">
            <v>3</v>
          </cell>
          <cell r="C621">
            <v>30036</v>
          </cell>
          <cell r="D621" t="str">
            <v>猛然たる炎獣使い</v>
          </cell>
          <cell r="E621" t="str">
            <v>ギリシャ神話シリーズ超級</v>
          </cell>
          <cell r="F621">
            <v>3</v>
          </cell>
          <cell r="G621" t="str">
            <v>ja</v>
          </cell>
          <cell r="H621" t="str">
            <v>【超級】猛然たる炎獣使い</v>
          </cell>
          <cell r="I621" t="str">
            <v>超級</v>
          </cell>
          <cell r="J621">
            <v>737</v>
          </cell>
          <cell r="K621">
            <v>30</v>
          </cell>
          <cell r="L621">
            <v>3300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polygon</v>
          </cell>
          <cell r="T621">
            <v>1</v>
          </cell>
          <cell r="U621" t="str">
            <v>NULL</v>
          </cell>
          <cell r="V621" t="str">
            <v>NULL</v>
          </cell>
          <cell r="W621" t="str">
            <v/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14</v>
          </cell>
          <cell r="AD621">
            <v>6</v>
          </cell>
          <cell r="AE621" t="str">
            <v>everyone</v>
          </cell>
        </row>
        <row r="622">
          <cell r="A622" t="str">
            <v>30037_1</v>
          </cell>
          <cell r="B622">
            <v>3</v>
          </cell>
          <cell r="C622">
            <v>30037</v>
          </cell>
          <cell r="D622" t="str">
            <v>灯り火の麗人</v>
          </cell>
          <cell r="E622" t="str">
            <v>フランス革命シリーズ超級</v>
          </cell>
          <cell r="F622">
            <v>1</v>
          </cell>
          <cell r="G622" t="str">
            <v>ja</v>
          </cell>
          <cell r="H622" t="str">
            <v>【中級】灯り火の麗人</v>
          </cell>
          <cell r="I622" t="str">
            <v>中級</v>
          </cell>
          <cell r="J622">
            <v>934</v>
          </cell>
          <cell r="K622">
            <v>15</v>
          </cell>
          <cell r="L622">
            <v>1200</v>
          </cell>
          <cell r="M622">
            <v>1</v>
          </cell>
          <cell r="N622">
            <v>1</v>
          </cell>
          <cell r="O622">
            <v>1</v>
          </cell>
          <cell r="P622">
            <v>1</v>
          </cell>
          <cell r="Q622">
            <v>1</v>
          </cell>
          <cell r="R622">
            <v>3</v>
          </cell>
          <cell r="S622" t="str">
            <v>none</v>
          </cell>
          <cell r="T622">
            <v>0</v>
          </cell>
          <cell r="U622" t="str">
            <v>NULL</v>
          </cell>
          <cell r="V622" t="str">
            <v>NULL</v>
          </cell>
          <cell r="W622" t="str">
            <v/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6</v>
          </cell>
          <cell r="AD622">
            <v>6</v>
          </cell>
          <cell r="AE622" t="str">
            <v>everyone</v>
          </cell>
        </row>
        <row r="623">
          <cell r="A623" t="str">
            <v>30037_2</v>
          </cell>
          <cell r="B623">
            <v>3</v>
          </cell>
          <cell r="C623">
            <v>30037</v>
          </cell>
          <cell r="D623" t="str">
            <v>灯り火の麗人</v>
          </cell>
          <cell r="E623" t="str">
            <v>フランス革命シリーズ超級</v>
          </cell>
          <cell r="F623">
            <v>2</v>
          </cell>
          <cell r="G623" t="str">
            <v>ja</v>
          </cell>
          <cell r="H623" t="str">
            <v>【上級】灯り火の麗人</v>
          </cell>
          <cell r="I623" t="str">
            <v>上級</v>
          </cell>
          <cell r="J623">
            <v>934</v>
          </cell>
          <cell r="K623">
            <v>20</v>
          </cell>
          <cell r="L623">
            <v>2000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1</v>
          </cell>
          <cell r="R623">
            <v>3</v>
          </cell>
          <cell r="S623" t="str">
            <v>none</v>
          </cell>
          <cell r="T623">
            <v>0</v>
          </cell>
          <cell r="U623" t="str">
            <v>NULL</v>
          </cell>
          <cell r="V623" t="str">
            <v>NULL</v>
          </cell>
          <cell r="W623" t="str">
            <v/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6</v>
          </cell>
          <cell r="AD623">
            <v>6</v>
          </cell>
          <cell r="AE623" t="str">
            <v>everyone</v>
          </cell>
        </row>
        <row r="624">
          <cell r="A624" t="str">
            <v>30037_3</v>
          </cell>
          <cell r="B624">
            <v>3</v>
          </cell>
          <cell r="C624">
            <v>30037</v>
          </cell>
          <cell r="D624" t="str">
            <v>灯り火の麗人</v>
          </cell>
          <cell r="E624" t="str">
            <v>フランス革命シリーズ超級</v>
          </cell>
          <cell r="F624">
            <v>3</v>
          </cell>
          <cell r="G624" t="str">
            <v>ja</v>
          </cell>
          <cell r="H624" t="str">
            <v>【超級】灯り火の麗人</v>
          </cell>
          <cell r="I624" t="str">
            <v>超級</v>
          </cell>
          <cell r="J624">
            <v>934</v>
          </cell>
          <cell r="K624">
            <v>30</v>
          </cell>
          <cell r="L624">
            <v>3300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polygon</v>
          </cell>
          <cell r="T624">
            <v>1</v>
          </cell>
          <cell r="U624" t="str">
            <v>NULL</v>
          </cell>
          <cell r="V624" t="str">
            <v>NULL</v>
          </cell>
          <cell r="W624" t="str">
            <v/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6</v>
          </cell>
          <cell r="AD624">
            <v>6</v>
          </cell>
          <cell r="AE624" t="str">
            <v>everyone</v>
          </cell>
        </row>
        <row r="625">
          <cell r="A625" t="str">
            <v>30038_1</v>
          </cell>
          <cell r="B625">
            <v>3</v>
          </cell>
          <cell r="C625">
            <v>30038</v>
          </cell>
          <cell r="D625" t="str">
            <v>毒絶神の願い</v>
          </cell>
          <cell r="E625" t="str">
            <v>エジプト神話シリーズ超級</v>
          </cell>
          <cell r="F625">
            <v>1</v>
          </cell>
          <cell r="G625" t="str">
            <v>ja</v>
          </cell>
          <cell r="H625" t="str">
            <v>【中級】毒絶神の願い</v>
          </cell>
          <cell r="I625" t="str">
            <v>中級</v>
          </cell>
          <cell r="J625">
            <v>1007</v>
          </cell>
          <cell r="K625">
            <v>15</v>
          </cell>
          <cell r="L625">
            <v>1200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none</v>
          </cell>
          <cell r="T625">
            <v>0</v>
          </cell>
          <cell r="U625" t="str">
            <v>NULL</v>
          </cell>
          <cell r="V625" t="str">
            <v>NULL</v>
          </cell>
          <cell r="W625" t="str">
            <v/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8</v>
          </cell>
          <cell r="AD625">
            <v>6</v>
          </cell>
          <cell r="AE625" t="str">
            <v>everyone</v>
          </cell>
        </row>
        <row r="626">
          <cell r="A626" t="str">
            <v>30038_2</v>
          </cell>
          <cell r="B626">
            <v>3</v>
          </cell>
          <cell r="C626">
            <v>30038</v>
          </cell>
          <cell r="D626" t="str">
            <v>毒絶神の願い</v>
          </cell>
          <cell r="E626" t="str">
            <v>エジプト神話シリーズ超級</v>
          </cell>
          <cell r="F626">
            <v>2</v>
          </cell>
          <cell r="G626" t="str">
            <v>ja</v>
          </cell>
          <cell r="H626" t="str">
            <v>【上級】毒絶神の願い</v>
          </cell>
          <cell r="I626" t="str">
            <v>上級</v>
          </cell>
          <cell r="J626">
            <v>1007</v>
          </cell>
          <cell r="K626">
            <v>20</v>
          </cell>
          <cell r="L626">
            <v>2000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none</v>
          </cell>
          <cell r="T626">
            <v>0</v>
          </cell>
          <cell r="U626" t="str">
            <v>NULL</v>
          </cell>
          <cell r="V626" t="str">
            <v>NULL</v>
          </cell>
          <cell r="W626" t="str">
            <v/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8</v>
          </cell>
          <cell r="AD626">
            <v>6</v>
          </cell>
          <cell r="AE626" t="str">
            <v>everyone</v>
          </cell>
        </row>
        <row r="627">
          <cell r="A627" t="str">
            <v>30038_3</v>
          </cell>
          <cell r="B627">
            <v>3</v>
          </cell>
          <cell r="C627">
            <v>30038</v>
          </cell>
          <cell r="D627" t="str">
            <v>毒絶神の願い</v>
          </cell>
          <cell r="E627" t="str">
            <v>エジプト神話シリーズ超級</v>
          </cell>
          <cell r="F627">
            <v>3</v>
          </cell>
          <cell r="G627" t="str">
            <v>ja</v>
          </cell>
          <cell r="H627" t="str">
            <v>【超級】毒絶神の願い</v>
          </cell>
          <cell r="I627" t="str">
            <v>超級</v>
          </cell>
          <cell r="J627">
            <v>1007</v>
          </cell>
          <cell r="K627">
            <v>30</v>
          </cell>
          <cell r="L627">
            <v>3300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1</v>
          </cell>
          <cell r="R627">
            <v>3</v>
          </cell>
          <cell r="S627" t="str">
            <v>polygon</v>
          </cell>
          <cell r="T627">
            <v>1</v>
          </cell>
          <cell r="U627" t="str">
            <v>NULL</v>
          </cell>
          <cell r="V627" t="str">
            <v>NULL</v>
          </cell>
          <cell r="W627" t="str">
            <v/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8</v>
          </cell>
          <cell r="AD627">
            <v>6</v>
          </cell>
          <cell r="AE627" t="str">
            <v>everyone</v>
          </cell>
        </row>
        <row r="628">
          <cell r="A628" t="str">
            <v>30039_1</v>
          </cell>
          <cell r="B628">
            <v>3</v>
          </cell>
          <cell r="C628">
            <v>30039</v>
          </cell>
          <cell r="D628" t="str">
            <v>ゼロワン・ゲーム</v>
          </cell>
          <cell r="E628" t="str">
            <v>平安シリーズ超級</v>
          </cell>
          <cell r="F628">
            <v>1</v>
          </cell>
          <cell r="G628" t="str">
            <v>ja</v>
          </cell>
          <cell r="H628" t="str">
            <v>【中級】ゼロワン・ゲーム</v>
          </cell>
          <cell r="I628" t="str">
            <v>中級</v>
          </cell>
          <cell r="J628">
            <v>1022</v>
          </cell>
          <cell r="K628">
            <v>15</v>
          </cell>
          <cell r="L628">
            <v>1200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1</v>
          </cell>
          <cell r="R628">
            <v>3</v>
          </cell>
          <cell r="S628" t="str">
            <v>none</v>
          </cell>
          <cell r="T628">
            <v>0</v>
          </cell>
          <cell r="U628" t="str">
            <v>NULL</v>
          </cell>
          <cell r="V628" t="str">
            <v>NULL</v>
          </cell>
          <cell r="W628" t="str">
            <v/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18</v>
          </cell>
          <cell r="AD628">
            <v>6</v>
          </cell>
          <cell r="AE628" t="str">
            <v>everyone</v>
          </cell>
        </row>
        <row r="629">
          <cell r="A629" t="str">
            <v>30039_2</v>
          </cell>
          <cell r="B629">
            <v>3</v>
          </cell>
          <cell r="C629">
            <v>30039</v>
          </cell>
          <cell r="D629" t="str">
            <v>ゼロワン・ゲーム</v>
          </cell>
          <cell r="E629" t="str">
            <v>平安シリーズ超級</v>
          </cell>
          <cell r="F629">
            <v>2</v>
          </cell>
          <cell r="G629" t="str">
            <v>ja</v>
          </cell>
          <cell r="H629" t="str">
            <v>【上級】ゼロワン・ゲーム</v>
          </cell>
          <cell r="I629" t="str">
            <v>上級</v>
          </cell>
          <cell r="J629">
            <v>1022</v>
          </cell>
          <cell r="K629">
            <v>20</v>
          </cell>
          <cell r="L629">
            <v>2000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none</v>
          </cell>
          <cell r="T629">
            <v>0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18</v>
          </cell>
          <cell r="AD629">
            <v>6</v>
          </cell>
          <cell r="AE629" t="str">
            <v>everyone</v>
          </cell>
        </row>
        <row r="630">
          <cell r="A630" t="str">
            <v>30039_3</v>
          </cell>
          <cell r="B630">
            <v>3</v>
          </cell>
          <cell r="C630">
            <v>30039</v>
          </cell>
          <cell r="D630" t="str">
            <v>ゼロワン・ゲーム</v>
          </cell>
          <cell r="E630" t="str">
            <v>平安シリーズ超級</v>
          </cell>
          <cell r="F630">
            <v>3</v>
          </cell>
          <cell r="G630" t="str">
            <v>ja</v>
          </cell>
          <cell r="H630" t="str">
            <v>【超級】ゼロワン・ゲーム</v>
          </cell>
          <cell r="I630" t="str">
            <v>超級</v>
          </cell>
          <cell r="J630">
            <v>1023</v>
          </cell>
          <cell r="K630">
            <v>30</v>
          </cell>
          <cell r="L630">
            <v>3300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polygon</v>
          </cell>
          <cell r="T630">
            <v>1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18</v>
          </cell>
          <cell r="AD630">
            <v>6</v>
          </cell>
          <cell r="AE630" t="str">
            <v>everyone</v>
          </cell>
        </row>
        <row r="631">
          <cell r="A631" t="str">
            <v>30040_1</v>
          </cell>
          <cell r="B631">
            <v>3</v>
          </cell>
          <cell r="C631">
            <v>30040</v>
          </cell>
          <cell r="D631" t="str">
            <v>闇ヨリ出ル魔獣</v>
          </cell>
          <cell r="E631" t="str">
            <v>メソポタミア文明シリーズ超級</v>
          </cell>
          <cell r="F631">
            <v>1</v>
          </cell>
          <cell r="G631" t="str">
            <v>ja</v>
          </cell>
          <cell r="H631" t="str">
            <v>【中級】闇ヨリ出ル魔獣</v>
          </cell>
          <cell r="I631" t="str">
            <v>中級</v>
          </cell>
          <cell r="J631">
            <v>1061</v>
          </cell>
          <cell r="K631">
            <v>15</v>
          </cell>
          <cell r="L631">
            <v>1200</v>
          </cell>
          <cell r="M631">
            <v>1</v>
          </cell>
          <cell r="N631">
            <v>1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none</v>
          </cell>
          <cell r="T631">
            <v>0</v>
          </cell>
          <cell r="U631" t="str">
            <v>NULL</v>
          </cell>
          <cell r="V631" t="str">
            <v>NULL</v>
          </cell>
          <cell r="W631" t="str">
            <v/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7</v>
          </cell>
          <cell r="AD631">
            <v>6</v>
          </cell>
          <cell r="AE631" t="str">
            <v>everyone</v>
          </cell>
        </row>
        <row r="632">
          <cell r="A632" t="str">
            <v>30040_2</v>
          </cell>
          <cell r="B632">
            <v>3</v>
          </cell>
          <cell r="C632">
            <v>30040</v>
          </cell>
          <cell r="D632" t="str">
            <v>闇ヨリ出ル魔獣</v>
          </cell>
          <cell r="E632" t="str">
            <v>メソポタミア文明シリーズ超級</v>
          </cell>
          <cell r="F632">
            <v>2</v>
          </cell>
          <cell r="G632" t="str">
            <v>ja</v>
          </cell>
          <cell r="H632" t="str">
            <v>【上級】闇ヨリ出ル魔獣</v>
          </cell>
          <cell r="I632" t="str">
            <v>上級</v>
          </cell>
          <cell r="J632">
            <v>1062</v>
          </cell>
          <cell r="K632">
            <v>20</v>
          </cell>
          <cell r="L632">
            <v>2000</v>
          </cell>
          <cell r="M632">
            <v>1</v>
          </cell>
          <cell r="N632">
            <v>1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none</v>
          </cell>
          <cell r="T632">
            <v>0</v>
          </cell>
          <cell r="U632" t="str">
            <v>NULL</v>
          </cell>
          <cell r="V632" t="str">
            <v>NULL</v>
          </cell>
          <cell r="W632" t="str">
            <v/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7</v>
          </cell>
          <cell r="AD632">
            <v>6</v>
          </cell>
          <cell r="AE632" t="str">
            <v>everyone</v>
          </cell>
        </row>
        <row r="633">
          <cell r="A633" t="str">
            <v>30040_3</v>
          </cell>
          <cell r="B633">
            <v>3</v>
          </cell>
          <cell r="C633">
            <v>30040</v>
          </cell>
          <cell r="D633" t="str">
            <v>闇ヨリ出ル魔獣</v>
          </cell>
          <cell r="E633" t="str">
            <v>メソポタミア文明シリーズ超級</v>
          </cell>
          <cell r="F633">
            <v>3</v>
          </cell>
          <cell r="G633" t="str">
            <v>ja</v>
          </cell>
          <cell r="H633" t="str">
            <v>【超級】闇ヨリ出ル魔獣</v>
          </cell>
          <cell r="I633" t="str">
            <v>超級</v>
          </cell>
          <cell r="J633">
            <v>1062</v>
          </cell>
          <cell r="K633">
            <v>30</v>
          </cell>
          <cell r="L633">
            <v>3300</v>
          </cell>
          <cell r="M633">
            <v>1</v>
          </cell>
          <cell r="N633">
            <v>1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polygon</v>
          </cell>
          <cell r="T633">
            <v>1</v>
          </cell>
          <cell r="U633" t="str">
            <v>NULL</v>
          </cell>
          <cell r="V633" t="str">
            <v>NULL</v>
          </cell>
          <cell r="W633" t="str">
            <v/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7</v>
          </cell>
          <cell r="AD633">
            <v>6</v>
          </cell>
          <cell r="AE633" t="str">
            <v>everyone</v>
          </cell>
        </row>
        <row r="634">
          <cell r="A634" t="str">
            <v>30041_1</v>
          </cell>
          <cell r="B634">
            <v>3</v>
          </cell>
          <cell r="C634">
            <v>30041</v>
          </cell>
          <cell r="D634" t="str">
            <v>パラノイア・アート</v>
          </cell>
          <cell r="E634" t="str">
            <v>画家シリーズ超級</v>
          </cell>
          <cell r="F634">
            <v>1</v>
          </cell>
          <cell r="G634" t="str">
            <v>ja</v>
          </cell>
          <cell r="H634" t="str">
            <v>【中級】パラノイア・アート</v>
          </cell>
          <cell r="I634" t="str">
            <v>中級</v>
          </cell>
          <cell r="J634">
            <v>1096</v>
          </cell>
          <cell r="K634">
            <v>15</v>
          </cell>
          <cell r="L634">
            <v>1200</v>
          </cell>
          <cell r="M634">
            <v>1</v>
          </cell>
          <cell r="N634">
            <v>0</v>
          </cell>
          <cell r="O634">
            <v>1</v>
          </cell>
          <cell r="P634">
            <v>1</v>
          </cell>
          <cell r="Q634">
            <v>1</v>
          </cell>
          <cell r="R634">
            <v>3</v>
          </cell>
          <cell r="S634" t="str">
            <v>none</v>
          </cell>
          <cell r="T634">
            <v>0</v>
          </cell>
          <cell r="U634" t="str">
            <v>NULL</v>
          </cell>
          <cell r="V634" t="str">
            <v>NULL</v>
          </cell>
          <cell r="W634" t="str">
            <v/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 t="str">
            <v>anytime</v>
          </cell>
          <cell r="AC634">
            <v>25</v>
          </cell>
          <cell r="AD634">
            <v>6</v>
          </cell>
          <cell r="AE634" t="str">
            <v>everyone</v>
          </cell>
        </row>
        <row r="635">
          <cell r="A635" t="str">
            <v>30041_2</v>
          </cell>
          <cell r="B635">
            <v>3</v>
          </cell>
          <cell r="C635">
            <v>30041</v>
          </cell>
          <cell r="D635" t="str">
            <v>パラノイア・アート</v>
          </cell>
          <cell r="E635" t="str">
            <v>画家シリーズ超級</v>
          </cell>
          <cell r="F635">
            <v>2</v>
          </cell>
          <cell r="G635" t="str">
            <v>ja</v>
          </cell>
          <cell r="H635" t="str">
            <v>【上級】パラノイア・アート</v>
          </cell>
          <cell r="I635" t="str">
            <v>上級</v>
          </cell>
          <cell r="J635">
            <v>1097</v>
          </cell>
          <cell r="K635">
            <v>20</v>
          </cell>
          <cell r="L635">
            <v>2000</v>
          </cell>
          <cell r="M635">
            <v>1</v>
          </cell>
          <cell r="N635">
            <v>0</v>
          </cell>
          <cell r="O635">
            <v>1</v>
          </cell>
          <cell r="P635">
            <v>1</v>
          </cell>
          <cell r="Q635">
            <v>1</v>
          </cell>
          <cell r="R635">
            <v>3</v>
          </cell>
          <cell r="S635" t="str">
            <v>none</v>
          </cell>
          <cell r="T635">
            <v>0</v>
          </cell>
          <cell r="U635" t="str">
            <v>NULL</v>
          </cell>
          <cell r="V635" t="str">
            <v>NULL</v>
          </cell>
          <cell r="W635" t="str">
            <v/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 t="str">
            <v>anytime</v>
          </cell>
          <cell r="AC635">
            <v>25</v>
          </cell>
          <cell r="AD635">
            <v>6</v>
          </cell>
          <cell r="AE635" t="str">
            <v>everyone</v>
          </cell>
        </row>
        <row r="636">
          <cell r="A636" t="str">
            <v>30041_3</v>
          </cell>
          <cell r="B636">
            <v>3</v>
          </cell>
          <cell r="C636">
            <v>30041</v>
          </cell>
          <cell r="D636" t="str">
            <v>パラノイア・アート</v>
          </cell>
          <cell r="E636" t="str">
            <v>画家シリーズ超級</v>
          </cell>
          <cell r="F636">
            <v>3</v>
          </cell>
          <cell r="G636" t="str">
            <v>ja</v>
          </cell>
          <cell r="H636" t="str">
            <v>【超級】パラノイア・アート</v>
          </cell>
          <cell r="I636" t="str">
            <v>超級</v>
          </cell>
          <cell r="J636">
            <v>1097</v>
          </cell>
          <cell r="K636">
            <v>30</v>
          </cell>
          <cell r="L636">
            <v>3300</v>
          </cell>
          <cell r="M636">
            <v>1</v>
          </cell>
          <cell r="N636">
            <v>0</v>
          </cell>
          <cell r="O636">
            <v>1</v>
          </cell>
          <cell r="P636">
            <v>1</v>
          </cell>
          <cell r="Q636">
            <v>1</v>
          </cell>
          <cell r="R636">
            <v>3</v>
          </cell>
          <cell r="S636" t="str">
            <v>polygon</v>
          </cell>
          <cell r="T636">
            <v>1</v>
          </cell>
          <cell r="U636" t="str">
            <v>NULL</v>
          </cell>
          <cell r="V636" t="str">
            <v>NULL</v>
          </cell>
          <cell r="W636" t="str">
            <v/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 t="str">
            <v>anytime</v>
          </cell>
          <cell r="AC636">
            <v>25</v>
          </cell>
          <cell r="AD636">
            <v>6</v>
          </cell>
          <cell r="AE636" t="str">
            <v>everyone</v>
          </cell>
        </row>
        <row r="637">
          <cell r="A637" t="str">
            <v>30042_1</v>
          </cell>
          <cell r="B637">
            <v>3</v>
          </cell>
          <cell r="C637">
            <v>30042</v>
          </cell>
          <cell r="D637" t="str">
            <v>馬中に赤兎あり！</v>
          </cell>
          <cell r="E637" t="str">
            <v>三国志シリーズ超級</v>
          </cell>
          <cell r="F637">
            <v>1</v>
          </cell>
          <cell r="G637" t="str">
            <v>ja</v>
          </cell>
          <cell r="H637" t="str">
            <v>【中級】馬中に赤兎あり！</v>
          </cell>
          <cell r="I637" t="str">
            <v>中級</v>
          </cell>
          <cell r="J637">
            <v>1130</v>
          </cell>
          <cell r="K637">
            <v>15</v>
          </cell>
          <cell r="L637">
            <v>1200</v>
          </cell>
          <cell r="M637">
            <v>1</v>
          </cell>
          <cell r="N637">
            <v>1</v>
          </cell>
          <cell r="O637">
            <v>1</v>
          </cell>
          <cell r="P637">
            <v>1</v>
          </cell>
          <cell r="Q637">
            <v>0</v>
          </cell>
          <cell r="R637">
            <v>3</v>
          </cell>
          <cell r="S637" t="str">
            <v>none</v>
          </cell>
          <cell r="T637">
            <v>0</v>
          </cell>
          <cell r="U637" t="str">
            <v>NULL</v>
          </cell>
          <cell r="V637" t="str">
            <v>NULL</v>
          </cell>
          <cell r="W637" t="str">
            <v/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 t="str">
            <v>anytime</v>
          </cell>
          <cell r="AC637">
            <v>14</v>
          </cell>
          <cell r="AD637">
            <v>6</v>
          </cell>
          <cell r="AE637" t="str">
            <v>singleonly</v>
          </cell>
        </row>
        <row r="638">
          <cell r="A638" t="str">
            <v>30042_2</v>
          </cell>
          <cell r="B638">
            <v>3</v>
          </cell>
          <cell r="C638">
            <v>30042</v>
          </cell>
          <cell r="D638" t="str">
            <v>馬中に赤兎あり！</v>
          </cell>
          <cell r="E638" t="str">
            <v>三国志シリーズ超級</v>
          </cell>
          <cell r="F638">
            <v>2</v>
          </cell>
          <cell r="G638" t="str">
            <v>ja</v>
          </cell>
          <cell r="H638" t="str">
            <v>【上級】馬中に赤兎あり！</v>
          </cell>
          <cell r="I638" t="str">
            <v>上級</v>
          </cell>
          <cell r="J638">
            <v>1130</v>
          </cell>
          <cell r="K638">
            <v>20</v>
          </cell>
          <cell r="L638">
            <v>2000</v>
          </cell>
          <cell r="M638">
            <v>1</v>
          </cell>
          <cell r="N638">
            <v>1</v>
          </cell>
          <cell r="O638">
            <v>1</v>
          </cell>
          <cell r="P638">
            <v>1</v>
          </cell>
          <cell r="Q638">
            <v>0</v>
          </cell>
          <cell r="R638">
            <v>3</v>
          </cell>
          <cell r="S638" t="str">
            <v>none</v>
          </cell>
          <cell r="T638">
            <v>0</v>
          </cell>
          <cell r="U638" t="str">
            <v>NULL</v>
          </cell>
          <cell r="V638" t="str">
            <v>NULL</v>
          </cell>
          <cell r="W638" t="str">
            <v/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 t="str">
            <v>anytime</v>
          </cell>
          <cell r="AC638">
            <v>14</v>
          </cell>
          <cell r="AD638">
            <v>6</v>
          </cell>
          <cell r="AE638" t="str">
            <v>singleonly</v>
          </cell>
        </row>
        <row r="639">
          <cell r="A639" t="str">
            <v>30042_3</v>
          </cell>
          <cell r="B639">
            <v>3</v>
          </cell>
          <cell r="C639">
            <v>30042</v>
          </cell>
          <cell r="D639" t="str">
            <v>馬中に赤兎あり！</v>
          </cell>
          <cell r="E639" t="str">
            <v>三国志シリーズ超級</v>
          </cell>
          <cell r="F639">
            <v>3</v>
          </cell>
          <cell r="G639" t="str">
            <v>ja</v>
          </cell>
          <cell r="H639" t="str">
            <v>【超級】馬中に赤兎あり！</v>
          </cell>
          <cell r="I639" t="str">
            <v>超級</v>
          </cell>
          <cell r="J639">
            <v>1130</v>
          </cell>
          <cell r="K639">
            <v>30</v>
          </cell>
          <cell r="L639">
            <v>3300</v>
          </cell>
          <cell r="M639">
            <v>1</v>
          </cell>
          <cell r="N639">
            <v>1</v>
          </cell>
          <cell r="O639">
            <v>1</v>
          </cell>
          <cell r="P639">
            <v>1</v>
          </cell>
          <cell r="Q639">
            <v>0</v>
          </cell>
          <cell r="R639">
            <v>3</v>
          </cell>
          <cell r="S639" t="str">
            <v>polygon</v>
          </cell>
          <cell r="T639">
            <v>1</v>
          </cell>
          <cell r="U639" t="str">
            <v>NULL</v>
          </cell>
          <cell r="V639" t="str">
            <v>NULL</v>
          </cell>
          <cell r="W639" t="str">
            <v/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 t="str">
            <v>anytime</v>
          </cell>
          <cell r="AC639">
            <v>14</v>
          </cell>
          <cell r="AD639">
            <v>6</v>
          </cell>
          <cell r="AE639" t="str">
            <v>singleonly</v>
          </cell>
        </row>
        <row r="640">
          <cell r="A640" t="str">
            <v>30043_1</v>
          </cell>
          <cell r="B640">
            <v>3</v>
          </cell>
          <cell r="C640">
            <v>30043</v>
          </cell>
          <cell r="D640" t="str">
            <v>小さな破壊竜</v>
          </cell>
          <cell r="E640" t="str">
            <v>ヒンドゥー神話第二弾超級</v>
          </cell>
          <cell r="F640">
            <v>1</v>
          </cell>
          <cell r="G640" t="str">
            <v>ja</v>
          </cell>
          <cell r="H640" t="str">
            <v>【中級】小さな破壊竜</v>
          </cell>
          <cell r="I640" t="str">
            <v>中級</v>
          </cell>
          <cell r="J640">
            <v>1146</v>
          </cell>
          <cell r="K640">
            <v>15</v>
          </cell>
          <cell r="L640">
            <v>1200</v>
          </cell>
          <cell r="M640">
            <v>1</v>
          </cell>
          <cell r="N640">
            <v>0</v>
          </cell>
          <cell r="O640">
            <v>1</v>
          </cell>
          <cell r="P640">
            <v>1</v>
          </cell>
          <cell r="Q640">
            <v>1</v>
          </cell>
          <cell r="R640">
            <v>3</v>
          </cell>
          <cell r="S640" t="str">
            <v>none</v>
          </cell>
          <cell r="T640">
            <v>0</v>
          </cell>
          <cell r="U640" t="str">
            <v>NULL</v>
          </cell>
          <cell r="V640" t="str">
            <v>NULL</v>
          </cell>
          <cell r="W640" t="str">
            <v/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 t="str">
            <v>anytime</v>
          </cell>
          <cell r="AC640">
            <v>24</v>
          </cell>
          <cell r="AD640">
            <v>6</v>
          </cell>
          <cell r="AE640" t="str">
            <v>everyone</v>
          </cell>
        </row>
        <row r="641">
          <cell r="A641" t="str">
            <v>30043_2</v>
          </cell>
          <cell r="B641">
            <v>3</v>
          </cell>
          <cell r="C641">
            <v>30043</v>
          </cell>
          <cell r="D641" t="str">
            <v>小さな破壊竜</v>
          </cell>
          <cell r="E641" t="str">
            <v>ヒンドゥー神話第二弾超級</v>
          </cell>
          <cell r="F641">
            <v>2</v>
          </cell>
          <cell r="G641" t="str">
            <v>ja</v>
          </cell>
          <cell r="H641" t="str">
            <v>【上級】小さな破壊竜</v>
          </cell>
          <cell r="I641" t="str">
            <v>上級</v>
          </cell>
          <cell r="J641">
            <v>1146</v>
          </cell>
          <cell r="K641">
            <v>20</v>
          </cell>
          <cell r="L641">
            <v>2000</v>
          </cell>
          <cell r="M641">
            <v>1</v>
          </cell>
          <cell r="N641">
            <v>0</v>
          </cell>
          <cell r="O641">
            <v>1</v>
          </cell>
          <cell r="P641">
            <v>1</v>
          </cell>
          <cell r="Q641">
            <v>1</v>
          </cell>
          <cell r="R641">
            <v>3</v>
          </cell>
          <cell r="S641" t="str">
            <v>none</v>
          </cell>
          <cell r="T641">
            <v>0</v>
          </cell>
          <cell r="U641" t="str">
            <v>NULL</v>
          </cell>
          <cell r="V641" t="str">
            <v>NULL</v>
          </cell>
          <cell r="W641" t="str">
            <v/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 t="str">
            <v>anytime</v>
          </cell>
          <cell r="AC641">
            <v>24</v>
          </cell>
          <cell r="AD641">
            <v>6</v>
          </cell>
          <cell r="AE641" t="str">
            <v>everyone</v>
          </cell>
        </row>
        <row r="642">
          <cell r="A642" t="str">
            <v>30043_3</v>
          </cell>
          <cell r="B642">
            <v>3</v>
          </cell>
          <cell r="C642">
            <v>30043</v>
          </cell>
          <cell r="D642" t="str">
            <v>小さな破壊竜</v>
          </cell>
          <cell r="E642" t="str">
            <v>ヒンドゥー神話第二弾超級</v>
          </cell>
          <cell r="F642">
            <v>3</v>
          </cell>
          <cell r="G642" t="str">
            <v>ja</v>
          </cell>
          <cell r="H642" t="str">
            <v>【超級】小さな破壊竜</v>
          </cell>
          <cell r="I642" t="str">
            <v>超級</v>
          </cell>
          <cell r="J642">
            <v>1146</v>
          </cell>
          <cell r="K642">
            <v>30</v>
          </cell>
          <cell r="L642">
            <v>3300</v>
          </cell>
          <cell r="M642">
            <v>1</v>
          </cell>
          <cell r="N642">
            <v>0</v>
          </cell>
          <cell r="O642">
            <v>1</v>
          </cell>
          <cell r="P642">
            <v>1</v>
          </cell>
          <cell r="Q642">
            <v>1</v>
          </cell>
          <cell r="R642">
            <v>3</v>
          </cell>
          <cell r="S642" t="str">
            <v>polygon</v>
          </cell>
          <cell r="T642">
            <v>1</v>
          </cell>
          <cell r="U642" t="str">
            <v>NULL</v>
          </cell>
          <cell r="V642" t="str">
            <v>NULL</v>
          </cell>
          <cell r="W642" t="str">
            <v/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 t="str">
            <v>anytime</v>
          </cell>
          <cell r="AC642">
            <v>24</v>
          </cell>
          <cell r="AD642">
            <v>6</v>
          </cell>
          <cell r="AE642" t="str">
            <v>everyone</v>
          </cell>
        </row>
        <row r="643">
          <cell r="A643" t="str">
            <v>30044_1</v>
          </cell>
          <cell r="B643">
            <v>3</v>
          </cell>
          <cell r="C643">
            <v>30044</v>
          </cell>
          <cell r="D643" t="str">
            <v>冷酷なる遂行者</v>
          </cell>
          <cell r="E643" t="str">
            <v>ギリシャ神話第二弾超級</v>
          </cell>
          <cell r="F643">
            <v>1</v>
          </cell>
          <cell r="G643" t="str">
            <v>ja</v>
          </cell>
          <cell r="H643" t="str">
            <v>【中級】冷酷なる遂行者</v>
          </cell>
          <cell r="I643" t="str">
            <v>中級</v>
          </cell>
          <cell r="J643">
            <v>1201</v>
          </cell>
          <cell r="K643">
            <v>15</v>
          </cell>
          <cell r="L643">
            <v>1200</v>
          </cell>
          <cell r="M643">
            <v>1</v>
          </cell>
          <cell r="N643">
            <v>1</v>
          </cell>
          <cell r="O643">
            <v>1</v>
          </cell>
          <cell r="P643">
            <v>1</v>
          </cell>
          <cell r="Q643">
            <v>1</v>
          </cell>
          <cell r="R643">
            <v>3</v>
          </cell>
          <cell r="S643" t="str">
            <v>none</v>
          </cell>
          <cell r="T643">
            <v>0</v>
          </cell>
          <cell r="U643" t="str">
            <v>NULL</v>
          </cell>
          <cell r="V643" t="str">
            <v>NULL</v>
          </cell>
          <cell r="W643" t="str">
            <v/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 t="str">
            <v>anytime</v>
          </cell>
          <cell r="AC643">
            <v>26</v>
          </cell>
          <cell r="AD643">
            <v>6</v>
          </cell>
          <cell r="AE643" t="str">
            <v>everyone</v>
          </cell>
        </row>
        <row r="644">
          <cell r="A644" t="str">
            <v>30044_2</v>
          </cell>
          <cell r="B644">
            <v>3</v>
          </cell>
          <cell r="C644">
            <v>30044</v>
          </cell>
          <cell r="D644" t="str">
            <v>冷酷なる遂行者</v>
          </cell>
          <cell r="E644" t="str">
            <v>ギリシャ神話第二弾超級</v>
          </cell>
          <cell r="F644">
            <v>2</v>
          </cell>
          <cell r="G644" t="str">
            <v>ja</v>
          </cell>
          <cell r="H644" t="str">
            <v>【上級】冷酷なる遂行者</v>
          </cell>
          <cell r="I644" t="str">
            <v>上級</v>
          </cell>
          <cell r="J644">
            <v>1201</v>
          </cell>
          <cell r="K644">
            <v>20</v>
          </cell>
          <cell r="L644">
            <v>2000</v>
          </cell>
          <cell r="M644">
            <v>1</v>
          </cell>
          <cell r="N644">
            <v>1</v>
          </cell>
          <cell r="O644">
            <v>1</v>
          </cell>
          <cell r="P644">
            <v>1</v>
          </cell>
          <cell r="Q644">
            <v>1</v>
          </cell>
          <cell r="R644">
            <v>3</v>
          </cell>
          <cell r="S644" t="str">
            <v>none</v>
          </cell>
          <cell r="T644">
            <v>0</v>
          </cell>
          <cell r="U644" t="str">
            <v>NULL</v>
          </cell>
          <cell r="V644" t="str">
            <v>NULL</v>
          </cell>
          <cell r="W644" t="str">
            <v/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 t="str">
            <v>anytime</v>
          </cell>
          <cell r="AC644">
            <v>26</v>
          </cell>
          <cell r="AD644">
            <v>6</v>
          </cell>
          <cell r="AE644" t="str">
            <v>everyone</v>
          </cell>
        </row>
        <row r="645">
          <cell r="A645" t="str">
            <v>30044_3</v>
          </cell>
          <cell r="B645">
            <v>3</v>
          </cell>
          <cell r="C645">
            <v>30044</v>
          </cell>
          <cell r="D645" t="str">
            <v>冷酷なる遂行者</v>
          </cell>
          <cell r="E645" t="str">
            <v>ギリシャ神話第二弾超級</v>
          </cell>
          <cell r="F645">
            <v>3</v>
          </cell>
          <cell r="G645" t="str">
            <v>ja</v>
          </cell>
          <cell r="H645" t="str">
            <v>【超級】冷酷なる遂行者</v>
          </cell>
          <cell r="I645" t="str">
            <v>超級</v>
          </cell>
          <cell r="J645">
            <v>1201</v>
          </cell>
          <cell r="K645">
            <v>30</v>
          </cell>
          <cell r="L645">
            <v>3300</v>
          </cell>
          <cell r="M645">
            <v>1</v>
          </cell>
          <cell r="N645">
            <v>1</v>
          </cell>
          <cell r="O645">
            <v>1</v>
          </cell>
          <cell r="P645">
            <v>1</v>
          </cell>
          <cell r="Q645">
            <v>1</v>
          </cell>
          <cell r="R645">
            <v>3</v>
          </cell>
          <cell r="S645" t="str">
            <v>polygon</v>
          </cell>
          <cell r="T645">
            <v>1</v>
          </cell>
          <cell r="U645" t="str">
            <v>NULL</v>
          </cell>
          <cell r="V645" t="str">
            <v>NULL</v>
          </cell>
          <cell r="W645" t="str">
            <v/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 t="str">
            <v>anytime</v>
          </cell>
          <cell r="AC645">
            <v>26</v>
          </cell>
          <cell r="AD645">
            <v>6</v>
          </cell>
          <cell r="AE645" t="str">
            <v>everyone</v>
          </cell>
        </row>
        <row r="646">
          <cell r="A646" t="str">
            <v>30045_1</v>
          </cell>
          <cell r="B646">
            <v>3</v>
          </cell>
          <cell r="C646">
            <v>30045</v>
          </cell>
          <cell r="D646" t="str">
            <v>れもん色の衝動</v>
          </cell>
          <cell r="E646" t="str">
            <v>文豪シリーズ　超級</v>
          </cell>
          <cell r="F646">
            <v>1</v>
          </cell>
          <cell r="G646" t="str">
            <v>ja</v>
          </cell>
          <cell r="H646" t="str">
            <v>【中級】れもん色の衝動</v>
          </cell>
          <cell r="I646" t="str">
            <v>中級</v>
          </cell>
          <cell r="J646">
            <v>1217</v>
          </cell>
          <cell r="K646">
            <v>15</v>
          </cell>
          <cell r="L646">
            <v>1200</v>
          </cell>
          <cell r="M646">
            <v>1</v>
          </cell>
          <cell r="N646">
            <v>1</v>
          </cell>
          <cell r="O646">
            <v>1</v>
          </cell>
          <cell r="P646">
            <v>1</v>
          </cell>
          <cell r="Q646">
            <v>1</v>
          </cell>
          <cell r="R646">
            <v>3</v>
          </cell>
          <cell r="S646" t="str">
            <v>none</v>
          </cell>
          <cell r="T646">
            <v>0</v>
          </cell>
          <cell r="U646" t="str">
            <v>NULL</v>
          </cell>
          <cell r="V646" t="str">
            <v>NULL</v>
          </cell>
          <cell r="W646" t="str">
            <v/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 t="str">
            <v>anytime</v>
          </cell>
          <cell r="AC646">
            <v>25</v>
          </cell>
          <cell r="AD646">
            <v>6</v>
          </cell>
          <cell r="AE646" t="str">
            <v>everyone</v>
          </cell>
        </row>
        <row r="647">
          <cell r="A647" t="str">
            <v>30045_2</v>
          </cell>
          <cell r="B647">
            <v>3</v>
          </cell>
          <cell r="C647">
            <v>30045</v>
          </cell>
          <cell r="D647" t="str">
            <v>れもん色の衝動</v>
          </cell>
          <cell r="E647" t="str">
            <v>文豪シリーズ　超級</v>
          </cell>
          <cell r="F647">
            <v>2</v>
          </cell>
          <cell r="G647" t="str">
            <v>ja</v>
          </cell>
          <cell r="H647" t="str">
            <v>【上級】れもん色の衝動</v>
          </cell>
          <cell r="I647" t="str">
            <v>上級</v>
          </cell>
          <cell r="J647">
            <v>1217</v>
          </cell>
          <cell r="K647">
            <v>20</v>
          </cell>
          <cell r="L647">
            <v>2000</v>
          </cell>
          <cell r="M647">
            <v>1</v>
          </cell>
          <cell r="N647">
            <v>1</v>
          </cell>
          <cell r="O647">
            <v>1</v>
          </cell>
          <cell r="P647">
            <v>1</v>
          </cell>
          <cell r="Q647">
            <v>1</v>
          </cell>
          <cell r="R647">
            <v>3</v>
          </cell>
          <cell r="S647" t="str">
            <v>none</v>
          </cell>
          <cell r="T647">
            <v>0</v>
          </cell>
          <cell r="U647" t="str">
            <v>NULL</v>
          </cell>
          <cell r="V647" t="str">
            <v>NULL</v>
          </cell>
          <cell r="W647" t="str">
            <v/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 t="str">
            <v>anytime</v>
          </cell>
          <cell r="AC647">
            <v>25</v>
          </cell>
          <cell r="AD647">
            <v>6</v>
          </cell>
          <cell r="AE647" t="str">
            <v>everyone</v>
          </cell>
        </row>
        <row r="648">
          <cell r="A648" t="str">
            <v>30045_3</v>
          </cell>
          <cell r="B648">
            <v>3</v>
          </cell>
          <cell r="C648">
            <v>30045</v>
          </cell>
          <cell r="D648" t="str">
            <v>れもん色の衝動</v>
          </cell>
          <cell r="E648" t="str">
            <v>文豪シリーズ　超級</v>
          </cell>
          <cell r="F648">
            <v>3</v>
          </cell>
          <cell r="G648" t="str">
            <v>ja</v>
          </cell>
          <cell r="H648" t="str">
            <v>【超級】れもん色の衝動</v>
          </cell>
          <cell r="I648" t="str">
            <v>超級</v>
          </cell>
          <cell r="J648">
            <v>1217</v>
          </cell>
          <cell r="K648">
            <v>30</v>
          </cell>
          <cell r="L648">
            <v>3300</v>
          </cell>
          <cell r="M648">
            <v>1</v>
          </cell>
          <cell r="N648">
            <v>1</v>
          </cell>
          <cell r="O648">
            <v>1</v>
          </cell>
          <cell r="P648">
            <v>1</v>
          </cell>
          <cell r="Q648">
            <v>1</v>
          </cell>
          <cell r="R648">
            <v>3</v>
          </cell>
          <cell r="S648" t="str">
            <v>polygon</v>
          </cell>
          <cell r="T648">
            <v>1</v>
          </cell>
          <cell r="U648" t="str">
            <v>NULL</v>
          </cell>
          <cell r="V648" t="str">
            <v>NULL</v>
          </cell>
          <cell r="W648" t="str">
            <v/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 t="str">
            <v>anytime</v>
          </cell>
          <cell r="AC648">
            <v>25</v>
          </cell>
          <cell r="AD648">
            <v>6</v>
          </cell>
          <cell r="AE648" t="str">
            <v>everyone</v>
          </cell>
        </row>
        <row r="649">
          <cell r="A649" t="str">
            <v>30046_1</v>
          </cell>
          <cell r="B649">
            <v>3</v>
          </cell>
          <cell r="C649">
            <v>30046</v>
          </cell>
          <cell r="D649" t="str">
            <v>千利の道も一歩から！</v>
          </cell>
          <cell r="E649" t="str">
            <v>戦国シリーズ第二弾　超級</v>
          </cell>
          <cell r="F649">
            <v>1</v>
          </cell>
          <cell r="G649" t="str">
            <v>ja</v>
          </cell>
          <cell r="H649" t="str">
            <v>【中級】千利の道も一歩から！</v>
          </cell>
          <cell r="I649" t="str">
            <v>中級</v>
          </cell>
          <cell r="J649">
            <v>1237</v>
          </cell>
          <cell r="K649">
            <v>15</v>
          </cell>
          <cell r="L649">
            <v>1200</v>
          </cell>
          <cell r="M649">
            <v>1</v>
          </cell>
          <cell r="N649">
            <v>1</v>
          </cell>
          <cell r="O649">
            <v>1</v>
          </cell>
          <cell r="P649">
            <v>1</v>
          </cell>
          <cell r="Q649">
            <v>1</v>
          </cell>
          <cell r="R649">
            <v>3</v>
          </cell>
          <cell r="S649" t="str">
            <v>none</v>
          </cell>
          <cell r="T649">
            <v>0</v>
          </cell>
          <cell r="U649" t="str">
            <v>NULL</v>
          </cell>
          <cell r="V649" t="str">
            <v>NULL</v>
          </cell>
          <cell r="W649" t="str">
            <v/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 t="str">
            <v>anytime</v>
          </cell>
          <cell r="AC649">
            <v>30</v>
          </cell>
          <cell r="AD649">
            <v>6</v>
          </cell>
          <cell r="AE649" t="str">
            <v>everyone</v>
          </cell>
        </row>
        <row r="650">
          <cell r="A650" t="str">
            <v>30046_2</v>
          </cell>
          <cell r="B650">
            <v>3</v>
          </cell>
          <cell r="C650">
            <v>30046</v>
          </cell>
          <cell r="D650" t="str">
            <v>千利の道も一歩から！</v>
          </cell>
          <cell r="E650" t="str">
            <v>戦国シリーズ第二弾　超級</v>
          </cell>
          <cell r="F650">
            <v>2</v>
          </cell>
          <cell r="G650" t="str">
            <v>ja</v>
          </cell>
          <cell r="H650" t="str">
            <v>【上級】千利の道も一歩から！</v>
          </cell>
          <cell r="I650" t="str">
            <v>上級</v>
          </cell>
          <cell r="J650">
            <v>1237</v>
          </cell>
          <cell r="K650">
            <v>20</v>
          </cell>
          <cell r="L650">
            <v>2000</v>
          </cell>
          <cell r="M650">
            <v>1</v>
          </cell>
          <cell r="N650">
            <v>1</v>
          </cell>
          <cell r="O650">
            <v>1</v>
          </cell>
          <cell r="P650">
            <v>1</v>
          </cell>
          <cell r="Q650">
            <v>1</v>
          </cell>
          <cell r="R650">
            <v>3</v>
          </cell>
          <cell r="S650" t="str">
            <v>none</v>
          </cell>
          <cell r="T650">
            <v>0</v>
          </cell>
          <cell r="U650" t="str">
            <v>NULL</v>
          </cell>
          <cell r="V650" t="str">
            <v>NULL</v>
          </cell>
          <cell r="W650" t="str">
            <v/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 t="str">
            <v>anytime</v>
          </cell>
          <cell r="AC650">
            <v>30</v>
          </cell>
          <cell r="AD650">
            <v>6</v>
          </cell>
          <cell r="AE650" t="str">
            <v>everyone</v>
          </cell>
        </row>
        <row r="651">
          <cell r="A651" t="str">
            <v>30046_3</v>
          </cell>
          <cell r="B651">
            <v>3</v>
          </cell>
          <cell r="C651">
            <v>30046</v>
          </cell>
          <cell r="D651" t="str">
            <v>千利の道も一歩から！</v>
          </cell>
          <cell r="E651" t="str">
            <v>戦国シリーズ第二弾　超級</v>
          </cell>
          <cell r="F651">
            <v>3</v>
          </cell>
          <cell r="G651" t="str">
            <v>ja</v>
          </cell>
          <cell r="H651" t="str">
            <v>【超級】千利の道も一歩から！</v>
          </cell>
          <cell r="I651" t="str">
            <v>超級</v>
          </cell>
          <cell r="J651">
            <v>1237</v>
          </cell>
          <cell r="K651">
            <v>30</v>
          </cell>
          <cell r="L651">
            <v>3300</v>
          </cell>
          <cell r="M651">
            <v>1</v>
          </cell>
          <cell r="N651">
            <v>1</v>
          </cell>
          <cell r="O651">
            <v>1</v>
          </cell>
          <cell r="P651">
            <v>1</v>
          </cell>
          <cell r="Q651">
            <v>1</v>
          </cell>
          <cell r="R651">
            <v>3</v>
          </cell>
          <cell r="S651" t="str">
            <v>polygon</v>
          </cell>
          <cell r="T651">
            <v>1</v>
          </cell>
          <cell r="U651" t="str">
            <v>NULL</v>
          </cell>
          <cell r="V651" t="str">
            <v>NULL</v>
          </cell>
          <cell r="W651" t="str">
            <v/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 t="str">
            <v>anytime</v>
          </cell>
          <cell r="AC651">
            <v>30</v>
          </cell>
          <cell r="AD651">
            <v>6</v>
          </cell>
          <cell r="AE651" t="str">
            <v>everyone</v>
          </cell>
        </row>
        <row r="652">
          <cell r="A652" t="str">
            <v>30047_1</v>
          </cell>
          <cell r="B652">
            <v>3</v>
          </cell>
          <cell r="C652">
            <v>30047</v>
          </cell>
          <cell r="D652" t="str">
            <v>終末の旋律</v>
          </cell>
          <cell r="E652" t="str">
            <v>北欧シリーズ第三弾　超級</v>
          </cell>
          <cell r="F652">
            <v>1</v>
          </cell>
          <cell r="G652" t="str">
            <v>ja</v>
          </cell>
          <cell r="H652" t="str">
            <v>【中級】終末の旋律</v>
          </cell>
          <cell r="I652" t="str">
            <v>中級</v>
          </cell>
          <cell r="J652">
            <v>1253</v>
          </cell>
          <cell r="K652">
            <v>15</v>
          </cell>
          <cell r="L652">
            <v>1200</v>
          </cell>
          <cell r="M652">
            <v>1</v>
          </cell>
          <cell r="N652">
            <v>1</v>
          </cell>
          <cell r="O652">
            <v>1</v>
          </cell>
          <cell r="P652">
            <v>1</v>
          </cell>
          <cell r="Q652">
            <v>1</v>
          </cell>
          <cell r="R652">
            <v>3</v>
          </cell>
          <cell r="S652" t="str">
            <v>none</v>
          </cell>
          <cell r="T652">
            <v>0</v>
          </cell>
          <cell r="U652" t="str">
            <v>NULL</v>
          </cell>
          <cell r="V652" t="str">
            <v>NULL</v>
          </cell>
          <cell r="W652" t="str">
            <v/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 t="str">
            <v>anytime</v>
          </cell>
          <cell r="AC652">
            <v>25</v>
          </cell>
          <cell r="AD652">
            <v>6</v>
          </cell>
          <cell r="AE652" t="str">
            <v>everyone</v>
          </cell>
        </row>
        <row r="653">
          <cell r="A653" t="str">
            <v>30047_2</v>
          </cell>
          <cell r="B653">
            <v>3</v>
          </cell>
          <cell r="C653">
            <v>30047</v>
          </cell>
          <cell r="D653" t="str">
            <v>終末の旋律</v>
          </cell>
          <cell r="E653" t="str">
            <v>北欧シリーズ第三弾　超級</v>
          </cell>
          <cell r="F653">
            <v>2</v>
          </cell>
          <cell r="G653" t="str">
            <v>ja</v>
          </cell>
          <cell r="H653" t="str">
            <v>【上級】終末の旋律</v>
          </cell>
          <cell r="I653" t="str">
            <v>上級</v>
          </cell>
          <cell r="J653">
            <v>1253</v>
          </cell>
          <cell r="K653">
            <v>20</v>
          </cell>
          <cell r="L653">
            <v>2000</v>
          </cell>
          <cell r="M653">
            <v>1</v>
          </cell>
          <cell r="N653">
            <v>1</v>
          </cell>
          <cell r="O653">
            <v>1</v>
          </cell>
          <cell r="P653">
            <v>1</v>
          </cell>
          <cell r="Q653">
            <v>1</v>
          </cell>
          <cell r="R653">
            <v>3</v>
          </cell>
          <cell r="S653" t="str">
            <v>none</v>
          </cell>
          <cell r="T653">
            <v>0</v>
          </cell>
          <cell r="U653" t="str">
            <v>NULL</v>
          </cell>
          <cell r="V653" t="str">
            <v>NULL</v>
          </cell>
          <cell r="W653" t="str">
            <v/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 t="str">
            <v>anytime</v>
          </cell>
          <cell r="AC653">
            <v>25</v>
          </cell>
          <cell r="AD653">
            <v>6</v>
          </cell>
          <cell r="AE653" t="str">
            <v>everyone</v>
          </cell>
        </row>
        <row r="654">
          <cell r="A654" t="str">
            <v>30047_3</v>
          </cell>
          <cell r="B654">
            <v>3</v>
          </cell>
          <cell r="C654">
            <v>30047</v>
          </cell>
          <cell r="D654" t="str">
            <v>終末の旋律</v>
          </cell>
          <cell r="E654" t="str">
            <v>北欧シリーズ第三弾　超級</v>
          </cell>
          <cell r="F654">
            <v>3</v>
          </cell>
          <cell r="G654" t="str">
            <v>ja</v>
          </cell>
          <cell r="H654" t="str">
            <v>【超級】終末の旋律</v>
          </cell>
          <cell r="I654" t="str">
            <v>超級</v>
          </cell>
          <cell r="J654">
            <v>1253</v>
          </cell>
          <cell r="K654">
            <v>30</v>
          </cell>
          <cell r="L654">
            <v>3300</v>
          </cell>
          <cell r="M654">
            <v>1</v>
          </cell>
          <cell r="N654">
            <v>1</v>
          </cell>
          <cell r="O654">
            <v>1</v>
          </cell>
          <cell r="P654">
            <v>1</v>
          </cell>
          <cell r="Q654">
            <v>1</v>
          </cell>
          <cell r="R654">
            <v>3</v>
          </cell>
          <cell r="S654" t="str">
            <v>polygon</v>
          </cell>
          <cell r="T654">
            <v>1</v>
          </cell>
          <cell r="U654" t="str">
            <v>NULL</v>
          </cell>
          <cell r="V654" t="str">
            <v>NULL</v>
          </cell>
          <cell r="W654" t="str">
            <v/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 t="str">
            <v>anytime</v>
          </cell>
          <cell r="AC654">
            <v>25</v>
          </cell>
          <cell r="AD654">
            <v>6</v>
          </cell>
          <cell r="AE654" t="str">
            <v>everyone</v>
          </cell>
        </row>
        <row r="655">
          <cell r="A655" t="str">
            <v>30048_1</v>
          </cell>
          <cell r="B655">
            <v>3</v>
          </cell>
          <cell r="C655">
            <v>30048</v>
          </cell>
          <cell r="D655" t="str">
            <v>惑乱の双神使！？</v>
          </cell>
          <cell r="E655" t="str">
            <v>日本神話シリーズ　超級</v>
          </cell>
          <cell r="F655">
            <v>1</v>
          </cell>
          <cell r="G655" t="str">
            <v>ja</v>
          </cell>
          <cell r="H655" t="str">
            <v>【中級】惑乱の双神使！？</v>
          </cell>
          <cell r="I655" t="str">
            <v>中級</v>
          </cell>
          <cell r="J655">
            <v>1325</v>
          </cell>
          <cell r="K655">
            <v>15</v>
          </cell>
          <cell r="L655">
            <v>1200</v>
          </cell>
          <cell r="M655">
            <v>1</v>
          </cell>
          <cell r="N655">
            <v>1</v>
          </cell>
          <cell r="O655">
            <v>1</v>
          </cell>
          <cell r="P655">
            <v>1</v>
          </cell>
          <cell r="Q655">
            <v>1</v>
          </cell>
          <cell r="R655">
            <v>3</v>
          </cell>
          <cell r="S655" t="str">
            <v>none</v>
          </cell>
          <cell r="T655">
            <v>0</v>
          </cell>
          <cell r="U655" t="str">
            <v>NULL</v>
          </cell>
          <cell r="V655" t="str">
            <v>NULL</v>
          </cell>
          <cell r="W655" t="str">
            <v/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 t="str">
            <v>anytime</v>
          </cell>
          <cell r="AC655">
            <v>2</v>
          </cell>
          <cell r="AD655">
            <v>6</v>
          </cell>
          <cell r="AE655" t="str">
            <v>everyone</v>
          </cell>
        </row>
        <row r="656">
          <cell r="A656" t="str">
            <v>30048_2</v>
          </cell>
          <cell r="B656">
            <v>3</v>
          </cell>
          <cell r="C656">
            <v>30048</v>
          </cell>
          <cell r="D656" t="str">
            <v>惑乱の双神使！？</v>
          </cell>
          <cell r="E656" t="str">
            <v>日本神話シリーズ　超級</v>
          </cell>
          <cell r="F656">
            <v>2</v>
          </cell>
          <cell r="G656" t="str">
            <v>ja</v>
          </cell>
          <cell r="H656" t="str">
            <v>【上級】惑乱の双神使！？</v>
          </cell>
          <cell r="I656" t="str">
            <v>上級</v>
          </cell>
          <cell r="J656">
            <v>1325</v>
          </cell>
          <cell r="K656">
            <v>20</v>
          </cell>
          <cell r="L656">
            <v>2000</v>
          </cell>
          <cell r="M656">
            <v>1</v>
          </cell>
          <cell r="N656">
            <v>1</v>
          </cell>
          <cell r="O656">
            <v>1</v>
          </cell>
          <cell r="P656">
            <v>1</v>
          </cell>
          <cell r="Q656">
            <v>1</v>
          </cell>
          <cell r="R656">
            <v>3</v>
          </cell>
          <cell r="S656" t="str">
            <v>none</v>
          </cell>
          <cell r="T656">
            <v>0</v>
          </cell>
          <cell r="U656" t="str">
            <v>NULL</v>
          </cell>
          <cell r="V656" t="str">
            <v>NULL</v>
          </cell>
          <cell r="W656" t="str">
            <v/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 t="str">
            <v>anytime</v>
          </cell>
          <cell r="AC656">
            <v>2</v>
          </cell>
          <cell r="AD656">
            <v>6</v>
          </cell>
          <cell r="AE656" t="str">
            <v>everyone</v>
          </cell>
        </row>
        <row r="657">
          <cell r="A657" t="str">
            <v>30048_3</v>
          </cell>
          <cell r="B657">
            <v>3</v>
          </cell>
          <cell r="C657">
            <v>30048</v>
          </cell>
          <cell r="D657" t="str">
            <v>惑乱の双神使！？</v>
          </cell>
          <cell r="E657" t="str">
            <v>日本神話シリーズ　超級</v>
          </cell>
          <cell r="F657">
            <v>3</v>
          </cell>
          <cell r="G657" t="str">
            <v>ja</v>
          </cell>
          <cell r="H657" t="str">
            <v>【超級】惑乱の双神使！？</v>
          </cell>
          <cell r="I657" t="str">
            <v>超級</v>
          </cell>
          <cell r="J657">
            <v>1325</v>
          </cell>
          <cell r="K657">
            <v>30</v>
          </cell>
          <cell r="L657">
            <v>3300</v>
          </cell>
          <cell r="M657">
            <v>1</v>
          </cell>
          <cell r="N657">
            <v>1</v>
          </cell>
          <cell r="O657">
            <v>1</v>
          </cell>
          <cell r="P657">
            <v>1</v>
          </cell>
          <cell r="Q657">
            <v>1</v>
          </cell>
          <cell r="R657">
            <v>3</v>
          </cell>
          <cell r="S657" t="str">
            <v>polygon</v>
          </cell>
          <cell r="T657">
            <v>1</v>
          </cell>
          <cell r="U657" t="str">
            <v>NULL</v>
          </cell>
          <cell r="V657" t="str">
            <v>NULL</v>
          </cell>
          <cell r="W657" t="str">
            <v/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 t="str">
            <v>anytime</v>
          </cell>
          <cell r="AC657">
            <v>2</v>
          </cell>
          <cell r="AD657">
            <v>6</v>
          </cell>
          <cell r="AE657" t="str">
            <v>everyone</v>
          </cell>
        </row>
        <row r="658">
          <cell r="A658" t="str">
            <v>39001_1</v>
          </cell>
          <cell r="B658">
            <v>3</v>
          </cell>
          <cell r="C658">
            <v>39001</v>
          </cell>
          <cell r="D658" t="str">
            <v>雪の歌姫</v>
          </cell>
          <cell r="E658" t="str">
            <v>コラボクエスト</v>
          </cell>
          <cell r="F658">
            <v>1</v>
          </cell>
          <cell r="G658" t="str">
            <v>ja</v>
          </cell>
          <cell r="H658" t="str">
            <v>【初級】雪の歌姫</v>
          </cell>
          <cell r="I658" t="str">
            <v>初級</v>
          </cell>
          <cell r="J658">
            <v>525</v>
          </cell>
          <cell r="K658">
            <v>8</v>
          </cell>
          <cell r="L658">
            <v>384</v>
          </cell>
          <cell r="M658">
            <v>1</v>
          </cell>
          <cell r="N658">
            <v>1</v>
          </cell>
          <cell r="O658">
            <v>1</v>
          </cell>
          <cell r="P658">
            <v>1</v>
          </cell>
          <cell r="Q658">
            <v>1</v>
          </cell>
          <cell r="R658">
            <v>3</v>
          </cell>
          <cell r="S658" t="str">
            <v>none</v>
          </cell>
          <cell r="T658">
            <v>0</v>
          </cell>
          <cell r="U658" t="str">
            <v>NULL</v>
          </cell>
          <cell r="V658" t="str">
            <v>NULL</v>
          </cell>
          <cell r="W658" t="str">
            <v/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 t="str">
            <v>anytime</v>
          </cell>
          <cell r="AC658">
            <v>909</v>
          </cell>
          <cell r="AD658">
            <v>6</v>
          </cell>
          <cell r="AE658" t="str">
            <v>everyone</v>
          </cell>
        </row>
        <row r="659">
          <cell r="A659" t="str">
            <v>39001_2</v>
          </cell>
          <cell r="B659">
            <v>3</v>
          </cell>
          <cell r="C659">
            <v>39001</v>
          </cell>
          <cell r="D659" t="str">
            <v>雪の歌姫</v>
          </cell>
          <cell r="E659" t="str">
            <v>コラボクエスト</v>
          </cell>
          <cell r="F659">
            <v>2</v>
          </cell>
          <cell r="G659" t="str">
            <v>ja</v>
          </cell>
          <cell r="H659" t="str">
            <v>【中級】雪の歌姫</v>
          </cell>
          <cell r="I659" t="str">
            <v>中級</v>
          </cell>
          <cell r="J659">
            <v>525</v>
          </cell>
          <cell r="K659">
            <v>15</v>
          </cell>
          <cell r="L659">
            <v>1200</v>
          </cell>
          <cell r="M659">
            <v>1</v>
          </cell>
          <cell r="N659">
            <v>1</v>
          </cell>
          <cell r="O659">
            <v>1</v>
          </cell>
          <cell r="P659">
            <v>1</v>
          </cell>
          <cell r="Q659">
            <v>1</v>
          </cell>
          <cell r="R659">
            <v>3</v>
          </cell>
          <cell r="S659" t="str">
            <v>none</v>
          </cell>
          <cell r="T659">
            <v>0</v>
          </cell>
          <cell r="U659" t="str">
            <v>NULL</v>
          </cell>
          <cell r="V659" t="str">
            <v>NULL</v>
          </cell>
          <cell r="W659" t="str">
            <v/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 t="str">
            <v>anytime</v>
          </cell>
          <cell r="AC659">
            <v>909</v>
          </cell>
          <cell r="AD659">
            <v>6</v>
          </cell>
          <cell r="AE659" t="str">
            <v>everyone</v>
          </cell>
        </row>
        <row r="660">
          <cell r="A660" t="str">
            <v>39001_3</v>
          </cell>
          <cell r="B660">
            <v>3</v>
          </cell>
          <cell r="C660">
            <v>39001</v>
          </cell>
          <cell r="D660" t="str">
            <v>雪の歌姫</v>
          </cell>
          <cell r="E660" t="str">
            <v>コラボクエスト</v>
          </cell>
          <cell r="F660">
            <v>3</v>
          </cell>
          <cell r="G660" t="str">
            <v>ja</v>
          </cell>
          <cell r="H660" t="str">
            <v>【上級】雪の歌姫</v>
          </cell>
          <cell r="I660" t="str">
            <v>上級</v>
          </cell>
          <cell r="J660">
            <v>525</v>
          </cell>
          <cell r="K660">
            <v>20</v>
          </cell>
          <cell r="L660">
            <v>2000</v>
          </cell>
          <cell r="M660">
            <v>1</v>
          </cell>
          <cell r="N660">
            <v>1</v>
          </cell>
          <cell r="O660">
            <v>1</v>
          </cell>
          <cell r="P660">
            <v>1</v>
          </cell>
          <cell r="Q660">
            <v>1</v>
          </cell>
          <cell r="R660">
            <v>3</v>
          </cell>
          <cell r="S660" t="str">
            <v>none</v>
          </cell>
          <cell r="T660">
            <v>0</v>
          </cell>
          <cell r="U660" t="str">
            <v>NULL</v>
          </cell>
          <cell r="V660" t="str">
            <v>NULL</v>
          </cell>
          <cell r="W660" t="str">
            <v/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 t="str">
            <v>anytime</v>
          </cell>
          <cell r="AC660">
            <v>909</v>
          </cell>
          <cell r="AD660">
            <v>6</v>
          </cell>
          <cell r="AE660" t="str">
            <v>everyone</v>
          </cell>
        </row>
        <row r="661">
          <cell r="A661" t="str">
            <v>39001_4</v>
          </cell>
          <cell r="B661">
            <v>3</v>
          </cell>
          <cell r="C661">
            <v>39001</v>
          </cell>
          <cell r="D661" t="str">
            <v>雪の歌姫</v>
          </cell>
          <cell r="E661" t="str">
            <v>コラボクエスト</v>
          </cell>
          <cell r="F661">
            <v>4</v>
          </cell>
          <cell r="G661" t="str">
            <v>ja</v>
          </cell>
          <cell r="H661" t="str">
            <v>【超級】雪の歌姫</v>
          </cell>
          <cell r="I661" t="str">
            <v>超級</v>
          </cell>
          <cell r="J661">
            <v>526</v>
          </cell>
          <cell r="K661">
            <v>30</v>
          </cell>
          <cell r="L661">
            <v>3300</v>
          </cell>
          <cell r="M661">
            <v>1</v>
          </cell>
          <cell r="N661">
            <v>1</v>
          </cell>
          <cell r="O661">
            <v>1</v>
          </cell>
          <cell r="P661">
            <v>1</v>
          </cell>
          <cell r="Q661">
            <v>1</v>
          </cell>
          <cell r="R661">
            <v>3</v>
          </cell>
          <cell r="S661" t="str">
            <v>none</v>
          </cell>
          <cell r="T661">
            <v>0</v>
          </cell>
          <cell r="U661" t="str">
            <v>NULL</v>
          </cell>
          <cell r="V661" t="str">
            <v>NULL</v>
          </cell>
          <cell r="W661" t="str">
            <v/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 t="str">
            <v>anytime</v>
          </cell>
          <cell r="AC661">
            <v>909</v>
          </cell>
          <cell r="AD661">
            <v>6</v>
          </cell>
          <cell r="AE661" t="str">
            <v>everyone</v>
          </cell>
        </row>
        <row r="662">
          <cell r="A662" t="str">
            <v>39001_5</v>
          </cell>
          <cell r="B662">
            <v>3</v>
          </cell>
          <cell r="C662">
            <v>39001</v>
          </cell>
          <cell r="D662" t="str">
            <v>雪の歌姫</v>
          </cell>
          <cell r="E662" t="str">
            <v>コラボクエスト</v>
          </cell>
          <cell r="F662">
            <v>5</v>
          </cell>
          <cell r="G662" t="str">
            <v>ja</v>
          </cell>
          <cell r="H662" t="str">
            <v>【超絶級】雪の歌姫</v>
          </cell>
          <cell r="I662" t="str">
            <v>超絶級</v>
          </cell>
          <cell r="J662">
            <v>526</v>
          </cell>
          <cell r="K662">
            <v>35</v>
          </cell>
          <cell r="L662">
            <v>4200</v>
          </cell>
          <cell r="M662">
            <v>1</v>
          </cell>
          <cell r="N662">
            <v>1</v>
          </cell>
          <cell r="O662">
            <v>1</v>
          </cell>
          <cell r="P662">
            <v>1</v>
          </cell>
          <cell r="Q662">
            <v>1</v>
          </cell>
          <cell r="R662">
            <v>3</v>
          </cell>
          <cell r="S662" t="str">
            <v>polygon</v>
          </cell>
          <cell r="T662">
            <v>1</v>
          </cell>
          <cell r="U662" t="str">
            <v>NULL</v>
          </cell>
          <cell r="V662" t="str">
            <v>NULL</v>
          </cell>
          <cell r="W662" t="str">
            <v/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 t="str">
            <v>anytime</v>
          </cell>
          <cell r="AC662">
            <v>909</v>
          </cell>
          <cell r="AD662">
            <v>6</v>
          </cell>
          <cell r="AE662" t="str">
            <v>everyone</v>
          </cell>
        </row>
        <row r="663">
          <cell r="A663" t="str">
            <v>39002_1</v>
          </cell>
          <cell r="B663">
            <v>3</v>
          </cell>
          <cell r="C663">
            <v>39002</v>
          </cell>
          <cell r="D663" t="str">
            <v>黄巾賊の暴走を止めろ！</v>
          </cell>
          <cell r="E663" t="str">
            <v>コラボクエスト</v>
          </cell>
          <cell r="F663">
            <v>1</v>
          </cell>
          <cell r="G663" t="str">
            <v>ja</v>
          </cell>
          <cell r="H663" t="str">
            <v>【初級】黄巾賊の暴走を止めろ</v>
          </cell>
          <cell r="I663" t="str">
            <v>初級</v>
          </cell>
          <cell r="J663">
            <v>694</v>
          </cell>
          <cell r="K663">
            <v>8</v>
          </cell>
          <cell r="L663">
            <v>384</v>
          </cell>
          <cell r="M663">
            <v>1</v>
          </cell>
          <cell r="N663">
            <v>1</v>
          </cell>
          <cell r="O663">
            <v>1</v>
          </cell>
          <cell r="P663">
            <v>1</v>
          </cell>
          <cell r="Q663">
            <v>1</v>
          </cell>
          <cell r="R663">
            <v>3</v>
          </cell>
          <cell r="S663" t="str">
            <v>none</v>
          </cell>
          <cell r="T663">
            <v>0</v>
          </cell>
          <cell r="U663" t="str">
            <v>NULL</v>
          </cell>
          <cell r="V663" t="str">
            <v>NULL</v>
          </cell>
          <cell r="W663" t="str">
            <v/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 t="str">
            <v>anytime</v>
          </cell>
          <cell r="AC663">
            <v>12</v>
          </cell>
          <cell r="AD663">
            <v>6</v>
          </cell>
          <cell r="AE663" t="str">
            <v>everyone</v>
          </cell>
        </row>
        <row r="664">
          <cell r="A664" t="str">
            <v>39002_2</v>
          </cell>
          <cell r="B664">
            <v>3</v>
          </cell>
          <cell r="C664">
            <v>39002</v>
          </cell>
          <cell r="D664" t="str">
            <v>黄巾賊の暴走を止めろ！</v>
          </cell>
          <cell r="E664" t="str">
            <v>コラボクエスト</v>
          </cell>
          <cell r="F664">
            <v>2</v>
          </cell>
          <cell r="G664" t="str">
            <v>ja</v>
          </cell>
          <cell r="H664" t="str">
            <v>【中級】黄巾賊の暴走を止めろ</v>
          </cell>
          <cell r="I664" t="str">
            <v>中級</v>
          </cell>
          <cell r="J664">
            <v>694</v>
          </cell>
          <cell r="K664">
            <v>15</v>
          </cell>
          <cell r="L664">
            <v>1200</v>
          </cell>
          <cell r="M664">
            <v>1</v>
          </cell>
          <cell r="N664">
            <v>1</v>
          </cell>
          <cell r="O664">
            <v>1</v>
          </cell>
          <cell r="P664">
            <v>1</v>
          </cell>
          <cell r="Q664">
            <v>1</v>
          </cell>
          <cell r="R664">
            <v>3</v>
          </cell>
          <cell r="S664" t="str">
            <v>none</v>
          </cell>
          <cell r="T664">
            <v>0</v>
          </cell>
          <cell r="U664" t="str">
            <v>NULL</v>
          </cell>
          <cell r="V664" t="str">
            <v>NULL</v>
          </cell>
          <cell r="W664" t="str">
            <v/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 t="str">
            <v>anytime</v>
          </cell>
          <cell r="AC664">
            <v>12</v>
          </cell>
          <cell r="AD664">
            <v>6</v>
          </cell>
          <cell r="AE664" t="str">
            <v>everyone</v>
          </cell>
        </row>
        <row r="665">
          <cell r="A665" t="str">
            <v>39002_3</v>
          </cell>
          <cell r="B665">
            <v>3</v>
          </cell>
          <cell r="C665">
            <v>39002</v>
          </cell>
          <cell r="D665" t="str">
            <v>黄巾賊の暴走を止めろ！</v>
          </cell>
          <cell r="E665" t="str">
            <v>コラボクエスト</v>
          </cell>
          <cell r="F665">
            <v>3</v>
          </cell>
          <cell r="G665" t="str">
            <v>ja</v>
          </cell>
          <cell r="H665" t="str">
            <v>【上級】黄巾賊の暴走を止めろ</v>
          </cell>
          <cell r="I665" t="str">
            <v>上級</v>
          </cell>
          <cell r="J665">
            <v>694</v>
          </cell>
          <cell r="K665">
            <v>20</v>
          </cell>
          <cell r="L665">
            <v>2000</v>
          </cell>
          <cell r="M665">
            <v>1</v>
          </cell>
          <cell r="N665">
            <v>1</v>
          </cell>
          <cell r="O665">
            <v>1</v>
          </cell>
          <cell r="P665">
            <v>1</v>
          </cell>
          <cell r="Q665">
            <v>1</v>
          </cell>
          <cell r="R665">
            <v>3</v>
          </cell>
          <cell r="S665" t="str">
            <v>none</v>
          </cell>
          <cell r="T665">
            <v>0</v>
          </cell>
          <cell r="U665" t="str">
            <v>NULL</v>
          </cell>
          <cell r="V665" t="str">
            <v>NULL</v>
          </cell>
          <cell r="W665" t="str">
            <v/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 t="str">
            <v>anytime</v>
          </cell>
          <cell r="AC665">
            <v>12</v>
          </cell>
          <cell r="AD665">
            <v>6</v>
          </cell>
          <cell r="AE665" t="str">
            <v>everyone</v>
          </cell>
        </row>
        <row r="666">
          <cell r="A666" t="str">
            <v>39002_4</v>
          </cell>
          <cell r="B666">
            <v>3</v>
          </cell>
          <cell r="C666">
            <v>39002</v>
          </cell>
          <cell r="D666" t="str">
            <v>黄巾賊の暴走を止めろ！</v>
          </cell>
          <cell r="E666" t="str">
            <v>コラボクエスト</v>
          </cell>
          <cell r="F666">
            <v>4</v>
          </cell>
          <cell r="G666" t="str">
            <v>ja</v>
          </cell>
          <cell r="H666" t="str">
            <v>【超級】黄巾賊の暴走を止めろ</v>
          </cell>
          <cell r="I666" t="str">
            <v>超級</v>
          </cell>
          <cell r="J666">
            <v>694</v>
          </cell>
          <cell r="K666">
            <v>30</v>
          </cell>
          <cell r="L666">
            <v>3300</v>
          </cell>
          <cell r="M666">
            <v>1</v>
          </cell>
          <cell r="N666">
            <v>1</v>
          </cell>
          <cell r="O666">
            <v>1</v>
          </cell>
          <cell r="P666">
            <v>1</v>
          </cell>
          <cell r="Q666">
            <v>1</v>
          </cell>
          <cell r="R666">
            <v>3</v>
          </cell>
          <cell r="S666" t="str">
            <v>polygon</v>
          </cell>
          <cell r="T666">
            <v>1</v>
          </cell>
          <cell r="U666" t="str">
            <v>NULL</v>
          </cell>
          <cell r="V666" t="str">
            <v>NULL</v>
          </cell>
          <cell r="W666" t="str">
            <v/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 t="str">
            <v>anytime</v>
          </cell>
          <cell r="AC666">
            <v>12</v>
          </cell>
          <cell r="AD666">
            <v>6</v>
          </cell>
          <cell r="AE666" t="str">
            <v>everyone</v>
          </cell>
        </row>
        <row r="667">
          <cell r="A667" t="str">
            <v>39003_1</v>
          </cell>
          <cell r="B667">
            <v>3</v>
          </cell>
          <cell r="C667">
            <v>39003</v>
          </cell>
          <cell r="D667" t="str">
            <v>ブルースクウェアを追え！</v>
          </cell>
          <cell r="E667" t="str">
            <v>コラボクエスト</v>
          </cell>
          <cell r="F667">
            <v>1</v>
          </cell>
          <cell r="G667" t="str">
            <v>ja</v>
          </cell>
          <cell r="H667" t="str">
            <v>【初級】ブルースクウェアを追え！</v>
          </cell>
          <cell r="I667" t="str">
            <v>初級</v>
          </cell>
          <cell r="J667">
            <v>691</v>
          </cell>
          <cell r="K667">
            <v>8</v>
          </cell>
          <cell r="L667">
            <v>384</v>
          </cell>
          <cell r="M667">
            <v>1</v>
          </cell>
          <cell r="N667">
            <v>1</v>
          </cell>
          <cell r="O667">
            <v>1</v>
          </cell>
          <cell r="P667">
            <v>1</v>
          </cell>
          <cell r="Q667">
            <v>1</v>
          </cell>
          <cell r="R667">
            <v>3</v>
          </cell>
          <cell r="S667" t="str">
            <v>none</v>
          </cell>
          <cell r="T667">
            <v>0</v>
          </cell>
          <cell r="U667" t="str">
            <v>NULL</v>
          </cell>
          <cell r="V667" t="str">
            <v>NULL</v>
          </cell>
          <cell r="W667" t="str">
            <v/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 t="str">
            <v>anytime</v>
          </cell>
          <cell r="AC667">
            <v>14</v>
          </cell>
          <cell r="AD667">
            <v>6</v>
          </cell>
          <cell r="AE667" t="str">
            <v>everyone</v>
          </cell>
        </row>
        <row r="668">
          <cell r="A668" t="str">
            <v>39003_2</v>
          </cell>
          <cell r="B668">
            <v>3</v>
          </cell>
          <cell r="C668">
            <v>39003</v>
          </cell>
          <cell r="D668" t="str">
            <v>ブルースクウェアを追え！</v>
          </cell>
          <cell r="E668" t="str">
            <v>コラボクエスト</v>
          </cell>
          <cell r="F668">
            <v>2</v>
          </cell>
          <cell r="G668" t="str">
            <v>ja</v>
          </cell>
          <cell r="H668" t="str">
            <v>【中級】ブルースクウェアを追え！</v>
          </cell>
          <cell r="I668" t="str">
            <v>中級</v>
          </cell>
          <cell r="J668">
            <v>691</v>
          </cell>
          <cell r="K668">
            <v>15</v>
          </cell>
          <cell r="L668">
            <v>1200</v>
          </cell>
          <cell r="M668">
            <v>1</v>
          </cell>
          <cell r="N668">
            <v>1</v>
          </cell>
          <cell r="O668">
            <v>1</v>
          </cell>
          <cell r="P668">
            <v>1</v>
          </cell>
          <cell r="Q668">
            <v>1</v>
          </cell>
          <cell r="R668">
            <v>3</v>
          </cell>
          <cell r="S668" t="str">
            <v>none</v>
          </cell>
          <cell r="T668">
            <v>0</v>
          </cell>
          <cell r="U668" t="str">
            <v>NULL</v>
          </cell>
          <cell r="V668" t="str">
            <v>NULL</v>
          </cell>
          <cell r="W668" t="str">
            <v/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 t="str">
            <v>anytime</v>
          </cell>
          <cell r="AC668">
            <v>14</v>
          </cell>
          <cell r="AD668">
            <v>6</v>
          </cell>
          <cell r="AE668" t="str">
            <v>everyone</v>
          </cell>
        </row>
        <row r="669">
          <cell r="A669" t="str">
            <v>39003_3</v>
          </cell>
          <cell r="B669">
            <v>3</v>
          </cell>
          <cell r="C669">
            <v>39003</v>
          </cell>
          <cell r="D669" t="str">
            <v>ブルースクウェアを追え！</v>
          </cell>
          <cell r="E669" t="str">
            <v>コラボクエスト</v>
          </cell>
          <cell r="F669">
            <v>3</v>
          </cell>
          <cell r="G669" t="str">
            <v>ja</v>
          </cell>
          <cell r="H669" t="str">
            <v>【上級】ブルースクウェアを追え！</v>
          </cell>
          <cell r="I669" t="str">
            <v>上級</v>
          </cell>
          <cell r="J669">
            <v>691</v>
          </cell>
          <cell r="K669">
            <v>20</v>
          </cell>
          <cell r="L669">
            <v>2000</v>
          </cell>
          <cell r="M669">
            <v>1</v>
          </cell>
          <cell r="N669">
            <v>1</v>
          </cell>
          <cell r="O669">
            <v>1</v>
          </cell>
          <cell r="P669">
            <v>1</v>
          </cell>
          <cell r="Q669">
            <v>1</v>
          </cell>
          <cell r="R669">
            <v>3</v>
          </cell>
          <cell r="S669" t="str">
            <v>none</v>
          </cell>
          <cell r="T669">
            <v>0</v>
          </cell>
          <cell r="U669" t="str">
            <v>NULL</v>
          </cell>
          <cell r="V669" t="str">
            <v>NULL</v>
          </cell>
          <cell r="W669" t="str">
            <v/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 t="str">
            <v>anytime</v>
          </cell>
          <cell r="AC669">
            <v>14</v>
          </cell>
          <cell r="AD669">
            <v>6</v>
          </cell>
          <cell r="AE669" t="str">
            <v>everyone</v>
          </cell>
        </row>
        <row r="670">
          <cell r="A670" t="str">
            <v>39003_4</v>
          </cell>
          <cell r="B670">
            <v>3</v>
          </cell>
          <cell r="C670">
            <v>39003</v>
          </cell>
          <cell r="D670" t="str">
            <v>ブルースクウェアを追え！</v>
          </cell>
          <cell r="E670" t="str">
            <v>コラボクエスト</v>
          </cell>
          <cell r="F670">
            <v>4</v>
          </cell>
          <cell r="G670" t="str">
            <v>ja</v>
          </cell>
          <cell r="H670" t="str">
            <v>【超級】ブルースクウェアを追え！</v>
          </cell>
          <cell r="I670" t="str">
            <v>超級</v>
          </cell>
          <cell r="J670">
            <v>691</v>
          </cell>
          <cell r="K670">
            <v>30</v>
          </cell>
          <cell r="L670">
            <v>3300</v>
          </cell>
          <cell r="M670">
            <v>1</v>
          </cell>
          <cell r="N670">
            <v>1</v>
          </cell>
          <cell r="O670">
            <v>1</v>
          </cell>
          <cell r="P670">
            <v>1</v>
          </cell>
          <cell r="Q670">
            <v>1</v>
          </cell>
          <cell r="R670">
            <v>3</v>
          </cell>
          <cell r="S670" t="str">
            <v>polygon</v>
          </cell>
          <cell r="T670">
            <v>1</v>
          </cell>
          <cell r="U670" t="str">
            <v>NULL</v>
          </cell>
          <cell r="V670" t="str">
            <v>NULL</v>
          </cell>
          <cell r="W670" t="str">
            <v/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 t="str">
            <v>anytime</v>
          </cell>
          <cell r="AC670">
            <v>14</v>
          </cell>
          <cell r="AD670">
            <v>6</v>
          </cell>
          <cell r="AE670" t="str">
            <v>everyone</v>
          </cell>
        </row>
        <row r="671">
          <cell r="A671" t="str">
            <v>39004_1</v>
          </cell>
          <cell r="B671">
            <v>3</v>
          </cell>
          <cell r="C671">
            <v>39004</v>
          </cell>
          <cell r="D671" t="str">
            <v xml:space="preserve">ニムダのおきにいり♪ </v>
          </cell>
          <cell r="E671" t="str">
            <v>コラボクエスト</v>
          </cell>
          <cell r="F671">
            <v>1</v>
          </cell>
          <cell r="G671" t="str">
            <v>ja</v>
          </cell>
          <cell r="H671" t="str">
            <v xml:space="preserve">【初級】ニムダのおきにいり♪ </v>
          </cell>
          <cell r="I671" t="str">
            <v>初級</v>
          </cell>
          <cell r="J671">
            <v>902</v>
          </cell>
          <cell r="K671">
            <v>8</v>
          </cell>
          <cell r="L671">
            <v>384</v>
          </cell>
          <cell r="M671">
            <v>1</v>
          </cell>
          <cell r="N671">
            <v>1</v>
          </cell>
          <cell r="O671">
            <v>1</v>
          </cell>
          <cell r="P671">
            <v>1</v>
          </cell>
          <cell r="Q671">
            <v>1</v>
          </cell>
          <cell r="R671">
            <v>3</v>
          </cell>
          <cell r="S671" t="str">
            <v>none</v>
          </cell>
          <cell r="T671">
            <v>0</v>
          </cell>
          <cell r="U671" t="str">
            <v>NULL</v>
          </cell>
          <cell r="V671" t="str">
            <v>NULL</v>
          </cell>
          <cell r="W671" t="str">
            <v/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 t="str">
            <v>anytime</v>
          </cell>
          <cell r="AC671">
            <v>933</v>
          </cell>
          <cell r="AD671">
            <v>6</v>
          </cell>
          <cell r="AE671" t="str">
            <v>everyone</v>
          </cell>
        </row>
        <row r="672">
          <cell r="A672" t="str">
            <v>39004_2</v>
          </cell>
          <cell r="B672">
            <v>3</v>
          </cell>
          <cell r="C672">
            <v>39004</v>
          </cell>
          <cell r="D672" t="str">
            <v xml:space="preserve">ニムダのおきにいり♪ </v>
          </cell>
          <cell r="E672" t="str">
            <v>コラボクエスト</v>
          </cell>
          <cell r="F672">
            <v>2</v>
          </cell>
          <cell r="G672" t="str">
            <v>ja</v>
          </cell>
          <cell r="H672" t="str">
            <v xml:space="preserve">【中級】ニムダのおきにいり♪ </v>
          </cell>
          <cell r="I672" t="str">
            <v>中級</v>
          </cell>
          <cell r="J672">
            <v>902</v>
          </cell>
          <cell r="K672">
            <v>15</v>
          </cell>
          <cell r="L672">
            <v>1200</v>
          </cell>
          <cell r="M672">
            <v>1</v>
          </cell>
          <cell r="N672">
            <v>1</v>
          </cell>
          <cell r="O672">
            <v>1</v>
          </cell>
          <cell r="P672">
            <v>1</v>
          </cell>
          <cell r="Q672">
            <v>1</v>
          </cell>
          <cell r="R672">
            <v>3</v>
          </cell>
          <cell r="S672" t="str">
            <v>none</v>
          </cell>
          <cell r="T672">
            <v>0</v>
          </cell>
          <cell r="U672" t="str">
            <v>NULL</v>
          </cell>
          <cell r="V672" t="str">
            <v>NULL</v>
          </cell>
          <cell r="W672" t="str">
            <v/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 t="str">
            <v>anytime</v>
          </cell>
          <cell r="AC672">
            <v>933</v>
          </cell>
          <cell r="AD672">
            <v>6</v>
          </cell>
          <cell r="AE672" t="str">
            <v>everyone</v>
          </cell>
        </row>
        <row r="673">
          <cell r="A673" t="str">
            <v>39004_3</v>
          </cell>
          <cell r="B673">
            <v>3</v>
          </cell>
          <cell r="C673">
            <v>39004</v>
          </cell>
          <cell r="D673" t="str">
            <v xml:space="preserve">ニムダのおきにいり♪ </v>
          </cell>
          <cell r="E673" t="str">
            <v>コラボクエスト</v>
          </cell>
          <cell r="F673">
            <v>3</v>
          </cell>
          <cell r="G673" t="str">
            <v>ja</v>
          </cell>
          <cell r="H673" t="str">
            <v xml:space="preserve">【上級】ニムダのおきにいり♪ </v>
          </cell>
          <cell r="I673" t="str">
            <v>上級</v>
          </cell>
          <cell r="J673">
            <v>902</v>
          </cell>
          <cell r="K673">
            <v>20</v>
          </cell>
          <cell r="L673">
            <v>2000</v>
          </cell>
          <cell r="M673">
            <v>1</v>
          </cell>
          <cell r="N673">
            <v>1</v>
          </cell>
          <cell r="O673">
            <v>1</v>
          </cell>
          <cell r="P673">
            <v>1</v>
          </cell>
          <cell r="Q673">
            <v>1</v>
          </cell>
          <cell r="R673">
            <v>3</v>
          </cell>
          <cell r="S673" t="str">
            <v>none</v>
          </cell>
          <cell r="T673">
            <v>0</v>
          </cell>
          <cell r="U673" t="str">
            <v>NULL</v>
          </cell>
          <cell r="V673" t="str">
            <v>NULL</v>
          </cell>
          <cell r="W673" t="str">
            <v/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 t="str">
            <v>anytime</v>
          </cell>
          <cell r="AC673">
            <v>933</v>
          </cell>
          <cell r="AD673">
            <v>6</v>
          </cell>
          <cell r="AE673" t="str">
            <v>everyone</v>
          </cell>
        </row>
        <row r="674">
          <cell r="A674" t="str">
            <v>39004_4</v>
          </cell>
          <cell r="B674">
            <v>3</v>
          </cell>
          <cell r="C674">
            <v>39004</v>
          </cell>
          <cell r="D674" t="str">
            <v xml:space="preserve">ニムダのおきにいり♪ </v>
          </cell>
          <cell r="E674" t="str">
            <v>コラボクエスト</v>
          </cell>
          <cell r="F674">
            <v>4</v>
          </cell>
          <cell r="G674" t="str">
            <v>ja</v>
          </cell>
          <cell r="H674" t="str">
            <v xml:space="preserve">【超級】ニムダのおきにいり♪ </v>
          </cell>
          <cell r="I674" t="str">
            <v>超級</v>
          </cell>
          <cell r="J674">
            <v>902</v>
          </cell>
          <cell r="K674">
            <v>30</v>
          </cell>
          <cell r="L674">
            <v>3300</v>
          </cell>
          <cell r="M674">
            <v>1</v>
          </cell>
          <cell r="N674">
            <v>1</v>
          </cell>
          <cell r="O674">
            <v>1</v>
          </cell>
          <cell r="P674">
            <v>1</v>
          </cell>
          <cell r="Q674">
            <v>1</v>
          </cell>
          <cell r="R674">
            <v>3</v>
          </cell>
          <cell r="S674" t="str">
            <v>polygon</v>
          </cell>
          <cell r="T674">
            <v>1</v>
          </cell>
          <cell r="U674" t="str">
            <v>NULL</v>
          </cell>
          <cell r="V674" t="str">
            <v>NULL</v>
          </cell>
          <cell r="W674" t="str">
            <v/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 t="str">
            <v>anytime</v>
          </cell>
          <cell r="AC674">
            <v>933</v>
          </cell>
          <cell r="AD674">
            <v>6</v>
          </cell>
          <cell r="AE674" t="str">
            <v>everyone</v>
          </cell>
        </row>
        <row r="675">
          <cell r="A675" t="str">
            <v>39005_1</v>
          </cell>
          <cell r="B675">
            <v>1</v>
          </cell>
          <cell r="C675">
            <v>39005</v>
          </cell>
          <cell r="D675" t="str">
            <v xml:space="preserve">ポ </v>
          </cell>
          <cell r="E675" t="str">
            <v>コラボクエスト</v>
          </cell>
          <cell r="F675">
            <v>1</v>
          </cell>
          <cell r="G675" t="str">
            <v>ja</v>
          </cell>
          <cell r="H675" t="str">
            <v>【初級】ポ</v>
          </cell>
          <cell r="I675" t="str">
            <v>初級</v>
          </cell>
          <cell r="J675">
            <v>8029</v>
          </cell>
          <cell r="K675">
            <v>8</v>
          </cell>
          <cell r="L675">
            <v>384</v>
          </cell>
          <cell r="M675">
            <v>1</v>
          </cell>
          <cell r="N675">
            <v>1</v>
          </cell>
          <cell r="O675">
            <v>1</v>
          </cell>
          <cell r="P675">
            <v>1</v>
          </cell>
          <cell r="Q675">
            <v>1</v>
          </cell>
          <cell r="R675">
            <v>3</v>
          </cell>
          <cell r="S675" t="str">
            <v>none</v>
          </cell>
          <cell r="T675">
            <v>0</v>
          </cell>
          <cell r="U675" t="str">
            <v>NULL</v>
          </cell>
          <cell r="V675" t="str">
            <v>NULL</v>
          </cell>
          <cell r="W675" t="str">
            <v/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 t="str">
            <v>anytime</v>
          </cell>
          <cell r="AC675">
            <v>909</v>
          </cell>
          <cell r="AD675">
            <v>6</v>
          </cell>
          <cell r="AE675" t="str">
            <v>everyone</v>
          </cell>
        </row>
        <row r="676">
          <cell r="A676" t="str">
            <v>39005_2</v>
          </cell>
          <cell r="B676">
            <v>1</v>
          </cell>
          <cell r="C676">
            <v>39005</v>
          </cell>
          <cell r="D676" t="str">
            <v xml:space="preserve">ポ </v>
          </cell>
          <cell r="E676" t="str">
            <v>コラボクエスト</v>
          </cell>
          <cell r="F676">
            <v>2</v>
          </cell>
          <cell r="G676" t="str">
            <v>ja</v>
          </cell>
          <cell r="H676" t="str">
            <v>【中級】ポ</v>
          </cell>
          <cell r="I676" t="str">
            <v>中級</v>
          </cell>
          <cell r="J676">
            <v>8029</v>
          </cell>
          <cell r="K676">
            <v>15</v>
          </cell>
          <cell r="L676">
            <v>1200</v>
          </cell>
          <cell r="M676">
            <v>1</v>
          </cell>
          <cell r="N676">
            <v>1</v>
          </cell>
          <cell r="O676">
            <v>1</v>
          </cell>
          <cell r="P676">
            <v>1</v>
          </cell>
          <cell r="Q676">
            <v>1</v>
          </cell>
          <cell r="R676">
            <v>3</v>
          </cell>
          <cell r="S676" t="str">
            <v>none</v>
          </cell>
          <cell r="T676">
            <v>0</v>
          </cell>
          <cell r="U676" t="str">
            <v>NULL</v>
          </cell>
          <cell r="V676" t="str">
            <v>NULL</v>
          </cell>
          <cell r="W676" t="str">
            <v/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 t="str">
            <v>anytime</v>
          </cell>
          <cell r="AC676">
            <v>909</v>
          </cell>
          <cell r="AD676">
            <v>6</v>
          </cell>
          <cell r="AE676" t="str">
            <v>everyone</v>
          </cell>
        </row>
        <row r="677">
          <cell r="A677" t="str">
            <v>39005_3</v>
          </cell>
          <cell r="B677">
            <v>1</v>
          </cell>
          <cell r="C677">
            <v>39005</v>
          </cell>
          <cell r="D677" t="str">
            <v xml:space="preserve">ポ </v>
          </cell>
          <cell r="E677" t="str">
            <v>コラボクエスト</v>
          </cell>
          <cell r="F677">
            <v>3</v>
          </cell>
          <cell r="G677" t="str">
            <v>ja</v>
          </cell>
          <cell r="H677" t="str">
            <v>【上級】ポ</v>
          </cell>
          <cell r="I677" t="str">
            <v>上級</v>
          </cell>
          <cell r="J677">
            <v>8029</v>
          </cell>
          <cell r="K677">
            <v>20</v>
          </cell>
          <cell r="L677">
            <v>2000</v>
          </cell>
          <cell r="M677">
            <v>1</v>
          </cell>
          <cell r="N677">
            <v>1</v>
          </cell>
          <cell r="O677">
            <v>1</v>
          </cell>
          <cell r="P677">
            <v>1</v>
          </cell>
          <cell r="Q677">
            <v>1</v>
          </cell>
          <cell r="R677">
            <v>3</v>
          </cell>
          <cell r="S677" t="str">
            <v>none</v>
          </cell>
          <cell r="T677">
            <v>0</v>
          </cell>
          <cell r="U677" t="str">
            <v>NULL</v>
          </cell>
          <cell r="V677" t="str">
            <v>NULL</v>
          </cell>
          <cell r="W677" t="str">
            <v/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 t="str">
            <v>anytime</v>
          </cell>
          <cell r="AC677">
            <v>909</v>
          </cell>
          <cell r="AD677">
            <v>6</v>
          </cell>
          <cell r="AE677" t="str">
            <v>everyone</v>
          </cell>
        </row>
        <row r="678">
          <cell r="A678" t="str">
            <v>39005_4</v>
          </cell>
          <cell r="B678">
            <v>1</v>
          </cell>
          <cell r="C678">
            <v>39005</v>
          </cell>
          <cell r="D678" t="str">
            <v xml:space="preserve">ポ </v>
          </cell>
          <cell r="E678" t="str">
            <v>コラボクエスト</v>
          </cell>
          <cell r="F678">
            <v>4</v>
          </cell>
          <cell r="G678" t="str">
            <v>ja</v>
          </cell>
          <cell r="H678" t="str">
            <v>【超級】ポ</v>
          </cell>
          <cell r="I678" t="str">
            <v>超級</v>
          </cell>
          <cell r="J678">
            <v>8029</v>
          </cell>
          <cell r="K678">
            <v>30</v>
          </cell>
          <cell r="L678">
            <v>3300</v>
          </cell>
          <cell r="M678">
            <v>1</v>
          </cell>
          <cell r="N678">
            <v>1</v>
          </cell>
          <cell r="O678">
            <v>1</v>
          </cell>
          <cell r="P678">
            <v>1</v>
          </cell>
          <cell r="Q678">
            <v>1</v>
          </cell>
          <cell r="R678">
            <v>3</v>
          </cell>
          <cell r="S678" t="str">
            <v>none</v>
          </cell>
          <cell r="T678">
            <v>0</v>
          </cell>
          <cell r="U678" t="str">
            <v>NULL</v>
          </cell>
          <cell r="V678" t="str">
            <v>NULL</v>
          </cell>
          <cell r="W678" t="str">
            <v/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 t="str">
            <v>anytime</v>
          </cell>
          <cell r="AC678">
            <v>909</v>
          </cell>
          <cell r="AD678">
            <v>6</v>
          </cell>
          <cell r="AE678" t="str">
            <v>everyone</v>
          </cell>
        </row>
        <row r="679">
          <cell r="A679" t="str">
            <v>39005_5</v>
          </cell>
          <cell r="B679">
            <v>1</v>
          </cell>
          <cell r="C679">
            <v>39005</v>
          </cell>
          <cell r="D679" t="str">
            <v xml:space="preserve">ポ </v>
          </cell>
          <cell r="E679" t="str">
            <v>コラボクエスト</v>
          </cell>
          <cell r="F679">
            <v>5</v>
          </cell>
          <cell r="G679" t="str">
            <v>ja</v>
          </cell>
          <cell r="H679" t="str">
            <v>【超絶級】ポ</v>
          </cell>
          <cell r="I679" t="str">
            <v>超絶級</v>
          </cell>
          <cell r="J679">
            <v>8030</v>
          </cell>
          <cell r="K679">
            <v>35</v>
          </cell>
          <cell r="L679">
            <v>4200</v>
          </cell>
          <cell r="M679">
            <v>1</v>
          </cell>
          <cell r="N679">
            <v>1</v>
          </cell>
          <cell r="O679">
            <v>1</v>
          </cell>
          <cell r="P679">
            <v>1</v>
          </cell>
          <cell r="Q679">
            <v>1</v>
          </cell>
          <cell r="R679">
            <v>3</v>
          </cell>
          <cell r="S679" t="str">
            <v>polygon</v>
          </cell>
          <cell r="T679">
            <v>1</v>
          </cell>
          <cell r="U679" t="str">
            <v>NULL</v>
          </cell>
          <cell r="V679" t="str">
            <v>NULL</v>
          </cell>
          <cell r="W679" t="str">
            <v/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 t="str">
            <v>anytime</v>
          </cell>
          <cell r="AC679">
            <v>909</v>
          </cell>
          <cell r="AD679">
            <v>6</v>
          </cell>
          <cell r="AE679" t="str">
            <v>everyone</v>
          </cell>
        </row>
        <row r="680">
          <cell r="A680" t="str">
            <v>39006_1</v>
          </cell>
          <cell r="B680">
            <v>3</v>
          </cell>
          <cell r="C680">
            <v>39006</v>
          </cell>
          <cell r="D680" t="str">
            <v>シガンシナ区攻防戦</v>
          </cell>
          <cell r="E680" t="str">
            <v>コラボクエスト</v>
          </cell>
          <cell r="F680">
            <v>1</v>
          </cell>
          <cell r="G680" t="str">
            <v>ja</v>
          </cell>
          <cell r="H680" t="str">
            <v>【初級】シガンシナ区攻防戦</v>
          </cell>
          <cell r="I680" t="str">
            <v>初級</v>
          </cell>
          <cell r="J680">
            <v>0</v>
          </cell>
          <cell r="K680">
            <v>8</v>
          </cell>
          <cell r="L680">
            <v>384</v>
          </cell>
          <cell r="M680">
            <v>1</v>
          </cell>
          <cell r="N680">
            <v>1</v>
          </cell>
          <cell r="O680">
            <v>1</v>
          </cell>
          <cell r="P680">
            <v>1</v>
          </cell>
          <cell r="Q680">
            <v>1</v>
          </cell>
          <cell r="R680">
            <v>3</v>
          </cell>
          <cell r="S680" t="str">
            <v>none</v>
          </cell>
          <cell r="T680">
            <v>0</v>
          </cell>
          <cell r="U680" t="str">
            <v>NULL</v>
          </cell>
          <cell r="V680" t="str">
            <v>NULL</v>
          </cell>
          <cell r="W680" t="str">
            <v/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 t="str">
            <v>anytime</v>
          </cell>
          <cell r="AC680">
            <v>938</v>
          </cell>
          <cell r="AD680">
            <v>6</v>
          </cell>
          <cell r="AE680" t="str">
            <v>everyone</v>
          </cell>
        </row>
        <row r="681">
          <cell r="A681" t="str">
            <v>39006_2</v>
          </cell>
          <cell r="B681">
            <v>3</v>
          </cell>
          <cell r="C681">
            <v>39006</v>
          </cell>
          <cell r="D681" t="str">
            <v>シガンシナ区攻防戦</v>
          </cell>
          <cell r="E681" t="str">
            <v>コラボクエスト</v>
          </cell>
          <cell r="F681">
            <v>2</v>
          </cell>
          <cell r="G681" t="str">
            <v>ja</v>
          </cell>
          <cell r="H681" t="str">
            <v>【中級】シガンシナ区攻防戦</v>
          </cell>
          <cell r="I681" t="str">
            <v>中級</v>
          </cell>
          <cell r="J681">
            <v>0</v>
          </cell>
          <cell r="K681">
            <v>15</v>
          </cell>
          <cell r="L681">
            <v>1200</v>
          </cell>
          <cell r="M681">
            <v>1</v>
          </cell>
          <cell r="N681">
            <v>1</v>
          </cell>
          <cell r="O681">
            <v>1</v>
          </cell>
          <cell r="P681">
            <v>1</v>
          </cell>
          <cell r="Q681">
            <v>1</v>
          </cell>
          <cell r="R681">
            <v>3</v>
          </cell>
          <cell r="S681" t="str">
            <v>none</v>
          </cell>
          <cell r="T681">
            <v>0</v>
          </cell>
          <cell r="U681" t="str">
            <v>NULL</v>
          </cell>
          <cell r="V681" t="str">
            <v>NULL</v>
          </cell>
          <cell r="W681" t="str">
            <v/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 t="str">
            <v>anytime</v>
          </cell>
          <cell r="AC681">
            <v>938</v>
          </cell>
          <cell r="AD681">
            <v>6</v>
          </cell>
          <cell r="AE681" t="str">
            <v>everyone</v>
          </cell>
        </row>
        <row r="682">
          <cell r="A682" t="str">
            <v>39006_3</v>
          </cell>
          <cell r="B682">
            <v>3</v>
          </cell>
          <cell r="C682">
            <v>39006</v>
          </cell>
          <cell r="D682" t="str">
            <v>シガンシナ区攻防戦</v>
          </cell>
          <cell r="E682" t="str">
            <v>コラボクエスト</v>
          </cell>
          <cell r="F682">
            <v>3</v>
          </cell>
          <cell r="G682" t="str">
            <v>ja</v>
          </cell>
          <cell r="H682" t="str">
            <v>【上級】シガンシナ区攻防戦</v>
          </cell>
          <cell r="I682" t="str">
            <v>上級</v>
          </cell>
          <cell r="J682">
            <v>0</v>
          </cell>
          <cell r="K682">
            <v>20</v>
          </cell>
          <cell r="L682">
            <v>2000</v>
          </cell>
          <cell r="M682">
            <v>1</v>
          </cell>
          <cell r="N682">
            <v>1</v>
          </cell>
          <cell r="O682">
            <v>1</v>
          </cell>
          <cell r="P682">
            <v>1</v>
          </cell>
          <cell r="Q682">
            <v>1</v>
          </cell>
          <cell r="R682">
            <v>3</v>
          </cell>
          <cell r="S682" t="str">
            <v>none</v>
          </cell>
          <cell r="T682">
            <v>0</v>
          </cell>
          <cell r="U682" t="str">
            <v>NULL</v>
          </cell>
          <cell r="V682" t="str">
            <v>NULL</v>
          </cell>
          <cell r="W682" t="str">
            <v/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 t="str">
            <v>anytime</v>
          </cell>
          <cell r="AC682">
            <v>938</v>
          </cell>
          <cell r="AD682">
            <v>6</v>
          </cell>
          <cell r="AE682" t="str">
            <v>everyone</v>
          </cell>
        </row>
        <row r="683">
          <cell r="A683" t="str">
            <v>39006_4</v>
          </cell>
          <cell r="B683">
            <v>3</v>
          </cell>
          <cell r="C683">
            <v>39006</v>
          </cell>
          <cell r="D683" t="str">
            <v>シガンシナ区攻防戦</v>
          </cell>
          <cell r="E683" t="str">
            <v>コラボクエスト</v>
          </cell>
          <cell r="F683">
            <v>4</v>
          </cell>
          <cell r="G683" t="str">
            <v>ja</v>
          </cell>
          <cell r="H683" t="str">
            <v>【超級】シガンシナ区攻防戦</v>
          </cell>
          <cell r="I683" t="str">
            <v>超級</v>
          </cell>
          <cell r="J683">
            <v>0</v>
          </cell>
          <cell r="K683">
            <v>30</v>
          </cell>
          <cell r="L683">
            <v>3300</v>
          </cell>
          <cell r="M683">
            <v>1</v>
          </cell>
          <cell r="N683">
            <v>1</v>
          </cell>
          <cell r="O683">
            <v>1</v>
          </cell>
          <cell r="P683">
            <v>1</v>
          </cell>
          <cell r="Q683">
            <v>1</v>
          </cell>
          <cell r="R683">
            <v>3</v>
          </cell>
          <cell r="S683" t="str">
            <v>polygon</v>
          </cell>
          <cell r="T683">
            <v>1</v>
          </cell>
          <cell r="U683" t="str">
            <v>NULL</v>
          </cell>
          <cell r="V683" t="str">
            <v>NULL</v>
          </cell>
          <cell r="W683" t="str">
            <v/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 t="str">
            <v>anytime</v>
          </cell>
          <cell r="AC683">
            <v>938</v>
          </cell>
          <cell r="AD683">
            <v>6</v>
          </cell>
          <cell r="AE683" t="str">
            <v>everyone</v>
          </cell>
        </row>
        <row r="684">
          <cell r="A684" t="str">
            <v>39007_1</v>
          </cell>
          <cell r="B684">
            <v>1</v>
          </cell>
          <cell r="C684">
            <v>39007</v>
          </cell>
          <cell r="D684" t="str">
            <v>ニムダ（台）</v>
          </cell>
          <cell r="E684" t="str">
            <v>コラボクエスト</v>
          </cell>
          <cell r="F684">
            <v>1</v>
          </cell>
          <cell r="G684" t="str">
            <v>ja</v>
          </cell>
          <cell r="H684" t="str">
            <v>【初級】ニムダ（台）</v>
          </cell>
          <cell r="I684" t="str">
            <v>初級</v>
          </cell>
          <cell r="J684">
            <v>902</v>
          </cell>
          <cell r="K684">
            <v>8</v>
          </cell>
          <cell r="L684">
            <v>384</v>
          </cell>
          <cell r="M684">
            <v>1</v>
          </cell>
          <cell r="N684">
            <v>1</v>
          </cell>
          <cell r="O684">
            <v>1</v>
          </cell>
          <cell r="P684">
            <v>1</v>
          </cell>
          <cell r="Q684">
            <v>1</v>
          </cell>
          <cell r="R684">
            <v>3</v>
          </cell>
          <cell r="S684" t="str">
            <v>none</v>
          </cell>
          <cell r="T684">
            <v>0</v>
          </cell>
          <cell r="U684" t="str">
            <v>NULL</v>
          </cell>
          <cell r="V684" t="str">
            <v>NULL</v>
          </cell>
          <cell r="W684" t="str">
            <v/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 t="str">
            <v>anytime</v>
          </cell>
          <cell r="AC684">
            <v>933</v>
          </cell>
          <cell r="AD684">
            <v>6</v>
          </cell>
          <cell r="AE684" t="str">
            <v>everyone</v>
          </cell>
        </row>
        <row r="685">
          <cell r="A685" t="str">
            <v>39007_2</v>
          </cell>
          <cell r="B685">
            <v>1</v>
          </cell>
          <cell r="C685">
            <v>39007</v>
          </cell>
          <cell r="D685" t="str">
            <v>ニムダ（台）</v>
          </cell>
          <cell r="E685" t="str">
            <v>コラボクエスト</v>
          </cell>
          <cell r="F685">
            <v>2</v>
          </cell>
          <cell r="G685" t="str">
            <v>ja</v>
          </cell>
          <cell r="H685" t="str">
            <v>【中級】ニムダ（台）</v>
          </cell>
          <cell r="I685" t="str">
            <v>中級</v>
          </cell>
          <cell r="J685">
            <v>902</v>
          </cell>
          <cell r="K685">
            <v>15</v>
          </cell>
          <cell r="L685">
            <v>1200</v>
          </cell>
          <cell r="M685">
            <v>1</v>
          </cell>
          <cell r="N685">
            <v>1</v>
          </cell>
          <cell r="O685">
            <v>1</v>
          </cell>
          <cell r="P685">
            <v>1</v>
          </cell>
          <cell r="Q685">
            <v>1</v>
          </cell>
          <cell r="R685">
            <v>3</v>
          </cell>
          <cell r="S685" t="str">
            <v>none</v>
          </cell>
          <cell r="T685">
            <v>0</v>
          </cell>
          <cell r="U685" t="str">
            <v>NULL</v>
          </cell>
          <cell r="V685" t="str">
            <v>NULL</v>
          </cell>
          <cell r="W685" t="str">
            <v/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 t="str">
            <v>anytime</v>
          </cell>
          <cell r="AC685">
            <v>933</v>
          </cell>
          <cell r="AD685">
            <v>6</v>
          </cell>
          <cell r="AE685" t="str">
            <v>everyone</v>
          </cell>
        </row>
        <row r="686">
          <cell r="A686" t="str">
            <v>39007_3</v>
          </cell>
          <cell r="B686">
            <v>1</v>
          </cell>
          <cell r="C686">
            <v>39007</v>
          </cell>
          <cell r="D686" t="str">
            <v>ニムダ（台）</v>
          </cell>
          <cell r="E686" t="str">
            <v>コラボクエスト</v>
          </cell>
          <cell r="F686">
            <v>3</v>
          </cell>
          <cell r="G686" t="str">
            <v>ja</v>
          </cell>
          <cell r="H686" t="str">
            <v>【上級】ニムダ（台）</v>
          </cell>
          <cell r="I686" t="str">
            <v>上級</v>
          </cell>
          <cell r="J686">
            <v>902</v>
          </cell>
          <cell r="K686">
            <v>20</v>
          </cell>
          <cell r="L686">
            <v>2000</v>
          </cell>
          <cell r="M686">
            <v>1</v>
          </cell>
          <cell r="N686">
            <v>1</v>
          </cell>
          <cell r="O686">
            <v>1</v>
          </cell>
          <cell r="P686">
            <v>1</v>
          </cell>
          <cell r="Q686">
            <v>1</v>
          </cell>
          <cell r="R686">
            <v>3</v>
          </cell>
          <cell r="S686" t="str">
            <v>none</v>
          </cell>
          <cell r="T686">
            <v>0</v>
          </cell>
          <cell r="U686" t="str">
            <v>NULL</v>
          </cell>
          <cell r="V686" t="str">
            <v>NULL</v>
          </cell>
          <cell r="W686" t="str">
            <v/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 t="str">
            <v>anytime</v>
          </cell>
          <cell r="AC686">
            <v>933</v>
          </cell>
          <cell r="AD686">
            <v>6</v>
          </cell>
          <cell r="AE686" t="str">
            <v>everyone</v>
          </cell>
        </row>
        <row r="687">
          <cell r="A687" t="str">
            <v>39007_4</v>
          </cell>
          <cell r="B687">
            <v>1</v>
          </cell>
          <cell r="C687">
            <v>39007</v>
          </cell>
          <cell r="D687" t="str">
            <v>ニムダ（台）</v>
          </cell>
          <cell r="E687" t="str">
            <v>コラボクエスト</v>
          </cell>
          <cell r="F687">
            <v>4</v>
          </cell>
          <cell r="G687" t="str">
            <v>ja</v>
          </cell>
          <cell r="H687" t="str">
            <v>【超級】ニムダ（台）</v>
          </cell>
          <cell r="I687" t="str">
            <v>超級</v>
          </cell>
          <cell r="J687">
            <v>902</v>
          </cell>
          <cell r="K687">
            <v>30</v>
          </cell>
          <cell r="L687">
            <v>3300</v>
          </cell>
          <cell r="M687">
            <v>1</v>
          </cell>
          <cell r="N687">
            <v>1</v>
          </cell>
          <cell r="O687">
            <v>1</v>
          </cell>
          <cell r="P687">
            <v>1</v>
          </cell>
          <cell r="Q687">
            <v>1</v>
          </cell>
          <cell r="R687">
            <v>3</v>
          </cell>
          <cell r="S687" t="str">
            <v>polygon</v>
          </cell>
          <cell r="T687">
            <v>1</v>
          </cell>
          <cell r="U687" t="str">
            <v>NULL</v>
          </cell>
          <cell r="V687" t="str">
            <v>NULL</v>
          </cell>
          <cell r="W687" t="str">
            <v/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 t="str">
            <v>anytime</v>
          </cell>
          <cell r="AC687">
            <v>933</v>
          </cell>
          <cell r="AD687">
            <v>6</v>
          </cell>
          <cell r="AE687" t="str">
            <v>everyone</v>
          </cell>
        </row>
        <row r="688">
          <cell r="A688" t="str">
            <v>39008_1</v>
          </cell>
          <cell r="B688">
            <v>3</v>
          </cell>
          <cell r="C688">
            <v>39008</v>
          </cell>
          <cell r="D688" t="str">
            <v>雪の歌姫</v>
          </cell>
          <cell r="E688" t="str">
            <v>復刻コラボクエスト</v>
          </cell>
          <cell r="F688">
            <v>1</v>
          </cell>
          <cell r="G688" t="str">
            <v>ja</v>
          </cell>
          <cell r="H688" t="str">
            <v>【初級】雪の歌姫</v>
          </cell>
          <cell r="I688" t="str">
            <v>初級</v>
          </cell>
          <cell r="J688">
            <v>525</v>
          </cell>
          <cell r="K688">
            <v>5</v>
          </cell>
          <cell r="L688">
            <v>384</v>
          </cell>
          <cell r="M688">
            <v>1</v>
          </cell>
          <cell r="N688">
            <v>1</v>
          </cell>
          <cell r="O688">
            <v>1</v>
          </cell>
          <cell r="P688">
            <v>1</v>
          </cell>
          <cell r="Q688">
            <v>1</v>
          </cell>
          <cell r="R688">
            <v>3</v>
          </cell>
          <cell r="S688" t="str">
            <v>none</v>
          </cell>
          <cell r="T688">
            <v>0</v>
          </cell>
          <cell r="U688" t="str">
            <v>NULL</v>
          </cell>
          <cell r="V688" t="str">
            <v>NULL</v>
          </cell>
          <cell r="W688" t="str">
            <v/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 t="str">
            <v>anytime</v>
          </cell>
          <cell r="AC688">
            <v>910</v>
          </cell>
          <cell r="AD688">
            <v>6</v>
          </cell>
          <cell r="AE688" t="str">
            <v>everyone</v>
          </cell>
        </row>
        <row r="689">
          <cell r="A689" t="str">
            <v>39008_2</v>
          </cell>
          <cell r="B689">
            <v>3</v>
          </cell>
          <cell r="C689">
            <v>39008</v>
          </cell>
          <cell r="D689" t="str">
            <v>雪の歌姫</v>
          </cell>
          <cell r="E689" t="str">
            <v>復刻コラボクエスト</v>
          </cell>
          <cell r="F689">
            <v>2</v>
          </cell>
          <cell r="G689" t="str">
            <v>ja</v>
          </cell>
          <cell r="H689" t="str">
            <v>【中級】雪の歌姫</v>
          </cell>
          <cell r="I689" t="str">
            <v>中級</v>
          </cell>
          <cell r="J689">
            <v>525</v>
          </cell>
          <cell r="K689">
            <v>9</v>
          </cell>
          <cell r="L689">
            <v>1200</v>
          </cell>
          <cell r="M689">
            <v>1</v>
          </cell>
          <cell r="N689">
            <v>1</v>
          </cell>
          <cell r="O689">
            <v>1</v>
          </cell>
          <cell r="P689">
            <v>1</v>
          </cell>
          <cell r="Q689">
            <v>1</v>
          </cell>
          <cell r="R689">
            <v>3</v>
          </cell>
          <cell r="S689" t="str">
            <v>none</v>
          </cell>
          <cell r="T689">
            <v>0</v>
          </cell>
          <cell r="U689" t="str">
            <v>NULL</v>
          </cell>
          <cell r="V689" t="str">
            <v>NULL</v>
          </cell>
          <cell r="W689" t="str">
            <v/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 t="str">
            <v>anytime</v>
          </cell>
          <cell r="AC689">
            <v>910</v>
          </cell>
          <cell r="AD689">
            <v>6</v>
          </cell>
          <cell r="AE689" t="str">
            <v>everyone</v>
          </cell>
        </row>
        <row r="690">
          <cell r="A690" t="str">
            <v>39008_3</v>
          </cell>
          <cell r="B690">
            <v>3</v>
          </cell>
          <cell r="C690">
            <v>39008</v>
          </cell>
          <cell r="D690" t="str">
            <v>雪の歌姫</v>
          </cell>
          <cell r="E690" t="str">
            <v>復刻コラボクエスト</v>
          </cell>
          <cell r="F690">
            <v>3</v>
          </cell>
          <cell r="G690" t="str">
            <v>ja</v>
          </cell>
          <cell r="H690" t="str">
            <v>【上級】雪の歌姫</v>
          </cell>
          <cell r="I690" t="str">
            <v>上級</v>
          </cell>
          <cell r="J690">
            <v>525</v>
          </cell>
          <cell r="K690">
            <v>14</v>
          </cell>
          <cell r="L690">
            <v>2000</v>
          </cell>
          <cell r="M690">
            <v>1</v>
          </cell>
          <cell r="N690">
            <v>1</v>
          </cell>
          <cell r="O690">
            <v>1</v>
          </cell>
          <cell r="P690">
            <v>1</v>
          </cell>
          <cell r="Q690">
            <v>1</v>
          </cell>
          <cell r="R690">
            <v>3</v>
          </cell>
          <cell r="S690" t="str">
            <v>none</v>
          </cell>
          <cell r="T690">
            <v>0</v>
          </cell>
          <cell r="U690" t="str">
            <v>NULL</v>
          </cell>
          <cell r="V690" t="str">
            <v>NULL</v>
          </cell>
          <cell r="W690" t="str">
            <v/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 t="str">
            <v>anytime</v>
          </cell>
          <cell r="AC690">
            <v>910</v>
          </cell>
          <cell r="AD690">
            <v>6</v>
          </cell>
          <cell r="AE690" t="str">
            <v>everyone</v>
          </cell>
        </row>
        <row r="691">
          <cell r="A691" t="str">
            <v>39008_4</v>
          </cell>
          <cell r="B691">
            <v>3</v>
          </cell>
          <cell r="C691">
            <v>39008</v>
          </cell>
          <cell r="D691" t="str">
            <v>雪の歌姫</v>
          </cell>
          <cell r="E691" t="str">
            <v>復刻コラボクエスト</v>
          </cell>
          <cell r="F691">
            <v>4</v>
          </cell>
          <cell r="G691" t="str">
            <v>ja</v>
          </cell>
          <cell r="H691" t="str">
            <v>【超級】雪の歌姫</v>
          </cell>
          <cell r="I691" t="str">
            <v>超級</v>
          </cell>
          <cell r="J691">
            <v>526</v>
          </cell>
          <cell r="K691">
            <v>20</v>
          </cell>
          <cell r="L691">
            <v>3300</v>
          </cell>
          <cell r="M691">
            <v>1</v>
          </cell>
          <cell r="N691">
            <v>1</v>
          </cell>
          <cell r="O691">
            <v>1</v>
          </cell>
          <cell r="P691">
            <v>1</v>
          </cell>
          <cell r="Q691">
            <v>1</v>
          </cell>
          <cell r="R691">
            <v>3</v>
          </cell>
          <cell r="S691" t="str">
            <v>none</v>
          </cell>
          <cell r="T691">
            <v>0</v>
          </cell>
          <cell r="U691" t="str">
            <v>NULL</v>
          </cell>
          <cell r="V691" t="str">
            <v>NULL</v>
          </cell>
          <cell r="W691" t="str">
            <v/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 t="str">
            <v>anytime</v>
          </cell>
          <cell r="AC691">
            <v>910</v>
          </cell>
          <cell r="AD691">
            <v>6</v>
          </cell>
          <cell r="AE691" t="str">
            <v>everyone</v>
          </cell>
        </row>
        <row r="692">
          <cell r="A692" t="str">
            <v>39008_5</v>
          </cell>
          <cell r="B692">
            <v>3</v>
          </cell>
          <cell r="C692">
            <v>39008</v>
          </cell>
          <cell r="D692" t="str">
            <v>雪の歌姫</v>
          </cell>
          <cell r="E692" t="str">
            <v>復刻コラボクエスト</v>
          </cell>
          <cell r="F692">
            <v>5</v>
          </cell>
          <cell r="G692" t="str">
            <v>ja</v>
          </cell>
          <cell r="H692" t="str">
            <v>【超絶級】雪の歌姫</v>
          </cell>
          <cell r="I692" t="str">
            <v>超絶級</v>
          </cell>
          <cell r="J692">
            <v>526</v>
          </cell>
          <cell r="K692">
            <v>25</v>
          </cell>
          <cell r="L692">
            <v>4200</v>
          </cell>
          <cell r="M692">
            <v>1</v>
          </cell>
          <cell r="N692">
            <v>1</v>
          </cell>
          <cell r="O692">
            <v>1</v>
          </cell>
          <cell r="P692">
            <v>1</v>
          </cell>
          <cell r="Q692">
            <v>1</v>
          </cell>
          <cell r="R692">
            <v>3</v>
          </cell>
          <cell r="S692" t="str">
            <v>polygon</v>
          </cell>
          <cell r="T692">
            <v>1</v>
          </cell>
          <cell r="U692" t="str">
            <v>NULL</v>
          </cell>
          <cell r="V692" t="str">
            <v>NULL</v>
          </cell>
          <cell r="W692" t="str">
            <v/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  <cell r="AB692" t="str">
            <v>anytime</v>
          </cell>
          <cell r="AC692">
            <v>910</v>
          </cell>
          <cell r="AD692">
            <v>6</v>
          </cell>
          <cell r="AE692" t="str">
            <v>everyone</v>
          </cell>
        </row>
        <row r="693">
          <cell r="A693" t="str">
            <v>39009_1</v>
          </cell>
          <cell r="B693">
            <v>3</v>
          </cell>
          <cell r="C693">
            <v>39009</v>
          </cell>
          <cell r="D693" t="str">
            <v>星空の歌姫</v>
          </cell>
          <cell r="E693" t="str">
            <v>コラボクエスト</v>
          </cell>
          <cell r="F693">
            <v>1</v>
          </cell>
          <cell r="G693" t="str">
            <v>ja</v>
          </cell>
          <cell r="H693" t="str">
            <v>【初級】星空の歌姫</v>
          </cell>
          <cell r="I693" t="str">
            <v>初級</v>
          </cell>
          <cell r="J693">
            <v>1298</v>
          </cell>
          <cell r="K693">
            <v>5</v>
          </cell>
          <cell r="L693">
            <v>384</v>
          </cell>
          <cell r="M693">
            <v>1</v>
          </cell>
          <cell r="N693">
            <v>1</v>
          </cell>
          <cell r="O693">
            <v>1</v>
          </cell>
          <cell r="P693">
            <v>1</v>
          </cell>
          <cell r="Q693">
            <v>1</v>
          </cell>
          <cell r="R693">
            <v>3</v>
          </cell>
          <cell r="S693" t="str">
            <v>none</v>
          </cell>
          <cell r="T693">
            <v>0</v>
          </cell>
          <cell r="U693" t="str">
            <v>NULL</v>
          </cell>
          <cell r="V693" t="str">
            <v>NULL</v>
          </cell>
          <cell r="W693" t="str">
            <v/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 t="str">
            <v>anytime</v>
          </cell>
          <cell r="AC693">
            <v>910</v>
          </cell>
          <cell r="AD693">
            <v>6</v>
          </cell>
          <cell r="AE693" t="str">
            <v>everyone</v>
          </cell>
        </row>
        <row r="694">
          <cell r="A694" t="str">
            <v>39009_2</v>
          </cell>
          <cell r="B694">
            <v>3</v>
          </cell>
          <cell r="C694">
            <v>39009</v>
          </cell>
          <cell r="D694" t="str">
            <v>星空の歌姫</v>
          </cell>
          <cell r="E694" t="str">
            <v>コラボクエスト</v>
          </cell>
          <cell r="F694">
            <v>2</v>
          </cell>
          <cell r="G694" t="str">
            <v>ja</v>
          </cell>
          <cell r="H694" t="str">
            <v>【中級】星空の歌姫</v>
          </cell>
          <cell r="I694" t="str">
            <v>中級</v>
          </cell>
          <cell r="J694">
            <v>1298</v>
          </cell>
          <cell r="K694">
            <v>9</v>
          </cell>
          <cell r="L694">
            <v>1200</v>
          </cell>
          <cell r="M694">
            <v>1</v>
          </cell>
          <cell r="N694">
            <v>1</v>
          </cell>
          <cell r="O694">
            <v>1</v>
          </cell>
          <cell r="P694">
            <v>1</v>
          </cell>
          <cell r="Q694">
            <v>1</v>
          </cell>
          <cell r="R694">
            <v>3</v>
          </cell>
          <cell r="S694" t="str">
            <v>none</v>
          </cell>
          <cell r="T694">
            <v>0</v>
          </cell>
          <cell r="U694" t="str">
            <v>NULL</v>
          </cell>
          <cell r="V694" t="str">
            <v>NULL</v>
          </cell>
          <cell r="W694" t="str">
            <v/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  <cell r="AB694" t="str">
            <v>anytime</v>
          </cell>
          <cell r="AC694">
            <v>910</v>
          </cell>
          <cell r="AD694">
            <v>6</v>
          </cell>
          <cell r="AE694" t="str">
            <v>everyone</v>
          </cell>
        </row>
        <row r="695">
          <cell r="A695" t="str">
            <v>39009_3</v>
          </cell>
          <cell r="B695">
            <v>3</v>
          </cell>
          <cell r="C695">
            <v>39009</v>
          </cell>
          <cell r="D695" t="str">
            <v>星空の歌姫</v>
          </cell>
          <cell r="E695" t="str">
            <v>コラボクエスト</v>
          </cell>
          <cell r="F695">
            <v>3</v>
          </cell>
          <cell r="G695" t="str">
            <v>ja</v>
          </cell>
          <cell r="H695" t="str">
            <v>【上級】星空の歌姫</v>
          </cell>
          <cell r="I695" t="str">
            <v>上級</v>
          </cell>
          <cell r="J695">
            <v>1298</v>
          </cell>
          <cell r="K695">
            <v>14</v>
          </cell>
          <cell r="L695">
            <v>2000</v>
          </cell>
          <cell r="M695">
            <v>1</v>
          </cell>
          <cell r="N695">
            <v>1</v>
          </cell>
          <cell r="O695">
            <v>1</v>
          </cell>
          <cell r="P695">
            <v>1</v>
          </cell>
          <cell r="Q695">
            <v>1</v>
          </cell>
          <cell r="R695">
            <v>3</v>
          </cell>
          <cell r="S695" t="str">
            <v>none</v>
          </cell>
          <cell r="T695">
            <v>0</v>
          </cell>
          <cell r="U695" t="str">
            <v>NULL</v>
          </cell>
          <cell r="V695" t="str">
            <v>NULL</v>
          </cell>
          <cell r="W695" t="str">
            <v/>
          </cell>
          <cell r="X695">
            <v>0</v>
          </cell>
          <cell r="Y695">
            <v>0</v>
          </cell>
          <cell r="Z695">
            <v>0</v>
          </cell>
          <cell r="AA695">
            <v>0</v>
          </cell>
          <cell r="AB695" t="str">
            <v>anytime</v>
          </cell>
          <cell r="AC695">
            <v>910</v>
          </cell>
          <cell r="AD695">
            <v>6</v>
          </cell>
          <cell r="AE695" t="str">
            <v>everyone</v>
          </cell>
        </row>
        <row r="696">
          <cell r="A696" t="str">
            <v>39009_4</v>
          </cell>
          <cell r="B696">
            <v>3</v>
          </cell>
          <cell r="C696">
            <v>39009</v>
          </cell>
          <cell r="D696" t="str">
            <v>星空の歌姫</v>
          </cell>
          <cell r="E696" t="str">
            <v>コラボクエスト</v>
          </cell>
          <cell r="F696">
            <v>4</v>
          </cell>
          <cell r="G696" t="str">
            <v>ja</v>
          </cell>
          <cell r="H696" t="str">
            <v>【超級】星空の歌姫</v>
          </cell>
          <cell r="I696" t="str">
            <v>超級</v>
          </cell>
          <cell r="J696">
            <v>1298</v>
          </cell>
          <cell r="K696">
            <v>20</v>
          </cell>
          <cell r="L696">
            <v>3300</v>
          </cell>
          <cell r="M696">
            <v>1</v>
          </cell>
          <cell r="N696">
            <v>1</v>
          </cell>
          <cell r="O696">
            <v>1</v>
          </cell>
          <cell r="P696">
            <v>1</v>
          </cell>
          <cell r="Q696">
            <v>1</v>
          </cell>
          <cell r="R696">
            <v>3</v>
          </cell>
          <cell r="S696" t="str">
            <v>none</v>
          </cell>
          <cell r="T696">
            <v>0</v>
          </cell>
          <cell r="U696" t="str">
            <v>NULL</v>
          </cell>
          <cell r="V696" t="str">
            <v>NULL</v>
          </cell>
          <cell r="W696" t="str">
            <v/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  <cell r="AB696" t="str">
            <v>anytime</v>
          </cell>
          <cell r="AC696">
            <v>910</v>
          </cell>
          <cell r="AD696">
            <v>6</v>
          </cell>
          <cell r="AE696" t="str">
            <v>everyone</v>
          </cell>
        </row>
        <row r="697">
          <cell r="A697" t="str">
            <v>39009_5</v>
          </cell>
          <cell r="B697">
            <v>3</v>
          </cell>
          <cell r="C697">
            <v>39009</v>
          </cell>
          <cell r="D697" t="str">
            <v>星空の歌姫</v>
          </cell>
          <cell r="E697" t="str">
            <v>コラボクエスト</v>
          </cell>
          <cell r="F697">
            <v>5</v>
          </cell>
          <cell r="G697" t="str">
            <v>ja</v>
          </cell>
          <cell r="H697" t="str">
            <v>【超絶級】星空の歌姫</v>
          </cell>
          <cell r="I697" t="str">
            <v>超絶級</v>
          </cell>
          <cell r="J697">
            <v>1298</v>
          </cell>
          <cell r="K697">
            <v>25</v>
          </cell>
          <cell r="L697">
            <v>4200</v>
          </cell>
          <cell r="M697">
            <v>1</v>
          </cell>
          <cell r="N697">
            <v>1</v>
          </cell>
          <cell r="O697">
            <v>1</v>
          </cell>
          <cell r="P697">
            <v>1</v>
          </cell>
          <cell r="Q697">
            <v>1</v>
          </cell>
          <cell r="R697">
            <v>3</v>
          </cell>
          <cell r="S697" t="str">
            <v>polygon</v>
          </cell>
          <cell r="T697">
            <v>1</v>
          </cell>
          <cell r="U697" t="str">
            <v>NULL</v>
          </cell>
          <cell r="V697" t="str">
            <v>NULL</v>
          </cell>
          <cell r="W697" t="str">
            <v/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 t="str">
            <v>anytime</v>
          </cell>
          <cell r="AC697">
            <v>910</v>
          </cell>
          <cell r="AD697">
            <v>6</v>
          </cell>
          <cell r="AE697" t="str">
            <v>everyone</v>
          </cell>
        </row>
        <row r="698">
          <cell r="A698" t="str">
            <v>39010_1</v>
          </cell>
          <cell r="B698">
            <v>3</v>
          </cell>
          <cell r="C698">
            <v>39010</v>
          </cell>
          <cell r="D698" t="str">
            <v>黄巾賊の暴走を止めろ！</v>
          </cell>
          <cell r="E698" t="str">
            <v>コラボクエスト（復刻）</v>
          </cell>
          <cell r="F698">
            <v>1</v>
          </cell>
          <cell r="G698" t="str">
            <v>ja</v>
          </cell>
          <cell r="H698" t="str">
            <v>【初級】黄巾賊の暴走を止めろ！</v>
          </cell>
          <cell r="I698" t="str">
            <v>初級</v>
          </cell>
          <cell r="J698">
            <v>694</v>
          </cell>
          <cell r="K698">
            <v>8</v>
          </cell>
          <cell r="L698">
            <v>384</v>
          </cell>
          <cell r="M698">
            <v>1</v>
          </cell>
          <cell r="N698">
            <v>1</v>
          </cell>
          <cell r="O698">
            <v>1</v>
          </cell>
          <cell r="P698">
            <v>1</v>
          </cell>
          <cell r="Q698">
            <v>1</v>
          </cell>
          <cell r="R698">
            <v>3</v>
          </cell>
          <cell r="S698" t="str">
            <v>none</v>
          </cell>
          <cell r="T698">
            <v>0</v>
          </cell>
          <cell r="U698" t="str">
            <v>NULL</v>
          </cell>
          <cell r="V698" t="str">
            <v>NULL</v>
          </cell>
          <cell r="W698" t="str">
            <v/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 t="str">
            <v>anytime</v>
          </cell>
          <cell r="AC698">
            <v>12</v>
          </cell>
          <cell r="AD698">
            <v>6</v>
          </cell>
          <cell r="AE698" t="str">
            <v>everyone</v>
          </cell>
        </row>
        <row r="699">
          <cell r="A699" t="str">
            <v>39010_2</v>
          </cell>
          <cell r="B699">
            <v>3</v>
          </cell>
          <cell r="C699">
            <v>39010</v>
          </cell>
          <cell r="D699" t="str">
            <v>黄巾賊の暴走を止めろ！</v>
          </cell>
          <cell r="E699" t="str">
            <v>コラボクエスト（復刻）</v>
          </cell>
          <cell r="F699">
            <v>2</v>
          </cell>
          <cell r="G699" t="str">
            <v>ja</v>
          </cell>
          <cell r="H699" t="str">
            <v>【中級】黄巾賊の暴走を止めろ！</v>
          </cell>
          <cell r="I699" t="str">
            <v>中級</v>
          </cell>
          <cell r="J699">
            <v>694</v>
          </cell>
          <cell r="K699">
            <v>15</v>
          </cell>
          <cell r="L699">
            <v>1200</v>
          </cell>
          <cell r="M699">
            <v>1</v>
          </cell>
          <cell r="N699">
            <v>1</v>
          </cell>
          <cell r="O699">
            <v>1</v>
          </cell>
          <cell r="P699">
            <v>1</v>
          </cell>
          <cell r="Q699">
            <v>1</v>
          </cell>
          <cell r="R699">
            <v>3</v>
          </cell>
          <cell r="S699" t="str">
            <v>none</v>
          </cell>
          <cell r="T699">
            <v>0</v>
          </cell>
          <cell r="U699" t="str">
            <v>NULL</v>
          </cell>
          <cell r="V699" t="str">
            <v>NULL</v>
          </cell>
          <cell r="W699" t="str">
            <v/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  <cell r="AB699" t="str">
            <v>anytime</v>
          </cell>
          <cell r="AC699">
            <v>12</v>
          </cell>
          <cell r="AD699">
            <v>6</v>
          </cell>
          <cell r="AE699" t="str">
            <v>everyone</v>
          </cell>
        </row>
        <row r="700">
          <cell r="A700" t="str">
            <v>39010_3</v>
          </cell>
          <cell r="B700">
            <v>3</v>
          </cell>
          <cell r="C700">
            <v>39010</v>
          </cell>
          <cell r="D700" t="str">
            <v>黄巾賊の暴走を止めろ！</v>
          </cell>
          <cell r="E700" t="str">
            <v>コラボクエスト（復刻）</v>
          </cell>
          <cell r="F700">
            <v>3</v>
          </cell>
          <cell r="G700" t="str">
            <v>ja</v>
          </cell>
          <cell r="H700" t="str">
            <v>【上級】黄巾賊の暴走を止めろ！</v>
          </cell>
          <cell r="I700" t="str">
            <v>上級</v>
          </cell>
          <cell r="J700">
            <v>694</v>
          </cell>
          <cell r="K700">
            <v>20</v>
          </cell>
          <cell r="L700">
            <v>2000</v>
          </cell>
          <cell r="M700">
            <v>1</v>
          </cell>
          <cell r="N700">
            <v>1</v>
          </cell>
          <cell r="O700">
            <v>1</v>
          </cell>
          <cell r="P700">
            <v>1</v>
          </cell>
          <cell r="Q700">
            <v>1</v>
          </cell>
          <cell r="R700">
            <v>3</v>
          </cell>
          <cell r="S700" t="str">
            <v>none</v>
          </cell>
          <cell r="T700">
            <v>0</v>
          </cell>
          <cell r="U700" t="str">
            <v>NULL</v>
          </cell>
          <cell r="V700" t="str">
            <v>NULL</v>
          </cell>
          <cell r="W700" t="str">
            <v/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 t="str">
            <v>anytime</v>
          </cell>
          <cell r="AC700">
            <v>12</v>
          </cell>
          <cell r="AD700">
            <v>6</v>
          </cell>
          <cell r="AE700" t="str">
            <v>everyone</v>
          </cell>
        </row>
        <row r="701">
          <cell r="A701" t="str">
            <v>39010_4</v>
          </cell>
          <cell r="B701">
            <v>3</v>
          </cell>
          <cell r="C701">
            <v>39010</v>
          </cell>
          <cell r="D701" t="str">
            <v>黄巾賊の暴走を止めろ！</v>
          </cell>
          <cell r="E701" t="str">
            <v>コラボクエスト（復刻）</v>
          </cell>
          <cell r="F701">
            <v>4</v>
          </cell>
          <cell r="G701" t="str">
            <v>ja</v>
          </cell>
          <cell r="H701" t="str">
            <v>【超級】黄巾賊の暴走を止めろ！</v>
          </cell>
          <cell r="I701" t="str">
            <v>超級</v>
          </cell>
          <cell r="J701">
            <v>694</v>
          </cell>
          <cell r="K701">
            <v>30</v>
          </cell>
          <cell r="L701">
            <v>3300</v>
          </cell>
          <cell r="M701">
            <v>1</v>
          </cell>
          <cell r="N701">
            <v>1</v>
          </cell>
          <cell r="O701">
            <v>1</v>
          </cell>
          <cell r="P701">
            <v>1</v>
          </cell>
          <cell r="Q701">
            <v>1</v>
          </cell>
          <cell r="R701">
            <v>3</v>
          </cell>
          <cell r="S701" t="str">
            <v>polygon</v>
          </cell>
          <cell r="T701">
            <v>1</v>
          </cell>
          <cell r="U701" t="str">
            <v>NULL</v>
          </cell>
          <cell r="V701" t="str">
            <v>NULL</v>
          </cell>
          <cell r="W701" t="str">
            <v/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 t="str">
            <v>anytime</v>
          </cell>
          <cell r="AC701">
            <v>12</v>
          </cell>
          <cell r="AD701">
            <v>6</v>
          </cell>
          <cell r="AE701" t="str">
            <v>everyone</v>
          </cell>
        </row>
        <row r="702">
          <cell r="A702" t="str">
            <v>39011_1</v>
          </cell>
          <cell r="B702">
            <v>3</v>
          </cell>
          <cell r="C702">
            <v>39011</v>
          </cell>
          <cell r="D702" t="str">
            <v>ブルースクウェアを追え！</v>
          </cell>
          <cell r="E702" t="str">
            <v>コラボクエスト（復刻）</v>
          </cell>
          <cell r="F702">
            <v>1</v>
          </cell>
          <cell r="G702" t="str">
            <v>ja</v>
          </cell>
          <cell r="H702" t="str">
            <v>【初級】ブルースクウェアを追え！</v>
          </cell>
          <cell r="I702" t="str">
            <v>初級</v>
          </cell>
          <cell r="J702">
            <v>691</v>
          </cell>
          <cell r="K702">
            <v>8</v>
          </cell>
          <cell r="L702">
            <v>384</v>
          </cell>
          <cell r="M702">
            <v>1</v>
          </cell>
          <cell r="N702">
            <v>1</v>
          </cell>
          <cell r="O702">
            <v>1</v>
          </cell>
          <cell r="P702">
            <v>1</v>
          </cell>
          <cell r="Q702">
            <v>1</v>
          </cell>
          <cell r="R702">
            <v>3</v>
          </cell>
          <cell r="S702" t="str">
            <v>none</v>
          </cell>
          <cell r="T702">
            <v>0</v>
          </cell>
          <cell r="U702" t="str">
            <v>NULL</v>
          </cell>
          <cell r="V702" t="str">
            <v>NULL</v>
          </cell>
          <cell r="W702" t="str">
            <v/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 t="str">
            <v>anytime</v>
          </cell>
          <cell r="AC702">
            <v>14</v>
          </cell>
          <cell r="AD702">
            <v>6</v>
          </cell>
          <cell r="AE702" t="str">
            <v>everyone</v>
          </cell>
        </row>
        <row r="703">
          <cell r="A703" t="str">
            <v>39011_2</v>
          </cell>
          <cell r="B703">
            <v>3</v>
          </cell>
          <cell r="C703">
            <v>39011</v>
          </cell>
          <cell r="D703" t="str">
            <v>ブルースクウェアを追え！</v>
          </cell>
          <cell r="E703" t="str">
            <v>コラボクエスト（復刻）</v>
          </cell>
          <cell r="F703">
            <v>2</v>
          </cell>
          <cell r="G703" t="str">
            <v>ja</v>
          </cell>
          <cell r="H703" t="str">
            <v>【中級】ブルースクウェアを追え！</v>
          </cell>
          <cell r="I703" t="str">
            <v>中級</v>
          </cell>
          <cell r="J703">
            <v>691</v>
          </cell>
          <cell r="K703">
            <v>15</v>
          </cell>
          <cell r="L703">
            <v>1200</v>
          </cell>
          <cell r="M703">
            <v>1</v>
          </cell>
          <cell r="N703">
            <v>1</v>
          </cell>
          <cell r="O703">
            <v>1</v>
          </cell>
          <cell r="P703">
            <v>1</v>
          </cell>
          <cell r="Q703">
            <v>1</v>
          </cell>
          <cell r="R703">
            <v>3</v>
          </cell>
          <cell r="S703" t="str">
            <v>none</v>
          </cell>
          <cell r="T703">
            <v>0</v>
          </cell>
          <cell r="U703" t="str">
            <v>NULL</v>
          </cell>
          <cell r="V703" t="str">
            <v>NULL</v>
          </cell>
          <cell r="W703" t="str">
            <v/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 t="str">
            <v>anytime</v>
          </cell>
          <cell r="AC703">
            <v>14</v>
          </cell>
          <cell r="AD703">
            <v>6</v>
          </cell>
          <cell r="AE703" t="str">
            <v>everyone</v>
          </cell>
        </row>
        <row r="704">
          <cell r="A704" t="str">
            <v>39011_3</v>
          </cell>
          <cell r="B704">
            <v>3</v>
          </cell>
          <cell r="C704">
            <v>39011</v>
          </cell>
          <cell r="D704" t="str">
            <v>ブルースクウェアを追え！</v>
          </cell>
          <cell r="E704" t="str">
            <v>コラボクエスト（復刻）</v>
          </cell>
          <cell r="F704">
            <v>3</v>
          </cell>
          <cell r="G704" t="str">
            <v>ja</v>
          </cell>
          <cell r="H704" t="str">
            <v>【上級】ブルースクウェアを追え！</v>
          </cell>
          <cell r="I704" t="str">
            <v>上級</v>
          </cell>
          <cell r="J704">
            <v>691</v>
          </cell>
          <cell r="K704">
            <v>20</v>
          </cell>
          <cell r="L704">
            <v>2000</v>
          </cell>
          <cell r="M704">
            <v>1</v>
          </cell>
          <cell r="N704">
            <v>1</v>
          </cell>
          <cell r="O704">
            <v>1</v>
          </cell>
          <cell r="P704">
            <v>1</v>
          </cell>
          <cell r="Q704">
            <v>1</v>
          </cell>
          <cell r="R704">
            <v>3</v>
          </cell>
          <cell r="S704" t="str">
            <v>none</v>
          </cell>
          <cell r="T704">
            <v>0</v>
          </cell>
          <cell r="U704" t="str">
            <v>NULL</v>
          </cell>
          <cell r="V704" t="str">
            <v>NULL</v>
          </cell>
          <cell r="W704" t="str">
            <v/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 t="str">
            <v>anytime</v>
          </cell>
          <cell r="AC704">
            <v>14</v>
          </cell>
          <cell r="AD704">
            <v>6</v>
          </cell>
          <cell r="AE704" t="str">
            <v>everyone</v>
          </cell>
        </row>
        <row r="705">
          <cell r="A705" t="str">
            <v>39011_4</v>
          </cell>
          <cell r="B705">
            <v>3</v>
          </cell>
          <cell r="C705">
            <v>39011</v>
          </cell>
          <cell r="D705" t="str">
            <v>ブルースクウェアを追え！</v>
          </cell>
          <cell r="E705" t="str">
            <v>コラボクエスト（復刻）</v>
          </cell>
          <cell r="F705">
            <v>4</v>
          </cell>
          <cell r="G705" t="str">
            <v>ja</v>
          </cell>
          <cell r="H705" t="str">
            <v>【超級】ブルースクウェアを追え！</v>
          </cell>
          <cell r="I705" t="str">
            <v>超級</v>
          </cell>
          <cell r="J705">
            <v>691</v>
          </cell>
          <cell r="K705">
            <v>30</v>
          </cell>
          <cell r="L705">
            <v>3300</v>
          </cell>
          <cell r="M705">
            <v>1</v>
          </cell>
          <cell r="N705">
            <v>1</v>
          </cell>
          <cell r="O705">
            <v>1</v>
          </cell>
          <cell r="P705">
            <v>1</v>
          </cell>
          <cell r="Q705">
            <v>1</v>
          </cell>
          <cell r="R705">
            <v>3</v>
          </cell>
          <cell r="S705" t="str">
            <v>polygon</v>
          </cell>
          <cell r="T705">
            <v>1</v>
          </cell>
          <cell r="U705" t="str">
            <v>NULL</v>
          </cell>
          <cell r="V705" t="str">
            <v>NULL</v>
          </cell>
          <cell r="W705" t="str">
            <v/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 t="str">
            <v>anytime</v>
          </cell>
          <cell r="AC705">
            <v>14</v>
          </cell>
          <cell r="AD705">
            <v>6</v>
          </cell>
          <cell r="AE705" t="str">
            <v>everyone</v>
          </cell>
        </row>
        <row r="706">
          <cell r="A706" t="str">
            <v>39012_1</v>
          </cell>
          <cell r="B706">
            <v>1</v>
          </cell>
          <cell r="C706">
            <v>39012</v>
          </cell>
          <cell r="D706" t="str">
            <v>C絶</v>
          </cell>
          <cell r="E706" t="str">
            <v>コラボクエスト</v>
          </cell>
          <cell r="F706">
            <v>1</v>
          </cell>
          <cell r="G706" t="str">
            <v>ja</v>
          </cell>
          <cell r="H706" t="str">
            <v>【初級】C</v>
          </cell>
          <cell r="I706" t="str">
            <v>初級</v>
          </cell>
          <cell r="J706">
            <v>1506</v>
          </cell>
          <cell r="K706">
            <v>8</v>
          </cell>
          <cell r="L706">
            <v>384</v>
          </cell>
          <cell r="M706">
            <v>1</v>
          </cell>
          <cell r="N706">
            <v>1</v>
          </cell>
          <cell r="O706">
            <v>1</v>
          </cell>
          <cell r="P706">
            <v>1</v>
          </cell>
          <cell r="Q706">
            <v>1</v>
          </cell>
          <cell r="R706">
            <v>3</v>
          </cell>
          <cell r="S706" t="str">
            <v>polygon</v>
          </cell>
          <cell r="T706">
            <v>1</v>
          </cell>
          <cell r="U706" t="str">
            <v>NULL</v>
          </cell>
          <cell r="V706" t="str">
            <v>NULL</v>
          </cell>
          <cell r="W706" t="str">
            <v/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 t="str">
            <v>anytime</v>
          </cell>
          <cell r="AC706">
            <v>14</v>
          </cell>
          <cell r="AD706">
            <v>6</v>
          </cell>
          <cell r="AE706" t="str">
            <v>everyone</v>
          </cell>
        </row>
        <row r="707">
          <cell r="A707" t="str">
            <v>39012_2</v>
          </cell>
          <cell r="B707">
            <v>1</v>
          </cell>
          <cell r="C707">
            <v>39012</v>
          </cell>
          <cell r="D707" t="str">
            <v>C絶</v>
          </cell>
          <cell r="E707" t="str">
            <v>コラボクエスト</v>
          </cell>
          <cell r="F707">
            <v>2</v>
          </cell>
          <cell r="G707" t="str">
            <v>ja</v>
          </cell>
          <cell r="H707" t="str">
            <v>【中級】C</v>
          </cell>
          <cell r="I707" t="str">
            <v>中級</v>
          </cell>
          <cell r="J707">
            <v>1507</v>
          </cell>
          <cell r="K707">
            <v>15</v>
          </cell>
          <cell r="L707">
            <v>1200</v>
          </cell>
          <cell r="M707">
            <v>1</v>
          </cell>
          <cell r="N707">
            <v>1</v>
          </cell>
          <cell r="O707">
            <v>1</v>
          </cell>
          <cell r="P707">
            <v>1</v>
          </cell>
          <cell r="Q707">
            <v>1</v>
          </cell>
          <cell r="R707">
            <v>3</v>
          </cell>
          <cell r="S707" t="str">
            <v>polygon</v>
          </cell>
          <cell r="T707">
            <v>1</v>
          </cell>
          <cell r="U707" t="str">
            <v>NULL</v>
          </cell>
          <cell r="V707" t="str">
            <v>NULL</v>
          </cell>
          <cell r="W707" t="str">
            <v/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 t="str">
            <v>anytime</v>
          </cell>
          <cell r="AC707">
            <v>14</v>
          </cell>
          <cell r="AD707">
            <v>6</v>
          </cell>
          <cell r="AE707" t="str">
            <v>everyone</v>
          </cell>
        </row>
        <row r="708">
          <cell r="A708" t="str">
            <v>39012_3</v>
          </cell>
          <cell r="B708">
            <v>1</v>
          </cell>
          <cell r="C708">
            <v>39012</v>
          </cell>
          <cell r="D708" t="str">
            <v>C絶</v>
          </cell>
          <cell r="E708" t="str">
            <v>コラボクエスト</v>
          </cell>
          <cell r="F708">
            <v>3</v>
          </cell>
          <cell r="G708" t="str">
            <v>ja</v>
          </cell>
          <cell r="H708" t="str">
            <v>【上級】C</v>
          </cell>
          <cell r="I708" t="str">
            <v>上級</v>
          </cell>
          <cell r="J708">
            <v>1508</v>
          </cell>
          <cell r="K708">
            <v>20</v>
          </cell>
          <cell r="L708">
            <v>2000</v>
          </cell>
          <cell r="M708">
            <v>1</v>
          </cell>
          <cell r="N708">
            <v>1</v>
          </cell>
          <cell r="O708">
            <v>1</v>
          </cell>
          <cell r="P708">
            <v>1</v>
          </cell>
          <cell r="Q708">
            <v>1</v>
          </cell>
          <cell r="R708">
            <v>3</v>
          </cell>
          <cell r="S708" t="str">
            <v>polygon</v>
          </cell>
          <cell r="T708">
            <v>1</v>
          </cell>
          <cell r="U708" t="str">
            <v>NULL</v>
          </cell>
          <cell r="V708" t="str">
            <v>NULL</v>
          </cell>
          <cell r="W708" t="str">
            <v/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 t="str">
            <v>anytime</v>
          </cell>
          <cell r="AC708">
            <v>14</v>
          </cell>
          <cell r="AD708">
            <v>6</v>
          </cell>
          <cell r="AE708" t="str">
            <v>everyone</v>
          </cell>
        </row>
        <row r="709">
          <cell r="A709" t="str">
            <v>39012_4</v>
          </cell>
          <cell r="B709">
            <v>1</v>
          </cell>
          <cell r="C709">
            <v>39012</v>
          </cell>
          <cell r="D709" t="str">
            <v>C絶</v>
          </cell>
          <cell r="E709" t="str">
            <v>コラボクエスト</v>
          </cell>
          <cell r="F709">
            <v>4</v>
          </cell>
          <cell r="G709" t="str">
            <v>ja</v>
          </cell>
          <cell r="H709" t="str">
            <v>【超級】C</v>
          </cell>
          <cell r="I709" t="str">
            <v>超級</v>
          </cell>
          <cell r="J709">
            <v>1509</v>
          </cell>
          <cell r="K709">
            <v>30</v>
          </cell>
          <cell r="L709">
            <v>3300</v>
          </cell>
          <cell r="M709">
            <v>1</v>
          </cell>
          <cell r="N709">
            <v>1</v>
          </cell>
          <cell r="O709">
            <v>1</v>
          </cell>
          <cell r="P709">
            <v>1</v>
          </cell>
          <cell r="Q709">
            <v>1</v>
          </cell>
          <cell r="R709">
            <v>3</v>
          </cell>
          <cell r="S709" t="str">
            <v>polygon</v>
          </cell>
          <cell r="T709">
            <v>1</v>
          </cell>
          <cell r="U709" t="str">
            <v>NULL</v>
          </cell>
          <cell r="V709" t="str">
            <v>NULL</v>
          </cell>
          <cell r="W709" t="str">
            <v/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 t="str">
            <v>anytime</v>
          </cell>
          <cell r="AC709">
            <v>14</v>
          </cell>
          <cell r="AD709">
            <v>6</v>
          </cell>
          <cell r="AE709" t="str">
            <v>everyone</v>
          </cell>
        </row>
        <row r="710">
          <cell r="A710" t="str">
            <v>39012_5</v>
          </cell>
          <cell r="B710">
            <v>1</v>
          </cell>
          <cell r="C710">
            <v>39012</v>
          </cell>
          <cell r="D710" t="str">
            <v>C絶</v>
          </cell>
          <cell r="E710" t="str">
            <v>コラボクエスト</v>
          </cell>
          <cell r="F710">
            <v>5</v>
          </cell>
          <cell r="G710" t="str">
            <v>ja</v>
          </cell>
          <cell r="H710" t="str">
            <v>【超絶級】C</v>
          </cell>
          <cell r="I710" t="str">
            <v>超絶級</v>
          </cell>
          <cell r="J710">
            <v>1510</v>
          </cell>
          <cell r="K710">
            <v>35</v>
          </cell>
          <cell r="L710">
            <v>4200</v>
          </cell>
          <cell r="M710">
            <v>1</v>
          </cell>
          <cell r="N710">
            <v>1</v>
          </cell>
          <cell r="O710">
            <v>1</v>
          </cell>
          <cell r="P710">
            <v>1</v>
          </cell>
          <cell r="Q710">
            <v>1</v>
          </cell>
          <cell r="R710">
            <v>3</v>
          </cell>
          <cell r="S710" t="str">
            <v>polygon</v>
          </cell>
          <cell r="T710">
            <v>1</v>
          </cell>
          <cell r="U710" t="str">
            <v>NULL</v>
          </cell>
          <cell r="V710" t="str">
            <v>NULL</v>
          </cell>
          <cell r="W710" t="str">
            <v/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 t="str">
            <v>anytime</v>
          </cell>
          <cell r="AC710">
            <v>14</v>
          </cell>
          <cell r="AD710">
            <v>6</v>
          </cell>
          <cell r="AE710" t="str">
            <v>everyone</v>
          </cell>
        </row>
        <row r="711">
          <cell r="A711" t="str">
            <v>40001_1</v>
          </cell>
          <cell r="B711">
            <v>1</v>
          </cell>
          <cell r="C711">
            <v>40001</v>
          </cell>
          <cell r="D711" t="str">
            <v>アマテラス襲来！</v>
          </cell>
          <cell r="E711" t="str">
            <v>降臨1</v>
          </cell>
          <cell r="F711">
            <v>1</v>
          </cell>
          <cell r="G711" t="str">
            <v>ja</v>
          </cell>
          <cell r="H711" t="str">
            <v xml:space="preserve">【ウィザード級】アマテラス襲来 </v>
          </cell>
          <cell r="I711" t="str">
            <v>地獄級</v>
          </cell>
          <cell r="J711">
            <v>278</v>
          </cell>
          <cell r="K711">
            <v>35</v>
          </cell>
          <cell r="L711">
            <v>4200</v>
          </cell>
          <cell r="M711">
            <v>1</v>
          </cell>
          <cell r="N711">
            <v>1</v>
          </cell>
          <cell r="O711">
            <v>1</v>
          </cell>
          <cell r="P711">
            <v>1</v>
          </cell>
          <cell r="Q711">
            <v>1</v>
          </cell>
          <cell r="R711">
            <v>3</v>
          </cell>
          <cell r="S711" t="str">
            <v>none</v>
          </cell>
          <cell r="T711">
            <v>0</v>
          </cell>
          <cell r="U711" t="str">
            <v>NULL</v>
          </cell>
          <cell r="V711" t="str">
            <v>NULL</v>
          </cell>
          <cell r="W711" t="str">
            <v/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 t="str">
            <v>anytime</v>
          </cell>
          <cell r="AC711">
            <v>901</v>
          </cell>
          <cell r="AD711">
            <v>6</v>
          </cell>
          <cell r="AE711" t="str">
            <v>everyone</v>
          </cell>
        </row>
        <row r="712">
          <cell r="A712" t="str">
            <v>40002_1</v>
          </cell>
          <cell r="B712">
            <v>1</v>
          </cell>
          <cell r="C712">
            <v>40002</v>
          </cell>
          <cell r="D712" t="str">
            <v>アザゼル襲来！</v>
          </cell>
          <cell r="E712" t="str">
            <v>降臨2</v>
          </cell>
          <cell r="F712">
            <v>1</v>
          </cell>
          <cell r="G712" t="str">
            <v>ja</v>
          </cell>
          <cell r="H712" t="str">
            <v xml:space="preserve">【超級】アザゼル襲来 </v>
          </cell>
          <cell r="I712" t="str">
            <v>超級</v>
          </cell>
          <cell r="J712">
            <v>296</v>
          </cell>
          <cell r="K712">
            <v>25</v>
          </cell>
          <cell r="L712">
            <v>2000</v>
          </cell>
          <cell r="M712">
            <v>1</v>
          </cell>
          <cell r="N712">
            <v>1</v>
          </cell>
          <cell r="O712">
            <v>1</v>
          </cell>
          <cell r="P712">
            <v>1</v>
          </cell>
          <cell r="Q712">
            <v>1</v>
          </cell>
          <cell r="R712">
            <v>3</v>
          </cell>
          <cell r="S712" t="str">
            <v>none</v>
          </cell>
          <cell r="T712">
            <v>0</v>
          </cell>
          <cell r="U712" t="str">
            <v>NULL</v>
          </cell>
          <cell r="V712" t="str">
            <v>NULL</v>
          </cell>
          <cell r="W712" t="str">
            <v/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 t="str">
            <v>anytime</v>
          </cell>
          <cell r="AC712">
            <v>902</v>
          </cell>
          <cell r="AD712">
            <v>6</v>
          </cell>
          <cell r="AE712" t="str">
            <v>everyone</v>
          </cell>
        </row>
        <row r="713">
          <cell r="A713" t="str">
            <v>40002_2</v>
          </cell>
          <cell r="B713">
            <v>1</v>
          </cell>
          <cell r="C713">
            <v>40002</v>
          </cell>
          <cell r="D713" t="str">
            <v>アザゼル襲来！</v>
          </cell>
          <cell r="E713" t="str">
            <v>降臨2</v>
          </cell>
          <cell r="F713">
            <v>2</v>
          </cell>
          <cell r="G713" t="str">
            <v>ja</v>
          </cell>
          <cell r="H713" t="str">
            <v>【超絶級】アザゼル襲来</v>
          </cell>
          <cell r="I713" t="str">
            <v>超絶級</v>
          </cell>
          <cell r="J713">
            <v>297</v>
          </cell>
          <cell r="K713">
            <v>30</v>
          </cell>
          <cell r="L713">
            <v>3300</v>
          </cell>
          <cell r="M713">
            <v>1</v>
          </cell>
          <cell r="N713">
            <v>1</v>
          </cell>
          <cell r="O713">
            <v>1</v>
          </cell>
          <cell r="P713">
            <v>1</v>
          </cell>
          <cell r="Q713">
            <v>1</v>
          </cell>
          <cell r="R713">
            <v>3</v>
          </cell>
          <cell r="S713" t="str">
            <v>none</v>
          </cell>
          <cell r="T713">
            <v>0</v>
          </cell>
          <cell r="U713" t="str">
            <v>NULL</v>
          </cell>
          <cell r="V713" t="str">
            <v>NULL</v>
          </cell>
          <cell r="W713" t="str">
            <v/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 t="str">
            <v>anytime</v>
          </cell>
          <cell r="AC713">
            <v>902</v>
          </cell>
          <cell r="AD713">
            <v>6</v>
          </cell>
          <cell r="AE713" t="str">
            <v>everyone</v>
          </cell>
        </row>
        <row r="714">
          <cell r="A714" t="str">
            <v>40002_3</v>
          </cell>
          <cell r="B714">
            <v>1</v>
          </cell>
          <cell r="C714">
            <v>40002</v>
          </cell>
          <cell r="D714" t="str">
            <v>アザゼル襲来！</v>
          </cell>
          <cell r="E714" t="str">
            <v>降臨2</v>
          </cell>
          <cell r="F714">
            <v>3</v>
          </cell>
          <cell r="G714" t="str">
            <v>ja</v>
          </cell>
          <cell r="H714" t="str">
            <v xml:space="preserve">【ウィザード級】アザゼル襲来 </v>
          </cell>
          <cell r="I714" t="str">
            <v>地獄級</v>
          </cell>
          <cell r="J714">
            <v>297</v>
          </cell>
          <cell r="K714">
            <v>35</v>
          </cell>
          <cell r="L714">
            <v>4200</v>
          </cell>
          <cell r="M714">
            <v>1</v>
          </cell>
          <cell r="N714">
            <v>1</v>
          </cell>
          <cell r="O714">
            <v>1</v>
          </cell>
          <cell r="P714">
            <v>1</v>
          </cell>
          <cell r="Q714">
            <v>1</v>
          </cell>
          <cell r="R714">
            <v>3</v>
          </cell>
          <cell r="S714" t="str">
            <v>character</v>
          </cell>
          <cell r="T714">
            <v>296</v>
          </cell>
          <cell r="U714" t="str">
            <v>NULL</v>
          </cell>
          <cell r="V714" t="str">
            <v>NULL</v>
          </cell>
          <cell r="W714" t="str">
            <v/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 t="str">
            <v>anytime</v>
          </cell>
          <cell r="AC714">
            <v>902</v>
          </cell>
          <cell r="AD714">
            <v>6</v>
          </cell>
          <cell r="AE714" t="str">
            <v>everyone</v>
          </cell>
        </row>
        <row r="715">
          <cell r="A715" t="str">
            <v>40003_1</v>
          </cell>
          <cell r="B715">
            <v>1</v>
          </cell>
          <cell r="C715">
            <v>40003</v>
          </cell>
          <cell r="D715" t="str">
            <v>ジャンヌ襲来！</v>
          </cell>
          <cell r="E715" t="str">
            <v>降臨3</v>
          </cell>
          <cell r="F715">
            <v>1</v>
          </cell>
          <cell r="G715" t="str">
            <v>ja</v>
          </cell>
          <cell r="H715" t="str">
            <v xml:space="preserve">【ウィザード級】ジャンヌ襲来 </v>
          </cell>
          <cell r="I715" t="str">
            <v>地獄級</v>
          </cell>
          <cell r="J715">
            <v>315</v>
          </cell>
          <cell r="K715">
            <v>35</v>
          </cell>
          <cell r="L715">
            <v>4200</v>
          </cell>
          <cell r="M715">
            <v>1</v>
          </cell>
          <cell r="N715">
            <v>1</v>
          </cell>
          <cell r="O715">
            <v>1</v>
          </cell>
          <cell r="P715">
            <v>1</v>
          </cell>
          <cell r="Q715">
            <v>1</v>
          </cell>
          <cell r="R715">
            <v>3</v>
          </cell>
          <cell r="S715" t="str">
            <v>character</v>
          </cell>
          <cell r="T715">
            <v>314</v>
          </cell>
          <cell r="U715" t="str">
            <v>NULL</v>
          </cell>
          <cell r="V715" t="str">
            <v>NULL</v>
          </cell>
          <cell r="W715" t="str">
            <v/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 t="str">
            <v>anytime</v>
          </cell>
          <cell r="AC715">
            <v>903</v>
          </cell>
          <cell r="AD715">
            <v>6</v>
          </cell>
          <cell r="AE715" t="str">
            <v>everyone</v>
          </cell>
        </row>
        <row r="716">
          <cell r="A716" t="str">
            <v>40004_1</v>
          </cell>
          <cell r="B716">
            <v>1</v>
          </cell>
          <cell r="C716">
            <v>40004</v>
          </cell>
          <cell r="D716" t="str">
            <v>宮本武蔵襲来！</v>
          </cell>
          <cell r="E716" t="str">
            <v>降臨4</v>
          </cell>
          <cell r="F716">
            <v>1</v>
          </cell>
          <cell r="G716" t="str">
            <v>ja</v>
          </cell>
          <cell r="H716" t="str">
            <v xml:space="preserve">【ウィザード級】宮本武蔵襲来 </v>
          </cell>
          <cell r="I716" t="str">
            <v>地獄級</v>
          </cell>
          <cell r="J716">
            <v>427</v>
          </cell>
          <cell r="K716">
            <v>35</v>
          </cell>
          <cell r="L716">
            <v>4200</v>
          </cell>
          <cell r="M716">
            <v>1</v>
          </cell>
          <cell r="N716">
            <v>1</v>
          </cell>
          <cell r="O716">
            <v>1</v>
          </cell>
          <cell r="P716">
            <v>1</v>
          </cell>
          <cell r="Q716">
            <v>1</v>
          </cell>
          <cell r="R716">
            <v>3</v>
          </cell>
          <cell r="S716" t="str">
            <v>character</v>
          </cell>
          <cell r="T716">
            <v>426</v>
          </cell>
          <cell r="U716" t="str">
            <v>NULL</v>
          </cell>
          <cell r="V716" t="str">
            <v>NULL</v>
          </cell>
          <cell r="W716" t="str">
            <v/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 t="str">
            <v>anytime</v>
          </cell>
          <cell r="AC716">
            <v>904</v>
          </cell>
          <cell r="AD716">
            <v>6</v>
          </cell>
          <cell r="AE716" t="str">
            <v>everyone</v>
          </cell>
        </row>
        <row r="717">
          <cell r="A717" t="str">
            <v>40005_1</v>
          </cell>
          <cell r="B717">
            <v>1</v>
          </cell>
          <cell r="C717">
            <v>40005</v>
          </cell>
          <cell r="D717" t="str">
            <v>オズ襲来！</v>
          </cell>
          <cell r="E717" t="str">
            <v>降臨5</v>
          </cell>
          <cell r="F717">
            <v>1</v>
          </cell>
          <cell r="G717" t="str">
            <v>ja</v>
          </cell>
          <cell r="H717" t="str">
            <v xml:space="preserve">【ウィザード級】オズ襲来 </v>
          </cell>
          <cell r="I717" t="str">
            <v>地獄級</v>
          </cell>
          <cell r="J717">
            <v>461</v>
          </cell>
          <cell r="K717">
            <v>35</v>
          </cell>
          <cell r="L717">
            <v>4200</v>
          </cell>
          <cell r="M717">
            <v>1</v>
          </cell>
          <cell r="N717">
            <v>1</v>
          </cell>
          <cell r="O717">
            <v>1</v>
          </cell>
          <cell r="P717">
            <v>1</v>
          </cell>
          <cell r="Q717">
            <v>1</v>
          </cell>
          <cell r="R717">
            <v>3</v>
          </cell>
          <cell r="S717" t="str">
            <v>character</v>
          </cell>
          <cell r="T717">
            <v>460</v>
          </cell>
          <cell r="U717" t="str">
            <v>NULL</v>
          </cell>
          <cell r="V717" t="str">
            <v>NULL</v>
          </cell>
          <cell r="W717" t="str">
            <v/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 t="str">
            <v>anytime</v>
          </cell>
          <cell r="AC717">
            <v>906</v>
          </cell>
          <cell r="AD717">
            <v>6</v>
          </cell>
          <cell r="AE717" t="str">
            <v>everyone</v>
          </cell>
        </row>
        <row r="718">
          <cell r="A718" t="str">
            <v>40006_1</v>
          </cell>
          <cell r="B718">
            <v>1</v>
          </cell>
          <cell r="C718">
            <v>40006</v>
          </cell>
          <cell r="D718" t="str">
            <v>アーサー襲来！</v>
          </cell>
          <cell r="E718" t="str">
            <v>降臨6</v>
          </cell>
          <cell r="F718">
            <v>1</v>
          </cell>
          <cell r="G718" t="str">
            <v>ja</v>
          </cell>
          <cell r="H718" t="str">
            <v xml:space="preserve">【ウィザード級】アーサー襲来 </v>
          </cell>
          <cell r="I718" t="str">
            <v>地獄級</v>
          </cell>
          <cell r="J718">
            <v>473</v>
          </cell>
          <cell r="K718">
            <v>35</v>
          </cell>
          <cell r="L718">
            <v>4200</v>
          </cell>
          <cell r="M718">
            <v>1</v>
          </cell>
          <cell r="N718">
            <v>1</v>
          </cell>
          <cell r="O718">
            <v>1</v>
          </cell>
          <cell r="P718">
            <v>1</v>
          </cell>
          <cell r="Q718">
            <v>1</v>
          </cell>
          <cell r="R718">
            <v>3</v>
          </cell>
          <cell r="S718" t="str">
            <v>character</v>
          </cell>
          <cell r="T718">
            <v>472</v>
          </cell>
          <cell r="U718" t="str">
            <v>NULL</v>
          </cell>
          <cell r="V718" t="str">
            <v>NULL</v>
          </cell>
          <cell r="W718" t="str">
            <v/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 t="str">
            <v>anytime</v>
          </cell>
          <cell r="AC718">
            <v>907</v>
          </cell>
          <cell r="AD718">
            <v>6</v>
          </cell>
          <cell r="AE718" t="str">
            <v>everyone</v>
          </cell>
        </row>
        <row r="719">
          <cell r="A719" t="str">
            <v>40007_1</v>
          </cell>
          <cell r="B719">
            <v>1</v>
          </cell>
          <cell r="C719">
            <v>40007</v>
          </cell>
          <cell r="D719" t="str">
            <v>グリム襲来！</v>
          </cell>
          <cell r="E719" t="str">
            <v>降臨7</v>
          </cell>
          <cell r="F719">
            <v>1</v>
          </cell>
          <cell r="G719" t="str">
            <v>ja</v>
          </cell>
          <cell r="H719" t="str">
            <v xml:space="preserve">【ウィザード級】グリム襲来 </v>
          </cell>
          <cell r="I719" t="str">
            <v>地獄級</v>
          </cell>
          <cell r="J719">
            <v>491</v>
          </cell>
          <cell r="K719">
            <v>35</v>
          </cell>
          <cell r="L719">
            <v>4200</v>
          </cell>
          <cell r="M719">
            <v>1</v>
          </cell>
          <cell r="N719">
            <v>1</v>
          </cell>
          <cell r="O719">
            <v>1</v>
          </cell>
          <cell r="P719">
            <v>1</v>
          </cell>
          <cell r="Q719">
            <v>1</v>
          </cell>
          <cell r="R719">
            <v>3</v>
          </cell>
          <cell r="S719" t="str">
            <v>character</v>
          </cell>
          <cell r="T719">
            <v>490</v>
          </cell>
          <cell r="U719" t="str">
            <v>NULL</v>
          </cell>
          <cell r="V719" t="str">
            <v>NULL</v>
          </cell>
          <cell r="W719" t="str">
            <v/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 t="str">
            <v>anytime</v>
          </cell>
          <cell r="AC719">
            <v>908</v>
          </cell>
          <cell r="AD719">
            <v>6</v>
          </cell>
          <cell r="AE719" t="str">
            <v>everyone</v>
          </cell>
        </row>
        <row r="720">
          <cell r="A720" t="str">
            <v>40008_1</v>
          </cell>
          <cell r="B720">
            <v>1</v>
          </cell>
          <cell r="C720">
            <v>40008</v>
          </cell>
          <cell r="D720" t="str">
            <v>Gスター襲来！</v>
          </cell>
          <cell r="E720" t="str">
            <v>降臨8</v>
          </cell>
          <cell r="F720">
            <v>1</v>
          </cell>
          <cell r="G720" t="str">
            <v>ja</v>
          </cell>
          <cell r="H720" t="str">
            <v xml:space="preserve">【ウィザード級】Gスター襲来 </v>
          </cell>
          <cell r="I720" t="str">
            <v>地獄級</v>
          </cell>
          <cell r="J720">
            <v>509</v>
          </cell>
          <cell r="K720">
            <v>35</v>
          </cell>
          <cell r="L720">
            <v>4200</v>
          </cell>
          <cell r="M720">
            <v>1</v>
          </cell>
          <cell r="N720">
            <v>1</v>
          </cell>
          <cell r="O720">
            <v>1</v>
          </cell>
          <cell r="P720">
            <v>1</v>
          </cell>
          <cell r="Q720">
            <v>1</v>
          </cell>
          <cell r="R720">
            <v>3</v>
          </cell>
          <cell r="S720" t="str">
            <v>character</v>
          </cell>
          <cell r="T720">
            <v>508</v>
          </cell>
          <cell r="U720" t="str">
            <v>NULL</v>
          </cell>
          <cell r="V720" t="str">
            <v>NULL</v>
          </cell>
          <cell r="W720" t="str">
            <v/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 t="str">
            <v>anytime</v>
          </cell>
          <cell r="AC720">
            <v>2601</v>
          </cell>
          <cell r="AD720">
            <v>6</v>
          </cell>
          <cell r="AE720" t="str">
            <v>everyone</v>
          </cell>
        </row>
        <row r="721">
          <cell r="A721" t="str">
            <v>40009_1</v>
          </cell>
          <cell r="B721">
            <v>1</v>
          </cell>
          <cell r="C721">
            <v>40009</v>
          </cell>
          <cell r="D721" t="str">
            <v>フギンとムニン襲来！</v>
          </cell>
          <cell r="E721" t="str">
            <v>降臨9</v>
          </cell>
          <cell r="F721">
            <v>1</v>
          </cell>
          <cell r="G721" t="str">
            <v>ja</v>
          </cell>
          <cell r="H721" t="str">
            <v xml:space="preserve">【ウィザード級】フギンとムニン襲来 </v>
          </cell>
          <cell r="I721" t="str">
            <v>地獄級</v>
          </cell>
          <cell r="J721">
            <v>582</v>
          </cell>
          <cell r="K721">
            <v>35</v>
          </cell>
          <cell r="L721">
            <v>4200</v>
          </cell>
          <cell r="M721">
            <v>1</v>
          </cell>
          <cell r="N721">
            <v>1</v>
          </cell>
          <cell r="O721">
            <v>1</v>
          </cell>
          <cell r="P721">
            <v>1</v>
          </cell>
          <cell r="Q721">
            <v>1</v>
          </cell>
          <cell r="R721">
            <v>3</v>
          </cell>
          <cell r="S721" t="str">
            <v>character</v>
          </cell>
          <cell r="T721">
            <v>581</v>
          </cell>
          <cell r="U721" t="str">
            <v>NULL</v>
          </cell>
          <cell r="V721" t="str">
            <v>NULL</v>
          </cell>
          <cell r="W721" t="str">
            <v/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 t="str">
            <v>anytime</v>
          </cell>
          <cell r="AC721">
            <v>25</v>
          </cell>
          <cell r="AD721">
            <v>6</v>
          </cell>
          <cell r="AE721" t="str">
            <v>everyone</v>
          </cell>
        </row>
        <row r="722">
          <cell r="A722" t="str">
            <v>40010_1</v>
          </cell>
          <cell r="B722">
            <v>1</v>
          </cell>
          <cell r="C722">
            <v>40010</v>
          </cell>
          <cell r="D722" t="str">
            <v>フレイ襲来！</v>
          </cell>
          <cell r="E722" t="str">
            <v>降臨10</v>
          </cell>
          <cell r="F722">
            <v>1</v>
          </cell>
          <cell r="G722" t="str">
            <v>ja</v>
          </cell>
          <cell r="H722" t="str">
            <v xml:space="preserve">【ウィザード級】フレイ襲来 </v>
          </cell>
          <cell r="I722" t="str">
            <v>地獄級</v>
          </cell>
          <cell r="J722">
            <v>575</v>
          </cell>
          <cell r="K722">
            <v>35</v>
          </cell>
          <cell r="L722">
            <v>4200</v>
          </cell>
          <cell r="M722">
            <v>1</v>
          </cell>
          <cell r="N722">
            <v>1</v>
          </cell>
          <cell r="O722">
            <v>1</v>
          </cell>
          <cell r="P722">
            <v>0</v>
          </cell>
          <cell r="Q722">
            <v>1</v>
          </cell>
          <cell r="R722">
            <v>3</v>
          </cell>
          <cell r="S722" t="str">
            <v>character</v>
          </cell>
          <cell r="T722">
            <v>575</v>
          </cell>
          <cell r="U722" t="str">
            <v>NULL</v>
          </cell>
          <cell r="V722" t="str">
            <v>NULL</v>
          </cell>
          <cell r="W722" t="str">
            <v/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 t="str">
            <v>anytime</v>
          </cell>
          <cell r="AC722">
            <v>912</v>
          </cell>
          <cell r="AD722">
            <v>6</v>
          </cell>
          <cell r="AE722" t="str">
            <v>everyone</v>
          </cell>
        </row>
        <row r="723">
          <cell r="A723" t="str">
            <v>40011_1</v>
          </cell>
          <cell r="B723">
            <v>1</v>
          </cell>
          <cell r="C723">
            <v>40011</v>
          </cell>
          <cell r="D723" t="str">
            <v>ヨミ襲来！</v>
          </cell>
          <cell r="E723" t="str">
            <v>降臨11</v>
          </cell>
          <cell r="F723">
            <v>1</v>
          </cell>
          <cell r="G723" t="str">
            <v>ja</v>
          </cell>
          <cell r="H723" t="str">
            <v xml:space="preserve">【ウィザード級】ヨミ襲来 </v>
          </cell>
          <cell r="I723" t="str">
            <v>地獄級</v>
          </cell>
          <cell r="J723">
            <v>655</v>
          </cell>
          <cell r="K723">
            <v>35</v>
          </cell>
          <cell r="L723">
            <v>4200</v>
          </cell>
          <cell r="M723">
            <v>1</v>
          </cell>
          <cell r="N723">
            <v>1</v>
          </cell>
          <cell r="O723">
            <v>1</v>
          </cell>
          <cell r="P723">
            <v>1</v>
          </cell>
          <cell r="Q723">
            <v>1</v>
          </cell>
          <cell r="R723">
            <v>3</v>
          </cell>
          <cell r="S723" t="str">
            <v>character</v>
          </cell>
          <cell r="T723">
            <v>654</v>
          </cell>
          <cell r="U723" t="str">
            <v>NULL</v>
          </cell>
          <cell r="V723" t="str">
            <v>NULL</v>
          </cell>
          <cell r="W723" t="str">
            <v/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 t="str">
            <v>anytime</v>
          </cell>
          <cell r="AC723">
            <v>913</v>
          </cell>
          <cell r="AD723">
            <v>6</v>
          </cell>
          <cell r="AE723" t="str">
            <v>everyone</v>
          </cell>
        </row>
        <row r="724">
          <cell r="A724" t="str">
            <v>40012_1</v>
          </cell>
          <cell r="B724">
            <v>1</v>
          </cell>
          <cell r="C724">
            <v>40012</v>
          </cell>
          <cell r="D724" t="str">
            <v>ショウキ襲来！</v>
          </cell>
          <cell r="E724" t="str">
            <v>降臨12</v>
          </cell>
          <cell r="F724">
            <v>1</v>
          </cell>
          <cell r="G724" t="str">
            <v>ja</v>
          </cell>
          <cell r="H724" t="str">
            <v xml:space="preserve">【ウィザード級】ショウキ襲来 </v>
          </cell>
          <cell r="I724" t="str">
            <v>地獄級</v>
          </cell>
          <cell r="J724">
            <v>645</v>
          </cell>
          <cell r="K724">
            <v>35</v>
          </cell>
          <cell r="L724">
            <v>4200</v>
          </cell>
          <cell r="M724">
            <v>1</v>
          </cell>
          <cell r="N724">
            <v>1</v>
          </cell>
          <cell r="O724">
            <v>1</v>
          </cell>
          <cell r="P724">
            <v>1</v>
          </cell>
          <cell r="Q724">
            <v>1</v>
          </cell>
          <cell r="R724">
            <v>3</v>
          </cell>
          <cell r="S724" t="str">
            <v>character</v>
          </cell>
          <cell r="T724">
            <v>644</v>
          </cell>
          <cell r="U724" t="str">
            <v>NULL</v>
          </cell>
          <cell r="V724" t="str">
            <v>NULL</v>
          </cell>
          <cell r="W724" t="str">
            <v/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 t="str">
            <v>anytime</v>
          </cell>
          <cell r="AC724">
            <v>915</v>
          </cell>
          <cell r="AD724">
            <v>6</v>
          </cell>
          <cell r="AE724" t="str">
            <v>everyone</v>
          </cell>
        </row>
        <row r="725">
          <cell r="A725" t="str">
            <v>40013_1</v>
          </cell>
          <cell r="B725">
            <v>1</v>
          </cell>
          <cell r="C725">
            <v>40013</v>
          </cell>
          <cell r="D725" t="str">
            <v>カーマ襲来！</v>
          </cell>
          <cell r="E725" t="str">
            <v>降臨13</v>
          </cell>
          <cell r="F725">
            <v>1</v>
          </cell>
          <cell r="G725" t="str">
            <v>ja</v>
          </cell>
          <cell r="H725" t="str">
            <v xml:space="preserve">【ウィザード級】カーマ襲来 </v>
          </cell>
          <cell r="I725" t="str">
            <v>地獄級</v>
          </cell>
          <cell r="J725">
            <v>643</v>
          </cell>
          <cell r="K725">
            <v>35</v>
          </cell>
          <cell r="L725">
            <v>4200</v>
          </cell>
          <cell r="M725">
            <v>1</v>
          </cell>
          <cell r="N725">
            <v>1</v>
          </cell>
          <cell r="O725">
            <v>1</v>
          </cell>
          <cell r="P725">
            <v>1</v>
          </cell>
          <cell r="Q725">
            <v>0</v>
          </cell>
          <cell r="R725">
            <v>3</v>
          </cell>
          <cell r="S725" t="str">
            <v>character</v>
          </cell>
          <cell r="T725">
            <v>642</v>
          </cell>
          <cell r="U725" t="str">
            <v>NULL</v>
          </cell>
          <cell r="V725" t="str">
            <v>NULL</v>
          </cell>
          <cell r="W725" t="str">
            <v/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 t="str">
            <v>anytime</v>
          </cell>
          <cell r="AC725">
            <v>916</v>
          </cell>
          <cell r="AD725">
            <v>6</v>
          </cell>
          <cell r="AE725" t="str">
            <v>everyone</v>
          </cell>
        </row>
        <row r="726">
          <cell r="A726" t="str">
            <v>40014_1</v>
          </cell>
          <cell r="B726">
            <v>1</v>
          </cell>
          <cell r="C726">
            <v>40014</v>
          </cell>
          <cell r="D726" t="str">
            <v>シヴァ襲来！</v>
          </cell>
          <cell r="E726" t="str">
            <v>降臨14</v>
          </cell>
          <cell r="F726">
            <v>1</v>
          </cell>
          <cell r="G726" t="str">
            <v>ja</v>
          </cell>
          <cell r="H726" t="str">
            <v xml:space="preserve">【ウィザード級】シヴァ襲来 </v>
          </cell>
          <cell r="I726" t="str">
            <v>地獄級</v>
          </cell>
          <cell r="J726">
            <v>657</v>
          </cell>
          <cell r="K726">
            <v>35</v>
          </cell>
          <cell r="L726">
            <v>4200</v>
          </cell>
          <cell r="M726">
            <v>1</v>
          </cell>
          <cell r="N726">
            <v>1</v>
          </cell>
          <cell r="O726">
            <v>1</v>
          </cell>
          <cell r="P726">
            <v>1</v>
          </cell>
          <cell r="Q726">
            <v>1</v>
          </cell>
          <cell r="R726">
            <v>3</v>
          </cell>
          <cell r="S726" t="str">
            <v>character</v>
          </cell>
          <cell r="T726">
            <v>656</v>
          </cell>
          <cell r="U726" t="str">
            <v>NULL</v>
          </cell>
          <cell r="V726" t="str">
            <v>NULL</v>
          </cell>
          <cell r="W726" t="str">
            <v/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 t="str">
            <v>anytime</v>
          </cell>
          <cell r="AC726">
            <v>916</v>
          </cell>
          <cell r="AD726">
            <v>6</v>
          </cell>
          <cell r="AE726" t="str">
            <v>everyone</v>
          </cell>
        </row>
        <row r="727">
          <cell r="A727" t="str">
            <v>40015_1</v>
          </cell>
          <cell r="B727">
            <v>1</v>
          </cell>
          <cell r="C727">
            <v>40015</v>
          </cell>
          <cell r="D727" t="str">
            <v>ガレス襲来！</v>
          </cell>
          <cell r="E727" t="str">
            <v>降臨15</v>
          </cell>
          <cell r="F727">
            <v>1</v>
          </cell>
          <cell r="G727" t="str">
            <v>ja</v>
          </cell>
          <cell r="H727" t="str">
            <v xml:space="preserve">【ウィザード級】ガレス襲来 </v>
          </cell>
          <cell r="I727" t="str">
            <v>地獄級</v>
          </cell>
          <cell r="J727">
            <v>769</v>
          </cell>
          <cell r="K727">
            <v>35</v>
          </cell>
          <cell r="L727">
            <v>4200</v>
          </cell>
          <cell r="M727">
            <v>1</v>
          </cell>
          <cell r="N727">
            <v>1</v>
          </cell>
          <cell r="O727">
            <v>1</v>
          </cell>
          <cell r="P727">
            <v>1</v>
          </cell>
          <cell r="Q727">
            <v>1</v>
          </cell>
          <cell r="R727">
            <v>3</v>
          </cell>
          <cell r="S727" t="str">
            <v>character</v>
          </cell>
          <cell r="T727">
            <v>768</v>
          </cell>
          <cell r="U727" t="str">
            <v>NULL</v>
          </cell>
          <cell r="V727" t="str">
            <v>NULL</v>
          </cell>
          <cell r="W727" t="str">
            <v/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 t="str">
            <v>anytime</v>
          </cell>
          <cell r="AC727">
            <v>907</v>
          </cell>
          <cell r="AD727">
            <v>6</v>
          </cell>
          <cell r="AE727" t="str">
            <v>everyone</v>
          </cell>
        </row>
        <row r="728">
          <cell r="A728" t="str">
            <v>40016_1</v>
          </cell>
          <cell r="B728">
            <v>3</v>
          </cell>
          <cell r="C728">
            <v>40016</v>
          </cell>
          <cell r="D728" t="str">
            <v>武田信玄襲来！</v>
          </cell>
          <cell r="E728" t="str">
            <v>降臨16</v>
          </cell>
          <cell r="F728">
            <v>1</v>
          </cell>
          <cell r="G728" t="str">
            <v>ja</v>
          </cell>
          <cell r="H728" t="str">
            <v xml:space="preserve">【ウィザード級】武田信玄襲来 </v>
          </cell>
          <cell r="I728" t="str">
            <v>地獄級</v>
          </cell>
          <cell r="J728">
            <v>725</v>
          </cell>
          <cell r="K728">
            <v>40</v>
          </cell>
          <cell r="L728">
            <v>4500</v>
          </cell>
          <cell r="M728">
            <v>1</v>
          </cell>
          <cell r="N728">
            <v>1</v>
          </cell>
          <cell r="O728">
            <v>1</v>
          </cell>
          <cell r="P728">
            <v>1</v>
          </cell>
          <cell r="Q728">
            <v>1</v>
          </cell>
          <cell r="R728">
            <v>3</v>
          </cell>
          <cell r="S728" t="str">
            <v>polygon</v>
          </cell>
          <cell r="T728">
            <v>1</v>
          </cell>
          <cell r="U728" t="str">
            <v>NULL</v>
          </cell>
          <cell r="V728" t="str">
            <v>NULL</v>
          </cell>
          <cell r="W728" t="str">
            <v/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 t="str">
            <v>anytime</v>
          </cell>
          <cell r="AC728">
            <v>919</v>
          </cell>
          <cell r="AD728">
            <v>6</v>
          </cell>
          <cell r="AE728" t="str">
            <v>everyone</v>
          </cell>
        </row>
        <row r="729">
          <cell r="A729" t="str">
            <v>40016_2</v>
          </cell>
          <cell r="B729">
            <v>1</v>
          </cell>
          <cell r="C729">
            <v>40016</v>
          </cell>
          <cell r="D729" t="str">
            <v>武田信玄襲来！</v>
          </cell>
          <cell r="E729" t="str">
            <v>降臨16</v>
          </cell>
          <cell r="F729">
            <v>2</v>
          </cell>
          <cell r="G729" t="str">
            <v>ja</v>
          </cell>
          <cell r="H729" t="str">
            <v xml:space="preserve">【ノーコンテニュー】武田信玄襲来 </v>
          </cell>
          <cell r="I729" t="str">
            <v>地獄級</v>
          </cell>
          <cell r="J729">
            <v>725</v>
          </cell>
          <cell r="K729">
            <v>40</v>
          </cell>
          <cell r="L729">
            <v>4500</v>
          </cell>
          <cell r="M729">
            <v>1</v>
          </cell>
          <cell r="N729">
            <v>1</v>
          </cell>
          <cell r="O729">
            <v>1</v>
          </cell>
          <cell r="P729">
            <v>1</v>
          </cell>
          <cell r="Q729">
            <v>1</v>
          </cell>
          <cell r="R729">
            <v>3</v>
          </cell>
          <cell r="S729" t="str">
            <v>polygon</v>
          </cell>
          <cell r="T729">
            <v>1</v>
          </cell>
          <cell r="U729" t="str">
            <v>NULL</v>
          </cell>
          <cell r="V729" t="str">
            <v>NULL</v>
          </cell>
          <cell r="W729" t="str">
            <v/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 t="str">
            <v>anytime</v>
          </cell>
          <cell r="AC729">
            <v>919</v>
          </cell>
          <cell r="AD729">
            <v>6</v>
          </cell>
          <cell r="AE729" t="str">
            <v>everyone</v>
          </cell>
        </row>
        <row r="730">
          <cell r="A730" t="str">
            <v>40017_1</v>
          </cell>
          <cell r="B730">
            <v>3</v>
          </cell>
          <cell r="C730">
            <v>40017</v>
          </cell>
          <cell r="D730" t="str">
            <v>ベルゼブブ襲来！</v>
          </cell>
          <cell r="E730" t="str">
            <v>降臨17</v>
          </cell>
          <cell r="F730">
            <v>1</v>
          </cell>
          <cell r="G730" t="str">
            <v>ja</v>
          </cell>
          <cell r="H730" t="str">
            <v xml:space="preserve">【超絶級】ベルゼブブ襲来 </v>
          </cell>
          <cell r="I730" t="str">
            <v>地獄級</v>
          </cell>
          <cell r="J730">
            <v>845</v>
          </cell>
          <cell r="K730">
            <v>35</v>
          </cell>
          <cell r="L730">
            <v>4200</v>
          </cell>
          <cell r="M730">
            <v>1</v>
          </cell>
          <cell r="N730">
            <v>1</v>
          </cell>
          <cell r="O730">
            <v>1</v>
          </cell>
          <cell r="P730">
            <v>1</v>
          </cell>
          <cell r="Q730">
            <v>1</v>
          </cell>
          <cell r="R730">
            <v>3</v>
          </cell>
          <cell r="S730" t="str">
            <v>polygon</v>
          </cell>
          <cell r="T730">
            <v>1</v>
          </cell>
          <cell r="U730" t="str">
            <v>NULL</v>
          </cell>
          <cell r="V730" t="str">
            <v>NULL</v>
          </cell>
          <cell r="W730" t="str">
            <v/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 t="str">
            <v>anytime</v>
          </cell>
          <cell r="AC730">
            <v>927</v>
          </cell>
          <cell r="AD730">
            <v>6</v>
          </cell>
          <cell r="AE730" t="str">
            <v>everyone</v>
          </cell>
        </row>
        <row r="731">
          <cell r="A731" t="str">
            <v>40017_2</v>
          </cell>
          <cell r="B731">
            <v>3</v>
          </cell>
          <cell r="C731">
            <v>40017</v>
          </cell>
          <cell r="D731" t="str">
            <v>ベルゼブブ襲来！</v>
          </cell>
          <cell r="E731" t="str">
            <v>降臨17</v>
          </cell>
          <cell r="F731">
            <v>2</v>
          </cell>
          <cell r="G731" t="str">
            <v>ja</v>
          </cell>
          <cell r="H731" t="str">
            <v>【ウィザード級】ベルゼブブ襲来</v>
          </cell>
          <cell r="I731" t="str">
            <v>地獄級</v>
          </cell>
          <cell r="J731">
            <v>845</v>
          </cell>
          <cell r="K731">
            <v>40</v>
          </cell>
          <cell r="L731">
            <v>4500</v>
          </cell>
          <cell r="M731">
            <v>1</v>
          </cell>
          <cell r="N731">
            <v>1</v>
          </cell>
          <cell r="O731">
            <v>1</v>
          </cell>
          <cell r="P731">
            <v>1</v>
          </cell>
          <cell r="Q731">
            <v>1</v>
          </cell>
          <cell r="R731">
            <v>3</v>
          </cell>
          <cell r="S731" t="str">
            <v>polygon</v>
          </cell>
          <cell r="T731">
            <v>1</v>
          </cell>
          <cell r="U731" t="str">
            <v>NULL</v>
          </cell>
          <cell r="V731" t="str">
            <v>NULL</v>
          </cell>
          <cell r="W731" t="str">
            <v/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 t="str">
            <v>anytime</v>
          </cell>
          <cell r="AC731">
            <v>927</v>
          </cell>
          <cell r="AD731">
            <v>6</v>
          </cell>
          <cell r="AE731" t="str">
            <v>everyone</v>
          </cell>
        </row>
        <row r="732">
          <cell r="A732" t="str">
            <v>40017_3</v>
          </cell>
          <cell r="B732">
            <v>1</v>
          </cell>
          <cell r="C732">
            <v>40017</v>
          </cell>
          <cell r="D732" t="str">
            <v>ベルゼブブ襲来！</v>
          </cell>
          <cell r="E732" t="str">
            <v>降臨17</v>
          </cell>
          <cell r="F732">
            <v>3</v>
          </cell>
          <cell r="G732" t="str">
            <v>ja</v>
          </cell>
          <cell r="H732" t="str">
            <v>【ノーコンテニュー】ベルゼブブ襲来</v>
          </cell>
          <cell r="I732" t="str">
            <v>地獄級</v>
          </cell>
          <cell r="J732">
            <v>845</v>
          </cell>
          <cell r="K732">
            <v>40</v>
          </cell>
          <cell r="L732">
            <v>4500</v>
          </cell>
          <cell r="M732">
            <v>1</v>
          </cell>
          <cell r="N732">
            <v>1</v>
          </cell>
          <cell r="O732">
            <v>1</v>
          </cell>
          <cell r="P732">
            <v>1</v>
          </cell>
          <cell r="Q732">
            <v>1</v>
          </cell>
          <cell r="R732">
            <v>3</v>
          </cell>
          <cell r="S732" t="str">
            <v>polygon</v>
          </cell>
          <cell r="T732">
            <v>1</v>
          </cell>
          <cell r="U732" t="str">
            <v>NULL</v>
          </cell>
          <cell r="V732" t="str">
            <v>NULL</v>
          </cell>
          <cell r="W732" t="str">
            <v/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 t="str">
            <v>anytime</v>
          </cell>
          <cell r="AC732">
            <v>927</v>
          </cell>
          <cell r="AD732">
            <v>6</v>
          </cell>
          <cell r="AE732" t="str">
            <v>everyone</v>
          </cell>
        </row>
        <row r="733">
          <cell r="A733" t="str">
            <v>40018_1</v>
          </cell>
          <cell r="B733">
            <v>3</v>
          </cell>
          <cell r="C733">
            <v>40018</v>
          </cell>
          <cell r="D733" t="str">
            <v>ジーナ襲来！</v>
          </cell>
          <cell r="E733" t="str">
            <v>降臨18</v>
          </cell>
          <cell r="F733">
            <v>1</v>
          </cell>
          <cell r="G733" t="str">
            <v>ja</v>
          </cell>
          <cell r="H733" t="str">
            <v xml:space="preserve">【超絶級】ジーナ襲来 </v>
          </cell>
          <cell r="I733" t="str">
            <v>地獄級</v>
          </cell>
          <cell r="J733">
            <v>861</v>
          </cell>
          <cell r="K733">
            <v>35</v>
          </cell>
          <cell r="L733">
            <v>4200</v>
          </cell>
          <cell r="M733">
            <v>1</v>
          </cell>
          <cell r="N733">
            <v>1</v>
          </cell>
          <cell r="O733">
            <v>1</v>
          </cell>
          <cell r="P733">
            <v>1</v>
          </cell>
          <cell r="Q733">
            <v>1</v>
          </cell>
          <cell r="R733">
            <v>3</v>
          </cell>
          <cell r="S733" t="str">
            <v>polygon</v>
          </cell>
          <cell r="T733">
            <v>1</v>
          </cell>
          <cell r="U733" t="str">
            <v>NULL</v>
          </cell>
          <cell r="V733" t="str">
            <v>NULL</v>
          </cell>
          <cell r="W733" t="str">
            <v/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 t="str">
            <v>anytime</v>
          </cell>
          <cell r="AC733">
            <v>929</v>
          </cell>
          <cell r="AD733">
            <v>6</v>
          </cell>
          <cell r="AE733" t="str">
            <v>everyone</v>
          </cell>
        </row>
        <row r="734">
          <cell r="A734" t="str">
            <v>40018_2</v>
          </cell>
          <cell r="B734">
            <v>3</v>
          </cell>
          <cell r="C734">
            <v>40018</v>
          </cell>
          <cell r="D734" t="str">
            <v>ジーナ襲来！</v>
          </cell>
          <cell r="E734" t="str">
            <v>降臨18</v>
          </cell>
          <cell r="F734">
            <v>2</v>
          </cell>
          <cell r="G734" t="str">
            <v>ja</v>
          </cell>
          <cell r="H734" t="str">
            <v>【ウィザード級】ジーナ襲来</v>
          </cell>
          <cell r="I734" t="str">
            <v>地獄級</v>
          </cell>
          <cell r="J734">
            <v>861</v>
          </cell>
          <cell r="K734">
            <v>40</v>
          </cell>
          <cell r="L734">
            <v>4500</v>
          </cell>
          <cell r="M734">
            <v>1</v>
          </cell>
          <cell r="N734">
            <v>1</v>
          </cell>
          <cell r="O734">
            <v>1</v>
          </cell>
          <cell r="P734">
            <v>1</v>
          </cell>
          <cell r="Q734">
            <v>1</v>
          </cell>
          <cell r="R734">
            <v>3</v>
          </cell>
          <cell r="S734" t="str">
            <v>polygon</v>
          </cell>
          <cell r="T734">
            <v>1</v>
          </cell>
          <cell r="U734" t="str">
            <v>NULL</v>
          </cell>
          <cell r="V734" t="str">
            <v>NULL</v>
          </cell>
          <cell r="W734" t="str">
            <v/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 t="str">
            <v>anytime</v>
          </cell>
          <cell r="AC734">
            <v>929</v>
          </cell>
          <cell r="AD734">
            <v>6</v>
          </cell>
          <cell r="AE734" t="str">
            <v>everyone</v>
          </cell>
        </row>
        <row r="735">
          <cell r="A735" t="str">
            <v>40018_3</v>
          </cell>
          <cell r="B735">
            <v>1</v>
          </cell>
          <cell r="C735">
            <v>40018</v>
          </cell>
          <cell r="D735" t="str">
            <v>ジーナ襲来！</v>
          </cell>
          <cell r="E735" t="str">
            <v>降臨18</v>
          </cell>
          <cell r="F735">
            <v>3</v>
          </cell>
          <cell r="G735" t="str">
            <v>ja</v>
          </cell>
          <cell r="H735" t="str">
            <v>【ノーコンテニュー】ジーナ襲来</v>
          </cell>
          <cell r="I735" t="str">
            <v>地獄級</v>
          </cell>
          <cell r="J735">
            <v>861</v>
          </cell>
          <cell r="K735">
            <v>40</v>
          </cell>
          <cell r="L735">
            <v>4500</v>
          </cell>
          <cell r="M735">
            <v>1</v>
          </cell>
          <cell r="N735">
            <v>1</v>
          </cell>
          <cell r="O735">
            <v>1</v>
          </cell>
          <cell r="P735">
            <v>1</v>
          </cell>
          <cell r="Q735">
            <v>1</v>
          </cell>
          <cell r="R735">
            <v>3</v>
          </cell>
          <cell r="S735" t="str">
            <v>polygon</v>
          </cell>
          <cell r="T735">
            <v>1</v>
          </cell>
          <cell r="U735" t="str">
            <v>NULL</v>
          </cell>
          <cell r="V735" t="str">
            <v>NULL</v>
          </cell>
          <cell r="W735" t="str">
            <v/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 t="str">
            <v>anytime</v>
          </cell>
          <cell r="AC735">
            <v>929</v>
          </cell>
          <cell r="AD735">
            <v>6</v>
          </cell>
          <cell r="AE735" t="str">
            <v>everyone</v>
          </cell>
        </row>
        <row r="736">
          <cell r="A736" t="str">
            <v>40019_1</v>
          </cell>
          <cell r="B736">
            <v>3</v>
          </cell>
          <cell r="C736">
            <v>40019</v>
          </cell>
          <cell r="D736" t="str">
            <v>テュポーン襲来！</v>
          </cell>
          <cell r="E736" t="str">
            <v>降臨19</v>
          </cell>
          <cell r="F736">
            <v>1</v>
          </cell>
          <cell r="G736" t="str">
            <v>ja</v>
          </cell>
          <cell r="H736" t="str">
            <v xml:space="preserve">【超絶級】テュポーン襲来 </v>
          </cell>
          <cell r="I736" t="str">
            <v>超絶級</v>
          </cell>
          <cell r="J736">
            <v>741</v>
          </cell>
          <cell r="K736">
            <v>35</v>
          </cell>
          <cell r="L736">
            <v>4200</v>
          </cell>
          <cell r="M736">
            <v>1</v>
          </cell>
          <cell r="N736">
            <v>1</v>
          </cell>
          <cell r="O736">
            <v>1</v>
          </cell>
          <cell r="P736">
            <v>1</v>
          </cell>
          <cell r="Q736">
            <v>1</v>
          </cell>
          <cell r="R736">
            <v>3</v>
          </cell>
          <cell r="S736" t="str">
            <v>polygon</v>
          </cell>
          <cell r="T736">
            <v>1</v>
          </cell>
          <cell r="U736" t="str">
            <v>NULL</v>
          </cell>
          <cell r="V736" t="str">
            <v>NULL</v>
          </cell>
          <cell r="W736" t="str">
            <v/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 t="str">
            <v>anytime</v>
          </cell>
          <cell r="AC736">
            <v>921</v>
          </cell>
          <cell r="AD736">
            <v>6</v>
          </cell>
          <cell r="AE736" t="str">
            <v>everyone</v>
          </cell>
        </row>
        <row r="737">
          <cell r="A737" t="str">
            <v>40019_2</v>
          </cell>
          <cell r="B737">
            <v>3</v>
          </cell>
          <cell r="C737">
            <v>40019</v>
          </cell>
          <cell r="D737" t="str">
            <v>テュポーン襲来！</v>
          </cell>
          <cell r="E737" t="str">
            <v>降臨19</v>
          </cell>
          <cell r="F737">
            <v>2</v>
          </cell>
          <cell r="G737" t="str">
            <v>ja</v>
          </cell>
          <cell r="H737" t="str">
            <v>【ウィザード級】テュポーン襲来</v>
          </cell>
          <cell r="I737" t="str">
            <v>地獄級</v>
          </cell>
          <cell r="J737">
            <v>741</v>
          </cell>
          <cell r="K737">
            <v>40</v>
          </cell>
          <cell r="L737">
            <v>4500</v>
          </cell>
          <cell r="M737">
            <v>1</v>
          </cell>
          <cell r="N737">
            <v>1</v>
          </cell>
          <cell r="O737">
            <v>1</v>
          </cell>
          <cell r="P737">
            <v>1</v>
          </cell>
          <cell r="Q737">
            <v>1</v>
          </cell>
          <cell r="R737">
            <v>3</v>
          </cell>
          <cell r="S737" t="str">
            <v>polygon</v>
          </cell>
          <cell r="T737">
            <v>1</v>
          </cell>
          <cell r="U737" t="str">
            <v>NULL</v>
          </cell>
          <cell r="V737" t="str">
            <v>NULL</v>
          </cell>
          <cell r="W737" t="str">
            <v/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 t="str">
            <v>anytime</v>
          </cell>
          <cell r="AC737">
            <v>921</v>
          </cell>
          <cell r="AD737">
            <v>6</v>
          </cell>
          <cell r="AE737" t="str">
            <v>everyone</v>
          </cell>
        </row>
        <row r="738">
          <cell r="A738" t="str">
            <v>40019_3</v>
          </cell>
          <cell r="B738">
            <v>1</v>
          </cell>
          <cell r="C738">
            <v>40019</v>
          </cell>
          <cell r="D738" t="str">
            <v>テュポーン襲来！</v>
          </cell>
          <cell r="E738" t="str">
            <v>降臨19</v>
          </cell>
          <cell r="F738">
            <v>3</v>
          </cell>
          <cell r="G738" t="str">
            <v>ja</v>
          </cell>
          <cell r="H738" t="str">
            <v>【ノーコンテニュー】テュポーン襲来</v>
          </cell>
          <cell r="I738" t="str">
            <v>地獄級</v>
          </cell>
          <cell r="J738">
            <v>741</v>
          </cell>
          <cell r="K738">
            <v>40</v>
          </cell>
          <cell r="L738">
            <v>4500</v>
          </cell>
          <cell r="M738">
            <v>1</v>
          </cell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3</v>
          </cell>
          <cell r="S738" t="str">
            <v>polygon</v>
          </cell>
          <cell r="T738">
            <v>1</v>
          </cell>
          <cell r="U738" t="str">
            <v>NULL</v>
          </cell>
          <cell r="V738" t="str">
            <v>NULL</v>
          </cell>
          <cell r="W738" t="str">
            <v/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 t="str">
            <v>anytime</v>
          </cell>
          <cell r="AC738">
            <v>921</v>
          </cell>
          <cell r="AD738">
            <v>6</v>
          </cell>
          <cell r="AE738" t="str">
            <v>everyone</v>
          </cell>
        </row>
        <row r="739">
          <cell r="A739" t="str">
            <v>40021_1</v>
          </cell>
          <cell r="B739">
            <v>3</v>
          </cell>
          <cell r="C739">
            <v>40021</v>
          </cell>
          <cell r="D739" t="str">
            <v>ルイ16世襲来！</v>
          </cell>
          <cell r="E739" t="str">
            <v>降臨21</v>
          </cell>
          <cell r="F739">
            <v>1</v>
          </cell>
          <cell r="G739" t="str">
            <v>ja</v>
          </cell>
          <cell r="H739" t="str">
            <v xml:space="preserve">【超絶級】ルイ16世襲来 </v>
          </cell>
          <cell r="I739" t="str">
            <v>超絶級</v>
          </cell>
          <cell r="J739">
            <v>936</v>
          </cell>
          <cell r="K739">
            <v>35</v>
          </cell>
          <cell r="L739">
            <v>4200</v>
          </cell>
          <cell r="M739">
            <v>1</v>
          </cell>
          <cell r="N739">
            <v>1</v>
          </cell>
          <cell r="O739">
            <v>1</v>
          </cell>
          <cell r="P739">
            <v>1</v>
          </cell>
          <cell r="Q739">
            <v>1</v>
          </cell>
          <cell r="R739">
            <v>3</v>
          </cell>
          <cell r="S739" t="str">
            <v>polygon</v>
          </cell>
          <cell r="T739">
            <v>1</v>
          </cell>
          <cell r="U739" t="str">
            <v>NULL</v>
          </cell>
          <cell r="V739" t="str">
            <v>NULL</v>
          </cell>
          <cell r="W739" t="str">
            <v/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 t="str">
            <v>anytime</v>
          </cell>
          <cell r="AC739">
            <v>936</v>
          </cell>
          <cell r="AD739">
            <v>6</v>
          </cell>
          <cell r="AE739" t="str">
            <v>everyone</v>
          </cell>
        </row>
        <row r="740">
          <cell r="A740" t="str">
            <v>40021_2</v>
          </cell>
          <cell r="B740">
            <v>3</v>
          </cell>
          <cell r="C740">
            <v>40021</v>
          </cell>
          <cell r="D740" t="str">
            <v>ルイ16世襲来！</v>
          </cell>
          <cell r="E740" t="str">
            <v>降臨21</v>
          </cell>
          <cell r="F740">
            <v>2</v>
          </cell>
          <cell r="G740" t="str">
            <v>ja</v>
          </cell>
          <cell r="H740" t="str">
            <v>【ウィザード級】ルイ16世襲来</v>
          </cell>
          <cell r="I740" t="str">
            <v>地獄級</v>
          </cell>
          <cell r="J740">
            <v>936</v>
          </cell>
          <cell r="K740">
            <v>40</v>
          </cell>
          <cell r="L740">
            <v>4500</v>
          </cell>
          <cell r="M740">
            <v>1</v>
          </cell>
          <cell r="N740">
            <v>1</v>
          </cell>
          <cell r="O740">
            <v>1</v>
          </cell>
          <cell r="P740">
            <v>1</v>
          </cell>
          <cell r="Q740">
            <v>1</v>
          </cell>
          <cell r="R740">
            <v>3</v>
          </cell>
          <cell r="S740" t="str">
            <v>polygon</v>
          </cell>
          <cell r="T740">
            <v>1</v>
          </cell>
          <cell r="U740" t="str">
            <v>NULL</v>
          </cell>
          <cell r="V740" t="str">
            <v>NULL</v>
          </cell>
          <cell r="W740" t="str">
            <v/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 t="str">
            <v>anytime</v>
          </cell>
          <cell r="AC740">
            <v>936</v>
          </cell>
          <cell r="AD740">
            <v>6</v>
          </cell>
          <cell r="AE740" t="str">
            <v>everyone</v>
          </cell>
        </row>
        <row r="741">
          <cell r="A741" t="str">
            <v>40022_1</v>
          </cell>
          <cell r="B741">
            <v>3</v>
          </cell>
          <cell r="C741">
            <v>40022</v>
          </cell>
          <cell r="D741" t="str">
            <v>オシリス襲来！</v>
          </cell>
          <cell r="E741" t="str">
            <v>降臨22</v>
          </cell>
          <cell r="F741">
            <v>1</v>
          </cell>
          <cell r="G741" t="str">
            <v>ja</v>
          </cell>
          <cell r="H741" t="str">
            <v xml:space="preserve">【超絶級】オシリス襲来 </v>
          </cell>
          <cell r="I741" t="str">
            <v>超絶級</v>
          </cell>
          <cell r="J741">
            <v>1009</v>
          </cell>
          <cell r="K741">
            <v>35</v>
          </cell>
          <cell r="L741">
            <v>4200</v>
          </cell>
          <cell r="M741">
            <v>1</v>
          </cell>
          <cell r="N741">
            <v>1</v>
          </cell>
          <cell r="O741">
            <v>1</v>
          </cell>
          <cell r="P741">
            <v>0</v>
          </cell>
          <cell r="Q741">
            <v>1</v>
          </cell>
          <cell r="R741">
            <v>3</v>
          </cell>
          <cell r="S741" t="str">
            <v>polygon</v>
          </cell>
          <cell r="T741">
            <v>1</v>
          </cell>
          <cell r="U741" t="str">
            <v>NULL</v>
          </cell>
          <cell r="V741" t="str">
            <v>NULL</v>
          </cell>
          <cell r="W741" t="str">
            <v/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 t="str">
            <v>anytime</v>
          </cell>
          <cell r="AC741">
            <v>940</v>
          </cell>
          <cell r="AD741">
            <v>6</v>
          </cell>
          <cell r="AE741" t="str">
            <v>everyone</v>
          </cell>
        </row>
        <row r="742">
          <cell r="A742" t="str">
            <v>40022_2</v>
          </cell>
          <cell r="B742">
            <v>3</v>
          </cell>
          <cell r="C742">
            <v>40022</v>
          </cell>
          <cell r="D742" t="str">
            <v>オシリス襲来！</v>
          </cell>
          <cell r="E742" t="str">
            <v>降臨22</v>
          </cell>
          <cell r="F742">
            <v>2</v>
          </cell>
          <cell r="G742" t="str">
            <v>ja</v>
          </cell>
          <cell r="H742" t="str">
            <v>【ウィザード級】オシリス襲来</v>
          </cell>
          <cell r="I742" t="str">
            <v>地獄級</v>
          </cell>
          <cell r="J742">
            <v>1009</v>
          </cell>
          <cell r="K742">
            <v>40</v>
          </cell>
          <cell r="L742">
            <v>4500</v>
          </cell>
          <cell r="M742">
            <v>1</v>
          </cell>
          <cell r="N742">
            <v>1</v>
          </cell>
          <cell r="O742">
            <v>1</v>
          </cell>
          <cell r="P742">
            <v>0</v>
          </cell>
          <cell r="Q742">
            <v>1</v>
          </cell>
          <cell r="R742">
            <v>3</v>
          </cell>
          <cell r="S742" t="str">
            <v>polygon</v>
          </cell>
          <cell r="T742">
            <v>1</v>
          </cell>
          <cell r="U742" t="str">
            <v>NULL</v>
          </cell>
          <cell r="V742" t="str">
            <v>NULL</v>
          </cell>
          <cell r="W742" t="str">
            <v/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 t="str">
            <v>anytime</v>
          </cell>
          <cell r="AC742">
            <v>940</v>
          </cell>
          <cell r="AD742">
            <v>6</v>
          </cell>
          <cell r="AE742" t="str">
            <v>everyone</v>
          </cell>
        </row>
        <row r="743">
          <cell r="A743" t="str">
            <v>40023_1</v>
          </cell>
          <cell r="B743">
            <v>3</v>
          </cell>
          <cell r="C743">
            <v>40023</v>
          </cell>
          <cell r="D743" t="str">
            <v>武蔵坊弁慶襲来！</v>
          </cell>
          <cell r="E743" t="str">
            <v>降臨23</v>
          </cell>
          <cell r="F743">
            <v>1</v>
          </cell>
          <cell r="G743" t="str">
            <v>ja</v>
          </cell>
          <cell r="H743" t="str">
            <v xml:space="preserve">【超絶級】武蔵坊弁慶襲来 </v>
          </cell>
          <cell r="I743" t="str">
            <v>超絶級</v>
          </cell>
          <cell r="J743">
            <v>1025</v>
          </cell>
          <cell r="K743">
            <v>35</v>
          </cell>
          <cell r="L743">
            <v>4200</v>
          </cell>
          <cell r="M743">
            <v>1</v>
          </cell>
          <cell r="N743">
            <v>1</v>
          </cell>
          <cell r="O743">
            <v>1</v>
          </cell>
          <cell r="P743">
            <v>1</v>
          </cell>
          <cell r="Q743">
            <v>1</v>
          </cell>
          <cell r="R743">
            <v>3</v>
          </cell>
          <cell r="S743" t="str">
            <v>polygon</v>
          </cell>
          <cell r="T743">
            <v>1</v>
          </cell>
          <cell r="U743" t="str">
            <v>NULL</v>
          </cell>
          <cell r="V743" t="str">
            <v>NULL</v>
          </cell>
          <cell r="W743" t="str">
            <v/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 t="str">
            <v>anytime</v>
          </cell>
          <cell r="AC743">
            <v>941</v>
          </cell>
          <cell r="AD743">
            <v>6</v>
          </cell>
          <cell r="AE743" t="str">
            <v>everyone</v>
          </cell>
        </row>
        <row r="744">
          <cell r="A744" t="str">
            <v>40023_2</v>
          </cell>
          <cell r="B744">
            <v>3</v>
          </cell>
          <cell r="C744">
            <v>40023</v>
          </cell>
          <cell r="D744" t="str">
            <v>武蔵坊弁慶襲来！</v>
          </cell>
          <cell r="E744" t="str">
            <v>降臨23</v>
          </cell>
          <cell r="F744">
            <v>2</v>
          </cell>
          <cell r="G744" t="str">
            <v>ja</v>
          </cell>
          <cell r="H744" t="str">
            <v>【ウィザード級】武蔵坊弁慶襲来</v>
          </cell>
          <cell r="I744" t="str">
            <v>地獄級</v>
          </cell>
          <cell r="J744">
            <v>1025</v>
          </cell>
          <cell r="K744">
            <v>40</v>
          </cell>
          <cell r="L744">
            <v>4500</v>
          </cell>
          <cell r="M744">
            <v>1</v>
          </cell>
          <cell r="N744">
            <v>1</v>
          </cell>
          <cell r="O744">
            <v>1</v>
          </cell>
          <cell r="P744">
            <v>1</v>
          </cell>
          <cell r="Q744">
            <v>1</v>
          </cell>
          <cell r="R744">
            <v>3</v>
          </cell>
          <cell r="S744" t="str">
            <v>polygon</v>
          </cell>
          <cell r="T744">
            <v>1</v>
          </cell>
          <cell r="U744" t="str">
            <v>NULL</v>
          </cell>
          <cell r="V744" t="str">
            <v>NULL</v>
          </cell>
          <cell r="W744" t="str">
            <v/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 t="str">
            <v>anytime</v>
          </cell>
          <cell r="AC744">
            <v>941</v>
          </cell>
          <cell r="AD744">
            <v>6</v>
          </cell>
          <cell r="AE744" t="str">
            <v>everyone</v>
          </cell>
        </row>
        <row r="745">
          <cell r="A745" t="str">
            <v>40024_1</v>
          </cell>
          <cell r="B745">
            <v>3</v>
          </cell>
          <cell r="C745">
            <v>40024</v>
          </cell>
          <cell r="D745" t="str">
            <v>アトラス襲来！</v>
          </cell>
          <cell r="E745" t="str">
            <v>降臨24</v>
          </cell>
          <cell r="F745">
            <v>1</v>
          </cell>
          <cell r="G745" t="str">
            <v>ja</v>
          </cell>
          <cell r="H745" t="str">
            <v>【超絶級】アトラス襲来</v>
          </cell>
          <cell r="I745" t="str">
            <v>超絶級</v>
          </cell>
          <cell r="J745">
            <v>789</v>
          </cell>
          <cell r="K745">
            <v>35</v>
          </cell>
          <cell r="L745">
            <v>4200</v>
          </cell>
          <cell r="M745">
            <v>1</v>
          </cell>
          <cell r="N745">
            <v>1</v>
          </cell>
          <cell r="O745">
            <v>1</v>
          </cell>
          <cell r="P745">
            <v>1</v>
          </cell>
          <cell r="Q745">
            <v>1</v>
          </cell>
          <cell r="R745">
            <v>3</v>
          </cell>
          <cell r="S745" t="str">
            <v>polygon</v>
          </cell>
          <cell r="T745">
            <v>1</v>
          </cell>
          <cell r="U745" t="str">
            <v>NULL</v>
          </cell>
          <cell r="V745" t="str">
            <v>NULL</v>
          </cell>
          <cell r="W745" t="str">
            <v/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 t="str">
            <v>anytime</v>
          </cell>
          <cell r="AC745">
            <v>20</v>
          </cell>
          <cell r="AD745">
            <v>6</v>
          </cell>
          <cell r="AE745" t="str">
            <v>everyone</v>
          </cell>
        </row>
        <row r="746">
          <cell r="A746" t="str">
            <v>40024_2</v>
          </cell>
          <cell r="B746">
            <v>3</v>
          </cell>
          <cell r="C746">
            <v>40024</v>
          </cell>
          <cell r="D746" t="str">
            <v>アトラス襲来！</v>
          </cell>
          <cell r="E746" t="str">
            <v>降臨24</v>
          </cell>
          <cell r="F746">
            <v>2</v>
          </cell>
          <cell r="G746" t="str">
            <v>ja</v>
          </cell>
          <cell r="H746" t="str">
            <v>【ウィザード級】アトラス襲来</v>
          </cell>
          <cell r="I746" t="str">
            <v>地獄級</v>
          </cell>
          <cell r="J746">
            <v>789</v>
          </cell>
          <cell r="K746">
            <v>40</v>
          </cell>
          <cell r="L746">
            <v>4500</v>
          </cell>
          <cell r="M746">
            <v>1</v>
          </cell>
          <cell r="N746">
            <v>1</v>
          </cell>
          <cell r="O746">
            <v>1</v>
          </cell>
          <cell r="P746">
            <v>1</v>
          </cell>
          <cell r="Q746">
            <v>1</v>
          </cell>
          <cell r="R746">
            <v>3</v>
          </cell>
          <cell r="S746" t="str">
            <v>polygon</v>
          </cell>
          <cell r="T746">
            <v>1</v>
          </cell>
          <cell r="U746" t="str">
            <v>NULL</v>
          </cell>
          <cell r="V746" t="str">
            <v>NULL</v>
          </cell>
          <cell r="W746" t="str">
            <v/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 t="str">
            <v>anytime</v>
          </cell>
          <cell r="AC746">
            <v>20</v>
          </cell>
          <cell r="AD746">
            <v>6</v>
          </cell>
          <cell r="AE746" t="str">
            <v>everyone</v>
          </cell>
        </row>
        <row r="747">
          <cell r="A747" t="str">
            <v>40025_1</v>
          </cell>
          <cell r="B747">
            <v>3</v>
          </cell>
          <cell r="C747">
            <v>40025</v>
          </cell>
          <cell r="D747" t="str">
            <v>ティアマト襲来！</v>
          </cell>
          <cell r="E747" t="str">
            <v>降臨25</v>
          </cell>
          <cell r="F747">
            <v>1</v>
          </cell>
          <cell r="G747" t="str">
            <v>ja</v>
          </cell>
          <cell r="H747" t="str">
            <v>【超絶級】ティアマト襲来</v>
          </cell>
          <cell r="I747" t="str">
            <v>超絶級</v>
          </cell>
          <cell r="J747">
            <v>1064</v>
          </cell>
          <cell r="K747">
            <v>35</v>
          </cell>
          <cell r="L747">
            <v>4200</v>
          </cell>
          <cell r="M747">
            <v>1</v>
          </cell>
          <cell r="N747">
            <v>1</v>
          </cell>
          <cell r="O747">
            <v>1</v>
          </cell>
          <cell r="P747">
            <v>1</v>
          </cell>
          <cell r="Q747">
            <v>1</v>
          </cell>
          <cell r="R747">
            <v>3</v>
          </cell>
          <cell r="S747" t="str">
            <v>polygon</v>
          </cell>
          <cell r="T747">
            <v>1</v>
          </cell>
          <cell r="U747" t="str">
            <v>NULL</v>
          </cell>
          <cell r="V747" t="str">
            <v>NULL</v>
          </cell>
          <cell r="W747" t="str">
            <v/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 t="str">
            <v>anytime</v>
          </cell>
          <cell r="AC747">
            <v>944</v>
          </cell>
          <cell r="AD747">
            <v>6</v>
          </cell>
          <cell r="AE747" t="str">
            <v>everyone</v>
          </cell>
        </row>
        <row r="748">
          <cell r="A748" t="str">
            <v>40025_2</v>
          </cell>
          <cell r="B748">
            <v>3</v>
          </cell>
          <cell r="C748">
            <v>40025</v>
          </cell>
          <cell r="D748" t="str">
            <v>ティアマト襲来！</v>
          </cell>
          <cell r="E748" t="str">
            <v>降臨25</v>
          </cell>
          <cell r="F748">
            <v>2</v>
          </cell>
          <cell r="G748" t="str">
            <v>ja</v>
          </cell>
          <cell r="H748" t="str">
            <v>【ウィザード級】ティアマト襲来</v>
          </cell>
          <cell r="I748" t="str">
            <v>地獄級</v>
          </cell>
          <cell r="J748">
            <v>1064</v>
          </cell>
          <cell r="K748">
            <v>40</v>
          </cell>
          <cell r="L748">
            <v>4500</v>
          </cell>
          <cell r="M748">
            <v>1</v>
          </cell>
          <cell r="N748">
            <v>1</v>
          </cell>
          <cell r="O748">
            <v>1</v>
          </cell>
          <cell r="P748">
            <v>1</v>
          </cell>
          <cell r="Q748">
            <v>1</v>
          </cell>
          <cell r="R748">
            <v>3</v>
          </cell>
          <cell r="S748" t="str">
            <v>polygon</v>
          </cell>
          <cell r="T748">
            <v>1</v>
          </cell>
          <cell r="U748" t="str">
            <v>NULL</v>
          </cell>
          <cell r="V748" t="str">
            <v>NULL</v>
          </cell>
          <cell r="W748" t="str">
            <v/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 t="str">
            <v>anytime</v>
          </cell>
          <cell r="AC748">
            <v>944</v>
          </cell>
          <cell r="AD748">
            <v>6</v>
          </cell>
          <cell r="AE748" t="str">
            <v>everyone</v>
          </cell>
        </row>
        <row r="749">
          <cell r="A749" t="str">
            <v>40026_1</v>
          </cell>
          <cell r="B749">
            <v>3</v>
          </cell>
          <cell r="C749">
            <v>40026</v>
          </cell>
          <cell r="D749" t="str">
            <v>ミケランジェロ襲来！</v>
          </cell>
          <cell r="E749" t="str">
            <v>降臨26</v>
          </cell>
          <cell r="F749">
            <v>1</v>
          </cell>
          <cell r="G749" t="str">
            <v>ja</v>
          </cell>
          <cell r="H749" t="str">
            <v>【超絶級】ミケランジェロ襲来</v>
          </cell>
          <cell r="I749" t="str">
            <v>超絶級</v>
          </cell>
          <cell r="J749">
            <v>1089</v>
          </cell>
          <cell r="K749">
            <v>35</v>
          </cell>
          <cell r="L749">
            <v>4200</v>
          </cell>
          <cell r="M749">
            <v>1</v>
          </cell>
          <cell r="N749">
            <v>1</v>
          </cell>
          <cell r="O749">
            <v>1</v>
          </cell>
          <cell r="P749">
            <v>1</v>
          </cell>
          <cell r="Q749">
            <v>1</v>
          </cell>
          <cell r="R749">
            <v>3</v>
          </cell>
          <cell r="S749" t="str">
            <v>polygon</v>
          </cell>
          <cell r="T749">
            <v>1</v>
          </cell>
          <cell r="U749" t="str">
            <v>NULL</v>
          </cell>
          <cell r="V749" t="str">
            <v>NULL</v>
          </cell>
          <cell r="W749" t="str">
            <v/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 t="str">
            <v>anytime</v>
          </cell>
          <cell r="AC749">
            <v>26</v>
          </cell>
          <cell r="AD749">
            <v>6</v>
          </cell>
          <cell r="AE749" t="str">
            <v>everyone</v>
          </cell>
        </row>
        <row r="750">
          <cell r="A750" t="str">
            <v>40026_2</v>
          </cell>
          <cell r="B750">
            <v>3</v>
          </cell>
          <cell r="C750">
            <v>40026</v>
          </cell>
          <cell r="D750" t="str">
            <v>ミケランジェロ襲来！</v>
          </cell>
          <cell r="E750" t="str">
            <v>降臨26</v>
          </cell>
          <cell r="F750">
            <v>2</v>
          </cell>
          <cell r="G750" t="str">
            <v>ja</v>
          </cell>
          <cell r="H750" t="str">
            <v>【ウィザード級】ミケランジェロ襲来</v>
          </cell>
          <cell r="I750" t="str">
            <v>地獄級</v>
          </cell>
          <cell r="J750">
            <v>1089</v>
          </cell>
          <cell r="K750">
            <v>40</v>
          </cell>
          <cell r="L750">
            <v>4500</v>
          </cell>
          <cell r="M750">
            <v>1</v>
          </cell>
          <cell r="N750">
            <v>1</v>
          </cell>
          <cell r="O750">
            <v>1</v>
          </cell>
          <cell r="P750">
            <v>1</v>
          </cell>
          <cell r="Q750">
            <v>1</v>
          </cell>
          <cell r="R750">
            <v>3</v>
          </cell>
          <cell r="S750" t="str">
            <v>polygon</v>
          </cell>
          <cell r="T750">
            <v>1</v>
          </cell>
          <cell r="U750" t="str">
            <v>NULL</v>
          </cell>
          <cell r="V750" t="str">
            <v>NULL</v>
          </cell>
          <cell r="W750" t="str">
            <v/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 t="str">
            <v>anytime</v>
          </cell>
          <cell r="AC750">
            <v>26</v>
          </cell>
          <cell r="AD750">
            <v>6</v>
          </cell>
          <cell r="AE750" t="str">
            <v>everyone</v>
          </cell>
        </row>
        <row r="751">
          <cell r="A751" t="str">
            <v>40027_1</v>
          </cell>
          <cell r="B751">
            <v>3</v>
          </cell>
          <cell r="C751">
            <v>40027</v>
          </cell>
          <cell r="D751" t="str">
            <v>コルキス襲来！</v>
          </cell>
          <cell r="E751" t="str">
            <v>降臨27</v>
          </cell>
          <cell r="F751">
            <v>1</v>
          </cell>
          <cell r="G751" t="str">
            <v>ja</v>
          </cell>
          <cell r="H751" t="str">
            <v>【超絶級】コルキス襲来</v>
          </cell>
          <cell r="I751" t="str">
            <v>超絶級</v>
          </cell>
          <cell r="J751">
            <v>892</v>
          </cell>
          <cell r="K751">
            <v>35</v>
          </cell>
          <cell r="L751">
            <v>4200</v>
          </cell>
          <cell r="M751">
            <v>1</v>
          </cell>
          <cell r="N751">
            <v>1</v>
          </cell>
          <cell r="O751">
            <v>0</v>
          </cell>
          <cell r="P751">
            <v>1</v>
          </cell>
          <cell r="Q751">
            <v>1</v>
          </cell>
          <cell r="R751">
            <v>3</v>
          </cell>
          <cell r="S751" t="str">
            <v>polygon</v>
          </cell>
          <cell r="T751">
            <v>1</v>
          </cell>
          <cell r="U751" t="str">
            <v>NULL</v>
          </cell>
          <cell r="V751" t="str">
            <v>NULL</v>
          </cell>
          <cell r="W751" t="str">
            <v/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 t="str">
            <v>anytime</v>
          </cell>
          <cell r="AC751">
            <v>11</v>
          </cell>
          <cell r="AD751">
            <v>6</v>
          </cell>
          <cell r="AE751" t="str">
            <v>everyone</v>
          </cell>
        </row>
        <row r="752">
          <cell r="A752" t="str">
            <v>40027_2</v>
          </cell>
          <cell r="B752">
            <v>3</v>
          </cell>
          <cell r="C752">
            <v>40027</v>
          </cell>
          <cell r="D752" t="str">
            <v>コルキス襲来！</v>
          </cell>
          <cell r="E752" t="str">
            <v>降臨27</v>
          </cell>
          <cell r="F752">
            <v>2</v>
          </cell>
          <cell r="G752" t="str">
            <v>ja</v>
          </cell>
          <cell r="H752" t="str">
            <v>【ウィザード級】コルキス襲来</v>
          </cell>
          <cell r="I752" t="str">
            <v>地獄級</v>
          </cell>
          <cell r="J752">
            <v>892</v>
          </cell>
          <cell r="K752">
            <v>40</v>
          </cell>
          <cell r="L752">
            <v>4500</v>
          </cell>
          <cell r="M752">
            <v>1</v>
          </cell>
          <cell r="N752">
            <v>1</v>
          </cell>
          <cell r="O752">
            <v>0</v>
          </cell>
          <cell r="P752">
            <v>1</v>
          </cell>
          <cell r="Q752">
            <v>1</v>
          </cell>
          <cell r="R752">
            <v>3</v>
          </cell>
          <cell r="S752" t="str">
            <v>polygon</v>
          </cell>
          <cell r="T752">
            <v>1</v>
          </cell>
          <cell r="U752" t="str">
            <v>NULL</v>
          </cell>
          <cell r="V752" t="str">
            <v>NULL</v>
          </cell>
          <cell r="W752" t="str">
            <v/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 t="str">
            <v>anytime</v>
          </cell>
          <cell r="AC752">
            <v>11</v>
          </cell>
          <cell r="AD752">
            <v>6</v>
          </cell>
          <cell r="AE752" t="str">
            <v>everyone</v>
          </cell>
        </row>
        <row r="753">
          <cell r="A753" t="str">
            <v>40028_1</v>
          </cell>
          <cell r="B753">
            <v>3</v>
          </cell>
          <cell r="C753">
            <v>40028</v>
          </cell>
          <cell r="D753" t="str">
            <v>ルピカ襲来！</v>
          </cell>
          <cell r="E753" t="str">
            <v>降臨28</v>
          </cell>
          <cell r="F753">
            <v>1</v>
          </cell>
          <cell r="G753" t="str">
            <v>ja</v>
          </cell>
          <cell r="H753" t="str">
            <v>【超絶級】ルピカ襲来</v>
          </cell>
          <cell r="I753" t="str">
            <v>超絶級</v>
          </cell>
          <cell r="J753">
            <v>1098</v>
          </cell>
          <cell r="K753">
            <v>35</v>
          </cell>
          <cell r="L753">
            <v>4200</v>
          </cell>
          <cell r="M753">
            <v>1</v>
          </cell>
          <cell r="N753">
            <v>1</v>
          </cell>
          <cell r="O753">
            <v>1</v>
          </cell>
          <cell r="P753">
            <v>1</v>
          </cell>
          <cell r="Q753">
            <v>1</v>
          </cell>
          <cell r="R753">
            <v>3</v>
          </cell>
          <cell r="S753" t="str">
            <v>polygon</v>
          </cell>
          <cell r="T753">
            <v>1</v>
          </cell>
          <cell r="U753" t="str">
            <v>NULL</v>
          </cell>
          <cell r="V753" t="str">
            <v>NULL</v>
          </cell>
          <cell r="W753" t="str">
            <v/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 t="str">
            <v>anytime</v>
          </cell>
          <cell r="AC753">
            <v>947</v>
          </cell>
          <cell r="AD753">
            <v>6</v>
          </cell>
          <cell r="AE753" t="str">
            <v>everyone</v>
          </cell>
        </row>
        <row r="754">
          <cell r="A754" t="str">
            <v>40028_2</v>
          </cell>
          <cell r="B754">
            <v>3</v>
          </cell>
          <cell r="C754">
            <v>40028</v>
          </cell>
          <cell r="D754" t="str">
            <v>ルピカ襲来！</v>
          </cell>
          <cell r="E754" t="str">
            <v>降臨28</v>
          </cell>
          <cell r="F754">
            <v>2</v>
          </cell>
          <cell r="G754" t="str">
            <v>ja</v>
          </cell>
          <cell r="H754" t="str">
            <v>【ウィザード級】ルピカ襲来</v>
          </cell>
          <cell r="I754" t="str">
            <v>地獄級</v>
          </cell>
          <cell r="J754">
            <v>1099</v>
          </cell>
          <cell r="K754">
            <v>40</v>
          </cell>
          <cell r="L754">
            <v>4500</v>
          </cell>
          <cell r="M754">
            <v>1</v>
          </cell>
          <cell r="N754">
            <v>1</v>
          </cell>
          <cell r="O754">
            <v>1</v>
          </cell>
          <cell r="P754">
            <v>1</v>
          </cell>
          <cell r="Q754">
            <v>1</v>
          </cell>
          <cell r="R754">
            <v>3</v>
          </cell>
          <cell r="S754" t="str">
            <v>polygon</v>
          </cell>
          <cell r="T754">
            <v>1</v>
          </cell>
          <cell r="U754" t="str">
            <v>NULL</v>
          </cell>
          <cell r="V754" t="str">
            <v>NULL</v>
          </cell>
          <cell r="W754" t="str">
            <v/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 t="str">
            <v>anytime</v>
          </cell>
          <cell r="AC754">
            <v>947</v>
          </cell>
          <cell r="AD754">
            <v>6</v>
          </cell>
          <cell r="AE754" t="str">
            <v>everyone</v>
          </cell>
        </row>
        <row r="755">
          <cell r="A755" t="str">
            <v>40029_1</v>
          </cell>
          <cell r="B755">
            <v>3</v>
          </cell>
          <cell r="C755">
            <v>40029</v>
          </cell>
          <cell r="D755" t="str">
            <v>カスケード襲来！</v>
          </cell>
          <cell r="E755" t="str">
            <v>降臨29</v>
          </cell>
          <cell r="F755">
            <v>1</v>
          </cell>
          <cell r="G755" t="str">
            <v>ja</v>
          </cell>
          <cell r="H755" t="str">
            <v>【超絶級】カスケード襲来</v>
          </cell>
          <cell r="I755" t="str">
            <v>超絶級</v>
          </cell>
          <cell r="J755">
            <v>781</v>
          </cell>
          <cell r="K755">
            <v>35</v>
          </cell>
          <cell r="L755">
            <v>4200</v>
          </cell>
          <cell r="M755">
            <v>1</v>
          </cell>
          <cell r="N755">
            <v>1</v>
          </cell>
          <cell r="O755">
            <v>1</v>
          </cell>
          <cell r="P755">
            <v>1</v>
          </cell>
          <cell r="Q755">
            <v>1</v>
          </cell>
          <cell r="R755">
            <v>3</v>
          </cell>
          <cell r="S755" t="str">
            <v>polygon</v>
          </cell>
          <cell r="T755">
            <v>1</v>
          </cell>
          <cell r="U755" t="str">
            <v>NULL</v>
          </cell>
          <cell r="V755" t="str">
            <v>NULL</v>
          </cell>
          <cell r="W755" t="str">
            <v/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 t="str">
            <v>anytime</v>
          </cell>
          <cell r="AC755">
            <v>12</v>
          </cell>
          <cell r="AD755">
            <v>6</v>
          </cell>
          <cell r="AE755" t="str">
            <v>everyone</v>
          </cell>
        </row>
        <row r="756">
          <cell r="A756" t="str">
            <v>40029_2</v>
          </cell>
          <cell r="B756">
            <v>3</v>
          </cell>
          <cell r="C756">
            <v>40029</v>
          </cell>
          <cell r="D756" t="str">
            <v>カスケード襲来！</v>
          </cell>
          <cell r="E756" t="str">
            <v>降臨29</v>
          </cell>
          <cell r="F756">
            <v>2</v>
          </cell>
          <cell r="G756" t="str">
            <v>ja</v>
          </cell>
          <cell r="H756" t="str">
            <v>【ウィザード級】カスケード襲来</v>
          </cell>
          <cell r="I756" t="str">
            <v>地獄級</v>
          </cell>
          <cell r="J756">
            <v>781</v>
          </cell>
          <cell r="K756">
            <v>40</v>
          </cell>
          <cell r="L756">
            <v>4500</v>
          </cell>
          <cell r="M756">
            <v>1</v>
          </cell>
          <cell r="N756">
            <v>1</v>
          </cell>
          <cell r="O756">
            <v>1</v>
          </cell>
          <cell r="P756">
            <v>1</v>
          </cell>
          <cell r="Q756">
            <v>1</v>
          </cell>
          <cell r="R756">
            <v>3</v>
          </cell>
          <cell r="S756" t="str">
            <v>polygon</v>
          </cell>
          <cell r="T756">
            <v>1</v>
          </cell>
          <cell r="U756" t="str">
            <v>NULL</v>
          </cell>
          <cell r="V756" t="str">
            <v>NULL</v>
          </cell>
          <cell r="W756" t="str">
            <v/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 t="str">
            <v>anytime</v>
          </cell>
          <cell r="AC756">
            <v>12</v>
          </cell>
          <cell r="AD756">
            <v>6</v>
          </cell>
          <cell r="AE756" t="str">
            <v>everyone</v>
          </cell>
        </row>
        <row r="757">
          <cell r="A757" t="str">
            <v>40030_1</v>
          </cell>
          <cell r="B757">
            <v>3</v>
          </cell>
          <cell r="C757">
            <v>40030</v>
          </cell>
          <cell r="D757" t="str">
            <v>エリス襲来！</v>
          </cell>
          <cell r="E757" t="str">
            <v>降臨30</v>
          </cell>
          <cell r="F757">
            <v>1</v>
          </cell>
          <cell r="G757" t="str">
            <v>ja</v>
          </cell>
          <cell r="H757" t="str">
            <v>【超絶級】エリス襲来</v>
          </cell>
          <cell r="I757" t="str">
            <v>超絶級</v>
          </cell>
          <cell r="J757">
            <v>888</v>
          </cell>
          <cell r="K757">
            <v>35</v>
          </cell>
          <cell r="L757">
            <v>4200</v>
          </cell>
          <cell r="M757">
            <v>1</v>
          </cell>
          <cell r="N757">
            <v>1</v>
          </cell>
          <cell r="O757">
            <v>1</v>
          </cell>
          <cell r="P757">
            <v>1</v>
          </cell>
          <cell r="Q757">
            <v>1</v>
          </cell>
          <cell r="R757">
            <v>3</v>
          </cell>
          <cell r="S757" t="str">
            <v>polygon</v>
          </cell>
          <cell r="T757">
            <v>1</v>
          </cell>
          <cell r="U757" t="str">
            <v>NULL</v>
          </cell>
          <cell r="V757" t="str">
            <v>NULL</v>
          </cell>
          <cell r="W757" t="str">
            <v/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 t="str">
            <v>anytime</v>
          </cell>
          <cell r="AC757">
            <v>17</v>
          </cell>
          <cell r="AD757">
            <v>6</v>
          </cell>
          <cell r="AE757" t="str">
            <v>everyone</v>
          </cell>
        </row>
        <row r="758">
          <cell r="A758" t="str">
            <v>40030_2</v>
          </cell>
          <cell r="B758">
            <v>3</v>
          </cell>
          <cell r="C758">
            <v>40030</v>
          </cell>
          <cell r="D758" t="str">
            <v>エリス襲来！</v>
          </cell>
          <cell r="E758" t="str">
            <v>降臨30</v>
          </cell>
          <cell r="F758">
            <v>2</v>
          </cell>
          <cell r="G758" t="str">
            <v>ja</v>
          </cell>
          <cell r="H758" t="str">
            <v>【ウィザード級】エリス襲来</v>
          </cell>
          <cell r="I758" t="str">
            <v>地獄級</v>
          </cell>
          <cell r="J758">
            <v>888</v>
          </cell>
          <cell r="K758">
            <v>40</v>
          </cell>
          <cell r="L758">
            <v>4500</v>
          </cell>
          <cell r="M758">
            <v>1</v>
          </cell>
          <cell r="N758">
            <v>1</v>
          </cell>
          <cell r="O758">
            <v>1</v>
          </cell>
          <cell r="P758">
            <v>1</v>
          </cell>
          <cell r="Q758">
            <v>1</v>
          </cell>
          <cell r="R758">
            <v>3</v>
          </cell>
          <cell r="S758" t="str">
            <v>polygon</v>
          </cell>
          <cell r="T758">
            <v>1</v>
          </cell>
          <cell r="U758" t="str">
            <v>NULL</v>
          </cell>
          <cell r="V758" t="str">
            <v>NULL</v>
          </cell>
          <cell r="W758" t="str">
            <v/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 t="str">
            <v>anytime</v>
          </cell>
          <cell r="AC758">
            <v>17</v>
          </cell>
          <cell r="AD758">
            <v>6</v>
          </cell>
          <cell r="AE758" t="str">
            <v>everyone</v>
          </cell>
        </row>
        <row r="759">
          <cell r="A759" t="str">
            <v>40031_1</v>
          </cell>
          <cell r="B759">
            <v>3</v>
          </cell>
          <cell r="C759">
            <v>40031</v>
          </cell>
          <cell r="D759" t="str">
            <v>董卓襲来！</v>
          </cell>
          <cell r="E759" t="str">
            <v>降臨31</v>
          </cell>
          <cell r="F759">
            <v>1</v>
          </cell>
          <cell r="G759" t="str">
            <v>ja</v>
          </cell>
          <cell r="H759" t="str">
            <v>【超絶級】董卓襲来</v>
          </cell>
          <cell r="I759" t="str">
            <v>超絶級</v>
          </cell>
          <cell r="J759">
            <v>1131</v>
          </cell>
          <cell r="K759">
            <v>35</v>
          </cell>
          <cell r="L759">
            <v>4200</v>
          </cell>
          <cell r="M759">
            <v>1</v>
          </cell>
          <cell r="N759">
            <v>1</v>
          </cell>
          <cell r="O759">
            <v>1</v>
          </cell>
          <cell r="P759">
            <v>1</v>
          </cell>
          <cell r="Q759">
            <v>1</v>
          </cell>
          <cell r="R759">
            <v>3</v>
          </cell>
          <cell r="S759" t="str">
            <v>polygon</v>
          </cell>
          <cell r="T759">
            <v>1</v>
          </cell>
          <cell r="U759" t="str">
            <v>NULL</v>
          </cell>
          <cell r="V759" t="str">
            <v>NULL</v>
          </cell>
          <cell r="W759" t="str">
            <v/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 t="str">
            <v>anytime</v>
          </cell>
          <cell r="AC759">
            <v>949</v>
          </cell>
          <cell r="AD759">
            <v>6</v>
          </cell>
          <cell r="AE759" t="str">
            <v>everyone</v>
          </cell>
        </row>
        <row r="760">
          <cell r="A760" t="str">
            <v>40031_2</v>
          </cell>
          <cell r="B760">
            <v>3</v>
          </cell>
          <cell r="C760">
            <v>40031</v>
          </cell>
          <cell r="D760" t="str">
            <v>董卓襲来！</v>
          </cell>
          <cell r="E760" t="str">
            <v>降臨31</v>
          </cell>
          <cell r="F760">
            <v>2</v>
          </cell>
          <cell r="G760" t="str">
            <v>ja</v>
          </cell>
          <cell r="H760" t="str">
            <v>【ウィザード級】董卓襲来</v>
          </cell>
          <cell r="I760" t="str">
            <v>地獄級</v>
          </cell>
          <cell r="J760">
            <v>1132</v>
          </cell>
          <cell r="K760">
            <v>40</v>
          </cell>
          <cell r="L760">
            <v>4500</v>
          </cell>
          <cell r="M760">
            <v>1</v>
          </cell>
          <cell r="N760">
            <v>1</v>
          </cell>
          <cell r="O760">
            <v>1</v>
          </cell>
          <cell r="P760">
            <v>1</v>
          </cell>
          <cell r="Q760">
            <v>1</v>
          </cell>
          <cell r="R760">
            <v>3</v>
          </cell>
          <cell r="S760" t="str">
            <v>polygon</v>
          </cell>
          <cell r="T760">
            <v>1</v>
          </cell>
          <cell r="U760" t="str">
            <v>NULL</v>
          </cell>
          <cell r="V760" t="str">
            <v>NULL</v>
          </cell>
          <cell r="W760" t="str">
            <v/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 t="str">
            <v>anytime</v>
          </cell>
          <cell r="AC760">
            <v>949</v>
          </cell>
          <cell r="AD760">
            <v>6</v>
          </cell>
          <cell r="AE760" t="str">
            <v>everyone</v>
          </cell>
        </row>
        <row r="761">
          <cell r="A761" t="str">
            <v>40032_1</v>
          </cell>
          <cell r="B761">
            <v>3</v>
          </cell>
          <cell r="C761">
            <v>40032</v>
          </cell>
          <cell r="D761" t="str">
            <v>貂蝉襲来！</v>
          </cell>
          <cell r="E761" t="str">
            <v>降臨32</v>
          </cell>
          <cell r="F761">
            <v>1</v>
          </cell>
          <cell r="G761" t="str">
            <v>ja</v>
          </cell>
          <cell r="H761" t="str">
            <v>【超絶級】貂蝉襲来</v>
          </cell>
          <cell r="I761" t="str">
            <v>超絶級</v>
          </cell>
          <cell r="J761">
            <v>1133</v>
          </cell>
          <cell r="K761">
            <v>35</v>
          </cell>
          <cell r="L761">
            <v>4200</v>
          </cell>
          <cell r="M761">
            <v>1</v>
          </cell>
          <cell r="N761">
            <v>1</v>
          </cell>
          <cell r="O761">
            <v>1</v>
          </cell>
          <cell r="P761">
            <v>1</v>
          </cell>
          <cell r="Q761">
            <v>1</v>
          </cell>
          <cell r="R761">
            <v>3</v>
          </cell>
          <cell r="S761" t="str">
            <v>polygon</v>
          </cell>
          <cell r="T761">
            <v>1</v>
          </cell>
          <cell r="U761" t="str">
            <v>NULL</v>
          </cell>
          <cell r="V761" t="str">
            <v>NULL</v>
          </cell>
          <cell r="W761" t="str">
            <v/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 t="str">
            <v>anytime</v>
          </cell>
          <cell r="AC761">
            <v>949</v>
          </cell>
          <cell r="AD761">
            <v>6</v>
          </cell>
          <cell r="AE761" t="str">
            <v>everyone</v>
          </cell>
        </row>
        <row r="762">
          <cell r="A762" t="str">
            <v>40032_2</v>
          </cell>
          <cell r="B762">
            <v>3</v>
          </cell>
          <cell r="C762">
            <v>40032</v>
          </cell>
          <cell r="D762" t="str">
            <v>貂蝉襲来！</v>
          </cell>
          <cell r="E762" t="str">
            <v>降臨32</v>
          </cell>
          <cell r="F762">
            <v>2</v>
          </cell>
          <cell r="G762" t="str">
            <v>ja</v>
          </cell>
          <cell r="H762" t="str">
            <v>【ウィザード級】貂蝉襲来</v>
          </cell>
          <cell r="I762" t="str">
            <v>地獄級</v>
          </cell>
          <cell r="J762">
            <v>1134</v>
          </cell>
          <cell r="K762">
            <v>40</v>
          </cell>
          <cell r="L762">
            <v>4500</v>
          </cell>
          <cell r="M762">
            <v>1</v>
          </cell>
          <cell r="N762">
            <v>1</v>
          </cell>
          <cell r="O762">
            <v>1</v>
          </cell>
          <cell r="P762">
            <v>1</v>
          </cell>
          <cell r="Q762">
            <v>1</v>
          </cell>
          <cell r="R762">
            <v>3</v>
          </cell>
          <cell r="S762" t="str">
            <v>polygon</v>
          </cell>
          <cell r="T762">
            <v>1</v>
          </cell>
          <cell r="U762" t="str">
            <v>NULL</v>
          </cell>
          <cell r="V762" t="str">
            <v>NULL</v>
          </cell>
          <cell r="W762" t="str">
            <v/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 t="str">
            <v>anytime</v>
          </cell>
          <cell r="AC762">
            <v>949</v>
          </cell>
          <cell r="AD762">
            <v>6</v>
          </cell>
          <cell r="AE762" t="str">
            <v>everyone</v>
          </cell>
        </row>
        <row r="763">
          <cell r="A763" t="str">
            <v>40033_1</v>
          </cell>
          <cell r="B763">
            <v>3</v>
          </cell>
          <cell r="C763">
            <v>40033</v>
          </cell>
          <cell r="D763" t="str">
            <v>アテナ襲来！</v>
          </cell>
          <cell r="E763" t="str">
            <v>降臨33</v>
          </cell>
          <cell r="F763">
            <v>1</v>
          </cell>
          <cell r="G763" t="str">
            <v>ja</v>
          </cell>
          <cell r="H763" t="str">
            <v>【超絶級】アテナ襲来</v>
          </cell>
          <cell r="I763" t="str">
            <v>超絶級</v>
          </cell>
          <cell r="J763">
            <v>893</v>
          </cell>
          <cell r="K763">
            <v>35</v>
          </cell>
          <cell r="L763">
            <v>4200</v>
          </cell>
          <cell r="M763">
            <v>1</v>
          </cell>
          <cell r="N763">
            <v>1</v>
          </cell>
          <cell r="O763">
            <v>1</v>
          </cell>
          <cell r="P763">
            <v>1</v>
          </cell>
          <cell r="Q763">
            <v>1</v>
          </cell>
          <cell r="R763">
            <v>3</v>
          </cell>
          <cell r="S763" t="str">
            <v>polygon</v>
          </cell>
          <cell r="T763">
            <v>1</v>
          </cell>
          <cell r="U763" t="str">
            <v>NULL</v>
          </cell>
          <cell r="V763" t="str">
            <v>NULL</v>
          </cell>
          <cell r="W763" t="str">
            <v/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 t="str">
            <v>anytime</v>
          </cell>
          <cell r="AC763">
            <v>13</v>
          </cell>
          <cell r="AD763">
            <v>6</v>
          </cell>
          <cell r="AE763" t="str">
            <v>everyone</v>
          </cell>
        </row>
        <row r="764">
          <cell r="A764" t="str">
            <v>40033_2</v>
          </cell>
          <cell r="B764">
            <v>3</v>
          </cell>
          <cell r="C764">
            <v>40033</v>
          </cell>
          <cell r="D764" t="str">
            <v>アテナ襲来！</v>
          </cell>
          <cell r="E764" t="str">
            <v>降臨33</v>
          </cell>
          <cell r="F764">
            <v>2</v>
          </cell>
          <cell r="G764" t="str">
            <v>ja</v>
          </cell>
          <cell r="H764" t="str">
            <v>【ウィザード級】アテナ襲来</v>
          </cell>
          <cell r="I764" t="str">
            <v>地獄級</v>
          </cell>
          <cell r="J764">
            <v>894</v>
          </cell>
          <cell r="K764">
            <v>40</v>
          </cell>
          <cell r="L764">
            <v>4500</v>
          </cell>
          <cell r="M764">
            <v>1</v>
          </cell>
          <cell r="N764">
            <v>1</v>
          </cell>
          <cell r="O764">
            <v>1</v>
          </cell>
          <cell r="P764">
            <v>1</v>
          </cell>
          <cell r="Q764">
            <v>1</v>
          </cell>
          <cell r="R764">
            <v>3</v>
          </cell>
          <cell r="S764" t="str">
            <v>polygon</v>
          </cell>
          <cell r="T764">
            <v>1</v>
          </cell>
          <cell r="U764" t="str">
            <v>NULL</v>
          </cell>
          <cell r="V764" t="str">
            <v>NULL</v>
          </cell>
          <cell r="W764" t="str">
            <v/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 t="str">
            <v>anytime</v>
          </cell>
          <cell r="AC764">
            <v>13</v>
          </cell>
          <cell r="AD764">
            <v>6</v>
          </cell>
          <cell r="AE764" t="str">
            <v>everyone</v>
          </cell>
        </row>
        <row r="765">
          <cell r="A765" t="str">
            <v>40034_1</v>
          </cell>
          <cell r="B765">
            <v>3</v>
          </cell>
          <cell r="C765">
            <v>40034</v>
          </cell>
          <cell r="D765" t="str">
            <v>カーリー襲来！</v>
          </cell>
          <cell r="E765" t="str">
            <v>降臨34</v>
          </cell>
          <cell r="F765">
            <v>1</v>
          </cell>
          <cell r="G765" t="str">
            <v>ja</v>
          </cell>
          <cell r="H765" t="str">
            <v>【超絶級】カーリー襲来</v>
          </cell>
          <cell r="I765" t="str">
            <v>超絶級</v>
          </cell>
          <cell r="J765">
            <v>1148</v>
          </cell>
          <cell r="K765">
            <v>35</v>
          </cell>
          <cell r="L765">
            <v>4200</v>
          </cell>
          <cell r="M765">
            <v>1</v>
          </cell>
          <cell r="N765">
            <v>1</v>
          </cell>
          <cell r="O765">
            <v>1</v>
          </cell>
          <cell r="P765">
            <v>1</v>
          </cell>
          <cell r="Q765">
            <v>1</v>
          </cell>
          <cell r="R765">
            <v>3</v>
          </cell>
          <cell r="S765" t="str">
            <v>polygon</v>
          </cell>
          <cell r="T765">
            <v>1</v>
          </cell>
          <cell r="U765" t="str">
            <v>NULL</v>
          </cell>
          <cell r="V765" t="str">
            <v>NULL</v>
          </cell>
          <cell r="W765" t="str">
            <v/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 t="str">
            <v>anytime</v>
          </cell>
          <cell r="AC765">
            <v>951</v>
          </cell>
          <cell r="AD765">
            <v>6</v>
          </cell>
          <cell r="AE765" t="str">
            <v>everyone</v>
          </cell>
        </row>
        <row r="766">
          <cell r="A766" t="str">
            <v>40034_2</v>
          </cell>
          <cell r="B766">
            <v>3</v>
          </cell>
          <cell r="C766">
            <v>40034</v>
          </cell>
          <cell r="D766" t="str">
            <v>カーリー襲来！</v>
          </cell>
          <cell r="E766" t="str">
            <v>降臨34</v>
          </cell>
          <cell r="F766">
            <v>2</v>
          </cell>
          <cell r="G766" t="str">
            <v>ja</v>
          </cell>
          <cell r="H766" t="str">
            <v>【ウィザード級】カーリー襲来</v>
          </cell>
          <cell r="I766" t="str">
            <v>地獄級</v>
          </cell>
          <cell r="J766">
            <v>1148</v>
          </cell>
          <cell r="K766">
            <v>40</v>
          </cell>
          <cell r="L766">
            <v>4500</v>
          </cell>
          <cell r="M766">
            <v>1</v>
          </cell>
          <cell r="N766">
            <v>1</v>
          </cell>
          <cell r="O766">
            <v>1</v>
          </cell>
          <cell r="P766">
            <v>1</v>
          </cell>
          <cell r="Q766">
            <v>1</v>
          </cell>
          <cell r="R766">
            <v>3</v>
          </cell>
          <cell r="S766" t="str">
            <v>polygon</v>
          </cell>
          <cell r="T766">
            <v>1</v>
          </cell>
          <cell r="U766" t="str">
            <v>NULL</v>
          </cell>
          <cell r="V766" t="str">
            <v>NULL</v>
          </cell>
          <cell r="W766" t="str">
            <v/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 t="str">
            <v>anytime</v>
          </cell>
          <cell r="AC766">
            <v>951</v>
          </cell>
          <cell r="AD766">
            <v>6</v>
          </cell>
          <cell r="AE766" t="str">
            <v>everyone</v>
          </cell>
        </row>
        <row r="767">
          <cell r="A767" t="str">
            <v>40035_1</v>
          </cell>
          <cell r="B767">
            <v>3</v>
          </cell>
          <cell r="C767">
            <v>40035</v>
          </cell>
          <cell r="D767" t="str">
            <v>ブラフマー襲来！</v>
          </cell>
          <cell r="E767" t="str">
            <v>降臨35</v>
          </cell>
          <cell r="F767">
            <v>1</v>
          </cell>
          <cell r="G767" t="str">
            <v>ja</v>
          </cell>
          <cell r="H767" t="str">
            <v>【超絶級】ブラフマー襲来</v>
          </cell>
          <cell r="I767" t="str">
            <v>超絶級</v>
          </cell>
          <cell r="J767">
            <v>1150</v>
          </cell>
          <cell r="K767">
            <v>35</v>
          </cell>
          <cell r="L767">
            <v>4200</v>
          </cell>
          <cell r="M767">
            <v>1</v>
          </cell>
          <cell r="N767">
            <v>1</v>
          </cell>
          <cell r="O767">
            <v>1</v>
          </cell>
          <cell r="P767">
            <v>1</v>
          </cell>
          <cell r="Q767">
            <v>1</v>
          </cell>
          <cell r="R767">
            <v>3</v>
          </cell>
          <cell r="S767" t="str">
            <v>polygon</v>
          </cell>
          <cell r="T767">
            <v>1</v>
          </cell>
          <cell r="U767" t="str">
            <v>NULL</v>
          </cell>
          <cell r="V767" t="str">
            <v>NULL</v>
          </cell>
          <cell r="W767" t="str">
            <v/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 t="str">
            <v>anytime</v>
          </cell>
          <cell r="AC767">
            <v>951</v>
          </cell>
          <cell r="AD767">
            <v>6</v>
          </cell>
          <cell r="AE767" t="str">
            <v>everyone</v>
          </cell>
        </row>
        <row r="768">
          <cell r="A768" t="str">
            <v>40035_2</v>
          </cell>
          <cell r="B768">
            <v>3</v>
          </cell>
          <cell r="C768">
            <v>40035</v>
          </cell>
          <cell r="D768" t="str">
            <v>ブラフマー襲来！</v>
          </cell>
          <cell r="E768" t="str">
            <v>降臨35</v>
          </cell>
          <cell r="F768">
            <v>2</v>
          </cell>
          <cell r="G768" t="str">
            <v>ja</v>
          </cell>
          <cell r="H768" t="str">
            <v>【ウィザード級】ブラフマー襲来</v>
          </cell>
          <cell r="I768" t="str">
            <v>地獄級</v>
          </cell>
          <cell r="J768">
            <v>1150</v>
          </cell>
          <cell r="K768">
            <v>40</v>
          </cell>
          <cell r="L768">
            <v>4500</v>
          </cell>
          <cell r="M768">
            <v>1</v>
          </cell>
          <cell r="N768">
            <v>1</v>
          </cell>
          <cell r="O768">
            <v>1</v>
          </cell>
          <cell r="P768">
            <v>1</v>
          </cell>
          <cell r="Q768">
            <v>1</v>
          </cell>
          <cell r="R768">
            <v>3</v>
          </cell>
          <cell r="S768" t="str">
            <v>polygon</v>
          </cell>
          <cell r="T768">
            <v>1</v>
          </cell>
          <cell r="U768" t="str">
            <v>NULL</v>
          </cell>
          <cell r="V768" t="str">
            <v>NULL</v>
          </cell>
          <cell r="W768" t="str">
            <v/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 t="str">
            <v>anytime</v>
          </cell>
          <cell r="AC768">
            <v>951</v>
          </cell>
          <cell r="AD768">
            <v>6</v>
          </cell>
          <cell r="AE768" t="str">
            <v>everyone</v>
          </cell>
        </row>
        <row r="769">
          <cell r="A769" t="str">
            <v>40036_1</v>
          </cell>
          <cell r="B769">
            <v>3</v>
          </cell>
          <cell r="C769">
            <v>40036</v>
          </cell>
          <cell r="D769" t="str">
            <v>ウラヌス襲来！</v>
          </cell>
          <cell r="E769" t="str">
            <v>降臨36</v>
          </cell>
          <cell r="F769">
            <v>1</v>
          </cell>
          <cell r="G769" t="str">
            <v>ja</v>
          </cell>
          <cell r="H769" t="str">
            <v>【超絶級】ウラヌス襲来</v>
          </cell>
          <cell r="I769" t="str">
            <v>超絶級</v>
          </cell>
          <cell r="J769">
            <v>1203</v>
          </cell>
          <cell r="K769">
            <v>35</v>
          </cell>
          <cell r="L769">
            <v>4200</v>
          </cell>
          <cell r="M769">
            <v>1</v>
          </cell>
          <cell r="N769">
            <v>1</v>
          </cell>
          <cell r="O769">
            <v>1</v>
          </cell>
          <cell r="P769">
            <v>1</v>
          </cell>
          <cell r="Q769">
            <v>1</v>
          </cell>
          <cell r="R769">
            <v>3</v>
          </cell>
          <cell r="S769" t="str">
            <v>polygon</v>
          </cell>
          <cell r="T769">
            <v>1</v>
          </cell>
          <cell r="U769" t="str">
            <v>NULL</v>
          </cell>
          <cell r="V769" t="str">
            <v>NULL</v>
          </cell>
          <cell r="W769" t="str">
            <v/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 t="str">
            <v>anytime</v>
          </cell>
          <cell r="AC769">
            <v>954</v>
          </cell>
          <cell r="AD769">
            <v>6</v>
          </cell>
          <cell r="AE769" t="str">
            <v>everyone</v>
          </cell>
        </row>
        <row r="770">
          <cell r="A770" t="str">
            <v>40036_2</v>
          </cell>
          <cell r="B770">
            <v>3</v>
          </cell>
          <cell r="C770">
            <v>40036</v>
          </cell>
          <cell r="D770" t="str">
            <v>ウラヌス襲来！</v>
          </cell>
          <cell r="E770" t="str">
            <v>降臨36</v>
          </cell>
          <cell r="F770">
            <v>2</v>
          </cell>
          <cell r="G770" t="str">
            <v>ja</v>
          </cell>
          <cell r="H770" t="str">
            <v>【ウィザード級】ウラヌス襲来</v>
          </cell>
          <cell r="I770" t="str">
            <v>地獄級</v>
          </cell>
          <cell r="J770">
            <v>1203</v>
          </cell>
          <cell r="K770">
            <v>40</v>
          </cell>
          <cell r="L770">
            <v>4500</v>
          </cell>
          <cell r="M770">
            <v>1</v>
          </cell>
          <cell r="N770">
            <v>1</v>
          </cell>
          <cell r="O770">
            <v>1</v>
          </cell>
          <cell r="P770">
            <v>1</v>
          </cell>
          <cell r="Q770">
            <v>1</v>
          </cell>
          <cell r="R770">
            <v>3</v>
          </cell>
          <cell r="S770" t="str">
            <v>polygon</v>
          </cell>
          <cell r="T770">
            <v>1</v>
          </cell>
          <cell r="U770" t="str">
            <v>NULL</v>
          </cell>
          <cell r="V770" t="str">
            <v>NULL</v>
          </cell>
          <cell r="W770" t="str">
            <v/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 t="str">
            <v>anytime</v>
          </cell>
          <cell r="AC770">
            <v>954</v>
          </cell>
          <cell r="AD770">
            <v>6</v>
          </cell>
          <cell r="AE770" t="str">
            <v>everyone</v>
          </cell>
        </row>
        <row r="771">
          <cell r="A771" t="str">
            <v>40037_1</v>
          </cell>
          <cell r="B771">
            <v>3</v>
          </cell>
          <cell r="C771">
            <v>40037</v>
          </cell>
          <cell r="D771" t="str">
            <v>デルピュネー襲来！</v>
          </cell>
          <cell r="E771" t="str">
            <v>降臨37</v>
          </cell>
          <cell r="F771">
            <v>1</v>
          </cell>
          <cell r="G771" t="str">
            <v>ja</v>
          </cell>
          <cell r="H771" t="str">
            <v>【超絶級】デルピュネー襲来</v>
          </cell>
          <cell r="I771" t="str">
            <v>超絶級</v>
          </cell>
          <cell r="J771">
            <v>1205</v>
          </cell>
          <cell r="K771">
            <v>35</v>
          </cell>
          <cell r="L771">
            <v>4200</v>
          </cell>
          <cell r="M771">
            <v>1</v>
          </cell>
          <cell r="N771">
            <v>1</v>
          </cell>
          <cell r="O771">
            <v>1</v>
          </cell>
          <cell r="P771">
            <v>1</v>
          </cell>
          <cell r="Q771">
            <v>1</v>
          </cell>
          <cell r="R771">
            <v>3</v>
          </cell>
          <cell r="S771" t="str">
            <v>polygon</v>
          </cell>
          <cell r="T771">
            <v>1</v>
          </cell>
          <cell r="U771" t="str">
            <v>NULL</v>
          </cell>
          <cell r="V771" t="str">
            <v>NULL</v>
          </cell>
          <cell r="W771" t="str">
            <v/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 t="str">
            <v>anytime</v>
          </cell>
          <cell r="AC771">
            <v>954</v>
          </cell>
          <cell r="AD771">
            <v>6</v>
          </cell>
          <cell r="AE771" t="str">
            <v>everyone</v>
          </cell>
        </row>
        <row r="772">
          <cell r="A772" t="str">
            <v>40037_2</v>
          </cell>
          <cell r="B772">
            <v>3</v>
          </cell>
          <cell r="C772">
            <v>40037</v>
          </cell>
          <cell r="D772" t="str">
            <v>デルピュネー襲来！</v>
          </cell>
          <cell r="E772" t="str">
            <v>降臨37</v>
          </cell>
          <cell r="F772">
            <v>2</v>
          </cell>
          <cell r="G772" t="str">
            <v>ja</v>
          </cell>
          <cell r="H772" t="str">
            <v>【ウィザード級】デルピュネー襲来</v>
          </cell>
          <cell r="I772" t="str">
            <v>地獄級</v>
          </cell>
          <cell r="J772">
            <v>1205</v>
          </cell>
          <cell r="K772">
            <v>40</v>
          </cell>
          <cell r="L772">
            <v>4500</v>
          </cell>
          <cell r="M772">
            <v>1</v>
          </cell>
          <cell r="N772">
            <v>1</v>
          </cell>
          <cell r="O772">
            <v>1</v>
          </cell>
          <cell r="P772">
            <v>1</v>
          </cell>
          <cell r="Q772">
            <v>1</v>
          </cell>
          <cell r="R772">
            <v>3</v>
          </cell>
          <cell r="S772" t="str">
            <v>polygon</v>
          </cell>
          <cell r="T772">
            <v>1</v>
          </cell>
          <cell r="U772" t="str">
            <v>NULL</v>
          </cell>
          <cell r="V772" t="str">
            <v>NULL</v>
          </cell>
          <cell r="W772" t="str">
            <v/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 t="str">
            <v>anytime</v>
          </cell>
          <cell r="AC772">
            <v>954</v>
          </cell>
          <cell r="AD772">
            <v>6</v>
          </cell>
          <cell r="AE772" t="str">
            <v>everyone</v>
          </cell>
        </row>
        <row r="773">
          <cell r="A773" t="str">
            <v>40038_1</v>
          </cell>
          <cell r="B773">
            <v>3</v>
          </cell>
          <cell r="C773">
            <v>40038</v>
          </cell>
          <cell r="D773" t="str">
            <v>太宰治襲来！</v>
          </cell>
          <cell r="E773" t="str">
            <v>降臨38</v>
          </cell>
          <cell r="F773">
            <v>1</v>
          </cell>
          <cell r="G773" t="str">
            <v>ja</v>
          </cell>
          <cell r="H773" t="str">
            <v>【超絶級】太宰治襲来</v>
          </cell>
          <cell r="I773" t="str">
            <v>超絶級</v>
          </cell>
          <cell r="J773">
            <v>1218</v>
          </cell>
          <cell r="K773">
            <v>35</v>
          </cell>
          <cell r="L773">
            <v>4200</v>
          </cell>
          <cell r="M773">
            <v>1</v>
          </cell>
          <cell r="N773">
            <v>1</v>
          </cell>
          <cell r="O773">
            <v>1</v>
          </cell>
          <cell r="P773">
            <v>1</v>
          </cell>
          <cell r="Q773">
            <v>0</v>
          </cell>
          <cell r="R773">
            <v>3</v>
          </cell>
          <cell r="S773" t="str">
            <v>polygon</v>
          </cell>
          <cell r="T773">
            <v>1</v>
          </cell>
          <cell r="U773" t="str">
            <v>NULL</v>
          </cell>
          <cell r="V773" t="str">
            <v>NULL</v>
          </cell>
          <cell r="W773" t="str">
            <v/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 t="str">
            <v>anytime</v>
          </cell>
          <cell r="AC773">
            <v>956</v>
          </cell>
          <cell r="AD773">
            <v>6</v>
          </cell>
          <cell r="AE773" t="str">
            <v>everyone</v>
          </cell>
        </row>
        <row r="774">
          <cell r="A774" t="str">
            <v>40038_2</v>
          </cell>
          <cell r="B774">
            <v>3</v>
          </cell>
          <cell r="C774">
            <v>40038</v>
          </cell>
          <cell r="D774" t="str">
            <v>太宰治襲来！</v>
          </cell>
          <cell r="E774" t="str">
            <v>降臨38</v>
          </cell>
          <cell r="F774">
            <v>2</v>
          </cell>
          <cell r="G774" t="str">
            <v>ja</v>
          </cell>
          <cell r="H774" t="str">
            <v>【ウィザード級】太宰治襲来</v>
          </cell>
          <cell r="I774" t="str">
            <v>地獄級</v>
          </cell>
          <cell r="J774">
            <v>1219</v>
          </cell>
          <cell r="K774">
            <v>40</v>
          </cell>
          <cell r="L774">
            <v>4500</v>
          </cell>
          <cell r="M774">
            <v>1</v>
          </cell>
          <cell r="N774">
            <v>1</v>
          </cell>
          <cell r="O774">
            <v>1</v>
          </cell>
          <cell r="P774">
            <v>1</v>
          </cell>
          <cell r="Q774">
            <v>0</v>
          </cell>
          <cell r="R774">
            <v>3</v>
          </cell>
          <cell r="S774" t="str">
            <v>polygon</v>
          </cell>
          <cell r="T774">
            <v>1</v>
          </cell>
          <cell r="U774" t="str">
            <v>NULL</v>
          </cell>
          <cell r="V774" t="str">
            <v>NULL</v>
          </cell>
          <cell r="W774" t="str">
            <v/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 t="str">
            <v>anytime</v>
          </cell>
          <cell r="AC774">
            <v>956</v>
          </cell>
          <cell r="AD774">
            <v>6</v>
          </cell>
          <cell r="AE774" t="str">
            <v>everyone</v>
          </cell>
        </row>
        <row r="775">
          <cell r="A775" t="str">
            <v>40039_1</v>
          </cell>
          <cell r="B775">
            <v>3</v>
          </cell>
          <cell r="C775">
            <v>40039</v>
          </cell>
          <cell r="D775" t="str">
            <v>シェイクスピア襲来！</v>
          </cell>
          <cell r="E775" t="str">
            <v>降臨39</v>
          </cell>
          <cell r="F775">
            <v>1</v>
          </cell>
          <cell r="G775" t="str">
            <v>ja</v>
          </cell>
          <cell r="H775" t="str">
            <v>【超絶級】シェイクスピア襲来</v>
          </cell>
          <cell r="I775" t="str">
            <v>超絶級</v>
          </cell>
          <cell r="J775">
            <v>1220</v>
          </cell>
          <cell r="K775">
            <v>35</v>
          </cell>
          <cell r="L775">
            <v>4200</v>
          </cell>
          <cell r="M775">
            <v>1</v>
          </cell>
          <cell r="N775">
            <v>1</v>
          </cell>
          <cell r="O775">
            <v>1</v>
          </cell>
          <cell r="P775">
            <v>1</v>
          </cell>
          <cell r="Q775">
            <v>1</v>
          </cell>
          <cell r="R775">
            <v>3</v>
          </cell>
          <cell r="S775" t="str">
            <v>polygon</v>
          </cell>
          <cell r="T775">
            <v>1</v>
          </cell>
          <cell r="U775" t="str">
            <v>NULL</v>
          </cell>
          <cell r="V775" t="str">
            <v>NULL</v>
          </cell>
          <cell r="W775" t="str">
            <v/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 t="str">
            <v>anytime</v>
          </cell>
          <cell r="AC775">
            <v>956</v>
          </cell>
          <cell r="AD775">
            <v>6</v>
          </cell>
          <cell r="AE775" t="str">
            <v>everyone</v>
          </cell>
        </row>
        <row r="776">
          <cell r="A776" t="str">
            <v>40039_2</v>
          </cell>
          <cell r="B776">
            <v>3</v>
          </cell>
          <cell r="C776">
            <v>40039</v>
          </cell>
          <cell r="D776" t="str">
            <v>シェイクスピア襲来！</v>
          </cell>
          <cell r="E776" t="str">
            <v>降臨39</v>
          </cell>
          <cell r="F776">
            <v>2</v>
          </cell>
          <cell r="G776" t="str">
            <v>ja</v>
          </cell>
          <cell r="H776" t="str">
            <v>【ウィザード級】シェイクスピア襲来</v>
          </cell>
          <cell r="I776" t="str">
            <v>地獄級</v>
          </cell>
          <cell r="J776">
            <v>1221</v>
          </cell>
          <cell r="K776">
            <v>40</v>
          </cell>
          <cell r="L776">
            <v>4500</v>
          </cell>
          <cell r="M776">
            <v>1</v>
          </cell>
          <cell r="N776">
            <v>1</v>
          </cell>
          <cell r="O776">
            <v>1</v>
          </cell>
          <cell r="P776">
            <v>1</v>
          </cell>
          <cell r="Q776">
            <v>1</v>
          </cell>
          <cell r="R776">
            <v>3</v>
          </cell>
          <cell r="S776" t="str">
            <v>polygon</v>
          </cell>
          <cell r="T776">
            <v>1</v>
          </cell>
          <cell r="U776" t="str">
            <v>NULL</v>
          </cell>
          <cell r="V776" t="str">
            <v>NULL</v>
          </cell>
          <cell r="W776" t="str">
            <v/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 t="str">
            <v>anytime</v>
          </cell>
          <cell r="AC776">
            <v>956</v>
          </cell>
          <cell r="AD776">
            <v>6</v>
          </cell>
          <cell r="AE776" t="str">
            <v>everyone</v>
          </cell>
        </row>
        <row r="777">
          <cell r="A777" t="str">
            <v>40040_1</v>
          </cell>
          <cell r="B777">
            <v>3</v>
          </cell>
          <cell r="C777">
            <v>40040</v>
          </cell>
          <cell r="D777" t="str">
            <v>竹中半兵衛襲来！</v>
          </cell>
          <cell r="E777" t="str">
            <v>降臨40</v>
          </cell>
          <cell r="F777">
            <v>1</v>
          </cell>
          <cell r="G777" t="str">
            <v>ja</v>
          </cell>
          <cell r="H777" t="str">
            <v>【超絶級】竹中半兵衛襲来</v>
          </cell>
          <cell r="I777" t="str">
            <v>超絶級</v>
          </cell>
          <cell r="J777">
            <v>1241</v>
          </cell>
          <cell r="K777">
            <v>35</v>
          </cell>
          <cell r="L777">
            <v>4200</v>
          </cell>
          <cell r="M777">
            <v>1</v>
          </cell>
          <cell r="N777">
            <v>1</v>
          </cell>
          <cell r="O777">
            <v>1</v>
          </cell>
          <cell r="P777">
            <v>1</v>
          </cell>
          <cell r="Q777">
            <v>1</v>
          </cell>
          <cell r="R777">
            <v>3</v>
          </cell>
          <cell r="S777" t="str">
            <v>polygon</v>
          </cell>
          <cell r="T777">
            <v>1</v>
          </cell>
          <cell r="U777" t="str">
            <v>NULL</v>
          </cell>
          <cell r="V777" t="str">
            <v>NULL</v>
          </cell>
          <cell r="W777" t="str">
            <v/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 t="str">
            <v>anytime</v>
          </cell>
          <cell r="AC777">
            <v>958</v>
          </cell>
          <cell r="AD777">
            <v>6</v>
          </cell>
          <cell r="AE777" t="str">
            <v>everyone</v>
          </cell>
        </row>
        <row r="778">
          <cell r="A778" t="str">
            <v>40040_2</v>
          </cell>
          <cell r="B778">
            <v>3</v>
          </cell>
          <cell r="C778">
            <v>40040</v>
          </cell>
          <cell r="D778" t="str">
            <v>竹中半兵衛襲来！</v>
          </cell>
          <cell r="E778" t="str">
            <v>降臨40</v>
          </cell>
          <cell r="F778">
            <v>2</v>
          </cell>
          <cell r="G778" t="str">
            <v>ja</v>
          </cell>
          <cell r="H778" t="str">
            <v>【ウィザード級】竹中半兵衛襲来</v>
          </cell>
          <cell r="I778" t="str">
            <v>地獄級</v>
          </cell>
          <cell r="J778">
            <v>1241</v>
          </cell>
          <cell r="K778">
            <v>40</v>
          </cell>
          <cell r="L778">
            <v>4500</v>
          </cell>
          <cell r="M778">
            <v>1</v>
          </cell>
          <cell r="N778">
            <v>1</v>
          </cell>
          <cell r="O778">
            <v>1</v>
          </cell>
          <cell r="P778">
            <v>1</v>
          </cell>
          <cell r="Q778">
            <v>1</v>
          </cell>
          <cell r="R778">
            <v>3</v>
          </cell>
          <cell r="S778" t="str">
            <v>polygon</v>
          </cell>
          <cell r="T778">
            <v>1</v>
          </cell>
          <cell r="U778" t="str">
            <v>NULL</v>
          </cell>
          <cell r="V778" t="str">
            <v>NULL</v>
          </cell>
          <cell r="W778" t="str">
            <v/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 t="str">
            <v>anytime</v>
          </cell>
          <cell r="AC778">
            <v>958</v>
          </cell>
          <cell r="AD778">
            <v>6</v>
          </cell>
          <cell r="AE778" t="str">
            <v>everyone</v>
          </cell>
        </row>
        <row r="779">
          <cell r="A779" t="str">
            <v>40041_1</v>
          </cell>
          <cell r="B779">
            <v>3</v>
          </cell>
          <cell r="C779">
            <v>40041</v>
          </cell>
          <cell r="D779" t="str">
            <v>ポーラとダニー襲来！</v>
          </cell>
          <cell r="E779" t="str">
            <v>降臨41</v>
          </cell>
          <cell r="F779">
            <v>1</v>
          </cell>
          <cell r="G779" t="str">
            <v>ja</v>
          </cell>
          <cell r="H779" t="str">
            <v>【超絶級】ポーラとダニー襲来！</v>
          </cell>
          <cell r="I779" t="str">
            <v>地獄級</v>
          </cell>
          <cell r="J779">
            <v>1283</v>
          </cell>
          <cell r="K779">
            <v>35</v>
          </cell>
          <cell r="L779">
            <v>4200</v>
          </cell>
          <cell r="M779">
            <v>1</v>
          </cell>
          <cell r="N779">
            <v>1</v>
          </cell>
          <cell r="O779">
            <v>1</v>
          </cell>
          <cell r="P779">
            <v>1</v>
          </cell>
          <cell r="Q779">
            <v>1</v>
          </cell>
          <cell r="R779">
            <v>3</v>
          </cell>
          <cell r="S779" t="str">
            <v>polygon</v>
          </cell>
          <cell r="T779">
            <v>1</v>
          </cell>
          <cell r="U779" t="str">
            <v>NULL</v>
          </cell>
          <cell r="V779" t="str">
            <v>NULL</v>
          </cell>
          <cell r="W779" t="str">
            <v/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 t="str">
            <v>anytime</v>
          </cell>
          <cell r="AC779">
            <v>962</v>
          </cell>
          <cell r="AD779">
            <v>6</v>
          </cell>
          <cell r="AE779" t="str">
            <v>everyone</v>
          </cell>
        </row>
        <row r="780">
          <cell r="A780" t="str">
            <v>40041_2</v>
          </cell>
          <cell r="B780">
            <v>3</v>
          </cell>
          <cell r="C780">
            <v>40041</v>
          </cell>
          <cell r="D780" t="str">
            <v>ポーラとダニー襲来！</v>
          </cell>
          <cell r="E780" t="str">
            <v>降臨41</v>
          </cell>
          <cell r="F780">
            <v>2</v>
          </cell>
          <cell r="G780" t="str">
            <v>ja</v>
          </cell>
          <cell r="H780" t="str">
            <v>【ｳｨｻﾞ】ポーラとダニー襲来！</v>
          </cell>
          <cell r="I780" t="str">
            <v>地獄級</v>
          </cell>
          <cell r="J780">
            <v>1283</v>
          </cell>
          <cell r="K780">
            <v>40</v>
          </cell>
          <cell r="L780">
            <v>4500</v>
          </cell>
          <cell r="M780">
            <v>1</v>
          </cell>
          <cell r="N780">
            <v>1</v>
          </cell>
          <cell r="O780">
            <v>1</v>
          </cell>
          <cell r="P780">
            <v>1</v>
          </cell>
          <cell r="Q780">
            <v>1</v>
          </cell>
          <cell r="R780">
            <v>3</v>
          </cell>
          <cell r="S780" t="str">
            <v>polygon</v>
          </cell>
          <cell r="T780">
            <v>1</v>
          </cell>
          <cell r="U780" t="str">
            <v>NULL</v>
          </cell>
          <cell r="V780" t="str">
            <v>NULL</v>
          </cell>
          <cell r="W780" t="str">
            <v/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 t="str">
            <v>anytime</v>
          </cell>
          <cell r="AC780">
            <v>962</v>
          </cell>
          <cell r="AD780">
            <v>6</v>
          </cell>
          <cell r="AE780" t="str">
            <v>everyone</v>
          </cell>
        </row>
        <row r="781">
          <cell r="A781" t="str">
            <v>40042_1</v>
          </cell>
          <cell r="B781">
            <v>3</v>
          </cell>
          <cell r="C781">
            <v>40042</v>
          </cell>
          <cell r="D781" t="str">
            <v>ヘル襲来！</v>
          </cell>
          <cell r="E781" t="str">
            <v>降臨42</v>
          </cell>
          <cell r="F781">
            <v>1</v>
          </cell>
          <cell r="G781" t="str">
            <v>ja</v>
          </cell>
          <cell r="H781" t="str">
            <v>【超絶級】ヘル襲来</v>
          </cell>
          <cell r="I781" t="str">
            <v>超絶級</v>
          </cell>
          <cell r="J781">
            <v>1257</v>
          </cell>
          <cell r="K781">
            <v>35</v>
          </cell>
          <cell r="L781">
            <v>4200</v>
          </cell>
          <cell r="M781">
            <v>1</v>
          </cell>
          <cell r="N781">
            <v>1</v>
          </cell>
          <cell r="O781">
            <v>1</v>
          </cell>
          <cell r="P781">
            <v>1</v>
          </cell>
          <cell r="Q781">
            <v>1</v>
          </cell>
          <cell r="R781">
            <v>3</v>
          </cell>
          <cell r="S781" t="str">
            <v>polygon</v>
          </cell>
          <cell r="T781">
            <v>1</v>
          </cell>
          <cell r="U781" t="str">
            <v>NULL</v>
          </cell>
          <cell r="V781" t="str">
            <v>NULL</v>
          </cell>
          <cell r="W781" t="str">
            <v/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 t="str">
            <v>anytime</v>
          </cell>
          <cell r="AC781">
            <v>960</v>
          </cell>
          <cell r="AD781">
            <v>6</v>
          </cell>
          <cell r="AE781" t="str">
            <v>everyone</v>
          </cell>
        </row>
        <row r="782">
          <cell r="A782" t="str">
            <v>40042_2</v>
          </cell>
          <cell r="B782">
            <v>3</v>
          </cell>
          <cell r="C782">
            <v>40042</v>
          </cell>
          <cell r="D782" t="str">
            <v>ヘル襲来！</v>
          </cell>
          <cell r="E782" t="str">
            <v>降臨42</v>
          </cell>
          <cell r="F782">
            <v>2</v>
          </cell>
          <cell r="G782" t="str">
            <v>ja</v>
          </cell>
          <cell r="H782" t="str">
            <v>【ウィザード級】ヘル襲来</v>
          </cell>
          <cell r="I782" t="str">
            <v>地獄級</v>
          </cell>
          <cell r="J782">
            <v>1257</v>
          </cell>
          <cell r="K782">
            <v>40</v>
          </cell>
          <cell r="L782">
            <v>4500</v>
          </cell>
          <cell r="M782">
            <v>1</v>
          </cell>
          <cell r="N782">
            <v>1</v>
          </cell>
          <cell r="O782">
            <v>1</v>
          </cell>
          <cell r="P782">
            <v>1</v>
          </cell>
          <cell r="Q782">
            <v>1</v>
          </cell>
          <cell r="R782">
            <v>3</v>
          </cell>
          <cell r="S782" t="str">
            <v>polygon</v>
          </cell>
          <cell r="T782">
            <v>1</v>
          </cell>
          <cell r="U782" t="str">
            <v>NULL</v>
          </cell>
          <cell r="V782" t="str">
            <v>NULL</v>
          </cell>
          <cell r="W782" t="str">
            <v/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 t="str">
            <v>anytime</v>
          </cell>
          <cell r="AC782">
            <v>960</v>
          </cell>
          <cell r="AD782">
            <v>6</v>
          </cell>
          <cell r="AE782" t="str">
            <v>everyone</v>
          </cell>
        </row>
        <row r="783">
          <cell r="A783" t="str">
            <v>40043_1</v>
          </cell>
          <cell r="B783">
            <v>3</v>
          </cell>
          <cell r="C783">
            <v>40043</v>
          </cell>
          <cell r="D783" t="str">
            <v>ワカヒルメ襲来！</v>
          </cell>
          <cell r="E783" t="str">
            <v>降臨43</v>
          </cell>
          <cell r="F783">
            <v>1</v>
          </cell>
          <cell r="G783" t="str">
            <v>ja</v>
          </cell>
          <cell r="H783" t="str">
            <v>【超絶級】ワカヒルメ襲来</v>
          </cell>
          <cell r="I783" t="str">
            <v>超絶級</v>
          </cell>
          <cell r="J783">
            <v>1327</v>
          </cell>
          <cell r="K783">
            <v>35</v>
          </cell>
          <cell r="L783">
            <v>4200</v>
          </cell>
          <cell r="M783">
            <v>1</v>
          </cell>
          <cell r="N783">
            <v>1</v>
          </cell>
          <cell r="O783">
            <v>1</v>
          </cell>
          <cell r="P783">
            <v>1</v>
          </cell>
          <cell r="Q783">
            <v>1</v>
          </cell>
          <cell r="R783">
            <v>3</v>
          </cell>
          <cell r="S783" t="str">
            <v>polygon</v>
          </cell>
          <cell r="T783">
            <v>1</v>
          </cell>
          <cell r="U783" t="str">
            <v>NULL</v>
          </cell>
          <cell r="V783" t="str">
            <v>NULL</v>
          </cell>
          <cell r="W783" t="str">
            <v/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 t="str">
            <v>anytime</v>
          </cell>
          <cell r="AC783">
            <v>966</v>
          </cell>
          <cell r="AD783">
            <v>6</v>
          </cell>
          <cell r="AE783" t="str">
            <v>everyone</v>
          </cell>
        </row>
        <row r="784">
          <cell r="A784" t="str">
            <v>40043_2</v>
          </cell>
          <cell r="B784">
            <v>3</v>
          </cell>
          <cell r="C784">
            <v>40043</v>
          </cell>
          <cell r="D784" t="str">
            <v>ワカヒルメ襲来！</v>
          </cell>
          <cell r="E784" t="str">
            <v>降臨43</v>
          </cell>
          <cell r="F784">
            <v>2</v>
          </cell>
          <cell r="G784" t="str">
            <v>ja</v>
          </cell>
          <cell r="H784" t="str">
            <v>【ウィザード級】ワカヒルメ襲来</v>
          </cell>
          <cell r="I784" t="str">
            <v>地獄級</v>
          </cell>
          <cell r="J784">
            <v>1327</v>
          </cell>
          <cell r="K784">
            <v>40</v>
          </cell>
          <cell r="L784">
            <v>4500</v>
          </cell>
          <cell r="M784">
            <v>1</v>
          </cell>
          <cell r="N784">
            <v>1</v>
          </cell>
          <cell r="O784">
            <v>1</v>
          </cell>
          <cell r="P784">
            <v>1</v>
          </cell>
          <cell r="Q784">
            <v>1</v>
          </cell>
          <cell r="R784">
            <v>3</v>
          </cell>
          <cell r="S784" t="str">
            <v>polygon</v>
          </cell>
          <cell r="T784">
            <v>1</v>
          </cell>
          <cell r="U784" t="str">
            <v>NULL</v>
          </cell>
          <cell r="V784" t="str">
            <v>NULL</v>
          </cell>
          <cell r="W784" t="str">
            <v/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 t="str">
            <v>anytime</v>
          </cell>
          <cell r="AC784">
            <v>966</v>
          </cell>
          <cell r="AD784">
            <v>6</v>
          </cell>
          <cell r="AE784" t="str">
            <v>everyone</v>
          </cell>
        </row>
        <row r="785">
          <cell r="A785" t="str">
            <v>41001_1</v>
          </cell>
          <cell r="B785">
            <v>3</v>
          </cell>
          <cell r="C785">
            <v>41001</v>
          </cell>
          <cell r="D785" t="str">
            <v>アマテラス襲来！</v>
          </cell>
          <cell r="E785" t="str">
            <v>降臨1</v>
          </cell>
          <cell r="F785">
            <v>1</v>
          </cell>
          <cell r="G785" t="str">
            <v>ja</v>
          </cell>
          <cell r="H785" t="str">
            <v>【超絶級】アマテラス襲来</v>
          </cell>
          <cell r="I785" t="str">
            <v>超絶級</v>
          </cell>
          <cell r="J785">
            <v>279</v>
          </cell>
          <cell r="K785">
            <v>35</v>
          </cell>
          <cell r="L785">
            <v>4200</v>
          </cell>
          <cell r="M785">
            <v>1</v>
          </cell>
          <cell r="N785">
            <v>1</v>
          </cell>
          <cell r="O785">
            <v>1</v>
          </cell>
          <cell r="P785">
            <v>1</v>
          </cell>
          <cell r="Q785">
            <v>1</v>
          </cell>
          <cell r="R785">
            <v>3</v>
          </cell>
          <cell r="S785" t="str">
            <v>polygon</v>
          </cell>
          <cell r="T785">
            <v>1</v>
          </cell>
          <cell r="U785" t="str">
            <v>NULL</v>
          </cell>
          <cell r="V785" t="str">
            <v>NULL</v>
          </cell>
          <cell r="W785" t="str">
            <v/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 t="str">
            <v>anytime</v>
          </cell>
          <cell r="AC785">
            <v>901</v>
          </cell>
          <cell r="AD785">
            <v>6</v>
          </cell>
          <cell r="AE785" t="str">
            <v>everyone</v>
          </cell>
        </row>
        <row r="786">
          <cell r="A786" t="str">
            <v>41001_2</v>
          </cell>
          <cell r="B786">
            <v>3</v>
          </cell>
          <cell r="C786">
            <v>41001</v>
          </cell>
          <cell r="D786" t="str">
            <v>アマテラス襲来！</v>
          </cell>
          <cell r="E786" t="str">
            <v>降臨1</v>
          </cell>
          <cell r="F786">
            <v>2</v>
          </cell>
          <cell r="G786" t="str">
            <v>ja</v>
          </cell>
          <cell r="H786" t="str">
            <v>【ウィザード級】アマテラス襲来</v>
          </cell>
          <cell r="I786" t="str">
            <v>地獄級</v>
          </cell>
          <cell r="J786">
            <v>810</v>
          </cell>
          <cell r="K786">
            <v>40</v>
          </cell>
          <cell r="L786">
            <v>4500</v>
          </cell>
          <cell r="M786">
            <v>1</v>
          </cell>
          <cell r="N786">
            <v>1</v>
          </cell>
          <cell r="O786">
            <v>1</v>
          </cell>
          <cell r="P786">
            <v>1</v>
          </cell>
          <cell r="Q786">
            <v>1</v>
          </cell>
          <cell r="R786">
            <v>3</v>
          </cell>
          <cell r="S786" t="str">
            <v>polygon</v>
          </cell>
          <cell r="T786">
            <v>1</v>
          </cell>
          <cell r="U786" t="str">
            <v>NULL</v>
          </cell>
          <cell r="V786" t="str">
            <v>NULL</v>
          </cell>
          <cell r="W786" t="str">
            <v/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 t="str">
            <v>anytime</v>
          </cell>
          <cell r="AC786">
            <v>901</v>
          </cell>
          <cell r="AD786">
            <v>6</v>
          </cell>
          <cell r="AE786" t="str">
            <v>everyone</v>
          </cell>
        </row>
        <row r="787">
          <cell r="A787" t="str">
            <v>41001_3</v>
          </cell>
          <cell r="B787">
            <v>1</v>
          </cell>
          <cell r="C787">
            <v>41001</v>
          </cell>
          <cell r="D787" t="str">
            <v>アマテラス襲来！</v>
          </cell>
          <cell r="E787" t="str">
            <v>降臨1</v>
          </cell>
          <cell r="F787">
            <v>3</v>
          </cell>
          <cell r="G787" t="str">
            <v>ja</v>
          </cell>
          <cell r="H787" t="str">
            <v>【ノーコンテニュー】アマテラス襲来</v>
          </cell>
          <cell r="I787" t="str">
            <v>地獄級</v>
          </cell>
          <cell r="J787">
            <v>810</v>
          </cell>
          <cell r="K787">
            <v>40</v>
          </cell>
          <cell r="L787">
            <v>4500</v>
          </cell>
          <cell r="M787">
            <v>1</v>
          </cell>
          <cell r="N787">
            <v>1</v>
          </cell>
          <cell r="O787">
            <v>1</v>
          </cell>
          <cell r="P787">
            <v>1</v>
          </cell>
          <cell r="Q787">
            <v>1</v>
          </cell>
          <cell r="R787">
            <v>3</v>
          </cell>
          <cell r="S787" t="str">
            <v>polygon</v>
          </cell>
          <cell r="T787">
            <v>1</v>
          </cell>
          <cell r="U787" t="str">
            <v>NULL</v>
          </cell>
          <cell r="V787" t="str">
            <v>NULL</v>
          </cell>
          <cell r="W787" t="str">
            <v/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 t="str">
            <v>anytime</v>
          </cell>
          <cell r="AC787">
            <v>901</v>
          </cell>
          <cell r="AD787">
            <v>6</v>
          </cell>
          <cell r="AE787" t="str">
            <v>everyone</v>
          </cell>
        </row>
        <row r="788">
          <cell r="A788" t="str">
            <v>41002_1</v>
          </cell>
          <cell r="B788">
            <v>3</v>
          </cell>
          <cell r="C788">
            <v>41002</v>
          </cell>
          <cell r="D788" t="str">
            <v>アザゼル襲来！</v>
          </cell>
          <cell r="E788" t="str">
            <v>降臨1</v>
          </cell>
          <cell r="F788">
            <v>1</v>
          </cell>
          <cell r="G788" t="str">
            <v>ja</v>
          </cell>
          <cell r="H788" t="str">
            <v>【超絶級】アザゼル襲来</v>
          </cell>
          <cell r="I788" t="str">
            <v>超絶級</v>
          </cell>
          <cell r="J788">
            <v>297</v>
          </cell>
          <cell r="K788">
            <v>35</v>
          </cell>
          <cell r="L788">
            <v>4200</v>
          </cell>
          <cell r="M788">
            <v>1</v>
          </cell>
          <cell r="N788">
            <v>1</v>
          </cell>
          <cell r="O788">
            <v>1</v>
          </cell>
          <cell r="P788">
            <v>1</v>
          </cell>
          <cell r="Q788">
            <v>1</v>
          </cell>
          <cell r="R788">
            <v>3</v>
          </cell>
          <cell r="S788" t="str">
            <v>polygon</v>
          </cell>
          <cell r="T788">
            <v>1</v>
          </cell>
          <cell r="U788" t="str">
            <v>NULL</v>
          </cell>
          <cell r="V788" t="str">
            <v>NULL</v>
          </cell>
          <cell r="W788" t="str">
            <v/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 t="str">
            <v>anytime</v>
          </cell>
          <cell r="AC788">
            <v>902</v>
          </cell>
          <cell r="AD788">
            <v>6</v>
          </cell>
          <cell r="AE788" t="str">
            <v>everyone</v>
          </cell>
        </row>
        <row r="789">
          <cell r="A789" t="str">
            <v>41002_2</v>
          </cell>
          <cell r="B789">
            <v>3</v>
          </cell>
          <cell r="C789">
            <v>41002</v>
          </cell>
          <cell r="D789" t="str">
            <v>アザゼル襲来！</v>
          </cell>
          <cell r="E789" t="str">
            <v>降臨1</v>
          </cell>
          <cell r="F789">
            <v>2</v>
          </cell>
          <cell r="G789" t="str">
            <v>ja</v>
          </cell>
          <cell r="H789" t="str">
            <v>【ウィザード級】アザゼル襲来</v>
          </cell>
          <cell r="I789" t="str">
            <v>地獄級</v>
          </cell>
          <cell r="J789">
            <v>812</v>
          </cell>
          <cell r="K789">
            <v>40</v>
          </cell>
          <cell r="L789">
            <v>4500</v>
          </cell>
          <cell r="M789">
            <v>1</v>
          </cell>
          <cell r="N789">
            <v>1</v>
          </cell>
          <cell r="O789">
            <v>1</v>
          </cell>
          <cell r="P789">
            <v>1</v>
          </cell>
          <cell r="Q789">
            <v>1</v>
          </cell>
          <cell r="R789">
            <v>3</v>
          </cell>
          <cell r="S789" t="str">
            <v>polygon</v>
          </cell>
          <cell r="T789">
            <v>1</v>
          </cell>
          <cell r="U789" t="str">
            <v>NULL</v>
          </cell>
          <cell r="V789" t="str">
            <v>NULL</v>
          </cell>
          <cell r="W789" t="str">
            <v/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 t="str">
            <v>anytime</v>
          </cell>
          <cell r="AC789">
            <v>902</v>
          </cell>
          <cell r="AD789">
            <v>6</v>
          </cell>
          <cell r="AE789" t="str">
            <v>everyone</v>
          </cell>
        </row>
        <row r="790">
          <cell r="A790" t="str">
            <v>41002_3</v>
          </cell>
          <cell r="B790">
            <v>1</v>
          </cell>
          <cell r="C790">
            <v>41002</v>
          </cell>
          <cell r="D790" t="str">
            <v>アザゼル襲来！</v>
          </cell>
          <cell r="E790" t="str">
            <v>降臨1</v>
          </cell>
          <cell r="F790">
            <v>3</v>
          </cell>
          <cell r="G790" t="str">
            <v>ja</v>
          </cell>
          <cell r="H790" t="str">
            <v>【ノーコンテニュー】アザゼル襲来</v>
          </cell>
          <cell r="I790" t="str">
            <v>地獄級</v>
          </cell>
          <cell r="J790">
            <v>812</v>
          </cell>
          <cell r="K790">
            <v>40</v>
          </cell>
          <cell r="L790">
            <v>4500</v>
          </cell>
          <cell r="M790">
            <v>1</v>
          </cell>
          <cell r="N790">
            <v>1</v>
          </cell>
          <cell r="O790">
            <v>1</v>
          </cell>
          <cell r="P790">
            <v>1</v>
          </cell>
          <cell r="Q790">
            <v>1</v>
          </cell>
          <cell r="R790">
            <v>3</v>
          </cell>
          <cell r="S790" t="str">
            <v>polygon</v>
          </cell>
          <cell r="T790">
            <v>1</v>
          </cell>
          <cell r="U790" t="str">
            <v>NULL</v>
          </cell>
          <cell r="V790" t="str">
            <v>NULL</v>
          </cell>
          <cell r="W790" t="str">
            <v/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 t="str">
            <v>anytime</v>
          </cell>
          <cell r="AC790">
            <v>902</v>
          </cell>
          <cell r="AD790">
            <v>6</v>
          </cell>
          <cell r="AE790" t="str">
            <v>everyone</v>
          </cell>
        </row>
        <row r="791">
          <cell r="A791" t="str">
            <v>41003_1</v>
          </cell>
          <cell r="B791">
            <v>3</v>
          </cell>
          <cell r="C791">
            <v>41003</v>
          </cell>
          <cell r="D791" t="str">
            <v>ジャンヌ襲来！</v>
          </cell>
          <cell r="E791" t="str">
            <v>降臨1</v>
          </cell>
          <cell r="F791">
            <v>1</v>
          </cell>
          <cell r="G791" t="str">
            <v>ja</v>
          </cell>
          <cell r="H791" t="str">
            <v>【超絶級】ジャンヌ襲来</v>
          </cell>
          <cell r="I791" t="str">
            <v>超絶級</v>
          </cell>
          <cell r="J791">
            <v>315</v>
          </cell>
          <cell r="K791">
            <v>35</v>
          </cell>
          <cell r="L791">
            <v>4200</v>
          </cell>
          <cell r="M791">
            <v>1</v>
          </cell>
          <cell r="N791">
            <v>1</v>
          </cell>
          <cell r="O791">
            <v>1</v>
          </cell>
          <cell r="P791">
            <v>1</v>
          </cell>
          <cell r="Q791">
            <v>1</v>
          </cell>
          <cell r="R791">
            <v>3</v>
          </cell>
          <cell r="S791" t="str">
            <v>polygon</v>
          </cell>
          <cell r="T791">
            <v>1</v>
          </cell>
          <cell r="U791" t="str">
            <v>NULL</v>
          </cell>
          <cell r="V791" t="str">
            <v>NULL</v>
          </cell>
          <cell r="W791" t="str">
            <v/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 t="str">
            <v>anytime</v>
          </cell>
          <cell r="AC791">
            <v>903</v>
          </cell>
          <cell r="AD791">
            <v>6</v>
          </cell>
          <cell r="AE791" t="str">
            <v>everyone</v>
          </cell>
        </row>
        <row r="792">
          <cell r="A792" t="str">
            <v>41003_2</v>
          </cell>
          <cell r="B792">
            <v>3</v>
          </cell>
          <cell r="C792">
            <v>41003</v>
          </cell>
          <cell r="D792" t="str">
            <v>ジャンヌ襲来！</v>
          </cell>
          <cell r="E792" t="str">
            <v>降臨1</v>
          </cell>
          <cell r="F792">
            <v>2</v>
          </cell>
          <cell r="G792" t="str">
            <v>ja</v>
          </cell>
          <cell r="H792" t="str">
            <v>【ウィザード級】ジャンヌ襲来</v>
          </cell>
          <cell r="I792" t="str">
            <v>地獄級</v>
          </cell>
          <cell r="J792">
            <v>814</v>
          </cell>
          <cell r="K792">
            <v>40</v>
          </cell>
          <cell r="L792">
            <v>4500</v>
          </cell>
          <cell r="M792">
            <v>1</v>
          </cell>
          <cell r="N792">
            <v>1</v>
          </cell>
          <cell r="O792">
            <v>1</v>
          </cell>
          <cell r="P792">
            <v>1</v>
          </cell>
          <cell r="Q792">
            <v>1</v>
          </cell>
          <cell r="R792">
            <v>3</v>
          </cell>
          <cell r="S792" t="str">
            <v>polygon</v>
          </cell>
          <cell r="T792">
            <v>1</v>
          </cell>
          <cell r="U792" t="str">
            <v>NULL</v>
          </cell>
          <cell r="V792" t="str">
            <v>NULL</v>
          </cell>
          <cell r="W792" t="str">
            <v/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 t="str">
            <v>anytime</v>
          </cell>
          <cell r="AC792">
            <v>903</v>
          </cell>
          <cell r="AD792">
            <v>6</v>
          </cell>
          <cell r="AE792" t="str">
            <v>everyone</v>
          </cell>
        </row>
        <row r="793">
          <cell r="A793" t="str">
            <v>41003_3</v>
          </cell>
          <cell r="B793">
            <v>1</v>
          </cell>
          <cell r="C793">
            <v>41003</v>
          </cell>
          <cell r="D793" t="str">
            <v>ジャンヌ襲来！</v>
          </cell>
          <cell r="E793" t="str">
            <v>降臨1</v>
          </cell>
          <cell r="F793">
            <v>3</v>
          </cell>
          <cell r="G793" t="str">
            <v>ja</v>
          </cell>
          <cell r="H793" t="str">
            <v>【ノーコンテニュー】ジャンヌ襲来</v>
          </cell>
          <cell r="I793" t="str">
            <v>地獄級</v>
          </cell>
          <cell r="J793">
            <v>814</v>
          </cell>
          <cell r="K793">
            <v>40</v>
          </cell>
          <cell r="L793">
            <v>4500</v>
          </cell>
          <cell r="M793">
            <v>1</v>
          </cell>
          <cell r="N793">
            <v>1</v>
          </cell>
          <cell r="O793">
            <v>1</v>
          </cell>
          <cell r="P793">
            <v>1</v>
          </cell>
          <cell r="Q793">
            <v>1</v>
          </cell>
          <cell r="R793">
            <v>3</v>
          </cell>
          <cell r="S793" t="str">
            <v>polygon</v>
          </cell>
          <cell r="T793">
            <v>1</v>
          </cell>
          <cell r="U793" t="str">
            <v>NULL</v>
          </cell>
          <cell r="V793" t="str">
            <v>NULL</v>
          </cell>
          <cell r="W793" t="str">
            <v/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 t="str">
            <v>anytime</v>
          </cell>
          <cell r="AC793">
            <v>903</v>
          </cell>
          <cell r="AD793">
            <v>6</v>
          </cell>
          <cell r="AE793" t="str">
            <v>everyone</v>
          </cell>
        </row>
        <row r="794">
          <cell r="A794" t="str">
            <v>41004_1</v>
          </cell>
          <cell r="B794">
            <v>3</v>
          </cell>
          <cell r="C794">
            <v>41004</v>
          </cell>
          <cell r="D794" t="str">
            <v>宮本武蔵襲来！</v>
          </cell>
          <cell r="E794" t="str">
            <v>降臨1</v>
          </cell>
          <cell r="F794">
            <v>1</v>
          </cell>
          <cell r="G794" t="str">
            <v>ja</v>
          </cell>
          <cell r="H794" t="str">
            <v>【超絶級】宮本武蔵襲来</v>
          </cell>
          <cell r="I794" t="str">
            <v>超絶級</v>
          </cell>
          <cell r="J794">
            <v>427</v>
          </cell>
          <cell r="K794">
            <v>35</v>
          </cell>
          <cell r="L794">
            <v>4200</v>
          </cell>
          <cell r="M794">
            <v>1</v>
          </cell>
          <cell r="N794">
            <v>1</v>
          </cell>
          <cell r="O794">
            <v>1</v>
          </cell>
          <cell r="P794">
            <v>1</v>
          </cell>
          <cell r="Q794">
            <v>1</v>
          </cell>
          <cell r="R794">
            <v>3</v>
          </cell>
          <cell r="S794" t="str">
            <v>polygon</v>
          </cell>
          <cell r="T794">
            <v>1</v>
          </cell>
          <cell r="U794" t="str">
            <v>NULL</v>
          </cell>
          <cell r="V794" t="str">
            <v>NULL</v>
          </cell>
          <cell r="W794" t="str">
            <v/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 t="str">
            <v>anytime</v>
          </cell>
          <cell r="AC794">
            <v>904</v>
          </cell>
          <cell r="AD794">
            <v>6</v>
          </cell>
          <cell r="AE794" t="str">
            <v>everyone</v>
          </cell>
        </row>
        <row r="795">
          <cell r="A795" t="str">
            <v>41004_2</v>
          </cell>
          <cell r="B795">
            <v>3</v>
          </cell>
          <cell r="C795">
            <v>41004</v>
          </cell>
          <cell r="D795" t="str">
            <v>宮本武蔵襲来！</v>
          </cell>
          <cell r="E795" t="str">
            <v>降臨1</v>
          </cell>
          <cell r="F795">
            <v>2</v>
          </cell>
          <cell r="G795" t="str">
            <v>ja</v>
          </cell>
          <cell r="H795" t="str">
            <v>【ウィザード級】宮本武蔵襲来</v>
          </cell>
          <cell r="I795" t="str">
            <v>地獄級</v>
          </cell>
          <cell r="J795">
            <v>816</v>
          </cell>
          <cell r="K795">
            <v>40</v>
          </cell>
          <cell r="L795">
            <v>4500</v>
          </cell>
          <cell r="M795">
            <v>1</v>
          </cell>
          <cell r="N795">
            <v>1</v>
          </cell>
          <cell r="O795">
            <v>1</v>
          </cell>
          <cell r="P795">
            <v>1</v>
          </cell>
          <cell r="Q795">
            <v>1</v>
          </cell>
          <cell r="R795">
            <v>3</v>
          </cell>
          <cell r="S795" t="str">
            <v>polygon</v>
          </cell>
          <cell r="T795">
            <v>1</v>
          </cell>
          <cell r="U795" t="str">
            <v>NULL</v>
          </cell>
          <cell r="V795" t="str">
            <v>NULL</v>
          </cell>
          <cell r="W795" t="str">
            <v/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 t="str">
            <v>anytime</v>
          </cell>
          <cell r="AC795">
            <v>904</v>
          </cell>
          <cell r="AD795">
            <v>6</v>
          </cell>
          <cell r="AE795" t="str">
            <v>everyone</v>
          </cell>
        </row>
        <row r="796">
          <cell r="A796" t="str">
            <v>41004_3</v>
          </cell>
          <cell r="B796">
            <v>1</v>
          </cell>
          <cell r="C796">
            <v>41004</v>
          </cell>
          <cell r="D796" t="str">
            <v>宮本武蔵襲来！</v>
          </cell>
          <cell r="E796" t="str">
            <v>降臨1</v>
          </cell>
          <cell r="F796">
            <v>3</v>
          </cell>
          <cell r="G796" t="str">
            <v>ja</v>
          </cell>
          <cell r="H796" t="str">
            <v>【ノーコンテニュー】宮本武蔵襲来</v>
          </cell>
          <cell r="I796" t="str">
            <v>地獄級</v>
          </cell>
          <cell r="J796">
            <v>816</v>
          </cell>
          <cell r="K796">
            <v>40</v>
          </cell>
          <cell r="L796">
            <v>4500</v>
          </cell>
          <cell r="M796">
            <v>1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3</v>
          </cell>
          <cell r="S796" t="str">
            <v>polygon</v>
          </cell>
          <cell r="T796">
            <v>1</v>
          </cell>
          <cell r="U796" t="str">
            <v>NULL</v>
          </cell>
          <cell r="V796" t="str">
            <v>NULL</v>
          </cell>
          <cell r="W796" t="str">
            <v/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 t="str">
            <v>anytime</v>
          </cell>
          <cell r="AC796">
            <v>904</v>
          </cell>
          <cell r="AD796">
            <v>6</v>
          </cell>
          <cell r="AE796" t="str">
            <v>everyone</v>
          </cell>
        </row>
        <row r="797">
          <cell r="A797" t="str">
            <v>41005_1</v>
          </cell>
          <cell r="B797">
            <v>3</v>
          </cell>
          <cell r="C797">
            <v>41005</v>
          </cell>
          <cell r="D797" t="str">
            <v>オズ襲来！</v>
          </cell>
          <cell r="E797" t="str">
            <v>降臨1</v>
          </cell>
          <cell r="F797">
            <v>1</v>
          </cell>
          <cell r="G797" t="str">
            <v>ja</v>
          </cell>
          <cell r="H797" t="str">
            <v>【超絶級】オズ襲来</v>
          </cell>
          <cell r="I797" t="str">
            <v>超絶級</v>
          </cell>
          <cell r="J797">
            <v>461</v>
          </cell>
          <cell r="K797">
            <v>35</v>
          </cell>
          <cell r="L797">
            <v>4200</v>
          </cell>
          <cell r="M797">
            <v>1</v>
          </cell>
          <cell r="N797">
            <v>1</v>
          </cell>
          <cell r="O797">
            <v>1</v>
          </cell>
          <cell r="P797">
            <v>1</v>
          </cell>
          <cell r="Q797">
            <v>1</v>
          </cell>
          <cell r="R797">
            <v>3</v>
          </cell>
          <cell r="S797" t="str">
            <v>polygon</v>
          </cell>
          <cell r="T797">
            <v>1</v>
          </cell>
          <cell r="U797" t="str">
            <v>NULL</v>
          </cell>
          <cell r="V797" t="str">
            <v>NULL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 t="str">
            <v>anytime</v>
          </cell>
          <cell r="AC797">
            <v>906</v>
          </cell>
          <cell r="AD797">
            <v>6</v>
          </cell>
          <cell r="AE797" t="str">
            <v>everyone</v>
          </cell>
        </row>
        <row r="798">
          <cell r="A798" t="str">
            <v>41005_2</v>
          </cell>
          <cell r="B798">
            <v>3</v>
          </cell>
          <cell r="C798">
            <v>41005</v>
          </cell>
          <cell r="D798" t="str">
            <v>オズ襲来！</v>
          </cell>
          <cell r="E798" t="str">
            <v>降臨1</v>
          </cell>
          <cell r="F798">
            <v>2</v>
          </cell>
          <cell r="G798" t="str">
            <v>ja</v>
          </cell>
          <cell r="H798" t="str">
            <v>【ウィザード級】オズ襲来</v>
          </cell>
          <cell r="I798" t="str">
            <v>地獄級</v>
          </cell>
          <cell r="J798">
            <v>818</v>
          </cell>
          <cell r="K798">
            <v>40</v>
          </cell>
          <cell r="L798">
            <v>4500</v>
          </cell>
          <cell r="M798">
            <v>1</v>
          </cell>
          <cell r="N798">
            <v>1</v>
          </cell>
          <cell r="O798">
            <v>1</v>
          </cell>
          <cell r="P798">
            <v>1</v>
          </cell>
          <cell r="Q798">
            <v>1</v>
          </cell>
          <cell r="R798">
            <v>3</v>
          </cell>
          <cell r="S798" t="str">
            <v>polygon</v>
          </cell>
          <cell r="T798">
            <v>1</v>
          </cell>
          <cell r="U798" t="str">
            <v>NULL</v>
          </cell>
          <cell r="V798" t="str">
            <v>NULL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 t="str">
            <v>anytime</v>
          </cell>
          <cell r="AC798">
            <v>906</v>
          </cell>
          <cell r="AD798">
            <v>6</v>
          </cell>
          <cell r="AE798" t="str">
            <v>everyone</v>
          </cell>
        </row>
        <row r="799">
          <cell r="A799" t="str">
            <v>41005_3</v>
          </cell>
          <cell r="B799">
            <v>1</v>
          </cell>
          <cell r="C799">
            <v>41005</v>
          </cell>
          <cell r="D799" t="str">
            <v>オズ襲来！</v>
          </cell>
          <cell r="E799" t="str">
            <v>降臨1</v>
          </cell>
          <cell r="F799">
            <v>3</v>
          </cell>
          <cell r="G799" t="str">
            <v>ja</v>
          </cell>
          <cell r="H799" t="str">
            <v>【ノーコンテニュー】オズ襲来</v>
          </cell>
          <cell r="I799" t="str">
            <v>地獄級</v>
          </cell>
          <cell r="J799">
            <v>818</v>
          </cell>
          <cell r="K799">
            <v>40</v>
          </cell>
          <cell r="L799">
            <v>4500</v>
          </cell>
          <cell r="M799">
            <v>1</v>
          </cell>
          <cell r="N799">
            <v>1</v>
          </cell>
          <cell r="O799">
            <v>1</v>
          </cell>
          <cell r="P799">
            <v>1</v>
          </cell>
          <cell r="Q799">
            <v>1</v>
          </cell>
          <cell r="R799">
            <v>3</v>
          </cell>
          <cell r="S799" t="str">
            <v>polygon</v>
          </cell>
          <cell r="T799">
            <v>1</v>
          </cell>
          <cell r="U799" t="str">
            <v>NULL</v>
          </cell>
          <cell r="V799" t="str">
            <v>NULL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 t="str">
            <v>anytime</v>
          </cell>
          <cell r="AC799">
            <v>906</v>
          </cell>
          <cell r="AD799">
            <v>6</v>
          </cell>
          <cell r="AE799" t="str">
            <v>everyone</v>
          </cell>
        </row>
        <row r="800">
          <cell r="A800" t="str">
            <v>41006_1</v>
          </cell>
          <cell r="B800">
            <v>3</v>
          </cell>
          <cell r="C800">
            <v>41006</v>
          </cell>
          <cell r="D800" t="str">
            <v>アーサー襲来！</v>
          </cell>
          <cell r="E800" t="str">
            <v>降臨1</v>
          </cell>
          <cell r="F800">
            <v>1</v>
          </cell>
          <cell r="G800" t="str">
            <v>ja</v>
          </cell>
          <cell r="H800" t="str">
            <v>【超絶級】アーサー襲来</v>
          </cell>
          <cell r="I800" t="str">
            <v>超絶級</v>
          </cell>
          <cell r="J800">
            <v>473</v>
          </cell>
          <cell r="K800">
            <v>35</v>
          </cell>
          <cell r="L800">
            <v>4200</v>
          </cell>
          <cell r="M800">
            <v>1</v>
          </cell>
          <cell r="N800">
            <v>1</v>
          </cell>
          <cell r="O800">
            <v>1</v>
          </cell>
          <cell r="P800">
            <v>1</v>
          </cell>
          <cell r="Q800">
            <v>1</v>
          </cell>
          <cell r="R800">
            <v>3</v>
          </cell>
          <cell r="S800" t="str">
            <v>polygon</v>
          </cell>
          <cell r="T800">
            <v>1</v>
          </cell>
          <cell r="U800" t="str">
            <v>NULL</v>
          </cell>
          <cell r="V800" t="str">
            <v>NULL</v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 t="str">
            <v>anytime</v>
          </cell>
          <cell r="AC800">
            <v>907</v>
          </cell>
          <cell r="AD800">
            <v>6</v>
          </cell>
          <cell r="AE800" t="str">
            <v>everyone</v>
          </cell>
        </row>
        <row r="801">
          <cell r="A801" t="str">
            <v>41006_2</v>
          </cell>
          <cell r="B801">
            <v>3</v>
          </cell>
          <cell r="C801">
            <v>41006</v>
          </cell>
          <cell r="D801" t="str">
            <v>アーサー襲来！</v>
          </cell>
          <cell r="E801" t="str">
            <v>降臨1</v>
          </cell>
          <cell r="F801">
            <v>2</v>
          </cell>
          <cell r="G801" t="str">
            <v>ja</v>
          </cell>
          <cell r="H801" t="str">
            <v>【ウィザード級】アーサー襲来</v>
          </cell>
          <cell r="I801" t="str">
            <v>地獄級</v>
          </cell>
          <cell r="J801">
            <v>820</v>
          </cell>
          <cell r="K801">
            <v>40</v>
          </cell>
          <cell r="L801">
            <v>4500</v>
          </cell>
          <cell r="M801">
            <v>1</v>
          </cell>
          <cell r="N801">
            <v>1</v>
          </cell>
          <cell r="O801">
            <v>1</v>
          </cell>
          <cell r="P801">
            <v>1</v>
          </cell>
          <cell r="Q801">
            <v>1</v>
          </cell>
          <cell r="R801">
            <v>3</v>
          </cell>
          <cell r="S801" t="str">
            <v>polygon</v>
          </cell>
          <cell r="T801">
            <v>1</v>
          </cell>
          <cell r="U801" t="str">
            <v>NULL</v>
          </cell>
          <cell r="V801" t="str">
            <v>NULL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 t="str">
            <v>anytime</v>
          </cell>
          <cell r="AC801">
            <v>907</v>
          </cell>
          <cell r="AD801">
            <v>6</v>
          </cell>
          <cell r="AE801" t="str">
            <v>everyone</v>
          </cell>
        </row>
        <row r="802">
          <cell r="A802" t="str">
            <v>41006_3</v>
          </cell>
          <cell r="B802">
            <v>1</v>
          </cell>
          <cell r="C802">
            <v>41006</v>
          </cell>
          <cell r="D802" t="str">
            <v>アーサー襲来！</v>
          </cell>
          <cell r="E802" t="str">
            <v>降臨1</v>
          </cell>
          <cell r="F802">
            <v>3</v>
          </cell>
          <cell r="G802" t="str">
            <v>ja</v>
          </cell>
          <cell r="H802" t="str">
            <v>【ノーコンテニュー】アーサー襲来</v>
          </cell>
          <cell r="I802" t="str">
            <v>地獄級</v>
          </cell>
          <cell r="J802">
            <v>820</v>
          </cell>
          <cell r="K802">
            <v>40</v>
          </cell>
          <cell r="L802">
            <v>4500</v>
          </cell>
          <cell r="M802">
            <v>1</v>
          </cell>
          <cell r="N802">
            <v>1</v>
          </cell>
          <cell r="O802">
            <v>1</v>
          </cell>
          <cell r="P802">
            <v>1</v>
          </cell>
          <cell r="Q802">
            <v>1</v>
          </cell>
          <cell r="R802">
            <v>3</v>
          </cell>
          <cell r="S802" t="str">
            <v>polygon</v>
          </cell>
          <cell r="T802">
            <v>1</v>
          </cell>
          <cell r="U802" t="str">
            <v>NULL</v>
          </cell>
          <cell r="V802" t="str">
            <v>NULL</v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 t="str">
            <v>anytime</v>
          </cell>
          <cell r="AC802">
            <v>907</v>
          </cell>
          <cell r="AD802">
            <v>6</v>
          </cell>
          <cell r="AE802" t="str">
            <v>everyone</v>
          </cell>
        </row>
        <row r="803">
          <cell r="A803" t="str">
            <v>41007_1</v>
          </cell>
          <cell r="B803">
            <v>3</v>
          </cell>
          <cell r="C803">
            <v>41007</v>
          </cell>
          <cell r="D803" t="str">
            <v>グリム襲来！</v>
          </cell>
          <cell r="E803" t="str">
            <v>降臨1</v>
          </cell>
          <cell r="F803">
            <v>1</v>
          </cell>
          <cell r="G803" t="str">
            <v>ja</v>
          </cell>
          <cell r="H803" t="str">
            <v>【超絶級】グリム襲来</v>
          </cell>
          <cell r="I803" t="str">
            <v>超絶級</v>
          </cell>
          <cell r="J803">
            <v>491</v>
          </cell>
          <cell r="K803">
            <v>35</v>
          </cell>
          <cell r="L803">
            <v>4200</v>
          </cell>
          <cell r="M803">
            <v>1</v>
          </cell>
          <cell r="N803">
            <v>1</v>
          </cell>
          <cell r="O803">
            <v>1</v>
          </cell>
          <cell r="P803">
            <v>1</v>
          </cell>
          <cell r="Q803">
            <v>1</v>
          </cell>
          <cell r="R803">
            <v>3</v>
          </cell>
          <cell r="S803" t="str">
            <v>polygon</v>
          </cell>
          <cell r="T803">
            <v>1</v>
          </cell>
          <cell r="U803" t="str">
            <v>NULL</v>
          </cell>
          <cell r="V803" t="str">
            <v>NULL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 t="str">
            <v>anytime</v>
          </cell>
          <cell r="AC803">
            <v>908</v>
          </cell>
          <cell r="AD803">
            <v>6</v>
          </cell>
          <cell r="AE803" t="str">
            <v>everyone</v>
          </cell>
        </row>
        <row r="804">
          <cell r="A804" t="str">
            <v>41007_2</v>
          </cell>
          <cell r="B804">
            <v>3</v>
          </cell>
          <cell r="C804">
            <v>41007</v>
          </cell>
          <cell r="D804" t="str">
            <v>グリム襲来！</v>
          </cell>
          <cell r="E804" t="str">
            <v>降臨1</v>
          </cell>
          <cell r="F804">
            <v>2</v>
          </cell>
          <cell r="G804" t="str">
            <v>ja</v>
          </cell>
          <cell r="H804" t="str">
            <v>【ウィザード級】グリム襲来</v>
          </cell>
          <cell r="I804" t="str">
            <v>地獄級</v>
          </cell>
          <cell r="J804">
            <v>822</v>
          </cell>
          <cell r="K804">
            <v>40</v>
          </cell>
          <cell r="L804">
            <v>4500</v>
          </cell>
          <cell r="M804">
            <v>1</v>
          </cell>
          <cell r="N804">
            <v>1</v>
          </cell>
          <cell r="O804">
            <v>1</v>
          </cell>
          <cell r="P804">
            <v>1</v>
          </cell>
          <cell r="Q804">
            <v>1</v>
          </cell>
          <cell r="R804">
            <v>3</v>
          </cell>
          <cell r="S804" t="str">
            <v>polygon</v>
          </cell>
          <cell r="T804">
            <v>1</v>
          </cell>
          <cell r="U804" t="str">
            <v>NULL</v>
          </cell>
          <cell r="V804" t="str">
            <v>NULL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 t="str">
            <v>anytime</v>
          </cell>
          <cell r="AC804">
            <v>908</v>
          </cell>
          <cell r="AD804">
            <v>6</v>
          </cell>
          <cell r="AE804" t="str">
            <v>everyone</v>
          </cell>
        </row>
        <row r="805">
          <cell r="A805" t="str">
            <v>41007_3</v>
          </cell>
          <cell r="B805">
            <v>1</v>
          </cell>
          <cell r="C805">
            <v>41007</v>
          </cell>
          <cell r="D805" t="str">
            <v>グリム襲来！</v>
          </cell>
          <cell r="E805" t="str">
            <v>降臨1</v>
          </cell>
          <cell r="F805">
            <v>3</v>
          </cell>
          <cell r="G805" t="str">
            <v>ja</v>
          </cell>
          <cell r="H805" t="str">
            <v>【ノーコンテニュー】グリム襲来</v>
          </cell>
          <cell r="I805" t="str">
            <v>地獄級</v>
          </cell>
          <cell r="J805">
            <v>822</v>
          </cell>
          <cell r="K805">
            <v>40</v>
          </cell>
          <cell r="L805">
            <v>4500</v>
          </cell>
          <cell r="M805">
            <v>1</v>
          </cell>
          <cell r="N805">
            <v>1</v>
          </cell>
          <cell r="O805">
            <v>1</v>
          </cell>
          <cell r="P805">
            <v>1</v>
          </cell>
          <cell r="Q805">
            <v>1</v>
          </cell>
          <cell r="R805">
            <v>3</v>
          </cell>
          <cell r="S805" t="str">
            <v>polygon</v>
          </cell>
          <cell r="T805">
            <v>1</v>
          </cell>
          <cell r="U805" t="str">
            <v>NULL</v>
          </cell>
          <cell r="V805" t="str">
            <v>NULL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 t="str">
            <v>anytime</v>
          </cell>
          <cell r="AC805">
            <v>908</v>
          </cell>
          <cell r="AD805">
            <v>6</v>
          </cell>
          <cell r="AE805" t="str">
            <v>everyone</v>
          </cell>
        </row>
        <row r="806">
          <cell r="A806" t="str">
            <v>41008_1</v>
          </cell>
          <cell r="B806">
            <v>3</v>
          </cell>
          <cell r="C806">
            <v>41008</v>
          </cell>
          <cell r="D806" t="str">
            <v>Gスター襲来！</v>
          </cell>
          <cell r="E806" t="str">
            <v>降臨1</v>
          </cell>
          <cell r="F806">
            <v>1</v>
          </cell>
          <cell r="G806" t="str">
            <v>ja</v>
          </cell>
          <cell r="H806" t="str">
            <v>【超絶級】Gスター襲来</v>
          </cell>
          <cell r="I806" t="str">
            <v>超絶級</v>
          </cell>
          <cell r="J806">
            <v>509</v>
          </cell>
          <cell r="K806">
            <v>35</v>
          </cell>
          <cell r="L806">
            <v>4200</v>
          </cell>
          <cell r="M806">
            <v>1</v>
          </cell>
          <cell r="N806">
            <v>1</v>
          </cell>
          <cell r="O806">
            <v>1</v>
          </cell>
          <cell r="P806">
            <v>1</v>
          </cell>
          <cell r="Q806">
            <v>1</v>
          </cell>
          <cell r="R806">
            <v>3</v>
          </cell>
          <cell r="S806" t="str">
            <v>polygon</v>
          </cell>
          <cell r="T806">
            <v>1</v>
          </cell>
          <cell r="U806" t="str">
            <v>NULL</v>
          </cell>
          <cell r="V806" t="str">
            <v>NULL</v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 t="str">
            <v>anytime</v>
          </cell>
          <cell r="AC806">
            <v>2601</v>
          </cell>
          <cell r="AD806">
            <v>6</v>
          </cell>
          <cell r="AE806" t="str">
            <v>everyone</v>
          </cell>
        </row>
        <row r="807">
          <cell r="A807" t="str">
            <v>41008_2</v>
          </cell>
          <cell r="B807">
            <v>3</v>
          </cell>
          <cell r="C807">
            <v>41008</v>
          </cell>
          <cell r="D807" t="str">
            <v>Gスター襲来！</v>
          </cell>
          <cell r="E807" t="str">
            <v>降臨1</v>
          </cell>
          <cell r="F807">
            <v>2</v>
          </cell>
          <cell r="G807" t="str">
            <v>ja</v>
          </cell>
          <cell r="H807" t="str">
            <v>【ウィザード級】Gスター襲来</v>
          </cell>
          <cell r="I807" t="str">
            <v>地獄級</v>
          </cell>
          <cell r="J807">
            <v>824</v>
          </cell>
          <cell r="K807">
            <v>40</v>
          </cell>
          <cell r="L807">
            <v>4500</v>
          </cell>
          <cell r="M807">
            <v>1</v>
          </cell>
          <cell r="N807">
            <v>1</v>
          </cell>
          <cell r="O807">
            <v>1</v>
          </cell>
          <cell r="P807">
            <v>1</v>
          </cell>
          <cell r="Q807">
            <v>1</v>
          </cell>
          <cell r="R807">
            <v>3</v>
          </cell>
          <cell r="S807" t="str">
            <v>polygon</v>
          </cell>
          <cell r="T807">
            <v>1</v>
          </cell>
          <cell r="U807" t="str">
            <v>NULL</v>
          </cell>
          <cell r="V807" t="str">
            <v>NULL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 t="str">
            <v>anytime</v>
          </cell>
          <cell r="AC807">
            <v>2601</v>
          </cell>
          <cell r="AD807">
            <v>6</v>
          </cell>
          <cell r="AE807" t="str">
            <v>everyone</v>
          </cell>
        </row>
        <row r="808">
          <cell r="A808" t="str">
            <v>41008_3</v>
          </cell>
          <cell r="B808">
            <v>1</v>
          </cell>
          <cell r="C808">
            <v>41008</v>
          </cell>
          <cell r="D808" t="str">
            <v>Gスター襲来！</v>
          </cell>
          <cell r="E808" t="str">
            <v>降臨1</v>
          </cell>
          <cell r="F808">
            <v>3</v>
          </cell>
          <cell r="G808" t="str">
            <v>ja</v>
          </cell>
          <cell r="H808" t="str">
            <v>【ノーコンテニュー】Gスター襲来</v>
          </cell>
          <cell r="I808" t="str">
            <v>地獄級</v>
          </cell>
          <cell r="J808">
            <v>824</v>
          </cell>
          <cell r="K808">
            <v>40</v>
          </cell>
          <cell r="L808">
            <v>4500</v>
          </cell>
          <cell r="M808">
            <v>1</v>
          </cell>
          <cell r="N808">
            <v>1</v>
          </cell>
          <cell r="O808">
            <v>1</v>
          </cell>
          <cell r="P808">
            <v>1</v>
          </cell>
          <cell r="Q808">
            <v>1</v>
          </cell>
          <cell r="R808">
            <v>3</v>
          </cell>
          <cell r="S808" t="str">
            <v>polygon</v>
          </cell>
          <cell r="T808">
            <v>1</v>
          </cell>
          <cell r="U808" t="str">
            <v>NULL</v>
          </cell>
          <cell r="V808" t="str">
            <v>NULL</v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 t="str">
            <v>anytime</v>
          </cell>
          <cell r="AC808">
            <v>2601</v>
          </cell>
          <cell r="AD808">
            <v>6</v>
          </cell>
          <cell r="AE808" t="str">
            <v>everyone</v>
          </cell>
        </row>
        <row r="809">
          <cell r="A809" t="str">
            <v>41009_1</v>
          </cell>
          <cell r="B809">
            <v>3</v>
          </cell>
          <cell r="C809">
            <v>41009</v>
          </cell>
          <cell r="D809" t="str">
            <v>フギンとムニン襲来！</v>
          </cell>
          <cell r="E809" t="str">
            <v>降臨1</v>
          </cell>
          <cell r="F809">
            <v>1</v>
          </cell>
          <cell r="G809" t="str">
            <v>ja</v>
          </cell>
          <cell r="H809" t="str">
            <v>【超絶級】フギンとムニン襲来</v>
          </cell>
          <cell r="I809" t="str">
            <v>超絶級</v>
          </cell>
          <cell r="J809">
            <v>582</v>
          </cell>
          <cell r="K809">
            <v>35</v>
          </cell>
          <cell r="L809">
            <v>4200</v>
          </cell>
          <cell r="M809">
            <v>1</v>
          </cell>
          <cell r="N809">
            <v>1</v>
          </cell>
          <cell r="O809">
            <v>1</v>
          </cell>
          <cell r="P809">
            <v>1</v>
          </cell>
          <cell r="Q809">
            <v>1</v>
          </cell>
          <cell r="R809">
            <v>3</v>
          </cell>
          <cell r="S809" t="str">
            <v>polygon</v>
          </cell>
          <cell r="T809">
            <v>1</v>
          </cell>
          <cell r="U809" t="str">
            <v>NULL</v>
          </cell>
          <cell r="V809" t="str">
            <v>NULL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 t="str">
            <v>anytime</v>
          </cell>
          <cell r="AC809">
            <v>25</v>
          </cell>
          <cell r="AD809">
            <v>6</v>
          </cell>
          <cell r="AE809" t="str">
            <v>everyone</v>
          </cell>
        </row>
        <row r="810">
          <cell r="A810" t="str">
            <v>41009_2</v>
          </cell>
          <cell r="B810">
            <v>3</v>
          </cell>
          <cell r="C810">
            <v>41009</v>
          </cell>
          <cell r="D810" t="str">
            <v>フギンとムニン襲来！</v>
          </cell>
          <cell r="E810" t="str">
            <v>降臨1</v>
          </cell>
          <cell r="F810">
            <v>2</v>
          </cell>
          <cell r="G810" t="str">
            <v>ja</v>
          </cell>
          <cell r="H810" t="str">
            <v>【ウィザード級】フギンとムニン襲来</v>
          </cell>
          <cell r="I810" t="str">
            <v>地獄級</v>
          </cell>
          <cell r="J810">
            <v>828</v>
          </cell>
          <cell r="K810">
            <v>40</v>
          </cell>
          <cell r="L810">
            <v>4500</v>
          </cell>
          <cell r="M810">
            <v>1</v>
          </cell>
          <cell r="N810">
            <v>1</v>
          </cell>
          <cell r="O810">
            <v>1</v>
          </cell>
          <cell r="P810">
            <v>1</v>
          </cell>
          <cell r="Q810">
            <v>1</v>
          </cell>
          <cell r="R810">
            <v>3</v>
          </cell>
          <cell r="S810" t="str">
            <v>polygon</v>
          </cell>
          <cell r="T810">
            <v>1</v>
          </cell>
          <cell r="U810" t="str">
            <v>NULL</v>
          </cell>
          <cell r="V810" t="str">
            <v>NULL</v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 t="str">
            <v>anytime</v>
          </cell>
          <cell r="AC810">
            <v>25</v>
          </cell>
          <cell r="AD810">
            <v>6</v>
          </cell>
          <cell r="AE810" t="str">
            <v>everyone</v>
          </cell>
        </row>
        <row r="811">
          <cell r="A811" t="str">
            <v>41009_3</v>
          </cell>
          <cell r="B811">
            <v>1</v>
          </cell>
          <cell r="C811">
            <v>41009</v>
          </cell>
          <cell r="D811" t="str">
            <v>フギンとムニン襲来！</v>
          </cell>
          <cell r="E811" t="str">
            <v>降臨1</v>
          </cell>
          <cell r="F811">
            <v>3</v>
          </cell>
          <cell r="G811" t="str">
            <v>ja</v>
          </cell>
          <cell r="H811" t="str">
            <v>【ノーコンテニュー】フギンとムニン襲来</v>
          </cell>
          <cell r="I811" t="str">
            <v>地獄級</v>
          </cell>
          <cell r="J811">
            <v>1</v>
          </cell>
          <cell r="K811">
            <v>40</v>
          </cell>
          <cell r="L811">
            <v>4500</v>
          </cell>
          <cell r="M811">
            <v>1</v>
          </cell>
          <cell r="N811">
            <v>1</v>
          </cell>
          <cell r="O811">
            <v>1</v>
          </cell>
          <cell r="P811">
            <v>1</v>
          </cell>
          <cell r="Q811">
            <v>1</v>
          </cell>
          <cell r="R811">
            <v>3</v>
          </cell>
          <cell r="S811" t="str">
            <v>polygon</v>
          </cell>
          <cell r="T811">
            <v>1</v>
          </cell>
          <cell r="U811" t="str">
            <v>NULL</v>
          </cell>
          <cell r="V811" t="str">
            <v>NULL</v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 t="str">
            <v>anytime</v>
          </cell>
          <cell r="AC811">
            <v>25</v>
          </cell>
          <cell r="AD811">
            <v>6</v>
          </cell>
          <cell r="AE811" t="str">
            <v>everyone</v>
          </cell>
        </row>
        <row r="812">
          <cell r="A812" t="str">
            <v>41010_1</v>
          </cell>
          <cell r="B812">
            <v>3</v>
          </cell>
          <cell r="C812">
            <v>41010</v>
          </cell>
          <cell r="D812" t="str">
            <v>フレイ襲来！</v>
          </cell>
          <cell r="E812" t="str">
            <v>降臨1</v>
          </cell>
          <cell r="F812">
            <v>1</v>
          </cell>
          <cell r="G812" t="str">
            <v>ja</v>
          </cell>
          <cell r="H812" t="str">
            <v>【超絶級】フレイ襲来</v>
          </cell>
          <cell r="I812" t="str">
            <v>超絶級</v>
          </cell>
          <cell r="J812">
            <v>576</v>
          </cell>
          <cell r="K812">
            <v>35</v>
          </cell>
          <cell r="L812">
            <v>4200</v>
          </cell>
          <cell r="M812">
            <v>1</v>
          </cell>
          <cell r="N812">
            <v>1</v>
          </cell>
          <cell r="O812">
            <v>1</v>
          </cell>
          <cell r="P812">
            <v>0</v>
          </cell>
          <cell r="Q812">
            <v>1</v>
          </cell>
          <cell r="R812">
            <v>3</v>
          </cell>
          <cell r="S812" t="str">
            <v>polygon</v>
          </cell>
          <cell r="T812">
            <v>1</v>
          </cell>
          <cell r="U812" t="str">
            <v>NULL</v>
          </cell>
          <cell r="V812" t="str">
            <v>NULL</v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 t="str">
            <v>anytime</v>
          </cell>
          <cell r="AC812">
            <v>912</v>
          </cell>
          <cell r="AD812">
            <v>6</v>
          </cell>
          <cell r="AE812" t="str">
            <v>everyone</v>
          </cell>
        </row>
        <row r="813">
          <cell r="A813" t="str">
            <v>41010_2</v>
          </cell>
          <cell r="B813">
            <v>3</v>
          </cell>
          <cell r="C813">
            <v>41010</v>
          </cell>
          <cell r="D813" t="str">
            <v>フレイ襲来！</v>
          </cell>
          <cell r="E813" t="str">
            <v>降臨1</v>
          </cell>
          <cell r="F813">
            <v>2</v>
          </cell>
          <cell r="G813" t="str">
            <v>ja</v>
          </cell>
          <cell r="H813" t="str">
            <v>【ウィザード級】フレイ襲来</v>
          </cell>
          <cell r="I813" t="str">
            <v>地獄級</v>
          </cell>
          <cell r="J813">
            <v>826</v>
          </cell>
          <cell r="K813">
            <v>40</v>
          </cell>
          <cell r="L813">
            <v>4500</v>
          </cell>
          <cell r="M813">
            <v>1</v>
          </cell>
          <cell r="N813">
            <v>1</v>
          </cell>
          <cell r="O813">
            <v>1</v>
          </cell>
          <cell r="P813">
            <v>0</v>
          </cell>
          <cell r="Q813">
            <v>1</v>
          </cell>
          <cell r="R813">
            <v>3</v>
          </cell>
          <cell r="S813" t="str">
            <v>polygon</v>
          </cell>
          <cell r="T813">
            <v>1</v>
          </cell>
          <cell r="U813" t="str">
            <v>NULL</v>
          </cell>
          <cell r="V813" t="str">
            <v>NULL</v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 t="str">
            <v>anytime</v>
          </cell>
          <cell r="AC813">
            <v>912</v>
          </cell>
          <cell r="AD813">
            <v>6</v>
          </cell>
          <cell r="AE813" t="str">
            <v>everyone</v>
          </cell>
        </row>
        <row r="814">
          <cell r="A814" t="str">
            <v>41010_3</v>
          </cell>
          <cell r="B814">
            <v>1</v>
          </cell>
          <cell r="C814">
            <v>41010</v>
          </cell>
          <cell r="D814" t="str">
            <v>フレイ襲来！</v>
          </cell>
          <cell r="E814" t="str">
            <v>降臨1</v>
          </cell>
          <cell r="F814">
            <v>3</v>
          </cell>
          <cell r="G814" t="str">
            <v>ja</v>
          </cell>
          <cell r="H814" t="str">
            <v>【ノーコンテニュー】フレイ襲来</v>
          </cell>
          <cell r="I814" t="str">
            <v>地獄級</v>
          </cell>
          <cell r="J814">
            <v>1</v>
          </cell>
          <cell r="K814">
            <v>40</v>
          </cell>
          <cell r="L814">
            <v>4500</v>
          </cell>
          <cell r="M814">
            <v>1</v>
          </cell>
          <cell r="N814">
            <v>1</v>
          </cell>
          <cell r="O814">
            <v>1</v>
          </cell>
          <cell r="P814">
            <v>0</v>
          </cell>
          <cell r="Q814">
            <v>1</v>
          </cell>
          <cell r="R814">
            <v>3</v>
          </cell>
          <cell r="S814" t="str">
            <v>polygon</v>
          </cell>
          <cell r="T814">
            <v>1</v>
          </cell>
          <cell r="U814" t="str">
            <v>NULL</v>
          </cell>
          <cell r="V814" t="str">
            <v>NULL</v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 t="str">
            <v>anytime</v>
          </cell>
          <cell r="AC814">
            <v>912</v>
          </cell>
          <cell r="AD814">
            <v>6</v>
          </cell>
          <cell r="AE814" t="str">
            <v>everyone</v>
          </cell>
        </row>
        <row r="815">
          <cell r="A815" t="str">
            <v>41011_1</v>
          </cell>
          <cell r="B815">
            <v>3</v>
          </cell>
          <cell r="C815">
            <v>41011</v>
          </cell>
          <cell r="D815" t="str">
            <v>ヨミ襲来！</v>
          </cell>
          <cell r="E815" t="str">
            <v>降臨1</v>
          </cell>
          <cell r="F815">
            <v>1</v>
          </cell>
          <cell r="G815" t="str">
            <v>ja</v>
          </cell>
          <cell r="H815" t="str">
            <v>【超絶級】ヨミ襲来</v>
          </cell>
          <cell r="I815" t="str">
            <v>超絶級</v>
          </cell>
          <cell r="J815">
            <v>655</v>
          </cell>
          <cell r="K815">
            <v>35</v>
          </cell>
          <cell r="L815">
            <v>4200</v>
          </cell>
          <cell r="M815">
            <v>1</v>
          </cell>
          <cell r="N815">
            <v>1</v>
          </cell>
          <cell r="O815">
            <v>1</v>
          </cell>
          <cell r="P815">
            <v>1</v>
          </cell>
          <cell r="Q815">
            <v>1</v>
          </cell>
          <cell r="R815">
            <v>3</v>
          </cell>
          <cell r="S815" t="str">
            <v>polygon</v>
          </cell>
          <cell r="T815">
            <v>1</v>
          </cell>
          <cell r="U815" t="str">
            <v>NULL</v>
          </cell>
          <cell r="V815" t="str">
            <v>NULL</v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 t="str">
            <v>anytime</v>
          </cell>
          <cell r="AC815">
            <v>913</v>
          </cell>
          <cell r="AD815">
            <v>6</v>
          </cell>
          <cell r="AE815" t="str">
            <v>everyone</v>
          </cell>
        </row>
        <row r="816">
          <cell r="A816" t="str">
            <v>41011_2</v>
          </cell>
          <cell r="B816">
            <v>3</v>
          </cell>
          <cell r="C816">
            <v>41011</v>
          </cell>
          <cell r="D816" t="str">
            <v>ヨミ襲来！</v>
          </cell>
          <cell r="E816" t="str">
            <v>降臨1</v>
          </cell>
          <cell r="F816">
            <v>2</v>
          </cell>
          <cell r="G816" t="str">
            <v>ja</v>
          </cell>
          <cell r="H816" t="str">
            <v>【ウィザード級】ヨミ襲来</v>
          </cell>
          <cell r="I816" t="str">
            <v>ウィザード級</v>
          </cell>
          <cell r="J816">
            <v>832</v>
          </cell>
          <cell r="K816">
            <v>40</v>
          </cell>
          <cell r="L816">
            <v>4500</v>
          </cell>
          <cell r="M816">
            <v>1</v>
          </cell>
          <cell r="N816">
            <v>1</v>
          </cell>
          <cell r="O816">
            <v>1</v>
          </cell>
          <cell r="P816">
            <v>1</v>
          </cell>
          <cell r="Q816">
            <v>1</v>
          </cell>
          <cell r="R816">
            <v>3</v>
          </cell>
          <cell r="S816" t="str">
            <v>polygon</v>
          </cell>
          <cell r="T816">
            <v>1</v>
          </cell>
          <cell r="U816" t="str">
            <v>NULL</v>
          </cell>
          <cell r="V816" t="str">
            <v>NULL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 t="str">
            <v>anytime</v>
          </cell>
          <cell r="AC816">
            <v>913</v>
          </cell>
          <cell r="AD816">
            <v>6</v>
          </cell>
          <cell r="AE816" t="str">
            <v>everyone</v>
          </cell>
        </row>
        <row r="817">
          <cell r="A817" t="str">
            <v>41012_1</v>
          </cell>
          <cell r="B817">
            <v>3</v>
          </cell>
          <cell r="C817">
            <v>41012</v>
          </cell>
          <cell r="D817" t="str">
            <v>ショウキ襲来！</v>
          </cell>
          <cell r="E817" t="str">
            <v>降臨1</v>
          </cell>
          <cell r="F817">
            <v>1</v>
          </cell>
          <cell r="G817" t="str">
            <v>ja</v>
          </cell>
          <cell r="H817" t="str">
            <v>【超絶級】ショウキ襲来</v>
          </cell>
          <cell r="I817" t="str">
            <v>超絶級</v>
          </cell>
          <cell r="J817">
            <v>645</v>
          </cell>
          <cell r="K817">
            <v>35</v>
          </cell>
          <cell r="L817">
            <v>4200</v>
          </cell>
          <cell r="M817">
            <v>1</v>
          </cell>
          <cell r="N817">
            <v>1</v>
          </cell>
          <cell r="O817">
            <v>1</v>
          </cell>
          <cell r="P817">
            <v>1</v>
          </cell>
          <cell r="Q817">
            <v>1</v>
          </cell>
          <cell r="R817">
            <v>3</v>
          </cell>
          <cell r="S817" t="str">
            <v>polygon</v>
          </cell>
          <cell r="T817">
            <v>1</v>
          </cell>
          <cell r="U817" t="str">
            <v>NULL</v>
          </cell>
          <cell r="V817" t="str">
            <v>NULL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 t="str">
            <v>anytime</v>
          </cell>
          <cell r="AC817">
            <v>915</v>
          </cell>
          <cell r="AD817">
            <v>6</v>
          </cell>
          <cell r="AE817" t="str">
            <v>everyone</v>
          </cell>
        </row>
        <row r="818">
          <cell r="A818" t="str">
            <v>41012_2</v>
          </cell>
          <cell r="B818">
            <v>3</v>
          </cell>
          <cell r="C818">
            <v>41012</v>
          </cell>
          <cell r="D818" t="str">
            <v>ショウキ襲来！</v>
          </cell>
          <cell r="E818" t="str">
            <v>降臨1</v>
          </cell>
          <cell r="F818">
            <v>2</v>
          </cell>
          <cell r="G818" t="str">
            <v>ja</v>
          </cell>
          <cell r="H818" t="str">
            <v>【ウィザード級】ショウキ襲来</v>
          </cell>
          <cell r="I818" t="str">
            <v>地獄級</v>
          </cell>
          <cell r="J818">
            <v>831</v>
          </cell>
          <cell r="K818">
            <v>40</v>
          </cell>
          <cell r="L818">
            <v>4500</v>
          </cell>
          <cell r="M818">
            <v>1</v>
          </cell>
          <cell r="N818">
            <v>1</v>
          </cell>
          <cell r="O818">
            <v>1</v>
          </cell>
          <cell r="P818">
            <v>1</v>
          </cell>
          <cell r="Q818">
            <v>1</v>
          </cell>
          <cell r="R818">
            <v>3</v>
          </cell>
          <cell r="S818" t="str">
            <v>polygon</v>
          </cell>
          <cell r="T818">
            <v>1</v>
          </cell>
          <cell r="U818" t="str">
            <v>NULL</v>
          </cell>
          <cell r="V818" t="str">
            <v>NULL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 t="str">
            <v>anytime</v>
          </cell>
          <cell r="AC818">
            <v>915</v>
          </cell>
          <cell r="AD818">
            <v>6</v>
          </cell>
          <cell r="AE818" t="str">
            <v>everyone</v>
          </cell>
        </row>
        <row r="819">
          <cell r="A819" t="str">
            <v>41013_1</v>
          </cell>
          <cell r="B819">
            <v>3</v>
          </cell>
          <cell r="C819">
            <v>41013</v>
          </cell>
          <cell r="D819" t="str">
            <v>カーマ襲来！</v>
          </cell>
          <cell r="E819" t="str">
            <v>降臨1</v>
          </cell>
          <cell r="F819">
            <v>1</v>
          </cell>
          <cell r="G819" t="str">
            <v>ja</v>
          </cell>
          <cell r="H819" t="str">
            <v>【超絶級】カーマ襲来</v>
          </cell>
          <cell r="I819" t="str">
            <v>超絶級</v>
          </cell>
          <cell r="J819">
            <v>643</v>
          </cell>
          <cell r="K819">
            <v>35</v>
          </cell>
          <cell r="L819">
            <v>4200</v>
          </cell>
          <cell r="M819">
            <v>1</v>
          </cell>
          <cell r="N819">
            <v>1</v>
          </cell>
          <cell r="O819">
            <v>1</v>
          </cell>
          <cell r="P819">
            <v>1</v>
          </cell>
          <cell r="Q819">
            <v>0</v>
          </cell>
          <cell r="R819">
            <v>3</v>
          </cell>
          <cell r="S819" t="str">
            <v>polygon</v>
          </cell>
          <cell r="T819">
            <v>1</v>
          </cell>
          <cell r="U819" t="str">
            <v>NULL</v>
          </cell>
          <cell r="V819" t="str">
            <v>NULL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 t="str">
            <v>anytime</v>
          </cell>
          <cell r="AC819">
            <v>916</v>
          </cell>
          <cell r="AD819">
            <v>6</v>
          </cell>
          <cell r="AE819" t="str">
            <v>everyone</v>
          </cell>
        </row>
        <row r="820">
          <cell r="A820" t="str">
            <v>41013_2</v>
          </cell>
          <cell r="B820">
            <v>3</v>
          </cell>
          <cell r="C820">
            <v>41013</v>
          </cell>
          <cell r="D820" t="str">
            <v>カーマ襲来！</v>
          </cell>
          <cell r="E820" t="str">
            <v>降臨1</v>
          </cell>
          <cell r="F820">
            <v>2</v>
          </cell>
          <cell r="G820" t="str">
            <v>ja</v>
          </cell>
          <cell r="H820" t="str">
            <v>【ウィザード級】カーマ襲来</v>
          </cell>
          <cell r="I820" t="str">
            <v>地獄級</v>
          </cell>
          <cell r="J820">
            <v>836</v>
          </cell>
          <cell r="K820">
            <v>40</v>
          </cell>
          <cell r="L820">
            <v>4500</v>
          </cell>
          <cell r="M820">
            <v>1</v>
          </cell>
          <cell r="N820">
            <v>1</v>
          </cell>
          <cell r="O820">
            <v>1</v>
          </cell>
          <cell r="P820">
            <v>1</v>
          </cell>
          <cell r="Q820">
            <v>0</v>
          </cell>
          <cell r="R820">
            <v>3</v>
          </cell>
          <cell r="S820" t="str">
            <v>polygon</v>
          </cell>
          <cell r="T820">
            <v>1</v>
          </cell>
          <cell r="U820" t="str">
            <v>NULL</v>
          </cell>
          <cell r="V820" t="str">
            <v>NULL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 t="str">
            <v>anytime</v>
          </cell>
          <cell r="AC820">
            <v>916</v>
          </cell>
          <cell r="AD820">
            <v>6</v>
          </cell>
          <cell r="AE820" t="str">
            <v>everyone</v>
          </cell>
        </row>
        <row r="821">
          <cell r="A821" t="str">
            <v>41014_1</v>
          </cell>
          <cell r="B821">
            <v>3</v>
          </cell>
          <cell r="C821">
            <v>41014</v>
          </cell>
          <cell r="D821" t="str">
            <v>シヴァ襲来！</v>
          </cell>
          <cell r="E821" t="str">
            <v>降臨1</v>
          </cell>
          <cell r="F821">
            <v>1</v>
          </cell>
          <cell r="G821" t="str">
            <v>ja</v>
          </cell>
          <cell r="H821" t="str">
            <v>【超絶級】シヴァ襲来</v>
          </cell>
          <cell r="I821" t="str">
            <v>超絶級</v>
          </cell>
          <cell r="J821">
            <v>657</v>
          </cell>
          <cell r="K821">
            <v>35</v>
          </cell>
          <cell r="L821">
            <v>4200</v>
          </cell>
          <cell r="M821">
            <v>1</v>
          </cell>
          <cell r="N821">
            <v>1</v>
          </cell>
          <cell r="O821">
            <v>1</v>
          </cell>
          <cell r="P821">
            <v>1</v>
          </cell>
          <cell r="Q821">
            <v>1</v>
          </cell>
          <cell r="R821">
            <v>3</v>
          </cell>
          <cell r="S821" t="str">
            <v>polygon</v>
          </cell>
          <cell r="T821">
            <v>1</v>
          </cell>
          <cell r="U821" t="str">
            <v>NULL</v>
          </cell>
          <cell r="V821" t="str">
            <v>NULL</v>
          </cell>
          <cell r="W821" t="str">
            <v/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 t="str">
            <v>anytime</v>
          </cell>
          <cell r="AC821">
            <v>914</v>
          </cell>
          <cell r="AD821">
            <v>6</v>
          </cell>
          <cell r="AE821" t="str">
            <v>everyone</v>
          </cell>
        </row>
        <row r="822">
          <cell r="A822" t="str">
            <v>41014_2</v>
          </cell>
          <cell r="B822">
            <v>3</v>
          </cell>
          <cell r="C822">
            <v>41014</v>
          </cell>
          <cell r="D822" t="str">
            <v>シヴァ襲来！</v>
          </cell>
          <cell r="E822" t="str">
            <v>降臨1</v>
          </cell>
          <cell r="F822">
            <v>2</v>
          </cell>
          <cell r="G822" t="str">
            <v>ja</v>
          </cell>
          <cell r="H822" t="str">
            <v>【ウィザード級】シヴァ襲来</v>
          </cell>
          <cell r="I822" t="str">
            <v>地獄級</v>
          </cell>
          <cell r="J822">
            <v>834</v>
          </cell>
          <cell r="K822">
            <v>40</v>
          </cell>
          <cell r="L822">
            <v>4500</v>
          </cell>
          <cell r="M822">
            <v>1</v>
          </cell>
          <cell r="N822">
            <v>1</v>
          </cell>
          <cell r="O822">
            <v>1</v>
          </cell>
          <cell r="P822">
            <v>1</v>
          </cell>
          <cell r="Q822">
            <v>1</v>
          </cell>
          <cell r="R822">
            <v>3</v>
          </cell>
          <cell r="S822" t="str">
            <v>polygon</v>
          </cell>
          <cell r="T822">
            <v>1</v>
          </cell>
          <cell r="U822" t="str">
            <v>NULL</v>
          </cell>
          <cell r="V822" t="str">
            <v>NULL</v>
          </cell>
          <cell r="W822" t="str">
            <v/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 t="str">
            <v>anytime</v>
          </cell>
          <cell r="AC822">
            <v>914</v>
          </cell>
          <cell r="AD822">
            <v>6</v>
          </cell>
          <cell r="AE822" t="str">
            <v>everyone</v>
          </cell>
        </row>
        <row r="823">
          <cell r="A823" t="str">
            <v>41015_1</v>
          </cell>
          <cell r="B823">
            <v>3</v>
          </cell>
          <cell r="C823">
            <v>41015</v>
          </cell>
          <cell r="D823" t="str">
            <v>ガレス襲来！</v>
          </cell>
          <cell r="E823" t="str">
            <v>降臨1</v>
          </cell>
          <cell r="F823">
            <v>1</v>
          </cell>
          <cell r="G823" t="str">
            <v>ja</v>
          </cell>
          <cell r="H823" t="str">
            <v>【超絶級】ガレス襲来</v>
          </cell>
          <cell r="I823" t="str">
            <v>超絶級</v>
          </cell>
          <cell r="J823">
            <v>769</v>
          </cell>
          <cell r="K823">
            <v>35</v>
          </cell>
          <cell r="L823">
            <v>4200</v>
          </cell>
          <cell r="M823">
            <v>1</v>
          </cell>
          <cell r="N823">
            <v>1</v>
          </cell>
          <cell r="O823">
            <v>1</v>
          </cell>
          <cell r="P823">
            <v>1</v>
          </cell>
          <cell r="Q823">
            <v>1</v>
          </cell>
          <cell r="R823">
            <v>3</v>
          </cell>
          <cell r="S823" t="str">
            <v>polygon</v>
          </cell>
          <cell r="T823">
            <v>1</v>
          </cell>
          <cell r="U823" t="str">
            <v>NULL</v>
          </cell>
          <cell r="V823" t="str">
            <v>NULL</v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 t="str">
            <v>anytime</v>
          </cell>
          <cell r="AC823">
            <v>907</v>
          </cell>
          <cell r="AD823">
            <v>6</v>
          </cell>
          <cell r="AE823" t="str">
            <v>everyone</v>
          </cell>
        </row>
        <row r="824">
          <cell r="A824" t="str">
            <v>41015_2</v>
          </cell>
          <cell r="B824">
            <v>3</v>
          </cell>
          <cell r="C824">
            <v>41015</v>
          </cell>
          <cell r="D824" t="str">
            <v>ガレス襲来！</v>
          </cell>
          <cell r="E824" t="str">
            <v>降臨1</v>
          </cell>
          <cell r="F824">
            <v>2</v>
          </cell>
          <cell r="G824" t="str">
            <v>ja</v>
          </cell>
          <cell r="H824" t="str">
            <v>【ウィザード級】ガレス襲来</v>
          </cell>
          <cell r="I824" t="str">
            <v>地獄級</v>
          </cell>
          <cell r="J824">
            <v>961</v>
          </cell>
          <cell r="K824">
            <v>40</v>
          </cell>
          <cell r="L824">
            <v>4500</v>
          </cell>
          <cell r="M824">
            <v>1</v>
          </cell>
          <cell r="N824">
            <v>1</v>
          </cell>
          <cell r="O824">
            <v>1</v>
          </cell>
          <cell r="P824">
            <v>1</v>
          </cell>
          <cell r="Q824">
            <v>1</v>
          </cell>
          <cell r="R824">
            <v>3</v>
          </cell>
          <cell r="S824" t="str">
            <v>polygon</v>
          </cell>
          <cell r="T824">
            <v>1</v>
          </cell>
          <cell r="U824" t="str">
            <v>NULL</v>
          </cell>
          <cell r="V824" t="str">
            <v>NULL</v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 t="str">
            <v>anytime</v>
          </cell>
          <cell r="AC824">
            <v>907</v>
          </cell>
          <cell r="AD824">
            <v>6</v>
          </cell>
          <cell r="AE824" t="str">
            <v>everyone</v>
          </cell>
        </row>
        <row r="825">
          <cell r="A825" t="str">
            <v>47001_1</v>
          </cell>
          <cell r="B825">
            <v>3</v>
          </cell>
          <cell r="C825">
            <v>47001</v>
          </cell>
          <cell r="D825" t="str">
            <v>彦星襲来！</v>
          </cell>
          <cell r="E825" t="str">
            <v>季節イベント</v>
          </cell>
          <cell r="F825">
            <v>1</v>
          </cell>
          <cell r="G825" t="str">
            <v>ja</v>
          </cell>
          <cell r="H825" t="str">
            <v>【超絶級】彦星襲来</v>
          </cell>
          <cell r="I825" t="str">
            <v>地獄級</v>
          </cell>
          <cell r="J825">
            <v>1043</v>
          </cell>
          <cell r="K825">
            <v>35</v>
          </cell>
          <cell r="L825">
            <v>4200</v>
          </cell>
          <cell r="M825">
            <v>1</v>
          </cell>
          <cell r="N825">
            <v>1</v>
          </cell>
          <cell r="O825">
            <v>1</v>
          </cell>
          <cell r="P825">
            <v>1</v>
          </cell>
          <cell r="Q825">
            <v>1</v>
          </cell>
          <cell r="R825">
            <v>3</v>
          </cell>
          <cell r="S825" t="str">
            <v>polygon</v>
          </cell>
          <cell r="T825">
            <v>1</v>
          </cell>
          <cell r="U825" t="str">
            <v>NULL</v>
          </cell>
          <cell r="V825" t="str">
            <v>NULL</v>
          </cell>
          <cell r="W825" t="str">
            <v/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 t="str">
            <v>anytime</v>
          </cell>
          <cell r="AC825">
            <v>943</v>
          </cell>
          <cell r="AD825">
            <v>6</v>
          </cell>
          <cell r="AE825" t="str">
            <v>everyone</v>
          </cell>
        </row>
        <row r="826">
          <cell r="A826" t="str">
            <v>47001_2</v>
          </cell>
          <cell r="B826">
            <v>3</v>
          </cell>
          <cell r="C826">
            <v>47001</v>
          </cell>
          <cell r="D826" t="str">
            <v>彦星襲来！</v>
          </cell>
          <cell r="E826" t="str">
            <v>季節イベント</v>
          </cell>
          <cell r="F826">
            <v>2</v>
          </cell>
          <cell r="G826" t="str">
            <v>ja</v>
          </cell>
          <cell r="H826" t="str">
            <v>【ウィザード級】彦星襲来</v>
          </cell>
          <cell r="I826" t="str">
            <v>地獄級</v>
          </cell>
          <cell r="J826">
            <v>1044</v>
          </cell>
          <cell r="K826">
            <v>40</v>
          </cell>
          <cell r="L826">
            <v>4500</v>
          </cell>
          <cell r="M826">
            <v>1</v>
          </cell>
          <cell r="N826">
            <v>1</v>
          </cell>
          <cell r="O826">
            <v>1</v>
          </cell>
          <cell r="P826">
            <v>1</v>
          </cell>
          <cell r="Q826">
            <v>1</v>
          </cell>
          <cell r="R826">
            <v>3</v>
          </cell>
          <cell r="S826" t="str">
            <v>polygon</v>
          </cell>
          <cell r="T826">
            <v>1</v>
          </cell>
          <cell r="U826" t="str">
            <v>NULL</v>
          </cell>
          <cell r="V826" t="str">
            <v>NULL</v>
          </cell>
          <cell r="W826" t="str">
            <v/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 t="str">
            <v>anytime</v>
          </cell>
          <cell r="AC826">
            <v>943</v>
          </cell>
          <cell r="AD826">
            <v>6</v>
          </cell>
          <cell r="AE826" t="str">
            <v>everyone</v>
          </cell>
        </row>
        <row r="827">
          <cell r="A827" t="str">
            <v>47002_1</v>
          </cell>
          <cell r="B827">
            <v>3</v>
          </cell>
          <cell r="C827">
            <v>47002</v>
          </cell>
          <cell r="D827" t="str">
            <v>夏☆襲来！</v>
          </cell>
          <cell r="E827" t="str">
            <v>季節イベント</v>
          </cell>
          <cell r="F827">
            <v>1</v>
          </cell>
          <cell r="G827" t="str">
            <v>ja</v>
          </cell>
          <cell r="H827" t="str">
            <v>【超絶級】夏☆襲来</v>
          </cell>
          <cell r="I827" t="str">
            <v>地獄級</v>
          </cell>
          <cell r="J827">
            <v>1053</v>
          </cell>
          <cell r="K827">
            <v>35</v>
          </cell>
          <cell r="L827">
            <v>4200</v>
          </cell>
          <cell r="M827">
            <v>1</v>
          </cell>
          <cell r="N827">
            <v>1</v>
          </cell>
          <cell r="O827">
            <v>1</v>
          </cell>
          <cell r="P827">
            <v>1</v>
          </cell>
          <cell r="Q827">
            <v>1</v>
          </cell>
          <cell r="R827">
            <v>3</v>
          </cell>
          <cell r="S827" t="str">
            <v>polygon</v>
          </cell>
          <cell r="T827">
            <v>1</v>
          </cell>
          <cell r="U827" t="str">
            <v>NULL</v>
          </cell>
          <cell r="V827" t="str">
            <v>NULL</v>
          </cell>
          <cell r="W827" t="str">
            <v/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 t="str">
            <v>anytime</v>
          </cell>
          <cell r="AC827">
            <v>5</v>
          </cell>
          <cell r="AD827">
            <v>6</v>
          </cell>
          <cell r="AE827" t="str">
            <v>everyone</v>
          </cell>
        </row>
        <row r="828">
          <cell r="A828" t="str">
            <v>47002_2</v>
          </cell>
          <cell r="B828">
            <v>3</v>
          </cell>
          <cell r="C828">
            <v>47002</v>
          </cell>
          <cell r="D828" t="str">
            <v>夏☆襲来！</v>
          </cell>
          <cell r="E828" t="str">
            <v>季節イベント</v>
          </cell>
          <cell r="F828">
            <v>2</v>
          </cell>
          <cell r="G828" t="str">
            <v>ja</v>
          </cell>
          <cell r="H828" t="str">
            <v>【ウィザード級】夏☆襲来</v>
          </cell>
          <cell r="I828" t="str">
            <v>地獄級</v>
          </cell>
          <cell r="J828">
            <v>1054</v>
          </cell>
          <cell r="K828">
            <v>40</v>
          </cell>
          <cell r="L828">
            <v>4500</v>
          </cell>
          <cell r="M828">
            <v>1</v>
          </cell>
          <cell r="N828">
            <v>1</v>
          </cell>
          <cell r="O828">
            <v>1</v>
          </cell>
          <cell r="P828">
            <v>1</v>
          </cell>
          <cell r="Q828">
            <v>1</v>
          </cell>
          <cell r="R828">
            <v>3</v>
          </cell>
          <cell r="S828" t="str">
            <v>polygon</v>
          </cell>
          <cell r="T828">
            <v>1</v>
          </cell>
          <cell r="U828" t="str">
            <v>NULL</v>
          </cell>
          <cell r="V828" t="str">
            <v>NULL</v>
          </cell>
          <cell r="W828" t="str">
            <v/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 t="str">
            <v>anytime</v>
          </cell>
          <cell r="AC828">
            <v>5</v>
          </cell>
          <cell r="AD828">
            <v>6</v>
          </cell>
          <cell r="AE828" t="str">
            <v>everyone</v>
          </cell>
        </row>
        <row r="829">
          <cell r="A829" t="str">
            <v>47003_1</v>
          </cell>
          <cell r="B829">
            <v>3</v>
          </cell>
          <cell r="C829">
            <v>47003</v>
          </cell>
          <cell r="D829" t="str">
            <v>ハロウィンナイトパニック！</v>
          </cell>
          <cell r="E829" t="str">
            <v>季節イベント</v>
          </cell>
          <cell r="F829">
            <v>1</v>
          </cell>
          <cell r="G829" t="str">
            <v>ja</v>
          </cell>
          <cell r="H829" t="str">
            <v>【上級】ハロウィンナイトパニック！</v>
          </cell>
          <cell r="I829" t="str">
            <v>地獄級</v>
          </cell>
          <cell r="J829">
            <v>1192</v>
          </cell>
          <cell r="K829">
            <v>20</v>
          </cell>
          <cell r="L829">
            <v>2000</v>
          </cell>
          <cell r="M829">
            <v>1</v>
          </cell>
          <cell r="N829">
            <v>1</v>
          </cell>
          <cell r="O829">
            <v>1</v>
          </cell>
          <cell r="P829">
            <v>1</v>
          </cell>
          <cell r="Q829">
            <v>1</v>
          </cell>
          <cell r="R829">
            <v>3</v>
          </cell>
          <cell r="S829" t="str">
            <v>none</v>
          </cell>
          <cell r="T829">
            <v>0</v>
          </cell>
          <cell r="U829" t="str">
            <v>NULL</v>
          </cell>
          <cell r="V829" t="str">
            <v>NULL</v>
          </cell>
          <cell r="W829" t="str">
            <v/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 t="str">
            <v>anytime</v>
          </cell>
          <cell r="AC829">
            <v>952</v>
          </cell>
          <cell r="AD829">
            <v>6</v>
          </cell>
          <cell r="AE829" t="str">
            <v>everyone</v>
          </cell>
        </row>
        <row r="830">
          <cell r="A830" t="str">
            <v>47003_2</v>
          </cell>
          <cell r="B830">
            <v>3</v>
          </cell>
          <cell r="C830">
            <v>47003</v>
          </cell>
          <cell r="D830" t="str">
            <v>ハロウィンナイトパニック！</v>
          </cell>
          <cell r="E830" t="str">
            <v>季節イベント</v>
          </cell>
          <cell r="F830">
            <v>2</v>
          </cell>
          <cell r="G830" t="str">
            <v>ja</v>
          </cell>
          <cell r="H830" t="str">
            <v>【超級】ハロウィンナイトパニック！</v>
          </cell>
          <cell r="I830" t="str">
            <v>地獄級</v>
          </cell>
          <cell r="J830">
            <v>1192</v>
          </cell>
          <cell r="K830">
            <v>30</v>
          </cell>
          <cell r="L830">
            <v>3300</v>
          </cell>
          <cell r="M830">
            <v>1</v>
          </cell>
          <cell r="N830">
            <v>1</v>
          </cell>
          <cell r="O830">
            <v>1</v>
          </cell>
          <cell r="P830">
            <v>1</v>
          </cell>
          <cell r="Q830">
            <v>1</v>
          </cell>
          <cell r="R830">
            <v>3</v>
          </cell>
          <cell r="S830" t="str">
            <v>none</v>
          </cell>
          <cell r="T830">
            <v>0</v>
          </cell>
          <cell r="U830" t="str">
            <v>NULL</v>
          </cell>
          <cell r="V830" t="str">
            <v>NULL</v>
          </cell>
          <cell r="W830" t="str">
            <v/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 t="str">
            <v>anytime</v>
          </cell>
          <cell r="AC830">
            <v>952</v>
          </cell>
          <cell r="AD830">
            <v>6</v>
          </cell>
          <cell r="AE830" t="str">
            <v>everyone</v>
          </cell>
        </row>
        <row r="831">
          <cell r="A831" t="str">
            <v>47003_3</v>
          </cell>
          <cell r="B831">
            <v>3</v>
          </cell>
          <cell r="C831">
            <v>47003</v>
          </cell>
          <cell r="D831" t="str">
            <v>ハロウィンナイトパニック！</v>
          </cell>
          <cell r="E831" t="str">
            <v>季節イベント</v>
          </cell>
          <cell r="F831">
            <v>3</v>
          </cell>
          <cell r="G831" t="str">
            <v>ja</v>
          </cell>
          <cell r="H831" t="str">
            <v>【超絶】ハロウィンナイトパニック！</v>
          </cell>
          <cell r="I831" t="str">
            <v>地獄級</v>
          </cell>
          <cell r="J831">
            <v>1192</v>
          </cell>
          <cell r="K831">
            <v>35</v>
          </cell>
          <cell r="L831">
            <v>4200</v>
          </cell>
          <cell r="M831">
            <v>1</v>
          </cell>
          <cell r="N831">
            <v>1</v>
          </cell>
          <cell r="O831">
            <v>1</v>
          </cell>
          <cell r="P831">
            <v>1</v>
          </cell>
          <cell r="Q831">
            <v>1</v>
          </cell>
          <cell r="R831">
            <v>3</v>
          </cell>
          <cell r="S831" t="str">
            <v>polygon</v>
          </cell>
          <cell r="T831">
            <v>1</v>
          </cell>
          <cell r="U831" t="str">
            <v>NULL</v>
          </cell>
          <cell r="V831" t="str">
            <v>NULL</v>
          </cell>
          <cell r="W831" t="str">
            <v/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 t="str">
            <v>anytime</v>
          </cell>
          <cell r="AC831">
            <v>952</v>
          </cell>
          <cell r="AD831">
            <v>6</v>
          </cell>
          <cell r="AE831" t="str">
            <v>everyone</v>
          </cell>
        </row>
        <row r="832">
          <cell r="A832" t="str">
            <v>47003_4</v>
          </cell>
          <cell r="B832">
            <v>3</v>
          </cell>
          <cell r="C832">
            <v>47003</v>
          </cell>
          <cell r="D832" t="str">
            <v>ハロウィンナイトパニック！</v>
          </cell>
          <cell r="E832" t="str">
            <v>季節イベント</v>
          </cell>
          <cell r="F832">
            <v>4</v>
          </cell>
          <cell r="G832" t="str">
            <v>ja</v>
          </cell>
          <cell r="H832" t="str">
            <v>【ｳｨｻﾞ】ハロウィンナイトパニック！</v>
          </cell>
          <cell r="I832" t="str">
            <v>地獄級</v>
          </cell>
          <cell r="J832">
            <v>1192</v>
          </cell>
          <cell r="K832">
            <v>40</v>
          </cell>
          <cell r="L832">
            <v>4500</v>
          </cell>
          <cell r="M832">
            <v>1</v>
          </cell>
          <cell r="N832">
            <v>1</v>
          </cell>
          <cell r="O832">
            <v>1</v>
          </cell>
          <cell r="P832">
            <v>1</v>
          </cell>
          <cell r="Q832">
            <v>1</v>
          </cell>
          <cell r="R832">
            <v>3</v>
          </cell>
          <cell r="S832" t="str">
            <v>polygon</v>
          </cell>
          <cell r="T832">
            <v>1</v>
          </cell>
          <cell r="U832" t="str">
            <v>NULL</v>
          </cell>
          <cell r="V832" t="str">
            <v>NULL</v>
          </cell>
          <cell r="W832" t="str">
            <v/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 t="str">
            <v>anytime</v>
          </cell>
          <cell r="AC832">
            <v>952</v>
          </cell>
          <cell r="AD832">
            <v>6</v>
          </cell>
          <cell r="AE832" t="str">
            <v>everyone</v>
          </cell>
        </row>
        <row r="833">
          <cell r="A833" t="str">
            <v>47004_1</v>
          </cell>
          <cell r="B833">
            <v>3</v>
          </cell>
          <cell r="C833">
            <v>47004</v>
          </cell>
          <cell r="D833" t="str">
            <v>聖なる夜に祝福を</v>
          </cell>
          <cell r="E833" t="str">
            <v>季節イベント</v>
          </cell>
          <cell r="F833">
            <v>1</v>
          </cell>
          <cell r="G833" t="str">
            <v>ja</v>
          </cell>
          <cell r="H833" t="str">
            <v>【上級】聖なる夜に祝福を</v>
          </cell>
          <cell r="I833" t="str">
            <v>上級</v>
          </cell>
          <cell r="J833">
            <v>1284</v>
          </cell>
          <cell r="K833">
            <v>20</v>
          </cell>
          <cell r="L833">
            <v>2000</v>
          </cell>
          <cell r="M833">
            <v>1</v>
          </cell>
          <cell r="N833">
            <v>1</v>
          </cell>
          <cell r="O833">
            <v>1</v>
          </cell>
          <cell r="P833">
            <v>1</v>
          </cell>
          <cell r="Q833">
            <v>1</v>
          </cell>
          <cell r="R833">
            <v>3</v>
          </cell>
          <cell r="S833" t="str">
            <v>none</v>
          </cell>
          <cell r="T833">
            <v>0</v>
          </cell>
          <cell r="U833" t="str">
            <v>NULL</v>
          </cell>
          <cell r="V833" t="str">
            <v>NULL</v>
          </cell>
          <cell r="W833" t="str">
            <v/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 t="str">
            <v>anytime</v>
          </cell>
          <cell r="AC833">
            <v>962</v>
          </cell>
          <cell r="AD833">
            <v>6</v>
          </cell>
          <cell r="AE833" t="str">
            <v>everyone</v>
          </cell>
        </row>
        <row r="834">
          <cell r="A834" t="str">
            <v>47004_2</v>
          </cell>
          <cell r="B834">
            <v>3</v>
          </cell>
          <cell r="C834">
            <v>47004</v>
          </cell>
          <cell r="D834" t="str">
            <v>聖なる夜に祝福を</v>
          </cell>
          <cell r="E834" t="str">
            <v>季節イベント</v>
          </cell>
          <cell r="F834">
            <v>2</v>
          </cell>
          <cell r="G834" t="str">
            <v>ja</v>
          </cell>
          <cell r="H834" t="str">
            <v>【超級】聖なる夜に祝福を</v>
          </cell>
          <cell r="I834" t="str">
            <v>超級</v>
          </cell>
          <cell r="J834">
            <v>1284</v>
          </cell>
          <cell r="K834">
            <v>30</v>
          </cell>
          <cell r="L834">
            <v>3300</v>
          </cell>
          <cell r="M834">
            <v>1</v>
          </cell>
          <cell r="N834">
            <v>1</v>
          </cell>
          <cell r="O834">
            <v>1</v>
          </cell>
          <cell r="P834">
            <v>1</v>
          </cell>
          <cell r="Q834">
            <v>1</v>
          </cell>
          <cell r="R834">
            <v>3</v>
          </cell>
          <cell r="S834" t="str">
            <v>none</v>
          </cell>
          <cell r="T834">
            <v>0</v>
          </cell>
          <cell r="U834" t="str">
            <v>NULL</v>
          </cell>
          <cell r="V834" t="str">
            <v>NULL</v>
          </cell>
          <cell r="W834" t="str">
            <v/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 t="str">
            <v>anytime</v>
          </cell>
          <cell r="AC834">
            <v>962</v>
          </cell>
          <cell r="AD834">
            <v>6</v>
          </cell>
          <cell r="AE834" t="str">
            <v>everyone</v>
          </cell>
        </row>
        <row r="835">
          <cell r="A835" t="str">
            <v>47004_3</v>
          </cell>
          <cell r="B835">
            <v>3</v>
          </cell>
          <cell r="C835">
            <v>47004</v>
          </cell>
          <cell r="D835" t="str">
            <v>聖なる夜に祝福を</v>
          </cell>
          <cell r="E835" t="str">
            <v>季節イベント</v>
          </cell>
          <cell r="F835">
            <v>3</v>
          </cell>
          <cell r="G835" t="str">
            <v>ja</v>
          </cell>
          <cell r="H835" t="str">
            <v>【超絶級】聖なる夜に祝福を</v>
          </cell>
          <cell r="I835" t="str">
            <v>超絶級</v>
          </cell>
          <cell r="J835">
            <v>1284</v>
          </cell>
          <cell r="K835">
            <v>35</v>
          </cell>
          <cell r="L835">
            <v>4200</v>
          </cell>
          <cell r="M835">
            <v>1</v>
          </cell>
          <cell r="N835">
            <v>1</v>
          </cell>
          <cell r="O835">
            <v>1</v>
          </cell>
          <cell r="P835">
            <v>1</v>
          </cell>
          <cell r="Q835">
            <v>1</v>
          </cell>
          <cell r="R835">
            <v>3</v>
          </cell>
          <cell r="S835" t="str">
            <v>polygon</v>
          </cell>
          <cell r="T835">
            <v>1</v>
          </cell>
          <cell r="U835" t="str">
            <v>NULL</v>
          </cell>
          <cell r="V835" t="str">
            <v>NULL</v>
          </cell>
          <cell r="W835" t="str">
            <v/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 t="str">
            <v>anytime</v>
          </cell>
          <cell r="AC835">
            <v>962</v>
          </cell>
          <cell r="AD835">
            <v>6</v>
          </cell>
          <cell r="AE835" t="str">
            <v>everyone</v>
          </cell>
        </row>
        <row r="836">
          <cell r="A836" t="str">
            <v>47004_4</v>
          </cell>
          <cell r="B836">
            <v>3</v>
          </cell>
          <cell r="C836">
            <v>47004</v>
          </cell>
          <cell r="D836" t="str">
            <v>聖なる夜に祝福を</v>
          </cell>
          <cell r="E836" t="str">
            <v>季節イベント</v>
          </cell>
          <cell r="F836">
            <v>4</v>
          </cell>
          <cell r="G836" t="str">
            <v>ja</v>
          </cell>
          <cell r="H836" t="str">
            <v>【ウィザード級】聖なる夜に祝福を</v>
          </cell>
          <cell r="I836" t="str">
            <v>地獄級</v>
          </cell>
          <cell r="J836">
            <v>1284</v>
          </cell>
          <cell r="K836">
            <v>40</v>
          </cell>
          <cell r="L836">
            <v>4500</v>
          </cell>
          <cell r="M836">
            <v>1</v>
          </cell>
          <cell r="N836">
            <v>1</v>
          </cell>
          <cell r="O836">
            <v>1</v>
          </cell>
          <cell r="P836">
            <v>1</v>
          </cell>
          <cell r="Q836">
            <v>1</v>
          </cell>
          <cell r="R836">
            <v>3</v>
          </cell>
          <cell r="S836" t="str">
            <v>polygon</v>
          </cell>
          <cell r="T836">
            <v>1</v>
          </cell>
          <cell r="U836" t="str">
            <v>NULL</v>
          </cell>
          <cell r="V836" t="str">
            <v>NULL</v>
          </cell>
          <cell r="W836" t="str">
            <v/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 t="str">
            <v>anytime</v>
          </cell>
          <cell r="AC836">
            <v>962</v>
          </cell>
          <cell r="AD836">
            <v>6</v>
          </cell>
          <cell r="AE836" t="str">
            <v>everyone</v>
          </cell>
        </row>
        <row r="837">
          <cell r="A837" t="str">
            <v>47005_1</v>
          </cell>
          <cell r="B837">
            <v>3</v>
          </cell>
          <cell r="C837">
            <v>47005</v>
          </cell>
          <cell r="D837" t="str">
            <v>年を越える儀式</v>
          </cell>
          <cell r="E837" t="str">
            <v>季節イベント</v>
          </cell>
          <cell r="F837">
            <v>1</v>
          </cell>
          <cell r="G837" t="str">
            <v>ja</v>
          </cell>
          <cell r="H837" t="str">
            <v>【ウィザード級】年を越える儀式</v>
          </cell>
          <cell r="I837" t="str">
            <v>地獄級</v>
          </cell>
          <cell r="J837">
            <v>1292</v>
          </cell>
          <cell r="K837">
            <v>30</v>
          </cell>
          <cell r="L837">
            <v>4000</v>
          </cell>
          <cell r="M837">
            <v>1</v>
          </cell>
          <cell r="N837">
            <v>1</v>
          </cell>
          <cell r="O837">
            <v>1</v>
          </cell>
          <cell r="P837">
            <v>1</v>
          </cell>
          <cell r="Q837">
            <v>1</v>
          </cell>
          <cell r="R837">
            <v>3</v>
          </cell>
          <cell r="S837" t="str">
            <v>polygon</v>
          </cell>
          <cell r="T837">
            <v>1</v>
          </cell>
          <cell r="U837" t="str">
            <v>NULL</v>
          </cell>
          <cell r="V837" t="str">
            <v>NULL</v>
          </cell>
          <cell r="W837" t="str">
            <v/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 t="str">
            <v>anytime</v>
          </cell>
          <cell r="AC837">
            <v>901</v>
          </cell>
          <cell r="AD837">
            <v>6</v>
          </cell>
          <cell r="AE837" t="str">
            <v>everyone</v>
          </cell>
        </row>
        <row r="838">
          <cell r="A838" t="str">
            <v>47006_1</v>
          </cell>
          <cell r="B838">
            <v>3</v>
          </cell>
          <cell r="C838">
            <v>47006</v>
          </cell>
          <cell r="D838" t="str">
            <v>酉の初めはたまごから</v>
          </cell>
          <cell r="E838" t="str">
            <v>季節イベント</v>
          </cell>
          <cell r="F838">
            <v>1</v>
          </cell>
          <cell r="G838" t="str">
            <v>ja</v>
          </cell>
          <cell r="H838" t="str">
            <v>【超絶】酉の初めはたまごから</v>
          </cell>
          <cell r="I838" t="str">
            <v>超絶級</v>
          </cell>
          <cell r="J838">
            <v>1294</v>
          </cell>
          <cell r="K838">
            <v>30</v>
          </cell>
          <cell r="L838">
            <v>4200</v>
          </cell>
          <cell r="M838">
            <v>1</v>
          </cell>
          <cell r="N838">
            <v>1</v>
          </cell>
          <cell r="O838">
            <v>1</v>
          </cell>
          <cell r="P838">
            <v>0</v>
          </cell>
          <cell r="Q838">
            <v>1</v>
          </cell>
          <cell r="R838">
            <v>3</v>
          </cell>
          <cell r="S838" t="str">
            <v>polygon</v>
          </cell>
          <cell r="T838">
            <v>1</v>
          </cell>
          <cell r="U838" t="str">
            <v>NULL</v>
          </cell>
          <cell r="V838" t="str">
            <v>NULL</v>
          </cell>
          <cell r="W838" t="str">
            <v/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 t="str">
            <v>anytime</v>
          </cell>
          <cell r="AC838">
            <v>2</v>
          </cell>
          <cell r="AD838">
            <v>6</v>
          </cell>
          <cell r="AE838" t="str">
            <v>everyone</v>
          </cell>
        </row>
        <row r="839">
          <cell r="A839" t="str">
            <v>47006_2</v>
          </cell>
          <cell r="B839">
            <v>3</v>
          </cell>
          <cell r="C839">
            <v>47006</v>
          </cell>
          <cell r="D839" t="str">
            <v>酉の初めはたまごから</v>
          </cell>
          <cell r="E839" t="str">
            <v>季節イベント</v>
          </cell>
          <cell r="F839">
            <v>2</v>
          </cell>
          <cell r="G839" t="str">
            <v>ja</v>
          </cell>
          <cell r="H839" t="str">
            <v>【ｳｨｻﾞ】酉の初めはたまごから</v>
          </cell>
          <cell r="I839" t="str">
            <v>地獄級</v>
          </cell>
          <cell r="J839">
            <v>1294</v>
          </cell>
          <cell r="K839">
            <v>35</v>
          </cell>
          <cell r="L839">
            <v>4500</v>
          </cell>
          <cell r="M839">
            <v>1</v>
          </cell>
          <cell r="N839">
            <v>1</v>
          </cell>
          <cell r="O839">
            <v>1</v>
          </cell>
          <cell r="P839">
            <v>0</v>
          </cell>
          <cell r="Q839">
            <v>1</v>
          </cell>
          <cell r="R839">
            <v>3</v>
          </cell>
          <cell r="S839" t="str">
            <v>polygon</v>
          </cell>
          <cell r="T839">
            <v>1</v>
          </cell>
          <cell r="U839" t="str">
            <v>NULL</v>
          </cell>
          <cell r="V839" t="str">
            <v>NULL</v>
          </cell>
          <cell r="W839" t="str">
            <v/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 t="str">
            <v>anytime</v>
          </cell>
          <cell r="AC839">
            <v>2</v>
          </cell>
          <cell r="AD839">
            <v>6</v>
          </cell>
          <cell r="AE839" t="str">
            <v>everyone</v>
          </cell>
        </row>
        <row r="840">
          <cell r="A840" t="str">
            <v>47007_1</v>
          </cell>
          <cell r="B840">
            <v>3</v>
          </cell>
          <cell r="C840">
            <v>47007</v>
          </cell>
          <cell r="D840" t="str">
            <v>ツンデレ少女の恋心</v>
          </cell>
          <cell r="E840" t="str">
            <v>季節イベント</v>
          </cell>
          <cell r="F840">
            <v>1</v>
          </cell>
          <cell r="G840" t="str">
            <v>ja</v>
          </cell>
          <cell r="H840" t="str">
            <v>【上級】ツンデレ少女の恋心</v>
          </cell>
          <cell r="I840" t="str">
            <v>超絶級</v>
          </cell>
          <cell r="J840">
            <v>1351</v>
          </cell>
          <cell r="K840">
            <v>15</v>
          </cell>
          <cell r="L840">
            <v>2000</v>
          </cell>
          <cell r="M840">
            <v>1</v>
          </cell>
          <cell r="N840">
            <v>1</v>
          </cell>
          <cell r="O840">
            <v>0</v>
          </cell>
          <cell r="P840">
            <v>1</v>
          </cell>
          <cell r="Q840">
            <v>1</v>
          </cell>
          <cell r="R840">
            <v>3</v>
          </cell>
          <cell r="S840" t="str">
            <v>none</v>
          </cell>
          <cell r="T840">
            <v>0</v>
          </cell>
          <cell r="U840" t="str">
            <v>NULL</v>
          </cell>
          <cell r="V840" t="str">
            <v>NULL</v>
          </cell>
          <cell r="W840" t="str">
            <v/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 t="str">
            <v>anytime</v>
          </cell>
          <cell r="AC840">
            <v>969</v>
          </cell>
          <cell r="AD840">
            <v>6</v>
          </cell>
          <cell r="AE840" t="str">
            <v>everyone</v>
          </cell>
        </row>
        <row r="841">
          <cell r="A841" t="str">
            <v>47007_2</v>
          </cell>
          <cell r="B841">
            <v>3</v>
          </cell>
          <cell r="C841">
            <v>47007</v>
          </cell>
          <cell r="D841" t="str">
            <v>ツンデレ少女の恋心</v>
          </cell>
          <cell r="E841" t="str">
            <v>季節イベント</v>
          </cell>
          <cell r="F841">
            <v>2</v>
          </cell>
          <cell r="G841" t="str">
            <v>ja</v>
          </cell>
          <cell r="H841" t="str">
            <v>【ウィザード級】ツンデレ少女の恋心</v>
          </cell>
          <cell r="I841" t="str">
            <v>地獄級</v>
          </cell>
          <cell r="J841">
            <v>1351</v>
          </cell>
          <cell r="K841">
            <v>30</v>
          </cell>
          <cell r="L841">
            <v>4500</v>
          </cell>
          <cell r="M841">
            <v>1</v>
          </cell>
          <cell r="N841">
            <v>1</v>
          </cell>
          <cell r="O841">
            <v>0</v>
          </cell>
          <cell r="P841">
            <v>1</v>
          </cell>
          <cell r="Q841">
            <v>1</v>
          </cell>
          <cell r="R841">
            <v>3</v>
          </cell>
          <cell r="S841" t="str">
            <v>polygon</v>
          </cell>
          <cell r="T841">
            <v>1</v>
          </cell>
          <cell r="U841" t="str">
            <v>NULL</v>
          </cell>
          <cell r="V841" t="str">
            <v>NULL</v>
          </cell>
          <cell r="W841" t="str">
            <v/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 t="str">
            <v>anytime</v>
          </cell>
          <cell r="AC841">
            <v>969</v>
          </cell>
          <cell r="AD841">
            <v>6</v>
          </cell>
          <cell r="AE841" t="str">
            <v>everyone</v>
          </cell>
        </row>
        <row r="842">
          <cell r="A842" t="str">
            <v>47008_1</v>
          </cell>
          <cell r="B842">
            <v>3</v>
          </cell>
          <cell r="C842">
            <v>47008</v>
          </cell>
          <cell r="D842" t="str">
            <v>ふんわり少女の恋心</v>
          </cell>
          <cell r="E842" t="str">
            <v>季節イベント</v>
          </cell>
          <cell r="F842">
            <v>1</v>
          </cell>
          <cell r="G842" t="str">
            <v>ja</v>
          </cell>
          <cell r="H842" t="str">
            <v>【上級】ふんわり少女の恋心</v>
          </cell>
          <cell r="I842" t="str">
            <v>超絶級</v>
          </cell>
          <cell r="J842">
            <v>1364</v>
          </cell>
          <cell r="K842">
            <v>15</v>
          </cell>
          <cell r="L842">
            <v>2000</v>
          </cell>
          <cell r="M842">
            <v>1</v>
          </cell>
          <cell r="N842">
            <v>1</v>
          </cell>
          <cell r="O842">
            <v>1</v>
          </cell>
          <cell r="P842">
            <v>0</v>
          </cell>
          <cell r="Q842">
            <v>1</v>
          </cell>
          <cell r="R842">
            <v>3</v>
          </cell>
          <cell r="S842" t="str">
            <v>none</v>
          </cell>
          <cell r="T842">
            <v>0</v>
          </cell>
          <cell r="U842" t="str">
            <v>NULL</v>
          </cell>
          <cell r="V842" t="str">
            <v>NULL</v>
          </cell>
          <cell r="W842" t="str">
            <v/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 t="str">
            <v>anytime</v>
          </cell>
          <cell r="AC842">
            <v>969</v>
          </cell>
          <cell r="AD842">
            <v>6</v>
          </cell>
          <cell r="AE842" t="str">
            <v>everyone</v>
          </cell>
        </row>
        <row r="843">
          <cell r="A843" t="str">
            <v>47008_2</v>
          </cell>
          <cell r="B843">
            <v>3</v>
          </cell>
          <cell r="C843">
            <v>47008</v>
          </cell>
          <cell r="D843" t="str">
            <v>ふんわり少女の恋心</v>
          </cell>
          <cell r="E843" t="str">
            <v>季節イベント</v>
          </cell>
          <cell r="F843">
            <v>2</v>
          </cell>
          <cell r="G843" t="str">
            <v>ja</v>
          </cell>
          <cell r="H843" t="str">
            <v>【ウィザード級】ふんわり少女の恋心</v>
          </cell>
          <cell r="I843" t="str">
            <v>地獄級</v>
          </cell>
          <cell r="J843">
            <v>1364</v>
          </cell>
          <cell r="K843">
            <v>30</v>
          </cell>
          <cell r="L843">
            <v>4500</v>
          </cell>
          <cell r="M843">
            <v>1</v>
          </cell>
          <cell r="N843">
            <v>1</v>
          </cell>
          <cell r="O843">
            <v>1</v>
          </cell>
          <cell r="P843">
            <v>0</v>
          </cell>
          <cell r="Q843">
            <v>1</v>
          </cell>
          <cell r="R843">
            <v>3</v>
          </cell>
          <cell r="S843" t="str">
            <v>polygon</v>
          </cell>
          <cell r="T843">
            <v>1</v>
          </cell>
          <cell r="U843" t="str">
            <v>NULL</v>
          </cell>
          <cell r="V843" t="str">
            <v>NULL</v>
          </cell>
          <cell r="W843" t="str">
            <v/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 t="str">
            <v>anytime</v>
          </cell>
          <cell r="AC843">
            <v>969</v>
          </cell>
          <cell r="AD843">
            <v>6</v>
          </cell>
          <cell r="AE843" t="str">
            <v>everyone</v>
          </cell>
        </row>
        <row r="844">
          <cell r="A844" t="str">
            <v>47009_1</v>
          </cell>
          <cell r="B844">
            <v>3</v>
          </cell>
          <cell r="C844">
            <v>47009</v>
          </cell>
          <cell r="D844" t="str">
            <v>夏☆襲来！</v>
          </cell>
          <cell r="E844" t="str">
            <v>（復刻）季節イベント</v>
          </cell>
          <cell r="F844">
            <v>1</v>
          </cell>
          <cell r="G844" t="str">
            <v>ja</v>
          </cell>
          <cell r="H844" t="str">
            <v>【超絶級】夏☆襲来</v>
          </cell>
          <cell r="I844" t="str">
            <v>地獄級</v>
          </cell>
          <cell r="J844">
            <v>1053</v>
          </cell>
          <cell r="K844">
            <v>35</v>
          </cell>
          <cell r="L844">
            <v>4200</v>
          </cell>
          <cell r="M844">
            <v>1</v>
          </cell>
          <cell r="N844">
            <v>1</v>
          </cell>
          <cell r="O844">
            <v>1</v>
          </cell>
          <cell r="P844">
            <v>1</v>
          </cell>
          <cell r="Q844">
            <v>1</v>
          </cell>
          <cell r="R844">
            <v>3</v>
          </cell>
          <cell r="S844" t="str">
            <v>polygon</v>
          </cell>
          <cell r="T844">
            <v>1</v>
          </cell>
          <cell r="U844" t="str">
            <v>NULL</v>
          </cell>
          <cell r="V844" t="str">
            <v>NULL</v>
          </cell>
          <cell r="W844" t="str">
            <v/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 t="str">
            <v>anytime</v>
          </cell>
          <cell r="AC844">
            <v>5</v>
          </cell>
          <cell r="AD844">
            <v>6</v>
          </cell>
          <cell r="AE844" t="str">
            <v>everyone</v>
          </cell>
        </row>
        <row r="845">
          <cell r="A845" t="str">
            <v>47009_2</v>
          </cell>
          <cell r="B845">
            <v>3</v>
          </cell>
          <cell r="C845">
            <v>47009</v>
          </cell>
          <cell r="D845" t="str">
            <v>夏☆襲来！</v>
          </cell>
          <cell r="E845" t="str">
            <v>（復刻）季節イベント</v>
          </cell>
          <cell r="F845">
            <v>2</v>
          </cell>
          <cell r="G845" t="str">
            <v>ja</v>
          </cell>
          <cell r="H845" t="str">
            <v>【ウィザード級】夏☆襲来</v>
          </cell>
          <cell r="I845" t="str">
            <v>地獄級</v>
          </cell>
          <cell r="J845">
            <v>1054</v>
          </cell>
          <cell r="K845">
            <v>40</v>
          </cell>
          <cell r="L845">
            <v>4500</v>
          </cell>
          <cell r="M845">
            <v>1</v>
          </cell>
          <cell r="N845">
            <v>1</v>
          </cell>
          <cell r="O845">
            <v>1</v>
          </cell>
          <cell r="P845">
            <v>1</v>
          </cell>
          <cell r="Q845">
            <v>1</v>
          </cell>
          <cell r="R845">
            <v>3</v>
          </cell>
          <cell r="S845" t="str">
            <v>polygon</v>
          </cell>
          <cell r="T845">
            <v>1</v>
          </cell>
          <cell r="U845" t="str">
            <v>NULL</v>
          </cell>
          <cell r="V845" t="str">
            <v>NULL</v>
          </cell>
          <cell r="W845" t="str">
            <v/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 t="str">
            <v>anytime</v>
          </cell>
          <cell r="AC845">
            <v>5</v>
          </cell>
          <cell r="AD845">
            <v>6</v>
          </cell>
          <cell r="AE845" t="str">
            <v>everyone</v>
          </cell>
        </row>
        <row r="846">
          <cell r="A846" t="str">
            <v>47010_1</v>
          </cell>
          <cell r="B846">
            <v>3</v>
          </cell>
          <cell r="C846">
            <v>47010</v>
          </cell>
          <cell r="D846" t="str">
            <v>僕の愛よあの子にとどけ！</v>
          </cell>
          <cell r="E846" t="str">
            <v>季節イベント</v>
          </cell>
          <cell r="F846">
            <v>1</v>
          </cell>
          <cell r="G846" t="str">
            <v>ja</v>
          </cell>
          <cell r="H846" t="str">
            <v>【上級】僕の愛よあの子にとどけ！</v>
          </cell>
          <cell r="I846" t="str">
            <v>地獄級</v>
          </cell>
          <cell r="J846">
            <v>1408</v>
          </cell>
          <cell r="K846">
            <v>20</v>
          </cell>
          <cell r="L846">
            <v>2000</v>
          </cell>
          <cell r="M846">
            <v>1</v>
          </cell>
          <cell r="N846">
            <v>1</v>
          </cell>
          <cell r="O846">
            <v>1</v>
          </cell>
          <cell r="P846">
            <v>1</v>
          </cell>
          <cell r="Q846">
            <v>1</v>
          </cell>
          <cell r="R846">
            <v>3</v>
          </cell>
          <cell r="S846" t="str">
            <v>item</v>
          </cell>
          <cell r="T846">
            <v>703</v>
          </cell>
          <cell r="U846" t="str">
            <v>NULL</v>
          </cell>
          <cell r="V846" t="str">
            <v>NULL</v>
          </cell>
          <cell r="W846" t="str">
            <v/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 t="str">
            <v>anytime</v>
          </cell>
          <cell r="AC846">
            <v>908</v>
          </cell>
          <cell r="AD846">
            <v>6</v>
          </cell>
          <cell r="AE846" t="str">
            <v>everyone</v>
          </cell>
        </row>
        <row r="847">
          <cell r="A847" t="str">
            <v>47010_2</v>
          </cell>
          <cell r="B847">
            <v>3</v>
          </cell>
          <cell r="C847">
            <v>47010</v>
          </cell>
          <cell r="D847" t="str">
            <v>僕の愛よあの子にとどけ！</v>
          </cell>
          <cell r="E847" t="str">
            <v>季節イベント</v>
          </cell>
          <cell r="F847">
            <v>2</v>
          </cell>
          <cell r="G847" t="str">
            <v>ja</v>
          </cell>
          <cell r="H847" t="str">
            <v>【ｳｨｻﾞ】僕の愛よあの子にとどけ！</v>
          </cell>
          <cell r="I847" t="str">
            <v>地獄級</v>
          </cell>
          <cell r="J847">
            <v>1408</v>
          </cell>
          <cell r="K847">
            <v>40</v>
          </cell>
          <cell r="L847">
            <v>4500</v>
          </cell>
          <cell r="M847">
            <v>1</v>
          </cell>
          <cell r="N847">
            <v>1</v>
          </cell>
          <cell r="O847">
            <v>1</v>
          </cell>
          <cell r="P847">
            <v>1</v>
          </cell>
          <cell r="Q847">
            <v>1</v>
          </cell>
          <cell r="R847">
            <v>3</v>
          </cell>
          <cell r="S847" t="str">
            <v>polygon</v>
          </cell>
          <cell r="T847">
            <v>1</v>
          </cell>
          <cell r="U847" t="str">
            <v>NULL</v>
          </cell>
          <cell r="V847" t="str">
            <v>NULL</v>
          </cell>
          <cell r="W847" t="str">
            <v/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 t="str">
            <v>anytime</v>
          </cell>
          <cell r="AC847">
            <v>908</v>
          </cell>
          <cell r="AD847">
            <v>6</v>
          </cell>
          <cell r="AE847" t="str">
            <v>everyone</v>
          </cell>
        </row>
        <row r="848">
          <cell r="A848" t="str">
            <v>47011_1</v>
          </cell>
          <cell r="B848">
            <v>3</v>
          </cell>
          <cell r="C848">
            <v>47011</v>
          </cell>
          <cell r="D848" t="str">
            <v>ツンデレ少女にお返しを！</v>
          </cell>
          <cell r="E848" t="str">
            <v>季節イベント</v>
          </cell>
          <cell r="F848">
            <v>1</v>
          </cell>
          <cell r="G848" t="str">
            <v>ja</v>
          </cell>
          <cell r="H848" t="str">
            <v>ツンデレ少女にお返しを！</v>
          </cell>
          <cell r="I848" t="str">
            <v>地獄級</v>
          </cell>
          <cell r="J848">
            <v>1351</v>
          </cell>
          <cell r="K848">
            <v>1</v>
          </cell>
          <cell r="L848">
            <v>0</v>
          </cell>
          <cell r="M848">
            <v>1</v>
          </cell>
          <cell r="N848">
            <v>1</v>
          </cell>
          <cell r="O848">
            <v>1</v>
          </cell>
          <cell r="P848">
            <v>1</v>
          </cell>
          <cell r="Q848">
            <v>1</v>
          </cell>
          <cell r="R848">
            <v>3</v>
          </cell>
          <cell r="S848" t="str">
            <v>polygon</v>
          </cell>
          <cell r="T848">
            <v>1</v>
          </cell>
          <cell r="U848" t="str">
            <v>NULL</v>
          </cell>
          <cell r="V848" t="str">
            <v>NULL</v>
          </cell>
          <cell r="W848" t="str">
            <v/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 t="str">
            <v>anytime</v>
          </cell>
          <cell r="AC848">
            <v>926</v>
          </cell>
          <cell r="AD848">
            <v>6</v>
          </cell>
          <cell r="AE848" t="str">
            <v>singleonly</v>
          </cell>
        </row>
        <row r="849">
          <cell r="A849" t="str">
            <v>48001_1</v>
          </cell>
          <cell r="B849">
            <v>1</v>
          </cell>
          <cell r="C849">
            <v>48001</v>
          </cell>
          <cell r="D849" t="str">
            <v>蛟龍襲来！</v>
          </cell>
          <cell r="E849" t="str">
            <v>台湾版降臨1</v>
          </cell>
          <cell r="F849">
            <v>1</v>
          </cell>
          <cell r="G849" t="str">
            <v>ja</v>
          </cell>
          <cell r="H849" t="str">
            <v>【ウィザード級】蛟龍襲来</v>
          </cell>
          <cell r="I849" t="str">
            <v>地獄級</v>
          </cell>
          <cell r="J849">
            <v>8003</v>
          </cell>
          <cell r="K849">
            <v>35</v>
          </cell>
          <cell r="L849">
            <v>4200</v>
          </cell>
          <cell r="M849">
            <v>1</v>
          </cell>
          <cell r="N849">
            <v>1</v>
          </cell>
          <cell r="O849">
            <v>1</v>
          </cell>
          <cell r="P849">
            <v>1</v>
          </cell>
          <cell r="Q849">
            <v>1</v>
          </cell>
          <cell r="R849">
            <v>3</v>
          </cell>
          <cell r="S849" t="str">
            <v>character</v>
          </cell>
          <cell r="T849">
            <v>8003</v>
          </cell>
          <cell r="U849" t="str">
            <v>NULL</v>
          </cell>
          <cell r="V849" t="str">
            <v>NULL</v>
          </cell>
          <cell r="W849" t="str">
            <v/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 t="str">
            <v>anytime</v>
          </cell>
          <cell r="AC849">
            <v>930</v>
          </cell>
          <cell r="AD849">
            <v>6</v>
          </cell>
          <cell r="AE849" t="str">
            <v>everyone</v>
          </cell>
        </row>
        <row r="850">
          <cell r="A850" t="str">
            <v>48002_1</v>
          </cell>
          <cell r="B850">
            <v>1</v>
          </cell>
          <cell r="C850">
            <v>48002</v>
          </cell>
          <cell r="D850" t="str">
            <v>孫悟空襲来！</v>
          </cell>
          <cell r="E850" t="str">
            <v>台湾版降臨2</v>
          </cell>
          <cell r="F850">
            <v>1</v>
          </cell>
          <cell r="G850" t="str">
            <v>ja</v>
          </cell>
          <cell r="H850" t="str">
            <v>【超絶級】孫悟空襲来</v>
          </cell>
          <cell r="I850" t="str">
            <v>地獄級</v>
          </cell>
          <cell r="J850">
            <v>8007</v>
          </cell>
          <cell r="K850">
            <v>35</v>
          </cell>
          <cell r="L850">
            <v>4200</v>
          </cell>
          <cell r="M850">
            <v>1</v>
          </cell>
          <cell r="N850">
            <v>1</v>
          </cell>
          <cell r="O850">
            <v>1</v>
          </cell>
          <cell r="P850">
            <v>1</v>
          </cell>
          <cell r="Q850">
            <v>1</v>
          </cell>
          <cell r="R850">
            <v>3</v>
          </cell>
          <cell r="S850" t="str">
            <v>polygon</v>
          </cell>
          <cell r="T850">
            <v>1</v>
          </cell>
          <cell r="U850" t="str">
            <v>NULL</v>
          </cell>
          <cell r="V850" t="str">
            <v>NULL</v>
          </cell>
          <cell r="W850" t="str">
            <v/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 t="str">
            <v>anytime</v>
          </cell>
          <cell r="AC850">
            <v>927</v>
          </cell>
          <cell r="AD850">
            <v>6</v>
          </cell>
          <cell r="AE850" t="str">
            <v>everyone</v>
          </cell>
        </row>
        <row r="851">
          <cell r="A851" t="str">
            <v>48002_2</v>
          </cell>
          <cell r="B851">
            <v>1</v>
          </cell>
          <cell r="C851">
            <v>48002</v>
          </cell>
          <cell r="D851" t="str">
            <v>孫悟空襲来！</v>
          </cell>
          <cell r="E851" t="str">
            <v>台湾版降臨2</v>
          </cell>
          <cell r="F851">
            <v>2</v>
          </cell>
          <cell r="G851" t="str">
            <v>ja</v>
          </cell>
          <cell r="H851" t="str">
            <v>【ウィザード級】孫悟空襲来</v>
          </cell>
          <cell r="I851" t="str">
            <v>地獄級</v>
          </cell>
          <cell r="J851">
            <v>8007</v>
          </cell>
          <cell r="K851">
            <v>40</v>
          </cell>
          <cell r="L851">
            <v>4500</v>
          </cell>
          <cell r="M851">
            <v>1</v>
          </cell>
          <cell r="N851">
            <v>1</v>
          </cell>
          <cell r="O851">
            <v>1</v>
          </cell>
          <cell r="P851">
            <v>1</v>
          </cell>
          <cell r="Q851">
            <v>1</v>
          </cell>
          <cell r="R851">
            <v>3</v>
          </cell>
          <cell r="S851" t="str">
            <v>polygon</v>
          </cell>
          <cell r="T851">
            <v>1</v>
          </cell>
          <cell r="U851" t="str">
            <v>NULL</v>
          </cell>
          <cell r="V851" t="str">
            <v>NULL</v>
          </cell>
          <cell r="W851" t="str">
            <v/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 t="str">
            <v>anytime</v>
          </cell>
          <cell r="AC851">
            <v>927</v>
          </cell>
          <cell r="AD851">
            <v>6</v>
          </cell>
          <cell r="AE851" t="str">
            <v>everyone</v>
          </cell>
        </row>
        <row r="852">
          <cell r="A852" t="str">
            <v>48002_3</v>
          </cell>
          <cell r="B852">
            <v>1</v>
          </cell>
          <cell r="C852">
            <v>48002</v>
          </cell>
          <cell r="D852" t="str">
            <v>孫悟空襲来！</v>
          </cell>
          <cell r="E852" t="str">
            <v>台湾版降臨2</v>
          </cell>
          <cell r="F852">
            <v>3</v>
          </cell>
          <cell r="G852" t="str">
            <v>ja</v>
          </cell>
          <cell r="H852" t="str">
            <v>【ノーコンテニュー】孫悟空襲来</v>
          </cell>
          <cell r="I852" t="str">
            <v>地獄級</v>
          </cell>
          <cell r="J852">
            <v>8007</v>
          </cell>
          <cell r="K852">
            <v>40</v>
          </cell>
          <cell r="L852">
            <v>4500</v>
          </cell>
          <cell r="M852">
            <v>1</v>
          </cell>
          <cell r="N852">
            <v>1</v>
          </cell>
          <cell r="O852">
            <v>1</v>
          </cell>
          <cell r="P852">
            <v>1</v>
          </cell>
          <cell r="Q852">
            <v>1</v>
          </cell>
          <cell r="R852">
            <v>3</v>
          </cell>
          <cell r="S852" t="str">
            <v>character</v>
          </cell>
          <cell r="T852">
            <v>8007</v>
          </cell>
          <cell r="U852" t="str">
            <v>NULL</v>
          </cell>
          <cell r="V852" t="str">
            <v>NULL</v>
          </cell>
          <cell r="W852" t="str">
            <v/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 t="str">
            <v>anytime</v>
          </cell>
          <cell r="AC852">
            <v>927</v>
          </cell>
          <cell r="AD852">
            <v>6</v>
          </cell>
          <cell r="AE852" t="str">
            <v>everyone</v>
          </cell>
        </row>
        <row r="853">
          <cell r="A853" t="str">
            <v>48003_1</v>
          </cell>
          <cell r="B853">
            <v>3</v>
          </cell>
          <cell r="C853">
            <v>48003</v>
          </cell>
          <cell r="D853" t="str">
            <v>月下老人襲来！</v>
          </cell>
          <cell r="E853" t="str">
            <v>台湾版降臨4</v>
          </cell>
          <cell r="F853">
            <v>1</v>
          </cell>
          <cell r="G853" t="str">
            <v>ja</v>
          </cell>
          <cell r="H853" t="str">
            <v>【超絶級】月下老人襲来</v>
          </cell>
          <cell r="I853" t="str">
            <v>超絶級</v>
          </cell>
          <cell r="J853">
            <v>8012</v>
          </cell>
          <cell r="K853">
            <v>35</v>
          </cell>
          <cell r="L853">
            <v>4200</v>
          </cell>
          <cell r="M853">
            <v>1</v>
          </cell>
          <cell r="N853">
            <v>1</v>
          </cell>
          <cell r="O853">
            <v>1</v>
          </cell>
          <cell r="P853">
            <v>1</v>
          </cell>
          <cell r="Q853">
            <v>1</v>
          </cell>
          <cell r="R853">
            <v>3</v>
          </cell>
          <cell r="S853" t="str">
            <v>polygon</v>
          </cell>
          <cell r="T853">
            <v>1</v>
          </cell>
          <cell r="U853" t="str">
            <v>NULL</v>
          </cell>
          <cell r="V853" t="str">
            <v>NULL</v>
          </cell>
          <cell r="W853" t="str">
            <v/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 t="str">
            <v>anytime</v>
          </cell>
          <cell r="AC853">
            <v>942</v>
          </cell>
          <cell r="AD853">
            <v>6</v>
          </cell>
          <cell r="AE853" t="str">
            <v>everyone</v>
          </cell>
        </row>
        <row r="854">
          <cell r="A854" t="str">
            <v>48003_2</v>
          </cell>
          <cell r="B854">
            <v>3</v>
          </cell>
          <cell r="C854">
            <v>48003</v>
          </cell>
          <cell r="D854" t="str">
            <v>月下老人襲来！</v>
          </cell>
          <cell r="E854" t="str">
            <v>台湾版降臨4</v>
          </cell>
          <cell r="F854">
            <v>2</v>
          </cell>
          <cell r="G854" t="str">
            <v>ja</v>
          </cell>
          <cell r="H854" t="str">
            <v>【ウィザード級】月下老人襲来</v>
          </cell>
          <cell r="I854" t="str">
            <v>地獄級</v>
          </cell>
          <cell r="J854">
            <v>8012</v>
          </cell>
          <cell r="K854">
            <v>40</v>
          </cell>
          <cell r="L854">
            <v>4500</v>
          </cell>
          <cell r="M854">
            <v>1</v>
          </cell>
          <cell r="N854">
            <v>1</v>
          </cell>
          <cell r="O854">
            <v>1</v>
          </cell>
          <cell r="P854">
            <v>1</v>
          </cell>
          <cell r="Q854">
            <v>1</v>
          </cell>
          <cell r="R854">
            <v>3</v>
          </cell>
          <cell r="S854" t="str">
            <v>polygon</v>
          </cell>
          <cell r="T854">
            <v>1</v>
          </cell>
          <cell r="U854" t="str">
            <v>NULL</v>
          </cell>
          <cell r="V854" t="str">
            <v>NULL</v>
          </cell>
          <cell r="W854" t="str">
            <v/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 t="str">
            <v>anytime</v>
          </cell>
          <cell r="AC854">
            <v>942</v>
          </cell>
          <cell r="AD854">
            <v>6</v>
          </cell>
          <cell r="AE854" t="str">
            <v>everyone</v>
          </cell>
        </row>
        <row r="855">
          <cell r="A855" t="str">
            <v>48004_1</v>
          </cell>
          <cell r="B855">
            <v>3</v>
          </cell>
          <cell r="C855">
            <v>48004</v>
          </cell>
          <cell r="D855" t="str">
            <v>蛟龍襲来！</v>
          </cell>
          <cell r="E855" t="str">
            <v>台湾版降臨5</v>
          </cell>
          <cell r="F855">
            <v>1</v>
          </cell>
          <cell r="G855" t="str">
            <v>ja</v>
          </cell>
          <cell r="H855" t="str">
            <v>【超絶級】蛟龍襲来</v>
          </cell>
          <cell r="I855" t="str">
            <v>地獄級</v>
          </cell>
          <cell r="J855">
            <v>8003</v>
          </cell>
          <cell r="K855">
            <v>35</v>
          </cell>
          <cell r="L855">
            <v>4200</v>
          </cell>
          <cell r="M855">
            <v>1</v>
          </cell>
          <cell r="N855">
            <v>1</v>
          </cell>
          <cell r="O855">
            <v>1</v>
          </cell>
          <cell r="P855">
            <v>1</v>
          </cell>
          <cell r="Q855">
            <v>1</v>
          </cell>
          <cell r="R855">
            <v>3</v>
          </cell>
          <cell r="S855" t="str">
            <v>polygon</v>
          </cell>
          <cell r="T855">
            <v>1</v>
          </cell>
          <cell r="U855" t="str">
            <v>NULL</v>
          </cell>
          <cell r="V855" t="str">
            <v>NULL</v>
          </cell>
          <cell r="W855" t="str">
            <v/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 t="str">
            <v>anytime</v>
          </cell>
          <cell r="AC855">
            <v>930</v>
          </cell>
          <cell r="AD855">
            <v>6</v>
          </cell>
          <cell r="AE855" t="str">
            <v>everyone</v>
          </cell>
        </row>
        <row r="856">
          <cell r="A856" t="str">
            <v>48004_2</v>
          </cell>
          <cell r="B856">
            <v>3</v>
          </cell>
          <cell r="C856">
            <v>48004</v>
          </cell>
          <cell r="D856" t="str">
            <v>蛟龍襲来！</v>
          </cell>
          <cell r="E856" t="str">
            <v>台湾版降臨5</v>
          </cell>
          <cell r="F856">
            <v>2</v>
          </cell>
          <cell r="G856" t="str">
            <v>ja</v>
          </cell>
          <cell r="H856" t="str">
            <v>【ウィザード級】蛟龍襲来</v>
          </cell>
          <cell r="I856" t="str">
            <v>地獄級</v>
          </cell>
          <cell r="J856">
            <v>8004</v>
          </cell>
          <cell r="K856">
            <v>40</v>
          </cell>
          <cell r="L856">
            <v>4500</v>
          </cell>
          <cell r="M856">
            <v>1</v>
          </cell>
          <cell r="N856">
            <v>1</v>
          </cell>
          <cell r="O856">
            <v>1</v>
          </cell>
          <cell r="P856">
            <v>1</v>
          </cell>
          <cell r="Q856">
            <v>1</v>
          </cell>
          <cell r="R856">
            <v>3</v>
          </cell>
          <cell r="S856" t="str">
            <v>polygon</v>
          </cell>
          <cell r="T856">
            <v>1</v>
          </cell>
          <cell r="U856" t="str">
            <v>NULL</v>
          </cell>
          <cell r="V856" t="str">
            <v>NULL</v>
          </cell>
          <cell r="W856" t="str">
            <v/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 t="str">
            <v>anytime</v>
          </cell>
          <cell r="AC856">
            <v>930</v>
          </cell>
          <cell r="AD856">
            <v>6</v>
          </cell>
          <cell r="AE856" t="str">
            <v>everyone</v>
          </cell>
        </row>
        <row r="857">
          <cell r="A857" t="str">
            <v>48005_1</v>
          </cell>
          <cell r="B857">
            <v>3</v>
          </cell>
          <cell r="C857">
            <v>48005</v>
          </cell>
          <cell r="D857" t="str">
            <v>孫悟空襲来！</v>
          </cell>
          <cell r="E857" t="str">
            <v>台湾版降臨6</v>
          </cell>
          <cell r="F857">
            <v>1</v>
          </cell>
          <cell r="G857" t="str">
            <v>ja</v>
          </cell>
          <cell r="H857" t="str">
            <v>【超絶級】孫悟空襲来</v>
          </cell>
          <cell r="I857" t="str">
            <v>地獄級</v>
          </cell>
          <cell r="J857">
            <v>8007</v>
          </cell>
          <cell r="K857">
            <v>35</v>
          </cell>
          <cell r="L857">
            <v>4200</v>
          </cell>
          <cell r="M857">
            <v>1</v>
          </cell>
          <cell r="N857">
            <v>1</v>
          </cell>
          <cell r="O857">
            <v>1</v>
          </cell>
          <cell r="P857">
            <v>1</v>
          </cell>
          <cell r="Q857">
            <v>1</v>
          </cell>
          <cell r="R857">
            <v>3</v>
          </cell>
          <cell r="S857" t="str">
            <v>polygon</v>
          </cell>
          <cell r="T857">
            <v>1</v>
          </cell>
          <cell r="U857" t="str">
            <v>NULL</v>
          </cell>
          <cell r="V857" t="str">
            <v>NULL</v>
          </cell>
          <cell r="W857" t="str">
            <v/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 t="str">
            <v>anytime</v>
          </cell>
          <cell r="AC857">
            <v>932</v>
          </cell>
          <cell r="AD857">
            <v>6</v>
          </cell>
          <cell r="AE857" t="str">
            <v>everyone</v>
          </cell>
        </row>
        <row r="858">
          <cell r="A858" t="str">
            <v>48005_2</v>
          </cell>
          <cell r="B858">
            <v>3</v>
          </cell>
          <cell r="C858">
            <v>48005</v>
          </cell>
          <cell r="D858" t="str">
            <v>孫悟空襲来！</v>
          </cell>
          <cell r="E858" t="str">
            <v>台湾版降臨6</v>
          </cell>
          <cell r="F858">
            <v>2</v>
          </cell>
          <cell r="G858" t="str">
            <v>ja</v>
          </cell>
          <cell r="H858" t="str">
            <v>【ウィザード級】孫悟空襲来</v>
          </cell>
          <cell r="I858" t="str">
            <v>地獄級</v>
          </cell>
          <cell r="J858">
            <v>8008</v>
          </cell>
          <cell r="K858">
            <v>40</v>
          </cell>
          <cell r="L858">
            <v>4500</v>
          </cell>
          <cell r="M858">
            <v>1</v>
          </cell>
          <cell r="N858">
            <v>1</v>
          </cell>
          <cell r="O858">
            <v>1</v>
          </cell>
          <cell r="P858">
            <v>1</v>
          </cell>
          <cell r="Q858">
            <v>1</v>
          </cell>
          <cell r="R858">
            <v>3</v>
          </cell>
          <cell r="S858" t="str">
            <v>polygon</v>
          </cell>
          <cell r="T858">
            <v>1</v>
          </cell>
          <cell r="U858" t="str">
            <v>NULL</v>
          </cell>
          <cell r="V858" t="str">
            <v>NULL</v>
          </cell>
          <cell r="W858" t="str">
            <v/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 t="str">
            <v>anytime</v>
          </cell>
          <cell r="AC858">
            <v>932</v>
          </cell>
          <cell r="AD858">
            <v>6</v>
          </cell>
          <cell r="AE858" t="str">
            <v>everyone</v>
          </cell>
        </row>
        <row r="859">
          <cell r="A859" t="str">
            <v>48006_1</v>
          </cell>
          <cell r="B859">
            <v>3</v>
          </cell>
          <cell r="C859">
            <v>48006</v>
          </cell>
          <cell r="D859" t="str">
            <v>牛頭馬面襲来！</v>
          </cell>
          <cell r="E859" t="str">
            <v>台湾版降臨7</v>
          </cell>
          <cell r="F859">
            <v>1</v>
          </cell>
          <cell r="G859" t="str">
            <v>ja</v>
          </cell>
          <cell r="H859" t="str">
            <v>【超絶級】牛頭馬面襲来</v>
          </cell>
          <cell r="I859" t="str">
            <v>地獄級</v>
          </cell>
          <cell r="J859">
            <v>8033</v>
          </cell>
          <cell r="K859">
            <v>35</v>
          </cell>
          <cell r="L859">
            <v>4200</v>
          </cell>
          <cell r="M859">
            <v>1</v>
          </cell>
          <cell r="N859">
            <v>1</v>
          </cell>
          <cell r="O859">
            <v>1</v>
          </cell>
          <cell r="P859">
            <v>1</v>
          </cell>
          <cell r="Q859">
            <v>0</v>
          </cell>
          <cell r="R859">
            <v>3</v>
          </cell>
          <cell r="S859" t="str">
            <v>polygon</v>
          </cell>
          <cell r="T859">
            <v>1</v>
          </cell>
          <cell r="U859" t="str">
            <v>NULL</v>
          </cell>
          <cell r="V859" t="str">
            <v>NULL</v>
          </cell>
          <cell r="W859" t="str">
            <v/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 t="str">
            <v>anytime</v>
          </cell>
          <cell r="AC859">
            <v>946</v>
          </cell>
          <cell r="AD859">
            <v>6</v>
          </cell>
          <cell r="AE859" t="str">
            <v>everyone</v>
          </cell>
        </row>
        <row r="860">
          <cell r="A860" t="str">
            <v>48006_2</v>
          </cell>
          <cell r="B860">
            <v>3</v>
          </cell>
          <cell r="C860">
            <v>48006</v>
          </cell>
          <cell r="D860" t="str">
            <v>牛頭馬面襲来！</v>
          </cell>
          <cell r="E860" t="str">
            <v>台湾版降臨7</v>
          </cell>
          <cell r="F860">
            <v>2</v>
          </cell>
          <cell r="G860" t="str">
            <v>ja</v>
          </cell>
          <cell r="H860" t="str">
            <v>【ウィザード級】牛頭馬面襲来</v>
          </cell>
          <cell r="I860" t="str">
            <v>地獄級</v>
          </cell>
          <cell r="J860">
            <v>8034</v>
          </cell>
          <cell r="K860">
            <v>40</v>
          </cell>
          <cell r="L860">
            <v>4500</v>
          </cell>
          <cell r="M860">
            <v>1</v>
          </cell>
          <cell r="N860">
            <v>1</v>
          </cell>
          <cell r="O860">
            <v>1</v>
          </cell>
          <cell r="P860">
            <v>1</v>
          </cell>
          <cell r="Q860">
            <v>0</v>
          </cell>
          <cell r="R860">
            <v>3</v>
          </cell>
          <cell r="S860" t="str">
            <v>polygon</v>
          </cell>
          <cell r="T860">
            <v>1</v>
          </cell>
          <cell r="U860" t="str">
            <v>NULL</v>
          </cell>
          <cell r="V860" t="str">
            <v>NULL</v>
          </cell>
          <cell r="W860" t="str">
            <v/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 t="str">
            <v>anytime</v>
          </cell>
          <cell r="AC860">
            <v>946</v>
          </cell>
          <cell r="AD860">
            <v>6</v>
          </cell>
          <cell r="AE860" t="str">
            <v>everyone</v>
          </cell>
        </row>
        <row r="861">
          <cell r="A861" t="str">
            <v>48007_1</v>
          </cell>
          <cell r="B861">
            <v>1</v>
          </cell>
          <cell r="C861">
            <v>48007</v>
          </cell>
          <cell r="D861" t="str">
            <v>紅鬼襲来！</v>
          </cell>
          <cell r="E861" t="str">
            <v>台湾版降臨8</v>
          </cell>
          <cell r="F861">
            <v>1</v>
          </cell>
          <cell r="G861" t="str">
            <v>ja</v>
          </cell>
          <cell r="H861" t="str">
            <v>【超絶級】紅鬼襲来</v>
          </cell>
          <cell r="I861" t="str">
            <v>地獄級</v>
          </cell>
          <cell r="J861">
            <v>8079</v>
          </cell>
          <cell r="K861">
            <v>35</v>
          </cell>
          <cell r="L861">
            <v>4200</v>
          </cell>
          <cell r="M861">
            <v>1</v>
          </cell>
          <cell r="N861">
            <v>1</v>
          </cell>
          <cell r="O861">
            <v>1</v>
          </cell>
          <cell r="P861">
            <v>1</v>
          </cell>
          <cell r="Q861">
            <v>1</v>
          </cell>
          <cell r="R861">
            <v>3</v>
          </cell>
          <cell r="S861" t="str">
            <v>polygon</v>
          </cell>
          <cell r="T861">
            <v>1</v>
          </cell>
          <cell r="U861" t="str">
            <v>NULL</v>
          </cell>
          <cell r="V861" t="str">
            <v>NULL</v>
          </cell>
          <cell r="W861" t="str">
            <v/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 t="str">
            <v>anytime</v>
          </cell>
          <cell r="AC861">
            <v>931</v>
          </cell>
          <cell r="AD861">
            <v>6</v>
          </cell>
          <cell r="AE861" t="str">
            <v>everyone</v>
          </cell>
        </row>
        <row r="862">
          <cell r="A862" t="str">
            <v>48007_2</v>
          </cell>
          <cell r="B862">
            <v>1</v>
          </cell>
          <cell r="C862">
            <v>48007</v>
          </cell>
          <cell r="D862" t="str">
            <v>紅鬼襲来！</v>
          </cell>
          <cell r="E862" t="str">
            <v>台湾版降臨8</v>
          </cell>
          <cell r="F862">
            <v>2</v>
          </cell>
          <cell r="G862" t="str">
            <v>ja</v>
          </cell>
          <cell r="H862" t="str">
            <v>【ウィザード級】紅鬼襲来</v>
          </cell>
          <cell r="I862" t="str">
            <v>地獄級</v>
          </cell>
          <cell r="J862">
            <v>8080</v>
          </cell>
          <cell r="K862">
            <v>40</v>
          </cell>
          <cell r="L862">
            <v>4500</v>
          </cell>
          <cell r="M862">
            <v>1</v>
          </cell>
          <cell r="N862">
            <v>1</v>
          </cell>
          <cell r="O862">
            <v>1</v>
          </cell>
          <cell r="P862">
            <v>1</v>
          </cell>
          <cell r="Q862">
            <v>1</v>
          </cell>
          <cell r="R862">
            <v>3</v>
          </cell>
          <cell r="S862" t="str">
            <v>polygon</v>
          </cell>
          <cell r="T862">
            <v>1</v>
          </cell>
          <cell r="U862" t="str">
            <v>NULL</v>
          </cell>
          <cell r="V862" t="str">
            <v>NULL</v>
          </cell>
          <cell r="W862" t="str">
            <v/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 t="str">
            <v>anytime</v>
          </cell>
          <cell r="AC862">
            <v>931</v>
          </cell>
          <cell r="AD862">
            <v>6</v>
          </cell>
          <cell r="AE862" t="str">
            <v>everyone</v>
          </cell>
        </row>
        <row r="863">
          <cell r="A863" t="str">
            <v>48008_1</v>
          </cell>
          <cell r="B863">
            <v>1</v>
          </cell>
          <cell r="C863">
            <v>48008</v>
          </cell>
          <cell r="D863" t="str">
            <v>紀昌襲来！</v>
          </cell>
          <cell r="E863" t="str">
            <v>台湾版降臨9</v>
          </cell>
          <cell r="F863">
            <v>1</v>
          </cell>
          <cell r="G863" t="str">
            <v>ja</v>
          </cell>
          <cell r="H863" t="str">
            <v>【超絶級】紀昌襲来</v>
          </cell>
          <cell r="I863" t="str">
            <v>地獄級</v>
          </cell>
          <cell r="J863">
            <v>8037</v>
          </cell>
          <cell r="K863">
            <v>35</v>
          </cell>
          <cell r="L863">
            <v>4200</v>
          </cell>
          <cell r="M863">
            <v>1</v>
          </cell>
          <cell r="N863">
            <v>1</v>
          </cell>
          <cell r="O863">
            <v>1</v>
          </cell>
          <cell r="P863">
            <v>1</v>
          </cell>
          <cell r="Q863">
            <v>1</v>
          </cell>
          <cell r="R863">
            <v>3</v>
          </cell>
          <cell r="S863" t="str">
            <v>polygon</v>
          </cell>
          <cell r="T863">
            <v>1</v>
          </cell>
          <cell r="U863" t="str">
            <v>NULL</v>
          </cell>
          <cell r="V863" t="str">
            <v>NULL</v>
          </cell>
          <cell r="W863" t="str">
            <v/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 t="str">
            <v>anytime</v>
          </cell>
          <cell r="AC863">
            <v>948</v>
          </cell>
          <cell r="AD863">
            <v>6</v>
          </cell>
          <cell r="AE863" t="str">
            <v>everyone</v>
          </cell>
        </row>
        <row r="864">
          <cell r="A864" t="str">
            <v>48008_2</v>
          </cell>
          <cell r="B864">
            <v>1</v>
          </cell>
          <cell r="C864">
            <v>48008</v>
          </cell>
          <cell r="D864" t="str">
            <v>紀昌襲来！</v>
          </cell>
          <cell r="E864" t="str">
            <v>台湾版降臨9</v>
          </cell>
          <cell r="F864">
            <v>2</v>
          </cell>
          <cell r="G864" t="str">
            <v>ja</v>
          </cell>
          <cell r="H864" t="str">
            <v>【ウィザード級】紀昌襲来</v>
          </cell>
          <cell r="I864" t="str">
            <v>地獄級</v>
          </cell>
          <cell r="J864">
            <v>8038</v>
          </cell>
          <cell r="K864">
            <v>40</v>
          </cell>
          <cell r="L864">
            <v>4500</v>
          </cell>
          <cell r="M864">
            <v>1</v>
          </cell>
          <cell r="N864">
            <v>1</v>
          </cell>
          <cell r="O864">
            <v>1</v>
          </cell>
          <cell r="P864">
            <v>1</v>
          </cell>
          <cell r="Q864">
            <v>1</v>
          </cell>
          <cell r="R864">
            <v>3</v>
          </cell>
          <cell r="S864" t="str">
            <v>polygon</v>
          </cell>
          <cell r="T864">
            <v>1</v>
          </cell>
          <cell r="U864" t="str">
            <v>NULL</v>
          </cell>
          <cell r="V864" t="str">
            <v>NULL</v>
          </cell>
          <cell r="W864" t="str">
            <v/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 t="str">
            <v>anytime</v>
          </cell>
          <cell r="AC864">
            <v>948</v>
          </cell>
          <cell r="AD864">
            <v>6</v>
          </cell>
          <cell r="AE864" t="str">
            <v>everyone</v>
          </cell>
        </row>
        <row r="865">
          <cell r="A865" t="str">
            <v>48009_1</v>
          </cell>
          <cell r="B865">
            <v>1</v>
          </cell>
          <cell r="C865">
            <v>48009</v>
          </cell>
          <cell r="D865" t="str">
            <v>藍采和襲来！</v>
          </cell>
          <cell r="E865" t="str">
            <v>台湾版降臨10</v>
          </cell>
          <cell r="F865">
            <v>1</v>
          </cell>
          <cell r="G865" t="str">
            <v>ja</v>
          </cell>
          <cell r="H865" t="str">
            <v>【超絶級】藍采和襲来</v>
          </cell>
          <cell r="I865" t="str">
            <v>地獄級</v>
          </cell>
          <cell r="J865">
            <v>8042</v>
          </cell>
          <cell r="K865">
            <v>35</v>
          </cell>
          <cell r="L865">
            <v>4200</v>
          </cell>
          <cell r="M865">
            <v>1</v>
          </cell>
          <cell r="N865">
            <v>1</v>
          </cell>
          <cell r="O865">
            <v>1</v>
          </cell>
          <cell r="P865">
            <v>1</v>
          </cell>
          <cell r="Q865">
            <v>1</v>
          </cell>
          <cell r="R865">
            <v>3</v>
          </cell>
          <cell r="S865" t="str">
            <v>polygon</v>
          </cell>
          <cell r="T865">
            <v>1</v>
          </cell>
          <cell r="U865" t="str">
            <v>NULL</v>
          </cell>
          <cell r="V865" t="str">
            <v>NULL</v>
          </cell>
          <cell r="W865" t="str">
            <v/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 t="str">
            <v>anytime</v>
          </cell>
          <cell r="AC865">
            <v>953</v>
          </cell>
          <cell r="AD865">
            <v>6</v>
          </cell>
          <cell r="AE865" t="str">
            <v>everyone</v>
          </cell>
        </row>
        <row r="866">
          <cell r="A866" t="str">
            <v>48009_2</v>
          </cell>
          <cell r="B866">
            <v>1</v>
          </cell>
          <cell r="C866">
            <v>48009</v>
          </cell>
          <cell r="D866" t="str">
            <v>藍采和襲来！</v>
          </cell>
          <cell r="E866" t="str">
            <v>台湾版降臨10</v>
          </cell>
          <cell r="F866">
            <v>2</v>
          </cell>
          <cell r="G866" t="str">
            <v>ja</v>
          </cell>
          <cell r="H866" t="str">
            <v>【ウィザード級】藍采和襲来</v>
          </cell>
          <cell r="I866" t="str">
            <v>地獄級</v>
          </cell>
          <cell r="J866">
            <v>8042</v>
          </cell>
          <cell r="K866">
            <v>40</v>
          </cell>
          <cell r="L866">
            <v>4500</v>
          </cell>
          <cell r="M866">
            <v>1</v>
          </cell>
          <cell r="N866">
            <v>1</v>
          </cell>
          <cell r="O866">
            <v>1</v>
          </cell>
          <cell r="P866">
            <v>1</v>
          </cell>
          <cell r="Q866">
            <v>1</v>
          </cell>
          <cell r="R866">
            <v>3</v>
          </cell>
          <cell r="S866" t="str">
            <v>polygon</v>
          </cell>
          <cell r="T866">
            <v>1</v>
          </cell>
          <cell r="U866" t="str">
            <v>NULL</v>
          </cell>
          <cell r="V866" t="str">
            <v>NULL</v>
          </cell>
          <cell r="W866" t="str">
            <v/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 t="str">
            <v>anytime</v>
          </cell>
          <cell r="AC866">
            <v>953</v>
          </cell>
          <cell r="AD866">
            <v>6</v>
          </cell>
          <cell r="AE866" t="str">
            <v>everyone</v>
          </cell>
        </row>
        <row r="867">
          <cell r="A867" t="str">
            <v>48010_1</v>
          </cell>
          <cell r="B867">
            <v>1</v>
          </cell>
          <cell r="C867">
            <v>48010</v>
          </cell>
          <cell r="D867" t="str">
            <v>バハムートダックより祝福を</v>
          </cell>
          <cell r="E867" t="str">
            <v>台湾バハムート記念限定クエスト</v>
          </cell>
          <cell r="F867">
            <v>1</v>
          </cell>
          <cell r="G867" t="str">
            <v>ja</v>
          </cell>
          <cell r="H867" t="str">
            <v>バハムートダックより祝福を</v>
          </cell>
          <cell r="I867" t="str">
            <v>台湾バハムート記念限定クエスト</v>
          </cell>
          <cell r="J867">
            <v>8095</v>
          </cell>
          <cell r="K867">
            <v>1</v>
          </cell>
          <cell r="L867">
            <v>200</v>
          </cell>
          <cell r="M867">
            <v>1</v>
          </cell>
          <cell r="N867">
            <v>1</v>
          </cell>
          <cell r="O867">
            <v>1</v>
          </cell>
          <cell r="P867">
            <v>1</v>
          </cell>
          <cell r="Q867">
            <v>1</v>
          </cell>
          <cell r="R867">
            <v>3</v>
          </cell>
          <cell r="S867" t="str">
            <v>polygon</v>
          </cell>
          <cell r="T867">
            <v>1</v>
          </cell>
          <cell r="U867" t="str">
            <v>NULL</v>
          </cell>
          <cell r="V867" t="str">
            <v>NULL</v>
          </cell>
          <cell r="W867" t="str">
            <v/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 t="str">
            <v>once</v>
          </cell>
          <cell r="AC867">
            <v>1</v>
          </cell>
          <cell r="AD867">
            <v>6</v>
          </cell>
          <cell r="AE867" t="str">
            <v>singleonly</v>
          </cell>
        </row>
        <row r="868">
          <cell r="A868" t="str">
            <v>48011_1</v>
          </cell>
          <cell r="B868">
            <v>1</v>
          </cell>
          <cell r="C868">
            <v>48011</v>
          </cell>
          <cell r="D868" t="str">
            <v>年獣襲来！</v>
          </cell>
          <cell r="E868" t="str">
            <v>台湾版降臨11</v>
          </cell>
          <cell r="F868">
            <v>1</v>
          </cell>
          <cell r="G868" t="str">
            <v>ja</v>
          </cell>
          <cell r="H868" t="str">
            <v>【超絶級】年獣襲来</v>
          </cell>
          <cell r="I868" t="str">
            <v>地獄級</v>
          </cell>
          <cell r="J868">
            <v>8090</v>
          </cell>
          <cell r="K868">
            <v>35</v>
          </cell>
          <cell r="L868">
            <v>4200</v>
          </cell>
          <cell r="M868">
            <v>1</v>
          </cell>
          <cell r="N868">
            <v>1</v>
          </cell>
          <cell r="O868">
            <v>1</v>
          </cell>
          <cell r="P868">
            <v>1</v>
          </cell>
          <cell r="Q868">
            <v>1</v>
          </cell>
          <cell r="R868">
            <v>3</v>
          </cell>
          <cell r="S868" t="str">
            <v>polygon</v>
          </cell>
          <cell r="T868">
            <v>1</v>
          </cell>
          <cell r="U868" t="str">
            <v>NULL</v>
          </cell>
          <cell r="V868" t="str">
            <v>NULL</v>
          </cell>
          <cell r="W868" t="str">
            <v/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 t="str">
            <v>anytime</v>
          </cell>
          <cell r="AC868">
            <v>970</v>
          </cell>
          <cell r="AD868">
            <v>6</v>
          </cell>
          <cell r="AE868" t="str">
            <v>everyone</v>
          </cell>
        </row>
        <row r="869">
          <cell r="A869" t="str">
            <v>48011_2</v>
          </cell>
          <cell r="B869">
            <v>1</v>
          </cell>
          <cell r="C869">
            <v>48011</v>
          </cell>
          <cell r="D869" t="str">
            <v>年獣襲来！</v>
          </cell>
          <cell r="E869" t="str">
            <v>台湾版降臨11</v>
          </cell>
          <cell r="F869">
            <v>2</v>
          </cell>
          <cell r="G869" t="str">
            <v>ja</v>
          </cell>
          <cell r="H869" t="str">
            <v>【ウィザード級】年獣襲来</v>
          </cell>
          <cell r="I869" t="str">
            <v>地獄級</v>
          </cell>
          <cell r="J869">
            <v>8090</v>
          </cell>
          <cell r="K869">
            <v>40</v>
          </cell>
          <cell r="L869">
            <v>4500</v>
          </cell>
          <cell r="M869">
            <v>1</v>
          </cell>
          <cell r="N869">
            <v>1</v>
          </cell>
          <cell r="O869">
            <v>1</v>
          </cell>
          <cell r="P869">
            <v>1</v>
          </cell>
          <cell r="Q869">
            <v>1</v>
          </cell>
          <cell r="R869">
            <v>3</v>
          </cell>
          <cell r="S869" t="str">
            <v>polygon</v>
          </cell>
          <cell r="T869">
            <v>1</v>
          </cell>
          <cell r="U869" t="str">
            <v>NULL</v>
          </cell>
          <cell r="V869" t="str">
            <v>NULL</v>
          </cell>
          <cell r="W869" t="str">
            <v/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 t="str">
            <v>anytime</v>
          </cell>
          <cell r="AC869">
            <v>970</v>
          </cell>
          <cell r="AD869">
            <v>6</v>
          </cell>
          <cell r="AE869" t="str">
            <v>everyone</v>
          </cell>
        </row>
        <row r="870">
          <cell r="A870" t="str">
            <v>48501_1</v>
          </cell>
          <cell r="B870">
            <v>1</v>
          </cell>
          <cell r="C870">
            <v>48501</v>
          </cell>
          <cell r="D870" t="str">
            <v>ナーガ襲来！</v>
          </cell>
          <cell r="E870" t="str">
            <v>グローバル版降臨1</v>
          </cell>
          <cell r="F870">
            <v>1</v>
          </cell>
          <cell r="G870" t="str">
            <v>ja</v>
          </cell>
          <cell r="H870" t="str">
            <v>【超絶級】ナーガ襲来</v>
          </cell>
          <cell r="I870" t="str">
            <v>地獄級</v>
          </cell>
          <cell r="J870">
            <v>5004</v>
          </cell>
          <cell r="K870">
            <v>35</v>
          </cell>
          <cell r="L870">
            <v>4200</v>
          </cell>
          <cell r="M870">
            <v>1</v>
          </cell>
          <cell r="N870">
            <v>1</v>
          </cell>
          <cell r="O870">
            <v>1</v>
          </cell>
          <cell r="P870">
            <v>1</v>
          </cell>
          <cell r="Q870">
            <v>1</v>
          </cell>
          <cell r="R870">
            <v>3</v>
          </cell>
          <cell r="S870" t="str">
            <v>polygon</v>
          </cell>
          <cell r="T870">
            <v>1</v>
          </cell>
          <cell r="U870" t="str">
            <v>NULL</v>
          </cell>
          <cell r="V870" t="str">
            <v>NULL</v>
          </cell>
          <cell r="W870" t="str">
            <v/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 t="str">
            <v>anytime</v>
          </cell>
          <cell r="AC870">
            <v>963</v>
          </cell>
          <cell r="AD870">
            <v>6</v>
          </cell>
          <cell r="AE870" t="str">
            <v>everyone</v>
          </cell>
        </row>
        <row r="871">
          <cell r="A871" t="str">
            <v>48501_2</v>
          </cell>
          <cell r="B871">
            <v>1</v>
          </cell>
          <cell r="C871">
            <v>48501</v>
          </cell>
          <cell r="D871" t="str">
            <v>ナーガ襲来！</v>
          </cell>
          <cell r="E871" t="str">
            <v>グローバル版降臨1</v>
          </cell>
          <cell r="F871">
            <v>2</v>
          </cell>
          <cell r="G871" t="str">
            <v>ja</v>
          </cell>
          <cell r="H871" t="str">
            <v>【ウィザード級】ナーガ襲来</v>
          </cell>
          <cell r="I871" t="str">
            <v>地獄級</v>
          </cell>
          <cell r="J871">
            <v>5004</v>
          </cell>
          <cell r="K871">
            <v>40</v>
          </cell>
          <cell r="L871">
            <v>4500</v>
          </cell>
          <cell r="M871">
            <v>1</v>
          </cell>
          <cell r="N871">
            <v>1</v>
          </cell>
          <cell r="O871">
            <v>1</v>
          </cell>
          <cell r="P871">
            <v>1</v>
          </cell>
          <cell r="Q871">
            <v>1</v>
          </cell>
          <cell r="R871">
            <v>3</v>
          </cell>
          <cell r="S871" t="str">
            <v>polygon</v>
          </cell>
          <cell r="T871">
            <v>1</v>
          </cell>
          <cell r="U871" t="str">
            <v>NULL</v>
          </cell>
          <cell r="V871" t="str">
            <v>NULL</v>
          </cell>
          <cell r="W871" t="str">
            <v/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 t="str">
            <v>anytime</v>
          </cell>
          <cell r="AC871">
            <v>963</v>
          </cell>
          <cell r="AD871">
            <v>6</v>
          </cell>
          <cell r="AE871" t="str">
            <v>everyone</v>
          </cell>
        </row>
        <row r="872">
          <cell r="A872" t="str">
            <v>48502_1</v>
          </cell>
          <cell r="B872">
            <v>1</v>
          </cell>
          <cell r="C872">
            <v>48502</v>
          </cell>
          <cell r="D872" t="str">
            <v>ヘルシング襲来！</v>
          </cell>
          <cell r="E872" t="str">
            <v>グローバル版降臨2</v>
          </cell>
          <cell r="F872">
            <v>1</v>
          </cell>
          <cell r="G872" t="str">
            <v>ja</v>
          </cell>
          <cell r="H872" t="str">
            <v>【超絶級】ヘルシング襲来</v>
          </cell>
          <cell r="I872" t="str">
            <v>地獄級</v>
          </cell>
          <cell r="J872">
            <v>5008</v>
          </cell>
          <cell r="K872">
            <v>35</v>
          </cell>
          <cell r="L872">
            <v>4200</v>
          </cell>
          <cell r="M872">
            <v>1</v>
          </cell>
          <cell r="N872">
            <v>1</v>
          </cell>
          <cell r="O872">
            <v>1</v>
          </cell>
          <cell r="P872">
            <v>1</v>
          </cell>
          <cell r="Q872">
            <v>1</v>
          </cell>
          <cell r="R872">
            <v>3</v>
          </cell>
          <cell r="S872" t="str">
            <v>polygon</v>
          </cell>
          <cell r="T872">
            <v>1</v>
          </cell>
          <cell r="U872" t="str">
            <v>NULL</v>
          </cell>
          <cell r="V872" t="str">
            <v>NULL</v>
          </cell>
          <cell r="W872" t="str">
            <v/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 t="str">
            <v>anytime</v>
          </cell>
          <cell r="AC872">
            <v>963</v>
          </cell>
          <cell r="AD872">
            <v>6</v>
          </cell>
          <cell r="AE872" t="str">
            <v>everyone</v>
          </cell>
        </row>
        <row r="873">
          <cell r="A873" t="str">
            <v>48502_2</v>
          </cell>
          <cell r="B873">
            <v>1</v>
          </cell>
          <cell r="C873">
            <v>48502</v>
          </cell>
          <cell r="D873" t="str">
            <v>ヘルシング襲来！</v>
          </cell>
          <cell r="E873" t="str">
            <v>グローバル版降臨2</v>
          </cell>
          <cell r="F873">
            <v>2</v>
          </cell>
          <cell r="G873" t="str">
            <v>ja</v>
          </cell>
          <cell r="H873" t="str">
            <v>【ウィザード級】ヘルシング襲来</v>
          </cell>
          <cell r="I873" t="str">
            <v>地獄級</v>
          </cell>
          <cell r="J873">
            <v>5008</v>
          </cell>
          <cell r="K873">
            <v>40</v>
          </cell>
          <cell r="L873">
            <v>4500</v>
          </cell>
          <cell r="M873">
            <v>1</v>
          </cell>
          <cell r="N873">
            <v>1</v>
          </cell>
          <cell r="O873">
            <v>1</v>
          </cell>
          <cell r="P873">
            <v>1</v>
          </cell>
          <cell r="Q873">
            <v>1</v>
          </cell>
          <cell r="R873">
            <v>3</v>
          </cell>
          <cell r="S873" t="str">
            <v>polygon</v>
          </cell>
          <cell r="T873">
            <v>1</v>
          </cell>
          <cell r="U873" t="str">
            <v>NULL</v>
          </cell>
          <cell r="V873" t="str">
            <v>NULL</v>
          </cell>
          <cell r="W873" t="str">
            <v/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 t="str">
            <v>anytime</v>
          </cell>
          <cell r="AC873">
            <v>963</v>
          </cell>
          <cell r="AD873">
            <v>6</v>
          </cell>
          <cell r="AE873" t="str">
            <v>everyone</v>
          </cell>
        </row>
        <row r="874">
          <cell r="A874" t="str">
            <v>48701_1</v>
          </cell>
          <cell r="B874">
            <v>1</v>
          </cell>
          <cell r="C874">
            <v>48701</v>
          </cell>
          <cell r="D874" t="str">
            <v>M.Dragon襲来！</v>
          </cell>
          <cell r="E874" t="str">
            <v>韓国版降臨1</v>
          </cell>
          <cell r="F874">
            <v>1</v>
          </cell>
          <cell r="G874" t="str">
            <v>ja</v>
          </cell>
          <cell r="H874" t="str">
            <v>【超絶級】M.Dragon襲来</v>
          </cell>
          <cell r="I874" t="str">
            <v>地獄級</v>
          </cell>
          <cell r="J874">
            <v>9004</v>
          </cell>
          <cell r="K874">
            <v>35</v>
          </cell>
          <cell r="L874">
            <v>4200</v>
          </cell>
          <cell r="M874">
            <v>1</v>
          </cell>
          <cell r="N874">
            <v>1</v>
          </cell>
          <cell r="O874">
            <v>1</v>
          </cell>
          <cell r="P874">
            <v>1</v>
          </cell>
          <cell r="Q874">
            <v>1</v>
          </cell>
          <cell r="R874">
            <v>3</v>
          </cell>
          <cell r="S874" t="str">
            <v>polygon</v>
          </cell>
          <cell r="T874">
            <v>1</v>
          </cell>
          <cell r="U874" t="str">
            <v>NULL</v>
          </cell>
          <cell r="V874" t="str">
            <v>NULL</v>
          </cell>
          <cell r="W874" t="str">
            <v/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 t="str">
            <v>anytime</v>
          </cell>
          <cell r="AC874">
            <v>963</v>
          </cell>
          <cell r="AD874">
            <v>6</v>
          </cell>
          <cell r="AE874" t="str">
            <v>everyone</v>
          </cell>
        </row>
        <row r="875">
          <cell r="A875" t="str">
            <v>48701_2</v>
          </cell>
          <cell r="B875">
            <v>1</v>
          </cell>
          <cell r="C875">
            <v>48701</v>
          </cell>
          <cell r="D875" t="str">
            <v>M.Dragon襲来！</v>
          </cell>
          <cell r="E875" t="str">
            <v>韓国版降臨1</v>
          </cell>
          <cell r="F875">
            <v>2</v>
          </cell>
          <cell r="G875" t="str">
            <v>ja</v>
          </cell>
          <cell r="H875" t="str">
            <v>【ウィザード級】M.Dragon襲来</v>
          </cell>
          <cell r="I875" t="str">
            <v>地獄級</v>
          </cell>
          <cell r="J875">
            <v>9004</v>
          </cell>
          <cell r="K875">
            <v>40</v>
          </cell>
          <cell r="L875">
            <v>4500</v>
          </cell>
          <cell r="M875">
            <v>1</v>
          </cell>
          <cell r="N875">
            <v>1</v>
          </cell>
          <cell r="O875">
            <v>1</v>
          </cell>
          <cell r="P875">
            <v>1</v>
          </cell>
          <cell r="Q875">
            <v>1</v>
          </cell>
          <cell r="R875">
            <v>3</v>
          </cell>
          <cell r="S875" t="str">
            <v>polygon</v>
          </cell>
          <cell r="T875">
            <v>1</v>
          </cell>
          <cell r="U875" t="str">
            <v>NULL</v>
          </cell>
          <cell r="V875" t="str">
            <v>NULL</v>
          </cell>
          <cell r="W875" t="str">
            <v/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 t="str">
            <v>anytime</v>
          </cell>
          <cell r="AC875">
            <v>963</v>
          </cell>
          <cell r="AD875">
            <v>6</v>
          </cell>
          <cell r="AE875" t="str">
            <v>everyone</v>
          </cell>
        </row>
        <row r="876">
          <cell r="A876" t="str">
            <v>49001_1</v>
          </cell>
          <cell r="B876">
            <v>3</v>
          </cell>
          <cell r="C876">
            <v>49001</v>
          </cell>
          <cell r="D876" t="str">
            <v>熱唱！初音ミクV3</v>
          </cell>
          <cell r="E876" t="str">
            <v>コラボ降臨1</v>
          </cell>
          <cell r="F876">
            <v>1</v>
          </cell>
          <cell r="G876" t="str">
            <v>ja</v>
          </cell>
          <cell r="H876" t="str">
            <v>【ウィザード級】熱唱！初音ミクV3</v>
          </cell>
          <cell r="I876" t="str">
            <v>地獄級</v>
          </cell>
          <cell r="J876">
            <v>528</v>
          </cell>
          <cell r="K876">
            <v>40</v>
          </cell>
          <cell r="L876">
            <v>4200</v>
          </cell>
          <cell r="M876">
            <v>1</v>
          </cell>
          <cell r="N876">
            <v>1</v>
          </cell>
          <cell r="O876">
            <v>1</v>
          </cell>
          <cell r="P876">
            <v>1</v>
          </cell>
          <cell r="Q876">
            <v>1</v>
          </cell>
          <cell r="R876">
            <v>3</v>
          </cell>
          <cell r="S876" t="str">
            <v>polygon</v>
          </cell>
          <cell r="T876">
            <v>1</v>
          </cell>
          <cell r="U876" t="str">
            <v>NULL</v>
          </cell>
          <cell r="V876" t="str">
            <v>NULL</v>
          </cell>
          <cell r="W876" t="str">
            <v/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 t="str">
            <v>anytime</v>
          </cell>
          <cell r="AC876">
            <v>910</v>
          </cell>
          <cell r="AD876">
            <v>6</v>
          </cell>
          <cell r="AE876" t="str">
            <v>everyone</v>
          </cell>
        </row>
        <row r="877">
          <cell r="A877" t="str">
            <v>49002_1</v>
          </cell>
          <cell r="B877">
            <v>3</v>
          </cell>
          <cell r="C877">
            <v>49002</v>
          </cell>
          <cell r="D877" t="str">
            <v>園原杏里襲来！</v>
          </cell>
          <cell r="E877" t="str">
            <v>コラボ降臨2</v>
          </cell>
          <cell r="F877">
            <v>1</v>
          </cell>
          <cell r="G877" t="str">
            <v>ja</v>
          </cell>
          <cell r="H877" t="str">
            <v>【ウィザード級】園原杏里襲来</v>
          </cell>
          <cell r="I877" t="str">
            <v>地獄級</v>
          </cell>
          <cell r="J877">
            <v>699</v>
          </cell>
          <cell r="K877">
            <v>40</v>
          </cell>
          <cell r="L877">
            <v>4500</v>
          </cell>
          <cell r="M877">
            <v>1</v>
          </cell>
          <cell r="N877">
            <v>1</v>
          </cell>
          <cell r="O877">
            <v>1</v>
          </cell>
          <cell r="P877">
            <v>1</v>
          </cell>
          <cell r="Q877">
            <v>1</v>
          </cell>
          <cell r="R877">
            <v>3</v>
          </cell>
          <cell r="S877" t="str">
            <v>polygon</v>
          </cell>
          <cell r="T877">
            <v>1</v>
          </cell>
          <cell r="U877" t="str">
            <v>NULL</v>
          </cell>
          <cell r="V877" t="str">
            <v>NULL</v>
          </cell>
          <cell r="W877" t="str">
            <v/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 t="str">
            <v>anytime</v>
          </cell>
          <cell r="AC877">
            <v>917</v>
          </cell>
          <cell r="AD877">
            <v>6</v>
          </cell>
          <cell r="AE877" t="str">
            <v>everyone</v>
          </cell>
        </row>
        <row r="878">
          <cell r="A878" t="str">
            <v>49002_2</v>
          </cell>
          <cell r="B878">
            <v>3</v>
          </cell>
          <cell r="C878">
            <v>49002</v>
          </cell>
          <cell r="D878" t="str">
            <v>園原杏里襲来！</v>
          </cell>
          <cell r="E878" t="str">
            <v>コラボ降臨2</v>
          </cell>
          <cell r="F878">
            <v>2</v>
          </cell>
          <cell r="G878" t="str">
            <v>ja</v>
          </cell>
          <cell r="H878" t="str">
            <v>【ノーコンテニュー】園原杏里襲来</v>
          </cell>
          <cell r="I878" t="str">
            <v>地獄級</v>
          </cell>
          <cell r="J878">
            <v>699</v>
          </cell>
          <cell r="K878">
            <v>40</v>
          </cell>
          <cell r="L878">
            <v>4500</v>
          </cell>
          <cell r="M878">
            <v>1</v>
          </cell>
          <cell r="N878">
            <v>1</v>
          </cell>
          <cell r="O878">
            <v>1</v>
          </cell>
          <cell r="P878">
            <v>1</v>
          </cell>
          <cell r="Q878">
            <v>1</v>
          </cell>
          <cell r="R878">
            <v>3</v>
          </cell>
          <cell r="S878" t="str">
            <v>polygon</v>
          </cell>
          <cell r="T878">
            <v>1</v>
          </cell>
          <cell r="U878" t="str">
            <v>NULL</v>
          </cell>
          <cell r="V878" t="str">
            <v>NULL</v>
          </cell>
          <cell r="W878" t="str">
            <v/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 t="str">
            <v>anytime</v>
          </cell>
          <cell r="AC878">
            <v>917</v>
          </cell>
          <cell r="AD878">
            <v>6</v>
          </cell>
          <cell r="AE878" t="str">
            <v>everyone</v>
          </cell>
        </row>
        <row r="879">
          <cell r="A879" t="str">
            <v>49003_1</v>
          </cell>
          <cell r="B879">
            <v>3</v>
          </cell>
          <cell r="C879">
            <v>49003</v>
          </cell>
          <cell r="D879" t="str">
            <v>折原臨也襲来！</v>
          </cell>
          <cell r="E879" t="str">
            <v>コラボ降臨3</v>
          </cell>
          <cell r="F879">
            <v>1</v>
          </cell>
          <cell r="G879" t="str">
            <v>ja</v>
          </cell>
          <cell r="H879" t="str">
            <v>【ウィザード級】折原臨也襲来</v>
          </cell>
          <cell r="I879" t="str">
            <v>地獄級</v>
          </cell>
          <cell r="J879">
            <v>701</v>
          </cell>
          <cell r="K879">
            <v>40</v>
          </cell>
          <cell r="L879">
            <v>4500</v>
          </cell>
          <cell r="M879">
            <v>1</v>
          </cell>
          <cell r="N879">
            <v>1</v>
          </cell>
          <cell r="O879">
            <v>1</v>
          </cell>
          <cell r="P879">
            <v>1</v>
          </cell>
          <cell r="Q879">
            <v>1</v>
          </cell>
          <cell r="R879">
            <v>3</v>
          </cell>
          <cell r="S879" t="str">
            <v>polygon</v>
          </cell>
          <cell r="T879">
            <v>1</v>
          </cell>
          <cell r="U879" t="str">
            <v>NULL</v>
          </cell>
          <cell r="V879" t="str">
            <v>NULL</v>
          </cell>
          <cell r="W879" t="str">
            <v/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 t="str">
            <v>anytime</v>
          </cell>
          <cell r="AC879">
            <v>918</v>
          </cell>
          <cell r="AD879">
            <v>6</v>
          </cell>
          <cell r="AE879" t="str">
            <v>everyone</v>
          </cell>
        </row>
        <row r="880">
          <cell r="A880" t="str">
            <v>49003_2</v>
          </cell>
          <cell r="B880">
            <v>3</v>
          </cell>
          <cell r="C880">
            <v>49003</v>
          </cell>
          <cell r="D880" t="str">
            <v>折原臨也襲来！</v>
          </cell>
          <cell r="E880" t="str">
            <v>コラボ降臨3</v>
          </cell>
          <cell r="F880">
            <v>2</v>
          </cell>
          <cell r="G880" t="str">
            <v>ja</v>
          </cell>
          <cell r="H880" t="str">
            <v>【ノーコンテニュー】折原臨也襲来</v>
          </cell>
          <cell r="I880" t="str">
            <v>地獄級</v>
          </cell>
          <cell r="J880">
            <v>701</v>
          </cell>
          <cell r="K880">
            <v>40</v>
          </cell>
          <cell r="L880">
            <v>4500</v>
          </cell>
          <cell r="M880">
            <v>1</v>
          </cell>
          <cell r="N880">
            <v>1</v>
          </cell>
          <cell r="O880">
            <v>1</v>
          </cell>
          <cell r="P880">
            <v>1</v>
          </cell>
          <cell r="Q880">
            <v>1</v>
          </cell>
          <cell r="R880">
            <v>3</v>
          </cell>
          <cell r="S880" t="str">
            <v>polygon</v>
          </cell>
          <cell r="T880">
            <v>1</v>
          </cell>
          <cell r="U880" t="str">
            <v>NULL</v>
          </cell>
          <cell r="V880" t="str">
            <v>NULL</v>
          </cell>
          <cell r="W880" t="str">
            <v/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 t="str">
            <v>anytime</v>
          </cell>
          <cell r="AC880">
            <v>918</v>
          </cell>
          <cell r="AD880">
            <v>6</v>
          </cell>
          <cell r="AE880" t="str">
            <v>everyone</v>
          </cell>
        </row>
        <row r="881">
          <cell r="A881" t="str">
            <v>49004_1</v>
          </cell>
          <cell r="B881">
            <v>3</v>
          </cell>
          <cell r="C881">
            <v>49004</v>
          </cell>
          <cell r="D881" t="str">
            <v>サンリオ好きなのだーれだ♪</v>
          </cell>
          <cell r="E881" t="str">
            <v>コラボ降臨4</v>
          </cell>
          <cell r="F881">
            <v>1</v>
          </cell>
          <cell r="G881" t="str">
            <v>ja</v>
          </cell>
          <cell r="H881" t="str">
            <v>【超絶】サンリオ好きなのだーれだ♪</v>
          </cell>
          <cell r="I881" t="str">
            <v>地獄級</v>
          </cell>
          <cell r="J881">
            <v>0</v>
          </cell>
          <cell r="K881">
            <v>35</v>
          </cell>
          <cell r="L881">
            <v>4200</v>
          </cell>
          <cell r="M881">
            <v>1</v>
          </cell>
          <cell r="N881">
            <v>1</v>
          </cell>
          <cell r="O881">
            <v>1</v>
          </cell>
          <cell r="P881">
            <v>1</v>
          </cell>
          <cell r="Q881">
            <v>1</v>
          </cell>
          <cell r="R881">
            <v>3</v>
          </cell>
          <cell r="S881" t="str">
            <v>polygon</v>
          </cell>
          <cell r="T881">
            <v>1</v>
          </cell>
          <cell r="U881" t="str">
            <v>NULL</v>
          </cell>
          <cell r="V881" t="str">
            <v>NULL</v>
          </cell>
          <cell r="W881" t="str">
            <v/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 t="str">
            <v>anytime</v>
          </cell>
          <cell r="AC881">
            <v>934</v>
          </cell>
          <cell r="AD881">
            <v>6</v>
          </cell>
          <cell r="AE881" t="str">
            <v>everyone</v>
          </cell>
        </row>
        <row r="882">
          <cell r="A882" t="str">
            <v>49004_2</v>
          </cell>
          <cell r="B882">
            <v>3</v>
          </cell>
          <cell r="C882">
            <v>49004</v>
          </cell>
          <cell r="D882" t="str">
            <v>サンリオ好きなのだーれだ♪</v>
          </cell>
          <cell r="E882" t="str">
            <v>コラボ降臨4</v>
          </cell>
          <cell r="F882">
            <v>2</v>
          </cell>
          <cell r="G882" t="str">
            <v>ja</v>
          </cell>
          <cell r="H882" t="str">
            <v>【ｳｨｻﾞ】サンリオ好きなのだーれだ♪</v>
          </cell>
          <cell r="I882" t="str">
            <v>地獄級</v>
          </cell>
          <cell r="J882">
            <v>0</v>
          </cell>
          <cell r="K882">
            <v>40</v>
          </cell>
          <cell r="L882">
            <v>4500</v>
          </cell>
          <cell r="M882">
            <v>1</v>
          </cell>
          <cell r="N882">
            <v>1</v>
          </cell>
          <cell r="O882">
            <v>1</v>
          </cell>
          <cell r="P882">
            <v>1</v>
          </cell>
          <cell r="Q882">
            <v>1</v>
          </cell>
          <cell r="R882">
            <v>3</v>
          </cell>
          <cell r="S882" t="str">
            <v>polygon</v>
          </cell>
          <cell r="T882">
            <v>1</v>
          </cell>
          <cell r="U882" t="str">
            <v>NULL</v>
          </cell>
          <cell r="V882" t="str">
            <v>NULL</v>
          </cell>
          <cell r="W882" t="str">
            <v/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 t="str">
            <v>anytime</v>
          </cell>
          <cell r="AC882">
            <v>934</v>
          </cell>
          <cell r="AD882">
            <v>6</v>
          </cell>
          <cell r="AE882" t="str">
            <v>everyone</v>
          </cell>
        </row>
        <row r="883">
          <cell r="A883" t="str">
            <v>49004_3</v>
          </cell>
          <cell r="B883">
            <v>3</v>
          </cell>
          <cell r="C883">
            <v>49004</v>
          </cell>
          <cell r="D883" t="str">
            <v>サンリオ好きなのだーれだ♪</v>
          </cell>
          <cell r="E883" t="str">
            <v>コラボ降臨4</v>
          </cell>
          <cell r="F883">
            <v>3</v>
          </cell>
          <cell r="G883" t="str">
            <v>ja</v>
          </cell>
          <cell r="H883" t="str">
            <v>【ﾉｰｺﾝ】サンリオ好きなのだーれだ♪</v>
          </cell>
          <cell r="I883" t="str">
            <v>地獄級</v>
          </cell>
          <cell r="J883">
            <v>0</v>
          </cell>
          <cell r="K883">
            <v>40</v>
          </cell>
          <cell r="L883">
            <v>4500</v>
          </cell>
          <cell r="M883">
            <v>1</v>
          </cell>
          <cell r="N883">
            <v>1</v>
          </cell>
          <cell r="O883">
            <v>1</v>
          </cell>
          <cell r="P883">
            <v>1</v>
          </cell>
          <cell r="Q883">
            <v>1</v>
          </cell>
          <cell r="R883">
            <v>3</v>
          </cell>
          <cell r="S883" t="str">
            <v>polygon</v>
          </cell>
          <cell r="T883">
            <v>1</v>
          </cell>
          <cell r="U883" t="str">
            <v>NULL</v>
          </cell>
          <cell r="V883" t="str">
            <v>NULL</v>
          </cell>
          <cell r="W883" t="str">
            <v/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 t="str">
            <v>anytime</v>
          </cell>
          <cell r="AC883">
            <v>934</v>
          </cell>
          <cell r="AD883">
            <v>6</v>
          </cell>
          <cell r="AE883" t="str">
            <v>everyone</v>
          </cell>
        </row>
        <row r="884">
          <cell r="A884" t="str">
            <v>49005_1</v>
          </cell>
          <cell r="B884">
            <v>1</v>
          </cell>
          <cell r="C884">
            <v>49005</v>
          </cell>
          <cell r="D884" t="str">
            <v>襲来クエスト</v>
          </cell>
          <cell r="E884" t="str">
            <v>コラボ降臨5</v>
          </cell>
          <cell r="F884">
            <v>1</v>
          </cell>
          <cell r="G884" t="str">
            <v>ja</v>
          </cell>
          <cell r="H884" t="str">
            <v>【ウィザード級】襲来クエスト</v>
          </cell>
          <cell r="I884" t="str">
            <v>地獄級</v>
          </cell>
          <cell r="J884">
            <v>8013</v>
          </cell>
          <cell r="K884">
            <v>40</v>
          </cell>
          <cell r="L884">
            <v>4200</v>
          </cell>
          <cell r="M884">
            <v>1</v>
          </cell>
          <cell r="N884">
            <v>1</v>
          </cell>
          <cell r="O884">
            <v>1</v>
          </cell>
          <cell r="P884">
            <v>1</v>
          </cell>
          <cell r="Q884">
            <v>1</v>
          </cell>
          <cell r="R884">
            <v>3</v>
          </cell>
          <cell r="S884" t="str">
            <v>polygon</v>
          </cell>
          <cell r="T884">
            <v>1</v>
          </cell>
          <cell r="U884" t="str">
            <v>NULL</v>
          </cell>
          <cell r="V884" t="str">
            <v>NULL</v>
          </cell>
          <cell r="W884" t="str">
            <v/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 t="str">
            <v>anytime</v>
          </cell>
          <cell r="AC884">
            <v>910</v>
          </cell>
          <cell r="AD884">
            <v>6</v>
          </cell>
          <cell r="AE884" t="str">
            <v>everyone</v>
          </cell>
        </row>
        <row r="885">
          <cell r="A885" t="str">
            <v>49006_1</v>
          </cell>
          <cell r="B885">
            <v>3</v>
          </cell>
          <cell r="C885">
            <v>49006</v>
          </cell>
          <cell r="D885" t="str">
            <v>超大型巨人襲来！</v>
          </cell>
          <cell r="E885" t="str">
            <v>コラボ降臨6</v>
          </cell>
          <cell r="F885">
            <v>1</v>
          </cell>
          <cell r="G885" t="str">
            <v>ja</v>
          </cell>
          <cell r="H885" t="str">
            <v>【超絶級】超大型巨人襲来</v>
          </cell>
          <cell r="I885" t="str">
            <v>地獄級</v>
          </cell>
          <cell r="J885">
            <v>980</v>
          </cell>
          <cell r="K885">
            <v>35</v>
          </cell>
          <cell r="L885">
            <v>4200</v>
          </cell>
          <cell r="M885">
            <v>1</v>
          </cell>
          <cell r="N885">
            <v>1</v>
          </cell>
          <cell r="O885">
            <v>1</v>
          </cell>
          <cell r="P885">
            <v>1</v>
          </cell>
          <cell r="Q885">
            <v>1</v>
          </cell>
          <cell r="R885">
            <v>3</v>
          </cell>
          <cell r="S885" t="str">
            <v>polygon</v>
          </cell>
          <cell r="T885">
            <v>1</v>
          </cell>
          <cell r="U885" t="str">
            <v>NULL</v>
          </cell>
          <cell r="V885" t="str">
            <v>NULL</v>
          </cell>
          <cell r="W885" t="str">
            <v/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 t="str">
            <v>anytime</v>
          </cell>
          <cell r="AC885">
            <v>937</v>
          </cell>
          <cell r="AD885">
            <v>6</v>
          </cell>
          <cell r="AE885" t="str">
            <v>everyone</v>
          </cell>
        </row>
        <row r="886">
          <cell r="A886" t="str">
            <v>49006_2</v>
          </cell>
          <cell r="B886">
            <v>3</v>
          </cell>
          <cell r="C886">
            <v>49006</v>
          </cell>
          <cell r="D886" t="str">
            <v>超大型巨人襲来！</v>
          </cell>
          <cell r="E886" t="str">
            <v>コラボ降臨6</v>
          </cell>
          <cell r="F886">
            <v>2</v>
          </cell>
          <cell r="G886" t="str">
            <v>ja</v>
          </cell>
          <cell r="H886" t="str">
            <v>【ウィザード級】超大型巨人襲来</v>
          </cell>
          <cell r="I886" t="str">
            <v>地獄級</v>
          </cell>
          <cell r="J886">
            <v>980</v>
          </cell>
          <cell r="K886">
            <v>40</v>
          </cell>
          <cell r="L886">
            <v>4500</v>
          </cell>
          <cell r="M886">
            <v>1</v>
          </cell>
          <cell r="N886">
            <v>1</v>
          </cell>
          <cell r="O886">
            <v>1</v>
          </cell>
          <cell r="P886">
            <v>1</v>
          </cell>
          <cell r="Q886">
            <v>1</v>
          </cell>
          <cell r="R886">
            <v>3</v>
          </cell>
          <cell r="S886" t="str">
            <v>polygon</v>
          </cell>
          <cell r="T886">
            <v>1</v>
          </cell>
          <cell r="U886" t="str">
            <v>NULL</v>
          </cell>
          <cell r="V886" t="str">
            <v>NULL</v>
          </cell>
          <cell r="W886" t="str">
            <v/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 t="str">
            <v>anytime</v>
          </cell>
          <cell r="AC886">
            <v>937</v>
          </cell>
          <cell r="AD886">
            <v>6</v>
          </cell>
          <cell r="AE886" t="str">
            <v>everyone</v>
          </cell>
        </row>
        <row r="887">
          <cell r="A887" t="str">
            <v>49007_1</v>
          </cell>
          <cell r="B887">
            <v>1</v>
          </cell>
          <cell r="C887">
            <v>49007</v>
          </cell>
          <cell r="D887" t="str">
            <v>アザゼル（台）</v>
          </cell>
          <cell r="E887" t="str">
            <v>コラボ降臨4</v>
          </cell>
          <cell r="F887">
            <v>1</v>
          </cell>
          <cell r="G887" t="str">
            <v>ja</v>
          </cell>
          <cell r="H887" t="str">
            <v>【超絶】アザゼル（台）</v>
          </cell>
          <cell r="I887" t="str">
            <v>地獄級</v>
          </cell>
          <cell r="J887">
            <v>0</v>
          </cell>
          <cell r="K887">
            <v>35</v>
          </cell>
          <cell r="L887">
            <v>4200</v>
          </cell>
          <cell r="M887">
            <v>1</v>
          </cell>
          <cell r="N887">
            <v>1</v>
          </cell>
          <cell r="O887">
            <v>1</v>
          </cell>
          <cell r="P887">
            <v>1</v>
          </cell>
          <cell r="Q887">
            <v>1</v>
          </cell>
          <cell r="R887">
            <v>3</v>
          </cell>
          <cell r="S887" t="str">
            <v>polygon</v>
          </cell>
          <cell r="T887">
            <v>1</v>
          </cell>
          <cell r="U887" t="str">
            <v>NULL</v>
          </cell>
          <cell r="V887" t="str">
            <v>NULL</v>
          </cell>
          <cell r="W887" t="str">
            <v/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 t="str">
            <v>anytime</v>
          </cell>
          <cell r="AC887">
            <v>934</v>
          </cell>
          <cell r="AD887">
            <v>6</v>
          </cell>
          <cell r="AE887" t="str">
            <v>everyone</v>
          </cell>
        </row>
        <row r="888">
          <cell r="A888" t="str">
            <v>49007_2</v>
          </cell>
          <cell r="B888">
            <v>1</v>
          </cell>
          <cell r="C888">
            <v>49007</v>
          </cell>
          <cell r="D888" t="str">
            <v>アザゼル（台）</v>
          </cell>
          <cell r="E888" t="str">
            <v>コラボ降臨4</v>
          </cell>
          <cell r="F888">
            <v>2</v>
          </cell>
          <cell r="G888" t="str">
            <v>ja</v>
          </cell>
          <cell r="H888" t="str">
            <v>【ｳｨｻﾞ】アザゼル（台）</v>
          </cell>
          <cell r="I888" t="str">
            <v>地獄級</v>
          </cell>
          <cell r="J888">
            <v>0</v>
          </cell>
          <cell r="K888">
            <v>40</v>
          </cell>
          <cell r="L888">
            <v>4500</v>
          </cell>
          <cell r="M888">
            <v>1</v>
          </cell>
          <cell r="N888">
            <v>1</v>
          </cell>
          <cell r="O888">
            <v>1</v>
          </cell>
          <cell r="P888">
            <v>1</v>
          </cell>
          <cell r="Q888">
            <v>1</v>
          </cell>
          <cell r="R888">
            <v>3</v>
          </cell>
          <cell r="S888" t="str">
            <v>polygon</v>
          </cell>
          <cell r="T888">
            <v>1</v>
          </cell>
          <cell r="U888" t="str">
            <v>NULL</v>
          </cell>
          <cell r="V888" t="str">
            <v>NULL</v>
          </cell>
          <cell r="W888" t="str">
            <v/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 t="str">
            <v>anytime</v>
          </cell>
          <cell r="AC888">
            <v>934</v>
          </cell>
          <cell r="AD888">
            <v>6</v>
          </cell>
          <cell r="AE888" t="str">
            <v>everyone</v>
          </cell>
        </row>
        <row r="889">
          <cell r="A889" t="str">
            <v>49007_3</v>
          </cell>
          <cell r="B889">
            <v>1</v>
          </cell>
          <cell r="C889">
            <v>49007</v>
          </cell>
          <cell r="D889" t="str">
            <v>アザゼル（台）</v>
          </cell>
          <cell r="E889" t="str">
            <v>コラボ降臨4</v>
          </cell>
          <cell r="F889">
            <v>3</v>
          </cell>
          <cell r="G889" t="str">
            <v>ja</v>
          </cell>
          <cell r="H889" t="str">
            <v>【ﾉｰｺﾝ】アザゼル（台）</v>
          </cell>
          <cell r="I889" t="str">
            <v>地獄級</v>
          </cell>
          <cell r="J889">
            <v>0</v>
          </cell>
          <cell r="K889">
            <v>40</v>
          </cell>
          <cell r="L889">
            <v>4500</v>
          </cell>
          <cell r="M889">
            <v>1</v>
          </cell>
          <cell r="N889">
            <v>1</v>
          </cell>
          <cell r="O889">
            <v>1</v>
          </cell>
          <cell r="P889">
            <v>1</v>
          </cell>
          <cell r="Q889">
            <v>1</v>
          </cell>
          <cell r="R889">
            <v>3</v>
          </cell>
          <cell r="S889" t="str">
            <v>polygon</v>
          </cell>
          <cell r="T889">
            <v>1</v>
          </cell>
          <cell r="U889" t="str">
            <v>NULL</v>
          </cell>
          <cell r="V889" t="str">
            <v>NULL</v>
          </cell>
          <cell r="W889" t="str">
            <v/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 t="str">
            <v>anytime</v>
          </cell>
          <cell r="AC889">
            <v>934</v>
          </cell>
          <cell r="AD889">
            <v>6</v>
          </cell>
          <cell r="AE889" t="str">
            <v>everyone</v>
          </cell>
        </row>
        <row r="890">
          <cell r="A890" t="str">
            <v>49008_1</v>
          </cell>
          <cell r="B890">
            <v>3</v>
          </cell>
          <cell r="C890">
            <v>49008</v>
          </cell>
          <cell r="D890" t="str">
            <v>熱唱！初音ミクV3</v>
          </cell>
          <cell r="E890" t="str">
            <v>コラボ降臨1</v>
          </cell>
          <cell r="F890">
            <v>1</v>
          </cell>
          <cell r="G890" t="str">
            <v>ja</v>
          </cell>
          <cell r="H890" t="str">
            <v>【ウィザード級】熱唱！初音ミクV3</v>
          </cell>
          <cell r="I890" t="str">
            <v>地獄級</v>
          </cell>
          <cell r="J890">
            <v>1299</v>
          </cell>
          <cell r="K890">
            <v>30</v>
          </cell>
          <cell r="L890">
            <v>4500</v>
          </cell>
          <cell r="M890">
            <v>1</v>
          </cell>
          <cell r="N890">
            <v>1</v>
          </cell>
          <cell r="O890">
            <v>1</v>
          </cell>
          <cell r="P890">
            <v>1</v>
          </cell>
          <cell r="Q890">
            <v>1</v>
          </cell>
          <cell r="R890">
            <v>3</v>
          </cell>
          <cell r="S890" t="str">
            <v>polygon</v>
          </cell>
          <cell r="T890">
            <v>1</v>
          </cell>
          <cell r="U890" t="str">
            <v>NULL</v>
          </cell>
          <cell r="V890" t="str">
            <v>NULL</v>
          </cell>
          <cell r="W890" t="str">
            <v/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 t="str">
            <v>anytime</v>
          </cell>
          <cell r="AC890">
            <v>910</v>
          </cell>
          <cell r="AD890">
            <v>6</v>
          </cell>
          <cell r="AE890" t="str">
            <v>everyone</v>
          </cell>
        </row>
        <row r="891">
          <cell r="A891" t="str">
            <v>49009_1</v>
          </cell>
          <cell r="B891">
            <v>3</v>
          </cell>
          <cell r="C891">
            <v>49009</v>
          </cell>
          <cell r="D891" t="str">
            <v>電子音協奏曲</v>
          </cell>
          <cell r="E891" t="str">
            <v>コラボ降臨7</v>
          </cell>
          <cell r="F891">
            <v>1</v>
          </cell>
          <cell r="G891" t="str">
            <v>ja</v>
          </cell>
          <cell r="H891" t="str">
            <v>【ウィザード級】電子音協奏曲</v>
          </cell>
          <cell r="I891" t="str">
            <v>地獄級</v>
          </cell>
          <cell r="J891">
            <v>1305</v>
          </cell>
          <cell r="K891">
            <v>30</v>
          </cell>
          <cell r="L891">
            <v>4500</v>
          </cell>
          <cell r="M891">
            <v>1</v>
          </cell>
          <cell r="N891">
            <v>1</v>
          </cell>
          <cell r="O891">
            <v>1</v>
          </cell>
          <cell r="P891">
            <v>1</v>
          </cell>
          <cell r="Q891">
            <v>1</v>
          </cell>
          <cell r="R891">
            <v>3</v>
          </cell>
          <cell r="S891" t="str">
            <v>polygon</v>
          </cell>
          <cell r="T891">
            <v>1</v>
          </cell>
          <cell r="U891" t="str">
            <v>NULL</v>
          </cell>
          <cell r="V891" t="str">
            <v>NULL</v>
          </cell>
          <cell r="W891" t="str">
            <v/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 t="str">
            <v>anytime</v>
          </cell>
          <cell r="AC891">
            <v>910</v>
          </cell>
          <cell r="AD891">
            <v>6</v>
          </cell>
          <cell r="AE891" t="str">
            <v>everyone</v>
          </cell>
        </row>
        <row r="892">
          <cell r="A892" t="str">
            <v>49010_1</v>
          </cell>
          <cell r="B892">
            <v>3</v>
          </cell>
          <cell r="C892">
            <v>49010</v>
          </cell>
          <cell r="D892" t="str">
            <v>走り抜けろ！ALICE GP</v>
          </cell>
          <cell r="E892" t="str">
            <v>コラボ降臨8</v>
          </cell>
          <cell r="F892">
            <v>1</v>
          </cell>
          <cell r="G892" t="str">
            <v>ja</v>
          </cell>
          <cell r="H892" t="str">
            <v>【ｳｨｻﾞ】走り抜けろ！ALICE GP</v>
          </cell>
          <cell r="I892" t="str">
            <v>地獄級</v>
          </cell>
          <cell r="J892">
            <v>1303</v>
          </cell>
          <cell r="K892">
            <v>30</v>
          </cell>
          <cell r="L892">
            <v>4500</v>
          </cell>
          <cell r="M892">
            <v>1</v>
          </cell>
          <cell r="N892">
            <v>0</v>
          </cell>
          <cell r="O892">
            <v>1</v>
          </cell>
          <cell r="P892">
            <v>1</v>
          </cell>
          <cell r="Q892">
            <v>1</v>
          </cell>
          <cell r="R892">
            <v>3</v>
          </cell>
          <cell r="S892" t="str">
            <v>polygon</v>
          </cell>
          <cell r="T892">
            <v>1</v>
          </cell>
          <cell r="U892" t="str">
            <v>NULL</v>
          </cell>
          <cell r="V892" t="str">
            <v>NULL</v>
          </cell>
          <cell r="W892" t="str">
            <v/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 t="str">
            <v>anytime</v>
          </cell>
          <cell r="AC892">
            <v>987</v>
          </cell>
          <cell r="AD892">
            <v>6</v>
          </cell>
          <cell r="AE892" t="str">
            <v>everyone</v>
          </cell>
        </row>
        <row r="893">
          <cell r="A893" t="str">
            <v>49011_1</v>
          </cell>
          <cell r="B893">
            <v>3</v>
          </cell>
          <cell r="C893">
            <v>49011</v>
          </cell>
          <cell r="D893" t="str">
            <v>秘密のイベント潜入作戦</v>
          </cell>
          <cell r="E893" t="str">
            <v>コラボ降臨9</v>
          </cell>
          <cell r="F893">
            <v>1</v>
          </cell>
          <cell r="G893" t="str">
            <v>ja</v>
          </cell>
          <cell r="H893" t="str">
            <v>【ｳｨｻﾞ】秘密のイベント潜入作戦</v>
          </cell>
          <cell r="I893" t="str">
            <v>地獄級</v>
          </cell>
          <cell r="J893">
            <v>1301</v>
          </cell>
          <cell r="K893">
            <v>30</v>
          </cell>
          <cell r="L893">
            <v>4500</v>
          </cell>
          <cell r="M893">
            <v>1</v>
          </cell>
          <cell r="N893">
            <v>1</v>
          </cell>
          <cell r="O893">
            <v>1</v>
          </cell>
          <cell r="P893">
            <v>1</v>
          </cell>
          <cell r="Q893">
            <v>1</v>
          </cell>
          <cell r="R893">
            <v>3</v>
          </cell>
          <cell r="S893" t="str">
            <v>polygon</v>
          </cell>
          <cell r="T893">
            <v>1</v>
          </cell>
          <cell r="U893" t="str">
            <v>NULL</v>
          </cell>
          <cell r="V893" t="str">
            <v>NULL</v>
          </cell>
          <cell r="W893" t="str">
            <v/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 t="str">
            <v>anytime</v>
          </cell>
          <cell r="AC893">
            <v>909</v>
          </cell>
          <cell r="AD893">
            <v>6</v>
          </cell>
          <cell r="AE893" t="str">
            <v>everyone</v>
          </cell>
        </row>
        <row r="894">
          <cell r="A894" t="str">
            <v>49012_1</v>
          </cell>
          <cell r="B894">
            <v>3</v>
          </cell>
          <cell r="C894">
            <v>49012</v>
          </cell>
          <cell r="D894" t="str">
            <v>園原杏里襲来！</v>
          </cell>
          <cell r="E894" t="str">
            <v>コラボ降臨2（復刻）</v>
          </cell>
          <cell r="F894">
            <v>1</v>
          </cell>
          <cell r="G894" t="str">
            <v>ja</v>
          </cell>
          <cell r="H894" t="str">
            <v>【ウィザード級】園原杏里襲来</v>
          </cell>
          <cell r="I894" t="str">
            <v>地獄級</v>
          </cell>
          <cell r="J894">
            <v>699</v>
          </cell>
          <cell r="K894">
            <v>40</v>
          </cell>
          <cell r="L894">
            <v>4500</v>
          </cell>
          <cell r="M894">
            <v>1</v>
          </cell>
          <cell r="N894">
            <v>1</v>
          </cell>
          <cell r="O894">
            <v>1</v>
          </cell>
          <cell r="P894">
            <v>1</v>
          </cell>
          <cell r="Q894">
            <v>1</v>
          </cell>
          <cell r="R894">
            <v>3</v>
          </cell>
          <cell r="S894" t="str">
            <v>polygon</v>
          </cell>
          <cell r="T894">
            <v>1</v>
          </cell>
          <cell r="U894" t="str">
            <v>NULL</v>
          </cell>
          <cell r="V894" t="str">
            <v>NULL</v>
          </cell>
          <cell r="W894" t="str">
            <v/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 t="str">
            <v>anytime</v>
          </cell>
          <cell r="AC894">
            <v>917</v>
          </cell>
          <cell r="AD894">
            <v>6</v>
          </cell>
          <cell r="AE894" t="str">
            <v>everyone</v>
          </cell>
        </row>
        <row r="895">
          <cell r="A895" t="str">
            <v>49013_1</v>
          </cell>
          <cell r="B895">
            <v>3</v>
          </cell>
          <cell r="C895">
            <v>49013</v>
          </cell>
          <cell r="D895" t="str">
            <v>折原臨也襲来！</v>
          </cell>
          <cell r="E895" t="str">
            <v>コラボ降臨3（復刻）</v>
          </cell>
          <cell r="F895">
            <v>1</v>
          </cell>
          <cell r="G895" t="str">
            <v>ja</v>
          </cell>
          <cell r="H895" t="str">
            <v>【ウィザード級】折原臨也襲来</v>
          </cell>
          <cell r="I895" t="str">
            <v>地獄級</v>
          </cell>
          <cell r="J895">
            <v>701</v>
          </cell>
          <cell r="K895">
            <v>40</v>
          </cell>
          <cell r="L895">
            <v>4500</v>
          </cell>
          <cell r="M895">
            <v>1</v>
          </cell>
          <cell r="N895">
            <v>1</v>
          </cell>
          <cell r="O895">
            <v>1</v>
          </cell>
          <cell r="P895">
            <v>1</v>
          </cell>
          <cell r="Q895">
            <v>1</v>
          </cell>
          <cell r="R895">
            <v>3</v>
          </cell>
          <cell r="S895" t="str">
            <v>polygon</v>
          </cell>
          <cell r="T895">
            <v>1</v>
          </cell>
          <cell r="U895" t="str">
            <v>NULL</v>
          </cell>
          <cell r="V895" t="str">
            <v>NULL</v>
          </cell>
          <cell r="W895" t="str">
            <v/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 t="str">
            <v>anytime</v>
          </cell>
          <cell r="AC895">
            <v>918</v>
          </cell>
          <cell r="AD895">
            <v>6</v>
          </cell>
          <cell r="AE895" t="str">
            <v>everyone</v>
          </cell>
        </row>
        <row r="896">
          <cell r="A896" t="str">
            <v>49014_1</v>
          </cell>
          <cell r="B896">
            <v>1</v>
          </cell>
          <cell r="C896">
            <v>49014</v>
          </cell>
          <cell r="D896" t="str">
            <v>C魔</v>
          </cell>
          <cell r="E896" t="str">
            <v>コラボ降臨10</v>
          </cell>
          <cell r="F896">
            <v>1</v>
          </cell>
          <cell r="G896" t="str">
            <v>ja</v>
          </cell>
          <cell r="H896" t="str">
            <v>【超絶級】C魔</v>
          </cell>
          <cell r="I896" t="str">
            <v>地獄級</v>
          </cell>
          <cell r="J896">
            <v>1524</v>
          </cell>
          <cell r="K896">
            <v>35</v>
          </cell>
          <cell r="L896">
            <v>4200</v>
          </cell>
          <cell r="M896">
            <v>1</v>
          </cell>
          <cell r="N896">
            <v>1</v>
          </cell>
          <cell r="O896">
            <v>1</v>
          </cell>
          <cell r="P896">
            <v>1</v>
          </cell>
          <cell r="Q896">
            <v>1</v>
          </cell>
          <cell r="R896">
            <v>3</v>
          </cell>
          <cell r="S896" t="str">
            <v>polygon</v>
          </cell>
          <cell r="T896">
            <v>1</v>
          </cell>
          <cell r="U896" t="str">
            <v>NULL</v>
          </cell>
          <cell r="V896" t="str">
            <v>NULL</v>
          </cell>
          <cell r="W896" t="str">
            <v/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 t="str">
            <v>anytime</v>
          </cell>
          <cell r="AC896">
            <v>918</v>
          </cell>
          <cell r="AD896">
            <v>6</v>
          </cell>
          <cell r="AE896" t="str">
            <v>everyone</v>
          </cell>
        </row>
        <row r="897">
          <cell r="A897" t="str">
            <v>49014_2</v>
          </cell>
          <cell r="B897">
            <v>1</v>
          </cell>
          <cell r="C897">
            <v>49014</v>
          </cell>
          <cell r="D897" t="str">
            <v>C魔</v>
          </cell>
          <cell r="E897" t="str">
            <v>コラボ降臨10</v>
          </cell>
          <cell r="F897">
            <v>2</v>
          </cell>
          <cell r="G897" t="str">
            <v>ja</v>
          </cell>
          <cell r="H897" t="str">
            <v>【ウィザード級】C魔</v>
          </cell>
          <cell r="I897" t="str">
            <v>地獄級</v>
          </cell>
          <cell r="J897">
            <v>1524</v>
          </cell>
          <cell r="K897">
            <v>40</v>
          </cell>
          <cell r="L897">
            <v>4500</v>
          </cell>
          <cell r="M897">
            <v>1</v>
          </cell>
          <cell r="N897">
            <v>1</v>
          </cell>
          <cell r="O897">
            <v>1</v>
          </cell>
          <cell r="P897">
            <v>1</v>
          </cell>
          <cell r="Q897">
            <v>1</v>
          </cell>
          <cell r="R897">
            <v>3</v>
          </cell>
          <cell r="S897" t="str">
            <v>polygon</v>
          </cell>
          <cell r="T897">
            <v>1</v>
          </cell>
          <cell r="U897" t="str">
            <v>NULL</v>
          </cell>
          <cell r="V897" t="str">
            <v>NULL</v>
          </cell>
          <cell r="W897" t="str">
            <v/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 t="str">
            <v>anytime</v>
          </cell>
          <cell r="AC897">
            <v>918</v>
          </cell>
          <cell r="AD897">
            <v>6</v>
          </cell>
          <cell r="AE897" t="str">
            <v>everyone</v>
          </cell>
        </row>
        <row r="898">
          <cell r="A898" t="str">
            <v>49015_1</v>
          </cell>
          <cell r="B898">
            <v>1</v>
          </cell>
          <cell r="C898">
            <v>49015</v>
          </cell>
          <cell r="D898" t="str">
            <v>FA</v>
          </cell>
          <cell r="E898" t="str">
            <v>コラボ降臨11</v>
          </cell>
          <cell r="F898">
            <v>1</v>
          </cell>
          <cell r="G898" t="str">
            <v>ja</v>
          </cell>
          <cell r="H898" t="str">
            <v>【上級】FA</v>
          </cell>
          <cell r="I898" t="str">
            <v>地獄級</v>
          </cell>
          <cell r="J898">
            <v>1524</v>
          </cell>
          <cell r="K898">
            <v>20</v>
          </cell>
          <cell r="L898">
            <v>2000</v>
          </cell>
          <cell r="M898">
            <v>1</v>
          </cell>
          <cell r="N898">
            <v>1</v>
          </cell>
          <cell r="O898">
            <v>1</v>
          </cell>
          <cell r="P898">
            <v>1</v>
          </cell>
          <cell r="Q898">
            <v>1</v>
          </cell>
          <cell r="R898">
            <v>3</v>
          </cell>
          <cell r="S898" t="str">
            <v>none</v>
          </cell>
          <cell r="T898">
            <v>0</v>
          </cell>
          <cell r="U898" t="str">
            <v>NULL</v>
          </cell>
          <cell r="V898" t="str">
            <v>NULL</v>
          </cell>
          <cell r="W898" t="str">
            <v/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 t="str">
            <v>anytime</v>
          </cell>
          <cell r="AC898">
            <v>994</v>
          </cell>
          <cell r="AD898">
            <v>6</v>
          </cell>
          <cell r="AE898" t="str">
            <v>everyone</v>
          </cell>
        </row>
        <row r="899">
          <cell r="A899" t="str">
            <v>49015_2</v>
          </cell>
          <cell r="B899">
            <v>1</v>
          </cell>
          <cell r="C899">
            <v>49015</v>
          </cell>
          <cell r="D899" t="str">
            <v>FA</v>
          </cell>
          <cell r="E899" t="str">
            <v>コラボ降臨11</v>
          </cell>
          <cell r="F899">
            <v>2</v>
          </cell>
          <cell r="G899" t="str">
            <v>ja</v>
          </cell>
          <cell r="H899" t="str">
            <v>【超級】FA</v>
          </cell>
          <cell r="I899" t="str">
            <v>地獄級</v>
          </cell>
          <cell r="J899">
            <v>1524</v>
          </cell>
          <cell r="K899">
            <v>30</v>
          </cell>
          <cell r="L899">
            <v>3300</v>
          </cell>
          <cell r="M899">
            <v>1</v>
          </cell>
          <cell r="N899">
            <v>1</v>
          </cell>
          <cell r="O899">
            <v>1</v>
          </cell>
          <cell r="P899">
            <v>1</v>
          </cell>
          <cell r="Q899">
            <v>1</v>
          </cell>
          <cell r="R899">
            <v>3</v>
          </cell>
          <cell r="S899" t="str">
            <v>none</v>
          </cell>
          <cell r="T899">
            <v>0</v>
          </cell>
          <cell r="U899" t="str">
            <v>NULL</v>
          </cell>
          <cell r="V899" t="str">
            <v>NULL</v>
          </cell>
          <cell r="W899" t="str">
            <v/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 t="str">
            <v>anytime</v>
          </cell>
          <cell r="AC899">
            <v>994</v>
          </cell>
          <cell r="AD899">
            <v>6</v>
          </cell>
          <cell r="AE899" t="str">
            <v>everyone</v>
          </cell>
        </row>
        <row r="900">
          <cell r="A900" t="str">
            <v>49015_3</v>
          </cell>
          <cell r="B900">
            <v>1</v>
          </cell>
          <cell r="C900">
            <v>49015</v>
          </cell>
          <cell r="D900" t="str">
            <v>FA</v>
          </cell>
          <cell r="E900" t="str">
            <v>コラボ降臨11</v>
          </cell>
          <cell r="F900">
            <v>3</v>
          </cell>
          <cell r="G900" t="str">
            <v>ja</v>
          </cell>
          <cell r="H900" t="str">
            <v>【ウィザード級】FA</v>
          </cell>
          <cell r="I900" t="str">
            <v>地獄級</v>
          </cell>
          <cell r="J900">
            <v>1524</v>
          </cell>
          <cell r="K900">
            <v>40</v>
          </cell>
          <cell r="L900">
            <v>4500</v>
          </cell>
          <cell r="M900">
            <v>1</v>
          </cell>
          <cell r="N900">
            <v>1</v>
          </cell>
          <cell r="O900">
            <v>1</v>
          </cell>
          <cell r="P900">
            <v>1</v>
          </cell>
          <cell r="Q900">
            <v>1</v>
          </cell>
          <cell r="R900">
            <v>3</v>
          </cell>
          <cell r="S900" t="str">
            <v>polygon</v>
          </cell>
          <cell r="T900">
            <v>1</v>
          </cell>
          <cell r="U900" t="str">
            <v>NULL</v>
          </cell>
          <cell r="V900" t="str">
            <v>NULL</v>
          </cell>
          <cell r="W900" t="str">
            <v/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 t="str">
            <v>anytime</v>
          </cell>
          <cell r="AC900">
            <v>994</v>
          </cell>
          <cell r="AD900">
            <v>6</v>
          </cell>
          <cell r="AE900" t="str">
            <v>everyone</v>
          </cell>
        </row>
        <row r="901">
          <cell r="A901" t="str">
            <v>50001_1</v>
          </cell>
          <cell r="B901">
            <v>3</v>
          </cell>
          <cell r="C901">
            <v>50001</v>
          </cell>
          <cell r="D901" t="str">
            <v>麒麟襲来！</v>
          </cell>
          <cell r="E901" t="str">
            <v>超降臨1</v>
          </cell>
          <cell r="F901">
            <v>1</v>
          </cell>
          <cell r="G901" t="str">
            <v>ja</v>
          </cell>
          <cell r="H901" t="str">
            <v xml:space="preserve">【超ウィザード級】麒麟襲来 </v>
          </cell>
          <cell r="I901" t="str">
            <v>超地獄級</v>
          </cell>
          <cell r="J901">
            <v>329</v>
          </cell>
          <cell r="K901">
            <v>40</v>
          </cell>
          <cell r="L901">
            <v>5200</v>
          </cell>
          <cell r="M901">
            <v>1</v>
          </cell>
          <cell r="N901">
            <v>1</v>
          </cell>
          <cell r="O901">
            <v>1</v>
          </cell>
          <cell r="P901">
            <v>1</v>
          </cell>
          <cell r="Q901">
            <v>1</v>
          </cell>
          <cell r="R901">
            <v>3</v>
          </cell>
          <cell r="S901" t="str">
            <v>character</v>
          </cell>
          <cell r="T901">
            <v>432</v>
          </cell>
          <cell r="U901" t="str">
            <v>NULL</v>
          </cell>
          <cell r="V901" t="str">
            <v>NULL</v>
          </cell>
          <cell r="W901" t="str">
            <v/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 t="str">
            <v>anytime</v>
          </cell>
          <cell r="AC901">
            <v>905</v>
          </cell>
          <cell r="AD901">
            <v>6</v>
          </cell>
          <cell r="AE901" t="str">
            <v>everyone</v>
          </cell>
        </row>
        <row r="902">
          <cell r="A902" t="str">
            <v>50002_1</v>
          </cell>
          <cell r="B902">
            <v>3</v>
          </cell>
          <cell r="C902">
            <v>50002</v>
          </cell>
          <cell r="D902" t="str">
            <v>オーディン襲来！</v>
          </cell>
          <cell r="E902" t="str">
            <v>超降臨2</v>
          </cell>
          <cell r="F902">
            <v>1</v>
          </cell>
          <cell r="G902" t="str">
            <v>ja</v>
          </cell>
          <cell r="H902" t="str">
            <v xml:space="preserve">【超ウィザード級】オーディン襲来 </v>
          </cell>
          <cell r="I902" t="str">
            <v>超地獄級</v>
          </cell>
          <cell r="J902">
            <v>331</v>
          </cell>
          <cell r="K902">
            <v>40</v>
          </cell>
          <cell r="L902">
            <v>5200</v>
          </cell>
          <cell r="M902">
            <v>1</v>
          </cell>
          <cell r="N902">
            <v>1</v>
          </cell>
          <cell r="O902">
            <v>1</v>
          </cell>
          <cell r="P902">
            <v>1</v>
          </cell>
          <cell r="Q902">
            <v>1</v>
          </cell>
          <cell r="R902">
            <v>3</v>
          </cell>
          <cell r="S902" t="str">
            <v>character</v>
          </cell>
          <cell r="T902">
            <v>573</v>
          </cell>
          <cell r="U902" t="str">
            <v>NULL</v>
          </cell>
          <cell r="V902" t="str">
            <v>NULL</v>
          </cell>
          <cell r="W902" t="str">
            <v/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 t="str">
            <v>anytime</v>
          </cell>
          <cell r="AC902">
            <v>911</v>
          </cell>
          <cell r="AD902">
            <v>6</v>
          </cell>
          <cell r="AE902" t="str">
            <v>everyone</v>
          </cell>
        </row>
        <row r="903">
          <cell r="A903" t="str">
            <v>50003_1</v>
          </cell>
          <cell r="B903">
            <v>3</v>
          </cell>
          <cell r="C903">
            <v>50003</v>
          </cell>
          <cell r="D903" t="str">
            <v>織田信長襲来！</v>
          </cell>
          <cell r="E903" t="str">
            <v>超降臨3</v>
          </cell>
          <cell r="F903">
            <v>1</v>
          </cell>
          <cell r="G903" t="str">
            <v>ja</v>
          </cell>
          <cell r="H903" t="str">
            <v xml:space="preserve">【超ウィザード級】織田信長襲来 </v>
          </cell>
          <cell r="I903" t="str">
            <v>超地獄級</v>
          </cell>
          <cell r="J903">
            <v>0</v>
          </cell>
          <cell r="K903">
            <v>40</v>
          </cell>
          <cell r="L903">
            <v>5200</v>
          </cell>
          <cell r="M903">
            <v>1</v>
          </cell>
          <cell r="N903">
            <v>1</v>
          </cell>
          <cell r="O903">
            <v>1</v>
          </cell>
          <cell r="P903">
            <v>1</v>
          </cell>
          <cell r="Q903">
            <v>1</v>
          </cell>
          <cell r="R903">
            <v>3</v>
          </cell>
          <cell r="S903" t="str">
            <v>character</v>
          </cell>
          <cell r="T903">
            <v>726</v>
          </cell>
          <cell r="U903" t="str">
            <v>NULL</v>
          </cell>
          <cell r="V903" t="str">
            <v>NULL</v>
          </cell>
          <cell r="W903" t="str">
            <v/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 t="str">
            <v>anytime</v>
          </cell>
          <cell r="AC903">
            <v>920</v>
          </cell>
          <cell r="AD903">
            <v>6</v>
          </cell>
          <cell r="AE903" t="str">
            <v>everyone</v>
          </cell>
        </row>
        <row r="904">
          <cell r="A904" t="str">
            <v>50004_1</v>
          </cell>
          <cell r="B904">
            <v>3</v>
          </cell>
          <cell r="C904">
            <v>50004</v>
          </cell>
          <cell r="D904" t="str">
            <v>ルシファー襲来！</v>
          </cell>
          <cell r="E904" t="str">
            <v>超降臨4</v>
          </cell>
          <cell r="F904">
            <v>1</v>
          </cell>
          <cell r="G904" t="str">
            <v>ja</v>
          </cell>
          <cell r="H904" t="str">
            <v xml:space="preserve">【超ウィザード級】ルシファー襲来 </v>
          </cell>
          <cell r="I904" t="str">
            <v>超地獄級</v>
          </cell>
          <cell r="J904">
            <v>0</v>
          </cell>
          <cell r="K904">
            <v>40</v>
          </cell>
          <cell r="L904">
            <v>5200</v>
          </cell>
          <cell r="M904">
            <v>1</v>
          </cell>
          <cell r="N904">
            <v>1</v>
          </cell>
          <cell r="O904">
            <v>1</v>
          </cell>
          <cell r="P904">
            <v>1</v>
          </cell>
          <cell r="Q904">
            <v>1</v>
          </cell>
          <cell r="R904">
            <v>3</v>
          </cell>
          <cell r="S904" t="str">
            <v>character</v>
          </cell>
          <cell r="T904">
            <v>846</v>
          </cell>
          <cell r="U904" t="str">
            <v>NULL</v>
          </cell>
          <cell r="V904" t="str">
            <v>NULL</v>
          </cell>
          <cell r="W904" t="str">
            <v/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 t="str">
            <v>anytime</v>
          </cell>
          <cell r="AC904">
            <v>928</v>
          </cell>
          <cell r="AD904">
            <v>6</v>
          </cell>
          <cell r="AE904" t="str">
            <v>everyone</v>
          </cell>
        </row>
        <row r="905">
          <cell r="A905" t="str">
            <v>50005_1</v>
          </cell>
          <cell r="B905">
            <v>3</v>
          </cell>
          <cell r="C905">
            <v>50005</v>
          </cell>
          <cell r="D905" t="str">
            <v>ゼウス襲来！</v>
          </cell>
          <cell r="E905" t="str">
            <v>超降臨5</v>
          </cell>
          <cell r="F905">
            <v>1</v>
          </cell>
          <cell r="G905" t="str">
            <v>ja</v>
          </cell>
          <cell r="H905" t="str">
            <v>【超ウィザード級】ゼウス襲来</v>
          </cell>
          <cell r="I905" t="str">
            <v>超地獄級</v>
          </cell>
          <cell r="J905">
            <v>0</v>
          </cell>
          <cell r="K905">
            <v>40</v>
          </cell>
          <cell r="L905">
            <v>5200</v>
          </cell>
          <cell r="M905">
            <v>1</v>
          </cell>
          <cell r="N905">
            <v>1</v>
          </cell>
          <cell r="O905">
            <v>1</v>
          </cell>
          <cell r="P905">
            <v>1</v>
          </cell>
          <cell r="Q905">
            <v>1</v>
          </cell>
          <cell r="R905">
            <v>3</v>
          </cell>
          <cell r="S905" t="str">
            <v>character</v>
          </cell>
          <cell r="T905">
            <v>929</v>
          </cell>
          <cell r="U905" t="str">
            <v>NULL</v>
          </cell>
          <cell r="V905" t="str">
            <v>NULL</v>
          </cell>
          <cell r="W905" t="str">
            <v/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 t="str">
            <v>anytime</v>
          </cell>
          <cell r="AC905">
            <v>935</v>
          </cell>
          <cell r="AD905">
            <v>6</v>
          </cell>
          <cell r="AE905" t="str">
            <v>everyone</v>
          </cell>
        </row>
        <row r="906">
          <cell r="A906" t="str">
            <v>50006_1</v>
          </cell>
          <cell r="B906">
            <v>3</v>
          </cell>
          <cell r="C906">
            <v>50006</v>
          </cell>
          <cell r="D906" t="str">
            <v>セト襲来！</v>
          </cell>
          <cell r="E906" t="str">
            <v>超降臨6</v>
          </cell>
          <cell r="F906">
            <v>1</v>
          </cell>
          <cell r="G906" t="str">
            <v>ja</v>
          </cell>
          <cell r="H906" t="str">
            <v>【超ウィザード級】セト襲来</v>
          </cell>
          <cell r="I906" t="str">
            <v>超地獄級</v>
          </cell>
          <cell r="J906">
            <v>0</v>
          </cell>
          <cell r="K906">
            <v>40</v>
          </cell>
          <cell r="L906">
            <v>5200</v>
          </cell>
          <cell r="M906">
            <v>1</v>
          </cell>
          <cell r="N906">
            <v>1</v>
          </cell>
          <cell r="O906">
            <v>1</v>
          </cell>
          <cell r="P906">
            <v>1</v>
          </cell>
          <cell r="Q906">
            <v>1</v>
          </cell>
          <cell r="R906">
            <v>3</v>
          </cell>
          <cell r="S906" t="str">
            <v>character</v>
          </cell>
          <cell r="T906">
            <v>1010</v>
          </cell>
          <cell r="U906" t="str">
            <v>NULL</v>
          </cell>
          <cell r="V906" t="str">
            <v>NULL</v>
          </cell>
          <cell r="W906" t="str">
            <v/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 t="str">
            <v>anytime</v>
          </cell>
          <cell r="AC906">
            <v>939</v>
          </cell>
          <cell r="AD906">
            <v>6</v>
          </cell>
          <cell r="AE906" t="str">
            <v>everyone</v>
          </cell>
        </row>
        <row r="907">
          <cell r="A907" t="str">
            <v>50007_1</v>
          </cell>
          <cell r="B907">
            <v>3</v>
          </cell>
          <cell r="C907">
            <v>50007</v>
          </cell>
          <cell r="D907" t="str">
            <v>ギルガメッシュ襲来！</v>
          </cell>
          <cell r="E907" t="str">
            <v>超降臨7</v>
          </cell>
          <cell r="F907">
            <v>1</v>
          </cell>
          <cell r="G907" t="str">
            <v>ja</v>
          </cell>
          <cell r="H907" t="str">
            <v>【超ウィザ】ギルガメッシュ襲来</v>
          </cell>
          <cell r="I907" t="str">
            <v>超地獄級</v>
          </cell>
          <cell r="J907">
            <v>0</v>
          </cell>
          <cell r="K907">
            <v>40</v>
          </cell>
          <cell r="L907">
            <v>5200</v>
          </cell>
          <cell r="M907">
            <v>1</v>
          </cell>
          <cell r="N907">
            <v>1</v>
          </cell>
          <cell r="O907">
            <v>1</v>
          </cell>
          <cell r="P907">
            <v>1</v>
          </cell>
          <cell r="Q907">
            <v>1</v>
          </cell>
          <cell r="R907">
            <v>3</v>
          </cell>
          <cell r="S907" t="str">
            <v>character</v>
          </cell>
          <cell r="T907">
            <v>1065</v>
          </cell>
          <cell r="U907" t="str">
            <v>NULL</v>
          </cell>
          <cell r="V907" t="str">
            <v>NULL</v>
          </cell>
          <cell r="W907" t="str">
            <v/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 t="str">
            <v>anytime</v>
          </cell>
          <cell r="AC907">
            <v>945</v>
          </cell>
          <cell r="AD907">
            <v>6</v>
          </cell>
          <cell r="AE907" t="str">
            <v>everyone</v>
          </cell>
        </row>
        <row r="908">
          <cell r="A908" t="str">
            <v>50008_1</v>
          </cell>
          <cell r="B908">
            <v>3</v>
          </cell>
          <cell r="C908">
            <v>50008</v>
          </cell>
          <cell r="D908" t="str">
            <v>呂布襲来！</v>
          </cell>
          <cell r="E908" t="str">
            <v>超降臨8</v>
          </cell>
          <cell r="F908">
            <v>1</v>
          </cell>
          <cell r="G908" t="str">
            <v>ja</v>
          </cell>
          <cell r="H908" t="str">
            <v>【超ウィザード級】呂布襲来</v>
          </cell>
          <cell r="I908" t="str">
            <v>超地獄級</v>
          </cell>
          <cell r="J908">
            <v>0</v>
          </cell>
          <cell r="K908">
            <v>40</v>
          </cell>
          <cell r="L908">
            <v>5200</v>
          </cell>
          <cell r="M908">
            <v>1</v>
          </cell>
          <cell r="N908">
            <v>1</v>
          </cell>
          <cell r="O908">
            <v>1</v>
          </cell>
          <cell r="P908">
            <v>1</v>
          </cell>
          <cell r="Q908">
            <v>1</v>
          </cell>
          <cell r="R908">
            <v>3</v>
          </cell>
          <cell r="S908" t="str">
            <v>character</v>
          </cell>
          <cell r="T908">
            <v>1135</v>
          </cell>
          <cell r="U908" t="str">
            <v>NULL</v>
          </cell>
          <cell r="V908" t="str">
            <v>NULL</v>
          </cell>
          <cell r="W908" t="str">
            <v/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 t="str">
            <v>anytime</v>
          </cell>
          <cell r="AC908">
            <v>950</v>
          </cell>
          <cell r="AD908">
            <v>6</v>
          </cell>
          <cell r="AE908" t="str">
            <v>everyone</v>
          </cell>
        </row>
        <row r="909">
          <cell r="A909" t="str">
            <v>50009_1</v>
          </cell>
          <cell r="B909">
            <v>1</v>
          </cell>
          <cell r="C909">
            <v>50009</v>
          </cell>
          <cell r="D909" t="str">
            <v>ヘラ襲来！</v>
          </cell>
          <cell r="E909" t="str">
            <v>超降臨9</v>
          </cell>
          <cell r="F909">
            <v>1</v>
          </cell>
          <cell r="G909" t="str">
            <v>ja</v>
          </cell>
          <cell r="H909" t="str">
            <v>【超ウィザード級】ヘラ襲来</v>
          </cell>
          <cell r="I909" t="str">
            <v>超地獄級</v>
          </cell>
          <cell r="J909">
            <v>0</v>
          </cell>
          <cell r="K909">
            <v>40</v>
          </cell>
          <cell r="L909">
            <v>5200</v>
          </cell>
          <cell r="M909">
            <v>1</v>
          </cell>
          <cell r="N909">
            <v>1</v>
          </cell>
          <cell r="O909">
            <v>1</v>
          </cell>
          <cell r="P909">
            <v>1</v>
          </cell>
          <cell r="Q909">
            <v>1</v>
          </cell>
          <cell r="R909">
            <v>3</v>
          </cell>
          <cell r="S909" t="str">
            <v>character</v>
          </cell>
          <cell r="T909">
            <v>1206</v>
          </cell>
          <cell r="U909" t="str">
            <v>NULL</v>
          </cell>
          <cell r="V909" t="str">
            <v>NULL</v>
          </cell>
          <cell r="W909" t="str">
            <v/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 t="str">
            <v>anytime</v>
          </cell>
          <cell r="AC909">
            <v>955</v>
          </cell>
          <cell r="AD909">
            <v>6</v>
          </cell>
          <cell r="AE909" t="str">
            <v>everyone</v>
          </cell>
        </row>
        <row r="910">
          <cell r="A910" t="str">
            <v>50010_1</v>
          </cell>
          <cell r="B910">
            <v>3</v>
          </cell>
          <cell r="C910">
            <v>50010</v>
          </cell>
          <cell r="D910" t="str">
            <v>カフカ襲来！</v>
          </cell>
          <cell r="E910" t="str">
            <v>超降臨10</v>
          </cell>
          <cell r="F910">
            <v>1</v>
          </cell>
          <cell r="G910" t="str">
            <v>ja</v>
          </cell>
          <cell r="H910" t="str">
            <v>【超ウィザード級】カフカ襲来</v>
          </cell>
          <cell r="I910" t="str">
            <v>超地獄級</v>
          </cell>
          <cell r="J910">
            <v>0</v>
          </cell>
          <cell r="K910">
            <v>40</v>
          </cell>
          <cell r="L910">
            <v>5200</v>
          </cell>
          <cell r="M910">
            <v>1</v>
          </cell>
          <cell r="N910">
            <v>1</v>
          </cell>
          <cell r="O910">
            <v>1</v>
          </cell>
          <cell r="P910">
            <v>1</v>
          </cell>
          <cell r="Q910">
            <v>1</v>
          </cell>
          <cell r="R910">
            <v>3</v>
          </cell>
          <cell r="S910" t="str">
            <v>character</v>
          </cell>
          <cell r="T910">
            <v>1222</v>
          </cell>
          <cell r="U910" t="str">
            <v>NULL</v>
          </cell>
          <cell r="V910" t="str">
            <v>NULL</v>
          </cell>
          <cell r="W910" t="str">
            <v/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 t="str">
            <v>anytime</v>
          </cell>
          <cell r="AC910">
            <v>957</v>
          </cell>
          <cell r="AD910">
            <v>6</v>
          </cell>
          <cell r="AE910" t="str">
            <v>everyone</v>
          </cell>
        </row>
        <row r="911">
          <cell r="A911" t="str">
            <v>50011_1</v>
          </cell>
          <cell r="B911">
            <v>3</v>
          </cell>
          <cell r="C911">
            <v>50011</v>
          </cell>
          <cell r="D911" t="str">
            <v>ヘラ襲来！</v>
          </cell>
          <cell r="E911" t="str">
            <v>超降臨9</v>
          </cell>
          <cell r="F911">
            <v>1</v>
          </cell>
          <cell r="G911" t="str">
            <v>ja</v>
          </cell>
          <cell r="H911" t="str">
            <v>【超ウィザード級】ヘラ襲来</v>
          </cell>
          <cell r="I911" t="str">
            <v>超地獄級</v>
          </cell>
          <cell r="J911">
            <v>0</v>
          </cell>
          <cell r="K911">
            <v>40</v>
          </cell>
          <cell r="L911">
            <v>5200</v>
          </cell>
          <cell r="M911">
            <v>1</v>
          </cell>
          <cell r="N911">
            <v>1</v>
          </cell>
          <cell r="O911">
            <v>1</v>
          </cell>
          <cell r="P911">
            <v>1</v>
          </cell>
          <cell r="Q911">
            <v>1</v>
          </cell>
          <cell r="R911">
            <v>3</v>
          </cell>
          <cell r="S911" t="str">
            <v>character</v>
          </cell>
          <cell r="T911">
            <v>1206</v>
          </cell>
          <cell r="U911" t="str">
            <v>NULL</v>
          </cell>
          <cell r="V911" t="str">
            <v>NULL</v>
          </cell>
          <cell r="W911" t="str">
            <v/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 t="str">
            <v>anytime</v>
          </cell>
          <cell r="AC911">
            <v>955</v>
          </cell>
          <cell r="AD911">
            <v>6</v>
          </cell>
          <cell r="AE911" t="str">
            <v>everyone</v>
          </cell>
        </row>
        <row r="912">
          <cell r="A912" t="str">
            <v>50012_1</v>
          </cell>
          <cell r="B912">
            <v>3</v>
          </cell>
          <cell r="C912">
            <v>50012</v>
          </cell>
          <cell r="D912" t="str">
            <v>豊臣秀吉襲来！</v>
          </cell>
          <cell r="E912" t="str">
            <v>超降臨11</v>
          </cell>
          <cell r="F912">
            <v>1</v>
          </cell>
          <cell r="G912" t="str">
            <v>ja</v>
          </cell>
          <cell r="H912" t="str">
            <v>【超ウィザード級】豊臣秀吉襲来</v>
          </cell>
          <cell r="I912" t="str">
            <v>超地獄級</v>
          </cell>
          <cell r="J912">
            <v>0</v>
          </cell>
          <cell r="K912">
            <v>40</v>
          </cell>
          <cell r="L912">
            <v>5200</v>
          </cell>
          <cell r="M912">
            <v>1</v>
          </cell>
          <cell r="N912">
            <v>1</v>
          </cell>
          <cell r="O912">
            <v>1</v>
          </cell>
          <cell r="P912">
            <v>1</v>
          </cell>
          <cell r="Q912">
            <v>1</v>
          </cell>
          <cell r="R912">
            <v>3</v>
          </cell>
          <cell r="S912" t="str">
            <v>character</v>
          </cell>
          <cell r="T912">
            <v>1242</v>
          </cell>
          <cell r="U912" t="str">
            <v>NULL</v>
          </cell>
          <cell r="V912" t="str">
            <v>NULL</v>
          </cell>
          <cell r="W912" t="str">
            <v/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 t="str">
            <v>anytime</v>
          </cell>
          <cell r="AC912">
            <v>959</v>
          </cell>
          <cell r="AD912">
            <v>6</v>
          </cell>
          <cell r="AE912" t="str">
            <v>everyone</v>
          </cell>
        </row>
        <row r="913">
          <cell r="A913" t="str">
            <v>50013_1</v>
          </cell>
          <cell r="B913">
            <v>3</v>
          </cell>
          <cell r="C913">
            <v>50013</v>
          </cell>
          <cell r="D913" t="str">
            <v>ロキ襲来！</v>
          </cell>
          <cell r="E913" t="str">
            <v>超降臨12</v>
          </cell>
          <cell r="F913">
            <v>1</v>
          </cell>
          <cell r="G913" t="str">
            <v>ja</v>
          </cell>
          <cell r="H913" t="str">
            <v>【超ウィザード級】ロキ襲来</v>
          </cell>
          <cell r="I913" t="str">
            <v>超地獄級</v>
          </cell>
          <cell r="J913">
            <v>0</v>
          </cell>
          <cell r="K913">
            <v>40</v>
          </cell>
          <cell r="L913">
            <v>5200</v>
          </cell>
          <cell r="M913">
            <v>1</v>
          </cell>
          <cell r="N913">
            <v>1</v>
          </cell>
          <cell r="O913">
            <v>1</v>
          </cell>
          <cell r="P913">
            <v>1</v>
          </cell>
          <cell r="Q913">
            <v>1</v>
          </cell>
          <cell r="R913">
            <v>3</v>
          </cell>
          <cell r="S913" t="str">
            <v>character</v>
          </cell>
          <cell r="T913">
            <v>1258</v>
          </cell>
          <cell r="U913" t="str">
            <v>NULL</v>
          </cell>
          <cell r="V913" t="str">
            <v>NULL</v>
          </cell>
          <cell r="W913" t="str">
            <v/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 t="str">
            <v>anytime</v>
          </cell>
          <cell r="AC913">
            <v>961</v>
          </cell>
          <cell r="AD913">
            <v>6</v>
          </cell>
          <cell r="AE913" t="str">
            <v>everyone</v>
          </cell>
        </row>
        <row r="914">
          <cell r="A914" t="str">
            <v>50014_1</v>
          </cell>
          <cell r="B914">
            <v>3</v>
          </cell>
          <cell r="C914">
            <v>50014</v>
          </cell>
          <cell r="D914" t="str">
            <v>スサノオ襲来！</v>
          </cell>
          <cell r="E914" t="str">
            <v>超降臨13</v>
          </cell>
          <cell r="F914">
            <v>1</v>
          </cell>
          <cell r="G914" t="str">
            <v>ja</v>
          </cell>
          <cell r="H914" t="str">
            <v>【超ウィザード級】スサノオ襲来</v>
          </cell>
          <cell r="I914" t="str">
            <v>超地獄級</v>
          </cell>
          <cell r="J914">
            <v>0</v>
          </cell>
          <cell r="K914">
            <v>40</v>
          </cell>
          <cell r="L914">
            <v>5200</v>
          </cell>
          <cell r="M914">
            <v>1</v>
          </cell>
          <cell r="N914">
            <v>1</v>
          </cell>
          <cell r="O914">
            <v>1</v>
          </cell>
          <cell r="P914">
            <v>1</v>
          </cell>
          <cell r="Q914">
            <v>1</v>
          </cell>
          <cell r="R914">
            <v>3</v>
          </cell>
          <cell r="S914" t="str">
            <v>character</v>
          </cell>
          <cell r="T914">
            <v>1330</v>
          </cell>
          <cell r="U914" t="str">
            <v>NULL</v>
          </cell>
          <cell r="V914" t="str">
            <v>NULL</v>
          </cell>
          <cell r="W914" t="str">
            <v/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 t="str">
            <v>anytime</v>
          </cell>
          <cell r="AC914">
            <v>967</v>
          </cell>
          <cell r="AD914">
            <v>6</v>
          </cell>
          <cell r="AE914" t="str">
            <v>everyone</v>
          </cell>
        </row>
        <row r="915">
          <cell r="A915" t="str">
            <v>51001_1</v>
          </cell>
          <cell r="B915">
            <v>3</v>
          </cell>
          <cell r="C915">
            <v>51001</v>
          </cell>
          <cell r="D915" t="str">
            <v>麒麟襲来！</v>
          </cell>
          <cell r="E915" t="str">
            <v>超降臨1</v>
          </cell>
          <cell r="F915">
            <v>1</v>
          </cell>
          <cell r="G915" t="str">
            <v>ja</v>
          </cell>
          <cell r="H915" t="str">
            <v xml:space="preserve">【超ウィザード級】麒麟襲来 </v>
          </cell>
          <cell r="I915" t="str">
            <v>超地獄級</v>
          </cell>
          <cell r="J915">
            <v>0</v>
          </cell>
          <cell r="K915">
            <v>40</v>
          </cell>
          <cell r="L915">
            <v>5200</v>
          </cell>
          <cell r="M915">
            <v>1</v>
          </cell>
          <cell r="N915">
            <v>1</v>
          </cell>
          <cell r="O915">
            <v>1</v>
          </cell>
          <cell r="P915">
            <v>1</v>
          </cell>
          <cell r="Q915">
            <v>1</v>
          </cell>
          <cell r="R915">
            <v>3</v>
          </cell>
          <cell r="S915" t="str">
            <v>character</v>
          </cell>
          <cell r="T915">
            <v>432</v>
          </cell>
          <cell r="U915" t="str">
            <v>NULL</v>
          </cell>
          <cell r="V915" t="str">
            <v>NULL</v>
          </cell>
          <cell r="W915" t="str">
            <v/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 t="str">
            <v>anytime</v>
          </cell>
          <cell r="AC915">
            <v>905</v>
          </cell>
          <cell r="AD915">
            <v>6</v>
          </cell>
          <cell r="AE915" t="str">
            <v>everyone</v>
          </cell>
        </row>
        <row r="916">
          <cell r="A916" t="str">
            <v>51002_1</v>
          </cell>
          <cell r="B916">
            <v>3</v>
          </cell>
          <cell r="C916">
            <v>51002</v>
          </cell>
          <cell r="D916" t="str">
            <v>オーディン襲来！</v>
          </cell>
          <cell r="E916" t="str">
            <v>超降臨2</v>
          </cell>
          <cell r="F916">
            <v>1</v>
          </cell>
          <cell r="G916" t="str">
            <v>ja</v>
          </cell>
          <cell r="H916" t="str">
            <v>【超ウィザード級】オーディン襲来</v>
          </cell>
          <cell r="I916" t="str">
            <v>超地獄級</v>
          </cell>
          <cell r="J916">
            <v>0</v>
          </cell>
          <cell r="K916">
            <v>40</v>
          </cell>
          <cell r="L916">
            <v>5200</v>
          </cell>
          <cell r="M916">
            <v>1</v>
          </cell>
          <cell r="N916">
            <v>1</v>
          </cell>
          <cell r="O916">
            <v>1</v>
          </cell>
          <cell r="P916">
            <v>1</v>
          </cell>
          <cell r="Q916">
            <v>1</v>
          </cell>
          <cell r="R916">
            <v>3</v>
          </cell>
          <cell r="S916" t="str">
            <v>character</v>
          </cell>
          <cell r="T916">
            <v>573</v>
          </cell>
          <cell r="U916" t="str">
            <v>NULL</v>
          </cell>
          <cell r="V916" t="str">
            <v>NULL</v>
          </cell>
          <cell r="W916" t="str">
            <v/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 t="str">
            <v>anytime</v>
          </cell>
          <cell r="AC916">
            <v>911</v>
          </cell>
          <cell r="AD916">
            <v>6</v>
          </cell>
          <cell r="AE916" t="str">
            <v>everyone</v>
          </cell>
        </row>
        <row r="917">
          <cell r="A917" t="str">
            <v>58001_1</v>
          </cell>
          <cell r="B917">
            <v>1</v>
          </cell>
          <cell r="C917">
            <v>58001</v>
          </cell>
          <cell r="D917" t="str">
            <v>曹操襲来！</v>
          </cell>
          <cell r="E917" t="str">
            <v>繁体字版超降臨1</v>
          </cell>
          <cell r="F917">
            <v>1</v>
          </cell>
          <cell r="G917" t="str">
            <v>ja</v>
          </cell>
          <cell r="H917" t="str">
            <v>【超ウィザード級】曹操襲来</v>
          </cell>
          <cell r="I917" t="str">
            <v>超地獄級</v>
          </cell>
          <cell r="J917">
            <v>0</v>
          </cell>
          <cell r="K917">
            <v>40</v>
          </cell>
          <cell r="L917">
            <v>5200</v>
          </cell>
          <cell r="M917">
            <v>1</v>
          </cell>
          <cell r="N917">
            <v>1</v>
          </cell>
          <cell r="O917">
            <v>1</v>
          </cell>
          <cell r="P917">
            <v>1</v>
          </cell>
          <cell r="Q917">
            <v>1</v>
          </cell>
          <cell r="R917">
            <v>3</v>
          </cell>
          <cell r="S917" t="str">
            <v>character</v>
          </cell>
          <cell r="T917">
            <v>8083</v>
          </cell>
          <cell r="U917" t="str">
            <v>NULL</v>
          </cell>
          <cell r="V917" t="str">
            <v>NULL</v>
          </cell>
          <cell r="W917" t="str">
            <v/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 t="str">
            <v>anytime</v>
          </cell>
          <cell r="AC917">
            <v>964</v>
          </cell>
          <cell r="AD917">
            <v>6</v>
          </cell>
          <cell r="AE917" t="str">
            <v>everyone</v>
          </cell>
        </row>
        <row r="918">
          <cell r="A918" t="str">
            <v>59001_1</v>
          </cell>
          <cell r="B918">
            <v>3</v>
          </cell>
          <cell r="C918">
            <v>59001</v>
          </cell>
          <cell r="D918" t="str">
            <v>電子歌姫の堕天使</v>
          </cell>
          <cell r="E918" t="str">
            <v>コラボ超降臨1</v>
          </cell>
          <cell r="F918">
            <v>1</v>
          </cell>
          <cell r="G918" t="str">
            <v>ja</v>
          </cell>
          <cell r="H918" t="str">
            <v>【超ウィザード級】電子歌姫の堕天使</v>
          </cell>
          <cell r="I918" t="str">
            <v>超地獄級</v>
          </cell>
          <cell r="J918">
            <v>0</v>
          </cell>
          <cell r="K918">
            <v>30</v>
          </cell>
          <cell r="L918">
            <v>5200</v>
          </cell>
          <cell r="M918">
            <v>1</v>
          </cell>
          <cell r="N918">
            <v>1</v>
          </cell>
          <cell r="O918">
            <v>1</v>
          </cell>
          <cell r="P918">
            <v>1</v>
          </cell>
          <cell r="Q918">
            <v>1</v>
          </cell>
          <cell r="R918">
            <v>3</v>
          </cell>
          <cell r="S918" t="str">
            <v>character</v>
          </cell>
          <cell r="T918">
            <v>1306</v>
          </cell>
          <cell r="U918" t="str">
            <v>NULL</v>
          </cell>
          <cell r="V918" t="str">
            <v>NULL</v>
          </cell>
          <cell r="W918" t="str">
            <v/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 t="str">
            <v>anytime</v>
          </cell>
          <cell r="AC918">
            <v>968</v>
          </cell>
          <cell r="AD918">
            <v>6</v>
          </cell>
          <cell r="AE918" t="str">
            <v>everyone</v>
          </cell>
        </row>
        <row r="919">
          <cell r="A919" t="str">
            <v>59002_1</v>
          </cell>
          <cell r="B919">
            <v>1</v>
          </cell>
          <cell r="C919">
            <v>59002</v>
          </cell>
          <cell r="D919" t="str">
            <v>C超魔</v>
          </cell>
          <cell r="E919" t="str">
            <v>コラボ超降臨2</v>
          </cell>
          <cell r="F919">
            <v>1</v>
          </cell>
          <cell r="G919" t="str">
            <v>ja</v>
          </cell>
          <cell r="H919" t="str">
            <v>【超ウィザード級】C超魔</v>
          </cell>
          <cell r="I919" t="str">
            <v>超地獄級</v>
          </cell>
          <cell r="J919">
            <v>0</v>
          </cell>
          <cell r="K919">
            <v>40</v>
          </cell>
          <cell r="L919">
            <v>5200</v>
          </cell>
          <cell r="M919">
            <v>1</v>
          </cell>
          <cell r="N919">
            <v>1</v>
          </cell>
          <cell r="O919">
            <v>1</v>
          </cell>
          <cell r="P919">
            <v>1</v>
          </cell>
          <cell r="Q919">
            <v>1</v>
          </cell>
          <cell r="R919">
            <v>3</v>
          </cell>
          <cell r="S919" t="str">
            <v>character</v>
          </cell>
          <cell r="T919">
            <v>1525</v>
          </cell>
          <cell r="U919" t="str">
            <v>NULL</v>
          </cell>
          <cell r="V919" t="str">
            <v>NULL</v>
          </cell>
          <cell r="W919" t="str">
            <v/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 t="str">
            <v>anytime</v>
          </cell>
          <cell r="AC919">
            <v>967</v>
          </cell>
          <cell r="AD919">
            <v>6</v>
          </cell>
          <cell r="AE919" t="str">
            <v>everyone</v>
          </cell>
        </row>
        <row r="920">
          <cell r="A920" t="str">
            <v>60001_1</v>
          </cell>
          <cell r="B920">
            <v>1</v>
          </cell>
          <cell r="C920">
            <v>60001</v>
          </cell>
          <cell r="D920" t="str">
            <v>ヘンペルチャレンジ</v>
          </cell>
          <cell r="E920" t="str">
            <v>ランキング1</v>
          </cell>
          <cell r="F920">
            <v>1</v>
          </cell>
          <cell r="G920" t="str">
            <v>ja</v>
          </cell>
          <cell r="H920" t="str">
            <v>[ウィザード] 第一回</v>
          </cell>
          <cell r="I920" t="str">
            <v>ランキング</v>
          </cell>
          <cell r="J920">
            <v>488</v>
          </cell>
          <cell r="K920">
            <v>5</v>
          </cell>
          <cell r="L920">
            <v>0</v>
          </cell>
          <cell r="M920">
            <v>1</v>
          </cell>
          <cell r="N920">
            <v>1</v>
          </cell>
          <cell r="O920">
            <v>1</v>
          </cell>
          <cell r="P920">
            <v>1</v>
          </cell>
          <cell r="Q920">
            <v>1</v>
          </cell>
          <cell r="R920">
            <v>3</v>
          </cell>
          <cell r="S920" t="str">
            <v>none</v>
          </cell>
          <cell r="T920">
            <v>0</v>
          </cell>
          <cell r="U920" t="str">
            <v>NULL</v>
          </cell>
          <cell r="V920" t="str">
            <v>NULL</v>
          </cell>
          <cell r="W920" t="str">
            <v/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 t="str">
            <v>anytime</v>
          </cell>
          <cell r="AC920">
            <v>911</v>
          </cell>
          <cell r="AD920">
            <v>6</v>
          </cell>
          <cell r="AE920" t="str">
            <v>singleonly</v>
          </cell>
        </row>
        <row r="921">
          <cell r="A921" t="str">
            <v>60002_1</v>
          </cell>
          <cell r="B921">
            <v>1</v>
          </cell>
          <cell r="C921">
            <v>60002</v>
          </cell>
          <cell r="D921" t="str">
            <v>ヘンペルチャレンジ</v>
          </cell>
          <cell r="E921" t="str">
            <v>ランキング1</v>
          </cell>
          <cell r="F921">
            <v>1</v>
          </cell>
          <cell r="G921" t="str">
            <v>ja</v>
          </cell>
          <cell r="H921" t="str">
            <v>[超級] 第2回　※Wizと難易度は同じ</v>
          </cell>
          <cell r="I921" t="str">
            <v>ランキング</v>
          </cell>
          <cell r="J921">
            <v>488</v>
          </cell>
          <cell r="K921">
            <v>5</v>
          </cell>
          <cell r="L921">
            <v>0</v>
          </cell>
          <cell r="M921">
            <v>1</v>
          </cell>
          <cell r="N921">
            <v>1</v>
          </cell>
          <cell r="O921">
            <v>1</v>
          </cell>
          <cell r="P921">
            <v>1</v>
          </cell>
          <cell r="Q921">
            <v>1</v>
          </cell>
          <cell r="R921">
            <v>3</v>
          </cell>
          <cell r="S921" t="str">
            <v>none</v>
          </cell>
          <cell r="T921">
            <v>0</v>
          </cell>
          <cell r="U921" t="str">
            <v>NULL</v>
          </cell>
          <cell r="V921" t="str">
            <v>NULL</v>
          </cell>
          <cell r="W921" t="str">
            <v/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 t="str">
            <v>anytime</v>
          </cell>
          <cell r="AC921">
            <v>911</v>
          </cell>
          <cell r="AD921">
            <v>6</v>
          </cell>
          <cell r="AE921" t="str">
            <v>singleonly</v>
          </cell>
        </row>
        <row r="922">
          <cell r="A922" t="str">
            <v>60002_2</v>
          </cell>
          <cell r="B922">
            <v>1</v>
          </cell>
          <cell r="C922">
            <v>60002</v>
          </cell>
          <cell r="D922" t="str">
            <v>ヘンペルチャレンジ</v>
          </cell>
          <cell r="E922" t="str">
            <v>ランキング1</v>
          </cell>
          <cell r="F922">
            <v>2</v>
          </cell>
          <cell r="G922" t="str">
            <v>ja</v>
          </cell>
          <cell r="H922" t="str">
            <v>[ウィザード] 第2回　※Wizと難易度は同じ</v>
          </cell>
          <cell r="I922" t="str">
            <v>ランキング</v>
          </cell>
          <cell r="J922">
            <v>488</v>
          </cell>
          <cell r="K922">
            <v>5</v>
          </cell>
          <cell r="L922">
            <v>0</v>
          </cell>
          <cell r="M922">
            <v>1</v>
          </cell>
          <cell r="N922">
            <v>1</v>
          </cell>
          <cell r="O922">
            <v>1</v>
          </cell>
          <cell r="P922">
            <v>1</v>
          </cell>
          <cell r="Q922">
            <v>1</v>
          </cell>
          <cell r="R922">
            <v>3</v>
          </cell>
          <cell r="S922" t="str">
            <v>none</v>
          </cell>
          <cell r="T922">
            <v>0</v>
          </cell>
          <cell r="U922" t="str">
            <v>NULL</v>
          </cell>
          <cell r="V922" t="str">
            <v>NULL</v>
          </cell>
          <cell r="W922" t="str">
            <v/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 t="str">
            <v>anytime</v>
          </cell>
          <cell r="AC922">
            <v>911</v>
          </cell>
          <cell r="AD922">
            <v>6</v>
          </cell>
          <cell r="AE922" t="str">
            <v>singleonly</v>
          </cell>
        </row>
        <row r="923">
          <cell r="A923" t="str">
            <v>60003_1</v>
          </cell>
          <cell r="B923">
            <v>1</v>
          </cell>
          <cell r="C923">
            <v>60003</v>
          </cell>
          <cell r="D923" t="str">
            <v>ヘンペルチャレンジ</v>
          </cell>
          <cell r="E923" t="str">
            <v>ランキング1</v>
          </cell>
          <cell r="F923">
            <v>1</v>
          </cell>
          <cell r="G923" t="str">
            <v>ja</v>
          </cell>
          <cell r="H923" t="str">
            <v>[中級] 第3回　</v>
          </cell>
          <cell r="I923" t="str">
            <v>ランキング</v>
          </cell>
          <cell r="J923">
            <v>488</v>
          </cell>
          <cell r="K923">
            <v>5</v>
          </cell>
          <cell r="L923">
            <v>0</v>
          </cell>
          <cell r="M923">
            <v>1</v>
          </cell>
          <cell r="N923">
            <v>1</v>
          </cell>
          <cell r="O923">
            <v>1</v>
          </cell>
          <cell r="P923">
            <v>1</v>
          </cell>
          <cell r="Q923">
            <v>1</v>
          </cell>
          <cell r="R923">
            <v>3</v>
          </cell>
          <cell r="S923" t="str">
            <v>none</v>
          </cell>
          <cell r="T923">
            <v>0</v>
          </cell>
          <cell r="U923" t="str">
            <v>NULL</v>
          </cell>
          <cell r="V923" t="str">
            <v>NULL</v>
          </cell>
          <cell r="W923" t="str">
            <v/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 t="str">
            <v>anytime</v>
          </cell>
          <cell r="AC923">
            <v>911</v>
          </cell>
          <cell r="AD923">
            <v>6</v>
          </cell>
          <cell r="AE923" t="str">
            <v>singleonly</v>
          </cell>
        </row>
        <row r="924">
          <cell r="A924" t="str">
            <v>60003_2</v>
          </cell>
          <cell r="B924">
            <v>1</v>
          </cell>
          <cell r="C924">
            <v>60003</v>
          </cell>
          <cell r="D924" t="str">
            <v>ヘンペルチャレンジ</v>
          </cell>
          <cell r="E924" t="str">
            <v>ランキング1</v>
          </cell>
          <cell r="F924">
            <v>2</v>
          </cell>
          <cell r="G924" t="str">
            <v>ja</v>
          </cell>
          <cell r="H924" t="str">
            <v>[超級] 第3回　</v>
          </cell>
          <cell r="I924" t="str">
            <v>ランキング</v>
          </cell>
          <cell r="J924">
            <v>488</v>
          </cell>
          <cell r="K924">
            <v>5</v>
          </cell>
          <cell r="L924">
            <v>0</v>
          </cell>
          <cell r="M924">
            <v>1</v>
          </cell>
          <cell r="N924">
            <v>1</v>
          </cell>
          <cell r="O924">
            <v>1</v>
          </cell>
          <cell r="P924">
            <v>1</v>
          </cell>
          <cell r="Q924">
            <v>1</v>
          </cell>
          <cell r="R924">
            <v>3</v>
          </cell>
          <cell r="S924" t="str">
            <v>none</v>
          </cell>
          <cell r="T924">
            <v>0</v>
          </cell>
          <cell r="U924">
            <v>60003</v>
          </cell>
          <cell r="V924">
            <v>1</v>
          </cell>
          <cell r="W924" t="str">
            <v>[中級] 第3回　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 t="str">
            <v>anytime</v>
          </cell>
          <cell r="AC924">
            <v>911</v>
          </cell>
          <cell r="AD924">
            <v>6</v>
          </cell>
          <cell r="AE924" t="str">
            <v>singleonly</v>
          </cell>
        </row>
        <row r="925">
          <cell r="A925" t="str">
            <v>60003_3</v>
          </cell>
          <cell r="B925">
            <v>1</v>
          </cell>
          <cell r="C925">
            <v>60003</v>
          </cell>
          <cell r="D925" t="str">
            <v>ヘンペルチャレンジ</v>
          </cell>
          <cell r="E925" t="str">
            <v>ランキング1</v>
          </cell>
          <cell r="F925">
            <v>3</v>
          </cell>
          <cell r="G925" t="str">
            <v>ja</v>
          </cell>
          <cell r="H925" t="str">
            <v>[ウィザード] 第3回　</v>
          </cell>
          <cell r="I925" t="str">
            <v>ランキング</v>
          </cell>
          <cell r="J925">
            <v>488</v>
          </cell>
          <cell r="K925">
            <v>5</v>
          </cell>
          <cell r="L925">
            <v>0</v>
          </cell>
          <cell r="M925">
            <v>1</v>
          </cell>
          <cell r="N925">
            <v>1</v>
          </cell>
          <cell r="O925">
            <v>1</v>
          </cell>
          <cell r="P925">
            <v>1</v>
          </cell>
          <cell r="Q925">
            <v>1</v>
          </cell>
          <cell r="R925">
            <v>3</v>
          </cell>
          <cell r="S925" t="str">
            <v>none</v>
          </cell>
          <cell r="T925">
            <v>0</v>
          </cell>
          <cell r="U925">
            <v>60003</v>
          </cell>
          <cell r="V925">
            <v>2</v>
          </cell>
          <cell r="W925" t="str">
            <v>[超級] 第3回　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 t="str">
            <v>anytime</v>
          </cell>
          <cell r="AC925">
            <v>911</v>
          </cell>
          <cell r="AD925">
            <v>6</v>
          </cell>
          <cell r="AE925" t="str">
            <v>singleonly</v>
          </cell>
        </row>
        <row r="926">
          <cell r="A926" t="str">
            <v>60004_1</v>
          </cell>
          <cell r="B926">
            <v>1</v>
          </cell>
          <cell r="C926">
            <v>60004</v>
          </cell>
          <cell r="D926" t="str">
            <v>ヘンペルチャレンジ</v>
          </cell>
          <cell r="E926" t="str">
            <v>ランキング1</v>
          </cell>
          <cell r="F926">
            <v>1</v>
          </cell>
          <cell r="G926" t="str">
            <v>ja</v>
          </cell>
          <cell r="H926" t="str">
            <v>[ウィザード] 第4回　</v>
          </cell>
          <cell r="I926" t="str">
            <v>ランキング</v>
          </cell>
          <cell r="J926">
            <v>488</v>
          </cell>
          <cell r="K926">
            <v>5</v>
          </cell>
          <cell r="L926">
            <v>0</v>
          </cell>
          <cell r="M926">
            <v>1</v>
          </cell>
          <cell r="N926">
            <v>1</v>
          </cell>
          <cell r="O926">
            <v>1</v>
          </cell>
          <cell r="P926">
            <v>1</v>
          </cell>
          <cell r="Q926">
            <v>1</v>
          </cell>
          <cell r="R926">
            <v>3</v>
          </cell>
          <cell r="S926" t="str">
            <v>none</v>
          </cell>
          <cell r="T926">
            <v>0</v>
          </cell>
          <cell r="U926" t="str">
            <v>NULL</v>
          </cell>
          <cell r="V926" t="str">
            <v>NULL</v>
          </cell>
          <cell r="W926" t="str">
            <v/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 t="str">
            <v>anytime</v>
          </cell>
          <cell r="AC926">
            <v>911</v>
          </cell>
          <cell r="AD926">
            <v>6</v>
          </cell>
          <cell r="AE926" t="str">
            <v>singleonly</v>
          </cell>
        </row>
        <row r="927">
          <cell r="A927" t="str">
            <v>60005_1</v>
          </cell>
          <cell r="B927">
            <v>1</v>
          </cell>
          <cell r="C927">
            <v>60005</v>
          </cell>
          <cell r="D927" t="str">
            <v>オイラーチャレンジ</v>
          </cell>
          <cell r="E927" t="str">
            <v>ランキング1</v>
          </cell>
          <cell r="F927">
            <v>1</v>
          </cell>
          <cell r="G927" t="str">
            <v>ja</v>
          </cell>
          <cell r="H927" t="str">
            <v>[ウィザード] 第5回　</v>
          </cell>
          <cell r="I927" t="str">
            <v>ランキング</v>
          </cell>
          <cell r="J927">
            <v>379</v>
          </cell>
          <cell r="K927">
            <v>5</v>
          </cell>
          <cell r="L927">
            <v>0</v>
          </cell>
          <cell r="M927">
            <v>1</v>
          </cell>
          <cell r="N927">
            <v>1</v>
          </cell>
          <cell r="O927">
            <v>1</v>
          </cell>
          <cell r="P927">
            <v>1</v>
          </cell>
          <cell r="Q927">
            <v>1</v>
          </cell>
          <cell r="R927">
            <v>3</v>
          </cell>
          <cell r="S927" t="str">
            <v>none</v>
          </cell>
          <cell r="T927">
            <v>0</v>
          </cell>
          <cell r="U927" t="str">
            <v>NULL</v>
          </cell>
          <cell r="V927" t="str">
            <v>NULL</v>
          </cell>
          <cell r="W927" t="str">
            <v/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 t="str">
            <v>anytime</v>
          </cell>
          <cell r="AC927">
            <v>923</v>
          </cell>
          <cell r="AD927">
            <v>6</v>
          </cell>
          <cell r="AE927" t="str">
            <v>singleonly</v>
          </cell>
        </row>
        <row r="928">
          <cell r="A928" t="str">
            <v>60006_1</v>
          </cell>
          <cell r="B928">
            <v>0</v>
          </cell>
          <cell r="C928">
            <v>60006</v>
          </cell>
          <cell r="D928" t="str">
            <v>オイラーチャレンジ</v>
          </cell>
          <cell r="E928" t="str">
            <v>ランキング1（本番実装用）</v>
          </cell>
          <cell r="F928">
            <v>1</v>
          </cell>
          <cell r="G928" t="str">
            <v>ja</v>
          </cell>
          <cell r="H928" t="str">
            <v>【中級】オイラーチャレンジ</v>
          </cell>
          <cell r="I928" t="str">
            <v>中級</v>
          </cell>
          <cell r="J928">
            <v>378</v>
          </cell>
          <cell r="K928">
            <v>15</v>
          </cell>
          <cell r="L928">
            <v>1200</v>
          </cell>
          <cell r="M928">
            <v>1</v>
          </cell>
          <cell r="N928">
            <v>1</v>
          </cell>
          <cell r="O928">
            <v>1</v>
          </cell>
          <cell r="P928">
            <v>1</v>
          </cell>
          <cell r="Q928">
            <v>1</v>
          </cell>
          <cell r="R928">
            <v>3</v>
          </cell>
          <cell r="S928" t="str">
            <v>none</v>
          </cell>
          <cell r="T928">
            <v>0</v>
          </cell>
          <cell r="U928">
            <v>60006</v>
          </cell>
          <cell r="V928">
            <v>1</v>
          </cell>
          <cell r="W928" t="str">
            <v>【中級】オイラーチャレンジ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 t="str">
            <v>anytime</v>
          </cell>
          <cell r="AC928">
            <v>923</v>
          </cell>
          <cell r="AD928">
            <v>6</v>
          </cell>
          <cell r="AE928" t="str">
            <v>singleonly</v>
          </cell>
        </row>
        <row r="929">
          <cell r="A929" t="str">
            <v>60006_2</v>
          </cell>
          <cell r="B929">
            <v>0</v>
          </cell>
          <cell r="C929">
            <v>60006</v>
          </cell>
          <cell r="D929" t="str">
            <v>オイラーチャレンジ</v>
          </cell>
          <cell r="E929" t="str">
            <v>ランキング1（本番実装用）</v>
          </cell>
          <cell r="F929">
            <v>2</v>
          </cell>
          <cell r="G929" t="str">
            <v>ja</v>
          </cell>
          <cell r="H929" t="str">
            <v>【超級】オイラーチャレンジ</v>
          </cell>
          <cell r="I929" t="str">
            <v>超級</v>
          </cell>
          <cell r="J929">
            <v>378</v>
          </cell>
          <cell r="K929">
            <v>30</v>
          </cell>
          <cell r="L929">
            <v>3300</v>
          </cell>
          <cell r="M929">
            <v>1</v>
          </cell>
          <cell r="N929">
            <v>1</v>
          </cell>
          <cell r="O929">
            <v>1</v>
          </cell>
          <cell r="P929">
            <v>1</v>
          </cell>
          <cell r="Q929">
            <v>1</v>
          </cell>
          <cell r="R929">
            <v>3</v>
          </cell>
          <cell r="S929" t="str">
            <v>none</v>
          </cell>
          <cell r="T929">
            <v>0</v>
          </cell>
          <cell r="U929">
            <v>60006</v>
          </cell>
          <cell r="V929">
            <v>2</v>
          </cell>
          <cell r="W929" t="str">
            <v>【超級】オイラーチャレンジ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 t="str">
            <v>anytime</v>
          </cell>
          <cell r="AC929">
            <v>923</v>
          </cell>
          <cell r="AD929">
            <v>6</v>
          </cell>
          <cell r="AE929" t="str">
            <v>singleonly</v>
          </cell>
        </row>
        <row r="930">
          <cell r="A930" t="str">
            <v>60006_3</v>
          </cell>
          <cell r="B930">
            <v>3</v>
          </cell>
          <cell r="C930">
            <v>60006</v>
          </cell>
          <cell r="D930" t="str">
            <v>オイラーチャレンジ</v>
          </cell>
          <cell r="E930" t="str">
            <v>ランキング1（本番実装用）</v>
          </cell>
          <cell r="F930">
            <v>3</v>
          </cell>
          <cell r="G930" t="str">
            <v>ja</v>
          </cell>
          <cell r="H930" t="str">
            <v>【ウィザード級】オイラーチャレンジ</v>
          </cell>
          <cell r="I930" t="str">
            <v>ウィザード級</v>
          </cell>
          <cell r="J930">
            <v>379</v>
          </cell>
          <cell r="K930">
            <v>35</v>
          </cell>
          <cell r="L930">
            <v>4200</v>
          </cell>
          <cell r="M930">
            <v>1</v>
          </cell>
          <cell r="N930">
            <v>1</v>
          </cell>
          <cell r="O930">
            <v>1</v>
          </cell>
          <cell r="P930">
            <v>1</v>
          </cell>
          <cell r="Q930">
            <v>1</v>
          </cell>
          <cell r="R930">
            <v>3</v>
          </cell>
          <cell r="S930" t="str">
            <v>none</v>
          </cell>
          <cell r="T930">
            <v>0</v>
          </cell>
          <cell r="U930">
            <v>60006</v>
          </cell>
          <cell r="V930">
            <v>3</v>
          </cell>
          <cell r="W930" t="str">
            <v>【ウィザード級】オイラーチャレンジ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 t="str">
            <v>anytime</v>
          </cell>
          <cell r="AC930">
            <v>923</v>
          </cell>
          <cell r="AD930">
            <v>6</v>
          </cell>
          <cell r="AE930" t="str">
            <v>singleonly</v>
          </cell>
        </row>
        <row r="931">
          <cell r="A931" t="str">
            <v>60007_1</v>
          </cell>
          <cell r="B931">
            <v>0</v>
          </cell>
          <cell r="C931">
            <v>60007</v>
          </cell>
          <cell r="D931" t="str">
            <v>オイラーチャレンジ</v>
          </cell>
          <cell r="E931" t="str">
            <v>ランキング1（改修版）</v>
          </cell>
          <cell r="F931">
            <v>1</v>
          </cell>
          <cell r="G931" t="str">
            <v>ja</v>
          </cell>
          <cell r="H931" t="str">
            <v>【中級】オイラーチャレンジ</v>
          </cell>
          <cell r="I931" t="str">
            <v>中級</v>
          </cell>
          <cell r="J931">
            <v>378</v>
          </cell>
          <cell r="K931">
            <v>15</v>
          </cell>
          <cell r="L931">
            <v>1200</v>
          </cell>
          <cell r="M931">
            <v>1</v>
          </cell>
          <cell r="N931">
            <v>1</v>
          </cell>
          <cell r="O931">
            <v>1</v>
          </cell>
          <cell r="P931">
            <v>1</v>
          </cell>
          <cell r="Q931">
            <v>1</v>
          </cell>
          <cell r="R931">
            <v>3</v>
          </cell>
          <cell r="S931" t="str">
            <v>none</v>
          </cell>
          <cell r="T931">
            <v>0</v>
          </cell>
          <cell r="U931" t="str">
            <v>NULL</v>
          </cell>
          <cell r="V931" t="str">
            <v>NULL</v>
          </cell>
          <cell r="W931" t="str">
            <v/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 t="str">
            <v>anytime</v>
          </cell>
          <cell r="AC931">
            <v>923</v>
          </cell>
          <cell r="AD931">
            <v>6</v>
          </cell>
          <cell r="AE931" t="str">
            <v>singleonly</v>
          </cell>
        </row>
        <row r="932">
          <cell r="A932" t="str">
            <v>60007_2</v>
          </cell>
          <cell r="B932">
            <v>0</v>
          </cell>
          <cell r="C932">
            <v>60007</v>
          </cell>
          <cell r="D932" t="str">
            <v>オイラーチャレンジ</v>
          </cell>
          <cell r="E932" t="str">
            <v>ランキング1（改修版）</v>
          </cell>
          <cell r="F932">
            <v>2</v>
          </cell>
          <cell r="G932" t="str">
            <v>ja</v>
          </cell>
          <cell r="H932" t="str">
            <v>【超級】オイラーチャレンジ</v>
          </cell>
          <cell r="I932" t="str">
            <v>超級</v>
          </cell>
          <cell r="J932">
            <v>378</v>
          </cell>
          <cell r="K932">
            <v>30</v>
          </cell>
          <cell r="L932">
            <v>3300</v>
          </cell>
          <cell r="M932">
            <v>1</v>
          </cell>
          <cell r="N932">
            <v>1</v>
          </cell>
          <cell r="O932">
            <v>1</v>
          </cell>
          <cell r="P932">
            <v>1</v>
          </cell>
          <cell r="Q932">
            <v>1</v>
          </cell>
          <cell r="R932">
            <v>3</v>
          </cell>
          <cell r="S932" t="str">
            <v>none</v>
          </cell>
          <cell r="T932">
            <v>0</v>
          </cell>
          <cell r="U932" t="str">
            <v>NULL</v>
          </cell>
          <cell r="V932" t="str">
            <v>NULL</v>
          </cell>
          <cell r="W932" t="str">
            <v/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 t="str">
            <v>anytime</v>
          </cell>
          <cell r="AC932">
            <v>923</v>
          </cell>
          <cell r="AD932">
            <v>6</v>
          </cell>
          <cell r="AE932" t="str">
            <v>singleonly</v>
          </cell>
        </row>
        <row r="933">
          <cell r="A933" t="str">
            <v>60007_3</v>
          </cell>
          <cell r="B933">
            <v>3</v>
          </cell>
          <cell r="C933">
            <v>60007</v>
          </cell>
          <cell r="D933" t="str">
            <v>オイラーチャレンジ</v>
          </cell>
          <cell r="E933" t="str">
            <v>ランキング1（改修版）</v>
          </cell>
          <cell r="F933">
            <v>3</v>
          </cell>
          <cell r="G933" t="str">
            <v>ja</v>
          </cell>
          <cell r="H933" t="str">
            <v>【ウィザード級】オイラーチャレンジ</v>
          </cell>
          <cell r="I933" t="str">
            <v>ウィザード級</v>
          </cell>
          <cell r="J933">
            <v>379</v>
          </cell>
          <cell r="K933">
            <v>35</v>
          </cell>
          <cell r="L933">
            <v>4200</v>
          </cell>
          <cell r="M933">
            <v>1</v>
          </cell>
          <cell r="N933">
            <v>1</v>
          </cell>
          <cell r="O933">
            <v>1</v>
          </cell>
          <cell r="P933">
            <v>1</v>
          </cell>
          <cell r="Q933">
            <v>1</v>
          </cell>
          <cell r="R933">
            <v>3</v>
          </cell>
          <cell r="S933" t="str">
            <v>none</v>
          </cell>
          <cell r="T933">
            <v>0</v>
          </cell>
          <cell r="U933" t="str">
            <v>NULL</v>
          </cell>
          <cell r="V933" t="str">
            <v>NULL</v>
          </cell>
          <cell r="W933" t="str">
            <v/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 t="str">
            <v>anytime</v>
          </cell>
          <cell r="AC933">
            <v>923</v>
          </cell>
          <cell r="AD933">
            <v>6</v>
          </cell>
          <cell r="AE933" t="str">
            <v>singleonly</v>
          </cell>
        </row>
        <row r="934">
          <cell r="A934" t="str">
            <v>60010_1</v>
          </cell>
          <cell r="B934">
            <v>3</v>
          </cell>
          <cell r="C934">
            <v>60010</v>
          </cell>
          <cell r="D934" t="str">
            <v>ラグランジュチャレンジ</v>
          </cell>
          <cell r="E934" t="str">
            <v>ランキング2（ラグランジュ）</v>
          </cell>
          <cell r="F934">
            <v>1</v>
          </cell>
          <cell r="G934" t="str">
            <v>ja</v>
          </cell>
          <cell r="H934" t="str">
            <v>ラグランジュチャレンジ</v>
          </cell>
          <cell r="I934" t="str">
            <v>ウィザード級</v>
          </cell>
          <cell r="J934">
            <v>796</v>
          </cell>
          <cell r="K934">
            <v>35</v>
          </cell>
          <cell r="L934">
            <v>4200</v>
          </cell>
          <cell r="M934">
            <v>1</v>
          </cell>
          <cell r="N934">
            <v>1</v>
          </cell>
          <cell r="O934">
            <v>1</v>
          </cell>
          <cell r="P934">
            <v>1</v>
          </cell>
          <cell r="Q934">
            <v>1</v>
          </cell>
          <cell r="R934">
            <v>3</v>
          </cell>
          <cell r="S934" t="str">
            <v>none</v>
          </cell>
          <cell r="T934">
            <v>0</v>
          </cell>
          <cell r="U934" t="str">
            <v>NULL</v>
          </cell>
          <cell r="V934" t="str">
            <v>NULL</v>
          </cell>
          <cell r="W934" t="str">
            <v/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 t="str">
            <v>anytime</v>
          </cell>
          <cell r="AC934">
            <v>922</v>
          </cell>
          <cell r="AD934">
            <v>6</v>
          </cell>
          <cell r="AE934" t="str">
            <v>singleonly</v>
          </cell>
        </row>
        <row r="935">
          <cell r="A935" t="str">
            <v>60011_1</v>
          </cell>
          <cell r="B935">
            <v>3</v>
          </cell>
          <cell r="C935">
            <v>60011</v>
          </cell>
          <cell r="D935" t="str">
            <v>ユークリッドチャレンジ</v>
          </cell>
          <cell r="E935" t="str">
            <v>ランキング3（ユークリッド）</v>
          </cell>
          <cell r="F935">
            <v>1</v>
          </cell>
          <cell r="G935" t="str">
            <v>ja</v>
          </cell>
          <cell r="H935" t="str">
            <v>ウィザード級</v>
          </cell>
          <cell r="I935" t="str">
            <v>ウィザード級</v>
          </cell>
          <cell r="J935">
            <v>690</v>
          </cell>
          <cell r="K935">
            <v>35</v>
          </cell>
          <cell r="L935">
            <v>4200</v>
          </cell>
          <cell r="M935">
            <v>1</v>
          </cell>
          <cell r="N935">
            <v>1</v>
          </cell>
          <cell r="O935">
            <v>1</v>
          </cell>
          <cell r="P935">
            <v>1</v>
          </cell>
          <cell r="Q935">
            <v>1</v>
          </cell>
          <cell r="R935">
            <v>3</v>
          </cell>
          <cell r="S935" t="str">
            <v>none</v>
          </cell>
          <cell r="T935">
            <v>0</v>
          </cell>
          <cell r="U935" t="str">
            <v>NULL</v>
          </cell>
          <cell r="V935" t="str">
            <v>NULL</v>
          </cell>
          <cell r="W935" t="str">
            <v/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 t="str">
            <v>anytime</v>
          </cell>
          <cell r="AC935">
            <v>924</v>
          </cell>
          <cell r="AD935">
            <v>6</v>
          </cell>
          <cell r="AE935" t="str">
            <v>singleonly</v>
          </cell>
        </row>
        <row r="936">
          <cell r="A936" t="str">
            <v>60011_2</v>
          </cell>
          <cell r="B936">
            <v>1</v>
          </cell>
          <cell r="C936">
            <v>60011</v>
          </cell>
          <cell r="D936" t="str">
            <v>ユークリッドチャレンジ</v>
          </cell>
          <cell r="E936" t="str">
            <v>ランキング3（ユークリッド）</v>
          </cell>
          <cell r="F936">
            <v>2</v>
          </cell>
          <cell r="G936" t="str">
            <v>ja</v>
          </cell>
          <cell r="H936" t="str">
            <v>超絶級</v>
          </cell>
          <cell r="I936" t="str">
            <v>ウィザード級</v>
          </cell>
          <cell r="J936">
            <v>690</v>
          </cell>
          <cell r="K936">
            <v>30</v>
          </cell>
          <cell r="L936">
            <v>3300</v>
          </cell>
          <cell r="M936">
            <v>1</v>
          </cell>
          <cell r="N936">
            <v>1</v>
          </cell>
          <cell r="O936">
            <v>1</v>
          </cell>
          <cell r="P936">
            <v>1</v>
          </cell>
          <cell r="Q936">
            <v>1</v>
          </cell>
          <cell r="R936">
            <v>3</v>
          </cell>
          <cell r="S936" t="str">
            <v>none</v>
          </cell>
          <cell r="T936">
            <v>0</v>
          </cell>
          <cell r="U936" t="str">
            <v>NULL</v>
          </cell>
          <cell r="V936" t="str">
            <v>NULL</v>
          </cell>
          <cell r="W936" t="str">
            <v/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 t="str">
            <v>anytime</v>
          </cell>
          <cell r="AC936">
            <v>924</v>
          </cell>
          <cell r="AD936">
            <v>6</v>
          </cell>
          <cell r="AE936" t="str">
            <v>singleonly</v>
          </cell>
        </row>
        <row r="937">
          <cell r="A937" t="str">
            <v>60012_1</v>
          </cell>
          <cell r="B937">
            <v>3</v>
          </cell>
          <cell r="C937">
            <v>60012</v>
          </cell>
          <cell r="D937" t="str">
            <v>ユークリッドチャレンジ</v>
          </cell>
          <cell r="E937" t="str">
            <v>ランキング3（ユークリッド）</v>
          </cell>
          <cell r="F937">
            <v>1</v>
          </cell>
          <cell r="G937" t="str">
            <v>ja</v>
          </cell>
          <cell r="H937" t="str">
            <v>ユークリッドチャレンジ</v>
          </cell>
          <cell r="I937" t="str">
            <v>ウィザード級</v>
          </cell>
          <cell r="J937">
            <v>690</v>
          </cell>
          <cell r="K937">
            <v>35</v>
          </cell>
          <cell r="L937">
            <v>4200</v>
          </cell>
          <cell r="M937">
            <v>1</v>
          </cell>
          <cell r="N937">
            <v>1</v>
          </cell>
          <cell r="O937">
            <v>1</v>
          </cell>
          <cell r="P937">
            <v>1</v>
          </cell>
          <cell r="Q937">
            <v>1</v>
          </cell>
          <cell r="R937">
            <v>3</v>
          </cell>
          <cell r="S937" t="str">
            <v>none</v>
          </cell>
          <cell r="T937">
            <v>0</v>
          </cell>
          <cell r="U937" t="str">
            <v>NULL</v>
          </cell>
          <cell r="V937" t="str">
            <v>NULL</v>
          </cell>
          <cell r="W937" t="str">
            <v/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 t="str">
            <v>anytime</v>
          </cell>
          <cell r="AC937">
            <v>924</v>
          </cell>
          <cell r="AD937">
            <v>6</v>
          </cell>
          <cell r="AE937" t="str">
            <v>singleonly</v>
          </cell>
        </row>
        <row r="938">
          <cell r="A938" t="str">
            <v>60013_1</v>
          </cell>
          <cell r="B938">
            <v>0</v>
          </cell>
          <cell r="C938">
            <v>60013</v>
          </cell>
          <cell r="D938" t="str">
            <v>オイラーチャレンジ</v>
          </cell>
          <cell r="E938" t="str">
            <v>ランキング1（再開催版）</v>
          </cell>
          <cell r="F938">
            <v>1</v>
          </cell>
          <cell r="G938" t="str">
            <v>ja</v>
          </cell>
          <cell r="H938" t="str">
            <v>【中級】オイラーチャレンジ</v>
          </cell>
          <cell r="I938" t="str">
            <v>中級</v>
          </cell>
          <cell r="J938">
            <v>378</v>
          </cell>
          <cell r="K938">
            <v>15</v>
          </cell>
          <cell r="L938">
            <v>1200</v>
          </cell>
          <cell r="M938">
            <v>1</v>
          </cell>
          <cell r="N938">
            <v>1</v>
          </cell>
          <cell r="O938">
            <v>1</v>
          </cell>
          <cell r="P938">
            <v>1</v>
          </cell>
          <cell r="Q938">
            <v>1</v>
          </cell>
          <cell r="R938">
            <v>3</v>
          </cell>
          <cell r="S938" t="str">
            <v>none</v>
          </cell>
          <cell r="T938">
            <v>0</v>
          </cell>
          <cell r="U938" t="str">
            <v>NULL</v>
          </cell>
          <cell r="V938" t="str">
            <v>NULL</v>
          </cell>
          <cell r="W938" t="str">
            <v/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 t="str">
            <v>anytime</v>
          </cell>
          <cell r="AC938">
            <v>923</v>
          </cell>
          <cell r="AD938">
            <v>6</v>
          </cell>
          <cell r="AE938" t="str">
            <v>singleonly</v>
          </cell>
        </row>
        <row r="939">
          <cell r="A939" t="str">
            <v>60013_2</v>
          </cell>
          <cell r="B939">
            <v>0</v>
          </cell>
          <cell r="C939">
            <v>60013</v>
          </cell>
          <cell r="D939" t="str">
            <v>オイラーチャレンジ</v>
          </cell>
          <cell r="E939" t="str">
            <v>ランキング1（再開催版）</v>
          </cell>
          <cell r="F939">
            <v>2</v>
          </cell>
          <cell r="G939" t="str">
            <v>ja</v>
          </cell>
          <cell r="H939" t="str">
            <v>【超級】オイラーチャレンジ</v>
          </cell>
          <cell r="I939" t="str">
            <v>超級</v>
          </cell>
          <cell r="J939">
            <v>378</v>
          </cell>
          <cell r="K939">
            <v>30</v>
          </cell>
          <cell r="L939">
            <v>3300</v>
          </cell>
          <cell r="M939">
            <v>1</v>
          </cell>
          <cell r="N939">
            <v>1</v>
          </cell>
          <cell r="O939">
            <v>1</v>
          </cell>
          <cell r="P939">
            <v>1</v>
          </cell>
          <cell r="Q939">
            <v>1</v>
          </cell>
          <cell r="R939">
            <v>3</v>
          </cell>
          <cell r="S939" t="str">
            <v>none</v>
          </cell>
          <cell r="T939">
            <v>0</v>
          </cell>
          <cell r="U939" t="str">
            <v>NULL</v>
          </cell>
          <cell r="V939" t="str">
            <v>NULL</v>
          </cell>
          <cell r="W939" t="str">
            <v/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 t="str">
            <v>anytime</v>
          </cell>
          <cell r="AC939">
            <v>923</v>
          </cell>
          <cell r="AD939">
            <v>6</v>
          </cell>
          <cell r="AE939" t="str">
            <v>singleonly</v>
          </cell>
        </row>
        <row r="940">
          <cell r="A940" t="str">
            <v>60013_3</v>
          </cell>
          <cell r="B940">
            <v>3</v>
          </cell>
          <cell r="C940">
            <v>60013</v>
          </cell>
          <cell r="D940" t="str">
            <v>オイラーチャレンジ</v>
          </cell>
          <cell r="E940" t="str">
            <v>ランキング1（再開催版）</v>
          </cell>
          <cell r="F940">
            <v>3</v>
          </cell>
          <cell r="G940" t="str">
            <v>ja</v>
          </cell>
          <cell r="H940" t="str">
            <v>【ウィザード級】オイラーチャレンジ</v>
          </cell>
          <cell r="I940" t="str">
            <v>ウィザード級</v>
          </cell>
          <cell r="J940">
            <v>379</v>
          </cell>
          <cell r="K940">
            <v>35</v>
          </cell>
          <cell r="L940">
            <v>4200</v>
          </cell>
          <cell r="M940">
            <v>1</v>
          </cell>
          <cell r="N940">
            <v>1</v>
          </cell>
          <cell r="O940">
            <v>1</v>
          </cell>
          <cell r="P940">
            <v>1</v>
          </cell>
          <cell r="Q940">
            <v>1</v>
          </cell>
          <cell r="R940">
            <v>3</v>
          </cell>
          <cell r="S940" t="str">
            <v>none</v>
          </cell>
          <cell r="T940">
            <v>0</v>
          </cell>
          <cell r="U940" t="str">
            <v>NULL</v>
          </cell>
          <cell r="V940" t="str">
            <v>NULL</v>
          </cell>
          <cell r="W940" t="str">
            <v/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 t="str">
            <v>anytime</v>
          </cell>
          <cell r="AC940">
            <v>923</v>
          </cell>
          <cell r="AD940">
            <v>6</v>
          </cell>
          <cell r="AE940" t="str">
            <v>singleonly</v>
          </cell>
        </row>
        <row r="941">
          <cell r="A941" t="str">
            <v>60014_1</v>
          </cell>
          <cell r="B941">
            <v>3</v>
          </cell>
          <cell r="C941">
            <v>60014</v>
          </cell>
          <cell r="D941" t="str">
            <v xml:space="preserve">クロネッカーチャレンジ </v>
          </cell>
          <cell r="E941" t="str">
            <v>ランキング4（クロネッカー）</v>
          </cell>
          <cell r="F941">
            <v>1</v>
          </cell>
          <cell r="G941" t="str">
            <v>ja</v>
          </cell>
          <cell r="H941" t="str">
            <v>クロネッカーチャレンジ</v>
          </cell>
          <cell r="I941" t="str">
            <v>ウィザード級</v>
          </cell>
          <cell r="J941">
            <v>761</v>
          </cell>
          <cell r="K941">
            <v>35</v>
          </cell>
          <cell r="L941">
            <v>4200</v>
          </cell>
          <cell r="M941">
            <v>1</v>
          </cell>
          <cell r="N941">
            <v>1</v>
          </cell>
          <cell r="O941">
            <v>1</v>
          </cell>
          <cell r="P941">
            <v>1</v>
          </cell>
          <cell r="Q941">
            <v>1</v>
          </cell>
          <cell r="R941">
            <v>3</v>
          </cell>
          <cell r="S941" t="str">
            <v>none</v>
          </cell>
          <cell r="T941">
            <v>0</v>
          </cell>
          <cell r="U941" t="str">
            <v>NULL</v>
          </cell>
          <cell r="V941" t="str">
            <v>NULL</v>
          </cell>
          <cell r="W941" t="str">
            <v/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 t="str">
            <v>anytime</v>
          </cell>
          <cell r="AC941">
            <v>925</v>
          </cell>
          <cell r="AD941">
            <v>6</v>
          </cell>
          <cell r="AE941" t="str">
            <v>singleonly</v>
          </cell>
        </row>
        <row r="942">
          <cell r="A942" t="str">
            <v>60015_1</v>
          </cell>
          <cell r="B942">
            <v>3</v>
          </cell>
          <cell r="C942">
            <v>60015</v>
          </cell>
          <cell r="D942" t="str">
            <v>ラグランジュチャレンジ</v>
          </cell>
          <cell r="E942" t="str">
            <v>ランキング2（再開催）</v>
          </cell>
          <cell r="F942">
            <v>1</v>
          </cell>
          <cell r="G942" t="str">
            <v>ja</v>
          </cell>
          <cell r="H942" t="str">
            <v>ラグランジュチャレンジ</v>
          </cell>
          <cell r="I942" t="str">
            <v>ウィザード級</v>
          </cell>
          <cell r="J942">
            <v>796</v>
          </cell>
          <cell r="K942">
            <v>35</v>
          </cell>
          <cell r="L942">
            <v>4200</v>
          </cell>
          <cell r="M942">
            <v>1</v>
          </cell>
          <cell r="N942">
            <v>1</v>
          </cell>
          <cell r="O942">
            <v>1</v>
          </cell>
          <cell r="P942">
            <v>1</v>
          </cell>
          <cell r="Q942">
            <v>1</v>
          </cell>
          <cell r="R942">
            <v>3</v>
          </cell>
          <cell r="S942" t="str">
            <v>none</v>
          </cell>
          <cell r="T942">
            <v>0</v>
          </cell>
          <cell r="U942" t="str">
            <v>NULL</v>
          </cell>
          <cell r="V942" t="str">
            <v>NULL</v>
          </cell>
          <cell r="W942" t="str">
            <v/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 t="str">
            <v>anytime</v>
          </cell>
          <cell r="AC942">
            <v>922</v>
          </cell>
          <cell r="AD942">
            <v>6</v>
          </cell>
          <cell r="AE942" t="str">
            <v>singleonly</v>
          </cell>
        </row>
        <row r="943">
          <cell r="A943" t="str">
            <v>60016_1</v>
          </cell>
          <cell r="B943">
            <v>3</v>
          </cell>
          <cell r="C943">
            <v>60016</v>
          </cell>
          <cell r="D943" t="str">
            <v>シュレディンガーチャレンジ</v>
          </cell>
          <cell r="E943" t="str">
            <v>ランキング5（シュレディンガー）</v>
          </cell>
          <cell r="F943">
            <v>1</v>
          </cell>
          <cell r="G943" t="str">
            <v>ja</v>
          </cell>
          <cell r="H943" t="str">
            <v>シュレディンガーチャレンジ</v>
          </cell>
          <cell r="I943" t="str">
            <v>ウィザード級</v>
          </cell>
          <cell r="J943">
            <v>797</v>
          </cell>
          <cell r="K943">
            <v>35</v>
          </cell>
          <cell r="L943">
            <v>4200</v>
          </cell>
          <cell r="M943">
            <v>1</v>
          </cell>
          <cell r="N943">
            <v>1</v>
          </cell>
          <cell r="O943">
            <v>1</v>
          </cell>
          <cell r="P943">
            <v>1</v>
          </cell>
          <cell r="Q943">
            <v>1</v>
          </cell>
          <cell r="R943">
            <v>3</v>
          </cell>
          <cell r="S943" t="str">
            <v>none</v>
          </cell>
          <cell r="T943">
            <v>0</v>
          </cell>
          <cell r="U943" t="str">
            <v>NULL</v>
          </cell>
          <cell r="V943" t="str">
            <v>NULL</v>
          </cell>
          <cell r="W943" t="str">
            <v/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 t="str">
            <v>anytime</v>
          </cell>
          <cell r="AC943">
            <v>922</v>
          </cell>
          <cell r="AD943">
            <v>6</v>
          </cell>
          <cell r="AE943" t="str">
            <v>singleonly</v>
          </cell>
        </row>
        <row r="944">
          <cell r="A944" t="str">
            <v>60017_1</v>
          </cell>
          <cell r="B944">
            <v>3</v>
          </cell>
          <cell r="C944">
            <v>60017</v>
          </cell>
          <cell r="D944" t="str">
            <v>ユークリッドチャレンジ</v>
          </cell>
          <cell r="E944" t="str">
            <v>ランキング3（再開催）</v>
          </cell>
          <cell r="F944">
            <v>1</v>
          </cell>
          <cell r="G944" t="str">
            <v>ja</v>
          </cell>
          <cell r="H944" t="str">
            <v>ユークリッドチャレンジ</v>
          </cell>
          <cell r="I944" t="str">
            <v>ウィザード級</v>
          </cell>
          <cell r="J944">
            <v>690</v>
          </cell>
          <cell r="K944">
            <v>35</v>
          </cell>
          <cell r="L944">
            <v>4200</v>
          </cell>
          <cell r="M944">
            <v>1</v>
          </cell>
          <cell r="N944">
            <v>1</v>
          </cell>
          <cell r="O944">
            <v>1</v>
          </cell>
          <cell r="P944">
            <v>1</v>
          </cell>
          <cell r="Q944">
            <v>1</v>
          </cell>
          <cell r="R944">
            <v>3</v>
          </cell>
          <cell r="S944" t="str">
            <v>none</v>
          </cell>
          <cell r="T944">
            <v>0</v>
          </cell>
          <cell r="U944" t="str">
            <v>NULL</v>
          </cell>
          <cell r="V944" t="str">
            <v>NULL</v>
          </cell>
          <cell r="W944" t="str">
            <v/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 t="str">
            <v>anytime</v>
          </cell>
          <cell r="AC944">
            <v>924</v>
          </cell>
          <cell r="AD944">
            <v>6</v>
          </cell>
          <cell r="AE944" t="str">
            <v>singleonly</v>
          </cell>
        </row>
        <row r="945">
          <cell r="A945" t="str">
            <v>60018_1</v>
          </cell>
          <cell r="B945">
            <v>3</v>
          </cell>
          <cell r="C945">
            <v>60018</v>
          </cell>
          <cell r="D945" t="str">
            <v>チューリングチャレンジ</v>
          </cell>
          <cell r="E945" t="str">
            <v>ランキング6</v>
          </cell>
          <cell r="F945">
            <v>1</v>
          </cell>
          <cell r="G945" t="str">
            <v>ja</v>
          </cell>
          <cell r="H945" t="str">
            <v>チューリングチャレンジ</v>
          </cell>
          <cell r="I945" t="str">
            <v>ウィザード級</v>
          </cell>
          <cell r="J945">
            <v>799</v>
          </cell>
          <cell r="K945">
            <v>35</v>
          </cell>
          <cell r="L945">
            <v>4200</v>
          </cell>
          <cell r="M945">
            <v>1</v>
          </cell>
          <cell r="N945">
            <v>1</v>
          </cell>
          <cell r="O945">
            <v>1</v>
          </cell>
          <cell r="P945">
            <v>1</v>
          </cell>
          <cell r="Q945">
            <v>1</v>
          </cell>
          <cell r="R945">
            <v>3</v>
          </cell>
          <cell r="S945" t="str">
            <v>none</v>
          </cell>
          <cell r="T945">
            <v>0</v>
          </cell>
          <cell r="U945" t="str">
            <v>NULL</v>
          </cell>
          <cell r="V945" t="str">
            <v>NULL</v>
          </cell>
          <cell r="W945" t="str">
            <v/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 t="str">
            <v>anytime</v>
          </cell>
          <cell r="AC945">
            <v>923</v>
          </cell>
          <cell r="AD945">
            <v>6</v>
          </cell>
          <cell r="AE945" t="str">
            <v>singleonly</v>
          </cell>
        </row>
        <row r="946">
          <cell r="A946" t="str">
            <v>60019_1</v>
          </cell>
          <cell r="B946">
            <v>3</v>
          </cell>
          <cell r="C946">
            <v>60019</v>
          </cell>
          <cell r="D946" t="str">
            <v>ヘンペルチャレンジ</v>
          </cell>
          <cell r="E946" t="str">
            <v>ランキング7</v>
          </cell>
          <cell r="F946">
            <v>1</v>
          </cell>
          <cell r="G946" t="str">
            <v>ja</v>
          </cell>
          <cell r="H946" t="str">
            <v>ヘンペルチャレンジ</v>
          </cell>
          <cell r="I946" t="str">
            <v>ウィザード級</v>
          </cell>
          <cell r="J946">
            <v>800</v>
          </cell>
          <cell r="K946">
            <v>35</v>
          </cell>
          <cell r="L946">
            <v>4200</v>
          </cell>
          <cell r="M946">
            <v>1</v>
          </cell>
          <cell r="N946">
            <v>1</v>
          </cell>
          <cell r="O946">
            <v>1</v>
          </cell>
          <cell r="P946">
            <v>1</v>
          </cell>
          <cell r="Q946">
            <v>1</v>
          </cell>
          <cell r="R946">
            <v>3</v>
          </cell>
          <cell r="S946" t="str">
            <v>none</v>
          </cell>
          <cell r="T946">
            <v>0</v>
          </cell>
          <cell r="U946" t="str">
            <v>NULL</v>
          </cell>
          <cell r="V946" t="str">
            <v>NULL</v>
          </cell>
          <cell r="W946" t="str">
            <v/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 t="str">
            <v>anytime</v>
          </cell>
          <cell r="AC946">
            <v>924</v>
          </cell>
          <cell r="AD946">
            <v>6</v>
          </cell>
          <cell r="AE946" t="str">
            <v>singleonly</v>
          </cell>
        </row>
        <row r="947">
          <cell r="A947" t="str">
            <v>60020_1</v>
          </cell>
          <cell r="B947">
            <v>3</v>
          </cell>
          <cell r="C947">
            <v>60020</v>
          </cell>
          <cell r="D947" t="str">
            <v>シュレディンガーチャレンジ</v>
          </cell>
          <cell r="E947" t="str">
            <v>ランキング5（再開催）</v>
          </cell>
          <cell r="F947">
            <v>1</v>
          </cell>
          <cell r="G947" t="str">
            <v>ja</v>
          </cell>
          <cell r="H947" t="str">
            <v>シュレディンガーチャレンジ</v>
          </cell>
          <cell r="I947" t="str">
            <v>ウィザード級</v>
          </cell>
          <cell r="J947">
            <v>797</v>
          </cell>
          <cell r="K947">
            <v>35</v>
          </cell>
          <cell r="L947">
            <v>4200</v>
          </cell>
          <cell r="M947">
            <v>1</v>
          </cell>
          <cell r="N947">
            <v>1</v>
          </cell>
          <cell r="O947">
            <v>1</v>
          </cell>
          <cell r="P947">
            <v>1</v>
          </cell>
          <cell r="Q947">
            <v>1</v>
          </cell>
          <cell r="R947">
            <v>3</v>
          </cell>
          <cell r="S947" t="str">
            <v>none</v>
          </cell>
          <cell r="T947">
            <v>0</v>
          </cell>
          <cell r="U947" t="str">
            <v>NULL</v>
          </cell>
          <cell r="V947" t="str">
            <v>NULL</v>
          </cell>
          <cell r="W947" t="str">
            <v/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 t="str">
            <v>anytime</v>
          </cell>
          <cell r="AC947">
            <v>922</v>
          </cell>
          <cell r="AD947">
            <v>6</v>
          </cell>
          <cell r="AE947" t="str">
            <v>singleonly</v>
          </cell>
        </row>
        <row r="948">
          <cell r="A948" t="str">
            <v>60021_3</v>
          </cell>
          <cell r="B948">
            <v>1</v>
          </cell>
          <cell r="C948">
            <v>60021</v>
          </cell>
          <cell r="D948" t="str">
            <v>【月曜限定】 黄の素材verハンプ検証</v>
          </cell>
          <cell r="E948" t="str">
            <v>検証</v>
          </cell>
          <cell r="F948">
            <v>3</v>
          </cell>
          <cell r="G948" t="str">
            <v>ja</v>
          </cell>
          <cell r="H948" t="str">
            <v>【上級】ハンプティ検証</v>
          </cell>
          <cell r="I948" t="str">
            <v>上級</v>
          </cell>
          <cell r="J948">
            <v>84</v>
          </cell>
          <cell r="K948">
            <v>20</v>
          </cell>
          <cell r="L948">
            <v>860</v>
          </cell>
          <cell r="M948">
            <v>1</v>
          </cell>
          <cell r="N948">
            <v>1</v>
          </cell>
          <cell r="O948">
            <v>1</v>
          </cell>
          <cell r="P948">
            <v>1</v>
          </cell>
          <cell r="Q948">
            <v>1</v>
          </cell>
          <cell r="R948">
            <v>3</v>
          </cell>
          <cell r="S948" t="str">
            <v>none</v>
          </cell>
          <cell r="T948">
            <v>0</v>
          </cell>
          <cell r="U948" t="str">
            <v>NULL</v>
          </cell>
          <cell r="V948" t="str">
            <v>NULL</v>
          </cell>
          <cell r="W948" t="str">
            <v/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 t="str">
            <v>anytime</v>
          </cell>
          <cell r="AC948">
            <v>101</v>
          </cell>
          <cell r="AD948">
            <v>6</v>
          </cell>
          <cell r="AE948" t="str">
            <v>everyone</v>
          </cell>
        </row>
        <row r="949">
          <cell r="A949" t="str">
            <v>60022_3</v>
          </cell>
          <cell r="B949">
            <v>1</v>
          </cell>
          <cell r="C949">
            <v>60022</v>
          </cell>
          <cell r="D949" t="str">
            <v>【火曜限定】 赤の素材verハンプ検証</v>
          </cell>
          <cell r="E949" t="str">
            <v>検証</v>
          </cell>
          <cell r="F949">
            <v>3</v>
          </cell>
          <cell r="G949" t="str">
            <v>ja</v>
          </cell>
          <cell r="H949" t="str">
            <v>【上級】ハンプティ検証</v>
          </cell>
          <cell r="I949" t="str">
            <v>上級</v>
          </cell>
          <cell r="J949">
            <v>84</v>
          </cell>
          <cell r="K949">
            <v>20</v>
          </cell>
          <cell r="L949">
            <v>860</v>
          </cell>
          <cell r="M949">
            <v>1</v>
          </cell>
          <cell r="N949">
            <v>1</v>
          </cell>
          <cell r="O949">
            <v>1</v>
          </cell>
          <cell r="P949">
            <v>1</v>
          </cell>
          <cell r="Q949">
            <v>1</v>
          </cell>
          <cell r="R949">
            <v>3</v>
          </cell>
          <cell r="S949" t="str">
            <v>none</v>
          </cell>
          <cell r="T949">
            <v>0</v>
          </cell>
          <cell r="U949" t="str">
            <v>NULL</v>
          </cell>
          <cell r="V949" t="str">
            <v>NULL</v>
          </cell>
          <cell r="W949" t="str">
            <v/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 t="str">
            <v>anytime</v>
          </cell>
          <cell r="AC949">
            <v>101</v>
          </cell>
          <cell r="AD949">
            <v>6</v>
          </cell>
          <cell r="AE949" t="str">
            <v>everyone</v>
          </cell>
        </row>
        <row r="950">
          <cell r="A950" t="str">
            <v>60023_3</v>
          </cell>
          <cell r="B950">
            <v>1</v>
          </cell>
          <cell r="C950">
            <v>60023</v>
          </cell>
          <cell r="D950" t="str">
            <v>【水曜限定】 青の素材verハンプ検証</v>
          </cell>
          <cell r="E950" t="str">
            <v>検証</v>
          </cell>
          <cell r="F950">
            <v>3</v>
          </cell>
          <cell r="G950" t="str">
            <v>ja</v>
          </cell>
          <cell r="H950" t="str">
            <v>【上級】ハンプティ検証</v>
          </cell>
          <cell r="I950" t="str">
            <v>上級</v>
          </cell>
          <cell r="J950">
            <v>84</v>
          </cell>
          <cell r="K950">
            <v>20</v>
          </cell>
          <cell r="L950">
            <v>860</v>
          </cell>
          <cell r="M950">
            <v>1</v>
          </cell>
          <cell r="N950">
            <v>1</v>
          </cell>
          <cell r="O950">
            <v>1</v>
          </cell>
          <cell r="P950">
            <v>1</v>
          </cell>
          <cell r="Q950">
            <v>1</v>
          </cell>
          <cell r="R950">
            <v>3</v>
          </cell>
          <cell r="S950" t="str">
            <v>none</v>
          </cell>
          <cell r="T950">
            <v>0</v>
          </cell>
          <cell r="U950" t="str">
            <v>NULL</v>
          </cell>
          <cell r="V950" t="str">
            <v>NULL</v>
          </cell>
          <cell r="W950" t="str">
            <v/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 t="str">
            <v>anytime</v>
          </cell>
          <cell r="AC950">
            <v>101</v>
          </cell>
          <cell r="AD950">
            <v>6</v>
          </cell>
          <cell r="AE950" t="str">
            <v>everyone</v>
          </cell>
        </row>
        <row r="951">
          <cell r="A951" t="str">
            <v>60024_3</v>
          </cell>
          <cell r="B951">
            <v>1</v>
          </cell>
          <cell r="C951">
            <v>60024</v>
          </cell>
          <cell r="D951" t="str">
            <v>【木曜限定】 緑の素材verハンプ検証</v>
          </cell>
          <cell r="E951" t="str">
            <v>検証</v>
          </cell>
          <cell r="F951">
            <v>3</v>
          </cell>
          <cell r="G951" t="str">
            <v>ja</v>
          </cell>
          <cell r="H951" t="str">
            <v>【上級】ハンプティ検証</v>
          </cell>
          <cell r="I951" t="str">
            <v>上級</v>
          </cell>
          <cell r="J951">
            <v>84</v>
          </cell>
          <cell r="K951">
            <v>20</v>
          </cell>
          <cell r="L951">
            <v>860</v>
          </cell>
          <cell r="M951">
            <v>1</v>
          </cell>
          <cell r="N951">
            <v>1</v>
          </cell>
          <cell r="O951">
            <v>1</v>
          </cell>
          <cell r="P951">
            <v>1</v>
          </cell>
          <cell r="Q951">
            <v>1</v>
          </cell>
          <cell r="R951">
            <v>3</v>
          </cell>
          <cell r="S951" t="str">
            <v>none</v>
          </cell>
          <cell r="T951">
            <v>0</v>
          </cell>
          <cell r="U951" t="str">
            <v>NULL</v>
          </cell>
          <cell r="V951" t="str">
            <v>NULL</v>
          </cell>
          <cell r="W951" t="str">
            <v/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 t="str">
            <v>anytime</v>
          </cell>
          <cell r="AC951">
            <v>101</v>
          </cell>
          <cell r="AD951">
            <v>6</v>
          </cell>
          <cell r="AE951" t="str">
            <v>everyone</v>
          </cell>
        </row>
        <row r="952">
          <cell r="A952" t="str">
            <v>60025_1</v>
          </cell>
          <cell r="B952">
            <v>3</v>
          </cell>
          <cell r="C952">
            <v>60025</v>
          </cell>
          <cell r="D952" t="str">
            <v>マリアチャレンジ</v>
          </cell>
          <cell r="E952" t="str">
            <v>ランキング8</v>
          </cell>
          <cell r="F952">
            <v>1</v>
          </cell>
          <cell r="G952" t="str">
            <v>ja</v>
          </cell>
          <cell r="H952" t="str">
            <v>マリアチャレンジ</v>
          </cell>
          <cell r="I952" t="str">
            <v>ウィザード級</v>
          </cell>
          <cell r="J952">
            <v>1274</v>
          </cell>
          <cell r="K952">
            <v>35</v>
          </cell>
          <cell r="L952">
            <v>4200</v>
          </cell>
          <cell r="M952">
            <v>1</v>
          </cell>
          <cell r="N952">
            <v>1</v>
          </cell>
          <cell r="O952">
            <v>1</v>
          </cell>
          <cell r="P952">
            <v>1</v>
          </cell>
          <cell r="Q952">
            <v>1</v>
          </cell>
          <cell r="R952">
            <v>3</v>
          </cell>
          <cell r="S952" t="str">
            <v>none</v>
          </cell>
          <cell r="T952">
            <v>0</v>
          </cell>
          <cell r="U952" t="str">
            <v>NULL</v>
          </cell>
          <cell r="V952" t="str">
            <v>NULL</v>
          </cell>
          <cell r="W952" t="str">
            <v/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 t="str">
            <v>anytime</v>
          </cell>
          <cell r="AC952">
            <v>9</v>
          </cell>
          <cell r="AD952">
            <v>6</v>
          </cell>
          <cell r="AE952" t="str">
            <v>singleonly</v>
          </cell>
        </row>
        <row r="953">
          <cell r="A953" t="str">
            <v>60026_1</v>
          </cell>
          <cell r="B953">
            <v>3</v>
          </cell>
          <cell r="C953">
            <v>60026</v>
          </cell>
          <cell r="D953" t="str">
            <v>ハップルチャレンジ</v>
          </cell>
          <cell r="E953" t="str">
            <v>ランキング9</v>
          </cell>
          <cell r="F953">
            <v>1</v>
          </cell>
          <cell r="G953" t="str">
            <v>ja</v>
          </cell>
          <cell r="H953" t="str">
            <v>ハップルチャレンジ</v>
          </cell>
          <cell r="I953" t="str">
            <v>ウィザード級</v>
          </cell>
          <cell r="J953">
            <v>803</v>
          </cell>
          <cell r="K953">
            <v>35</v>
          </cell>
          <cell r="L953">
            <v>4200</v>
          </cell>
          <cell r="M953">
            <v>1</v>
          </cell>
          <cell r="N953">
            <v>1</v>
          </cell>
          <cell r="O953">
            <v>1</v>
          </cell>
          <cell r="P953">
            <v>1</v>
          </cell>
          <cell r="Q953">
            <v>1</v>
          </cell>
          <cell r="R953">
            <v>3</v>
          </cell>
          <cell r="S953" t="str">
            <v>none</v>
          </cell>
          <cell r="T953">
            <v>0</v>
          </cell>
          <cell r="U953" t="str">
            <v>NULL</v>
          </cell>
          <cell r="V953" t="str">
            <v>NULL</v>
          </cell>
          <cell r="W953" t="str">
            <v/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 t="str">
            <v>anytime</v>
          </cell>
          <cell r="AC953">
            <v>925</v>
          </cell>
          <cell r="AD953">
            <v>6</v>
          </cell>
          <cell r="AE953" t="str">
            <v>singleonly</v>
          </cell>
        </row>
        <row r="954">
          <cell r="A954" t="str">
            <v>61011_1</v>
          </cell>
          <cell r="B954">
            <v>1</v>
          </cell>
          <cell r="C954">
            <v>61011</v>
          </cell>
          <cell r="D954" t="str">
            <v>ユークリッドチャレンジコピー</v>
          </cell>
          <cell r="E954" t="str">
            <v>ランキング3（ユークリッド）</v>
          </cell>
          <cell r="F954">
            <v>1</v>
          </cell>
          <cell r="G954" t="str">
            <v>ja</v>
          </cell>
          <cell r="H954" t="str">
            <v>ウィザード級コピー</v>
          </cell>
          <cell r="I954" t="str">
            <v>ウィザード級</v>
          </cell>
          <cell r="J954">
            <v>690</v>
          </cell>
          <cell r="K954">
            <v>35</v>
          </cell>
          <cell r="L954">
            <v>4200</v>
          </cell>
          <cell r="M954">
            <v>1</v>
          </cell>
          <cell r="N954">
            <v>1</v>
          </cell>
          <cell r="O954">
            <v>1</v>
          </cell>
          <cell r="P954">
            <v>1</v>
          </cell>
          <cell r="Q954">
            <v>1</v>
          </cell>
          <cell r="R954">
            <v>3</v>
          </cell>
          <cell r="S954" t="str">
            <v>none</v>
          </cell>
          <cell r="T954">
            <v>0</v>
          </cell>
          <cell r="U954" t="str">
            <v>NULL</v>
          </cell>
          <cell r="V954" t="str">
            <v>NULL</v>
          </cell>
          <cell r="W954" t="str">
            <v/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 t="str">
            <v>anytime</v>
          </cell>
          <cell r="AC954">
            <v>925</v>
          </cell>
          <cell r="AD954">
            <v>6</v>
          </cell>
          <cell r="AE954" t="str">
            <v>singleonly</v>
          </cell>
        </row>
        <row r="955">
          <cell r="A955" t="str">
            <v>60027_1</v>
          </cell>
          <cell r="B955">
            <v>3</v>
          </cell>
          <cell r="C955">
            <v>60027</v>
          </cell>
          <cell r="D955" t="str">
            <v>チューリングチャレンジ</v>
          </cell>
          <cell r="E955" t="str">
            <v>ランキング6（再開催）</v>
          </cell>
          <cell r="F955">
            <v>1</v>
          </cell>
          <cell r="G955" t="str">
            <v>ja</v>
          </cell>
          <cell r="H955" t="str">
            <v>チューリングチャレンジ</v>
          </cell>
          <cell r="I955" t="str">
            <v>ウィザード級</v>
          </cell>
          <cell r="J955">
            <v>799</v>
          </cell>
          <cell r="K955">
            <v>35</v>
          </cell>
          <cell r="L955">
            <v>4200</v>
          </cell>
          <cell r="M955">
            <v>1</v>
          </cell>
          <cell r="N955">
            <v>1</v>
          </cell>
          <cell r="O955">
            <v>1</v>
          </cell>
          <cell r="P955">
            <v>1</v>
          </cell>
          <cell r="Q955">
            <v>1</v>
          </cell>
          <cell r="R955">
            <v>3</v>
          </cell>
          <cell r="S955" t="str">
            <v>none</v>
          </cell>
          <cell r="T955">
            <v>0</v>
          </cell>
          <cell r="U955" t="str">
            <v>NULL</v>
          </cell>
          <cell r="V955" t="str">
            <v>NULL</v>
          </cell>
          <cell r="W955" t="str">
            <v/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 t="str">
            <v>anytime</v>
          </cell>
          <cell r="AC955">
            <v>923</v>
          </cell>
          <cell r="AD955">
            <v>6</v>
          </cell>
          <cell r="AE955" t="str">
            <v>singleonly</v>
          </cell>
        </row>
        <row r="956">
          <cell r="A956" t="str">
            <v>60028_1</v>
          </cell>
          <cell r="B956">
            <v>3</v>
          </cell>
          <cell r="C956">
            <v>60028</v>
          </cell>
          <cell r="D956" t="str">
            <v xml:space="preserve">クロネッカーチャレンジ </v>
          </cell>
          <cell r="E956" t="str">
            <v>ランキング4（再開催）</v>
          </cell>
          <cell r="F956">
            <v>1</v>
          </cell>
          <cell r="G956" t="str">
            <v>ja</v>
          </cell>
          <cell r="H956" t="str">
            <v>クロネッカーチャレンジ</v>
          </cell>
          <cell r="I956" t="str">
            <v>ウィザード級</v>
          </cell>
          <cell r="J956">
            <v>761</v>
          </cell>
          <cell r="K956">
            <v>35</v>
          </cell>
          <cell r="L956">
            <v>4200</v>
          </cell>
          <cell r="M956">
            <v>1</v>
          </cell>
          <cell r="N956">
            <v>1</v>
          </cell>
          <cell r="O956">
            <v>1</v>
          </cell>
          <cell r="P956">
            <v>1</v>
          </cell>
          <cell r="Q956">
            <v>1</v>
          </cell>
          <cell r="R956">
            <v>3</v>
          </cell>
          <cell r="S956" t="str">
            <v>none</v>
          </cell>
          <cell r="T956">
            <v>0</v>
          </cell>
          <cell r="U956" t="str">
            <v>NULL</v>
          </cell>
          <cell r="V956" t="str">
            <v>NULL</v>
          </cell>
          <cell r="W956" t="str">
            <v/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 t="str">
            <v>anytime</v>
          </cell>
          <cell r="AC956">
            <v>925</v>
          </cell>
          <cell r="AD956">
            <v>6</v>
          </cell>
          <cell r="AE956" t="str">
            <v>singleonly</v>
          </cell>
        </row>
        <row r="957">
          <cell r="A957" t="str">
            <v>65525_1</v>
          </cell>
          <cell r="B957">
            <v>1</v>
          </cell>
          <cell r="C957">
            <v>65525</v>
          </cell>
          <cell r="D957" t="str">
            <v>【LB田邉】検証クエスト</v>
          </cell>
          <cell r="E957" t="str">
            <v>検証</v>
          </cell>
          <cell r="F957">
            <v>1</v>
          </cell>
          <cell r="G957" t="str">
            <v>ja</v>
          </cell>
          <cell r="H957" t="str">
            <v>【LB田邉】アニメーション検証</v>
          </cell>
          <cell r="I957" t="str">
            <v>検証</v>
          </cell>
          <cell r="J957">
            <v>1</v>
          </cell>
          <cell r="K957">
            <v>1</v>
          </cell>
          <cell r="L957">
            <v>1</v>
          </cell>
          <cell r="M957">
            <v>1</v>
          </cell>
          <cell r="N957">
            <v>1</v>
          </cell>
          <cell r="O957">
            <v>1</v>
          </cell>
          <cell r="P957">
            <v>1</v>
          </cell>
          <cell r="Q957">
            <v>1</v>
          </cell>
          <cell r="R957">
            <v>3</v>
          </cell>
          <cell r="S957" t="str">
            <v>polygon</v>
          </cell>
          <cell r="T957">
            <v>0</v>
          </cell>
          <cell r="U957" t="str">
            <v>NULL</v>
          </cell>
          <cell r="V957" t="str">
            <v>NULL</v>
          </cell>
          <cell r="W957" t="str">
            <v/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 t="str">
            <v>anytime</v>
          </cell>
          <cell r="AC957">
            <v>24</v>
          </cell>
          <cell r="AD957">
            <v>4</v>
          </cell>
          <cell r="AE957" t="str">
            <v>everyone</v>
          </cell>
        </row>
        <row r="958">
          <cell r="A958" t="str">
            <v>65526_1</v>
          </cell>
          <cell r="B958">
            <v>1</v>
          </cell>
          <cell r="C958">
            <v>65526</v>
          </cell>
          <cell r="D958" t="str">
            <v>【LB加藤】検証クエスト</v>
          </cell>
          <cell r="E958" t="str">
            <v>検証</v>
          </cell>
          <cell r="F958">
            <v>1</v>
          </cell>
          <cell r="G958" t="str">
            <v>ja</v>
          </cell>
          <cell r="H958" t="str">
            <v>【LB加藤】検証</v>
          </cell>
          <cell r="I958" t="str">
            <v>検証</v>
          </cell>
          <cell r="J958">
            <v>1</v>
          </cell>
          <cell r="K958">
            <v>1</v>
          </cell>
          <cell r="L958">
            <v>1</v>
          </cell>
          <cell r="M958">
            <v>1</v>
          </cell>
          <cell r="N958">
            <v>1</v>
          </cell>
          <cell r="O958">
            <v>1</v>
          </cell>
          <cell r="P958">
            <v>1</v>
          </cell>
          <cell r="Q958">
            <v>1</v>
          </cell>
          <cell r="R958">
            <v>3</v>
          </cell>
          <cell r="S958" t="str">
            <v>polygon</v>
          </cell>
          <cell r="T958">
            <v>0</v>
          </cell>
          <cell r="U958" t="str">
            <v>NULL</v>
          </cell>
          <cell r="V958" t="str">
            <v>NULL</v>
          </cell>
          <cell r="W958" t="str">
            <v/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 t="str">
            <v>anytime</v>
          </cell>
          <cell r="AC958">
            <v>1</v>
          </cell>
          <cell r="AD958">
            <v>6</v>
          </cell>
          <cell r="AE958" t="str">
            <v>everyone</v>
          </cell>
        </row>
        <row r="959">
          <cell r="A959" t="str">
            <v>65526_2</v>
          </cell>
          <cell r="B959">
            <v>1</v>
          </cell>
          <cell r="C959">
            <v>65526</v>
          </cell>
          <cell r="D959" t="str">
            <v>【LB加藤】検証クエスト</v>
          </cell>
          <cell r="E959" t="str">
            <v>検証</v>
          </cell>
          <cell r="F959">
            <v>2</v>
          </cell>
          <cell r="G959" t="str">
            <v>ja</v>
          </cell>
          <cell r="H959" t="str">
            <v>【LB加藤】ハップル仮実装</v>
          </cell>
          <cell r="I959" t="str">
            <v>検証</v>
          </cell>
          <cell r="J959">
            <v>1</v>
          </cell>
          <cell r="K959">
            <v>1</v>
          </cell>
          <cell r="L959">
            <v>1</v>
          </cell>
          <cell r="M959">
            <v>1</v>
          </cell>
          <cell r="N959">
            <v>1</v>
          </cell>
          <cell r="O959">
            <v>1</v>
          </cell>
          <cell r="P959">
            <v>1</v>
          </cell>
          <cell r="Q959">
            <v>1</v>
          </cell>
          <cell r="R959">
            <v>3</v>
          </cell>
          <cell r="S959" t="str">
            <v>polygon</v>
          </cell>
          <cell r="T959">
            <v>0</v>
          </cell>
          <cell r="U959" t="str">
            <v>NULL</v>
          </cell>
          <cell r="V959" t="str">
            <v>NULL</v>
          </cell>
          <cell r="W959" t="str">
            <v/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 t="str">
            <v>anytime</v>
          </cell>
          <cell r="AC959">
            <v>1</v>
          </cell>
          <cell r="AD959">
            <v>6</v>
          </cell>
          <cell r="AE959" t="str">
            <v>everyone</v>
          </cell>
        </row>
        <row r="960">
          <cell r="A960" t="str">
            <v>65527_1</v>
          </cell>
          <cell r="B960">
            <v>1</v>
          </cell>
          <cell r="C960">
            <v>65527</v>
          </cell>
          <cell r="D960" t="str">
            <v>【LB小原】検証クエスト</v>
          </cell>
          <cell r="E960" t="str">
            <v>検証</v>
          </cell>
          <cell r="F960">
            <v>1</v>
          </cell>
          <cell r="G960" t="str">
            <v>ja</v>
          </cell>
          <cell r="H960" t="str">
            <v>【LB小原】検証</v>
          </cell>
          <cell r="I960" t="str">
            <v>検証</v>
          </cell>
          <cell r="J960">
            <v>1</v>
          </cell>
          <cell r="K960">
            <v>1</v>
          </cell>
          <cell r="L960">
            <v>1</v>
          </cell>
          <cell r="M960">
            <v>1</v>
          </cell>
          <cell r="N960">
            <v>1</v>
          </cell>
          <cell r="O960">
            <v>1</v>
          </cell>
          <cell r="P960">
            <v>1</v>
          </cell>
          <cell r="Q960">
            <v>1</v>
          </cell>
          <cell r="R960">
            <v>3</v>
          </cell>
          <cell r="S960" t="str">
            <v>polygon</v>
          </cell>
          <cell r="T960">
            <v>0</v>
          </cell>
          <cell r="U960" t="str">
            <v>NULL</v>
          </cell>
          <cell r="V960" t="str">
            <v>NULL</v>
          </cell>
          <cell r="W960" t="str">
            <v/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 t="str">
            <v>anytime</v>
          </cell>
          <cell r="AC960">
            <v>1</v>
          </cell>
          <cell r="AD960">
            <v>6</v>
          </cell>
          <cell r="AE960" t="str">
            <v>everyone</v>
          </cell>
        </row>
        <row r="961">
          <cell r="A961" t="str">
            <v>65528_1</v>
          </cell>
          <cell r="B961">
            <v>1</v>
          </cell>
          <cell r="C961">
            <v>65528</v>
          </cell>
          <cell r="D961" t="str">
            <v>【LB保堂】検証クエスト</v>
          </cell>
          <cell r="E961" t="str">
            <v>検証</v>
          </cell>
          <cell r="F961">
            <v>1</v>
          </cell>
          <cell r="G961" t="str">
            <v>ja</v>
          </cell>
          <cell r="H961" t="str">
            <v>【LB保堂】検証</v>
          </cell>
          <cell r="I961" t="str">
            <v>検証</v>
          </cell>
          <cell r="J961">
            <v>1</v>
          </cell>
          <cell r="K961">
            <v>1</v>
          </cell>
          <cell r="L961">
            <v>1</v>
          </cell>
          <cell r="M961">
            <v>1</v>
          </cell>
          <cell r="N961">
            <v>1</v>
          </cell>
          <cell r="O961">
            <v>1</v>
          </cell>
          <cell r="P961">
            <v>1</v>
          </cell>
          <cell r="Q961">
            <v>1</v>
          </cell>
          <cell r="R961">
            <v>3</v>
          </cell>
          <cell r="S961" t="str">
            <v>polygon</v>
          </cell>
          <cell r="T961">
            <v>0</v>
          </cell>
          <cell r="U961" t="str">
            <v>NULL</v>
          </cell>
          <cell r="V961" t="str">
            <v>NULL</v>
          </cell>
          <cell r="W961" t="str">
            <v/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 t="str">
            <v>anytime</v>
          </cell>
          <cell r="AC961">
            <v>1</v>
          </cell>
          <cell r="AD961">
            <v>6</v>
          </cell>
          <cell r="AE961" t="str">
            <v>everyone</v>
          </cell>
        </row>
        <row r="962">
          <cell r="A962" t="str">
            <v>65529_1</v>
          </cell>
          <cell r="B962">
            <v>1</v>
          </cell>
          <cell r="C962">
            <v>65529</v>
          </cell>
          <cell r="D962" t="str">
            <v>【LB植松】検証クエスト</v>
          </cell>
          <cell r="E962" t="str">
            <v>検証</v>
          </cell>
          <cell r="F962">
            <v>1</v>
          </cell>
          <cell r="G962" t="str">
            <v>ja</v>
          </cell>
          <cell r="H962" t="str">
            <v>【LB植松】検証</v>
          </cell>
          <cell r="I962" t="str">
            <v>検証</v>
          </cell>
          <cell r="J962">
            <v>1</v>
          </cell>
          <cell r="K962">
            <v>1</v>
          </cell>
          <cell r="L962">
            <v>1</v>
          </cell>
          <cell r="M962">
            <v>1</v>
          </cell>
          <cell r="N962">
            <v>1</v>
          </cell>
          <cell r="O962">
            <v>1</v>
          </cell>
          <cell r="P962">
            <v>1</v>
          </cell>
          <cell r="Q962">
            <v>1</v>
          </cell>
          <cell r="R962">
            <v>3</v>
          </cell>
          <cell r="S962" t="str">
            <v>polygon</v>
          </cell>
          <cell r="T962">
            <v>0</v>
          </cell>
          <cell r="U962" t="str">
            <v>NULL</v>
          </cell>
          <cell r="V962" t="str">
            <v>NULL</v>
          </cell>
          <cell r="W962" t="str">
            <v/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 t="str">
            <v>anytime</v>
          </cell>
          <cell r="AC962">
            <v>1</v>
          </cell>
          <cell r="AD962">
            <v>6</v>
          </cell>
          <cell r="AE962" t="str">
            <v>everyone</v>
          </cell>
        </row>
        <row r="963">
          <cell r="A963" t="str">
            <v>65530_1</v>
          </cell>
          <cell r="B963">
            <v>1</v>
          </cell>
          <cell r="C963">
            <v>65530</v>
          </cell>
          <cell r="D963" t="str">
            <v>【LB渡邉】検証クエスト</v>
          </cell>
          <cell r="E963" t="str">
            <v>検証</v>
          </cell>
          <cell r="F963">
            <v>1</v>
          </cell>
          <cell r="G963" t="str">
            <v>ja</v>
          </cell>
          <cell r="H963" t="str">
            <v>【LB渡邉】検証</v>
          </cell>
          <cell r="I963" t="str">
            <v>検証</v>
          </cell>
          <cell r="J963">
            <v>1</v>
          </cell>
          <cell r="K963">
            <v>1</v>
          </cell>
          <cell r="L963">
            <v>1</v>
          </cell>
          <cell r="M963">
            <v>1</v>
          </cell>
          <cell r="N963">
            <v>1</v>
          </cell>
          <cell r="O963">
            <v>1</v>
          </cell>
          <cell r="P963">
            <v>1</v>
          </cell>
          <cell r="Q963">
            <v>1</v>
          </cell>
          <cell r="R963">
            <v>3</v>
          </cell>
          <cell r="S963" t="str">
            <v>polygon</v>
          </cell>
          <cell r="T963">
            <v>0</v>
          </cell>
          <cell r="U963" t="str">
            <v>NULL</v>
          </cell>
          <cell r="V963" t="str">
            <v>NULL</v>
          </cell>
          <cell r="W963" t="str">
            <v/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 t="str">
            <v>anytime</v>
          </cell>
          <cell r="AC963">
            <v>1</v>
          </cell>
          <cell r="AD963">
            <v>6</v>
          </cell>
          <cell r="AE963" t="str">
            <v>everyone</v>
          </cell>
        </row>
        <row r="964">
          <cell r="A964" t="str">
            <v>65531_1</v>
          </cell>
          <cell r="B964">
            <v>1</v>
          </cell>
          <cell r="C964">
            <v>65531</v>
          </cell>
          <cell r="D964" t="str">
            <v>【LB塚本】検証クエスト</v>
          </cell>
          <cell r="E964" t="str">
            <v>検証</v>
          </cell>
          <cell r="F964">
            <v>1</v>
          </cell>
          <cell r="G964" t="str">
            <v>ja</v>
          </cell>
          <cell r="H964" t="str">
            <v>【LB塚本】検証</v>
          </cell>
          <cell r="I964" t="str">
            <v>検証</v>
          </cell>
          <cell r="J964">
            <v>1</v>
          </cell>
          <cell r="K964">
            <v>1</v>
          </cell>
          <cell r="L964">
            <v>1</v>
          </cell>
          <cell r="M964">
            <v>1</v>
          </cell>
          <cell r="N964">
            <v>1</v>
          </cell>
          <cell r="O964">
            <v>1</v>
          </cell>
          <cell r="P964">
            <v>1</v>
          </cell>
          <cell r="Q964">
            <v>1</v>
          </cell>
          <cell r="R964">
            <v>3</v>
          </cell>
          <cell r="S964" t="str">
            <v>polygon</v>
          </cell>
          <cell r="T964">
            <v>0</v>
          </cell>
          <cell r="U964" t="str">
            <v>NULL</v>
          </cell>
          <cell r="V964" t="str">
            <v>NULL</v>
          </cell>
          <cell r="W964" t="str">
            <v/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 t="str">
            <v>anytime</v>
          </cell>
          <cell r="AC964">
            <v>1</v>
          </cell>
          <cell r="AD964">
            <v>6</v>
          </cell>
          <cell r="AE964" t="str">
            <v>everyone</v>
          </cell>
        </row>
        <row r="965">
          <cell r="A965" t="str">
            <v>65531_2</v>
          </cell>
          <cell r="B965">
            <v>1</v>
          </cell>
          <cell r="C965">
            <v>65531</v>
          </cell>
          <cell r="D965" t="str">
            <v>【LB塚本】検証クエスト</v>
          </cell>
          <cell r="E965" t="str">
            <v>検証</v>
          </cell>
          <cell r="F965">
            <v>2</v>
          </cell>
          <cell r="G965" t="str">
            <v>ja</v>
          </cell>
          <cell r="H965" t="str">
            <v>【LB塚本】検証プレイ用</v>
          </cell>
          <cell r="I965" t="str">
            <v>検証</v>
          </cell>
          <cell r="J965">
            <v>1</v>
          </cell>
          <cell r="K965">
            <v>1</v>
          </cell>
          <cell r="L965">
            <v>1</v>
          </cell>
          <cell r="M965">
            <v>1</v>
          </cell>
          <cell r="N965">
            <v>1</v>
          </cell>
          <cell r="O965">
            <v>1</v>
          </cell>
          <cell r="P965">
            <v>1</v>
          </cell>
          <cell r="Q965">
            <v>1</v>
          </cell>
          <cell r="R965">
            <v>3</v>
          </cell>
          <cell r="S965" t="str">
            <v>polygon</v>
          </cell>
          <cell r="T965">
            <v>0</v>
          </cell>
          <cell r="U965" t="str">
            <v>NULL</v>
          </cell>
          <cell r="V965" t="str">
            <v>NULL</v>
          </cell>
          <cell r="W965" t="str">
            <v/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 t="str">
            <v>anytime</v>
          </cell>
          <cell r="AC965">
            <v>1</v>
          </cell>
          <cell r="AD965">
            <v>6</v>
          </cell>
          <cell r="AE965" t="str">
            <v>everyone</v>
          </cell>
        </row>
        <row r="966">
          <cell r="A966" t="str">
            <v>65532_1</v>
          </cell>
          <cell r="B966">
            <v>1</v>
          </cell>
          <cell r="C966">
            <v>65532</v>
          </cell>
          <cell r="D966" t="str">
            <v>【LB山川】検証クエスト</v>
          </cell>
          <cell r="E966" t="str">
            <v>検証</v>
          </cell>
          <cell r="F966">
            <v>1</v>
          </cell>
          <cell r="G966" t="str">
            <v>ja</v>
          </cell>
          <cell r="H966" t="str">
            <v>【LB山川】検証</v>
          </cell>
          <cell r="I966" t="str">
            <v>検証</v>
          </cell>
          <cell r="J966">
            <v>1</v>
          </cell>
          <cell r="K966">
            <v>1</v>
          </cell>
          <cell r="L966">
            <v>1</v>
          </cell>
          <cell r="M966">
            <v>1</v>
          </cell>
          <cell r="N966">
            <v>1</v>
          </cell>
          <cell r="O966">
            <v>1</v>
          </cell>
          <cell r="P966">
            <v>1</v>
          </cell>
          <cell r="Q966">
            <v>1</v>
          </cell>
          <cell r="R966">
            <v>3</v>
          </cell>
          <cell r="S966" t="str">
            <v>polygon</v>
          </cell>
          <cell r="T966">
            <v>0</v>
          </cell>
          <cell r="U966" t="str">
            <v>NULL</v>
          </cell>
          <cell r="V966" t="str">
            <v>NULL</v>
          </cell>
          <cell r="W966" t="str">
            <v/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 t="str">
            <v>anytime</v>
          </cell>
          <cell r="AC966">
            <v>1</v>
          </cell>
          <cell r="AD966">
            <v>6</v>
          </cell>
          <cell r="AE966" t="str">
            <v>everyone</v>
          </cell>
        </row>
        <row r="967">
          <cell r="A967" t="str">
            <v>65532_2</v>
          </cell>
          <cell r="B967">
            <v>1</v>
          </cell>
          <cell r="C967">
            <v>65532</v>
          </cell>
          <cell r="D967" t="str">
            <v>【LB山川】検証クエスト</v>
          </cell>
          <cell r="E967" t="str">
            <v>検証</v>
          </cell>
          <cell r="F967">
            <v>2</v>
          </cell>
          <cell r="G967" t="str">
            <v>ja</v>
          </cell>
          <cell r="H967" t="str">
            <v>【LB山川】検証プレイ用</v>
          </cell>
          <cell r="I967" t="str">
            <v>検証</v>
          </cell>
          <cell r="J967">
            <v>1</v>
          </cell>
          <cell r="K967">
            <v>1</v>
          </cell>
          <cell r="L967">
            <v>1</v>
          </cell>
          <cell r="M967">
            <v>1</v>
          </cell>
          <cell r="N967">
            <v>1</v>
          </cell>
          <cell r="O967">
            <v>1</v>
          </cell>
          <cell r="P967">
            <v>1</v>
          </cell>
          <cell r="Q967">
            <v>1</v>
          </cell>
          <cell r="R967">
            <v>3</v>
          </cell>
          <cell r="S967" t="str">
            <v>polygon</v>
          </cell>
          <cell r="T967">
            <v>0</v>
          </cell>
          <cell r="U967" t="str">
            <v>NULL</v>
          </cell>
          <cell r="V967" t="str">
            <v>NULL</v>
          </cell>
          <cell r="W967" t="str">
            <v/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 t="str">
            <v>anytime</v>
          </cell>
          <cell r="AC967">
            <v>1</v>
          </cell>
          <cell r="AD967">
            <v>6</v>
          </cell>
          <cell r="AE967" t="str">
            <v>everyone</v>
          </cell>
        </row>
        <row r="968">
          <cell r="A968" t="str">
            <v>65533_1</v>
          </cell>
          <cell r="B968">
            <v>1</v>
          </cell>
          <cell r="C968">
            <v>65533</v>
          </cell>
          <cell r="D968" t="str">
            <v>【程塚】検証クエスト</v>
          </cell>
          <cell r="E968" t="str">
            <v>検証</v>
          </cell>
          <cell r="F968">
            <v>1</v>
          </cell>
          <cell r="G968" t="str">
            <v>ja</v>
          </cell>
          <cell r="H968" t="str">
            <v>【超級】若造よ、身の程を知れ</v>
          </cell>
          <cell r="I968" t="str">
            <v>超級</v>
          </cell>
          <cell r="J968">
            <v>458</v>
          </cell>
          <cell r="K968">
            <v>30</v>
          </cell>
          <cell r="L968">
            <v>3300</v>
          </cell>
          <cell r="M968">
            <v>1</v>
          </cell>
          <cell r="N968">
            <v>1</v>
          </cell>
          <cell r="O968">
            <v>1</v>
          </cell>
          <cell r="P968">
            <v>1</v>
          </cell>
          <cell r="Q968">
            <v>1</v>
          </cell>
          <cell r="R968">
            <v>3</v>
          </cell>
          <cell r="S968" t="str">
            <v>none</v>
          </cell>
          <cell r="T968">
            <v>0</v>
          </cell>
          <cell r="U968" t="str">
            <v>NULL</v>
          </cell>
          <cell r="V968" t="str">
            <v>NULL</v>
          </cell>
          <cell r="W968" t="str">
            <v/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 t="str">
            <v>anytime</v>
          </cell>
          <cell r="AC968">
            <v>13</v>
          </cell>
          <cell r="AD968">
            <v>6</v>
          </cell>
          <cell r="AE968" t="str">
            <v>everyone</v>
          </cell>
        </row>
        <row r="969">
          <cell r="A969" t="str">
            <v>65533_2</v>
          </cell>
          <cell r="B969">
            <v>1</v>
          </cell>
          <cell r="C969">
            <v>65533</v>
          </cell>
          <cell r="D969" t="str">
            <v>【程塚】検証クエスト</v>
          </cell>
          <cell r="E969" t="str">
            <v>検証</v>
          </cell>
          <cell r="F969">
            <v>2</v>
          </cell>
          <cell r="G969" t="str">
            <v>ja</v>
          </cell>
          <cell r="H969" t="str">
            <v>【超絶級】若造よ、身の程を知れ</v>
          </cell>
          <cell r="I969" t="str">
            <v>超絶級</v>
          </cell>
          <cell r="J969">
            <v>459</v>
          </cell>
          <cell r="K969">
            <v>35</v>
          </cell>
          <cell r="L969">
            <v>4200</v>
          </cell>
          <cell r="M969">
            <v>1</v>
          </cell>
          <cell r="N969">
            <v>1</v>
          </cell>
          <cell r="O969">
            <v>1</v>
          </cell>
          <cell r="P969">
            <v>1</v>
          </cell>
          <cell r="Q969">
            <v>1</v>
          </cell>
          <cell r="R969">
            <v>3</v>
          </cell>
          <cell r="S969" t="str">
            <v>polygon</v>
          </cell>
          <cell r="T969">
            <v>1</v>
          </cell>
          <cell r="U969" t="str">
            <v>NULL</v>
          </cell>
          <cell r="V969" t="str">
            <v>NULL</v>
          </cell>
          <cell r="W969" t="str">
            <v/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 t="str">
            <v>anytime</v>
          </cell>
          <cell r="AC969">
            <v>13</v>
          </cell>
          <cell r="AD969">
            <v>6</v>
          </cell>
          <cell r="AE969" t="str">
            <v>everyone</v>
          </cell>
        </row>
        <row r="970">
          <cell r="A970" t="str">
            <v>65534_1</v>
          </cell>
          <cell r="B970">
            <v>1</v>
          </cell>
          <cell r="C970">
            <v>65534</v>
          </cell>
          <cell r="D970" t="str">
            <v>【LB久保】検証クエスト</v>
          </cell>
          <cell r="E970" t="str">
            <v>検証</v>
          </cell>
          <cell r="F970">
            <v>1</v>
          </cell>
          <cell r="G970" t="str">
            <v>ja</v>
          </cell>
          <cell r="H970" t="str">
            <v>【LB久保】タワー調整用</v>
          </cell>
          <cell r="I970" t="str">
            <v>検証</v>
          </cell>
          <cell r="J970">
            <v>1</v>
          </cell>
          <cell r="K970">
            <v>1</v>
          </cell>
          <cell r="L970">
            <v>1</v>
          </cell>
          <cell r="M970">
            <v>1</v>
          </cell>
          <cell r="N970">
            <v>1</v>
          </cell>
          <cell r="O970">
            <v>1</v>
          </cell>
          <cell r="P970">
            <v>1</v>
          </cell>
          <cell r="Q970">
            <v>1</v>
          </cell>
          <cell r="R970">
            <v>3</v>
          </cell>
          <cell r="S970" t="str">
            <v>polygon</v>
          </cell>
          <cell r="T970">
            <v>0</v>
          </cell>
          <cell r="U970" t="str">
            <v>NULL</v>
          </cell>
          <cell r="V970" t="str">
            <v>NULL</v>
          </cell>
          <cell r="W970" t="str">
            <v/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 t="str">
            <v>anytime</v>
          </cell>
          <cell r="AC970">
            <v>24</v>
          </cell>
          <cell r="AD970">
            <v>4</v>
          </cell>
          <cell r="AE970" t="str">
            <v>everyone</v>
          </cell>
        </row>
        <row r="971">
          <cell r="A971" t="str">
            <v>65534_2</v>
          </cell>
          <cell r="B971">
            <v>1</v>
          </cell>
          <cell r="C971">
            <v>65534</v>
          </cell>
          <cell r="D971" t="str">
            <v>【LB久保】検証クエスト</v>
          </cell>
          <cell r="E971" t="str">
            <v>検証</v>
          </cell>
          <cell r="F971">
            <v>2</v>
          </cell>
          <cell r="G971" t="str">
            <v>ja</v>
          </cell>
          <cell r="H971" t="str">
            <v>【LB久保】タワー調整用2</v>
          </cell>
          <cell r="I971" t="str">
            <v>検証</v>
          </cell>
          <cell r="J971">
            <v>1</v>
          </cell>
          <cell r="K971">
            <v>1</v>
          </cell>
          <cell r="L971">
            <v>1</v>
          </cell>
          <cell r="M971">
            <v>1</v>
          </cell>
          <cell r="N971">
            <v>1</v>
          </cell>
          <cell r="O971">
            <v>1</v>
          </cell>
          <cell r="P971">
            <v>1</v>
          </cell>
          <cell r="Q971">
            <v>1</v>
          </cell>
          <cell r="R971">
            <v>3</v>
          </cell>
          <cell r="S971" t="str">
            <v>polygon</v>
          </cell>
          <cell r="T971">
            <v>0</v>
          </cell>
          <cell r="U971" t="str">
            <v>NULL</v>
          </cell>
          <cell r="V971" t="str">
            <v>NULL</v>
          </cell>
          <cell r="W971" t="str">
            <v/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 t="str">
            <v>anytime</v>
          </cell>
          <cell r="AC971">
            <v>24</v>
          </cell>
          <cell r="AD971">
            <v>4</v>
          </cell>
          <cell r="AE971" t="str">
            <v>everyone</v>
          </cell>
        </row>
        <row r="972">
          <cell r="A972" t="str">
            <v>65535_1</v>
          </cell>
          <cell r="B972">
            <v>1</v>
          </cell>
          <cell r="C972">
            <v>65535</v>
          </cell>
          <cell r="D972" t="str">
            <v>１２３４５６７８９０１２３４５６７８９０１２３４５６７８９０</v>
          </cell>
          <cell r="E972" t="str">
            <v>検証</v>
          </cell>
          <cell r="F972">
            <v>1</v>
          </cell>
          <cell r="G972" t="str">
            <v>ja</v>
          </cell>
          <cell r="H972" t="str">
            <v>テンプレート</v>
          </cell>
          <cell r="I972" t="str">
            <v>検証</v>
          </cell>
          <cell r="J972" t="str">
            <v>NULL</v>
          </cell>
          <cell r="K972">
            <v>1</v>
          </cell>
          <cell r="L972">
            <v>1</v>
          </cell>
          <cell r="M972">
            <v>1</v>
          </cell>
          <cell r="N972">
            <v>1</v>
          </cell>
          <cell r="O972">
            <v>1</v>
          </cell>
          <cell r="P972">
            <v>1</v>
          </cell>
          <cell r="Q972">
            <v>1</v>
          </cell>
          <cell r="R972">
            <v>3</v>
          </cell>
          <cell r="S972" t="str">
            <v>none</v>
          </cell>
          <cell r="T972">
            <v>0</v>
          </cell>
          <cell r="U972" t="str">
            <v>NULL</v>
          </cell>
          <cell r="V972" t="str">
            <v>NULL</v>
          </cell>
          <cell r="W972" t="str">
            <v/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 t="str">
            <v>anytime</v>
          </cell>
          <cell r="AC972">
            <v>903</v>
          </cell>
          <cell r="AD972">
            <v>6</v>
          </cell>
          <cell r="AE972" t="str">
            <v>everyone</v>
          </cell>
        </row>
        <row r="973">
          <cell r="A973" t="str">
            <v>65535_2</v>
          </cell>
          <cell r="B973">
            <v>1</v>
          </cell>
          <cell r="C973">
            <v>65535</v>
          </cell>
          <cell r="D973" t="str">
            <v>１２３４５６７８９０１２３４５６７８９０１２３４５６７８９０</v>
          </cell>
          <cell r="E973" t="str">
            <v>検証</v>
          </cell>
          <cell r="F973">
            <v>2</v>
          </cell>
          <cell r="G973" t="str">
            <v>ja</v>
          </cell>
          <cell r="H973" t="str">
            <v>ランクアップクエスト</v>
          </cell>
          <cell r="I973" t="str">
            <v>検証</v>
          </cell>
          <cell r="J973" t="str">
            <v>NULL</v>
          </cell>
          <cell r="K973">
            <v>1</v>
          </cell>
          <cell r="L973">
            <v>65535</v>
          </cell>
          <cell r="M973">
            <v>1</v>
          </cell>
          <cell r="N973">
            <v>1</v>
          </cell>
          <cell r="O973">
            <v>1</v>
          </cell>
          <cell r="P973">
            <v>1</v>
          </cell>
          <cell r="Q973">
            <v>1</v>
          </cell>
          <cell r="R973">
            <v>3</v>
          </cell>
          <cell r="S973" t="str">
            <v>none</v>
          </cell>
          <cell r="T973">
            <v>0</v>
          </cell>
          <cell r="U973" t="str">
            <v>NULL</v>
          </cell>
          <cell r="V973" t="str">
            <v>NULL</v>
          </cell>
          <cell r="W973" t="str">
            <v/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 t="str">
            <v>anytime</v>
          </cell>
          <cell r="AC973">
            <v>903</v>
          </cell>
          <cell r="AD973">
            <v>6</v>
          </cell>
          <cell r="AE973" t="str">
            <v>everyone</v>
          </cell>
        </row>
        <row r="974">
          <cell r="A974" t="str">
            <v>65535_3</v>
          </cell>
          <cell r="B974">
            <v>1</v>
          </cell>
          <cell r="C974">
            <v>65535</v>
          </cell>
          <cell r="D974" t="str">
            <v>１２３４５６７８９０１２３４５６７８９０１２３４５６７８９０</v>
          </cell>
          <cell r="E974" t="str">
            <v>検証</v>
          </cell>
          <cell r="F974">
            <v>3</v>
          </cell>
          <cell r="G974" t="str">
            <v>ja</v>
          </cell>
          <cell r="H974" t="str">
            <v>サンドボックス</v>
          </cell>
          <cell r="I974" t="str">
            <v>検証</v>
          </cell>
          <cell r="J974" t="str">
            <v>NULL</v>
          </cell>
          <cell r="K974">
            <v>1</v>
          </cell>
          <cell r="L974">
            <v>1</v>
          </cell>
          <cell r="M974">
            <v>1</v>
          </cell>
          <cell r="N974">
            <v>1</v>
          </cell>
          <cell r="O974">
            <v>1</v>
          </cell>
          <cell r="P974">
            <v>1</v>
          </cell>
          <cell r="Q974">
            <v>1</v>
          </cell>
          <cell r="R974">
            <v>3</v>
          </cell>
          <cell r="S974" t="str">
            <v>none</v>
          </cell>
          <cell r="T974">
            <v>0</v>
          </cell>
          <cell r="U974" t="str">
            <v>NULL</v>
          </cell>
          <cell r="V974" t="str">
            <v>NULL</v>
          </cell>
          <cell r="W974" t="str">
            <v/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 t="str">
            <v>anytime</v>
          </cell>
          <cell r="AC974">
            <v>105</v>
          </cell>
          <cell r="AD974">
            <v>6</v>
          </cell>
          <cell r="AE974" t="str">
            <v>everyone</v>
          </cell>
        </row>
        <row r="975">
          <cell r="A975" t="str">
            <v>65535_4</v>
          </cell>
          <cell r="B975">
            <v>1</v>
          </cell>
          <cell r="C975">
            <v>65535</v>
          </cell>
          <cell r="D975" t="str">
            <v>１２３４５６７８９０１２３４５６７８９０１２３４５６７８９０</v>
          </cell>
          <cell r="E975" t="str">
            <v>検証</v>
          </cell>
          <cell r="F975">
            <v>4</v>
          </cell>
          <cell r="G975" t="str">
            <v>ja</v>
          </cell>
          <cell r="H975" t="str">
            <v>フリーズジャンヌ</v>
          </cell>
          <cell r="I975" t="str">
            <v>検証</v>
          </cell>
          <cell r="J975" t="str">
            <v>NULL</v>
          </cell>
          <cell r="K975">
            <v>1</v>
          </cell>
          <cell r="L975">
            <v>1</v>
          </cell>
          <cell r="M975">
            <v>1</v>
          </cell>
          <cell r="N975">
            <v>1</v>
          </cell>
          <cell r="O975">
            <v>1</v>
          </cell>
          <cell r="P975">
            <v>1</v>
          </cell>
          <cell r="Q975">
            <v>1</v>
          </cell>
          <cell r="R975">
            <v>3</v>
          </cell>
          <cell r="S975" t="str">
            <v>none</v>
          </cell>
          <cell r="T975">
            <v>0</v>
          </cell>
          <cell r="U975" t="str">
            <v>NULL</v>
          </cell>
          <cell r="V975" t="str">
            <v>NULL</v>
          </cell>
          <cell r="W975" t="str">
            <v/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 t="str">
            <v>anytime</v>
          </cell>
          <cell r="AC975">
            <v>105</v>
          </cell>
          <cell r="AD975">
            <v>6</v>
          </cell>
          <cell r="AE975" t="str">
            <v>everyone</v>
          </cell>
        </row>
        <row r="976">
          <cell r="A976" t="str">
            <v>65535_5</v>
          </cell>
          <cell r="B976">
            <v>1</v>
          </cell>
          <cell r="C976">
            <v>65535</v>
          </cell>
          <cell r="D976" t="str">
            <v>１２３４５６７８９０１２３４５６７８９０１２３４５６７８９０</v>
          </cell>
          <cell r="E976" t="str">
            <v>検証</v>
          </cell>
          <cell r="F976">
            <v>5</v>
          </cell>
          <cell r="G976" t="str">
            <v>ja</v>
          </cell>
          <cell r="H976" t="str">
            <v>ウィルスジャンヌ</v>
          </cell>
          <cell r="I976" t="str">
            <v>検証</v>
          </cell>
          <cell r="J976" t="str">
            <v>NULL</v>
          </cell>
          <cell r="K976">
            <v>1</v>
          </cell>
          <cell r="L976">
            <v>1</v>
          </cell>
          <cell r="M976">
            <v>1</v>
          </cell>
          <cell r="N976">
            <v>1</v>
          </cell>
          <cell r="O976">
            <v>1</v>
          </cell>
          <cell r="P976">
            <v>1</v>
          </cell>
          <cell r="Q976">
            <v>1</v>
          </cell>
          <cell r="R976">
            <v>3</v>
          </cell>
          <cell r="S976" t="str">
            <v>none</v>
          </cell>
          <cell r="T976">
            <v>0</v>
          </cell>
          <cell r="U976" t="str">
            <v>NULL</v>
          </cell>
          <cell r="V976" t="str">
            <v>NULL</v>
          </cell>
          <cell r="W976" t="str">
            <v/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 t="str">
            <v>anytime</v>
          </cell>
          <cell r="AC976">
            <v>105</v>
          </cell>
          <cell r="AD976">
            <v>6</v>
          </cell>
          <cell r="AE976" t="str">
            <v>everyone</v>
          </cell>
        </row>
        <row r="977">
          <cell r="A977" t="str">
            <v>65535_6</v>
          </cell>
          <cell r="B977">
            <v>1</v>
          </cell>
          <cell r="C977">
            <v>65535</v>
          </cell>
          <cell r="D977" t="str">
            <v>１２３４５６７８９０１２３４５６７８９０１２３４５６７８９０</v>
          </cell>
          <cell r="E977" t="str">
            <v>検証</v>
          </cell>
          <cell r="F977">
            <v>6</v>
          </cell>
          <cell r="G977" t="str">
            <v>ja</v>
          </cell>
          <cell r="H977" t="str">
            <v>お邪魔ジャンヌ</v>
          </cell>
          <cell r="I977" t="str">
            <v>検証</v>
          </cell>
          <cell r="J977" t="str">
            <v>NULL</v>
          </cell>
          <cell r="K977">
            <v>1</v>
          </cell>
          <cell r="L977">
            <v>1</v>
          </cell>
          <cell r="M977">
            <v>1</v>
          </cell>
          <cell r="N977">
            <v>1</v>
          </cell>
          <cell r="O977">
            <v>1</v>
          </cell>
          <cell r="P977">
            <v>1</v>
          </cell>
          <cell r="Q977">
            <v>1</v>
          </cell>
          <cell r="R977">
            <v>3</v>
          </cell>
          <cell r="S977" t="str">
            <v>none</v>
          </cell>
          <cell r="T977">
            <v>0</v>
          </cell>
          <cell r="U977" t="str">
            <v>NULL</v>
          </cell>
          <cell r="V977" t="str">
            <v>NULL</v>
          </cell>
          <cell r="W977" t="str">
            <v/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 t="str">
            <v>anytime</v>
          </cell>
          <cell r="AC977">
            <v>105</v>
          </cell>
          <cell r="AD977">
            <v>6</v>
          </cell>
          <cell r="AE977" t="str">
            <v>everyone</v>
          </cell>
        </row>
        <row r="978">
          <cell r="A978" t="str">
            <v>65535_7</v>
          </cell>
          <cell r="B978">
            <v>1</v>
          </cell>
          <cell r="C978">
            <v>65535</v>
          </cell>
          <cell r="D978" t="str">
            <v>１２３４５６７８９０１２３４５６７８９０１２３４５６７８９０</v>
          </cell>
          <cell r="E978" t="str">
            <v>検証</v>
          </cell>
          <cell r="F978">
            <v>7</v>
          </cell>
          <cell r="G978" t="str">
            <v>ja</v>
          </cell>
          <cell r="H978" t="str">
            <v>爆風ジャンヌ</v>
          </cell>
          <cell r="I978" t="str">
            <v>検証</v>
          </cell>
          <cell r="J978" t="str">
            <v>NULL</v>
          </cell>
          <cell r="K978">
            <v>1</v>
          </cell>
          <cell r="L978">
            <v>1</v>
          </cell>
          <cell r="M978">
            <v>1</v>
          </cell>
          <cell r="N978">
            <v>1</v>
          </cell>
          <cell r="O978">
            <v>1</v>
          </cell>
          <cell r="P978">
            <v>1</v>
          </cell>
          <cell r="Q978">
            <v>1</v>
          </cell>
          <cell r="R978">
            <v>3</v>
          </cell>
          <cell r="S978" t="str">
            <v>none</v>
          </cell>
          <cell r="T978">
            <v>0</v>
          </cell>
          <cell r="U978" t="str">
            <v>NULL</v>
          </cell>
          <cell r="V978" t="str">
            <v>NULL</v>
          </cell>
          <cell r="W978" t="str">
            <v/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 t="str">
            <v>anytime</v>
          </cell>
          <cell r="AC978">
            <v>105</v>
          </cell>
          <cell r="AD978">
            <v>6</v>
          </cell>
          <cell r="AE978" t="str">
            <v>everyone</v>
          </cell>
        </row>
        <row r="979">
          <cell r="A979" t="str">
            <v>65535_8</v>
          </cell>
          <cell r="B979">
            <v>1</v>
          </cell>
          <cell r="C979">
            <v>65535</v>
          </cell>
          <cell r="D979" t="str">
            <v>１２３４５６７８９０１２３４５６７８９０１２３４５６７８９０</v>
          </cell>
          <cell r="E979" t="str">
            <v>検証</v>
          </cell>
          <cell r="F979">
            <v>8</v>
          </cell>
          <cell r="G979" t="str">
            <v>ja</v>
          </cell>
          <cell r="H979" t="str">
            <v>テスト</v>
          </cell>
          <cell r="I979" t="str">
            <v>検証</v>
          </cell>
          <cell r="J979" t="str">
            <v>NULL</v>
          </cell>
          <cell r="K979">
            <v>1</v>
          </cell>
          <cell r="L979">
            <v>1</v>
          </cell>
          <cell r="M979">
            <v>1</v>
          </cell>
          <cell r="N979">
            <v>1</v>
          </cell>
          <cell r="O979">
            <v>1</v>
          </cell>
          <cell r="P979">
            <v>1</v>
          </cell>
          <cell r="Q979">
            <v>1</v>
          </cell>
          <cell r="R979">
            <v>3</v>
          </cell>
          <cell r="S979" t="str">
            <v>none</v>
          </cell>
          <cell r="T979">
            <v>0</v>
          </cell>
          <cell r="U979" t="str">
            <v>NULL</v>
          </cell>
          <cell r="V979" t="str">
            <v>NULL</v>
          </cell>
          <cell r="W979" t="str">
            <v/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 t="str">
            <v>anytime</v>
          </cell>
          <cell r="AC979">
            <v>105</v>
          </cell>
          <cell r="AD979">
            <v>6</v>
          </cell>
          <cell r="AE979" t="str">
            <v>everyone</v>
          </cell>
        </row>
        <row r="980">
          <cell r="A980" t="str">
            <v>65535_9</v>
          </cell>
          <cell r="B980">
            <v>1</v>
          </cell>
          <cell r="C980">
            <v>65535</v>
          </cell>
          <cell r="D980" t="str">
            <v>１２３４５６７８９０１２３４５６７８９０１２３４５６７８９０</v>
          </cell>
          <cell r="E980" t="str">
            <v>検証</v>
          </cell>
          <cell r="F980">
            <v>9</v>
          </cell>
          <cell r="G980" t="str">
            <v>ja</v>
          </cell>
          <cell r="H980" t="str">
            <v>本気プロテクトジャンヌ</v>
          </cell>
          <cell r="I980" t="str">
            <v>検証</v>
          </cell>
          <cell r="J980">
            <v>814</v>
          </cell>
          <cell r="K980">
            <v>1</v>
          </cell>
          <cell r="L980">
            <v>1</v>
          </cell>
          <cell r="M980">
            <v>1</v>
          </cell>
          <cell r="N980">
            <v>1</v>
          </cell>
          <cell r="O980">
            <v>1</v>
          </cell>
          <cell r="P980">
            <v>1</v>
          </cell>
          <cell r="Q980">
            <v>1</v>
          </cell>
          <cell r="R980">
            <v>3</v>
          </cell>
          <cell r="S980" t="str">
            <v>none</v>
          </cell>
          <cell r="T980">
            <v>0</v>
          </cell>
          <cell r="U980" t="str">
            <v>NULL</v>
          </cell>
          <cell r="V980" t="str">
            <v>NULL</v>
          </cell>
          <cell r="W980" t="str">
            <v/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 t="str">
            <v>anytime</v>
          </cell>
          <cell r="AC980">
            <v>105</v>
          </cell>
          <cell r="AD980">
            <v>6</v>
          </cell>
          <cell r="AE980" t="str">
            <v>everyone</v>
          </cell>
        </row>
        <row r="981">
          <cell r="A981" t="str">
            <v>65535_10</v>
          </cell>
          <cell r="B981">
            <v>1</v>
          </cell>
          <cell r="C981">
            <v>65535</v>
          </cell>
          <cell r="D981" t="str">
            <v>１２３４５６７８９０１２３４５６７８９０１２３４５６７８９０</v>
          </cell>
          <cell r="E981" t="str">
            <v>検証</v>
          </cell>
          <cell r="F981">
            <v>10</v>
          </cell>
          <cell r="G981" t="str">
            <v>ja</v>
          </cell>
          <cell r="H981" t="str">
            <v>本気ウィルスミケランジェロ</v>
          </cell>
          <cell r="I981" t="str">
            <v>検証</v>
          </cell>
          <cell r="J981">
            <v>1089</v>
          </cell>
          <cell r="K981">
            <v>1</v>
          </cell>
          <cell r="L981">
            <v>1</v>
          </cell>
          <cell r="M981">
            <v>1</v>
          </cell>
          <cell r="N981">
            <v>1</v>
          </cell>
          <cell r="O981">
            <v>1</v>
          </cell>
          <cell r="P981">
            <v>1</v>
          </cell>
          <cell r="Q981">
            <v>1</v>
          </cell>
          <cell r="R981">
            <v>3</v>
          </cell>
          <cell r="S981" t="str">
            <v>none</v>
          </cell>
          <cell r="T981">
            <v>0</v>
          </cell>
          <cell r="U981" t="str">
            <v>NULL</v>
          </cell>
          <cell r="V981" t="str">
            <v>NULL</v>
          </cell>
          <cell r="W981" t="str">
            <v/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 t="str">
            <v>anytime</v>
          </cell>
          <cell r="AC981">
            <v>105</v>
          </cell>
          <cell r="AD981">
            <v>6</v>
          </cell>
          <cell r="AE981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1456</v>
          </cell>
        </row>
        <row r="1408">
          <cell r="A1408">
            <v>1457</v>
          </cell>
        </row>
        <row r="1409">
          <cell r="A1409">
            <v>1458</v>
          </cell>
        </row>
        <row r="1410">
          <cell r="A1410">
            <v>1459</v>
          </cell>
        </row>
        <row r="1411">
          <cell r="A1411">
            <v>1460</v>
          </cell>
        </row>
        <row r="1412">
          <cell r="A1412">
            <v>1461</v>
          </cell>
        </row>
        <row r="1413">
          <cell r="A1413">
            <v>1462</v>
          </cell>
        </row>
        <row r="1414">
          <cell r="A1414">
            <v>1463</v>
          </cell>
        </row>
        <row r="1415">
          <cell r="A1415">
            <v>1464</v>
          </cell>
        </row>
        <row r="1416">
          <cell r="A1416">
            <v>1465</v>
          </cell>
        </row>
        <row r="1417">
          <cell r="A1417">
            <v>1466</v>
          </cell>
        </row>
        <row r="1418">
          <cell r="A1418">
            <v>1467</v>
          </cell>
        </row>
        <row r="1419">
          <cell r="A1419">
            <v>1468</v>
          </cell>
        </row>
        <row r="1420">
          <cell r="A1420">
            <v>1469</v>
          </cell>
        </row>
        <row r="1421">
          <cell r="A1421">
            <v>1470</v>
          </cell>
        </row>
        <row r="1422">
          <cell r="A1422">
            <v>1488</v>
          </cell>
        </row>
        <row r="1423">
          <cell r="A1423">
            <v>1489</v>
          </cell>
        </row>
        <row r="1424">
          <cell r="A1424">
            <v>1504</v>
          </cell>
        </row>
        <row r="1425">
          <cell r="A1425">
            <v>1505</v>
          </cell>
        </row>
        <row r="1426">
          <cell r="A1426">
            <v>1506</v>
          </cell>
        </row>
        <row r="1427">
          <cell r="A1427">
            <v>1507</v>
          </cell>
        </row>
        <row r="1428">
          <cell r="A1428">
            <v>1508</v>
          </cell>
        </row>
        <row r="1429">
          <cell r="A1429">
            <v>1509</v>
          </cell>
        </row>
        <row r="1430">
          <cell r="A1430">
            <v>1510</v>
          </cell>
        </row>
        <row r="1431">
          <cell r="A1431">
            <v>1511</v>
          </cell>
        </row>
        <row r="1432">
          <cell r="A1432">
            <v>1512</v>
          </cell>
        </row>
        <row r="1433">
          <cell r="A1433">
            <v>1513</v>
          </cell>
        </row>
        <row r="1434">
          <cell r="A1434">
            <v>1514</v>
          </cell>
        </row>
        <row r="1435">
          <cell r="A1435">
            <v>1515</v>
          </cell>
        </row>
        <row r="1436">
          <cell r="A1436">
            <v>1516</v>
          </cell>
        </row>
        <row r="1437">
          <cell r="A1437">
            <v>1517</v>
          </cell>
        </row>
        <row r="1438">
          <cell r="A1438">
            <v>1518</v>
          </cell>
        </row>
        <row r="1439">
          <cell r="A1439">
            <v>1519</v>
          </cell>
        </row>
        <row r="1440">
          <cell r="A1440">
            <v>1520</v>
          </cell>
        </row>
        <row r="1441">
          <cell r="A1441">
            <v>1521</v>
          </cell>
        </row>
        <row r="1442">
          <cell r="A1442">
            <v>1522</v>
          </cell>
        </row>
        <row r="1443">
          <cell r="A1443">
            <v>1523</v>
          </cell>
        </row>
        <row r="1444">
          <cell r="A1444">
            <v>1524</v>
          </cell>
        </row>
        <row r="1445">
          <cell r="A1445">
            <v>1525</v>
          </cell>
        </row>
        <row r="1446">
          <cell r="A1446">
            <v>1526</v>
          </cell>
        </row>
        <row r="1447">
          <cell r="A1447">
            <v>1527</v>
          </cell>
        </row>
        <row r="1448">
          <cell r="A1448">
            <v>1528</v>
          </cell>
        </row>
        <row r="1449">
          <cell r="A1449">
            <v>1529</v>
          </cell>
        </row>
        <row r="1450">
          <cell r="A1450">
            <v>1530</v>
          </cell>
        </row>
        <row r="1451">
          <cell r="A1451">
            <v>1531</v>
          </cell>
        </row>
        <row r="1452">
          <cell r="A1452">
            <v>1532</v>
          </cell>
        </row>
        <row r="1453">
          <cell r="A1453">
            <v>1533</v>
          </cell>
        </row>
        <row r="1454">
          <cell r="A1454">
            <v>1534</v>
          </cell>
        </row>
        <row r="1455">
          <cell r="A1455">
            <v>1535</v>
          </cell>
        </row>
        <row r="1456">
          <cell r="A1456">
            <v>1536</v>
          </cell>
        </row>
        <row r="1457">
          <cell r="A1457">
            <v>1537</v>
          </cell>
        </row>
        <row r="1458">
          <cell r="A1458">
            <v>1538</v>
          </cell>
        </row>
        <row r="1459">
          <cell r="A1459">
            <v>1539</v>
          </cell>
        </row>
        <row r="1460">
          <cell r="A1460">
            <v>1540</v>
          </cell>
        </row>
        <row r="1461">
          <cell r="A1461">
            <v>1541</v>
          </cell>
        </row>
        <row r="1462">
          <cell r="A1462">
            <v>1542</v>
          </cell>
        </row>
        <row r="1463">
          <cell r="A1463">
            <v>1543</v>
          </cell>
        </row>
        <row r="1464">
          <cell r="A1464">
            <v>1544</v>
          </cell>
        </row>
        <row r="1465">
          <cell r="A1465">
            <v>1545</v>
          </cell>
        </row>
        <row r="1466">
          <cell r="A1466">
            <v>1546</v>
          </cell>
        </row>
        <row r="1467">
          <cell r="A1467">
            <v>1547</v>
          </cell>
        </row>
        <row r="1468">
          <cell r="A1468">
            <v>1548</v>
          </cell>
        </row>
        <row r="1469">
          <cell r="A1469">
            <v>1549</v>
          </cell>
        </row>
        <row r="1470">
          <cell r="A1470">
            <v>1550</v>
          </cell>
        </row>
        <row r="1471">
          <cell r="A1471">
            <v>5001</v>
          </cell>
        </row>
        <row r="1472">
          <cell r="A1472">
            <v>5002</v>
          </cell>
        </row>
        <row r="1473">
          <cell r="A1473">
            <v>5003</v>
          </cell>
        </row>
        <row r="1474">
          <cell r="A1474">
            <v>5004</v>
          </cell>
        </row>
        <row r="1475">
          <cell r="A1475">
            <v>5005</v>
          </cell>
        </row>
        <row r="1476">
          <cell r="A1476">
            <v>5006</v>
          </cell>
        </row>
        <row r="1477">
          <cell r="A1477">
            <v>5007</v>
          </cell>
        </row>
        <row r="1478">
          <cell r="A1478">
            <v>5008</v>
          </cell>
        </row>
        <row r="1479">
          <cell r="A1479">
            <v>6001</v>
          </cell>
        </row>
        <row r="1480">
          <cell r="A1480">
            <v>6002</v>
          </cell>
        </row>
        <row r="1481">
          <cell r="A1481">
            <v>6003</v>
          </cell>
        </row>
        <row r="1482">
          <cell r="A1482">
            <v>6004</v>
          </cell>
        </row>
        <row r="1483">
          <cell r="A1483">
            <v>6005</v>
          </cell>
        </row>
        <row r="1484">
          <cell r="A1484">
            <v>6006</v>
          </cell>
        </row>
        <row r="1485">
          <cell r="A1485">
            <v>6007</v>
          </cell>
        </row>
        <row r="1486">
          <cell r="A1486">
            <v>6008</v>
          </cell>
        </row>
        <row r="1487">
          <cell r="A1487">
            <v>6009</v>
          </cell>
        </row>
        <row r="1488">
          <cell r="A1488">
            <v>6010</v>
          </cell>
        </row>
        <row r="1489">
          <cell r="A1489">
            <v>6011</v>
          </cell>
        </row>
        <row r="1490">
          <cell r="A1490">
            <v>6012</v>
          </cell>
        </row>
        <row r="1491">
          <cell r="A1491">
            <v>6013</v>
          </cell>
        </row>
        <row r="1492">
          <cell r="A1492">
            <v>6014</v>
          </cell>
        </row>
        <row r="1493">
          <cell r="A1493">
            <v>6015</v>
          </cell>
        </row>
        <row r="1494">
          <cell r="A1494">
            <v>6016</v>
          </cell>
        </row>
        <row r="1495">
          <cell r="A1495">
            <v>6017</v>
          </cell>
        </row>
        <row r="1496">
          <cell r="A1496">
            <v>6018</v>
          </cell>
        </row>
        <row r="1497">
          <cell r="A1497">
            <v>6019</v>
          </cell>
        </row>
        <row r="1498">
          <cell r="A1498">
            <v>6020</v>
          </cell>
        </row>
        <row r="1499">
          <cell r="A1499">
            <v>8001</v>
          </cell>
        </row>
        <row r="1500">
          <cell r="A1500">
            <v>8002</v>
          </cell>
        </row>
        <row r="1501">
          <cell r="A1501">
            <v>8003</v>
          </cell>
        </row>
        <row r="1502">
          <cell r="A1502">
            <v>8004</v>
          </cell>
        </row>
        <row r="1503">
          <cell r="A1503">
            <v>8005</v>
          </cell>
        </row>
        <row r="1504">
          <cell r="A1504">
            <v>8006</v>
          </cell>
        </row>
        <row r="1505">
          <cell r="A1505">
            <v>8007</v>
          </cell>
        </row>
        <row r="1506">
          <cell r="A1506">
            <v>8008</v>
          </cell>
        </row>
        <row r="1507">
          <cell r="A1507">
            <v>8009</v>
          </cell>
        </row>
        <row r="1508">
          <cell r="A1508">
            <v>8010</v>
          </cell>
        </row>
        <row r="1509">
          <cell r="A1509">
            <v>8011</v>
          </cell>
        </row>
        <row r="1510">
          <cell r="A1510">
            <v>8012</v>
          </cell>
        </row>
        <row r="1511">
          <cell r="A1511">
            <v>8013</v>
          </cell>
        </row>
        <row r="1512">
          <cell r="A1512">
            <v>8014</v>
          </cell>
        </row>
        <row r="1513">
          <cell r="A1513">
            <v>8015</v>
          </cell>
        </row>
        <row r="1514">
          <cell r="A1514">
            <v>8016</v>
          </cell>
        </row>
        <row r="1515">
          <cell r="A1515">
            <v>8017</v>
          </cell>
        </row>
        <row r="1516">
          <cell r="A1516">
            <v>8018</v>
          </cell>
        </row>
        <row r="1517">
          <cell r="A1517">
            <v>8019</v>
          </cell>
        </row>
        <row r="1518">
          <cell r="A1518">
            <v>8020</v>
          </cell>
        </row>
        <row r="1519">
          <cell r="A1519">
            <v>8021</v>
          </cell>
        </row>
        <row r="1520">
          <cell r="A1520">
            <v>8022</v>
          </cell>
        </row>
        <row r="1521">
          <cell r="A1521">
            <v>8023</v>
          </cell>
        </row>
        <row r="1522">
          <cell r="A1522">
            <v>8024</v>
          </cell>
        </row>
        <row r="1523">
          <cell r="A1523">
            <v>8025</v>
          </cell>
        </row>
        <row r="1524">
          <cell r="A1524">
            <v>8026</v>
          </cell>
        </row>
        <row r="1525">
          <cell r="A1525">
            <v>8027</v>
          </cell>
        </row>
        <row r="1526">
          <cell r="A1526">
            <v>8028</v>
          </cell>
        </row>
        <row r="1527">
          <cell r="A1527">
            <v>8029</v>
          </cell>
        </row>
        <row r="1528">
          <cell r="A1528">
            <v>8030</v>
          </cell>
        </row>
        <row r="1529">
          <cell r="A1529">
            <v>8031</v>
          </cell>
        </row>
        <row r="1530">
          <cell r="A1530">
            <v>8032</v>
          </cell>
        </row>
        <row r="1531">
          <cell r="A1531">
            <v>8033</v>
          </cell>
        </row>
        <row r="1532">
          <cell r="A1532">
            <v>8034</v>
          </cell>
        </row>
        <row r="1533">
          <cell r="A1533">
            <v>8035</v>
          </cell>
        </row>
        <row r="1534">
          <cell r="A1534">
            <v>8036</v>
          </cell>
        </row>
        <row r="1535">
          <cell r="A1535">
            <v>8037</v>
          </cell>
        </row>
        <row r="1536">
          <cell r="A1536">
            <v>8038</v>
          </cell>
        </row>
        <row r="1537">
          <cell r="A1537">
            <v>8039</v>
          </cell>
        </row>
        <row r="1538">
          <cell r="A1538">
            <v>8040</v>
          </cell>
        </row>
        <row r="1539">
          <cell r="A1539">
            <v>8041</v>
          </cell>
        </row>
        <row r="1540">
          <cell r="A1540">
            <v>8042</v>
          </cell>
        </row>
        <row r="1541">
          <cell r="A1541">
            <v>8043</v>
          </cell>
        </row>
        <row r="1542">
          <cell r="A1542">
            <v>8044</v>
          </cell>
        </row>
        <row r="1543">
          <cell r="A1543">
            <v>8045</v>
          </cell>
        </row>
        <row r="1544">
          <cell r="A1544">
            <v>8046</v>
          </cell>
        </row>
        <row r="1545">
          <cell r="A1545">
            <v>8047</v>
          </cell>
        </row>
        <row r="1546">
          <cell r="A1546">
            <v>8048</v>
          </cell>
        </row>
        <row r="1547">
          <cell r="A1547">
            <v>8049</v>
          </cell>
        </row>
        <row r="1548">
          <cell r="A1548">
            <v>8050</v>
          </cell>
        </row>
        <row r="1549">
          <cell r="A1549">
            <v>8051</v>
          </cell>
        </row>
        <row r="1550">
          <cell r="A1550">
            <v>8052</v>
          </cell>
        </row>
        <row r="1551">
          <cell r="A1551">
            <v>8053</v>
          </cell>
        </row>
        <row r="1552">
          <cell r="A1552">
            <v>8054</v>
          </cell>
        </row>
        <row r="1553">
          <cell r="A1553">
            <v>8055</v>
          </cell>
        </row>
        <row r="1554">
          <cell r="A1554">
            <v>8056</v>
          </cell>
        </row>
        <row r="1555">
          <cell r="A1555">
            <v>8057</v>
          </cell>
        </row>
        <row r="1556">
          <cell r="A1556">
            <v>8058</v>
          </cell>
        </row>
        <row r="1557">
          <cell r="A1557">
            <v>8059</v>
          </cell>
        </row>
        <row r="1558">
          <cell r="A1558">
            <v>8060</v>
          </cell>
        </row>
        <row r="1559">
          <cell r="A1559">
            <v>8061</v>
          </cell>
        </row>
        <row r="1560">
          <cell r="A1560">
            <v>8062</v>
          </cell>
        </row>
        <row r="1561">
          <cell r="A1561">
            <v>8063</v>
          </cell>
        </row>
        <row r="1562">
          <cell r="A1562">
            <v>8064</v>
          </cell>
        </row>
        <row r="1563">
          <cell r="A1563">
            <v>8065</v>
          </cell>
        </row>
        <row r="1564">
          <cell r="A1564">
            <v>8066</v>
          </cell>
        </row>
        <row r="1565">
          <cell r="A1565">
            <v>8067</v>
          </cell>
        </row>
        <row r="1566">
          <cell r="A1566">
            <v>8068</v>
          </cell>
        </row>
        <row r="1567">
          <cell r="A1567">
            <v>8069</v>
          </cell>
        </row>
        <row r="1568">
          <cell r="A1568">
            <v>8070</v>
          </cell>
        </row>
        <row r="1569">
          <cell r="A1569">
            <v>8071</v>
          </cell>
        </row>
        <row r="1570">
          <cell r="A1570">
            <v>8072</v>
          </cell>
        </row>
        <row r="1571">
          <cell r="A1571">
            <v>8073</v>
          </cell>
        </row>
        <row r="1572">
          <cell r="A1572">
            <v>8074</v>
          </cell>
        </row>
        <row r="1573">
          <cell r="A1573">
            <v>8075</v>
          </cell>
        </row>
        <row r="1574">
          <cell r="A1574">
            <v>8076</v>
          </cell>
        </row>
        <row r="1575">
          <cell r="A1575">
            <v>8077</v>
          </cell>
        </row>
        <row r="1576">
          <cell r="A1576">
            <v>8078</v>
          </cell>
        </row>
        <row r="1577">
          <cell r="A1577">
            <v>8079</v>
          </cell>
        </row>
        <row r="1578">
          <cell r="A1578">
            <v>8080</v>
          </cell>
        </row>
        <row r="1579">
          <cell r="A1579">
            <v>8081</v>
          </cell>
        </row>
        <row r="1580">
          <cell r="A1580">
            <v>8082</v>
          </cell>
        </row>
        <row r="1581">
          <cell r="A1581">
            <v>8083</v>
          </cell>
        </row>
        <row r="1582">
          <cell r="A1582">
            <v>8084</v>
          </cell>
        </row>
        <row r="1583">
          <cell r="A1583">
            <v>8087</v>
          </cell>
        </row>
        <row r="1584">
          <cell r="A1584">
            <v>8088</v>
          </cell>
        </row>
        <row r="1585">
          <cell r="A1585">
            <v>8089</v>
          </cell>
        </row>
        <row r="1586">
          <cell r="A1586">
            <v>8090</v>
          </cell>
        </row>
        <row r="1587">
          <cell r="A1587">
            <v>8095</v>
          </cell>
        </row>
        <row r="1588">
          <cell r="A1588">
            <v>8096</v>
          </cell>
        </row>
        <row r="1589">
          <cell r="A1589">
            <v>8097</v>
          </cell>
        </row>
        <row r="1590">
          <cell r="A1590">
            <v>8098</v>
          </cell>
        </row>
        <row r="1591">
          <cell r="A1591">
            <v>8099</v>
          </cell>
        </row>
        <row r="1592">
          <cell r="A1592">
            <v>9001</v>
          </cell>
        </row>
        <row r="1593">
          <cell r="A1593">
            <v>9002</v>
          </cell>
        </row>
        <row r="1594">
          <cell r="A1594">
            <v>9003</v>
          </cell>
        </row>
        <row r="1595">
          <cell r="A1595">
            <v>9004</v>
          </cell>
        </row>
        <row r="1596">
          <cell r="A1596">
            <v>10001</v>
          </cell>
        </row>
        <row r="1597">
          <cell r="A1597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tabSelected="1" workbookViewId="0">
      <selection activeCell="L19" sqref="L19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326</v>
      </c>
      <c r="B2" s="57" t="s">
        <v>106</v>
      </c>
      <c r="C2" s="62">
        <v>30020</v>
      </c>
      <c r="D2" s="57" t="s">
        <v>107</v>
      </c>
      <c r="E2" s="56" t="str">
        <f>B2&amp;C2&amp;D2</f>
        <v>floors_30020.tmp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334</v>
      </c>
      <c r="B3" s="57" t="s">
        <v>109</v>
      </c>
      <c r="C3" s="62">
        <v>30020</v>
      </c>
      <c r="D3" s="57" t="s">
        <v>107</v>
      </c>
      <c r="E3" s="56" t="str">
        <f>B3&amp;C3&amp;D3</f>
        <v>enemy_habitats_30020.tmp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326</v>
      </c>
      <c r="B4" s="57" t="s">
        <v>111</v>
      </c>
      <c r="C4" s="62">
        <v>30020</v>
      </c>
      <c r="D4" s="57" t="s">
        <v>107</v>
      </c>
      <c r="E4" s="56" t="str">
        <f>B4&amp;C4&amp;D4</f>
        <v>enemy_habitat_S_30020.tmp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326</v>
      </c>
      <c r="B5" s="57" t="s">
        <v>113</v>
      </c>
      <c r="C5" s="62">
        <v>30020</v>
      </c>
      <c r="D5" s="57" t="s">
        <v>107</v>
      </c>
      <c r="E5" s="56" t="str">
        <f>B5&amp;C5&amp;D5</f>
        <v>enemy_skill_sets_30020.tmp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327</v>
      </c>
      <c r="B6" s="57" t="s">
        <v>115</v>
      </c>
      <c r="C6" s="62">
        <v>30020</v>
      </c>
      <c r="D6" s="57" t="s">
        <v>116</v>
      </c>
      <c r="E6" s="56" t="str">
        <f t="shared" ref="E6:E12" si="0">B6&amp;C6&amp;D6</f>
        <v>enemy_skills_tmp_30020.tmp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327</v>
      </c>
      <c r="B7" s="57" t="s">
        <v>117</v>
      </c>
      <c r="C7" s="62">
        <v>30020</v>
      </c>
      <c r="D7" s="57" t="s">
        <v>107</v>
      </c>
      <c r="E7" s="56" t="str">
        <f>B7&amp;C7&amp;D7</f>
        <v>enemy_skills_i18n_30020.tmp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326</v>
      </c>
      <c r="B8" s="57" t="s">
        <v>119</v>
      </c>
      <c r="C8" s="62">
        <v>30020</v>
      </c>
      <c r="D8" s="57" t="s">
        <v>120</v>
      </c>
      <c r="E8" s="56" t="str">
        <f t="shared" si="0"/>
        <v>enemy_skill_triggers_30020.tmp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334</v>
      </c>
      <c r="B9" s="67" t="s">
        <v>178</v>
      </c>
      <c r="C9" s="62">
        <v>30020</v>
      </c>
      <c r="D9" s="67" t="s">
        <v>172</v>
      </c>
      <c r="E9" s="68" t="str">
        <f t="shared" si="0"/>
        <v>stage_bug_bonuses_30020.tmp</v>
      </c>
      <c r="F9" s="67" t="s">
        <v>173</v>
      </c>
      <c r="G9" s="64" t="s">
        <v>150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</row>
    <row r="10" spans="1:30" s="75" customFormat="1" x14ac:dyDescent="0.15">
      <c r="A10" s="61" t="s">
        <v>326</v>
      </c>
      <c r="B10" s="67" t="s">
        <v>302</v>
      </c>
      <c r="C10" s="62">
        <f>C8</f>
        <v>30020</v>
      </c>
      <c r="D10" s="67" t="s">
        <v>172</v>
      </c>
      <c r="E10" s="68" t="str">
        <f t="shared" si="0"/>
        <v>stage_hints_data_c_30020.tmp</v>
      </c>
      <c r="F10" s="67" t="s">
        <v>303</v>
      </c>
      <c r="G10" s="72" t="s">
        <v>150</v>
      </c>
      <c r="H10" s="72" t="s">
        <v>151</v>
      </c>
      <c r="I10" s="73" t="s">
        <v>191</v>
      </c>
      <c r="J10" s="66" t="s">
        <v>189</v>
      </c>
      <c r="K10" s="74" t="s">
        <v>304</v>
      </c>
    </row>
    <row r="11" spans="1:30" s="75" customFormat="1" x14ac:dyDescent="0.15">
      <c r="A11" s="61" t="s">
        <v>326</v>
      </c>
      <c r="B11" s="67" t="s">
        <v>305</v>
      </c>
      <c r="C11" s="62">
        <f>C9</f>
        <v>30020</v>
      </c>
      <c r="D11" s="67" t="s">
        <v>172</v>
      </c>
      <c r="E11" s="68" t="str">
        <f t="shared" si="0"/>
        <v>stage_hints_data_f_30020.tmp</v>
      </c>
      <c r="F11" s="67" t="s">
        <v>309</v>
      </c>
      <c r="G11" s="72" t="s">
        <v>150</v>
      </c>
      <c r="H11" s="72" t="s">
        <v>151</v>
      </c>
      <c r="I11" s="73" t="s">
        <v>191</v>
      </c>
      <c r="J11" s="66" t="s">
        <v>189</v>
      </c>
      <c r="K11" s="74" t="s">
        <v>304</v>
      </c>
    </row>
    <row r="12" spans="1:30" s="75" customFormat="1" x14ac:dyDescent="0.15">
      <c r="A12" s="61" t="s">
        <v>326</v>
      </c>
      <c r="B12" s="67" t="s">
        <v>306</v>
      </c>
      <c r="C12" s="62">
        <f t="shared" ref="C12" si="1">C11</f>
        <v>30020</v>
      </c>
      <c r="D12" s="67" t="s">
        <v>172</v>
      </c>
      <c r="E12" s="68" t="str">
        <f t="shared" si="0"/>
        <v>stage_hints_i18n_f_30020.tmp</v>
      </c>
      <c r="F12" s="67" t="s">
        <v>310</v>
      </c>
      <c r="G12" s="73" t="s">
        <v>191</v>
      </c>
      <c r="H12" s="76" t="s">
        <v>126</v>
      </c>
      <c r="I12" s="72" t="s">
        <v>307</v>
      </c>
      <c r="J12" s="77" t="s">
        <v>182</v>
      </c>
      <c r="K12" s="74" t="s">
        <v>308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V2" sqref="V2:X34"/>
      <selection pane="bottomLeft" activeCell="F26" sqref="F2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30020_1-1</v>
      </c>
      <c r="B2" s="16" t="str">
        <f>IF(COUNTIF(enemy_habitats!$H:$H,A2),"OK","NG")</f>
        <v>OK</v>
      </c>
      <c r="C2" s="7">
        <v>30020</v>
      </c>
      <c r="D2" s="11" t="str">
        <f ca="1">VLOOKUP($C2,OFFSET([2]quests!$A$1,0,0,COUNTA([2]quests!$A:$A),MATCH(D$1,[2]quests!$1:$1,0)-MATCH($C$1,[2]quests!$1:$1,0)+1),MATCH(D$1,[2]quests!$1:$1,0)-MATCH($C$1,[2]quests!$1:$1,0)+1,FALSE)</f>
        <v>若造よ、身の程を知れ</v>
      </c>
      <c r="E2" s="18" t="str">
        <f ca="1">VLOOKUP($C2,OFFSET([2]quests!$A$1,0,0,COUNTA([2]quests!$A:$A),MATCH(E$1,[2]quests!$1:$1,0)-MATCH($C$1,[2]quests!$1:$1,0)+1),MATCH(E$1,[2]quests!$1:$1,0)-MATCH($C$1,[2]quests!$1:$1,0)+1,FALSE)</f>
        <v>ドロップイベント5（マルチ専用）</v>
      </c>
      <c r="F2" s="21">
        <v>1</v>
      </c>
      <c r="G2" s="23" t="str">
        <f>C2&amp;"_"&amp;F2</f>
        <v>30020_1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【超級】若造よ、身の程を知れ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6" si="0">G3&amp;"-"&amp;I3</f>
        <v>30020_1-2</v>
      </c>
      <c r="B3" s="16" t="str">
        <f>IF(COUNTIF(enemy_habitats!$H:$H,A3),"OK","NG")</f>
        <v>OK</v>
      </c>
      <c r="C3" s="7">
        <v>30020</v>
      </c>
      <c r="D3" s="11" t="str">
        <f ca="1">VLOOKUP($C3,OFFSET([2]quests!$A$1,0,0,COUNTA([2]quests!$A:$A),MATCH(D$1,[2]quests!$1:$1,0)-MATCH($C$1,[2]quests!$1:$1,0)+1),MATCH(D$1,[2]quests!$1:$1,0)-MATCH($C$1,[2]quests!$1:$1,0)+1,FALSE)</f>
        <v>若造よ、身の程を知れ</v>
      </c>
      <c r="E3" s="18" t="str">
        <f ca="1">VLOOKUP($C3,OFFSET([2]quests!$A$1,0,0,COUNTA([2]quests!$A:$A),MATCH(E$1,[2]quests!$1:$1,0)-MATCH($C$1,[2]quests!$1:$1,0)+1),MATCH(E$1,[2]quests!$1:$1,0)-MATCH($C$1,[2]quests!$1:$1,0)+1,FALSE)</f>
        <v>ドロップイベント5（マルチ専用）</v>
      </c>
      <c r="F3" s="21">
        <v>1</v>
      </c>
      <c r="G3" s="23" t="str">
        <f t="shared" ref="G3:G6" si="1">C3&amp;"_"&amp;F3</f>
        <v>30020_1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【超級】若造よ、身の程を知れ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30020_1-3</v>
      </c>
      <c r="B4" s="16" t="str">
        <f>IF(COUNTIF(enemy_habitats!$H:$H,A4),"OK","NG")</f>
        <v>OK</v>
      </c>
      <c r="C4" s="7">
        <v>30020</v>
      </c>
      <c r="D4" s="11" t="str">
        <f ca="1">VLOOKUP($C4,OFFSET([2]quests!$A$1,0,0,COUNTA([2]quests!$A:$A),MATCH(D$1,[2]quests!$1:$1,0)-MATCH($C$1,[2]quests!$1:$1,0)+1),MATCH(D$1,[2]quests!$1:$1,0)-MATCH($C$1,[2]quests!$1:$1,0)+1,FALSE)</f>
        <v>若造よ、身の程を知れ</v>
      </c>
      <c r="E4" s="18" t="str">
        <f ca="1">VLOOKUP($C4,OFFSET([2]quests!$A$1,0,0,COUNTA([2]quests!$A:$A),MATCH(E$1,[2]quests!$1:$1,0)-MATCH($C$1,[2]quests!$1:$1,0)+1),MATCH(E$1,[2]quests!$1:$1,0)-MATCH($C$1,[2]quests!$1:$1,0)+1,FALSE)</f>
        <v>ドロップイベント5（マルチ専用）</v>
      </c>
      <c r="F4" s="21">
        <v>1</v>
      </c>
      <c r="G4" s="23" t="str">
        <f t="shared" si="1"/>
        <v>30020_1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【超級】若造よ、身の程を知れ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30020_1-4</v>
      </c>
      <c r="B5" s="16" t="str">
        <f>IF(COUNTIF(enemy_habitats!$H:$H,A5),"OK","NG")</f>
        <v>OK</v>
      </c>
      <c r="C5" s="7">
        <v>30020</v>
      </c>
      <c r="D5" s="11" t="str">
        <f ca="1">VLOOKUP($C5,OFFSET([2]quests!$A$1,0,0,COUNTA([2]quests!$A:$A),MATCH(D$1,[2]quests!$1:$1,0)-MATCH($C$1,[2]quests!$1:$1,0)+1),MATCH(D$1,[2]quests!$1:$1,0)-MATCH($C$1,[2]quests!$1:$1,0)+1,FALSE)</f>
        <v>若造よ、身の程を知れ</v>
      </c>
      <c r="E5" s="18" t="str">
        <f ca="1">VLOOKUP($C5,OFFSET([2]quests!$A$1,0,0,COUNTA([2]quests!$A:$A),MATCH(E$1,[2]quests!$1:$1,0)-MATCH($C$1,[2]quests!$1:$1,0)+1),MATCH(E$1,[2]quests!$1:$1,0)-MATCH($C$1,[2]quests!$1:$1,0)+1,FALSE)</f>
        <v>ドロップイベント5（マルチ専用）</v>
      </c>
      <c r="F5" s="21">
        <v>1</v>
      </c>
      <c r="G5" s="23" t="str">
        <f t="shared" si="1"/>
        <v>30020_1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【超級】若造よ、身の程を知れ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30020_1-5</v>
      </c>
      <c r="B6" s="16" t="str">
        <f>IF(COUNTIF(enemy_habitats!$H:$H,A6),"OK","NG")</f>
        <v>OK</v>
      </c>
      <c r="C6" s="7">
        <v>30020</v>
      </c>
      <c r="D6" s="11" t="str">
        <f ca="1">VLOOKUP($C6,OFFSET([2]quests!$A$1,0,0,COUNTA([2]quests!$A:$A),MATCH(D$1,[2]quests!$1:$1,0)-MATCH($C$1,[2]quests!$1:$1,0)+1),MATCH(D$1,[2]quests!$1:$1,0)-MATCH($C$1,[2]quests!$1:$1,0)+1,FALSE)</f>
        <v>若造よ、身の程を知れ</v>
      </c>
      <c r="E6" s="18" t="str">
        <f ca="1">VLOOKUP($C6,OFFSET([2]quests!$A$1,0,0,COUNTA([2]quests!$A:$A),MATCH(E$1,[2]quests!$1:$1,0)-MATCH($C$1,[2]quests!$1:$1,0)+1),MATCH(E$1,[2]quests!$1:$1,0)-MATCH($C$1,[2]quests!$1:$1,0)+1,FALSE)</f>
        <v>ドロップイベント5（マルチ専用）</v>
      </c>
      <c r="F6" s="21">
        <v>1</v>
      </c>
      <c r="G6" s="23" t="str">
        <f t="shared" si="1"/>
        <v>30020_1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【超級】若造よ、身の程を知れ</v>
      </c>
      <c r="I6" s="21">
        <v>5</v>
      </c>
      <c r="J6" s="12">
        <v>60</v>
      </c>
      <c r="K6" s="12">
        <v>60</v>
      </c>
    </row>
    <row r="7" spans="1:11" ht="21" customHeight="1" x14ac:dyDescent="0.15">
      <c r="A7" s="16" t="str">
        <f>G7&amp;"-"&amp;I7</f>
        <v>30020_2-1</v>
      </c>
      <c r="B7" s="16" t="str">
        <f>IF(COUNTIF(enemy_habitats!$H:$H,A7),"OK","NG")</f>
        <v>OK</v>
      </c>
      <c r="C7" s="7">
        <v>30020</v>
      </c>
      <c r="D7" s="11" t="str">
        <f ca="1">VLOOKUP($C7,OFFSET([2]quests!$A$1,0,0,COUNTA([2]quests!$A:$A),MATCH(D$1,[2]quests!$1:$1,0)-MATCH($C$1,[2]quests!$1:$1,0)+1),MATCH(D$1,[2]quests!$1:$1,0)-MATCH($C$1,[2]quests!$1:$1,0)+1,FALSE)</f>
        <v>若造よ、身の程を知れ</v>
      </c>
      <c r="E7" s="18" t="str">
        <f ca="1">VLOOKUP($C7,OFFSET([2]quests!$A$1,0,0,COUNTA([2]quests!$A:$A),MATCH(E$1,[2]quests!$1:$1,0)-MATCH($C$1,[2]quests!$1:$1,0)+1),MATCH(E$1,[2]quests!$1:$1,0)-MATCH($C$1,[2]quests!$1:$1,0)+1,FALSE)</f>
        <v>ドロップイベント5（マルチ専用）</v>
      </c>
      <c r="F7" s="21">
        <v>2</v>
      </c>
      <c r="G7" s="23" t="str">
        <f>C7&amp;"_"&amp;F7</f>
        <v>30020_2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【超絶級】若造よ、身の程を知れ</v>
      </c>
      <c r="I7" s="21">
        <v>1</v>
      </c>
      <c r="J7" s="12">
        <v>60</v>
      </c>
      <c r="K7" s="12">
        <v>60</v>
      </c>
    </row>
    <row r="8" spans="1:11" ht="21" customHeight="1" x14ac:dyDescent="0.15">
      <c r="A8" s="16" t="str">
        <f t="shared" ref="A8:A11" si="2">G8&amp;"-"&amp;I8</f>
        <v>30020_2-2</v>
      </c>
      <c r="B8" s="16" t="str">
        <f>IF(COUNTIF(enemy_habitats!$H:$H,A8),"OK","NG")</f>
        <v>OK</v>
      </c>
      <c r="C8" s="7">
        <v>30020</v>
      </c>
      <c r="D8" s="11" t="str">
        <f ca="1">VLOOKUP($C8,OFFSET([2]quests!$A$1,0,0,COUNTA([2]quests!$A:$A),MATCH(D$1,[2]quests!$1:$1,0)-MATCH($C$1,[2]quests!$1:$1,0)+1),MATCH(D$1,[2]quests!$1:$1,0)-MATCH($C$1,[2]quests!$1:$1,0)+1,FALSE)</f>
        <v>若造よ、身の程を知れ</v>
      </c>
      <c r="E8" s="18" t="str">
        <f ca="1">VLOOKUP($C8,OFFSET([2]quests!$A$1,0,0,COUNTA([2]quests!$A:$A),MATCH(E$1,[2]quests!$1:$1,0)-MATCH($C$1,[2]quests!$1:$1,0)+1),MATCH(E$1,[2]quests!$1:$1,0)-MATCH($C$1,[2]quests!$1:$1,0)+1,FALSE)</f>
        <v>ドロップイベント5（マルチ専用）</v>
      </c>
      <c r="F8" s="21">
        <v>2</v>
      </c>
      <c r="G8" s="23" t="str">
        <f t="shared" ref="G8:G11" si="3">C8&amp;"_"&amp;F8</f>
        <v>30020_2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【超絶級】若造よ、身の程を知れ</v>
      </c>
      <c r="I8" s="21">
        <v>2</v>
      </c>
      <c r="J8" s="12">
        <v>60</v>
      </c>
      <c r="K8" s="12">
        <v>60</v>
      </c>
    </row>
    <row r="9" spans="1:11" ht="21" customHeight="1" x14ac:dyDescent="0.15">
      <c r="A9" s="16" t="str">
        <f t="shared" si="2"/>
        <v>30020_2-3</v>
      </c>
      <c r="B9" s="16" t="str">
        <f>IF(COUNTIF(enemy_habitats!$H:$H,A9),"OK","NG")</f>
        <v>OK</v>
      </c>
      <c r="C9" s="7">
        <v>30020</v>
      </c>
      <c r="D9" s="11" t="str">
        <f ca="1">VLOOKUP($C9,OFFSET([2]quests!$A$1,0,0,COUNTA([2]quests!$A:$A),MATCH(D$1,[2]quests!$1:$1,0)-MATCH($C$1,[2]quests!$1:$1,0)+1),MATCH(D$1,[2]quests!$1:$1,0)-MATCH($C$1,[2]quests!$1:$1,0)+1,FALSE)</f>
        <v>若造よ、身の程を知れ</v>
      </c>
      <c r="E9" s="18" t="str">
        <f ca="1">VLOOKUP($C9,OFFSET([2]quests!$A$1,0,0,COUNTA([2]quests!$A:$A),MATCH(E$1,[2]quests!$1:$1,0)-MATCH($C$1,[2]quests!$1:$1,0)+1),MATCH(E$1,[2]quests!$1:$1,0)-MATCH($C$1,[2]quests!$1:$1,0)+1,FALSE)</f>
        <v>ドロップイベント5（マルチ専用）</v>
      </c>
      <c r="F9" s="21">
        <v>2</v>
      </c>
      <c r="G9" s="23" t="str">
        <f t="shared" si="3"/>
        <v>30020_2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【超絶級】若造よ、身の程を知れ</v>
      </c>
      <c r="I9" s="21">
        <v>3</v>
      </c>
      <c r="J9" s="12">
        <v>60</v>
      </c>
      <c r="K9" s="12">
        <v>60</v>
      </c>
    </row>
    <row r="10" spans="1:11" ht="21" customHeight="1" x14ac:dyDescent="0.15">
      <c r="A10" s="16" t="str">
        <f t="shared" si="2"/>
        <v>30020_2-4</v>
      </c>
      <c r="B10" s="16" t="str">
        <f>IF(COUNTIF(enemy_habitats!$H:$H,A10),"OK","NG")</f>
        <v>OK</v>
      </c>
      <c r="C10" s="7">
        <v>30020</v>
      </c>
      <c r="D10" s="11" t="str">
        <f ca="1">VLOOKUP($C10,OFFSET([2]quests!$A$1,0,0,COUNTA([2]quests!$A:$A),MATCH(D$1,[2]quests!$1:$1,0)-MATCH($C$1,[2]quests!$1:$1,0)+1),MATCH(D$1,[2]quests!$1:$1,0)-MATCH($C$1,[2]quests!$1:$1,0)+1,FALSE)</f>
        <v>若造よ、身の程を知れ</v>
      </c>
      <c r="E10" s="18" t="str">
        <f ca="1">VLOOKUP($C10,OFFSET([2]quests!$A$1,0,0,COUNTA([2]quests!$A:$A),MATCH(E$1,[2]quests!$1:$1,0)-MATCH($C$1,[2]quests!$1:$1,0)+1),MATCH(E$1,[2]quests!$1:$1,0)-MATCH($C$1,[2]quests!$1:$1,0)+1,FALSE)</f>
        <v>ドロップイベント5（マルチ専用）</v>
      </c>
      <c r="F10" s="21">
        <v>2</v>
      </c>
      <c r="G10" s="23" t="str">
        <f t="shared" si="3"/>
        <v>30020_2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【超絶級】若造よ、身の程を知れ</v>
      </c>
      <c r="I10" s="21">
        <v>4</v>
      </c>
      <c r="J10" s="12">
        <v>60</v>
      </c>
      <c r="K10" s="12">
        <v>60</v>
      </c>
    </row>
    <row r="11" spans="1:11" ht="21" customHeight="1" x14ac:dyDescent="0.15">
      <c r="A11" s="16" t="str">
        <f t="shared" si="2"/>
        <v>30020_2-5</v>
      </c>
      <c r="B11" s="16" t="str">
        <f>IF(COUNTIF(enemy_habitats!$H:$H,A11),"OK","NG")</f>
        <v>OK</v>
      </c>
      <c r="C11" s="7">
        <v>30020</v>
      </c>
      <c r="D11" s="11" t="str">
        <f ca="1">VLOOKUP($C11,OFFSET([2]quests!$A$1,0,0,COUNTA([2]quests!$A:$A),MATCH(D$1,[2]quests!$1:$1,0)-MATCH($C$1,[2]quests!$1:$1,0)+1),MATCH(D$1,[2]quests!$1:$1,0)-MATCH($C$1,[2]quests!$1:$1,0)+1,FALSE)</f>
        <v>若造よ、身の程を知れ</v>
      </c>
      <c r="E11" s="18" t="str">
        <f ca="1">VLOOKUP($C11,OFFSET([2]quests!$A$1,0,0,COUNTA([2]quests!$A:$A),MATCH(E$1,[2]quests!$1:$1,0)-MATCH($C$1,[2]quests!$1:$1,0)+1),MATCH(E$1,[2]quests!$1:$1,0)-MATCH($C$1,[2]quests!$1:$1,0)+1,FALSE)</f>
        <v>ドロップイベント5（マルチ専用）</v>
      </c>
      <c r="F11" s="21">
        <v>2</v>
      </c>
      <c r="G11" s="23" t="str">
        <f t="shared" si="3"/>
        <v>30020_2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【超絶級】若造よ、身の程を知れ</v>
      </c>
      <c r="I11" s="21">
        <v>5</v>
      </c>
      <c r="J11" s="12">
        <v>60</v>
      </c>
      <c r="K11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7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S19" sqref="S1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180</v>
      </c>
    </row>
    <row r="2" spans="1:40" ht="21" customHeight="1" x14ac:dyDescent="0.15">
      <c r="A2" s="16" t="str">
        <f>B2&amp;"_"&amp;C2&amp;"-"&amp;G2&amp;"/"&amp;L2&amp;"&lt;lv"&amp;R2&amp;"&gt;s"&amp;AA2</f>
        <v>30020_1-1/458&lt;lv60&gt;s2</v>
      </c>
      <c r="B2" s="22">
        <v>30020</v>
      </c>
      <c r="C2" s="101">
        <v>1</v>
      </c>
      <c r="D2" s="2" t="str">
        <f>B2&amp;"_"&amp;C2</f>
        <v>30020_1</v>
      </c>
      <c r="E2" s="4" t="str">
        <f ca="1">VLOOKUP($B2,OFFSET([2]quests!$A$1,0,0,COUNTA([2]quests!$A:$A),MATCH(E$1,[2]quests!$1:$1,0)-MATCH($B$1,[2]quests!$1:$1,0)+1),MATCH(E$1,[2]quests!$1:$1,0)-MATCH($B$1,[2]quests!$1:$1,0)+1,FALSE)</f>
        <v>若造よ、身の程を知れ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【超級】若造よ、身の程を知れ</v>
      </c>
      <c r="G2" s="101">
        <v>1</v>
      </c>
      <c r="H2" s="15" t="str">
        <f>B2&amp;"_"&amp;C2&amp;"-"&amp;G2</f>
        <v>30020_1-1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458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嵐龍 スガル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dragon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60</v>
      </c>
      <c r="S2" s="25">
        <v>0.8</v>
      </c>
      <c r="T2" s="25">
        <v>1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4">
        <v>30020000</v>
      </c>
      <c r="X2" s="6">
        <v>1</v>
      </c>
      <c r="Y2" s="6">
        <v>100</v>
      </c>
      <c r="Z2" s="6">
        <v>1</v>
      </c>
      <c r="AA2" s="17">
        <v>2</v>
      </c>
      <c r="AB2" s="24">
        <f>L2</f>
        <v>458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嵐龍 スガル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4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Drop2N</v>
      </c>
      <c r="AF2" s="7">
        <v>1</v>
      </c>
      <c r="AG2" s="24">
        <f ca="1">AD2</f>
        <v>4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ref="A3:A9" ca="1" si="0">B3&amp;"_"&amp;C3&amp;"-"&amp;G3&amp;"/"&amp;L3&amp;"&lt;lv"&amp;R3&amp;"&gt;s"&amp;AA3</f>
        <v>30020_1-2/42&lt;lv52&gt;s1</v>
      </c>
      <c r="B3" s="22">
        <v>30020</v>
      </c>
      <c r="C3" s="101">
        <v>1</v>
      </c>
      <c r="D3" s="2" t="str">
        <f t="shared" ref="D3:D9" si="1">B3&amp;"_"&amp;C3</f>
        <v>30020_1</v>
      </c>
      <c r="E3" s="4" t="str">
        <f ca="1">VLOOKUP($B3,OFFSET([2]quests!$A$1,0,0,COUNTA([2]quests!$A:$A),MATCH(E$1,[2]quests!$1:$1,0)-MATCH($B$1,[2]quests!$1:$1,0)+1),MATCH(E$1,[2]quests!$1:$1,0)-MATCH($B$1,[2]quests!$1:$1,0)+1,FALSE)</f>
        <v>若造よ、身の程を知れ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【超級】若造よ、身の程を知れ</v>
      </c>
      <c r="G3" s="102">
        <v>2</v>
      </c>
      <c r="H3" s="15" t="str">
        <f t="shared" ref="H3:H9" si="2">B3&amp;"_"&amp;C3&amp;"-"&amp;G3</f>
        <v>30020_1-2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42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燃えゆる吐息 ヒュウガ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dragon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52</v>
      </c>
      <c r="S3" s="25">
        <v>0.5</v>
      </c>
      <c r="T3" s="25">
        <v>0.6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" s="4">
        <v>30020001</v>
      </c>
      <c r="X3" s="6">
        <v>1</v>
      </c>
      <c r="Y3" s="6">
        <v>100</v>
      </c>
      <c r="Z3" s="6">
        <v>1</v>
      </c>
      <c r="AA3" s="17">
        <f ca="1">VLOOKUP($L3,OFFSET([3]enemies!$A$1,0,0,COUNTA([3]enemies!$A:$A),MATCH(AA$1,[3]enemies!$1:$1,0)-MATCH($L$1,[3]enemies!$1:$1,0)+1),MATCH(AA$1,[3]enemies!$1:$1,0)-MATCH($L$1,[3]enemies!$1:$1,0)+1,FALSE)</f>
        <v>1</v>
      </c>
      <c r="AB3" s="24">
        <f t="shared" ref="AB3:AB9" si="3">L3</f>
        <v>42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燃えゆる吐息 ヒュウガ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4">
        <f t="shared" ref="AG3:AG9" ca="1" si="4">AD3</f>
        <v>3</v>
      </c>
      <c r="AH3" s="8">
        <v>25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ca="1" si="0"/>
        <v>30020_1-2/21&lt;lv52&gt;s2</v>
      </c>
      <c r="B4" s="22">
        <v>30020</v>
      </c>
      <c r="C4" s="101">
        <v>1</v>
      </c>
      <c r="D4" s="2" t="str">
        <f t="shared" si="1"/>
        <v>30020_1</v>
      </c>
      <c r="E4" s="4" t="str">
        <f ca="1">VLOOKUP($B4,OFFSET([2]quests!$A$1,0,0,COUNTA([2]quests!$A:$A),MATCH(E$1,[2]quests!$1:$1,0)-MATCH($B$1,[2]quests!$1:$1,0)+1),MATCH(E$1,[2]quests!$1:$1,0)-MATCH($B$1,[2]quests!$1:$1,0)+1,FALSE)</f>
        <v>若造よ、身の程を知れ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【超級】若造よ、身の程を知れ</v>
      </c>
      <c r="G4" s="102">
        <v>2</v>
      </c>
      <c r="H4" s="15" t="str">
        <f t="shared" si="2"/>
        <v>30020_1-2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21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ヴェロキー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52</v>
      </c>
      <c r="S4" s="25">
        <v>0.6</v>
      </c>
      <c r="T4" s="25">
        <v>0.5</v>
      </c>
      <c r="U4" s="5">
        <v>0</v>
      </c>
      <c r="V4" s="4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" s="4">
        <v>30020002</v>
      </c>
      <c r="X4" s="6">
        <v>2</v>
      </c>
      <c r="Y4" s="6">
        <v>100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2</v>
      </c>
      <c r="AB4" s="24">
        <f t="shared" si="3"/>
        <v>21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ヴェロキー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7">
        <v>1</v>
      </c>
      <c r="AG4" s="24">
        <f t="shared" ca="1" si="4"/>
        <v>1</v>
      </c>
      <c r="AH4" s="8">
        <v>25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si="0"/>
        <v>30020_1-3/89&lt;lv60&gt;s3</v>
      </c>
      <c r="B5" s="22">
        <v>30020</v>
      </c>
      <c r="C5" s="101">
        <v>1</v>
      </c>
      <c r="D5" s="2" t="str">
        <f t="shared" si="1"/>
        <v>30020_1</v>
      </c>
      <c r="E5" s="4" t="str">
        <f ca="1">VLOOKUP($B5,OFFSET([2]quests!$A$1,0,0,COUNTA([2]quests!$A:$A),MATCH(E$1,[2]quests!$1:$1,0)-MATCH($B$1,[2]quests!$1:$1,0)+1),MATCH(E$1,[2]quests!$1:$1,0)-MATCH($B$1,[2]quests!$1:$1,0)+1,FALSE)</f>
        <v>若造よ、身の程を知れ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【超級】若造よ、身の程を知れ</v>
      </c>
      <c r="G5" s="103">
        <v>3</v>
      </c>
      <c r="H5" s="15" t="str">
        <f t="shared" si="2"/>
        <v>30020_1-3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89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守護者 玄武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dragon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60</v>
      </c>
      <c r="S5" s="25">
        <v>1</v>
      </c>
      <c r="T5" s="25">
        <v>1</v>
      </c>
      <c r="U5" s="5">
        <v>0</v>
      </c>
      <c r="V5" s="4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" s="4">
        <v>30020003</v>
      </c>
      <c r="X5" s="6">
        <v>1</v>
      </c>
      <c r="Y5" s="6">
        <v>100</v>
      </c>
      <c r="Z5" s="6">
        <v>0</v>
      </c>
      <c r="AA5" s="17">
        <v>3</v>
      </c>
      <c r="AB5" s="24">
        <f t="shared" si="3"/>
        <v>89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守護者 玄武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4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Drop2N</v>
      </c>
      <c r="AF5" s="7">
        <v>1</v>
      </c>
      <c r="AG5" s="24">
        <f t="shared" ca="1" si="4"/>
        <v>4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si="0"/>
        <v>30020_1-3/92&lt;lv60&gt;s2</v>
      </c>
      <c r="B6" s="22">
        <v>30020</v>
      </c>
      <c r="C6" s="101">
        <v>1</v>
      </c>
      <c r="D6" s="2" t="str">
        <f t="shared" si="1"/>
        <v>30020_1</v>
      </c>
      <c r="E6" s="4" t="str">
        <f ca="1">VLOOKUP($B6,OFFSET([2]quests!$A$1,0,0,COUNTA([2]quests!$A:$A),MATCH(E$1,[2]quests!$1:$1,0)-MATCH($B$1,[2]quests!$1:$1,0)+1),MATCH(E$1,[2]quests!$1:$1,0)-MATCH($B$1,[2]quests!$1:$1,0)+1,FALSE)</f>
        <v>若造よ、身の程を知れ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【超級】若造よ、身の程を知れ</v>
      </c>
      <c r="G6" s="103">
        <v>3</v>
      </c>
      <c r="H6" s="15" t="str">
        <f t="shared" si="2"/>
        <v>30020_1-3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92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守護者 青龍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dragon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60</v>
      </c>
      <c r="S6" s="25">
        <v>0.7</v>
      </c>
      <c r="T6" s="25">
        <v>0.8</v>
      </c>
      <c r="U6" s="5">
        <v>0</v>
      </c>
      <c r="V6" s="4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6" s="4">
        <v>30020004</v>
      </c>
      <c r="X6" s="6">
        <v>1</v>
      </c>
      <c r="Y6" s="6">
        <v>100</v>
      </c>
      <c r="Z6" s="6">
        <v>0</v>
      </c>
      <c r="AA6" s="17">
        <v>2</v>
      </c>
      <c r="AB6" s="24">
        <f t="shared" si="3"/>
        <v>92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守護者 青龍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Drop2N</v>
      </c>
      <c r="AF6" s="7">
        <v>1</v>
      </c>
      <c r="AG6" s="24">
        <f t="shared" ca="1" si="4"/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ca="1" si="0"/>
        <v>30020_1-4/44&lt;lv52&gt;s2</v>
      </c>
      <c r="B7" s="22">
        <v>30020</v>
      </c>
      <c r="C7" s="101">
        <v>1</v>
      </c>
      <c r="D7" s="2" t="str">
        <f t="shared" si="1"/>
        <v>30020_1</v>
      </c>
      <c r="E7" s="4" t="str">
        <f ca="1">VLOOKUP($B7,OFFSET([2]quests!$A$1,0,0,COUNTA([2]quests!$A:$A),MATCH(E$1,[2]quests!$1:$1,0)-MATCH($B$1,[2]quests!$1:$1,0)+1),MATCH(E$1,[2]quests!$1:$1,0)-MATCH($B$1,[2]quests!$1:$1,0)+1,FALSE)</f>
        <v>若造よ、身の程を知れ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【超級】若造よ、身の程を知れ</v>
      </c>
      <c r="G7" s="104">
        <v>4</v>
      </c>
      <c r="H7" s="15" t="str">
        <f t="shared" si="2"/>
        <v>30020_1-4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44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遠い星からやってきたムゥ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dragon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52</v>
      </c>
      <c r="S7" s="25">
        <v>0.4</v>
      </c>
      <c r="T7" s="25">
        <v>0.8</v>
      </c>
      <c r="U7" s="5">
        <v>0</v>
      </c>
      <c r="V7" s="4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7" s="4">
        <v>30020005</v>
      </c>
      <c r="X7" s="6">
        <v>1</v>
      </c>
      <c r="Y7" s="6">
        <v>100</v>
      </c>
      <c r="Z7" s="6">
        <v>1</v>
      </c>
      <c r="AA7" s="17">
        <f ca="1">VLOOKUP($L7,OFFSET([3]enemies!$A$1,0,0,COUNTA([3]enemies!$A:$A),MATCH(AA$1,[3]enemies!$1:$1,0)-MATCH($L$1,[3]enemies!$1:$1,0)+1),MATCH(AA$1,[3]enemies!$1:$1,0)-MATCH($L$1,[3]enemies!$1:$1,0)+1,FALSE)</f>
        <v>2</v>
      </c>
      <c r="AB7" s="24">
        <f t="shared" si="3"/>
        <v>44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遠い星からやってきたムゥ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3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Drop1N</v>
      </c>
      <c r="AF7" s="7">
        <v>1</v>
      </c>
      <c r="AG7" s="24">
        <f t="shared" ca="1" si="4"/>
        <v>3</v>
      </c>
      <c r="AH7" s="8">
        <v>25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ca="1" si="0"/>
        <v>30020_1-4/43&lt;lv52&gt;s2</v>
      </c>
      <c r="B8" s="22">
        <v>30020</v>
      </c>
      <c r="C8" s="101">
        <v>1</v>
      </c>
      <c r="D8" s="2" t="str">
        <f t="shared" si="1"/>
        <v>30020_1</v>
      </c>
      <c r="E8" s="4" t="str">
        <f ca="1">VLOOKUP($B8,OFFSET([2]quests!$A$1,0,0,COUNTA([2]quests!$A:$A),MATCH(E$1,[2]quests!$1:$1,0)-MATCH($B$1,[2]quests!$1:$1,0)+1),MATCH(E$1,[2]quests!$1:$1,0)-MATCH($B$1,[2]quests!$1:$1,0)+1,FALSE)</f>
        <v>若造よ、身の程を知れ</v>
      </c>
      <c r="F8" s="4" t="str">
        <f ca="1">VLOOKUP($D8,OFFSET([2]stages!$A$1,0,0,COUNTA([2]stages!$A:$A),MATCH(F$1,[2]stages!$2:$2,0)-MATCH($D$1,[2]stages!$2:$2,0)+1),MATCH(F$1,[2]stages!$2:$2,0)-MATCH($D$1,[2]stages!$2:$2,0)+1,FALSE)</f>
        <v>【超級】若造よ、身の程を知れ</v>
      </c>
      <c r="G8" s="104">
        <v>4</v>
      </c>
      <c r="H8" s="15" t="str">
        <f t="shared" si="2"/>
        <v>30020_1-4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43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ムゥ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dragon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52</v>
      </c>
      <c r="S8" s="25">
        <v>1</v>
      </c>
      <c r="T8" s="25">
        <v>1.1000000000000001</v>
      </c>
      <c r="U8" s="5">
        <v>0</v>
      </c>
      <c r="V8" s="4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8" s="4">
        <v>30020005</v>
      </c>
      <c r="X8" s="6">
        <v>2</v>
      </c>
      <c r="Y8" s="6">
        <v>100</v>
      </c>
      <c r="Z8" s="6">
        <v>0</v>
      </c>
      <c r="AA8" s="17">
        <f ca="1">VLOOKUP($L8,OFFSET([3]enemies!$A$1,0,0,COUNTA([3]enemies!$A:$A),MATCH(AA$1,[3]enemies!$1:$1,0)-MATCH($L$1,[3]enemies!$1:$1,0)+1),MATCH(AA$1,[3]enemies!$1:$1,0)-MATCH($L$1,[3]enemies!$1:$1,0)+1,FALSE)</f>
        <v>2</v>
      </c>
      <c r="AB8" s="24">
        <f t="shared" si="3"/>
        <v>43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ムゥ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Drop1N</v>
      </c>
      <c r="AF8" s="7">
        <v>1</v>
      </c>
      <c r="AG8" s="24">
        <f t="shared" ca="1" si="4"/>
        <v>2</v>
      </c>
      <c r="AH8" s="8">
        <v>25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 x14ac:dyDescent="0.15">
      <c r="A9" s="16" t="str">
        <f t="shared" si="0"/>
        <v>30020_1-5/458&lt;lv60&gt;s2</v>
      </c>
      <c r="B9" s="22">
        <v>30020</v>
      </c>
      <c r="C9" s="101">
        <v>1</v>
      </c>
      <c r="D9" s="2" t="str">
        <f t="shared" si="1"/>
        <v>30020_1</v>
      </c>
      <c r="E9" s="4" t="str">
        <f ca="1">VLOOKUP($B9,OFFSET([2]quests!$A$1,0,0,COUNTA([2]quests!$A:$A),MATCH(E$1,[2]quests!$1:$1,0)-MATCH($B$1,[2]quests!$1:$1,0)+1),MATCH(E$1,[2]quests!$1:$1,0)-MATCH($B$1,[2]quests!$1:$1,0)+1,FALSE)</f>
        <v>若造よ、身の程を知れ</v>
      </c>
      <c r="F9" s="4" t="str">
        <f ca="1">VLOOKUP($D9,OFFSET([2]stages!$A$1,0,0,COUNTA([2]stages!$A:$A),MATCH(F$1,[2]stages!$2:$2,0)-MATCH($D$1,[2]stages!$2:$2,0)+1),MATCH(F$1,[2]stages!$2:$2,0)-MATCH($D$1,[2]stages!$2:$2,0)+1,FALSE)</f>
        <v>【超級】若造よ、身の程を知れ</v>
      </c>
      <c r="G9" s="21">
        <v>5</v>
      </c>
      <c r="H9" s="15" t="str">
        <f t="shared" si="2"/>
        <v>30020_1-5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20">
        <v>458</v>
      </c>
      <c r="M9" s="17" t="str">
        <f ca="1">VLOOKUP($L9,OFFSET([3]enemies!$A$1,0,0,COUNTA([3]enemies!$A:$A),MATCH(M$1,[3]enemies!$1:$1,0)-MATCH($L$1,[3]enemies!$1:$1,0)+1),MATCH(M$1,[3]enemies!$1:$1,0)-MATCH($L$1,[3]enemies!$1:$1,0)+1,FALSE)</f>
        <v>嵐龍 スガル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Drop2N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dragon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60</v>
      </c>
      <c r="S9" s="25">
        <v>1.3</v>
      </c>
      <c r="T9" s="25">
        <v>1</v>
      </c>
      <c r="U9" s="5">
        <v>0</v>
      </c>
      <c r="V9" s="4" t="e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9" s="4">
        <v>30020006</v>
      </c>
      <c r="X9" s="6">
        <v>1</v>
      </c>
      <c r="Y9" s="6">
        <v>100</v>
      </c>
      <c r="Z9" s="6">
        <v>1</v>
      </c>
      <c r="AA9" s="17">
        <v>2</v>
      </c>
      <c r="AB9" s="24">
        <f t="shared" si="3"/>
        <v>458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嵐龍 スガル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Drop2N</v>
      </c>
      <c r="AF9" s="7">
        <v>1</v>
      </c>
      <c r="AG9" s="24">
        <f t="shared" ca="1" si="4"/>
        <v>4</v>
      </c>
      <c r="AH9" s="8">
        <v>50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 x14ac:dyDescent="0.15">
      <c r="A10" s="16" t="str">
        <f>B10&amp;"_"&amp;C10&amp;"-"&amp;G10&amp;"/"&amp;L10&amp;"&lt;lv"&amp;R10&amp;"&gt;s"&amp;AA10</f>
        <v>30020_2-1/458&lt;lv70&gt;s2</v>
      </c>
      <c r="B10" s="22">
        <v>30020</v>
      </c>
      <c r="C10" s="102">
        <v>2</v>
      </c>
      <c r="D10" s="2" t="str">
        <f>B10&amp;"_"&amp;C10</f>
        <v>30020_2</v>
      </c>
      <c r="E10" s="4" t="str">
        <f ca="1">VLOOKUP($B10,OFFSET([2]quests!$A$1,0,0,COUNTA([2]quests!$A:$A),MATCH(E$1,[2]quests!$1:$1,0)-MATCH($B$1,[2]quests!$1:$1,0)+1),MATCH(E$1,[2]quests!$1:$1,0)-MATCH($B$1,[2]quests!$1:$1,0)+1,FALSE)</f>
        <v>若造よ、身の程を知れ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【超絶級】若造よ、身の程を知れ</v>
      </c>
      <c r="G10" s="101">
        <v>1</v>
      </c>
      <c r="H10" s="15" t="str">
        <f>B10&amp;"_"&amp;C10&amp;"-"&amp;G10</f>
        <v>30020_2-1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458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嵐龍 スガル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dragon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70</v>
      </c>
      <c r="S10" s="25">
        <v>0.8</v>
      </c>
      <c r="T10" s="25">
        <v>1</v>
      </c>
      <c r="U10" s="5">
        <v>0</v>
      </c>
      <c r="V10" s="4" t="e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0" s="4">
        <v>30020000</v>
      </c>
      <c r="X10" s="6">
        <v>1</v>
      </c>
      <c r="Y10" s="6">
        <v>100</v>
      </c>
      <c r="Z10" s="6">
        <v>1</v>
      </c>
      <c r="AA10" s="17">
        <v>2</v>
      </c>
      <c r="AB10" s="24">
        <f>L10</f>
        <v>458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嵐龍 スガル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Drop2N</v>
      </c>
      <c r="AF10" s="7">
        <v>1</v>
      </c>
      <c r="AG10" s="24">
        <f ca="1">AD10</f>
        <v>4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 x14ac:dyDescent="0.15">
      <c r="A11" s="16" t="str">
        <f t="shared" ref="A11:A17" ca="1" si="5">B11&amp;"_"&amp;C11&amp;"-"&amp;G11&amp;"/"&amp;L11&amp;"&lt;lv"&amp;R11&amp;"&gt;s"&amp;AA11</f>
        <v>30020_2-2/42&lt;lv68&gt;s1</v>
      </c>
      <c r="B11" s="22">
        <v>30020</v>
      </c>
      <c r="C11" s="102">
        <v>2</v>
      </c>
      <c r="D11" s="2" t="str">
        <f t="shared" ref="D11:D17" si="6">B11&amp;"_"&amp;C11</f>
        <v>30020_2</v>
      </c>
      <c r="E11" s="4" t="str">
        <f ca="1">VLOOKUP($B11,OFFSET([2]quests!$A$1,0,0,COUNTA([2]quests!$A:$A),MATCH(E$1,[2]quests!$1:$1,0)-MATCH($B$1,[2]quests!$1:$1,0)+1),MATCH(E$1,[2]quests!$1:$1,0)-MATCH($B$1,[2]quests!$1:$1,0)+1,FALSE)</f>
        <v>若造よ、身の程を知れ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【超絶級】若造よ、身の程を知れ</v>
      </c>
      <c r="G11" s="102">
        <v>2</v>
      </c>
      <c r="H11" s="15" t="str">
        <f t="shared" ref="H11:H17" si="7">B11&amp;"_"&amp;C11&amp;"-"&amp;G11</f>
        <v>30020_2-2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42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燃えゆる吐息 ヒュウガ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dragon</v>
      </c>
      <c r="Q11" s="17">
        <f ca="1">VLOOKUP($L11,OFFSET([3]enemies!$A$1,0,0,COUNTA([3]enemies!$A:$A),MATCH(Q$1,[3]enemies!$1:$1,0)-MATCH($L$1,[3]enemies!$1:$1,0)+1),MATCH(Q$1,[3]enemies!$1:$1,0)-MATCH($L$1,[3]enemies!$1:$1,0)+1,FALSE)</f>
        <v>20</v>
      </c>
      <c r="R11" s="5">
        <v>68</v>
      </c>
      <c r="S11" s="25">
        <v>0.5</v>
      </c>
      <c r="T11" s="25">
        <v>0.6</v>
      </c>
      <c r="U11" s="5">
        <v>0</v>
      </c>
      <c r="V11" s="4" t="e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1" s="4">
        <v>30020001</v>
      </c>
      <c r="X11" s="6">
        <v>1</v>
      </c>
      <c r="Y11" s="6">
        <v>100</v>
      </c>
      <c r="Z11" s="6">
        <v>1</v>
      </c>
      <c r="AA11" s="17">
        <f ca="1">VLOOKUP($L11,OFFSET([3]enemies!$A$1,0,0,COUNTA([3]enemies!$A:$A),MATCH(AA$1,[3]enemies!$1:$1,0)-MATCH($L$1,[3]enemies!$1:$1,0)+1),MATCH(AA$1,[3]enemies!$1:$1,0)-MATCH($L$1,[3]enemies!$1:$1,0)+1,FALSE)</f>
        <v>1</v>
      </c>
      <c r="AB11" s="24">
        <f t="shared" ref="AB11:AB17" si="8">L11</f>
        <v>42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燃えゆる吐息 ヒュウガ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3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Drop1N</v>
      </c>
      <c r="AF11" s="7">
        <v>1</v>
      </c>
      <c r="AG11" s="24">
        <f t="shared" ref="AG11:AG17" ca="1" si="9">AD11</f>
        <v>3</v>
      </c>
      <c r="AH11" s="8">
        <v>25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  <row r="12" spans="1:40" ht="21" customHeight="1" x14ac:dyDescent="0.15">
      <c r="A12" s="16" t="str">
        <f t="shared" ca="1" si="5"/>
        <v>30020_2-2/21&lt;lv68&gt;s2</v>
      </c>
      <c r="B12" s="22">
        <v>30020</v>
      </c>
      <c r="C12" s="102">
        <v>2</v>
      </c>
      <c r="D12" s="2" t="str">
        <f t="shared" si="6"/>
        <v>30020_2</v>
      </c>
      <c r="E12" s="4" t="str">
        <f ca="1">VLOOKUP($B12,OFFSET([2]quests!$A$1,0,0,COUNTA([2]quests!$A:$A),MATCH(E$1,[2]quests!$1:$1,0)-MATCH($B$1,[2]quests!$1:$1,0)+1),MATCH(E$1,[2]quests!$1:$1,0)-MATCH($B$1,[2]quests!$1:$1,0)+1,FALSE)</f>
        <v>若造よ、身の程を知れ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【超絶級】若造よ、身の程を知れ</v>
      </c>
      <c r="G12" s="102">
        <v>2</v>
      </c>
      <c r="H12" s="15" t="str">
        <f t="shared" si="7"/>
        <v>30020_2-2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21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ヴェロキー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dragon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68</v>
      </c>
      <c r="S12" s="25">
        <v>0.6</v>
      </c>
      <c r="T12" s="25">
        <v>0.5</v>
      </c>
      <c r="U12" s="5">
        <v>0</v>
      </c>
      <c r="V12" s="4" t="e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2" s="4">
        <v>30020002</v>
      </c>
      <c r="X12" s="6">
        <v>2</v>
      </c>
      <c r="Y12" s="6">
        <v>100</v>
      </c>
      <c r="Z12" s="6">
        <v>0</v>
      </c>
      <c r="AA12" s="17">
        <f ca="1">VLOOKUP($L12,OFFSET([3]enemies!$A$1,0,0,COUNTA([3]enemies!$A:$A),MATCH(AA$1,[3]enemies!$1:$1,0)-MATCH($L$1,[3]enemies!$1:$1,0)+1),MATCH(AA$1,[3]enemies!$1:$1,0)-MATCH($L$1,[3]enemies!$1:$1,0)+1,FALSE)</f>
        <v>2</v>
      </c>
      <c r="AB12" s="24">
        <f t="shared" si="8"/>
        <v>21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ヴェロキー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1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Drop1N</v>
      </c>
      <c r="AF12" s="7">
        <v>1</v>
      </c>
      <c r="AG12" s="24">
        <f t="shared" ca="1" si="9"/>
        <v>1</v>
      </c>
      <c r="AH12" s="8">
        <v>25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  <row r="13" spans="1:40" ht="21" customHeight="1" x14ac:dyDescent="0.15">
      <c r="A13" s="16" t="str">
        <f t="shared" si="5"/>
        <v>30020_2-3/89&lt;lv75&gt;s3</v>
      </c>
      <c r="B13" s="22">
        <v>30020</v>
      </c>
      <c r="C13" s="102">
        <v>2</v>
      </c>
      <c r="D13" s="2" t="str">
        <f t="shared" si="6"/>
        <v>30020_2</v>
      </c>
      <c r="E13" s="4" t="str">
        <f ca="1">VLOOKUP($B13,OFFSET([2]quests!$A$1,0,0,COUNTA([2]quests!$A:$A),MATCH(E$1,[2]quests!$1:$1,0)-MATCH($B$1,[2]quests!$1:$1,0)+1),MATCH(E$1,[2]quests!$1:$1,0)-MATCH($B$1,[2]quests!$1:$1,0)+1,FALSE)</f>
        <v>若造よ、身の程を知れ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【超絶級】若造よ、身の程を知れ</v>
      </c>
      <c r="G13" s="103">
        <v>3</v>
      </c>
      <c r="H13" s="15" t="str">
        <f t="shared" si="7"/>
        <v>30020_2-3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53</v>
      </c>
      <c r="L13" s="20">
        <v>89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守護者 玄武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dragon</v>
      </c>
      <c r="Q13" s="17">
        <f ca="1">VLOOKUP($L13,OFFSET([3]enemies!$A$1,0,0,COUNTA([3]enemies!$A:$A),MATCH(Q$1,[3]enemies!$1:$1,0)-MATCH($L$1,[3]enemies!$1:$1,0)+1),MATCH(Q$1,[3]enemies!$1:$1,0)-MATCH($L$1,[3]enemies!$1:$1,0)+1,FALSE)</f>
        <v>30</v>
      </c>
      <c r="R13" s="5">
        <v>75</v>
      </c>
      <c r="S13" s="25">
        <v>1</v>
      </c>
      <c r="T13" s="25">
        <v>1</v>
      </c>
      <c r="U13" s="5">
        <v>0</v>
      </c>
      <c r="V13" s="4" t="e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3" s="4">
        <v>30020003</v>
      </c>
      <c r="X13" s="6">
        <v>1</v>
      </c>
      <c r="Y13" s="6">
        <v>100</v>
      </c>
      <c r="Z13" s="6">
        <v>0</v>
      </c>
      <c r="AA13" s="17">
        <v>3</v>
      </c>
      <c r="AB13" s="24">
        <f t="shared" si="8"/>
        <v>89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守護者 玄武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4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Drop2N</v>
      </c>
      <c r="AF13" s="7">
        <v>1</v>
      </c>
      <c r="AG13" s="24">
        <f t="shared" ca="1" si="9"/>
        <v>4</v>
      </c>
      <c r="AH13" s="8">
        <v>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9">
        <v>1</v>
      </c>
    </row>
    <row r="14" spans="1:40" ht="21" customHeight="1" x14ac:dyDescent="0.15">
      <c r="A14" s="16" t="str">
        <f t="shared" si="5"/>
        <v>30020_2-3/92&lt;lv75&gt;s2</v>
      </c>
      <c r="B14" s="22">
        <v>30020</v>
      </c>
      <c r="C14" s="102">
        <v>2</v>
      </c>
      <c r="D14" s="2" t="str">
        <f t="shared" si="6"/>
        <v>30020_2</v>
      </c>
      <c r="E14" s="4" t="str">
        <f ca="1">VLOOKUP($B14,OFFSET([2]quests!$A$1,0,0,COUNTA([2]quests!$A:$A),MATCH(E$1,[2]quests!$1:$1,0)-MATCH($B$1,[2]quests!$1:$1,0)+1),MATCH(E$1,[2]quests!$1:$1,0)-MATCH($B$1,[2]quests!$1:$1,0)+1,FALSE)</f>
        <v>若造よ、身の程を知れ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【超絶級】若造よ、身の程を知れ</v>
      </c>
      <c r="G14" s="103">
        <v>3</v>
      </c>
      <c r="H14" s="15" t="str">
        <f t="shared" si="7"/>
        <v>30020_2-3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92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守護者 青龍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Drop2N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dragon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75</v>
      </c>
      <c r="S14" s="25">
        <v>0.7</v>
      </c>
      <c r="T14" s="25">
        <v>0.8</v>
      </c>
      <c r="U14" s="5">
        <v>0</v>
      </c>
      <c r="V14" s="4" t="e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4" s="4">
        <v>30020004</v>
      </c>
      <c r="X14" s="6">
        <v>1</v>
      </c>
      <c r="Y14" s="6">
        <v>100</v>
      </c>
      <c r="Z14" s="6">
        <v>0</v>
      </c>
      <c r="AA14" s="17">
        <v>2</v>
      </c>
      <c r="AB14" s="24">
        <f t="shared" si="8"/>
        <v>92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守護者 青龍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4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Drop2N</v>
      </c>
      <c r="AF14" s="7">
        <v>1</v>
      </c>
      <c r="AG14" s="24">
        <f t="shared" ca="1" si="9"/>
        <v>4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9">
        <v>1</v>
      </c>
    </row>
    <row r="15" spans="1:40" ht="21" customHeight="1" x14ac:dyDescent="0.15">
      <c r="A15" s="16" t="str">
        <f t="shared" ca="1" si="5"/>
        <v>30020_2-4/44&lt;lv68&gt;s2</v>
      </c>
      <c r="B15" s="22">
        <v>30020</v>
      </c>
      <c r="C15" s="102">
        <v>2</v>
      </c>
      <c r="D15" s="2" t="str">
        <f t="shared" si="6"/>
        <v>30020_2</v>
      </c>
      <c r="E15" s="4" t="str">
        <f ca="1">VLOOKUP($B15,OFFSET([2]quests!$A$1,0,0,COUNTA([2]quests!$A:$A),MATCH(E$1,[2]quests!$1:$1,0)-MATCH($B$1,[2]quests!$1:$1,0)+1),MATCH(E$1,[2]quests!$1:$1,0)-MATCH($B$1,[2]quests!$1:$1,0)+1,FALSE)</f>
        <v>若造よ、身の程を知れ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【超絶級】若造よ、身の程を知れ</v>
      </c>
      <c r="G15" s="104">
        <v>4</v>
      </c>
      <c r="H15" s="15" t="str">
        <f t="shared" si="7"/>
        <v>30020_2-4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20">
        <v>44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遠い星からやってきたムゥ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dragon</v>
      </c>
      <c r="Q15" s="17">
        <f ca="1">VLOOKUP($L15,OFFSET([3]enemies!$A$1,0,0,COUNTA([3]enemies!$A:$A),MATCH(Q$1,[3]enemies!$1:$1,0)-MATCH($L$1,[3]enemies!$1:$1,0)+1),MATCH(Q$1,[3]enemies!$1:$1,0)-MATCH($L$1,[3]enemies!$1:$1,0)+1,FALSE)</f>
        <v>20</v>
      </c>
      <c r="R15" s="5">
        <v>68</v>
      </c>
      <c r="S15" s="25">
        <v>0.4</v>
      </c>
      <c r="T15" s="25">
        <v>0.8</v>
      </c>
      <c r="U15" s="5">
        <v>0</v>
      </c>
      <c r="V15" s="4" t="e">
        <f ca="1">VLOOKUP($W15,OFFSET([5]enemy_skill_sets!$B$1,0,0,COUNTA([5]enemy_skill_sets!$B:$B),MATCH(M$1,[5]enemy_skill_sets!$1:$1,0)-MATCH($W$1,[5]enemy_skill_sets!$1:$1,0)+2),MATCH(M$1,[5]enemy_skill_sets!$1:$1,0)-MATCH($W$1,[5]enemy_skill_sets!$1:$1,0)+2,FALSE)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5" s="4">
        <v>30020005</v>
      </c>
      <c r="X15" s="6">
        <v>1</v>
      </c>
      <c r="Y15" s="6">
        <v>100</v>
      </c>
      <c r="Z15" s="6">
        <v>1</v>
      </c>
      <c r="AA15" s="17">
        <f ca="1">VLOOKUP($L15,OFFSET([3]enemies!$A$1,0,0,COUNTA([3]enemies!$A:$A),MATCH(AA$1,[3]enemies!$1:$1,0)-MATCH($L$1,[3]enemies!$1:$1,0)+1),MATCH(AA$1,[3]enemies!$1:$1,0)-MATCH($L$1,[3]enemies!$1:$1,0)+1,FALSE)</f>
        <v>2</v>
      </c>
      <c r="AB15" s="24">
        <f t="shared" si="8"/>
        <v>44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遠い星からやってきたムゥ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3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Drop1N</v>
      </c>
      <c r="AF15" s="7">
        <v>1</v>
      </c>
      <c r="AG15" s="24">
        <f t="shared" ca="1" si="9"/>
        <v>3</v>
      </c>
      <c r="AH15" s="8">
        <v>25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9">
        <v>1</v>
      </c>
    </row>
    <row r="16" spans="1:40" ht="21" customHeight="1" x14ac:dyDescent="0.15">
      <c r="A16" s="16" t="str">
        <f t="shared" ca="1" si="5"/>
        <v>30020_2-4/43&lt;lv68&gt;s2</v>
      </c>
      <c r="B16" s="22">
        <v>30020</v>
      </c>
      <c r="C16" s="102">
        <v>2</v>
      </c>
      <c r="D16" s="2" t="str">
        <f t="shared" si="6"/>
        <v>30020_2</v>
      </c>
      <c r="E16" s="4" t="str">
        <f ca="1">VLOOKUP($B16,OFFSET([2]quests!$A$1,0,0,COUNTA([2]quests!$A:$A),MATCH(E$1,[2]quests!$1:$1,0)-MATCH($B$1,[2]quests!$1:$1,0)+1),MATCH(E$1,[2]quests!$1:$1,0)-MATCH($B$1,[2]quests!$1:$1,0)+1,FALSE)</f>
        <v>若造よ、身の程を知れ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【超絶級】若造よ、身の程を知れ</v>
      </c>
      <c r="G16" s="104">
        <v>4</v>
      </c>
      <c r="H16" s="15" t="str">
        <f t="shared" si="7"/>
        <v>30020_2-4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43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ムゥ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dragon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68</v>
      </c>
      <c r="S16" s="25">
        <v>1</v>
      </c>
      <c r="T16" s="25">
        <v>1.1000000000000001</v>
      </c>
      <c r="U16" s="5">
        <v>0</v>
      </c>
      <c r="V16" s="4" t="e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6" s="4">
        <v>30020005</v>
      </c>
      <c r="X16" s="6">
        <v>2</v>
      </c>
      <c r="Y16" s="6">
        <v>100</v>
      </c>
      <c r="Z16" s="6">
        <v>0</v>
      </c>
      <c r="AA16" s="17">
        <f ca="1">VLOOKUP($L16,OFFSET([3]enemies!$A$1,0,0,COUNTA([3]enemies!$A:$A),MATCH(AA$1,[3]enemies!$1:$1,0)-MATCH($L$1,[3]enemies!$1:$1,0)+1),MATCH(AA$1,[3]enemies!$1:$1,0)-MATCH($L$1,[3]enemies!$1:$1,0)+1,FALSE)</f>
        <v>2</v>
      </c>
      <c r="AB16" s="24">
        <f t="shared" si="8"/>
        <v>43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ムゥ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2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Drop1N</v>
      </c>
      <c r="AF16" s="7">
        <v>1</v>
      </c>
      <c r="AG16" s="24">
        <f t="shared" ca="1" si="9"/>
        <v>2</v>
      </c>
      <c r="AH16" s="8">
        <v>25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9">
        <v>1</v>
      </c>
    </row>
    <row r="17" spans="1:40" ht="21" customHeight="1" x14ac:dyDescent="0.15">
      <c r="A17" s="16" t="str">
        <f t="shared" si="5"/>
        <v>30020_2-5/458&lt;lv75&gt;s2</v>
      </c>
      <c r="B17" s="22">
        <v>30020</v>
      </c>
      <c r="C17" s="102">
        <v>2</v>
      </c>
      <c r="D17" s="2" t="str">
        <f t="shared" si="6"/>
        <v>30020_2</v>
      </c>
      <c r="E17" s="4" t="str">
        <f ca="1">VLOOKUP($B17,OFFSET([2]quests!$A$1,0,0,COUNTA([2]quests!$A:$A),MATCH(E$1,[2]quests!$1:$1,0)-MATCH($B$1,[2]quests!$1:$1,0)+1),MATCH(E$1,[2]quests!$1:$1,0)-MATCH($B$1,[2]quests!$1:$1,0)+1,FALSE)</f>
        <v>若造よ、身の程を知れ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【超絶級】若造よ、身の程を知れ</v>
      </c>
      <c r="G17" s="21">
        <v>5</v>
      </c>
      <c r="H17" s="15" t="str">
        <f t="shared" si="7"/>
        <v>30020_2-5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>
        <v>2</v>
      </c>
      <c r="L17" s="20">
        <v>458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嵐龍 スガル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Drop2N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dragon</v>
      </c>
      <c r="Q17" s="17">
        <f ca="1">VLOOKUP($L17,OFFSET([3]enemies!$A$1,0,0,COUNTA([3]enemies!$A:$A),MATCH(Q$1,[3]enemies!$1:$1,0)-MATCH($L$1,[3]enemies!$1:$1,0)+1),MATCH(Q$1,[3]enemies!$1:$1,0)-MATCH($L$1,[3]enemies!$1:$1,0)+1,FALSE)</f>
        <v>30</v>
      </c>
      <c r="R17" s="5">
        <v>75</v>
      </c>
      <c r="S17" s="25">
        <v>1.6</v>
      </c>
      <c r="T17" s="25">
        <v>1</v>
      </c>
      <c r="U17" s="5">
        <v>0</v>
      </c>
      <c r="V17" s="4" t="e">
        <f ca="1">VLOOKUP($W17,OFFSET([5]enemy_skill_sets!$B$1,0,0,COUNTA([5]enemy_skill_sets!$B:$B),MATCH(M$1,[5]enemy_skill_sets!$1:$1,0)-MATCH($W$1,[5]enemy_skill_sets!$1:$1,0)+2),MATCH(M$1,[5]enemy_skill_sets!$1:$1,0)-MATCH($W$1,[5]enemy_skill_sets!$1:$1,0)+2,FALSE)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7" s="4">
        <v>30020006</v>
      </c>
      <c r="X17" s="6">
        <v>1</v>
      </c>
      <c r="Y17" s="6">
        <v>100</v>
      </c>
      <c r="Z17" s="6">
        <v>1</v>
      </c>
      <c r="AA17" s="17">
        <v>2</v>
      </c>
      <c r="AB17" s="24">
        <f t="shared" si="8"/>
        <v>458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嵐龍 スガル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4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Drop2N</v>
      </c>
      <c r="AF17" s="7">
        <v>1</v>
      </c>
      <c r="AG17" s="24">
        <f t="shared" ca="1" si="9"/>
        <v>4</v>
      </c>
      <c r="AH17" s="8">
        <v>100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T2" activePane="bottomRight" state="frozen"/>
      <selection activeCell="E25" sqref="E25"/>
      <selection pane="topRight" activeCell="E25" sqref="E25"/>
      <selection pane="bottomLeft" activeCell="E25" sqref="E25"/>
      <selection pane="bottomRight" activeCell="T6" sqref="T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30020_1-5/459&lt;lv60&gt;sq1st2</v>
      </c>
      <c r="B2" s="22">
        <v>30020</v>
      </c>
      <c r="C2" s="101">
        <v>1</v>
      </c>
      <c r="D2" s="2" t="str">
        <f>B2&amp;"_"&amp;C2</f>
        <v>30020_1</v>
      </c>
      <c r="E2" s="4" t="str">
        <f ca="1">VLOOKUP($B2,OFFSET([2]quests!$A$1,0,0,COUNTA([2]quests!$A:$A),MATCH(E$1,[2]quests!$1:$1,0)-MATCH($B$1,[2]quests!$1:$1,0)+1),MATCH(E$1,[2]quests!$1:$1,0)-MATCH($B$1,[2]quests!$1:$1,0)+1,FALSE)</f>
        <v>若造よ、身の程を知れ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【超級】若造よ、身の程を知れ</v>
      </c>
      <c r="G2" s="21">
        <v>5</v>
      </c>
      <c r="H2" s="15" t="str">
        <f>B2&amp;"_"&amp;C2&amp;"-"&amp;G2</f>
        <v>30020_1-5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459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威喝の嵐龍 スガル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5">
        <v>1.2</v>
      </c>
      <c r="U2" s="25">
        <v>1.1000000000000001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30020007</v>
      </c>
      <c r="Y2" s="70">
        <v>2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30020_2-5/459&lt;lv75&gt;sq2st2</v>
      </c>
      <c r="B3" s="22">
        <v>30020</v>
      </c>
      <c r="C3" s="102">
        <v>2</v>
      </c>
      <c r="D3" s="2" t="str">
        <f t="shared" ref="D3:D4" si="1">B3&amp;"_"&amp;C3</f>
        <v>30020_2</v>
      </c>
      <c r="E3" s="4" t="str">
        <f ca="1">VLOOKUP($B3,OFFSET([2]quests!$A$1,0,0,COUNTA([2]quests!$A:$A),MATCH(E$1,[2]quests!$1:$1,0)-MATCH($B$1,[2]quests!$1:$1,0)+1),MATCH(E$1,[2]quests!$1:$1,0)-MATCH($B$1,[2]quests!$1:$1,0)+1,FALSE)</f>
        <v>若造よ、身の程を知れ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【超絶級】若造よ、身の程を知れ</v>
      </c>
      <c r="G3" s="21">
        <v>5</v>
      </c>
      <c r="H3" s="15" t="str">
        <f t="shared" ref="H3:H4" si="2">B3&amp;"_"&amp;C3&amp;"-"&amp;G3</f>
        <v>30020_2-5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459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威喝の嵐龍 スガル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dragon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75</v>
      </c>
      <c r="T3" s="25">
        <v>1.5</v>
      </c>
      <c r="U3" s="25">
        <v>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30020007</v>
      </c>
      <c r="Y3" s="70">
        <v>2</v>
      </c>
    </row>
    <row r="4" spans="1:25" ht="21" customHeight="1" x14ac:dyDescent="0.15">
      <c r="A4" s="16" t="str">
        <f t="shared" si="0"/>
        <v>30020_2-5/459&lt;lv75&gt;sq2st3</v>
      </c>
      <c r="B4" s="22">
        <v>30020</v>
      </c>
      <c r="C4" s="102">
        <v>2</v>
      </c>
      <c r="D4" s="2" t="str">
        <f t="shared" si="1"/>
        <v>30020_2</v>
      </c>
      <c r="E4" s="4" t="str">
        <f ca="1">VLOOKUP($B4,OFFSET([2]quests!$A$1,0,0,COUNTA([2]quests!$A:$A),MATCH(E$1,[2]quests!$1:$1,0)-MATCH($B$1,[2]quests!$1:$1,0)+1),MATCH(E$1,[2]quests!$1:$1,0)-MATCH($B$1,[2]quests!$1:$1,0)+1,FALSE)</f>
        <v>若造よ、身の程を知れ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【超絶級】若造よ、身の程を知れ</v>
      </c>
      <c r="G4" s="21">
        <v>5</v>
      </c>
      <c r="H4" s="15" t="str">
        <f t="shared" si="2"/>
        <v>30020_2-5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459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威喝の嵐龍 スガル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dragon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75</v>
      </c>
      <c r="T4" s="25">
        <v>1.5</v>
      </c>
      <c r="U4" s="25">
        <v>1.1000000000000001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30020008</v>
      </c>
      <c r="Y4" s="70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8"/>
  <sheetViews>
    <sheetView showGridLines="0" workbookViewId="0">
      <pane ySplit="1" topLeftCell="A38" activePane="bottomLeft" state="frozenSplit"/>
      <selection pane="bottomLeft" activeCell="B36" sqref="B3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15.83203125" style="49" bestFit="1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30020000</v>
      </c>
      <c r="B2" s="47" t="s">
        <v>252</v>
      </c>
      <c r="C2" s="50">
        <v>3</v>
      </c>
      <c r="D2" s="50" t="s">
        <v>127</v>
      </c>
      <c r="E2" s="51" t="s">
        <v>261</v>
      </c>
      <c r="F2" s="96" t="s">
        <v>207</v>
      </c>
      <c r="G2" s="63" t="str">
        <f>IFERROR(LEFT(B2,FIND("],",B2)),B2)</f>
        <v>[effect:damage_anti_tribe, target:unit_all, tribe:god, val1:2.0, val2:0.15]</v>
      </c>
      <c r="H2" s="63">
        <f>FIND("effect:",G2)+7</f>
        <v>9</v>
      </c>
      <c r="I2" s="63">
        <f>IFERROR(FIND(",",G2),LEN(G2))</f>
        <v>26</v>
      </c>
      <c r="J2" s="63">
        <f>FIND("target:",G2)+7</f>
        <v>35</v>
      </c>
      <c r="K2" s="63">
        <f>FIND(",",G2,I2+1)</f>
        <v>43</v>
      </c>
      <c r="L2" s="63" t="str">
        <f>IFERROR(VLOOKUP(MID(G2,J2,K2-J2),[6]skilldef!$C:$D,2,FALSE),"-") &amp; " / " &amp; IFERROR(VLOOKUP(MID(G2,H2,I2-H2),[6]skilldef!$A:$B,2,FALSE),"-")</f>
        <v>味方全体に / 種族キラー</v>
      </c>
      <c r="M2" s="63" t="str">
        <f>IFERROR(RIGHT(B2,LEN(B2)-FIND("],",B2)-1),"none")</f>
        <v>none</v>
      </c>
      <c r="N2" s="48" t="str">
        <f>IFERROR(LEFT(M2,FIND("],",M2)+S12),M2)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30020001</v>
      </c>
      <c r="B3" s="47" t="s">
        <v>332</v>
      </c>
      <c r="C3" s="50">
        <v>3</v>
      </c>
      <c r="D3" s="50" t="s">
        <v>127</v>
      </c>
      <c r="E3" s="51" t="s">
        <v>299</v>
      </c>
      <c r="F3" s="51" t="s">
        <v>208</v>
      </c>
      <c r="G3" s="63" t="str">
        <f t="shared" ref="G3:G50" si="0">IFERROR(LEFT(B3,FIND("],",B3)),B3)</f>
        <v>[effect:damage_anti_tribe, target:unit_all, tribe:dragon, val1:0.01, val2:5.0]</v>
      </c>
      <c r="H3" s="63">
        <f t="shared" ref="H3:H51" si="1">FIND("effect:",G3)+7</f>
        <v>9</v>
      </c>
      <c r="I3" s="63">
        <f t="shared" ref="I3:I50" si="2">IFERROR(FIND(",",G3),LEN(G3))</f>
        <v>26</v>
      </c>
      <c r="J3" s="63">
        <f t="shared" ref="J3:J50" si="3">FIND("target:",G3)+7</f>
        <v>35</v>
      </c>
      <c r="K3" s="63">
        <f t="shared" ref="K3:K50" si="4">FIND(",",G3,I3+1)</f>
        <v>43</v>
      </c>
      <c r="L3" s="63" t="str">
        <f>IFERROR(VLOOKUP(MID(G3,J3,K3-J3),[6]skilldef!$C:$D,2,FALSE),"-") &amp; " / " &amp; IFERROR(VLOOKUP(MID(G3,H3,I3-H3),[6]skilldef!$A:$B,2,FALSE),"-")</f>
        <v>味方全体に / 種族キラー</v>
      </c>
      <c r="M3" s="63" t="str">
        <f t="shared" ref="M3:M50" si="5">IFERROR(RIGHT(B3,LEN(B3)-FIND("],",B3)-1),"none")</f>
        <v>[effect:damage_anti_tribe, target:unit_all, tribe:dragon, val1:0.01, val2:5.0],[effect:hungup, target:unit_dragon/not, turn:15, rate:1, animation:hungup01]</v>
      </c>
      <c r="N3" s="48" t="str">
        <f t="shared" ref="N3:N50" si="6">IFERROR(LEFT(M3,FIND("],",M3)+S13),M3)</f>
        <v>[effect:damage_anti_tribe, target:unit_all, tribe:dragon, val1:0.01, val2:5.0],[effect:hungup, target:unit_dragon/not, turn:15, rate:1, animation:hungup01]</v>
      </c>
      <c r="O3" s="63">
        <f t="shared" ref="O3:O51" si="7">FIND("effect:",N3)+7</f>
        <v>9</v>
      </c>
      <c r="P3" s="63">
        <f t="shared" ref="P3:P50" si="8">IFERROR(FIND(",",N3),LEN(N3))</f>
        <v>26</v>
      </c>
      <c r="Q3" s="63">
        <f t="shared" ref="Q3:Q50" si="9">FIND("target:",N3)+7</f>
        <v>35</v>
      </c>
      <c r="R3" s="63">
        <f t="shared" ref="R3:R50" si="10">FIND(",",N3,P3+1)</f>
        <v>43</v>
      </c>
      <c r="S3" s="63" t="str">
        <f>IFERROR(VLOOKUP(MID(N3,Q3,R3-Q3),[6]skilldef!$C:$D,2,FALSE),"-") &amp; " / " &amp; IFERROR(VLOOKUP(MID(N3,O3,P3-O3),[6]skilldef!$A:$B,2,FALSE),"-")</f>
        <v>味方全体に / 種族キラー</v>
      </c>
      <c r="T3" s="48" t="str">
        <f t="shared" ref="T3:T50" si="11">IFERROR(RIGHT(M3,LEN(M3)-FIND("],",M3)-1),"none")</f>
        <v>[effect:hungup, target:unit_dragon/not, turn:15, rate:1, animation:hungup01]</v>
      </c>
      <c r="U3" s="63">
        <f t="shared" ref="U3:U51" si="12">FIND("effect:",T3)+7</f>
        <v>9</v>
      </c>
      <c r="V3" s="63">
        <f t="shared" ref="V3:V50" si="13">IFERROR(FIND(",",T3),LEN(T3))</f>
        <v>15</v>
      </c>
      <c r="W3" s="63">
        <f t="shared" ref="W3:W50" si="14">FIND("target:",T3)+7</f>
        <v>24</v>
      </c>
      <c r="X3" s="63">
        <f t="shared" ref="X3:X50" si="15">FIND(",",T3,V3+1)</f>
        <v>39</v>
      </c>
      <c r="Y3" s="63" t="str">
        <f>IFERROR(VLOOKUP(MID(T3,W3,X3-W3),[6]skilldef!$C:$D,2,FALSE),"-") &amp; " / " &amp; IFERROR(VLOOKUP(MID(T3,U3,V3-U3),[6]skilldef!$A:$B,2,FALSE),"-")</f>
        <v>- / ハングアップ</v>
      </c>
      <c r="Z3" s="50"/>
      <c r="AA3" s="52"/>
      <c r="AB3" s="50"/>
    </row>
    <row r="4" spans="1:28" ht="21" customHeight="1" x14ac:dyDescent="0.15">
      <c r="A4" s="47">
        <v>30020002</v>
      </c>
      <c r="B4" s="47" t="s">
        <v>246</v>
      </c>
      <c r="C4" s="50">
        <v>3</v>
      </c>
      <c r="D4" s="50" t="s">
        <v>127</v>
      </c>
      <c r="E4" s="51" t="s">
        <v>262</v>
      </c>
      <c r="F4" s="51" t="s">
        <v>220</v>
      </c>
      <c r="G4" s="63" t="str">
        <f t="shared" si="0"/>
        <v>[effect:rush, count:5, val:0.3]</v>
      </c>
      <c r="H4" s="63">
        <f t="shared" si="1"/>
        <v>9</v>
      </c>
      <c r="I4" s="63">
        <f t="shared" si="2"/>
        <v>13</v>
      </c>
      <c r="J4" s="63" t="e">
        <f t="shared" si="3"/>
        <v>#VALUE!</v>
      </c>
      <c r="K4" s="63">
        <f t="shared" si="4"/>
        <v>22</v>
      </c>
      <c r="L4" s="63" t="str">
        <f>IFERROR(VLOOKUP(MID(G4,J4,K4-J4),[6]skilldef!$C:$D,2,FALSE),"-") &amp; " / " &amp; IFERROR(VLOOKUP(MID(G4,H4,I4-H4),[6]skilldef!$A:$B,2,FALSE),"-")</f>
        <v>- / 連続攻撃</v>
      </c>
      <c r="M4" s="63" t="str">
        <f t="shared" si="5"/>
        <v>none</v>
      </c>
      <c r="N4" s="48" t="str">
        <f t="shared" si="6"/>
        <v>none</v>
      </c>
      <c r="O4" s="63" t="e">
        <f t="shared" si="7"/>
        <v>#VALUE!</v>
      </c>
      <c r="P4" s="63">
        <f t="shared" si="8"/>
        <v>4</v>
      </c>
      <c r="Q4" s="63" t="e">
        <f t="shared" si="9"/>
        <v>#VALUE!</v>
      </c>
      <c r="R4" s="63" t="e">
        <f t="shared" si="10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30020003</v>
      </c>
      <c r="B5" s="47" t="s">
        <v>206</v>
      </c>
      <c r="C5" s="50">
        <v>3</v>
      </c>
      <c r="D5" s="50" t="s">
        <v>127</v>
      </c>
      <c r="E5" s="51" t="s">
        <v>197</v>
      </c>
      <c r="F5" s="51" t="s">
        <v>197</v>
      </c>
      <c r="G5" s="63" t="str">
        <f t="shared" si="0"/>
        <v>[effect:nothing]</v>
      </c>
      <c r="H5" s="63">
        <f t="shared" si="1"/>
        <v>9</v>
      </c>
      <c r="I5" s="63">
        <f t="shared" si="2"/>
        <v>16</v>
      </c>
      <c r="J5" s="63" t="e">
        <f t="shared" si="3"/>
        <v>#VALUE!</v>
      </c>
      <c r="K5" s="63" t="e">
        <f t="shared" si="4"/>
        <v>#VALUE!</v>
      </c>
      <c r="L5" s="63" t="str">
        <f>IFERROR(VLOOKUP(MID(G5,J5,K5-J5),[6]skilldef!$C:$D,2,FALSE),"-") &amp; " / " &amp; IFERROR(VLOOKUP(MID(G5,H5,I5-H5),[6]skilldef!$A:$B,2,FALSE),"-")</f>
        <v>- / 何もしない</v>
      </c>
      <c r="M5" s="63" t="str">
        <f t="shared" si="5"/>
        <v>none</v>
      </c>
      <c r="N5" s="48" t="str">
        <f t="shared" si="6"/>
        <v>none</v>
      </c>
      <c r="O5" s="63" t="e">
        <f t="shared" si="7"/>
        <v>#VALUE!</v>
      </c>
      <c r="P5" s="63">
        <f t="shared" si="8"/>
        <v>4</v>
      </c>
      <c r="Q5" s="63" t="e">
        <f t="shared" si="9"/>
        <v>#VALUE!</v>
      </c>
      <c r="R5" s="63" t="e">
        <f t="shared" si="10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30020004</v>
      </c>
      <c r="B6" s="47" t="s">
        <v>206</v>
      </c>
      <c r="C6" s="50">
        <v>3</v>
      </c>
      <c r="D6" s="50" t="s">
        <v>127</v>
      </c>
      <c r="E6" s="51" t="s">
        <v>197</v>
      </c>
      <c r="F6" s="51" t="s">
        <v>197</v>
      </c>
      <c r="G6" s="63" t="str">
        <f t="shared" si="0"/>
        <v>[effect:nothing]</v>
      </c>
      <c r="H6" s="63">
        <f t="shared" si="1"/>
        <v>9</v>
      </c>
      <c r="I6" s="63">
        <f t="shared" si="2"/>
        <v>16</v>
      </c>
      <c r="J6" s="63" t="e">
        <f t="shared" si="3"/>
        <v>#VALUE!</v>
      </c>
      <c r="K6" s="63" t="e">
        <f t="shared" si="4"/>
        <v>#VALUE!</v>
      </c>
      <c r="L6" s="63" t="str">
        <f>IFERROR(VLOOKUP(MID(G6,J6,K6-J6),[6]skilldef!$C:$D,2,FALSE),"-") &amp; " / " &amp; IFERROR(VLOOKUP(MID(G6,H6,I6-H6),[6]skilldef!$A:$B,2,FALSE),"-")</f>
        <v>- / 何もしない</v>
      </c>
      <c r="M6" s="63" t="str">
        <f t="shared" si="5"/>
        <v>none</v>
      </c>
      <c r="N6" s="48" t="str">
        <f t="shared" si="6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30020005</v>
      </c>
      <c r="B7" s="47" t="s">
        <v>206</v>
      </c>
      <c r="C7" s="50">
        <v>3</v>
      </c>
      <c r="D7" s="50" t="s">
        <v>127</v>
      </c>
      <c r="E7" s="51" t="s">
        <v>197</v>
      </c>
      <c r="F7" s="51" t="s">
        <v>197</v>
      </c>
      <c r="G7" s="63" t="str">
        <f t="shared" si="0"/>
        <v>[effect:nothing]</v>
      </c>
      <c r="H7" s="63">
        <f t="shared" si="1"/>
        <v>9</v>
      </c>
      <c r="I7" s="63">
        <f t="shared" si="2"/>
        <v>16</v>
      </c>
      <c r="J7" s="63" t="e">
        <f t="shared" si="3"/>
        <v>#VALUE!</v>
      </c>
      <c r="K7" s="63" t="e">
        <f t="shared" si="4"/>
        <v>#VALUE!</v>
      </c>
      <c r="L7" s="63" t="str">
        <f>IFERROR(VLOOKUP(MID(G7,J7,K7-J7),[6]skilldef!$C:$D,2,FALSE),"-") &amp; " / " &amp; IFERROR(VLOOKUP(MID(G7,H7,I7-H7),[6]skilldef!$A:$B,2,FALSE),"-")</f>
        <v>- / 何もしない</v>
      </c>
      <c r="M7" s="63" t="str">
        <f t="shared" si="5"/>
        <v>none</v>
      </c>
      <c r="N7" s="48" t="str">
        <f t="shared" si="6"/>
        <v>none</v>
      </c>
      <c r="O7" s="63" t="e">
        <f t="shared" si="7"/>
        <v>#VALUE!</v>
      </c>
      <c r="P7" s="63">
        <f t="shared" si="8"/>
        <v>4</v>
      </c>
      <c r="Q7" s="63" t="e">
        <f t="shared" si="9"/>
        <v>#VALUE!</v>
      </c>
      <c r="R7" s="63" t="e">
        <f t="shared" si="10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30020006</v>
      </c>
      <c r="B8" s="47" t="s">
        <v>245</v>
      </c>
      <c r="C8" s="50">
        <v>3</v>
      </c>
      <c r="D8" s="50" t="s">
        <v>127</v>
      </c>
      <c r="E8" s="51" t="s">
        <v>255</v>
      </c>
      <c r="F8" s="51" t="s">
        <v>209</v>
      </c>
      <c r="G8" s="63" t="str">
        <f t="shared" si="0"/>
        <v>[effect:damage_anti_color, target:unit_all, color:green, val1:0.9, val2:0.1]</v>
      </c>
      <c r="H8" s="63">
        <f t="shared" si="1"/>
        <v>9</v>
      </c>
      <c r="I8" s="63">
        <f t="shared" si="2"/>
        <v>26</v>
      </c>
      <c r="J8" s="63">
        <f t="shared" si="3"/>
        <v>35</v>
      </c>
      <c r="K8" s="63">
        <f t="shared" si="4"/>
        <v>43</v>
      </c>
      <c r="L8" s="63" t="str">
        <f>IFERROR(VLOOKUP(MID(G8,J8,K8-J8),[6]skilldef!$C:$D,2,FALSE),"-") &amp; " / " &amp; IFERROR(VLOOKUP(MID(G8,H8,I8-H8),[6]skilldef!$A:$B,2,FALSE),"-")</f>
        <v>味方全体に / 属性キラー</v>
      </c>
      <c r="M8" s="63" t="str">
        <f t="shared" si="5"/>
        <v>none</v>
      </c>
      <c r="N8" s="48" t="str">
        <f t="shared" si="6"/>
        <v>none</v>
      </c>
      <c r="O8" s="63" t="e">
        <f t="shared" si="7"/>
        <v>#VALUE!</v>
      </c>
      <c r="P8" s="63">
        <f t="shared" si="8"/>
        <v>4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113">
        <v>30020007</v>
      </c>
      <c r="B9" s="113" t="s">
        <v>210</v>
      </c>
      <c r="C9" s="114">
        <v>1</v>
      </c>
      <c r="D9" s="114" t="s">
        <v>127</v>
      </c>
      <c r="E9" s="115" t="s">
        <v>198</v>
      </c>
      <c r="F9" s="115" t="s">
        <v>211</v>
      </c>
      <c r="G9" s="63" t="str">
        <f t="shared" si="0"/>
        <v>[effect:freq_turn, target:myself, turn:3, val:1, animation:enemy_freq_turn]</v>
      </c>
      <c r="H9" s="63">
        <f t="shared" si="1"/>
        <v>9</v>
      </c>
      <c r="I9" s="63">
        <f t="shared" si="2"/>
        <v>18</v>
      </c>
      <c r="J9" s="63">
        <f t="shared" si="3"/>
        <v>27</v>
      </c>
      <c r="K9" s="63">
        <f t="shared" si="4"/>
        <v>33</v>
      </c>
      <c r="L9" s="63" t="str">
        <f>IFERROR(VLOOKUP(MID(G9,J9,K9-J9),[6]skilldef!$C:$D,2,FALSE),"-") &amp; " / " &amp; IFERROR(VLOOKUP(MID(G9,H9,I9-H9),[6]skilldef!$A:$B,2,FALSE),"-")</f>
        <v>自分自身に / 攻撃頻度がUP</v>
      </c>
      <c r="M9" s="63" t="str">
        <f t="shared" si="5"/>
        <v>none</v>
      </c>
      <c r="N9" s="48" t="str">
        <f t="shared" si="6"/>
        <v>none</v>
      </c>
      <c r="O9" s="63" t="e">
        <f t="shared" si="7"/>
        <v>#VALUE!</v>
      </c>
      <c r="P9" s="63">
        <f t="shared" si="8"/>
        <v>4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30020008</v>
      </c>
      <c r="B10" s="47" t="s">
        <v>206</v>
      </c>
      <c r="C10" s="50">
        <v>3</v>
      </c>
      <c r="D10" s="50" t="s">
        <v>127</v>
      </c>
      <c r="E10" s="51" t="s">
        <v>199</v>
      </c>
      <c r="F10" s="51" t="s">
        <v>199</v>
      </c>
      <c r="G10" s="63" t="str">
        <f t="shared" si="0"/>
        <v>[effect:nothing]</v>
      </c>
      <c r="H10" s="63">
        <f t="shared" si="1"/>
        <v>9</v>
      </c>
      <c r="I10" s="63">
        <f t="shared" si="2"/>
        <v>16</v>
      </c>
      <c r="J10" s="63" t="e">
        <f t="shared" si="3"/>
        <v>#VALUE!</v>
      </c>
      <c r="K10" s="63" t="e">
        <f t="shared" si="4"/>
        <v>#VALUE!</v>
      </c>
      <c r="L10" s="63" t="str">
        <f>IFERROR(VLOOKUP(MID(G10,J10,K10-J10),[6]skilldef!$C:$D,2,FALSE),"-") &amp; " / " &amp; IFERROR(VLOOKUP(MID(G10,H10,I10-H10),[6]skilldef!$A:$B,2,FALSE),"-")</f>
        <v>- / 何もしない</v>
      </c>
      <c r="M10" s="63" t="str">
        <f t="shared" si="5"/>
        <v>none</v>
      </c>
      <c r="N10" s="48" t="str">
        <f t="shared" si="6"/>
        <v>none</v>
      </c>
      <c r="O10" s="63" t="e">
        <f t="shared" si="7"/>
        <v>#VALUE!</v>
      </c>
      <c r="P10" s="63">
        <f t="shared" si="8"/>
        <v>4</v>
      </c>
      <c r="Q10" s="63" t="e">
        <f t="shared" si="9"/>
        <v>#VALUE!</v>
      </c>
      <c r="R10" s="63" t="e">
        <f t="shared" si="10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30020009</v>
      </c>
      <c r="B11" s="47" t="s">
        <v>213</v>
      </c>
      <c r="C11" s="50">
        <v>3</v>
      </c>
      <c r="D11" s="50" t="s">
        <v>127</v>
      </c>
      <c r="E11" s="51" t="s">
        <v>259</v>
      </c>
      <c r="F11" s="51" t="s">
        <v>214</v>
      </c>
      <c r="G11" s="63" t="str">
        <f t="shared" si="0"/>
        <v>[effect:critical, val:2]</v>
      </c>
      <c r="H11" s="63">
        <f t="shared" si="1"/>
        <v>9</v>
      </c>
      <c r="I11" s="63">
        <f t="shared" si="2"/>
        <v>17</v>
      </c>
      <c r="J11" s="63" t="e">
        <f t="shared" si="3"/>
        <v>#VALUE!</v>
      </c>
      <c r="K11" s="63" t="e">
        <f t="shared" si="4"/>
        <v>#VALUE!</v>
      </c>
      <c r="L11" s="63" t="str">
        <f>IFERROR(VLOOKUP(MID(G11,J11,K11-J11),[6]skilldef!$C:$D,2,FALSE),"-") &amp; " / " &amp; IFERROR(VLOOKUP(MID(G11,H11,I11-H11),[6]skilldef!$A:$B,2,FALSE),"-")</f>
        <v>- / 大攻撃</v>
      </c>
      <c r="M11" s="63" t="str">
        <f t="shared" si="5"/>
        <v>none</v>
      </c>
      <c r="N11" s="48" t="str">
        <f t="shared" si="6"/>
        <v>none</v>
      </c>
      <c r="O11" s="63" t="e">
        <f t="shared" si="7"/>
        <v>#VALUE!</v>
      </c>
      <c r="P11" s="63">
        <f t="shared" si="8"/>
        <v>4</v>
      </c>
      <c r="Q11" s="63" t="e">
        <f t="shared" si="9"/>
        <v>#VALUE!</v>
      </c>
      <c r="R11" s="63" t="e">
        <f t="shared" si="10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30020010</v>
      </c>
      <c r="B12" s="47" t="s">
        <v>206</v>
      </c>
      <c r="C12" s="50">
        <v>3</v>
      </c>
      <c r="D12" s="50" t="s">
        <v>127</v>
      </c>
      <c r="E12" s="51" t="s">
        <v>200</v>
      </c>
      <c r="F12" s="51" t="s">
        <v>200</v>
      </c>
      <c r="G12" s="63" t="str">
        <f t="shared" si="0"/>
        <v>[effect:nothing]</v>
      </c>
      <c r="H12" s="63">
        <f t="shared" si="1"/>
        <v>9</v>
      </c>
      <c r="I12" s="63">
        <f t="shared" si="2"/>
        <v>16</v>
      </c>
      <c r="J12" s="63" t="e">
        <f t="shared" si="3"/>
        <v>#VALUE!</v>
      </c>
      <c r="K12" s="63" t="e">
        <f t="shared" si="4"/>
        <v>#VALUE!</v>
      </c>
      <c r="L12" s="63" t="str">
        <f>IFERROR(VLOOKUP(MID(G12,J12,K12-J12),[6]skilldef!$C:$D,2,FALSE),"-") &amp; " / " &amp; IFERROR(VLOOKUP(MID(G12,H12,I12-H12),[6]skilldef!$A:$B,2,FALSE),"-")</f>
        <v>- / 何もしない</v>
      </c>
      <c r="M12" s="63" t="str">
        <f t="shared" si="5"/>
        <v>none</v>
      </c>
      <c r="N12" s="48" t="str">
        <f t="shared" si="6"/>
        <v>none</v>
      </c>
      <c r="O12" s="63" t="e">
        <f t="shared" si="7"/>
        <v>#VALUE!</v>
      </c>
      <c r="P12" s="63">
        <f t="shared" si="8"/>
        <v>4</v>
      </c>
      <c r="Q12" s="63" t="e">
        <f t="shared" si="9"/>
        <v>#VALUE!</v>
      </c>
      <c r="R12" s="63" t="e">
        <f t="shared" si="10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none</v>
      </c>
      <c r="U12" s="63" t="e">
        <f t="shared" si="12"/>
        <v>#VALUE!</v>
      </c>
      <c r="V12" s="63">
        <f t="shared" si="13"/>
        <v>4</v>
      </c>
      <c r="W12" s="63" t="e">
        <f t="shared" si="14"/>
        <v>#VALUE!</v>
      </c>
      <c r="X12" s="63" t="e">
        <f t="shared" si="15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30020011</v>
      </c>
      <c r="B13" s="47" t="s">
        <v>206</v>
      </c>
      <c r="C13" s="50">
        <v>3</v>
      </c>
      <c r="D13" s="50" t="s">
        <v>127</v>
      </c>
      <c r="E13" s="51" t="s">
        <v>200</v>
      </c>
      <c r="F13" s="51" t="s">
        <v>200</v>
      </c>
      <c r="G13" s="63" t="str">
        <f t="shared" si="0"/>
        <v>[effect:nothing]</v>
      </c>
      <c r="H13" s="63">
        <f t="shared" si="1"/>
        <v>9</v>
      </c>
      <c r="I13" s="63">
        <f t="shared" si="2"/>
        <v>16</v>
      </c>
      <c r="J13" s="63" t="e">
        <f t="shared" si="3"/>
        <v>#VALUE!</v>
      </c>
      <c r="K13" s="63" t="e">
        <f t="shared" si="4"/>
        <v>#VALUE!</v>
      </c>
      <c r="L13" s="63" t="str">
        <f>IFERROR(VLOOKUP(MID(G13,J13,K13-J13),[6]skilldef!$C:$D,2,FALSE),"-") &amp; " / " &amp; IFERROR(VLOOKUP(MID(G13,H13,I13-H13),[6]skilldef!$A:$B,2,FALSE),"-")</f>
        <v>- / 何もしない</v>
      </c>
      <c r="M13" s="63" t="str">
        <f t="shared" si="5"/>
        <v>none</v>
      </c>
      <c r="N13" s="48" t="str">
        <f t="shared" si="6"/>
        <v>none</v>
      </c>
      <c r="O13" s="63" t="e">
        <f t="shared" si="7"/>
        <v>#VALUE!</v>
      </c>
      <c r="P13" s="63">
        <f t="shared" si="8"/>
        <v>4</v>
      </c>
      <c r="Q13" s="63" t="e">
        <f t="shared" si="9"/>
        <v>#VALUE!</v>
      </c>
      <c r="R13" s="63" t="e">
        <f t="shared" si="10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30020012</v>
      </c>
      <c r="B14" s="47" t="s">
        <v>285</v>
      </c>
      <c r="C14" s="50">
        <v>3</v>
      </c>
      <c r="D14" s="50" t="s">
        <v>239</v>
      </c>
      <c r="E14" s="51" t="s">
        <v>256</v>
      </c>
      <c r="F14" s="51" t="s">
        <v>286</v>
      </c>
      <c r="G14" s="63" t="str">
        <f t="shared" si="0"/>
        <v>[effect:enhance_enemy, target:myself, turn:3, status:defense, val:5000, calc:add, animation:enemy_enhance_enemy]</v>
      </c>
      <c r="H14" s="63">
        <f t="shared" si="1"/>
        <v>9</v>
      </c>
      <c r="I14" s="63">
        <f t="shared" si="2"/>
        <v>22</v>
      </c>
      <c r="J14" s="63">
        <f t="shared" si="3"/>
        <v>31</v>
      </c>
      <c r="K14" s="63">
        <f t="shared" si="4"/>
        <v>37</v>
      </c>
      <c r="L14" s="63" t="str">
        <f>IFERROR(VLOOKUP(MID(G14,J14,K14-J14),[6]skilldef!$C:$D,2,FALSE),"-") &amp; " / " &amp; IFERROR(VLOOKUP(MID(G14,H14,I14-H14),[6]skilldef!$A:$B,2,FALSE),"-")</f>
        <v>自分自身に / ステータス強化</v>
      </c>
      <c r="M14" s="63" t="str">
        <f t="shared" si="5"/>
        <v>[effect:fix_speed,target:myself,turn:3]</v>
      </c>
      <c r="N14" s="48" t="str">
        <f t="shared" si="6"/>
        <v>[effect:fix_speed,target:myself,turn:3]</v>
      </c>
      <c r="O14" s="63">
        <f t="shared" si="7"/>
        <v>9</v>
      </c>
      <c r="P14" s="63">
        <f t="shared" si="8"/>
        <v>18</v>
      </c>
      <c r="Q14" s="63">
        <f t="shared" si="9"/>
        <v>26</v>
      </c>
      <c r="R14" s="63">
        <f t="shared" si="10"/>
        <v>32</v>
      </c>
      <c r="S14" s="63" t="str">
        <f>IFERROR(VLOOKUP(MID(N14,Q14,R14-Q14),[6]skilldef!$C:$D,2,FALSE),"-") &amp; " / " &amp; IFERROR(VLOOKUP(MID(N14,O14,P14-O14),[6]skilldef!$A:$B,2,FALSE),"-")</f>
        <v>自分自身に / 行動値設定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30020013</v>
      </c>
      <c r="B15" s="47" t="s">
        <v>324</v>
      </c>
      <c r="C15" s="50">
        <v>3</v>
      </c>
      <c r="D15" s="50" t="s">
        <v>127</v>
      </c>
      <c r="E15" s="51" t="s">
        <v>253</v>
      </c>
      <c r="F15" s="51" t="s">
        <v>215</v>
      </c>
      <c r="G15" s="63" t="str">
        <f t="shared" si="0"/>
        <v>[effect:crash_condition, target:unit_all, val:4, turn:5, animation:enemy_crash_extend]</v>
      </c>
      <c r="H15" s="63">
        <f t="shared" si="1"/>
        <v>9</v>
      </c>
      <c r="I15" s="63">
        <f t="shared" si="2"/>
        <v>24</v>
      </c>
      <c r="J15" s="63">
        <f t="shared" si="3"/>
        <v>33</v>
      </c>
      <c r="K15" s="63">
        <f t="shared" si="4"/>
        <v>41</v>
      </c>
      <c r="L15" s="63" t="str">
        <f>IFERROR(VLOOKUP(MID(G15,J15,K15-J15),[6]skilldef!$C:$D,2,FALSE),"-") &amp; " / " &amp; IFERROR(VLOOKUP(MID(G15,H15,I15-H15),[6]skilldef!$A:$B,2,FALSE),"-")</f>
        <v>味方全体に / -</v>
      </c>
      <c r="M15" s="63" t="str">
        <f t="shared" si="5"/>
        <v>none</v>
      </c>
      <c r="N15" s="48" t="str">
        <f t="shared" si="6"/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30020014</v>
      </c>
      <c r="B16" s="47" t="s">
        <v>223</v>
      </c>
      <c r="C16" s="50">
        <v>3</v>
      </c>
      <c r="D16" s="50" t="s">
        <v>127</v>
      </c>
      <c r="E16" s="97" t="s">
        <v>230</v>
      </c>
      <c r="F16" s="98" t="s">
        <v>231</v>
      </c>
      <c r="G16" s="63" t="str">
        <f t="shared" si="0"/>
        <v>[effect:critical, val:0.6, animation:enemy_critical]</v>
      </c>
      <c r="H16" s="63">
        <f t="shared" si="1"/>
        <v>9</v>
      </c>
      <c r="I16" s="63">
        <f t="shared" si="2"/>
        <v>17</v>
      </c>
      <c r="J16" s="63" t="e">
        <f t="shared" si="3"/>
        <v>#VALUE!</v>
      </c>
      <c r="K16" s="63">
        <f t="shared" si="4"/>
        <v>26</v>
      </c>
      <c r="L16" s="63" t="str">
        <f>IFERROR(VLOOKUP(MID(G16,J16,K16-J16),[6]skilldef!$C:$D,2,FALSE),"-") &amp; " / " &amp; IFERROR(VLOOKUP(MID(G16,H16,I16-H16),[6]skilldef!$A:$B,2,FALSE),"-")</f>
        <v>- / 大攻撃</v>
      </c>
      <c r="M16" s="63" t="str">
        <f t="shared" si="5"/>
        <v>none</v>
      </c>
      <c r="N16" s="48" t="str">
        <f t="shared" si="6"/>
        <v>none</v>
      </c>
      <c r="O16" s="63" t="e">
        <f t="shared" si="7"/>
        <v>#VALUE!</v>
      </c>
      <c r="P16" s="63">
        <f t="shared" si="8"/>
        <v>4</v>
      </c>
      <c r="Q16" s="63" t="e">
        <f t="shared" si="9"/>
        <v>#VALUE!</v>
      </c>
      <c r="R16" s="63" t="e">
        <f t="shared" si="10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30020015</v>
      </c>
      <c r="B17" s="47" t="s">
        <v>224</v>
      </c>
      <c r="C17" s="50">
        <v>3</v>
      </c>
      <c r="D17" s="50" t="s">
        <v>127</v>
      </c>
      <c r="E17" s="99" t="s">
        <v>232</v>
      </c>
      <c r="F17" s="100" t="s">
        <v>231</v>
      </c>
      <c r="G17" s="63" t="str">
        <f t="shared" si="0"/>
        <v>[effect:critical, val:1.0, animation:enemy_critical]</v>
      </c>
      <c r="H17" s="63">
        <f t="shared" si="1"/>
        <v>9</v>
      </c>
      <c r="I17" s="63">
        <f t="shared" si="2"/>
        <v>17</v>
      </c>
      <c r="J17" s="63" t="e">
        <f t="shared" si="3"/>
        <v>#VALUE!</v>
      </c>
      <c r="K17" s="63">
        <f t="shared" si="4"/>
        <v>26</v>
      </c>
      <c r="L17" s="63" t="str">
        <f>IFERROR(VLOOKUP(MID(G17,J17,K17-J17),[6]skilldef!$C:$D,2,FALSE),"-") &amp; " / " &amp; IFERROR(VLOOKUP(MID(G17,H17,I17-H17),[6]skilldef!$A:$B,2,FALSE),"-")</f>
        <v>- / 大攻撃</v>
      </c>
      <c r="M17" s="63" t="str">
        <f t="shared" si="5"/>
        <v>none</v>
      </c>
      <c r="N17" s="48" t="str">
        <f t="shared" si="6"/>
        <v>none</v>
      </c>
      <c r="O17" s="63" t="e">
        <f t="shared" si="7"/>
        <v>#VALUE!</v>
      </c>
      <c r="P17" s="63">
        <f t="shared" si="8"/>
        <v>4</v>
      </c>
      <c r="Q17" s="63" t="e">
        <f t="shared" si="9"/>
        <v>#VALUE!</v>
      </c>
      <c r="R17" s="63" t="e">
        <f t="shared" si="10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30020016</v>
      </c>
      <c r="B18" s="47" t="s">
        <v>225</v>
      </c>
      <c r="C18" s="50">
        <v>3</v>
      </c>
      <c r="D18" s="50" t="s">
        <v>127</v>
      </c>
      <c r="E18" s="99" t="s">
        <v>233</v>
      </c>
      <c r="F18" s="100" t="s">
        <v>231</v>
      </c>
      <c r="G18" s="63" t="str">
        <f t="shared" si="0"/>
        <v>[effect:critical, val:1.2, animation:enemy_critical]</v>
      </c>
      <c r="H18" s="63">
        <f t="shared" si="1"/>
        <v>9</v>
      </c>
      <c r="I18" s="63">
        <f t="shared" si="2"/>
        <v>17</v>
      </c>
      <c r="J18" s="63" t="e">
        <f t="shared" si="3"/>
        <v>#VALUE!</v>
      </c>
      <c r="K18" s="63">
        <f t="shared" si="4"/>
        <v>26</v>
      </c>
      <c r="L18" s="63" t="str">
        <f>IFERROR(VLOOKUP(MID(G18,J18,K18-J18),[6]skilldef!$C:$D,2,FALSE),"-") &amp; " / " &amp; IFERROR(VLOOKUP(MID(G18,H18,I18-H18),[6]skilldef!$A:$B,2,FALSE),"-")</f>
        <v>- / 大攻撃</v>
      </c>
      <c r="M18" s="63" t="str">
        <f t="shared" si="5"/>
        <v>none</v>
      </c>
      <c r="N18" s="48" t="str">
        <f t="shared" si="6"/>
        <v>none</v>
      </c>
      <c r="O18" s="63" t="e">
        <f t="shared" si="7"/>
        <v>#VALUE!</v>
      </c>
      <c r="P18" s="63">
        <f t="shared" si="8"/>
        <v>4</v>
      </c>
      <c r="Q18" s="63" t="e">
        <f t="shared" si="9"/>
        <v>#VALUE!</v>
      </c>
      <c r="R18" s="63" t="e">
        <f t="shared" si="10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1"/>
        <v>none</v>
      </c>
      <c r="U18" s="63" t="e">
        <f t="shared" si="12"/>
        <v>#VALUE!</v>
      </c>
      <c r="V18" s="63">
        <f t="shared" si="13"/>
        <v>4</v>
      </c>
      <c r="W18" s="63" t="e">
        <f t="shared" si="14"/>
        <v>#VALUE!</v>
      </c>
      <c r="X18" s="63" t="e">
        <f t="shared" si="15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30020017</v>
      </c>
      <c r="B19" s="47" t="s">
        <v>226</v>
      </c>
      <c r="C19" s="50">
        <v>3</v>
      </c>
      <c r="D19" s="50" t="s">
        <v>127</v>
      </c>
      <c r="E19" s="99" t="s">
        <v>234</v>
      </c>
      <c r="F19" s="100" t="s">
        <v>231</v>
      </c>
      <c r="G19" s="63" t="str">
        <f t="shared" si="0"/>
        <v>[effect:critical, val:1.5, animation:enemy_critical]</v>
      </c>
      <c r="H19" s="63">
        <f t="shared" si="1"/>
        <v>9</v>
      </c>
      <c r="I19" s="63">
        <f t="shared" si="2"/>
        <v>17</v>
      </c>
      <c r="J19" s="63" t="e">
        <f t="shared" si="3"/>
        <v>#VALUE!</v>
      </c>
      <c r="K19" s="63">
        <f t="shared" si="4"/>
        <v>26</v>
      </c>
      <c r="L19" s="63" t="str">
        <f>IFERROR(VLOOKUP(MID(G19,J19,K19-J19),[6]skilldef!$C:$D,2,FALSE),"-") &amp; " / " &amp; IFERROR(VLOOKUP(MID(G19,H19,I19-H19),[6]skilldef!$A:$B,2,FALSE),"-")</f>
        <v>- / 大攻撃</v>
      </c>
      <c r="M19" s="63" t="str">
        <f t="shared" si="5"/>
        <v>none</v>
      </c>
      <c r="N19" s="48" t="str">
        <f t="shared" si="6"/>
        <v>none</v>
      </c>
      <c r="O19" s="63" t="e">
        <f t="shared" si="7"/>
        <v>#VALUE!</v>
      </c>
      <c r="P19" s="63">
        <f t="shared" si="8"/>
        <v>4</v>
      </c>
      <c r="Q19" s="63" t="e">
        <f t="shared" si="9"/>
        <v>#VALUE!</v>
      </c>
      <c r="R19" s="63" t="e">
        <f t="shared" si="10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30020018</v>
      </c>
      <c r="B20" s="47" t="s">
        <v>287</v>
      </c>
      <c r="C20" s="50">
        <v>3</v>
      </c>
      <c r="D20" s="50" t="s">
        <v>127</v>
      </c>
      <c r="E20" s="51" t="s">
        <v>257</v>
      </c>
      <c r="F20" s="47" t="s">
        <v>240</v>
      </c>
      <c r="G20" s="63" t="str">
        <f t="shared" si="0"/>
        <v>[effect:enhance_enemy, target:myself, turn:-1, status:attack, val:1.3, animation:enemy_enhance_enemy]</v>
      </c>
      <c r="H20" s="63">
        <f t="shared" si="1"/>
        <v>9</v>
      </c>
      <c r="I20" s="63">
        <f t="shared" si="2"/>
        <v>22</v>
      </c>
      <c r="J20" s="63">
        <f t="shared" si="3"/>
        <v>31</v>
      </c>
      <c r="K20" s="63">
        <f t="shared" si="4"/>
        <v>37</v>
      </c>
      <c r="L20" s="63" t="str">
        <f>IFERROR(VLOOKUP(MID(G20,J20,K20-J20),[6]skilldef!$C:$D,2,FALSE),"-") &amp; " / " &amp; IFERROR(VLOOKUP(MID(G20,H20,I20-H20),[6]skilldef!$A:$B,2,FALSE),"-")</f>
        <v>自分自身に / ステータス強化</v>
      </c>
      <c r="M20" s="63" t="str">
        <f t="shared" si="5"/>
        <v>none</v>
      </c>
      <c r="N20" s="48" t="str">
        <f t="shared" si="6"/>
        <v>none</v>
      </c>
      <c r="O20" s="63" t="e">
        <f t="shared" si="7"/>
        <v>#VALUE!</v>
      </c>
      <c r="P20" s="63">
        <f t="shared" si="8"/>
        <v>4</v>
      </c>
      <c r="Q20" s="63" t="e">
        <f t="shared" si="9"/>
        <v>#VALUE!</v>
      </c>
      <c r="R20" s="63" t="e">
        <f t="shared" si="10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30020019</v>
      </c>
      <c r="B21" s="47" t="s">
        <v>228</v>
      </c>
      <c r="C21" s="50">
        <v>3</v>
      </c>
      <c r="D21" s="50" t="s">
        <v>127</v>
      </c>
      <c r="E21" s="51" t="s">
        <v>277</v>
      </c>
      <c r="F21" s="51" t="s">
        <v>216</v>
      </c>
      <c r="G21" s="63" t="str">
        <f t="shared" si="0"/>
        <v>[effect:spread, val:0.3, animation:enemy_spread]</v>
      </c>
      <c r="H21" s="63">
        <f t="shared" si="1"/>
        <v>9</v>
      </c>
      <c r="I21" s="63">
        <f t="shared" si="2"/>
        <v>15</v>
      </c>
      <c r="J21" s="63" t="e">
        <f t="shared" si="3"/>
        <v>#VALUE!</v>
      </c>
      <c r="K21" s="63">
        <f t="shared" si="4"/>
        <v>24</v>
      </c>
      <c r="L21" s="63" t="str">
        <f>IFERROR(VLOOKUP(MID(G21,J21,K21-J21),[6]skilldef!$C:$D,2,FALSE),"-") &amp; " / " &amp; IFERROR(VLOOKUP(MID(G21,H21,I21-H21),[6]skilldef!$A:$B,2,FALSE),"-")</f>
        <v>- / 全体攻撃</v>
      </c>
      <c r="M21" s="63" t="str">
        <f t="shared" si="5"/>
        <v>none</v>
      </c>
      <c r="N21" s="48" t="str">
        <f t="shared" si="6"/>
        <v>none</v>
      </c>
      <c r="O21" s="63" t="e">
        <f t="shared" si="7"/>
        <v>#VALUE!</v>
      </c>
      <c r="P21" s="63">
        <f t="shared" si="8"/>
        <v>4</v>
      </c>
      <c r="Q21" s="63" t="e">
        <f t="shared" si="9"/>
        <v>#VALUE!</v>
      </c>
      <c r="R21" s="63" t="e">
        <f t="shared" si="10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3" t="e">
        <f t="shared" si="12"/>
        <v>#VALUE!</v>
      </c>
      <c r="V21" s="63">
        <f t="shared" si="13"/>
        <v>4</v>
      </c>
      <c r="W21" s="63" t="e">
        <f t="shared" si="14"/>
        <v>#VALUE!</v>
      </c>
      <c r="X21" s="63" t="e">
        <f t="shared" si="15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30020020</v>
      </c>
      <c r="B22" s="47" t="s">
        <v>227</v>
      </c>
      <c r="C22" s="50">
        <v>3</v>
      </c>
      <c r="D22" s="50" t="s">
        <v>127</v>
      </c>
      <c r="E22" s="51" t="s">
        <v>260</v>
      </c>
      <c r="F22" s="51" t="s">
        <v>217</v>
      </c>
      <c r="G22" s="63" t="str">
        <f t="shared" si="0"/>
        <v>[effect:heal, target:myself, val:0.5, animation:enemy_heal]</v>
      </c>
      <c r="H22" s="63">
        <f t="shared" si="1"/>
        <v>9</v>
      </c>
      <c r="I22" s="63">
        <f t="shared" si="2"/>
        <v>13</v>
      </c>
      <c r="J22" s="63">
        <f t="shared" si="3"/>
        <v>22</v>
      </c>
      <c r="K22" s="63">
        <f t="shared" si="4"/>
        <v>28</v>
      </c>
      <c r="L22" s="63" t="str">
        <f>IFERROR(VLOOKUP(MID(G22,J22,K22-J22),[6]skilldef!$C:$D,2,FALSE),"-") &amp; " / " &amp; IFERROR(VLOOKUP(MID(G22,H22,I22-H22),[6]skilldef!$A:$B,2,FALSE),"-")</f>
        <v>自分自身に / 回復</v>
      </c>
      <c r="M22" s="63" t="str">
        <f t="shared" si="5"/>
        <v>none</v>
      </c>
      <c r="N22" s="48" t="str">
        <f t="shared" si="6"/>
        <v>none</v>
      </c>
      <c r="O22" s="63" t="e">
        <f t="shared" si="7"/>
        <v>#VALUE!</v>
      </c>
      <c r="P22" s="63">
        <f t="shared" si="8"/>
        <v>4</v>
      </c>
      <c r="Q22" s="63" t="e">
        <f t="shared" si="9"/>
        <v>#VALUE!</v>
      </c>
      <c r="R22" s="63" t="e">
        <f t="shared" si="10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3" t="e">
        <f t="shared" si="12"/>
        <v>#VALUE!</v>
      </c>
      <c r="V22" s="63">
        <f t="shared" si="13"/>
        <v>4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30020021</v>
      </c>
      <c r="B23" s="47" t="s">
        <v>247</v>
      </c>
      <c r="C23" s="50">
        <v>3</v>
      </c>
      <c r="D23" s="50" t="s">
        <v>127</v>
      </c>
      <c r="E23" s="51" t="s">
        <v>254</v>
      </c>
      <c r="F23" s="51" t="s">
        <v>278</v>
      </c>
      <c r="G23" s="63" t="str">
        <f t="shared" si="0"/>
        <v>[effect:sleep, target:unit_one, turn:3, rate:1.0, animation:enemy_sleep]</v>
      </c>
      <c r="H23" s="63">
        <f t="shared" si="1"/>
        <v>9</v>
      </c>
      <c r="I23" s="63">
        <f t="shared" si="2"/>
        <v>14</v>
      </c>
      <c r="J23" s="63">
        <f t="shared" si="3"/>
        <v>23</v>
      </c>
      <c r="K23" s="63">
        <f t="shared" si="4"/>
        <v>31</v>
      </c>
      <c r="L23" s="63" t="str">
        <f>IFERROR(VLOOKUP(MID(G23,J23,K23-J23),[6]skilldef!$C:$D,2,FALSE),"-") &amp; " / " &amp; IFERROR(VLOOKUP(MID(G23,H23,I23-H23),[6]skilldef!$A:$B,2,FALSE),"-")</f>
        <v>味方単体に / スリープ</v>
      </c>
      <c r="M23" s="63" t="str">
        <f t="shared" si="5"/>
        <v>[effect:critical, val:1.1, animation:enemy_critical]</v>
      </c>
      <c r="N23" s="48" t="str">
        <f t="shared" si="6"/>
        <v>[effect:critical, val:1.1, animation:enemy_critical]</v>
      </c>
      <c r="O23" s="63">
        <f t="shared" si="7"/>
        <v>9</v>
      </c>
      <c r="P23" s="63">
        <f t="shared" si="8"/>
        <v>17</v>
      </c>
      <c r="Q23" s="63" t="e">
        <f t="shared" si="9"/>
        <v>#VALUE!</v>
      </c>
      <c r="R23" s="63">
        <f t="shared" si="10"/>
        <v>26</v>
      </c>
      <c r="S23" s="63" t="str">
        <f>IFERROR(VLOOKUP(MID(N23,Q23,R23-Q23),[6]skilldef!$C:$D,2,FALSE),"-") &amp; " / " &amp; IFERROR(VLOOKUP(MID(N23,O23,P23-O23),[6]skilldef!$A:$B,2,FALSE),"-")</f>
        <v>- / 大攻撃</v>
      </c>
      <c r="T23" s="48" t="str">
        <f t="shared" si="11"/>
        <v>none</v>
      </c>
      <c r="U23" s="63" t="e">
        <f t="shared" si="12"/>
        <v>#VALUE!</v>
      </c>
      <c r="V23" s="63">
        <f t="shared" si="13"/>
        <v>4</v>
      </c>
      <c r="W23" s="63" t="e">
        <f t="shared" si="14"/>
        <v>#VALUE!</v>
      </c>
      <c r="X23" s="63" t="e">
        <f t="shared" si="15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30020022</v>
      </c>
      <c r="B24" s="47" t="s">
        <v>243</v>
      </c>
      <c r="C24" s="50">
        <v>3</v>
      </c>
      <c r="D24" s="50" t="s">
        <v>127</v>
      </c>
      <c r="E24" s="51" t="s">
        <v>258</v>
      </c>
      <c r="F24" s="47" t="s">
        <v>241</v>
      </c>
      <c r="G24" s="63" t="str">
        <f t="shared" si="0"/>
        <v>[effect:freq_turn, target:myself, turn:-1, val:1, animation:enemy_freq_turn]</v>
      </c>
      <c r="H24" s="63">
        <f t="shared" si="1"/>
        <v>9</v>
      </c>
      <c r="I24" s="63">
        <f t="shared" si="2"/>
        <v>18</v>
      </c>
      <c r="J24" s="63">
        <f t="shared" si="3"/>
        <v>27</v>
      </c>
      <c r="K24" s="63">
        <f t="shared" si="4"/>
        <v>33</v>
      </c>
      <c r="L24" s="63" t="str">
        <f>IFERROR(VLOOKUP(MID(G24,J24,K24-J24),[6]skilldef!$C:$D,2,FALSE),"-") &amp; " / " &amp; IFERROR(VLOOKUP(MID(G24,H24,I24-H24),[6]skilldef!$A:$B,2,FALSE),"-")</f>
        <v>自分自身に / 攻撃頻度がUP</v>
      </c>
      <c r="M24" s="63" t="str">
        <f t="shared" si="5"/>
        <v>none</v>
      </c>
      <c r="N24" s="48" t="str">
        <f t="shared" si="6"/>
        <v>none</v>
      </c>
      <c r="O24" s="63" t="e">
        <f t="shared" si="7"/>
        <v>#VALUE!</v>
      </c>
      <c r="P24" s="63">
        <f t="shared" si="8"/>
        <v>4</v>
      </c>
      <c r="Q24" s="63" t="e">
        <f t="shared" si="9"/>
        <v>#VALUE!</v>
      </c>
      <c r="R24" s="63" t="e">
        <f t="shared" si="10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11"/>
        <v>none</v>
      </c>
      <c r="U24" s="63" t="e">
        <f t="shared" si="12"/>
        <v>#VALUE!</v>
      </c>
      <c r="V24" s="63">
        <f t="shared" si="13"/>
        <v>4</v>
      </c>
      <c r="W24" s="63" t="e">
        <f t="shared" si="14"/>
        <v>#VALUE!</v>
      </c>
      <c r="X24" s="63" t="e">
        <f t="shared" si="15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30020023</v>
      </c>
      <c r="B25" s="47" t="s">
        <v>206</v>
      </c>
      <c r="C25" s="50">
        <v>3</v>
      </c>
      <c r="D25" s="50" t="s">
        <v>127</v>
      </c>
      <c r="E25" s="51" t="s">
        <v>229</v>
      </c>
      <c r="F25" s="51" t="s">
        <v>229</v>
      </c>
      <c r="G25" s="63" t="str">
        <f t="shared" si="0"/>
        <v>[effect:nothing]</v>
      </c>
      <c r="H25" s="63">
        <f t="shared" si="1"/>
        <v>9</v>
      </c>
      <c r="I25" s="63">
        <f t="shared" si="2"/>
        <v>16</v>
      </c>
      <c r="J25" s="63" t="e">
        <f t="shared" si="3"/>
        <v>#VALUE!</v>
      </c>
      <c r="K25" s="63" t="e">
        <f t="shared" si="4"/>
        <v>#VALUE!</v>
      </c>
      <c r="L25" s="63" t="str">
        <f>IFERROR(VLOOKUP(MID(G25,J25,K25-J25),[6]skilldef!$C:$D,2,FALSE),"-") &amp; " / " &amp; IFERROR(VLOOKUP(MID(G25,H25,I25-H25),[6]skilldef!$A:$B,2,FALSE),"-")</f>
        <v>- / 何もしない</v>
      </c>
      <c r="M25" s="63" t="str">
        <f t="shared" si="5"/>
        <v>none</v>
      </c>
      <c r="N25" s="48" t="str">
        <f t="shared" si="6"/>
        <v>none</v>
      </c>
      <c r="O25" s="63" t="e">
        <f t="shared" si="7"/>
        <v>#VALUE!</v>
      </c>
      <c r="P25" s="63">
        <f t="shared" si="8"/>
        <v>4</v>
      </c>
      <c r="Q25" s="63" t="e">
        <f t="shared" si="9"/>
        <v>#VALUE!</v>
      </c>
      <c r="R25" s="63" t="e">
        <f t="shared" si="10"/>
        <v>#VALUE!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si="11"/>
        <v>none</v>
      </c>
      <c r="U25" s="63" t="e">
        <f t="shared" si="12"/>
        <v>#VALUE!</v>
      </c>
      <c r="V25" s="63">
        <f t="shared" si="13"/>
        <v>4</v>
      </c>
      <c r="W25" s="63" t="e">
        <f t="shared" si="14"/>
        <v>#VALUE!</v>
      </c>
      <c r="X25" s="63" t="e">
        <f t="shared" si="15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30020024</v>
      </c>
      <c r="B26" s="47" t="s">
        <v>280</v>
      </c>
      <c r="C26" s="50">
        <v>3</v>
      </c>
      <c r="D26" s="50" t="s">
        <v>127</v>
      </c>
      <c r="E26" s="51" t="s">
        <v>281</v>
      </c>
      <c r="F26" s="51" t="s">
        <v>282</v>
      </c>
      <c r="G26" s="63" t="str">
        <f t="shared" si="0"/>
        <v>[effect:sleep, target:unit_one, turn:3, rate:1.0, animation:enemy_sleep]</v>
      </c>
      <c r="H26" s="63">
        <f t="shared" si="1"/>
        <v>9</v>
      </c>
      <c r="I26" s="63">
        <f t="shared" si="2"/>
        <v>14</v>
      </c>
      <c r="J26" s="63">
        <f t="shared" si="3"/>
        <v>23</v>
      </c>
      <c r="K26" s="63">
        <f t="shared" si="4"/>
        <v>31</v>
      </c>
      <c r="L26" s="63" t="str">
        <f>IFERROR(VLOOKUP(MID(G26,J26,K26-J26),[6]skilldef!$C:$D,2,FALSE),"-") &amp; " / " &amp; IFERROR(VLOOKUP(MID(G26,H26,I26-H26),[6]skilldef!$A:$B,2,FALSE),"-")</f>
        <v>味方単体に / スリープ</v>
      </c>
      <c r="M26" s="63" t="str">
        <f t="shared" si="5"/>
        <v>[effect:critical, val:1.2, animation:enemy_critical]</v>
      </c>
      <c r="N26" s="48" t="str">
        <f t="shared" si="6"/>
        <v>[effect:critical, val:1.2, animation:enemy_critical]</v>
      </c>
      <c r="O26" s="63">
        <f t="shared" si="7"/>
        <v>9</v>
      </c>
      <c r="P26" s="63">
        <f t="shared" si="8"/>
        <v>17</v>
      </c>
      <c r="Q26" s="63" t="e">
        <f t="shared" si="9"/>
        <v>#VALUE!</v>
      </c>
      <c r="R26" s="63">
        <f t="shared" si="10"/>
        <v>26</v>
      </c>
      <c r="S26" s="63" t="str">
        <f>IFERROR(VLOOKUP(MID(N26,Q26,R26-Q26),[6]skilldef!$C:$D,2,FALSE),"-") &amp; " / " &amp; IFERROR(VLOOKUP(MID(N26,O26,P26-O26),[6]skilldef!$A:$B,2,FALSE),"-")</f>
        <v>- / 大攻撃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30020025</v>
      </c>
      <c r="B27" s="47" t="s">
        <v>218</v>
      </c>
      <c r="C27" s="50">
        <v>3</v>
      </c>
      <c r="D27" s="50" t="s">
        <v>127</v>
      </c>
      <c r="E27" s="51" t="s">
        <v>279</v>
      </c>
      <c r="F27" s="51" t="s">
        <v>219</v>
      </c>
      <c r="G27" s="63" t="str">
        <f t="shared" si="0"/>
        <v>[effect:change_block, new_block:jammer, target:block_all, count:4, val:0, animation:change_block]</v>
      </c>
      <c r="H27" s="63">
        <f t="shared" si="1"/>
        <v>9</v>
      </c>
      <c r="I27" s="63">
        <f t="shared" si="2"/>
        <v>21</v>
      </c>
      <c r="J27" s="63">
        <f t="shared" si="3"/>
        <v>48</v>
      </c>
      <c r="K27" s="63">
        <f t="shared" si="4"/>
        <v>39</v>
      </c>
      <c r="L27" s="63" t="str">
        <f>IFERROR(VLOOKUP(MID(G27,J27,K27-J27),[6]skilldef!$C:$D,2,FALSE),"-") &amp; " / " &amp; IFERROR(VLOOKUP(MID(G27,H27,I27-H27),[6]skilldef!$A:$B,2,FALSE),"-")</f>
        <v>- / ブロック変換</v>
      </c>
      <c r="M27" s="63" t="str">
        <f t="shared" si="5"/>
        <v>none</v>
      </c>
      <c r="N27" s="48" t="str">
        <f t="shared" si="6"/>
        <v>none</v>
      </c>
      <c r="O27" s="63" t="e">
        <f t="shared" si="7"/>
        <v>#VALUE!</v>
      </c>
      <c r="P27" s="63">
        <f t="shared" si="8"/>
        <v>4</v>
      </c>
      <c r="Q27" s="63" t="e">
        <f t="shared" si="9"/>
        <v>#VALUE!</v>
      </c>
      <c r="R27" s="63" t="e">
        <f t="shared" si="10"/>
        <v>#VALUE!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11"/>
        <v>none</v>
      </c>
      <c r="U27" s="63" t="e">
        <f t="shared" si="12"/>
        <v>#VALUE!</v>
      </c>
      <c r="V27" s="63">
        <f t="shared" si="13"/>
        <v>4</v>
      </c>
      <c r="W27" s="63" t="e">
        <f t="shared" si="14"/>
        <v>#VALUE!</v>
      </c>
      <c r="X27" s="63" t="e">
        <f t="shared" si="15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30020026</v>
      </c>
      <c r="B28" s="47" t="s">
        <v>206</v>
      </c>
      <c r="C28" s="50">
        <v>3</v>
      </c>
      <c r="D28" s="50" t="s">
        <v>127</v>
      </c>
      <c r="E28" s="51" t="s">
        <v>201</v>
      </c>
      <c r="F28" s="51" t="s">
        <v>201</v>
      </c>
      <c r="G28" s="63" t="str">
        <f t="shared" si="0"/>
        <v>[effect:nothing]</v>
      </c>
      <c r="H28" s="63">
        <f t="shared" si="1"/>
        <v>9</v>
      </c>
      <c r="I28" s="63">
        <f t="shared" si="2"/>
        <v>16</v>
      </c>
      <c r="J28" s="63" t="e">
        <f t="shared" si="3"/>
        <v>#VALUE!</v>
      </c>
      <c r="K28" s="63" t="e">
        <f t="shared" si="4"/>
        <v>#VALUE!</v>
      </c>
      <c r="L28" s="63" t="str">
        <f>IFERROR(VLOOKUP(MID(G28,J28,K28-J28),[6]skilldef!$C:$D,2,FALSE),"-") &amp; " / " &amp; IFERROR(VLOOKUP(MID(G28,H28,I28-H28),[6]skilldef!$A:$B,2,FALSE),"-")</f>
        <v>- / 何もしない</v>
      </c>
      <c r="M28" s="63" t="str">
        <f t="shared" si="5"/>
        <v>none</v>
      </c>
      <c r="N28" s="48" t="str">
        <f t="shared" si="6"/>
        <v>none</v>
      </c>
      <c r="O28" s="63" t="e">
        <f t="shared" si="7"/>
        <v>#VALUE!</v>
      </c>
      <c r="P28" s="63">
        <f t="shared" si="8"/>
        <v>4</v>
      </c>
      <c r="Q28" s="63" t="e">
        <f t="shared" si="9"/>
        <v>#VALUE!</v>
      </c>
      <c r="R28" s="63" t="e">
        <f t="shared" si="10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11"/>
        <v>none</v>
      </c>
      <c r="U28" s="63" t="e">
        <f t="shared" si="12"/>
        <v>#VALUE!</v>
      </c>
      <c r="V28" s="63">
        <f t="shared" si="13"/>
        <v>4</v>
      </c>
      <c r="W28" s="63" t="e">
        <f t="shared" si="14"/>
        <v>#VALUE!</v>
      </c>
      <c r="X28" s="63" t="e">
        <f t="shared" si="15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30020027</v>
      </c>
      <c r="B29" s="47" t="s">
        <v>206</v>
      </c>
      <c r="C29" s="50">
        <v>3</v>
      </c>
      <c r="D29" s="50" t="s">
        <v>127</v>
      </c>
      <c r="E29" s="51" t="s">
        <v>202</v>
      </c>
      <c r="F29" s="51" t="s">
        <v>202</v>
      </c>
      <c r="G29" s="63" t="str">
        <f t="shared" si="0"/>
        <v>[effect:nothing]</v>
      </c>
      <c r="H29" s="63">
        <f t="shared" si="1"/>
        <v>9</v>
      </c>
      <c r="I29" s="63">
        <f t="shared" si="2"/>
        <v>16</v>
      </c>
      <c r="J29" s="63" t="e">
        <f t="shared" si="3"/>
        <v>#VALUE!</v>
      </c>
      <c r="K29" s="63" t="e">
        <f t="shared" si="4"/>
        <v>#VALUE!</v>
      </c>
      <c r="L29" s="63" t="str">
        <f>IFERROR(VLOOKUP(MID(G29,J29,K29-J29),[6]skilldef!$C:$D,2,FALSE),"-") &amp; " / " &amp; IFERROR(VLOOKUP(MID(G29,H29,I29-H29),[6]skilldef!$A:$B,2,FALSE),"-")</f>
        <v>- / 何もしない</v>
      </c>
      <c r="M29" s="63" t="str">
        <f t="shared" si="5"/>
        <v>none</v>
      </c>
      <c r="N29" s="48" t="str">
        <f t="shared" si="6"/>
        <v>none</v>
      </c>
      <c r="O29" s="63" t="e">
        <f t="shared" si="7"/>
        <v>#VALUE!</v>
      </c>
      <c r="P29" s="63">
        <f t="shared" si="8"/>
        <v>4</v>
      </c>
      <c r="Q29" s="63" t="e">
        <f t="shared" si="9"/>
        <v>#VALUE!</v>
      </c>
      <c r="R29" s="63" t="e">
        <f t="shared" si="10"/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si="11"/>
        <v>none</v>
      </c>
      <c r="U29" s="63" t="e">
        <f t="shared" si="12"/>
        <v>#VALUE!</v>
      </c>
      <c r="V29" s="63">
        <f t="shared" si="13"/>
        <v>4</v>
      </c>
      <c r="W29" s="63" t="e">
        <f t="shared" si="14"/>
        <v>#VALUE!</v>
      </c>
      <c r="X29" s="63" t="e">
        <f t="shared" si="15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30020028</v>
      </c>
      <c r="B30" s="47" t="s">
        <v>325</v>
      </c>
      <c r="C30" s="50">
        <v>3</v>
      </c>
      <c r="D30" s="50" t="s">
        <v>127</v>
      </c>
      <c r="E30" s="51" t="s">
        <v>261</v>
      </c>
      <c r="F30" s="96" t="s">
        <v>207</v>
      </c>
      <c r="G30" s="63" t="str">
        <f t="shared" si="0"/>
        <v>[effect:damage_anti_tribe, target:unit_all, tribe:god, val1:2.0, val2:0.15]</v>
      </c>
      <c r="H30" s="63">
        <f t="shared" si="1"/>
        <v>9</v>
      </c>
      <c r="I30" s="63">
        <f t="shared" si="2"/>
        <v>26</v>
      </c>
      <c r="J30" s="63">
        <f t="shared" si="3"/>
        <v>35</v>
      </c>
      <c r="K30" s="63">
        <f t="shared" si="4"/>
        <v>43</v>
      </c>
      <c r="L30" s="63" t="str">
        <f>IFERROR(VLOOKUP(MID(G30,J30,K30-J30),[6]skilldef!$C:$D,2,FALSE),"-") &amp; " / " &amp; IFERROR(VLOOKUP(MID(G30,H30,I30-H30),[6]skilldef!$A:$B,2,FALSE),"-")</f>
        <v>味方全体に / 種族キラー</v>
      </c>
      <c r="M30" s="63" t="str">
        <f t="shared" si="5"/>
        <v>none</v>
      </c>
      <c r="N30" s="48" t="str">
        <f t="shared" si="6"/>
        <v>none</v>
      </c>
      <c r="O30" s="63" t="e">
        <f t="shared" si="7"/>
        <v>#VALUE!</v>
      </c>
      <c r="P30" s="63">
        <f t="shared" si="8"/>
        <v>4</v>
      </c>
      <c r="Q30" s="63" t="e">
        <f t="shared" si="9"/>
        <v>#VALUE!</v>
      </c>
      <c r="R30" s="63" t="e">
        <f t="shared" si="10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11"/>
        <v>none</v>
      </c>
      <c r="U30" s="63" t="e">
        <f t="shared" si="12"/>
        <v>#VALUE!</v>
      </c>
      <c r="V30" s="63">
        <f t="shared" si="13"/>
        <v>4</v>
      </c>
      <c r="W30" s="63" t="e">
        <f t="shared" si="14"/>
        <v>#VALUE!</v>
      </c>
      <c r="X30" s="63" t="e">
        <f t="shared" si="15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>
        <v>30020029</v>
      </c>
      <c r="B31" s="47" t="s">
        <v>333</v>
      </c>
      <c r="C31" s="50">
        <v>3</v>
      </c>
      <c r="D31" s="50" t="s">
        <v>127</v>
      </c>
      <c r="E31" s="51" t="s">
        <v>300</v>
      </c>
      <c r="F31" s="51" t="s">
        <v>208</v>
      </c>
      <c r="G31" s="63" t="str">
        <f t="shared" si="0"/>
        <v>[effect:damage_anti_tribe, target:unit_all, tribe:dragon, val1:0.01, val2:5.0]</v>
      </c>
      <c r="H31" s="63">
        <f t="shared" si="1"/>
        <v>9</v>
      </c>
      <c r="I31" s="63">
        <f t="shared" si="2"/>
        <v>26</v>
      </c>
      <c r="J31" s="63">
        <f t="shared" si="3"/>
        <v>35</v>
      </c>
      <c r="K31" s="63">
        <f t="shared" si="4"/>
        <v>43</v>
      </c>
      <c r="L31" s="63" t="str">
        <f>IFERROR(VLOOKUP(MID(G31,J31,K31-J31),[6]skilldef!$C:$D,2,FALSE),"-") &amp; " / " &amp; IFERROR(VLOOKUP(MID(G31,H31,I31-H31),[6]skilldef!$A:$B,2,FALSE),"-")</f>
        <v>味方全体に / 種族キラー</v>
      </c>
      <c r="M31" s="63" t="str">
        <f t="shared" si="5"/>
        <v>[effect:damage_anti_tribe, target:unit_all, tribe:dragon, val1:0.01, val2:5.0],[effect:hungup, target:unit_dragon/not, turn:15, rate:1, animation:hungup01]</v>
      </c>
      <c r="N31" s="48" t="str">
        <f t="shared" si="6"/>
        <v>[effect:damage_anti_tribe, target:unit_all, tribe:dragon, val1:0.01, val2:5.0],[effect:hungup, target:unit_dragon/not, turn:15, rate:1, animation:hungup01]</v>
      </c>
      <c r="O31" s="63">
        <f t="shared" si="7"/>
        <v>9</v>
      </c>
      <c r="P31" s="63">
        <f t="shared" si="8"/>
        <v>26</v>
      </c>
      <c r="Q31" s="63">
        <f t="shared" si="9"/>
        <v>35</v>
      </c>
      <c r="R31" s="63">
        <f t="shared" si="10"/>
        <v>43</v>
      </c>
      <c r="S31" s="63" t="str">
        <f>IFERROR(VLOOKUP(MID(N31,Q31,R31-Q31),[6]skilldef!$C:$D,2,FALSE),"-") &amp; " / " &amp; IFERROR(VLOOKUP(MID(N31,O31,P31-O31),[6]skilldef!$A:$B,2,FALSE),"-")</f>
        <v>味方全体に / 種族キラー</v>
      </c>
      <c r="T31" s="48" t="str">
        <f t="shared" si="11"/>
        <v>[effect:hungup, target:unit_dragon/not, turn:15, rate:1, animation:hungup01]</v>
      </c>
      <c r="U31" s="63">
        <f t="shared" si="12"/>
        <v>9</v>
      </c>
      <c r="V31" s="63">
        <f t="shared" si="13"/>
        <v>15</v>
      </c>
      <c r="W31" s="63">
        <f t="shared" si="14"/>
        <v>24</v>
      </c>
      <c r="X31" s="63">
        <f t="shared" si="15"/>
        <v>39</v>
      </c>
      <c r="Y31" s="63" t="str">
        <f>IFERROR(VLOOKUP(MID(T31,W31,X31-W31),[6]skilldef!$C:$D,2,FALSE),"-") &amp; " / " &amp; IFERROR(VLOOKUP(MID(T31,U31,V31-U31),[6]skilldef!$A:$B,2,FALSE),"-")</f>
        <v>- / ハングアップ</v>
      </c>
      <c r="Z31" s="50"/>
      <c r="AA31" s="52"/>
      <c r="AB31" s="50"/>
    </row>
    <row r="32" spans="1:28" ht="21" customHeight="1" x14ac:dyDescent="0.15">
      <c r="A32" s="47">
        <v>30020030</v>
      </c>
      <c r="B32" s="47" t="s">
        <v>246</v>
      </c>
      <c r="C32" s="50">
        <v>3</v>
      </c>
      <c r="D32" s="50" t="s">
        <v>127</v>
      </c>
      <c r="E32" s="51" t="s">
        <v>263</v>
      </c>
      <c r="F32" s="51" t="s">
        <v>220</v>
      </c>
      <c r="G32" s="63" t="str">
        <f t="shared" si="0"/>
        <v>[effect:rush, count:5, val:0.3]</v>
      </c>
      <c r="H32" s="63">
        <f t="shared" si="1"/>
        <v>9</v>
      </c>
      <c r="I32" s="63">
        <f t="shared" si="2"/>
        <v>13</v>
      </c>
      <c r="J32" s="63" t="e">
        <f t="shared" si="3"/>
        <v>#VALUE!</v>
      </c>
      <c r="K32" s="63">
        <f t="shared" si="4"/>
        <v>22</v>
      </c>
      <c r="L32" s="63" t="str">
        <f>IFERROR(VLOOKUP(MID(G32,J32,K32-J32),[6]skilldef!$C:$D,2,FALSE),"-") &amp; " / " &amp; IFERROR(VLOOKUP(MID(G32,H32,I32-H32),[6]skilldef!$A:$B,2,FALSE),"-")</f>
        <v>- / 連続攻撃</v>
      </c>
      <c r="M32" s="63" t="str">
        <f t="shared" si="5"/>
        <v>none</v>
      </c>
      <c r="N32" s="48" t="str">
        <f t="shared" si="6"/>
        <v>none</v>
      </c>
      <c r="O32" s="63" t="e">
        <f t="shared" si="7"/>
        <v>#VALUE!</v>
      </c>
      <c r="P32" s="63">
        <f t="shared" si="8"/>
        <v>4</v>
      </c>
      <c r="Q32" s="63" t="e">
        <f t="shared" si="9"/>
        <v>#VALUE!</v>
      </c>
      <c r="R32" s="63" t="e">
        <f t="shared" si="10"/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11"/>
        <v>none</v>
      </c>
      <c r="U32" s="63" t="e">
        <f t="shared" si="12"/>
        <v>#VALUE!</v>
      </c>
      <c r="V32" s="63">
        <f t="shared" si="13"/>
        <v>4</v>
      </c>
      <c r="W32" s="63" t="e">
        <f t="shared" si="14"/>
        <v>#VALUE!</v>
      </c>
      <c r="X32" s="63" t="e">
        <f t="shared" si="15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47">
        <v>30020031</v>
      </c>
      <c r="B33" s="47" t="s">
        <v>206</v>
      </c>
      <c r="C33" s="50">
        <v>3</v>
      </c>
      <c r="D33" s="50" t="s">
        <v>127</v>
      </c>
      <c r="E33" s="51" t="s">
        <v>203</v>
      </c>
      <c r="F33" s="51" t="s">
        <v>203</v>
      </c>
      <c r="G33" s="63" t="str">
        <f t="shared" si="0"/>
        <v>[effect:nothing]</v>
      </c>
      <c r="H33" s="63">
        <f t="shared" si="1"/>
        <v>9</v>
      </c>
      <c r="I33" s="63">
        <f t="shared" si="2"/>
        <v>16</v>
      </c>
      <c r="J33" s="63" t="e">
        <f t="shared" si="3"/>
        <v>#VALUE!</v>
      </c>
      <c r="K33" s="63" t="e">
        <f t="shared" si="4"/>
        <v>#VALUE!</v>
      </c>
      <c r="L33" s="63" t="str">
        <f>IFERROR(VLOOKUP(MID(G33,J33,K33-J33),[6]skilldef!$C:$D,2,FALSE),"-") &amp; " / " &amp; IFERROR(VLOOKUP(MID(G33,H33,I33-H33),[6]skilldef!$A:$B,2,FALSE),"-")</f>
        <v>- / 何もしない</v>
      </c>
      <c r="M33" s="63" t="str">
        <f t="shared" si="5"/>
        <v>none</v>
      </c>
      <c r="N33" s="48" t="str">
        <f t="shared" si="6"/>
        <v>none</v>
      </c>
      <c r="O33" s="63" t="e">
        <f t="shared" si="7"/>
        <v>#VALUE!</v>
      </c>
      <c r="P33" s="63">
        <f t="shared" si="8"/>
        <v>4</v>
      </c>
      <c r="Q33" s="63" t="e">
        <f t="shared" si="9"/>
        <v>#VALUE!</v>
      </c>
      <c r="R33" s="63" t="e">
        <f t="shared" si="10"/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11"/>
        <v>none</v>
      </c>
      <c r="U33" s="63" t="e">
        <f t="shared" si="12"/>
        <v>#VALUE!</v>
      </c>
      <c r="V33" s="63">
        <f t="shared" si="13"/>
        <v>4</v>
      </c>
      <c r="W33" s="63" t="e">
        <f t="shared" si="14"/>
        <v>#VALUE!</v>
      </c>
      <c r="X33" s="63" t="e">
        <f t="shared" si="15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47">
        <v>30020032</v>
      </c>
      <c r="B34" s="47" t="s">
        <v>206</v>
      </c>
      <c r="C34" s="50">
        <v>3</v>
      </c>
      <c r="D34" s="50" t="s">
        <v>127</v>
      </c>
      <c r="E34" s="51" t="s">
        <v>203</v>
      </c>
      <c r="F34" s="51" t="s">
        <v>203</v>
      </c>
      <c r="G34" s="63" t="str">
        <f t="shared" si="0"/>
        <v>[effect:nothing]</v>
      </c>
      <c r="H34" s="63">
        <f t="shared" si="1"/>
        <v>9</v>
      </c>
      <c r="I34" s="63">
        <f t="shared" si="2"/>
        <v>16</v>
      </c>
      <c r="J34" s="63" t="e">
        <f t="shared" si="3"/>
        <v>#VALUE!</v>
      </c>
      <c r="K34" s="63" t="e">
        <f t="shared" si="4"/>
        <v>#VALUE!</v>
      </c>
      <c r="L34" s="63" t="str">
        <f>IFERROR(VLOOKUP(MID(G34,J34,K34-J34),[6]skilldef!$C:$D,2,FALSE),"-") &amp; " / " &amp; IFERROR(VLOOKUP(MID(G34,H34,I34-H34),[6]skilldef!$A:$B,2,FALSE),"-")</f>
        <v>- / 何もしない</v>
      </c>
      <c r="M34" s="63" t="str">
        <f t="shared" si="5"/>
        <v>none</v>
      </c>
      <c r="N34" s="48" t="str">
        <f t="shared" si="6"/>
        <v>none</v>
      </c>
      <c r="O34" s="63" t="e">
        <f t="shared" si="7"/>
        <v>#VALUE!</v>
      </c>
      <c r="P34" s="63">
        <f t="shared" si="8"/>
        <v>4</v>
      </c>
      <c r="Q34" s="63" t="e">
        <f t="shared" si="9"/>
        <v>#VALUE!</v>
      </c>
      <c r="R34" s="63" t="e">
        <f t="shared" si="10"/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11"/>
        <v>none</v>
      </c>
      <c r="U34" s="63" t="e">
        <f t="shared" si="12"/>
        <v>#VALUE!</v>
      </c>
      <c r="V34" s="63">
        <f t="shared" si="13"/>
        <v>4</v>
      </c>
      <c r="W34" s="63" t="e">
        <f t="shared" si="14"/>
        <v>#VALUE!</v>
      </c>
      <c r="X34" s="63" t="e">
        <f t="shared" si="15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47">
        <v>30020033</v>
      </c>
      <c r="B35" s="47" t="s">
        <v>206</v>
      </c>
      <c r="C35" s="50">
        <v>3</v>
      </c>
      <c r="D35" s="50" t="s">
        <v>127</v>
      </c>
      <c r="E35" s="51" t="s">
        <v>203</v>
      </c>
      <c r="F35" s="51" t="s">
        <v>203</v>
      </c>
      <c r="G35" s="63" t="str">
        <f t="shared" si="0"/>
        <v>[effect:nothing]</v>
      </c>
      <c r="H35" s="63">
        <f t="shared" si="1"/>
        <v>9</v>
      </c>
      <c r="I35" s="63">
        <f t="shared" si="2"/>
        <v>16</v>
      </c>
      <c r="J35" s="63" t="e">
        <f t="shared" si="3"/>
        <v>#VALUE!</v>
      </c>
      <c r="K35" s="63" t="e">
        <f t="shared" si="4"/>
        <v>#VALUE!</v>
      </c>
      <c r="L35" s="63" t="str">
        <f>IFERROR(VLOOKUP(MID(G35,J35,K35-J35),[6]skilldef!$C:$D,2,FALSE),"-") &amp; " / " &amp; IFERROR(VLOOKUP(MID(G35,H35,I35-H35),[6]skilldef!$A:$B,2,FALSE),"-")</f>
        <v>- / 何もしない</v>
      </c>
      <c r="M35" s="63" t="str">
        <f t="shared" si="5"/>
        <v>none</v>
      </c>
      <c r="N35" s="48" t="str">
        <f t="shared" si="6"/>
        <v>none</v>
      </c>
      <c r="O35" s="63" t="e">
        <f t="shared" si="7"/>
        <v>#VALUE!</v>
      </c>
      <c r="P35" s="63">
        <f t="shared" si="8"/>
        <v>4</v>
      </c>
      <c r="Q35" s="63" t="e">
        <f t="shared" si="9"/>
        <v>#VALUE!</v>
      </c>
      <c r="R35" s="63" t="e">
        <f t="shared" si="10"/>
        <v>#VALUE!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11"/>
        <v>none</v>
      </c>
      <c r="U35" s="63" t="e">
        <f t="shared" si="12"/>
        <v>#VALUE!</v>
      </c>
      <c r="V35" s="63">
        <f t="shared" si="13"/>
        <v>4</v>
      </c>
      <c r="W35" s="63" t="e">
        <f t="shared" si="14"/>
        <v>#VALUE!</v>
      </c>
      <c r="X35" s="63" t="e">
        <f t="shared" si="15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47">
        <v>30020034</v>
      </c>
      <c r="B36" s="47" t="s">
        <v>206</v>
      </c>
      <c r="C36" s="50">
        <v>3</v>
      </c>
      <c r="D36" s="50" t="s">
        <v>127</v>
      </c>
      <c r="E36" s="51" t="s">
        <v>264</v>
      </c>
      <c r="F36" s="51" t="s">
        <v>265</v>
      </c>
      <c r="G36" s="63" t="str">
        <f t="shared" si="0"/>
        <v>[effect:nothing]</v>
      </c>
      <c r="H36" s="63">
        <f t="shared" si="1"/>
        <v>9</v>
      </c>
      <c r="I36" s="63">
        <f t="shared" si="2"/>
        <v>16</v>
      </c>
      <c r="J36" s="63" t="e">
        <f t="shared" si="3"/>
        <v>#VALUE!</v>
      </c>
      <c r="K36" s="63" t="e">
        <f t="shared" si="4"/>
        <v>#VALUE!</v>
      </c>
      <c r="L36" s="63" t="str">
        <f>IFERROR(VLOOKUP(MID(G36,J36,K36-J36),[6]skilldef!$C:$D,2,FALSE),"-") &amp; " / " &amp; IFERROR(VLOOKUP(MID(G36,H36,I36-H36),[6]skilldef!$A:$B,2,FALSE),"-")</f>
        <v>- / 何もしない</v>
      </c>
      <c r="M36" s="63" t="str">
        <f t="shared" si="5"/>
        <v>none</v>
      </c>
      <c r="N36" s="48" t="str">
        <f t="shared" si="6"/>
        <v>none</v>
      </c>
      <c r="O36" s="63" t="e">
        <f t="shared" si="7"/>
        <v>#VALUE!</v>
      </c>
      <c r="P36" s="63">
        <f t="shared" si="8"/>
        <v>4</v>
      </c>
      <c r="Q36" s="63" t="e">
        <f t="shared" si="9"/>
        <v>#VALUE!</v>
      </c>
      <c r="R36" s="63" t="e">
        <f t="shared" si="10"/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11"/>
        <v>none</v>
      </c>
      <c r="U36" s="63" t="e">
        <f t="shared" si="12"/>
        <v>#VALUE!</v>
      </c>
      <c r="V36" s="63">
        <f t="shared" si="13"/>
        <v>4</v>
      </c>
      <c r="W36" s="63" t="e">
        <f t="shared" si="14"/>
        <v>#VALUE!</v>
      </c>
      <c r="X36" s="63" t="e">
        <f t="shared" si="15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47">
        <v>30020035</v>
      </c>
      <c r="B37" s="47" t="s">
        <v>210</v>
      </c>
      <c r="C37" s="50">
        <v>3</v>
      </c>
      <c r="D37" s="50" t="s">
        <v>127</v>
      </c>
      <c r="E37" s="51" t="s">
        <v>271</v>
      </c>
      <c r="F37" s="51" t="s">
        <v>212</v>
      </c>
      <c r="G37" s="63" t="str">
        <f t="shared" si="0"/>
        <v>[effect:freq_turn, target:myself, turn:3, val:1, animation:enemy_freq_turn]</v>
      </c>
      <c r="H37" s="63">
        <f t="shared" si="1"/>
        <v>9</v>
      </c>
      <c r="I37" s="63">
        <f t="shared" si="2"/>
        <v>18</v>
      </c>
      <c r="J37" s="63">
        <f t="shared" si="3"/>
        <v>27</v>
      </c>
      <c r="K37" s="63">
        <f t="shared" si="4"/>
        <v>33</v>
      </c>
      <c r="L37" s="63" t="str">
        <f>IFERROR(VLOOKUP(MID(G37,J37,K37-J37),[6]skilldef!$C:$D,2,FALSE),"-") &amp; " / " &amp; IFERROR(VLOOKUP(MID(G37,H37,I37-H37),[6]skilldef!$A:$B,2,FALSE),"-")</f>
        <v>自分自身に / 攻撃頻度がUP</v>
      </c>
      <c r="M37" s="63" t="str">
        <f t="shared" si="5"/>
        <v>none</v>
      </c>
      <c r="N37" s="48" t="str">
        <f t="shared" si="6"/>
        <v>none</v>
      </c>
      <c r="O37" s="63" t="e">
        <f t="shared" si="7"/>
        <v>#VALUE!</v>
      </c>
      <c r="P37" s="63">
        <f t="shared" si="8"/>
        <v>4</v>
      </c>
      <c r="Q37" s="63" t="e">
        <f t="shared" si="9"/>
        <v>#VALUE!</v>
      </c>
      <c r="R37" s="63" t="e">
        <f t="shared" si="10"/>
        <v>#VALUE!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si="11"/>
        <v>none</v>
      </c>
      <c r="U37" s="63" t="e">
        <f t="shared" si="12"/>
        <v>#VALUE!</v>
      </c>
      <c r="V37" s="63">
        <f t="shared" si="13"/>
        <v>4</v>
      </c>
      <c r="W37" s="63" t="e">
        <f t="shared" si="14"/>
        <v>#VALUE!</v>
      </c>
      <c r="X37" s="63" t="e">
        <f t="shared" si="15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47">
        <v>30020036</v>
      </c>
      <c r="B38" s="47" t="s">
        <v>250</v>
      </c>
      <c r="C38" s="50">
        <v>3</v>
      </c>
      <c r="D38" s="50" t="s">
        <v>127</v>
      </c>
      <c r="E38" s="51" t="s">
        <v>266</v>
      </c>
      <c r="F38" s="51" t="s">
        <v>220</v>
      </c>
      <c r="G38" s="63" t="str">
        <f t="shared" si="0"/>
        <v>[effect:rush, count:5, val:0.3]</v>
      </c>
      <c r="H38" s="63">
        <f t="shared" si="1"/>
        <v>9</v>
      </c>
      <c r="I38" s="63">
        <f t="shared" si="2"/>
        <v>13</v>
      </c>
      <c r="J38" s="63" t="e">
        <f t="shared" si="3"/>
        <v>#VALUE!</v>
      </c>
      <c r="K38" s="63">
        <f t="shared" si="4"/>
        <v>22</v>
      </c>
      <c r="L38" s="63" t="str">
        <f>IFERROR(VLOOKUP(MID(G38,J38,K38-J38),[6]skilldef!$C:$D,2,FALSE),"-") &amp; " / " &amp; IFERROR(VLOOKUP(MID(G38,H38,I38-H38),[6]skilldef!$A:$B,2,FALSE),"-")</f>
        <v>- / 連続攻撃</v>
      </c>
      <c r="M38" s="63" t="str">
        <f t="shared" si="5"/>
        <v>none</v>
      </c>
      <c r="N38" s="48" t="str">
        <f t="shared" si="6"/>
        <v>none</v>
      </c>
      <c r="O38" s="63" t="e">
        <f t="shared" si="7"/>
        <v>#VALUE!</v>
      </c>
      <c r="P38" s="63">
        <f t="shared" si="8"/>
        <v>4</v>
      </c>
      <c r="Q38" s="63" t="e">
        <f t="shared" si="9"/>
        <v>#VALUE!</v>
      </c>
      <c r="R38" s="63" t="e">
        <f t="shared" si="10"/>
        <v>#VALUE!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11"/>
        <v>none</v>
      </c>
      <c r="U38" s="63" t="e">
        <f t="shared" si="12"/>
        <v>#VALUE!</v>
      </c>
      <c r="V38" s="63">
        <f t="shared" si="13"/>
        <v>4</v>
      </c>
      <c r="W38" s="63" t="e">
        <f t="shared" si="14"/>
        <v>#VALUE!</v>
      </c>
      <c r="X38" s="63" t="e">
        <f t="shared" si="15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47">
        <v>30020037</v>
      </c>
      <c r="B39" s="47" t="s">
        <v>206</v>
      </c>
      <c r="C39" s="50">
        <v>3</v>
      </c>
      <c r="D39" s="50" t="s">
        <v>127</v>
      </c>
      <c r="E39" s="51" t="s">
        <v>267</v>
      </c>
      <c r="F39" s="51" t="s">
        <v>269</v>
      </c>
      <c r="G39" s="63" t="str">
        <f t="shared" si="0"/>
        <v>[effect:nothing]</v>
      </c>
      <c r="H39" s="63">
        <f t="shared" si="1"/>
        <v>9</v>
      </c>
      <c r="I39" s="63">
        <f t="shared" si="2"/>
        <v>16</v>
      </c>
      <c r="J39" s="63" t="e">
        <f t="shared" si="3"/>
        <v>#VALUE!</v>
      </c>
      <c r="K39" s="63" t="e">
        <f t="shared" si="4"/>
        <v>#VALUE!</v>
      </c>
      <c r="L39" s="63" t="str">
        <f>IFERROR(VLOOKUP(MID(G39,J39,K39-J39),[6]skilldef!$C:$D,2,FALSE),"-") &amp; " / " &amp; IFERROR(VLOOKUP(MID(G39,H39,I39-H39),[6]skilldef!$A:$B,2,FALSE),"-")</f>
        <v>- / 何もしない</v>
      </c>
      <c r="M39" s="63" t="str">
        <f t="shared" si="5"/>
        <v>none</v>
      </c>
      <c r="N39" s="48" t="str">
        <f t="shared" si="6"/>
        <v>none</v>
      </c>
      <c r="O39" s="63" t="e">
        <f t="shared" si="7"/>
        <v>#VALUE!</v>
      </c>
      <c r="P39" s="63">
        <f t="shared" si="8"/>
        <v>4</v>
      </c>
      <c r="Q39" s="63" t="e">
        <f t="shared" si="9"/>
        <v>#VALUE!</v>
      </c>
      <c r="R39" s="63" t="e">
        <f t="shared" si="10"/>
        <v>#VALUE!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11"/>
        <v>none</v>
      </c>
      <c r="U39" s="63" t="e">
        <f t="shared" si="12"/>
        <v>#VALUE!</v>
      </c>
      <c r="V39" s="63">
        <f t="shared" si="13"/>
        <v>4</v>
      </c>
      <c r="W39" s="63" t="e">
        <f t="shared" si="14"/>
        <v>#VALUE!</v>
      </c>
      <c r="X39" s="63" t="e">
        <f t="shared" si="15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47">
        <v>30020038</v>
      </c>
      <c r="B40" s="47" t="s">
        <v>249</v>
      </c>
      <c r="C40" s="50">
        <v>3</v>
      </c>
      <c r="D40" s="50" t="s">
        <v>127</v>
      </c>
      <c r="E40" s="51" t="s">
        <v>268</v>
      </c>
      <c r="F40" s="51" t="s">
        <v>284</v>
      </c>
      <c r="G40" s="63" t="str">
        <f t="shared" si="0"/>
        <v>[effect:critical, val:2.3, animation:enemy_critical]</v>
      </c>
      <c r="H40" s="63">
        <f t="shared" si="1"/>
        <v>9</v>
      </c>
      <c r="I40" s="63">
        <f t="shared" si="2"/>
        <v>17</v>
      </c>
      <c r="J40" s="63" t="e">
        <f t="shared" si="3"/>
        <v>#VALUE!</v>
      </c>
      <c r="K40" s="63">
        <f t="shared" si="4"/>
        <v>26</v>
      </c>
      <c r="L40" s="63" t="str">
        <f>IFERROR(VLOOKUP(MID(G40,J40,K40-J40),[6]skilldef!$C:$D,2,FALSE),"-") &amp; " / " &amp; IFERROR(VLOOKUP(MID(G40,H40,I40-H40),[6]skilldef!$A:$B,2,FALSE),"-")</f>
        <v>- / 大攻撃</v>
      </c>
      <c r="M40" s="63" t="str">
        <f t="shared" si="5"/>
        <v>none</v>
      </c>
      <c r="N40" s="48" t="str">
        <f t="shared" si="6"/>
        <v>none</v>
      </c>
      <c r="O40" s="63" t="e">
        <f t="shared" si="7"/>
        <v>#VALUE!</v>
      </c>
      <c r="P40" s="63">
        <f t="shared" si="8"/>
        <v>4</v>
      </c>
      <c r="Q40" s="63" t="e">
        <f t="shared" si="9"/>
        <v>#VALUE!</v>
      </c>
      <c r="R40" s="63" t="e">
        <f t="shared" si="10"/>
        <v>#VALUE!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si="11"/>
        <v>none</v>
      </c>
      <c r="U40" s="63" t="e">
        <f t="shared" si="12"/>
        <v>#VALUE!</v>
      </c>
      <c r="V40" s="63">
        <f t="shared" si="13"/>
        <v>4</v>
      </c>
      <c r="W40" s="63" t="e">
        <f t="shared" si="14"/>
        <v>#VALUE!</v>
      </c>
      <c r="X40" s="63" t="e">
        <f t="shared" si="15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 x14ac:dyDescent="0.15">
      <c r="A41" s="47">
        <v>30020039</v>
      </c>
      <c r="B41" s="47" t="s">
        <v>206</v>
      </c>
      <c r="C41" s="50">
        <v>3</v>
      </c>
      <c r="D41" s="50" t="s">
        <v>127</v>
      </c>
      <c r="E41" s="51" t="s">
        <v>204</v>
      </c>
      <c r="F41" s="51" t="s">
        <v>204</v>
      </c>
      <c r="G41" s="63" t="str">
        <f t="shared" si="0"/>
        <v>[effect:nothing]</v>
      </c>
      <c r="H41" s="63">
        <f t="shared" si="1"/>
        <v>9</v>
      </c>
      <c r="I41" s="63">
        <f t="shared" si="2"/>
        <v>16</v>
      </c>
      <c r="J41" s="63" t="e">
        <f t="shared" si="3"/>
        <v>#VALUE!</v>
      </c>
      <c r="K41" s="63" t="e">
        <f t="shared" si="4"/>
        <v>#VALUE!</v>
      </c>
      <c r="L41" s="63" t="str">
        <f>IFERROR(VLOOKUP(MID(G41,J41,K41-J41),[6]skilldef!$C:$D,2,FALSE),"-") &amp; " / " &amp; IFERROR(VLOOKUP(MID(G41,H41,I41-H41),[6]skilldef!$A:$B,2,FALSE),"-")</f>
        <v>- / 何もしない</v>
      </c>
      <c r="M41" s="63" t="str">
        <f t="shared" si="5"/>
        <v>none</v>
      </c>
      <c r="N41" s="48" t="str">
        <f t="shared" si="6"/>
        <v>none</v>
      </c>
      <c r="O41" s="63" t="e">
        <f t="shared" si="7"/>
        <v>#VALUE!</v>
      </c>
      <c r="P41" s="63">
        <f t="shared" si="8"/>
        <v>4</v>
      </c>
      <c r="Q41" s="63" t="e">
        <f t="shared" si="9"/>
        <v>#VALUE!</v>
      </c>
      <c r="R41" s="63" t="e">
        <f t="shared" si="10"/>
        <v>#VALUE!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11"/>
        <v>none</v>
      </c>
      <c r="U41" s="63" t="e">
        <f t="shared" si="12"/>
        <v>#VALUE!</v>
      </c>
      <c r="V41" s="63">
        <f t="shared" si="13"/>
        <v>4</v>
      </c>
      <c r="W41" s="63" t="e">
        <f t="shared" si="14"/>
        <v>#VALUE!</v>
      </c>
      <c r="X41" s="63" t="e">
        <f t="shared" si="15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47">
        <v>30020040</v>
      </c>
      <c r="B42" s="47" t="s">
        <v>206</v>
      </c>
      <c r="C42" s="50">
        <v>3</v>
      </c>
      <c r="D42" s="50" t="s">
        <v>127</v>
      </c>
      <c r="E42" s="51" t="s">
        <v>204</v>
      </c>
      <c r="F42" s="51" t="s">
        <v>204</v>
      </c>
      <c r="G42" s="63" t="str">
        <f t="shared" si="0"/>
        <v>[effect:nothing]</v>
      </c>
      <c r="H42" s="63">
        <f t="shared" si="1"/>
        <v>9</v>
      </c>
      <c r="I42" s="63">
        <f t="shared" si="2"/>
        <v>16</v>
      </c>
      <c r="J42" s="63" t="e">
        <f t="shared" si="3"/>
        <v>#VALUE!</v>
      </c>
      <c r="K42" s="63" t="e">
        <f t="shared" si="4"/>
        <v>#VALUE!</v>
      </c>
      <c r="L42" s="63" t="str">
        <f>IFERROR(VLOOKUP(MID(G42,J42,K42-J42),[6]skilldef!$C:$D,2,FALSE),"-") &amp; " / " &amp; IFERROR(VLOOKUP(MID(G42,H42,I42-H42),[6]skilldef!$A:$B,2,FALSE),"-")</f>
        <v>- / 何もしない</v>
      </c>
      <c r="M42" s="63" t="str">
        <f t="shared" si="5"/>
        <v>none</v>
      </c>
      <c r="N42" s="48" t="str">
        <f t="shared" si="6"/>
        <v>none</v>
      </c>
      <c r="O42" s="63" t="e">
        <f t="shared" si="7"/>
        <v>#VALUE!</v>
      </c>
      <c r="P42" s="63">
        <f t="shared" si="8"/>
        <v>4</v>
      </c>
      <c r="Q42" s="63" t="e">
        <f t="shared" si="9"/>
        <v>#VALUE!</v>
      </c>
      <c r="R42" s="63" t="e">
        <f t="shared" si="10"/>
        <v>#VALUE!</v>
      </c>
      <c r="S42" s="63" t="str">
        <f>IFERROR(VLOOKUP(MID(N42,Q42,R42-Q42),[6]skilldef!$C:$D,2,FALSE),"-") &amp; " / " &amp; IFERROR(VLOOKUP(MID(N42,O42,P42-O42),[6]skilldef!$A:$B,2,FALSE),"-")</f>
        <v>- / -</v>
      </c>
      <c r="T42" s="48" t="str">
        <f t="shared" si="11"/>
        <v>none</v>
      </c>
      <c r="U42" s="63" t="e">
        <f t="shared" si="12"/>
        <v>#VALUE!</v>
      </c>
      <c r="V42" s="63">
        <f t="shared" si="13"/>
        <v>4</v>
      </c>
      <c r="W42" s="63" t="e">
        <f t="shared" si="14"/>
        <v>#VALUE!</v>
      </c>
      <c r="X42" s="63" t="e">
        <f t="shared" si="15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 x14ac:dyDescent="0.15">
      <c r="A43" s="47">
        <v>30020041</v>
      </c>
      <c r="B43" s="47" t="s">
        <v>206</v>
      </c>
      <c r="C43" s="50">
        <v>3</v>
      </c>
      <c r="D43" s="50" t="s">
        <v>127</v>
      </c>
      <c r="E43" s="51" t="s">
        <v>204</v>
      </c>
      <c r="F43" s="51" t="s">
        <v>204</v>
      </c>
      <c r="G43" s="63" t="str">
        <f t="shared" si="0"/>
        <v>[effect:nothing]</v>
      </c>
      <c r="H43" s="63">
        <f t="shared" si="1"/>
        <v>9</v>
      </c>
      <c r="I43" s="63">
        <f t="shared" si="2"/>
        <v>16</v>
      </c>
      <c r="J43" s="63" t="e">
        <f t="shared" si="3"/>
        <v>#VALUE!</v>
      </c>
      <c r="K43" s="63" t="e">
        <f t="shared" si="4"/>
        <v>#VALUE!</v>
      </c>
      <c r="L43" s="63" t="str">
        <f>IFERROR(VLOOKUP(MID(G43,J43,K43-J43),[6]skilldef!$C:$D,2,FALSE),"-") &amp; " / " &amp; IFERROR(VLOOKUP(MID(G43,H43,I43-H43),[6]skilldef!$A:$B,2,FALSE),"-")</f>
        <v>- / 何もしない</v>
      </c>
      <c r="M43" s="63" t="str">
        <f t="shared" si="5"/>
        <v>none</v>
      </c>
      <c r="N43" s="48" t="str">
        <f t="shared" si="6"/>
        <v>none</v>
      </c>
      <c r="O43" s="63" t="e">
        <f t="shared" si="7"/>
        <v>#VALUE!</v>
      </c>
      <c r="P43" s="63">
        <f t="shared" si="8"/>
        <v>4</v>
      </c>
      <c r="Q43" s="63" t="e">
        <f t="shared" si="9"/>
        <v>#VALUE!</v>
      </c>
      <c r="R43" s="63" t="e">
        <f t="shared" si="10"/>
        <v>#VALUE!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11"/>
        <v>none</v>
      </c>
      <c r="U43" s="63" t="e">
        <f t="shared" si="12"/>
        <v>#VALUE!</v>
      </c>
      <c r="V43" s="63">
        <f t="shared" si="13"/>
        <v>4</v>
      </c>
      <c r="W43" s="63" t="e">
        <f t="shared" si="14"/>
        <v>#VALUE!</v>
      </c>
      <c r="X43" s="63" t="e">
        <f t="shared" si="15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47">
        <v>30020042</v>
      </c>
      <c r="B44" s="47" t="s">
        <v>206</v>
      </c>
      <c r="C44" s="50">
        <v>3</v>
      </c>
      <c r="D44" s="50" t="s">
        <v>127</v>
      </c>
      <c r="E44" s="51" t="s">
        <v>270</v>
      </c>
      <c r="F44" s="51" t="s">
        <v>276</v>
      </c>
      <c r="G44" s="63" t="str">
        <f t="shared" si="0"/>
        <v>[effect:nothing]</v>
      </c>
      <c r="H44" s="63">
        <f t="shared" si="1"/>
        <v>9</v>
      </c>
      <c r="I44" s="63">
        <f t="shared" si="2"/>
        <v>16</v>
      </c>
      <c r="J44" s="63" t="e">
        <f t="shared" si="3"/>
        <v>#VALUE!</v>
      </c>
      <c r="K44" s="63" t="e">
        <f t="shared" si="4"/>
        <v>#VALUE!</v>
      </c>
      <c r="L44" s="63" t="str">
        <f>IFERROR(VLOOKUP(MID(G44,J44,K44-J44),[6]skilldef!$C:$D,2,FALSE),"-") &amp; " / " &amp; IFERROR(VLOOKUP(MID(G44,H44,I44-H44),[6]skilldef!$A:$B,2,FALSE),"-")</f>
        <v>- / 何もしない</v>
      </c>
      <c r="M44" s="63" t="str">
        <f t="shared" si="5"/>
        <v>none</v>
      </c>
      <c r="N44" s="48" t="str">
        <f t="shared" si="6"/>
        <v>none</v>
      </c>
      <c r="O44" s="63" t="e">
        <f t="shared" si="7"/>
        <v>#VALUE!</v>
      </c>
      <c r="P44" s="63">
        <f t="shared" si="8"/>
        <v>4</v>
      </c>
      <c r="Q44" s="63" t="e">
        <f t="shared" si="9"/>
        <v>#VALUE!</v>
      </c>
      <c r="R44" s="63" t="e">
        <f t="shared" si="10"/>
        <v>#VALUE!</v>
      </c>
      <c r="S44" s="63" t="str">
        <f>IFERROR(VLOOKUP(MID(N44,Q44,R44-Q44),[6]skilldef!$C:$D,2,FALSE),"-") &amp; " / " &amp; IFERROR(VLOOKUP(MID(N44,O44,P44-O44),[6]skilldef!$A:$B,2,FALSE),"-")</f>
        <v>- / -</v>
      </c>
      <c r="T44" s="48" t="str">
        <f t="shared" si="11"/>
        <v>none</v>
      </c>
      <c r="U44" s="63" t="e">
        <f t="shared" si="12"/>
        <v>#VALUE!</v>
      </c>
      <c r="V44" s="63">
        <f t="shared" si="13"/>
        <v>4</v>
      </c>
      <c r="W44" s="63" t="e">
        <f t="shared" si="14"/>
        <v>#VALUE!</v>
      </c>
      <c r="X44" s="63" t="e">
        <f t="shared" si="15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47">
        <v>30020043</v>
      </c>
      <c r="B45" s="47" t="s">
        <v>210</v>
      </c>
      <c r="C45" s="50">
        <v>3</v>
      </c>
      <c r="D45" s="50" t="s">
        <v>127</v>
      </c>
      <c r="E45" s="51" t="s">
        <v>275</v>
      </c>
      <c r="F45" s="51" t="s">
        <v>212</v>
      </c>
      <c r="G45" s="63" t="str">
        <f t="shared" si="0"/>
        <v>[effect:freq_turn, target:myself, turn:3, val:1, animation:enemy_freq_turn]</v>
      </c>
      <c r="H45" s="63">
        <f t="shared" si="1"/>
        <v>9</v>
      </c>
      <c r="I45" s="63">
        <f t="shared" si="2"/>
        <v>18</v>
      </c>
      <c r="J45" s="63">
        <f t="shared" si="3"/>
        <v>27</v>
      </c>
      <c r="K45" s="63">
        <f t="shared" si="4"/>
        <v>33</v>
      </c>
      <c r="L45" s="63" t="str">
        <f>IFERROR(VLOOKUP(MID(G45,J45,K45-J45),[6]skilldef!$C:$D,2,FALSE),"-") &amp; " / " &amp; IFERROR(VLOOKUP(MID(G45,H45,I45-H45),[6]skilldef!$A:$B,2,FALSE),"-")</f>
        <v>自分自身に / 攻撃頻度がUP</v>
      </c>
      <c r="M45" s="63" t="str">
        <f t="shared" si="5"/>
        <v>none</v>
      </c>
      <c r="N45" s="48" t="str">
        <f t="shared" si="6"/>
        <v>none</v>
      </c>
      <c r="O45" s="63" t="e">
        <f t="shared" si="7"/>
        <v>#VALUE!</v>
      </c>
      <c r="P45" s="63">
        <f t="shared" si="8"/>
        <v>4</v>
      </c>
      <c r="Q45" s="63" t="e">
        <f t="shared" si="9"/>
        <v>#VALUE!</v>
      </c>
      <c r="R45" s="63" t="e">
        <f t="shared" si="10"/>
        <v>#VALUE!</v>
      </c>
      <c r="S45" s="63" t="str">
        <f>IFERROR(VLOOKUP(MID(N45,Q45,R45-Q45),[6]skilldef!$C:$D,2,FALSE),"-") &amp; " / " &amp; IFERROR(VLOOKUP(MID(N45,O45,P45-O45),[6]skilldef!$A:$B,2,FALSE),"-")</f>
        <v>- / -</v>
      </c>
      <c r="T45" s="48" t="str">
        <f t="shared" si="11"/>
        <v>none</v>
      </c>
      <c r="U45" s="63" t="e">
        <f t="shared" si="12"/>
        <v>#VALUE!</v>
      </c>
      <c r="V45" s="63">
        <f t="shared" si="13"/>
        <v>4</v>
      </c>
      <c r="W45" s="63" t="e">
        <f t="shared" si="14"/>
        <v>#VALUE!</v>
      </c>
      <c r="X45" s="63" t="e">
        <f t="shared" si="15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47">
        <v>30020044</v>
      </c>
      <c r="B46" s="47" t="s">
        <v>251</v>
      </c>
      <c r="C46" s="50">
        <v>3</v>
      </c>
      <c r="D46" s="50" t="s">
        <v>127</v>
      </c>
      <c r="E46" s="51" t="s">
        <v>263</v>
      </c>
      <c r="F46" s="51" t="s">
        <v>220</v>
      </c>
      <c r="G46" s="63" t="str">
        <f t="shared" si="0"/>
        <v>[effect:rush, count:5, val:0.3]</v>
      </c>
      <c r="H46" s="63">
        <f t="shared" si="1"/>
        <v>9</v>
      </c>
      <c r="I46" s="63">
        <f t="shared" si="2"/>
        <v>13</v>
      </c>
      <c r="J46" s="63" t="e">
        <f t="shared" si="3"/>
        <v>#VALUE!</v>
      </c>
      <c r="K46" s="63">
        <f t="shared" si="4"/>
        <v>22</v>
      </c>
      <c r="L46" s="63" t="str">
        <f>IFERROR(VLOOKUP(MID(G46,J46,K46-J46),[6]skilldef!$C:$D,2,FALSE),"-") &amp; " / " &amp; IFERROR(VLOOKUP(MID(G46,H46,I46-H46),[6]skilldef!$A:$B,2,FALSE),"-")</f>
        <v>- / 連続攻撃</v>
      </c>
      <c r="M46" s="63" t="str">
        <f t="shared" si="5"/>
        <v>none</v>
      </c>
      <c r="N46" s="48" t="str">
        <f t="shared" si="6"/>
        <v>none</v>
      </c>
      <c r="O46" s="63" t="e">
        <f t="shared" si="7"/>
        <v>#VALUE!</v>
      </c>
      <c r="P46" s="63">
        <f t="shared" si="8"/>
        <v>4</v>
      </c>
      <c r="Q46" s="63" t="e">
        <f t="shared" si="9"/>
        <v>#VALUE!</v>
      </c>
      <c r="R46" s="63" t="e">
        <f t="shared" si="10"/>
        <v>#VALUE!</v>
      </c>
      <c r="S46" s="63" t="str">
        <f>IFERROR(VLOOKUP(MID(N46,Q46,R46-Q46),[6]skilldef!$C:$D,2,FALSE),"-") &amp; " / " &amp; IFERROR(VLOOKUP(MID(N46,O46,P46-O46),[6]skilldef!$A:$B,2,FALSE),"-")</f>
        <v>- / -</v>
      </c>
      <c r="T46" s="48" t="str">
        <f t="shared" si="11"/>
        <v>none</v>
      </c>
      <c r="U46" s="63" t="e">
        <f t="shared" si="12"/>
        <v>#VALUE!</v>
      </c>
      <c r="V46" s="63">
        <f t="shared" si="13"/>
        <v>4</v>
      </c>
      <c r="W46" s="63" t="e">
        <f t="shared" si="14"/>
        <v>#VALUE!</v>
      </c>
      <c r="X46" s="63" t="e">
        <f t="shared" si="15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47">
        <v>30020045</v>
      </c>
      <c r="B47" s="47" t="s">
        <v>206</v>
      </c>
      <c r="C47" s="50">
        <v>3</v>
      </c>
      <c r="D47" s="50" t="s">
        <v>127</v>
      </c>
      <c r="E47" s="51" t="s">
        <v>272</v>
      </c>
      <c r="F47" s="51" t="s">
        <v>269</v>
      </c>
      <c r="G47" s="63" t="str">
        <f t="shared" si="0"/>
        <v>[effect:nothing]</v>
      </c>
      <c r="H47" s="63">
        <f t="shared" si="1"/>
        <v>9</v>
      </c>
      <c r="I47" s="63">
        <f t="shared" si="2"/>
        <v>16</v>
      </c>
      <c r="J47" s="63" t="e">
        <f t="shared" si="3"/>
        <v>#VALUE!</v>
      </c>
      <c r="K47" s="63" t="e">
        <f t="shared" si="4"/>
        <v>#VALUE!</v>
      </c>
      <c r="L47" s="63" t="str">
        <f>IFERROR(VLOOKUP(MID(G47,J47,K47-J47),[6]skilldef!$C:$D,2,FALSE),"-") &amp; " / " &amp; IFERROR(VLOOKUP(MID(G47,H47,I47-H47),[6]skilldef!$A:$B,2,FALSE),"-")</f>
        <v>- / 何もしない</v>
      </c>
      <c r="M47" s="63" t="str">
        <f t="shared" si="5"/>
        <v>none</v>
      </c>
      <c r="N47" s="48" t="str">
        <f t="shared" si="6"/>
        <v>none</v>
      </c>
      <c r="O47" s="63" t="e">
        <f t="shared" si="7"/>
        <v>#VALUE!</v>
      </c>
      <c r="P47" s="63">
        <f t="shared" si="8"/>
        <v>4</v>
      </c>
      <c r="Q47" s="63" t="e">
        <f t="shared" si="9"/>
        <v>#VALUE!</v>
      </c>
      <c r="R47" s="63" t="e">
        <f t="shared" si="10"/>
        <v>#VALUE!</v>
      </c>
      <c r="S47" s="63" t="str">
        <f>IFERROR(VLOOKUP(MID(N47,Q47,R47-Q47),[6]skilldef!$C:$D,2,FALSE),"-") &amp; " / " &amp; IFERROR(VLOOKUP(MID(N47,O47,P47-O47),[6]skilldef!$A:$B,2,FALSE),"-")</f>
        <v>- / -</v>
      </c>
      <c r="T47" s="48" t="str">
        <f t="shared" si="11"/>
        <v>none</v>
      </c>
      <c r="U47" s="63" t="e">
        <f t="shared" si="12"/>
        <v>#VALUE!</v>
      </c>
      <c r="V47" s="63">
        <f t="shared" si="13"/>
        <v>4</v>
      </c>
      <c r="W47" s="63" t="e">
        <f t="shared" si="14"/>
        <v>#VALUE!</v>
      </c>
      <c r="X47" s="63" t="e">
        <f t="shared" si="15"/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47">
        <v>30020046</v>
      </c>
      <c r="B48" s="47" t="s">
        <v>248</v>
      </c>
      <c r="C48" s="50">
        <v>3</v>
      </c>
      <c r="D48" s="50" t="s">
        <v>127</v>
      </c>
      <c r="E48" s="51" t="s">
        <v>273</v>
      </c>
      <c r="F48" s="51" t="s">
        <v>283</v>
      </c>
      <c r="G48" s="63" t="str">
        <f t="shared" si="0"/>
        <v>[effect:critical, val:2.5, animation:enemy_critical]</v>
      </c>
      <c r="H48" s="63">
        <f t="shared" si="1"/>
        <v>9</v>
      </c>
      <c r="I48" s="63">
        <f t="shared" si="2"/>
        <v>17</v>
      </c>
      <c r="J48" s="63" t="e">
        <f t="shared" si="3"/>
        <v>#VALUE!</v>
      </c>
      <c r="K48" s="63">
        <f t="shared" si="4"/>
        <v>26</v>
      </c>
      <c r="L48" s="63" t="str">
        <f>IFERROR(VLOOKUP(MID(G48,J48,K48-J48),[6]skilldef!$C:$D,2,FALSE),"-") &amp; " / " &amp; IFERROR(VLOOKUP(MID(G48,H48,I48-H48),[6]skilldef!$A:$B,2,FALSE),"-")</f>
        <v>- / 大攻撃</v>
      </c>
      <c r="M48" s="63" t="str">
        <f t="shared" si="5"/>
        <v>none</v>
      </c>
      <c r="N48" s="48" t="str">
        <f t="shared" si="6"/>
        <v>none</v>
      </c>
      <c r="O48" s="63" t="e">
        <f t="shared" si="7"/>
        <v>#VALUE!</v>
      </c>
      <c r="P48" s="63">
        <f t="shared" si="8"/>
        <v>4</v>
      </c>
      <c r="Q48" s="63" t="e">
        <f t="shared" si="9"/>
        <v>#VALUE!</v>
      </c>
      <c r="R48" s="63" t="e">
        <f t="shared" si="10"/>
        <v>#VALUE!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si="11"/>
        <v>none</v>
      </c>
      <c r="U48" s="63" t="e">
        <f t="shared" si="12"/>
        <v>#VALUE!</v>
      </c>
      <c r="V48" s="63">
        <f t="shared" si="13"/>
        <v>4</v>
      </c>
      <c r="W48" s="63" t="e">
        <f t="shared" si="14"/>
        <v>#VALUE!</v>
      </c>
      <c r="X48" s="63" t="e">
        <f t="shared" si="15"/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 x14ac:dyDescent="0.15">
      <c r="A49" s="111">
        <v>30020047</v>
      </c>
      <c r="B49" s="47" t="s">
        <v>298</v>
      </c>
      <c r="C49" s="50">
        <v>3</v>
      </c>
      <c r="D49" s="50" t="s">
        <v>127</v>
      </c>
      <c r="E49" s="51" t="s">
        <v>274</v>
      </c>
      <c r="F49" s="51" t="s">
        <v>242</v>
      </c>
      <c r="G49" s="63" t="str">
        <f t="shared" si="0"/>
        <v>[effect:change_panel_ratio, turn:-1, block_type:heal, val:0.0]</v>
      </c>
      <c r="H49" s="63">
        <f t="shared" si="1"/>
        <v>9</v>
      </c>
      <c r="I49" s="63">
        <f t="shared" si="2"/>
        <v>27</v>
      </c>
      <c r="J49" s="63" t="e">
        <f t="shared" si="3"/>
        <v>#VALUE!</v>
      </c>
      <c r="K49" s="63">
        <f t="shared" si="4"/>
        <v>36</v>
      </c>
      <c r="L49" s="63" t="str">
        <f>IFERROR(VLOOKUP(MID(G49,J49,K49-J49),[6]skilldef!$C:$D,2,FALSE),"-") &amp; " / " &amp; IFERROR(VLOOKUP(MID(G49,H49,I49-H49),[6]skilldef!$A:$B,2,FALSE),"-")</f>
        <v>- / -</v>
      </c>
      <c r="M49" s="63" t="str">
        <f t="shared" si="5"/>
        <v>none</v>
      </c>
      <c r="N49" s="48" t="str">
        <f t="shared" si="6"/>
        <v>none</v>
      </c>
      <c r="O49" s="63" t="e">
        <f t="shared" si="7"/>
        <v>#VALUE!</v>
      </c>
      <c r="P49" s="63">
        <f t="shared" si="8"/>
        <v>4</v>
      </c>
      <c r="Q49" s="63" t="e">
        <f t="shared" si="9"/>
        <v>#VALUE!</v>
      </c>
      <c r="R49" s="63" t="e">
        <f t="shared" si="10"/>
        <v>#VALUE!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si="11"/>
        <v>none</v>
      </c>
      <c r="U49" s="63" t="e">
        <f t="shared" si="12"/>
        <v>#VALUE!</v>
      </c>
      <c r="V49" s="63">
        <f t="shared" si="13"/>
        <v>4</v>
      </c>
      <c r="W49" s="63" t="e">
        <f t="shared" si="14"/>
        <v>#VALUE!</v>
      </c>
      <c r="X49" s="63" t="e">
        <f t="shared" si="15"/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47">
        <v>30020048</v>
      </c>
      <c r="B50" s="47" t="s">
        <v>206</v>
      </c>
      <c r="C50" s="50">
        <v>3</v>
      </c>
      <c r="D50" s="50" t="s">
        <v>127</v>
      </c>
      <c r="E50" s="51" t="s">
        <v>205</v>
      </c>
      <c r="F50" s="51" t="s">
        <v>205</v>
      </c>
      <c r="G50" s="63" t="str">
        <f t="shared" si="0"/>
        <v>[effect:nothing]</v>
      </c>
      <c r="H50" s="63">
        <f t="shared" si="1"/>
        <v>9</v>
      </c>
      <c r="I50" s="63">
        <f t="shared" si="2"/>
        <v>16</v>
      </c>
      <c r="J50" s="63" t="e">
        <f t="shared" si="3"/>
        <v>#VALUE!</v>
      </c>
      <c r="K50" s="63" t="e">
        <f t="shared" si="4"/>
        <v>#VALUE!</v>
      </c>
      <c r="L50" s="63" t="str">
        <f>IFERROR(VLOOKUP(MID(G50,J50,K50-J50),[6]skilldef!$C:$D,2,FALSE),"-") &amp; " / " &amp; IFERROR(VLOOKUP(MID(G50,H50,I50-H50),[6]skilldef!$A:$B,2,FALSE),"-")</f>
        <v>- / 何もしない</v>
      </c>
      <c r="M50" s="63" t="str">
        <f t="shared" si="5"/>
        <v>none</v>
      </c>
      <c r="N50" s="48" t="str">
        <f t="shared" si="6"/>
        <v>none</v>
      </c>
      <c r="O50" s="63" t="e">
        <f t="shared" si="7"/>
        <v>#VALUE!</v>
      </c>
      <c r="P50" s="63">
        <f t="shared" si="8"/>
        <v>4</v>
      </c>
      <c r="Q50" s="63" t="e">
        <f t="shared" si="9"/>
        <v>#VALUE!</v>
      </c>
      <c r="R50" s="63" t="e">
        <f t="shared" si="10"/>
        <v>#VALUE!</v>
      </c>
      <c r="S50" s="63" t="str">
        <f>IFERROR(VLOOKUP(MID(N50,Q50,R50-Q50),[6]skilldef!$C:$D,2,FALSE),"-") &amp; " / " &amp; IFERROR(VLOOKUP(MID(N50,O50,P50-O50),[6]skilldef!$A:$B,2,FALSE),"-")</f>
        <v>- / -</v>
      </c>
      <c r="T50" s="48" t="str">
        <f t="shared" si="11"/>
        <v>none</v>
      </c>
      <c r="U50" s="63" t="e">
        <f t="shared" si="12"/>
        <v>#VALUE!</v>
      </c>
      <c r="V50" s="63">
        <f t="shared" si="13"/>
        <v>4</v>
      </c>
      <c r="W50" s="63" t="e">
        <f t="shared" si="14"/>
        <v>#VALUE!</v>
      </c>
      <c r="X50" s="63" t="e">
        <f t="shared" si="15"/>
        <v>#VALUE!</v>
      </c>
      <c r="Y50" s="63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 x14ac:dyDescent="0.15">
      <c r="A51" s="47">
        <v>30020049</v>
      </c>
      <c r="B51" s="47" t="s">
        <v>244</v>
      </c>
      <c r="C51" s="50">
        <v>3</v>
      </c>
      <c r="D51" s="50" t="s">
        <v>127</v>
      </c>
      <c r="E51" s="51" t="s">
        <v>205</v>
      </c>
      <c r="F51" s="51" t="s">
        <v>205</v>
      </c>
      <c r="G51" s="63" t="str">
        <f t="shared" ref="G51" si="16">IFERROR(LEFT(B51,FIND("],",B51)),B51)</f>
        <v>[effect:change_panel_ratio, turn:-1, block_type:heart, val:0.05, animation:block_incidence04]</v>
      </c>
      <c r="H51" s="63">
        <f t="shared" si="1"/>
        <v>9</v>
      </c>
      <c r="I51" s="63">
        <f t="shared" ref="I51" si="17">IFERROR(FIND(",",G51),LEN(G51))</f>
        <v>27</v>
      </c>
      <c r="J51" s="63" t="e">
        <f t="shared" ref="J51" si="18">FIND("target:",G51)+7</f>
        <v>#VALUE!</v>
      </c>
      <c r="K51" s="63">
        <f t="shared" ref="K51" si="19">FIND(",",G51,I51+1)</f>
        <v>36</v>
      </c>
      <c r="L51" s="63" t="str">
        <f>IFERROR(VLOOKUP(MID(G51,J51,K51-J51),[6]skilldef!$C:$D,2,FALSE),"-") &amp; " / " &amp; IFERROR(VLOOKUP(MID(G51,H51,I51-H51),[6]skilldef!$A:$B,2,FALSE),"-")</f>
        <v>- / -</v>
      </c>
      <c r="M51" s="63" t="str">
        <f t="shared" ref="M51" si="20">IFERROR(RIGHT(B51,LEN(B51)-FIND("],",B51)-1),"none")</f>
        <v>none</v>
      </c>
      <c r="N51" s="48" t="str">
        <f t="shared" ref="N51" si="21">IFERROR(LEFT(M51,FIND("],",M51)+S61),M51)</f>
        <v>none</v>
      </c>
      <c r="O51" s="63" t="e">
        <f t="shared" si="7"/>
        <v>#VALUE!</v>
      </c>
      <c r="P51" s="63">
        <f t="shared" ref="P51" si="22">IFERROR(FIND(",",N51),LEN(N51))</f>
        <v>4</v>
      </c>
      <c r="Q51" s="63" t="e">
        <f t="shared" ref="Q51" si="23">FIND("target:",N51)+7</f>
        <v>#VALUE!</v>
      </c>
      <c r="R51" s="63" t="e">
        <f t="shared" ref="R51" si="24">FIND(",",N51,P51+1)</f>
        <v>#VALUE!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ref="T51" si="25">IFERROR(RIGHT(M51,LEN(M51)-FIND("],",M51)-1),"none")</f>
        <v>none</v>
      </c>
      <c r="U51" s="63" t="e">
        <f t="shared" si="12"/>
        <v>#VALUE!</v>
      </c>
      <c r="V51" s="63">
        <f t="shared" ref="V51" si="26">IFERROR(FIND(",",T51),LEN(T51))</f>
        <v>4</v>
      </c>
      <c r="W51" s="63" t="e">
        <f t="shared" ref="W51" si="27">FIND("target:",T51)+7</f>
        <v>#VALUE!</v>
      </c>
      <c r="X51" s="63" t="e">
        <f t="shared" ref="X51" si="28">FIND(",",T51,V51+1)</f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47">
        <v>30020050</v>
      </c>
      <c r="B52" s="47" t="s">
        <v>246</v>
      </c>
      <c r="C52" s="50">
        <v>3</v>
      </c>
      <c r="D52" s="50" t="s">
        <v>127</v>
      </c>
      <c r="E52" s="51" t="s">
        <v>301</v>
      </c>
      <c r="F52" s="51" t="s">
        <v>220</v>
      </c>
      <c r="G52" s="63" t="str">
        <f t="shared" ref="G52" si="29">IFERROR(LEFT(B52,FIND("],",B52)),B52)</f>
        <v>[effect:rush, count:5, val:0.3]</v>
      </c>
      <c r="H52" s="63">
        <f t="shared" ref="H52" si="30">FIND("effect:",G52)+7</f>
        <v>9</v>
      </c>
      <c r="I52" s="63">
        <f t="shared" ref="I52" si="31">IFERROR(FIND(",",G52),LEN(G52))</f>
        <v>13</v>
      </c>
      <c r="J52" s="63" t="e">
        <f t="shared" ref="J52" si="32">FIND("target:",G52)+7</f>
        <v>#VALUE!</v>
      </c>
      <c r="K52" s="63">
        <f t="shared" ref="K52" si="33">FIND(",",G52,I52+1)</f>
        <v>22</v>
      </c>
      <c r="L52" s="63" t="str">
        <f>IFERROR(VLOOKUP(MID(G52,J52,K52-J52),[6]skilldef!$C:$D,2,FALSE),"-") &amp; " / " &amp; IFERROR(VLOOKUP(MID(G52,H52,I52-H52),[6]skilldef!$A:$B,2,FALSE),"-")</f>
        <v>- / 連続攻撃</v>
      </c>
      <c r="M52" s="63" t="str">
        <f t="shared" ref="M52" si="34">IFERROR(RIGHT(B52,LEN(B52)-FIND("],",B52)-1),"none")</f>
        <v>none</v>
      </c>
      <c r="N52" s="48" t="str">
        <f t="shared" ref="N52" si="35">IFERROR(LEFT(M52,FIND("],",M52)+S62),M52)</f>
        <v>none</v>
      </c>
      <c r="O52" s="63" t="e">
        <f t="shared" ref="O52" si="36">FIND("effect:",N52)+7</f>
        <v>#VALUE!</v>
      </c>
      <c r="P52" s="63">
        <f t="shared" ref="P52" si="37">IFERROR(FIND(",",N52),LEN(N52))</f>
        <v>4</v>
      </c>
      <c r="Q52" s="63" t="e">
        <f t="shared" ref="Q52" si="38">FIND("target:",N52)+7</f>
        <v>#VALUE!</v>
      </c>
      <c r="R52" s="63" t="e">
        <f t="shared" ref="R52" si="39">FIND(",",N52,P52+1)</f>
        <v>#VALUE!</v>
      </c>
      <c r="S52" s="63" t="str">
        <f>IFERROR(VLOOKUP(MID(N52,Q52,R52-Q52),[6]skilldef!$C:$D,2,FALSE),"-") &amp; " / " &amp; IFERROR(VLOOKUP(MID(N52,O52,P52-O52),[6]skilldef!$A:$B,2,FALSE),"-")</f>
        <v>- / -</v>
      </c>
      <c r="T52" s="48" t="str">
        <f t="shared" ref="T52" si="40">IFERROR(RIGHT(M52,LEN(M52)-FIND("],",M52)-1),"none")</f>
        <v>none</v>
      </c>
      <c r="U52" s="63" t="e">
        <f t="shared" ref="U52" si="41">FIND("effect:",T52)+7</f>
        <v>#VALUE!</v>
      </c>
      <c r="V52" s="63">
        <f t="shared" ref="V52" si="42">IFERROR(FIND(",",T52),LEN(T52))</f>
        <v>4</v>
      </c>
      <c r="W52" s="63" t="e">
        <f t="shared" ref="W52" si="43">FIND("target:",T52)+7</f>
        <v>#VALUE!</v>
      </c>
      <c r="X52" s="63" t="e">
        <f t="shared" ref="X52" si="44">FIND(",",T52,V52+1)</f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 x14ac:dyDescent="0.15">
      <c r="A53" s="47">
        <v>30020051</v>
      </c>
      <c r="B53" s="47" t="s">
        <v>328</v>
      </c>
      <c r="C53" s="50">
        <v>3</v>
      </c>
      <c r="D53" s="50" t="s">
        <v>127</v>
      </c>
      <c r="E53" s="51" t="s">
        <v>299</v>
      </c>
      <c r="F53" s="51" t="s">
        <v>317</v>
      </c>
      <c r="G53" s="63" t="str">
        <f t="shared" ref="G53:G56" si="45">IFERROR(LEFT(B53,FIND("],",B53)),B53)</f>
        <v>[effect:damage_anti_tribe, target:unit_all, tribe:dragon, val1:0.01, val2:5.0]</v>
      </c>
      <c r="H53" s="63">
        <f t="shared" ref="H53:H56" si="46">FIND("effect:",G53)+7</f>
        <v>9</v>
      </c>
      <c r="I53" s="63">
        <f t="shared" ref="I53:I56" si="47">IFERROR(FIND(",",G53),LEN(G53))</f>
        <v>26</v>
      </c>
      <c r="J53" s="63">
        <f t="shared" ref="J53:J56" si="48">FIND("target:",G53)+7</f>
        <v>35</v>
      </c>
      <c r="K53" s="63">
        <f t="shared" ref="K53:K56" si="49">FIND(",",G53,I53+1)</f>
        <v>43</v>
      </c>
      <c r="L53" s="63" t="str">
        <f>IFERROR(VLOOKUP(MID(G53,J53,K53-J53),[6]skilldef!$C:$D,2,FALSE),"-") &amp; " / " &amp; IFERROR(VLOOKUP(MID(G53,H53,I53-H53),[6]skilldef!$A:$B,2,FALSE),"-")</f>
        <v>味方全体に / 種族キラー</v>
      </c>
      <c r="M53" s="63" t="str">
        <f t="shared" ref="M53:M56" si="50">IFERROR(RIGHT(B53,LEN(B53)-FIND("],",B53)-1),"none")</f>
        <v xml:space="preserve">[effect:damage_anti_tribe, target:unit_all, tribe:dragon, val1:0.01, val2:5.0],[effect:suicide, val:0.2, dead_type:suicide, target:myself, animation:enemy_suicide]    </v>
      </c>
      <c r="N53" s="48" t="str">
        <f t="shared" ref="N53:N56" si="51">IFERROR(LEFT(M53,FIND("],",M53)+S63),M53)</f>
        <v>[effect:damage_anti_tribe, target:unit_all, tribe:dragon, val1:0.01, val2:5.0]</v>
      </c>
      <c r="O53" s="63">
        <f t="shared" ref="O53:O56" si="52">FIND("effect:",N53)+7</f>
        <v>9</v>
      </c>
      <c r="P53" s="63">
        <f t="shared" ref="P53:P56" si="53">IFERROR(FIND(",",N53),LEN(N53))</f>
        <v>26</v>
      </c>
      <c r="Q53" s="63">
        <f t="shared" ref="Q53:Q56" si="54">FIND("target:",N53)+7</f>
        <v>35</v>
      </c>
      <c r="R53" s="63">
        <f t="shared" ref="R53:R56" si="55">FIND(",",N53,P53+1)</f>
        <v>43</v>
      </c>
      <c r="S53" s="63" t="str">
        <f>IFERROR(VLOOKUP(MID(N53,Q53,R53-Q53),[6]skilldef!$C:$D,2,FALSE),"-") &amp; " / " &amp; IFERROR(VLOOKUP(MID(N53,O53,P53-O53),[6]skilldef!$A:$B,2,FALSE),"-")</f>
        <v>味方全体に / 種族キラー</v>
      </c>
      <c r="T53" s="48" t="str">
        <f t="shared" ref="T53:T56" si="56">IFERROR(RIGHT(M53,LEN(M53)-FIND("],",M53)-1),"none")</f>
        <v xml:space="preserve">[effect:suicide, val:0.2, dead_type:suicide, target:myself, animation:enemy_suicide]    </v>
      </c>
      <c r="U53" s="63">
        <f t="shared" ref="U53:U56" si="57">FIND("effect:",T53)+7</f>
        <v>9</v>
      </c>
      <c r="V53" s="63">
        <f t="shared" ref="V53:V56" si="58">IFERROR(FIND(",",T53),LEN(T53))</f>
        <v>16</v>
      </c>
      <c r="W53" s="63">
        <f t="shared" ref="W53:W56" si="59">FIND("target:",T53)+7</f>
        <v>53</v>
      </c>
      <c r="X53" s="63">
        <f t="shared" ref="X53:X56" si="60">FIND(",",T53,V53+1)</f>
        <v>25</v>
      </c>
      <c r="Y53" s="63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47">
        <v>30020052</v>
      </c>
      <c r="B54" s="47" t="s">
        <v>329</v>
      </c>
      <c r="C54" s="50">
        <v>3</v>
      </c>
      <c r="D54" s="50" t="s">
        <v>127</v>
      </c>
      <c r="E54" s="51" t="s">
        <v>299</v>
      </c>
      <c r="F54" s="51" t="s">
        <v>318</v>
      </c>
      <c r="G54" s="63" t="str">
        <f t="shared" si="45"/>
        <v>[effect:damage_anti_tribe, target:unit_all, tribe:dragon, val1:0.01, val2:5.0]</v>
      </c>
      <c r="H54" s="63">
        <f t="shared" si="46"/>
        <v>9</v>
      </c>
      <c r="I54" s="63">
        <f t="shared" si="47"/>
        <v>26</v>
      </c>
      <c r="J54" s="63">
        <f t="shared" si="48"/>
        <v>35</v>
      </c>
      <c r="K54" s="63">
        <f t="shared" si="49"/>
        <v>43</v>
      </c>
      <c r="L54" s="63" t="str">
        <f>IFERROR(VLOOKUP(MID(G54,J54,K54-J54),[6]skilldef!$C:$D,2,FALSE),"-") &amp; " / " &amp; IFERROR(VLOOKUP(MID(G54,H54,I54-H54),[6]skilldef!$A:$B,2,FALSE),"-")</f>
        <v>味方全体に / 種族キラー</v>
      </c>
      <c r="M54" s="63" t="str">
        <f t="shared" si="50"/>
        <v xml:space="preserve">[effect:damage_anti_tribe, target:unit_all, tribe:dragon, val1:0.01, val2:5.0],[effect:suicide, val:0.2, dead_type:suicide, target:myself, animation:enemy_suicide]    </v>
      </c>
      <c r="N54" s="48" t="str">
        <f t="shared" si="51"/>
        <v>[effect:damage_anti_tribe, target:unit_all, tribe:dragon, val1:0.01, val2:5.0]</v>
      </c>
      <c r="O54" s="63">
        <f t="shared" si="52"/>
        <v>9</v>
      </c>
      <c r="P54" s="63">
        <f t="shared" si="53"/>
        <v>26</v>
      </c>
      <c r="Q54" s="63">
        <f t="shared" si="54"/>
        <v>35</v>
      </c>
      <c r="R54" s="63">
        <f t="shared" si="55"/>
        <v>43</v>
      </c>
      <c r="S54" s="63" t="str">
        <f>IFERROR(VLOOKUP(MID(N54,Q54,R54-Q54),[6]skilldef!$C:$D,2,FALSE),"-") &amp; " / " &amp; IFERROR(VLOOKUP(MID(N54,O54,P54-O54),[6]skilldef!$A:$B,2,FALSE),"-")</f>
        <v>味方全体に / 種族キラー</v>
      </c>
      <c r="T54" s="48" t="str">
        <f t="shared" si="56"/>
        <v xml:space="preserve">[effect:suicide, val:0.2, dead_type:suicide, target:myself, animation:enemy_suicide]    </v>
      </c>
      <c r="U54" s="63">
        <f t="shared" si="57"/>
        <v>9</v>
      </c>
      <c r="V54" s="63">
        <f t="shared" si="58"/>
        <v>16</v>
      </c>
      <c r="W54" s="63">
        <f t="shared" si="59"/>
        <v>53</v>
      </c>
      <c r="X54" s="63">
        <f t="shared" si="60"/>
        <v>25</v>
      </c>
      <c r="Y54" s="63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 x14ac:dyDescent="0.15">
      <c r="A55" s="47">
        <v>30020053</v>
      </c>
      <c r="B55" s="47" t="s">
        <v>330</v>
      </c>
      <c r="C55" s="50">
        <v>3</v>
      </c>
      <c r="D55" s="50" t="s">
        <v>127</v>
      </c>
      <c r="E55" s="51" t="s">
        <v>299</v>
      </c>
      <c r="F55" s="51" t="s">
        <v>319</v>
      </c>
      <c r="G55" s="63" t="str">
        <f t="shared" si="45"/>
        <v>[effect:damage_anti_tribe, target:unit_all, tribe:dragon, val1:0.01, val2:5.0]</v>
      </c>
      <c r="H55" s="63">
        <f t="shared" si="46"/>
        <v>9</v>
      </c>
      <c r="I55" s="63">
        <f t="shared" si="47"/>
        <v>26</v>
      </c>
      <c r="J55" s="63">
        <f t="shared" si="48"/>
        <v>35</v>
      </c>
      <c r="K55" s="63">
        <f t="shared" si="49"/>
        <v>43</v>
      </c>
      <c r="L55" s="63" t="str">
        <f>IFERROR(VLOOKUP(MID(G55,J55,K55-J55),[6]skilldef!$C:$D,2,FALSE),"-") &amp; " / " &amp; IFERROR(VLOOKUP(MID(G55,H55,I55-H55),[6]skilldef!$A:$B,2,FALSE),"-")</f>
        <v>味方全体に / 種族キラー</v>
      </c>
      <c r="M55" s="63" t="str">
        <f t="shared" si="50"/>
        <v xml:space="preserve">[effect:damage_anti_tribe, target:unit_all, tribe:dragon, val1:0.01, val2:5.0],[effect:suicide, val:0.2, dead_type:suicide, target:myself, animation:enemy_suicide]    </v>
      </c>
      <c r="N55" s="48" t="str">
        <f t="shared" si="51"/>
        <v>[effect:damage_anti_tribe, target:unit_all, tribe:dragon, val1:0.01, val2:5.0]</v>
      </c>
      <c r="O55" s="63">
        <f t="shared" si="52"/>
        <v>9</v>
      </c>
      <c r="P55" s="63">
        <f t="shared" si="53"/>
        <v>26</v>
      </c>
      <c r="Q55" s="63">
        <f t="shared" si="54"/>
        <v>35</v>
      </c>
      <c r="R55" s="63">
        <f t="shared" si="55"/>
        <v>43</v>
      </c>
      <c r="S55" s="63" t="str">
        <f>IFERROR(VLOOKUP(MID(N55,Q55,R55-Q55),[6]skilldef!$C:$D,2,FALSE),"-") &amp; " / " &amp; IFERROR(VLOOKUP(MID(N55,O55,P55-O55),[6]skilldef!$A:$B,2,FALSE),"-")</f>
        <v>味方全体に / 種族キラー</v>
      </c>
      <c r="T55" s="48" t="str">
        <f t="shared" si="56"/>
        <v xml:space="preserve">[effect:suicide, val:0.2, dead_type:suicide, target:myself, animation:enemy_suicide]    </v>
      </c>
      <c r="U55" s="63">
        <f t="shared" si="57"/>
        <v>9</v>
      </c>
      <c r="V55" s="63">
        <f t="shared" si="58"/>
        <v>16</v>
      </c>
      <c r="W55" s="63">
        <f t="shared" si="59"/>
        <v>53</v>
      </c>
      <c r="X55" s="63">
        <f t="shared" si="60"/>
        <v>25</v>
      </c>
      <c r="Y55" s="63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 x14ac:dyDescent="0.15">
      <c r="A56" s="47">
        <v>30020054</v>
      </c>
      <c r="B56" s="47" t="s">
        <v>331</v>
      </c>
      <c r="C56" s="50">
        <v>3</v>
      </c>
      <c r="D56" s="50" t="s">
        <v>127</v>
      </c>
      <c r="E56" s="51" t="s">
        <v>299</v>
      </c>
      <c r="F56" s="51" t="s">
        <v>320</v>
      </c>
      <c r="G56" s="63" t="str">
        <f t="shared" si="45"/>
        <v>[effect:damage_anti_tribe, target:unit_all, tribe:dragon, val1:0.01, val2:5.0]</v>
      </c>
      <c r="H56" s="63">
        <f t="shared" si="46"/>
        <v>9</v>
      </c>
      <c r="I56" s="63">
        <f t="shared" si="47"/>
        <v>26</v>
      </c>
      <c r="J56" s="63">
        <f t="shared" si="48"/>
        <v>35</v>
      </c>
      <c r="K56" s="63">
        <f t="shared" si="49"/>
        <v>43</v>
      </c>
      <c r="L56" s="63" t="str">
        <f>IFERROR(VLOOKUP(MID(G56,J56,K56-J56),[6]skilldef!$C:$D,2,FALSE),"-") &amp; " / " &amp; IFERROR(VLOOKUP(MID(G56,H56,I56-H56),[6]skilldef!$A:$B,2,FALSE),"-")</f>
        <v>味方全体に / 種族キラー</v>
      </c>
      <c r="M56" s="63" t="str">
        <f t="shared" si="50"/>
        <v xml:space="preserve">[effect:damage_anti_tribe, target:unit_all, tribe:dragon, val1:0.01, val2:5.0],[effect:suicide, val:0.2, dead_type:suicide, target:myself, animation:enemy_suicide]    </v>
      </c>
      <c r="N56" s="48" t="str">
        <f t="shared" si="51"/>
        <v>[effect:damage_anti_tribe, target:unit_all, tribe:dragon, val1:0.01, val2:5.0]</v>
      </c>
      <c r="O56" s="63">
        <f t="shared" si="52"/>
        <v>9</v>
      </c>
      <c r="P56" s="63">
        <f t="shared" si="53"/>
        <v>26</v>
      </c>
      <c r="Q56" s="63">
        <f t="shared" si="54"/>
        <v>35</v>
      </c>
      <c r="R56" s="63">
        <f t="shared" si="55"/>
        <v>43</v>
      </c>
      <c r="S56" s="63" t="str">
        <f>IFERROR(VLOOKUP(MID(N56,Q56,R56-Q56),[6]skilldef!$C:$D,2,FALSE),"-") &amp; " / " &amp; IFERROR(VLOOKUP(MID(N56,O56,P56-O56),[6]skilldef!$A:$B,2,FALSE),"-")</f>
        <v>味方全体に / 種族キラー</v>
      </c>
      <c r="T56" s="48" t="str">
        <f t="shared" si="56"/>
        <v xml:space="preserve">[effect:suicide, val:0.2, dead_type:suicide, target:myself, animation:enemy_suicide]    </v>
      </c>
      <c r="U56" s="63">
        <f t="shared" si="57"/>
        <v>9</v>
      </c>
      <c r="V56" s="63">
        <f t="shared" si="58"/>
        <v>16</v>
      </c>
      <c r="W56" s="63">
        <f t="shared" si="59"/>
        <v>53</v>
      </c>
      <c r="X56" s="63">
        <f t="shared" si="60"/>
        <v>25</v>
      </c>
      <c r="Y56" s="63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8" spans="1:28" ht="21" customHeight="1" x14ac:dyDescent="0.15">
      <c r="F58" s="122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8"/>
  <sheetViews>
    <sheetView showGridLines="0" workbookViewId="0">
      <pane ySplit="1" topLeftCell="A36" activePane="bottomLeft" state="frozenSplit"/>
      <selection pane="bottomLeft" activeCell="A45" sqref="A45:XFD4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321</v>
      </c>
      <c r="F1" s="53" t="s">
        <v>323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30020000</v>
      </c>
      <c r="B2" s="47">
        <v>0</v>
      </c>
      <c r="C2" s="47">
        <v>100</v>
      </c>
      <c r="D2" s="47">
        <v>100</v>
      </c>
      <c r="E2" s="47" t="s">
        <v>221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" si="0">D2</f>
        <v>100</v>
      </c>
    </row>
    <row r="3" spans="1:11" ht="21" customHeight="1" x14ac:dyDescent="0.15">
      <c r="A3" s="47">
        <v>30020001</v>
      </c>
      <c r="B3" s="47">
        <v>1</v>
      </c>
      <c r="C3" s="47" t="s">
        <v>53</v>
      </c>
      <c r="D3" s="47">
        <v>30</v>
      </c>
      <c r="E3" s="47" t="s">
        <v>222</v>
      </c>
      <c r="F3" s="47" t="s">
        <v>53</v>
      </c>
      <c r="G3" s="47">
        <v>3</v>
      </c>
      <c r="H3" s="47" t="s">
        <v>53</v>
      </c>
      <c r="I3" s="47" t="s">
        <v>53</v>
      </c>
      <c r="J3" s="48">
        <f t="shared" ref="J3:J41" si="1">D3</f>
        <v>30</v>
      </c>
    </row>
    <row r="4" spans="1:11" ht="21" customHeight="1" x14ac:dyDescent="0.15">
      <c r="A4" s="47">
        <v>30020002</v>
      </c>
      <c r="B4" s="47">
        <v>0</v>
      </c>
      <c r="C4" s="47" t="s">
        <v>53</v>
      </c>
      <c r="D4" s="47">
        <v>30</v>
      </c>
      <c r="E4" s="47" t="s">
        <v>222</v>
      </c>
      <c r="F4" s="47" t="s">
        <v>53</v>
      </c>
      <c r="G4" s="47">
        <v>1</v>
      </c>
      <c r="H4" s="47" t="s">
        <v>53</v>
      </c>
      <c r="I4" s="47" t="s">
        <v>53</v>
      </c>
      <c r="J4" s="48">
        <f t="shared" si="1"/>
        <v>30</v>
      </c>
    </row>
    <row r="5" spans="1:11" ht="21" customHeight="1" x14ac:dyDescent="0.15">
      <c r="A5" s="47">
        <v>30020003</v>
      </c>
      <c r="B5" s="47">
        <v>0</v>
      </c>
      <c r="C5" s="47" t="s">
        <v>53</v>
      </c>
      <c r="D5" s="47">
        <v>100</v>
      </c>
      <c r="E5" s="47" t="s">
        <v>222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si="1"/>
        <v>100</v>
      </c>
    </row>
    <row r="6" spans="1:11" ht="21" customHeight="1" x14ac:dyDescent="0.15">
      <c r="A6" s="47">
        <v>30020004</v>
      </c>
      <c r="B6" s="47">
        <v>0</v>
      </c>
      <c r="C6" s="47" t="s">
        <v>53</v>
      </c>
      <c r="D6" s="47">
        <v>100</v>
      </c>
      <c r="E6" s="47" t="s">
        <v>222</v>
      </c>
      <c r="F6" s="47" t="s">
        <v>53</v>
      </c>
      <c r="G6" s="47">
        <v>1</v>
      </c>
      <c r="H6" s="47" t="s">
        <v>53</v>
      </c>
      <c r="I6" s="47" t="s">
        <v>53</v>
      </c>
      <c r="J6" s="48">
        <f t="shared" si="1"/>
        <v>100</v>
      </c>
    </row>
    <row r="7" spans="1:11" ht="21" customHeight="1" x14ac:dyDescent="0.15">
      <c r="A7" s="47">
        <v>30020005</v>
      </c>
      <c r="B7" s="47">
        <v>0</v>
      </c>
      <c r="C7" s="47" t="s">
        <v>53</v>
      </c>
      <c r="D7" s="47">
        <v>100</v>
      </c>
      <c r="E7" s="47" t="s">
        <v>222</v>
      </c>
      <c r="F7" s="47" t="s">
        <v>53</v>
      </c>
      <c r="G7" s="47">
        <v>1</v>
      </c>
      <c r="H7" s="47" t="s">
        <v>53</v>
      </c>
      <c r="I7" s="47" t="s">
        <v>53</v>
      </c>
      <c r="J7" s="48">
        <f t="shared" si="1"/>
        <v>100</v>
      </c>
    </row>
    <row r="8" spans="1:11" ht="21" customHeight="1" x14ac:dyDescent="0.15">
      <c r="A8" s="47">
        <v>30020006</v>
      </c>
      <c r="B8" s="47">
        <v>0</v>
      </c>
      <c r="C8" s="47" t="s">
        <v>53</v>
      </c>
      <c r="D8" s="47">
        <v>30</v>
      </c>
      <c r="E8" s="47" t="s">
        <v>222</v>
      </c>
      <c r="F8" s="47" t="s">
        <v>53</v>
      </c>
      <c r="G8" s="47">
        <v>3</v>
      </c>
      <c r="H8" s="47" t="s">
        <v>53</v>
      </c>
      <c r="I8" s="47" t="s">
        <v>53</v>
      </c>
      <c r="J8" s="48">
        <f t="shared" si="1"/>
        <v>30</v>
      </c>
    </row>
    <row r="9" spans="1:11" ht="21" customHeight="1" x14ac:dyDescent="0.15">
      <c r="A9" s="47">
        <v>30020007</v>
      </c>
      <c r="B9" s="47">
        <v>0</v>
      </c>
      <c r="C9" s="47" t="s">
        <v>53</v>
      </c>
      <c r="D9" s="47">
        <v>30</v>
      </c>
      <c r="E9" s="47" t="s">
        <v>222</v>
      </c>
      <c r="F9" s="47" t="s">
        <v>53</v>
      </c>
      <c r="G9" s="47" t="s">
        <v>53</v>
      </c>
      <c r="H9" s="47" t="s">
        <v>53</v>
      </c>
      <c r="I9" s="47" t="s">
        <v>53</v>
      </c>
      <c r="J9" s="48">
        <f t="shared" si="1"/>
        <v>30</v>
      </c>
    </row>
    <row r="10" spans="1:11" ht="21" customHeight="1" x14ac:dyDescent="0.15">
      <c r="A10" s="47">
        <v>30020008</v>
      </c>
      <c r="B10" s="47">
        <v>0</v>
      </c>
      <c r="C10" s="47" t="s">
        <v>53</v>
      </c>
      <c r="D10" s="47">
        <v>100</v>
      </c>
      <c r="E10" s="47" t="s">
        <v>222</v>
      </c>
      <c r="F10" s="47" t="s">
        <v>53</v>
      </c>
      <c r="G10" s="47" t="s">
        <v>53</v>
      </c>
      <c r="H10" s="47" t="s">
        <v>53</v>
      </c>
      <c r="I10" s="47" t="s">
        <v>53</v>
      </c>
      <c r="J10" s="48">
        <f t="shared" si="1"/>
        <v>100</v>
      </c>
    </row>
    <row r="11" spans="1:11" ht="21" customHeight="1" x14ac:dyDescent="0.15">
      <c r="A11" s="47">
        <v>30020009</v>
      </c>
      <c r="B11" s="47">
        <v>0</v>
      </c>
      <c r="C11" s="47" t="s">
        <v>53</v>
      </c>
      <c r="D11" s="47">
        <v>30</v>
      </c>
      <c r="E11" s="47" t="s">
        <v>222</v>
      </c>
      <c r="F11" s="47" t="s">
        <v>236</v>
      </c>
      <c r="G11" s="47" t="s">
        <v>53</v>
      </c>
      <c r="H11" s="47" t="s">
        <v>53</v>
      </c>
      <c r="I11" s="47" t="s">
        <v>53</v>
      </c>
      <c r="J11" s="48">
        <f t="shared" si="1"/>
        <v>30</v>
      </c>
    </row>
    <row r="12" spans="1:11" ht="21" customHeight="1" x14ac:dyDescent="0.15">
      <c r="A12" s="47">
        <v>30020010</v>
      </c>
      <c r="B12" s="47">
        <v>0</v>
      </c>
      <c r="C12" s="47" t="s">
        <v>53</v>
      </c>
      <c r="D12" s="47">
        <v>100</v>
      </c>
      <c r="E12" s="47" t="s">
        <v>222</v>
      </c>
      <c r="F12" s="47" t="s">
        <v>53</v>
      </c>
      <c r="G12" s="47" t="s">
        <v>53</v>
      </c>
      <c r="H12" s="47" t="s">
        <v>53</v>
      </c>
      <c r="I12" s="47" t="s">
        <v>53</v>
      </c>
      <c r="J12" s="48">
        <f t="shared" si="1"/>
        <v>100</v>
      </c>
    </row>
    <row r="13" spans="1:11" ht="21" customHeight="1" x14ac:dyDescent="0.15">
      <c r="A13" s="47">
        <v>30020011</v>
      </c>
      <c r="B13" s="47">
        <v>0</v>
      </c>
      <c r="C13" s="47" t="s">
        <v>53</v>
      </c>
      <c r="D13" s="47">
        <v>100</v>
      </c>
      <c r="E13" s="47" t="s">
        <v>222</v>
      </c>
      <c r="F13" s="47" t="s">
        <v>53</v>
      </c>
      <c r="G13" s="47" t="s">
        <v>53</v>
      </c>
      <c r="H13" s="47" t="s">
        <v>53</v>
      </c>
      <c r="I13" s="47" t="s">
        <v>53</v>
      </c>
      <c r="J13" s="48">
        <f t="shared" si="1"/>
        <v>100</v>
      </c>
    </row>
    <row r="14" spans="1:11" ht="21" customHeight="1" x14ac:dyDescent="0.15">
      <c r="A14" s="47">
        <v>30020012</v>
      </c>
      <c r="B14" s="47">
        <v>1</v>
      </c>
      <c r="C14" s="47" t="s">
        <v>53</v>
      </c>
      <c r="D14" s="47">
        <v>100</v>
      </c>
      <c r="E14" s="47" t="s">
        <v>222</v>
      </c>
      <c r="F14" s="47" t="s">
        <v>53</v>
      </c>
      <c r="G14" s="47">
        <v>1</v>
      </c>
      <c r="H14" s="47" t="s">
        <v>53</v>
      </c>
      <c r="I14" s="47" t="s">
        <v>53</v>
      </c>
      <c r="J14" s="48">
        <f t="shared" si="1"/>
        <v>100</v>
      </c>
    </row>
    <row r="15" spans="1:11" ht="21" customHeight="1" x14ac:dyDescent="0.15">
      <c r="A15" s="47">
        <v>30020013</v>
      </c>
      <c r="B15" s="47">
        <v>0</v>
      </c>
      <c r="C15" s="47" t="s">
        <v>53</v>
      </c>
      <c r="D15" s="47">
        <v>100</v>
      </c>
      <c r="E15" s="47" t="s">
        <v>222</v>
      </c>
      <c r="F15" s="47" t="s">
        <v>53</v>
      </c>
      <c r="G15" s="47">
        <v>1</v>
      </c>
      <c r="H15" s="47" t="s">
        <v>53</v>
      </c>
      <c r="I15" s="47" t="s">
        <v>53</v>
      </c>
      <c r="J15" s="48">
        <f t="shared" si="1"/>
        <v>100</v>
      </c>
    </row>
    <row r="16" spans="1:11" ht="21" customHeight="1" x14ac:dyDescent="0.15">
      <c r="A16" s="47">
        <v>30020014</v>
      </c>
      <c r="B16" s="47">
        <v>0</v>
      </c>
      <c r="C16" s="47">
        <v>1</v>
      </c>
      <c r="D16" s="47">
        <v>100</v>
      </c>
      <c r="E16" s="47">
        <v>100</v>
      </c>
      <c r="F16" s="47">
        <v>76</v>
      </c>
      <c r="G16" s="47" t="s">
        <v>53</v>
      </c>
      <c r="H16" s="47" t="s">
        <v>235</v>
      </c>
      <c r="I16" s="47" t="s">
        <v>235</v>
      </c>
      <c r="J16" s="48">
        <f t="shared" si="1"/>
        <v>100</v>
      </c>
    </row>
    <row r="17" spans="1:10" ht="21" customHeight="1" x14ac:dyDescent="0.15">
      <c r="A17" s="47">
        <v>30020015</v>
      </c>
      <c r="B17" s="47">
        <v>0</v>
      </c>
      <c r="C17" s="47">
        <v>1</v>
      </c>
      <c r="D17" s="47">
        <v>100</v>
      </c>
      <c r="E17" s="47">
        <v>75</v>
      </c>
      <c r="F17" s="47">
        <v>51</v>
      </c>
      <c r="G17" s="47" t="s">
        <v>53</v>
      </c>
      <c r="H17" s="47" t="s">
        <v>53</v>
      </c>
      <c r="I17" s="47" t="s">
        <v>53</v>
      </c>
      <c r="J17" s="48">
        <f t="shared" si="1"/>
        <v>100</v>
      </c>
    </row>
    <row r="18" spans="1:10" ht="21" customHeight="1" x14ac:dyDescent="0.15">
      <c r="A18" s="47">
        <v>30020016</v>
      </c>
      <c r="B18" s="47">
        <v>0</v>
      </c>
      <c r="C18" s="47">
        <v>1</v>
      </c>
      <c r="D18" s="47">
        <v>100</v>
      </c>
      <c r="E18" s="47">
        <v>50</v>
      </c>
      <c r="F18" s="47">
        <v>26</v>
      </c>
      <c r="G18" s="47" t="s">
        <v>53</v>
      </c>
      <c r="H18" s="47" t="s">
        <v>53</v>
      </c>
      <c r="I18" s="47" t="s">
        <v>53</v>
      </c>
      <c r="J18" s="48">
        <f t="shared" si="1"/>
        <v>100</v>
      </c>
    </row>
    <row r="19" spans="1:10" ht="21" customHeight="1" x14ac:dyDescent="0.15">
      <c r="A19" s="47">
        <v>30020017</v>
      </c>
      <c r="B19" s="47">
        <v>0</v>
      </c>
      <c r="C19" s="47">
        <v>1</v>
      </c>
      <c r="D19" s="47">
        <v>100</v>
      </c>
      <c r="E19" s="47">
        <v>25</v>
      </c>
      <c r="F19" s="47" t="s">
        <v>53</v>
      </c>
      <c r="G19" s="47" t="s">
        <v>53</v>
      </c>
      <c r="H19" s="47" t="s">
        <v>53</v>
      </c>
      <c r="I19" s="47" t="s">
        <v>53</v>
      </c>
      <c r="J19" s="48">
        <f t="shared" si="1"/>
        <v>100</v>
      </c>
    </row>
    <row r="20" spans="1:10" ht="21" customHeight="1" x14ac:dyDescent="0.15">
      <c r="A20" s="47">
        <v>30020018</v>
      </c>
      <c r="B20" s="47">
        <v>0</v>
      </c>
      <c r="C20" s="47">
        <v>1</v>
      </c>
      <c r="D20" s="47">
        <v>100</v>
      </c>
      <c r="E20" s="47" t="s">
        <v>53</v>
      </c>
      <c r="F20" s="47" t="s">
        <v>53</v>
      </c>
      <c r="G20" s="47">
        <v>1</v>
      </c>
      <c r="H20" s="47" t="s">
        <v>53</v>
      </c>
      <c r="I20" s="47">
        <v>92</v>
      </c>
      <c r="J20" s="48">
        <f t="shared" si="1"/>
        <v>100</v>
      </c>
    </row>
    <row r="21" spans="1:10" ht="21" customHeight="1" x14ac:dyDescent="0.15">
      <c r="A21" s="47">
        <v>30020019</v>
      </c>
      <c r="B21" s="47">
        <v>0</v>
      </c>
      <c r="C21" s="47">
        <v>1</v>
      </c>
      <c r="D21" s="47">
        <v>30</v>
      </c>
      <c r="E21" s="47" t="s">
        <v>53</v>
      </c>
      <c r="F21" s="47" t="s">
        <v>53</v>
      </c>
      <c r="G21" s="47" t="s">
        <v>53</v>
      </c>
      <c r="H21" s="47" t="s">
        <v>53</v>
      </c>
      <c r="I21" s="47" t="s">
        <v>53</v>
      </c>
      <c r="J21" s="48">
        <f t="shared" ref="J21:J24" si="2">D21</f>
        <v>30</v>
      </c>
    </row>
    <row r="22" spans="1:10" ht="21" customHeight="1" x14ac:dyDescent="0.15">
      <c r="A22" s="47">
        <v>30020020</v>
      </c>
      <c r="B22" s="47">
        <v>0</v>
      </c>
      <c r="C22" s="47">
        <v>2</v>
      </c>
      <c r="D22" s="47">
        <v>50</v>
      </c>
      <c r="E22" s="47">
        <v>50</v>
      </c>
      <c r="F22" s="47" t="s">
        <v>53</v>
      </c>
      <c r="G22" s="47">
        <v>1</v>
      </c>
      <c r="H22" s="47" t="s">
        <v>53</v>
      </c>
      <c r="I22" s="47" t="s">
        <v>53</v>
      </c>
      <c r="J22" s="48">
        <f t="shared" si="2"/>
        <v>50</v>
      </c>
    </row>
    <row r="23" spans="1:10" ht="21" customHeight="1" x14ac:dyDescent="0.15">
      <c r="A23" s="47">
        <v>30020021</v>
      </c>
      <c r="B23" s="47">
        <v>0</v>
      </c>
      <c r="C23" s="47">
        <v>1</v>
      </c>
      <c r="D23" s="47">
        <v>100</v>
      </c>
      <c r="E23" s="47" t="s">
        <v>53</v>
      </c>
      <c r="F23" s="47" t="s">
        <v>53</v>
      </c>
      <c r="G23" s="47">
        <v>1</v>
      </c>
      <c r="H23" s="47" t="s">
        <v>53</v>
      </c>
      <c r="I23" s="47">
        <v>89</v>
      </c>
      <c r="J23" s="48">
        <f t="shared" si="2"/>
        <v>100</v>
      </c>
    </row>
    <row r="24" spans="1:10" ht="21" customHeight="1" x14ac:dyDescent="0.15">
      <c r="A24" s="47">
        <v>30020022</v>
      </c>
      <c r="B24" s="47">
        <v>0</v>
      </c>
      <c r="C24" s="47">
        <v>1</v>
      </c>
      <c r="D24" s="47">
        <v>30</v>
      </c>
      <c r="E24" s="47" t="s">
        <v>53</v>
      </c>
      <c r="F24" s="47">
        <v>50</v>
      </c>
      <c r="G24" s="47">
        <v>3</v>
      </c>
      <c r="H24" s="47" t="s">
        <v>53</v>
      </c>
      <c r="I24" s="47" t="s">
        <v>53</v>
      </c>
      <c r="J24" s="48">
        <f t="shared" si="2"/>
        <v>30</v>
      </c>
    </row>
    <row r="25" spans="1:10" ht="21" customHeight="1" x14ac:dyDescent="0.15">
      <c r="A25" s="47">
        <v>30020023</v>
      </c>
      <c r="B25" s="47">
        <v>0</v>
      </c>
      <c r="C25" s="47" t="s">
        <v>53</v>
      </c>
      <c r="D25" s="47">
        <v>100</v>
      </c>
      <c r="E25" s="47" t="s">
        <v>237</v>
      </c>
      <c r="F25" s="47" t="s">
        <v>236</v>
      </c>
      <c r="G25" s="47">
        <v>1</v>
      </c>
      <c r="H25" s="47" t="s">
        <v>53</v>
      </c>
      <c r="I25" s="47" t="s">
        <v>53</v>
      </c>
      <c r="J25" s="48">
        <f t="shared" si="1"/>
        <v>100</v>
      </c>
    </row>
    <row r="26" spans="1:10" ht="21" customHeight="1" x14ac:dyDescent="0.15">
      <c r="A26" s="47">
        <v>30020024</v>
      </c>
      <c r="B26" s="47">
        <v>1</v>
      </c>
      <c r="C26" s="47" t="s">
        <v>53</v>
      </c>
      <c r="D26" s="47">
        <v>0</v>
      </c>
      <c r="E26" s="47" t="s">
        <v>322</v>
      </c>
      <c r="F26" s="47">
        <v>100</v>
      </c>
      <c r="G26" s="47">
        <v>1</v>
      </c>
      <c r="H26" s="47" t="s">
        <v>53</v>
      </c>
      <c r="I26" s="47" t="s">
        <v>53</v>
      </c>
      <c r="J26" s="48">
        <f t="shared" si="1"/>
        <v>0</v>
      </c>
    </row>
    <row r="27" spans="1:10" ht="21" customHeight="1" x14ac:dyDescent="0.15">
      <c r="A27" s="47">
        <v>30020025</v>
      </c>
      <c r="B27" s="47">
        <v>0</v>
      </c>
      <c r="C27" s="47" t="s">
        <v>53</v>
      </c>
      <c r="D27" s="47">
        <v>100</v>
      </c>
      <c r="E27" s="47">
        <v>35</v>
      </c>
      <c r="F27" s="47" t="s">
        <v>53</v>
      </c>
      <c r="G27" s="47" t="s">
        <v>238</v>
      </c>
      <c r="H27" s="47">
        <v>2</v>
      </c>
      <c r="I27" s="47" t="s">
        <v>53</v>
      </c>
      <c r="J27" s="48">
        <f t="shared" si="1"/>
        <v>100</v>
      </c>
    </row>
    <row r="28" spans="1:10" ht="21" customHeight="1" x14ac:dyDescent="0.15">
      <c r="A28" s="47">
        <v>30020026</v>
      </c>
      <c r="B28" s="47">
        <v>0</v>
      </c>
      <c r="C28" s="47" t="s">
        <v>53</v>
      </c>
      <c r="D28" s="47">
        <v>100</v>
      </c>
      <c r="E28" s="47" t="s">
        <v>53</v>
      </c>
      <c r="F28" s="47" t="s">
        <v>53</v>
      </c>
      <c r="G28" s="47">
        <v>1</v>
      </c>
      <c r="H28" s="47" t="s">
        <v>53</v>
      </c>
      <c r="I28" s="47" t="s">
        <v>53</v>
      </c>
      <c r="J28" s="48">
        <f t="shared" si="1"/>
        <v>100</v>
      </c>
    </row>
    <row r="29" spans="1:10" ht="21" customHeight="1" x14ac:dyDescent="0.15">
      <c r="A29" s="47">
        <v>30020027</v>
      </c>
      <c r="B29" s="47">
        <v>0</v>
      </c>
      <c r="C29" s="47" t="s">
        <v>53</v>
      </c>
      <c r="D29" s="47">
        <v>100</v>
      </c>
      <c r="E29" s="47" t="s">
        <v>53</v>
      </c>
      <c r="F29" s="47" t="s">
        <v>236</v>
      </c>
      <c r="G29" s="47">
        <v>1</v>
      </c>
      <c r="H29" s="47" t="s">
        <v>53</v>
      </c>
      <c r="I29" s="47" t="s">
        <v>53</v>
      </c>
      <c r="J29" s="48">
        <f t="shared" si="1"/>
        <v>100</v>
      </c>
    </row>
    <row r="30" spans="1:10" ht="21" customHeight="1" x14ac:dyDescent="0.15">
      <c r="A30" s="47">
        <v>30020028</v>
      </c>
      <c r="B30" s="47">
        <v>0</v>
      </c>
      <c r="C30" s="47" t="s">
        <v>53</v>
      </c>
      <c r="D30" s="47">
        <v>100</v>
      </c>
      <c r="E30" s="47" t="s">
        <v>53</v>
      </c>
      <c r="F30" s="47" t="s">
        <v>53</v>
      </c>
      <c r="G30" s="47">
        <v>1</v>
      </c>
      <c r="H30" s="47" t="s">
        <v>53</v>
      </c>
      <c r="I30" s="47" t="s">
        <v>53</v>
      </c>
      <c r="J30" s="48">
        <f t="shared" si="1"/>
        <v>100</v>
      </c>
    </row>
    <row r="31" spans="1:10" ht="21" customHeight="1" x14ac:dyDescent="0.15">
      <c r="A31" s="47">
        <v>30020029</v>
      </c>
      <c r="B31" s="47">
        <v>0</v>
      </c>
      <c r="C31" s="47" t="s">
        <v>53</v>
      </c>
      <c r="D31" s="47">
        <v>100</v>
      </c>
      <c r="E31" s="47" t="s">
        <v>53</v>
      </c>
      <c r="F31" s="47" t="s">
        <v>53</v>
      </c>
      <c r="G31" s="47">
        <v>1</v>
      </c>
      <c r="H31" s="47" t="s">
        <v>53</v>
      </c>
      <c r="I31" s="47" t="s">
        <v>53</v>
      </c>
      <c r="J31" s="48">
        <f t="shared" si="1"/>
        <v>100</v>
      </c>
    </row>
    <row r="32" spans="1:10" ht="21" customHeight="1" x14ac:dyDescent="0.15">
      <c r="A32" s="47">
        <v>30020030</v>
      </c>
      <c r="B32" s="47">
        <v>0</v>
      </c>
      <c r="C32" s="47" t="s">
        <v>53</v>
      </c>
      <c r="D32" s="47">
        <v>40</v>
      </c>
      <c r="E32" s="47" t="s">
        <v>53</v>
      </c>
      <c r="F32" s="47" t="s">
        <v>53</v>
      </c>
      <c r="G32" s="47" t="s">
        <v>169</v>
      </c>
      <c r="H32" s="47" t="s">
        <v>53</v>
      </c>
      <c r="I32" s="47" t="s">
        <v>53</v>
      </c>
      <c r="J32" s="48">
        <f t="shared" si="1"/>
        <v>40</v>
      </c>
    </row>
    <row r="33" spans="1:10" ht="21" customHeight="1" x14ac:dyDescent="0.15">
      <c r="A33" s="47">
        <v>30020031</v>
      </c>
      <c r="B33" s="47">
        <v>0</v>
      </c>
      <c r="C33" s="47" t="s">
        <v>53</v>
      </c>
      <c r="D33" s="47">
        <v>100</v>
      </c>
      <c r="E33" s="47" t="s">
        <v>53</v>
      </c>
      <c r="F33" s="47" t="s">
        <v>53</v>
      </c>
      <c r="G33" s="47">
        <v>1</v>
      </c>
      <c r="H33" s="47" t="s">
        <v>53</v>
      </c>
      <c r="I33" s="47" t="s">
        <v>53</v>
      </c>
      <c r="J33" s="48">
        <f t="shared" si="1"/>
        <v>100</v>
      </c>
    </row>
    <row r="34" spans="1:10" ht="21" customHeight="1" x14ac:dyDescent="0.15">
      <c r="A34" s="47">
        <v>30020032</v>
      </c>
      <c r="B34" s="47">
        <v>0</v>
      </c>
      <c r="C34" s="47" t="s">
        <v>53</v>
      </c>
      <c r="D34" s="47">
        <v>100</v>
      </c>
      <c r="E34" s="47" t="s">
        <v>53</v>
      </c>
      <c r="F34" s="47" t="s">
        <v>53</v>
      </c>
      <c r="G34" s="47">
        <v>1</v>
      </c>
      <c r="H34" s="47" t="s">
        <v>53</v>
      </c>
      <c r="I34" s="47" t="s">
        <v>53</v>
      </c>
      <c r="J34" s="48">
        <f t="shared" si="1"/>
        <v>100</v>
      </c>
    </row>
    <row r="35" spans="1:10" ht="21" customHeight="1" x14ac:dyDescent="0.15">
      <c r="A35" s="47">
        <v>30020033</v>
      </c>
      <c r="B35" s="47">
        <v>0</v>
      </c>
      <c r="C35" s="47" t="s">
        <v>53</v>
      </c>
      <c r="D35" s="47">
        <v>100</v>
      </c>
      <c r="E35" s="47" t="s">
        <v>53</v>
      </c>
      <c r="F35" s="47" t="s">
        <v>53</v>
      </c>
      <c r="G35" s="47">
        <v>1</v>
      </c>
      <c r="H35" s="47" t="s">
        <v>53</v>
      </c>
      <c r="I35" s="47" t="s">
        <v>53</v>
      </c>
      <c r="J35" s="48">
        <f t="shared" si="1"/>
        <v>100</v>
      </c>
    </row>
    <row r="36" spans="1:10" ht="21" customHeight="1" x14ac:dyDescent="0.15">
      <c r="A36" s="47">
        <v>30020034</v>
      </c>
      <c r="B36" s="47">
        <v>0</v>
      </c>
      <c r="C36" s="47" t="s">
        <v>53</v>
      </c>
      <c r="D36" s="47">
        <v>100</v>
      </c>
      <c r="E36" s="47" t="s">
        <v>53</v>
      </c>
      <c r="F36" s="47" t="s">
        <v>53</v>
      </c>
      <c r="G36" s="47">
        <v>1</v>
      </c>
      <c r="H36" s="47" t="s">
        <v>53</v>
      </c>
      <c r="I36" s="47" t="s">
        <v>53</v>
      </c>
      <c r="J36" s="48">
        <f t="shared" si="1"/>
        <v>100</v>
      </c>
    </row>
    <row r="37" spans="1:10" ht="21" customHeight="1" x14ac:dyDescent="0.15">
      <c r="A37" s="47">
        <v>30020035</v>
      </c>
      <c r="B37" s="47">
        <v>0</v>
      </c>
      <c r="C37" s="47">
        <v>1</v>
      </c>
      <c r="D37" s="47">
        <v>40</v>
      </c>
      <c r="E37" s="47" t="s">
        <v>53</v>
      </c>
      <c r="F37" s="47" t="s">
        <v>53</v>
      </c>
      <c r="G37" s="47">
        <v>1</v>
      </c>
      <c r="H37" s="47" t="s">
        <v>53</v>
      </c>
      <c r="I37" s="47" t="s">
        <v>53</v>
      </c>
      <c r="J37" s="48">
        <f t="shared" si="1"/>
        <v>40</v>
      </c>
    </row>
    <row r="38" spans="1:10" ht="21" customHeight="1" x14ac:dyDescent="0.15">
      <c r="A38" s="47">
        <v>30020036</v>
      </c>
      <c r="B38" s="47">
        <v>0</v>
      </c>
      <c r="C38" s="47">
        <v>1</v>
      </c>
      <c r="D38" s="47">
        <v>40</v>
      </c>
      <c r="E38" s="47" t="s">
        <v>53</v>
      </c>
      <c r="F38" s="47" t="s">
        <v>53</v>
      </c>
      <c r="G38" s="47" t="s">
        <v>53</v>
      </c>
      <c r="H38" s="47" t="s">
        <v>53</v>
      </c>
      <c r="I38" s="47" t="s">
        <v>53</v>
      </c>
      <c r="J38" s="48">
        <f t="shared" si="1"/>
        <v>40</v>
      </c>
    </row>
    <row r="39" spans="1:10" ht="21" customHeight="1" x14ac:dyDescent="0.15">
      <c r="A39" s="47">
        <v>30020037</v>
      </c>
      <c r="B39" s="47">
        <v>0</v>
      </c>
      <c r="C39" s="47">
        <v>3</v>
      </c>
      <c r="D39" s="47">
        <v>100</v>
      </c>
      <c r="E39" s="47">
        <v>30</v>
      </c>
      <c r="F39" s="47" t="s">
        <v>53</v>
      </c>
      <c r="G39" s="47">
        <v>1</v>
      </c>
      <c r="H39" s="47" t="s">
        <v>53</v>
      </c>
      <c r="I39" s="47" t="s">
        <v>53</v>
      </c>
      <c r="J39" s="48">
        <f t="shared" si="1"/>
        <v>100</v>
      </c>
    </row>
    <row r="40" spans="1:10" ht="21" customHeight="1" x14ac:dyDescent="0.15">
      <c r="A40" s="47">
        <v>30020038</v>
      </c>
      <c r="B40" s="47">
        <v>0</v>
      </c>
      <c r="C40" s="47">
        <v>2</v>
      </c>
      <c r="D40" s="47">
        <v>100</v>
      </c>
      <c r="E40" s="47">
        <v>30</v>
      </c>
      <c r="F40" s="47" t="s">
        <v>53</v>
      </c>
      <c r="G40" s="47">
        <v>1</v>
      </c>
      <c r="H40" s="47" t="s">
        <v>53</v>
      </c>
      <c r="I40" s="47" t="s">
        <v>53</v>
      </c>
      <c r="J40" s="48">
        <f t="shared" si="1"/>
        <v>100</v>
      </c>
    </row>
    <row r="41" spans="1:10" ht="21" customHeight="1" x14ac:dyDescent="0.15">
      <c r="A41" s="47">
        <v>30020039</v>
      </c>
      <c r="B41" s="47">
        <v>0</v>
      </c>
      <c r="C41" s="47">
        <v>4</v>
      </c>
      <c r="D41" s="47">
        <v>100</v>
      </c>
      <c r="E41" s="47">
        <v>50</v>
      </c>
      <c r="F41" s="47" t="s">
        <v>53</v>
      </c>
      <c r="G41" s="47">
        <v>1</v>
      </c>
      <c r="H41" s="47" t="s">
        <v>53</v>
      </c>
      <c r="I41" s="47" t="s">
        <v>53</v>
      </c>
      <c r="J41" s="48">
        <f t="shared" si="1"/>
        <v>100</v>
      </c>
    </row>
    <row r="42" spans="1:10" ht="21" customHeight="1" x14ac:dyDescent="0.15">
      <c r="A42" s="47">
        <v>30020040</v>
      </c>
      <c r="B42" s="47">
        <v>0</v>
      </c>
      <c r="C42" s="47">
        <v>5</v>
      </c>
      <c r="D42" s="47">
        <v>100</v>
      </c>
      <c r="E42" s="47">
        <v>50</v>
      </c>
      <c r="F42" s="47" t="s">
        <v>53</v>
      </c>
      <c r="G42" s="47">
        <v>1</v>
      </c>
      <c r="H42" s="47" t="s">
        <v>53</v>
      </c>
      <c r="I42" s="47" t="s">
        <v>53</v>
      </c>
      <c r="J42" s="48">
        <f t="shared" ref="J42" si="3">D42</f>
        <v>100</v>
      </c>
    </row>
    <row r="43" spans="1:10" ht="21" customHeight="1" x14ac:dyDescent="0.15">
      <c r="A43" s="47">
        <v>30020041</v>
      </c>
      <c r="B43" s="47">
        <v>0</v>
      </c>
      <c r="C43" s="47">
        <v>4</v>
      </c>
      <c r="D43" s="47">
        <v>100</v>
      </c>
      <c r="E43" s="47" t="s">
        <v>53</v>
      </c>
      <c r="F43" s="47" t="s">
        <v>53</v>
      </c>
      <c r="G43" s="47">
        <v>1</v>
      </c>
      <c r="H43" s="47" t="s">
        <v>53</v>
      </c>
      <c r="I43" s="47" t="s">
        <v>53</v>
      </c>
      <c r="J43" s="48">
        <f t="shared" ref="J43" si="4">D43</f>
        <v>100</v>
      </c>
    </row>
    <row r="44" spans="1:10" ht="21" customHeight="1" x14ac:dyDescent="0.15">
      <c r="A44" s="47">
        <v>30020042</v>
      </c>
      <c r="B44" s="47">
        <v>0</v>
      </c>
      <c r="C44" s="47">
        <v>5</v>
      </c>
      <c r="D44" s="47">
        <v>100</v>
      </c>
      <c r="E44" s="47" t="s">
        <v>53</v>
      </c>
      <c r="F44" s="47" t="s">
        <v>53</v>
      </c>
      <c r="G44" s="47">
        <v>1</v>
      </c>
      <c r="H44" s="47" t="s">
        <v>53</v>
      </c>
      <c r="I44" s="47" t="s">
        <v>53</v>
      </c>
      <c r="J44" s="48">
        <f t="shared" ref="J44:J48" si="5">D44</f>
        <v>100</v>
      </c>
    </row>
    <row r="45" spans="1:10" ht="21" customHeight="1" x14ac:dyDescent="0.15">
      <c r="A45" s="47">
        <v>30020043</v>
      </c>
      <c r="B45" s="47">
        <v>1</v>
      </c>
      <c r="C45" s="47">
        <v>5</v>
      </c>
      <c r="D45" s="47">
        <v>0</v>
      </c>
      <c r="E45" s="47" t="s">
        <v>322</v>
      </c>
      <c r="F45" s="47">
        <v>100</v>
      </c>
      <c r="G45" s="47">
        <v>1</v>
      </c>
      <c r="H45" s="47" t="s">
        <v>53</v>
      </c>
      <c r="I45" s="120">
        <v>615</v>
      </c>
      <c r="J45" s="48">
        <f t="shared" si="5"/>
        <v>0</v>
      </c>
    </row>
    <row r="46" spans="1:10" ht="21" customHeight="1" x14ac:dyDescent="0.15">
      <c r="A46" s="47">
        <v>30020044</v>
      </c>
      <c r="B46" s="47">
        <v>1</v>
      </c>
      <c r="C46" s="47">
        <v>4</v>
      </c>
      <c r="D46" s="47">
        <v>0</v>
      </c>
      <c r="E46" s="47" t="s">
        <v>322</v>
      </c>
      <c r="F46" s="47">
        <v>100</v>
      </c>
      <c r="G46" s="47">
        <v>1</v>
      </c>
      <c r="H46" s="47" t="s">
        <v>53</v>
      </c>
      <c r="I46" s="120">
        <v>616</v>
      </c>
      <c r="J46" s="48">
        <f t="shared" si="5"/>
        <v>0</v>
      </c>
    </row>
    <row r="47" spans="1:10" ht="21" customHeight="1" x14ac:dyDescent="0.15">
      <c r="A47" s="47">
        <v>30020045</v>
      </c>
      <c r="B47" s="47">
        <v>1</v>
      </c>
      <c r="C47" s="47">
        <v>3</v>
      </c>
      <c r="D47" s="47">
        <v>0</v>
      </c>
      <c r="E47" s="47" t="s">
        <v>322</v>
      </c>
      <c r="F47" s="47">
        <v>100</v>
      </c>
      <c r="G47" s="47">
        <v>1</v>
      </c>
      <c r="H47" s="47" t="s">
        <v>53</v>
      </c>
      <c r="I47" s="120">
        <v>617</v>
      </c>
      <c r="J47" s="48">
        <f t="shared" si="5"/>
        <v>0</v>
      </c>
    </row>
    <row r="48" spans="1:10" ht="21" customHeight="1" x14ac:dyDescent="0.15">
      <c r="A48" s="47">
        <v>30020046</v>
      </c>
      <c r="B48" s="47">
        <v>1</v>
      </c>
      <c r="C48" s="47">
        <v>2</v>
      </c>
      <c r="D48" s="47">
        <v>0</v>
      </c>
      <c r="E48" s="47" t="s">
        <v>322</v>
      </c>
      <c r="F48" s="47">
        <v>100</v>
      </c>
      <c r="G48" s="47">
        <v>1</v>
      </c>
      <c r="H48" s="47" t="s">
        <v>53</v>
      </c>
      <c r="I48" s="120">
        <v>618</v>
      </c>
      <c r="J48" s="48">
        <f t="shared" si="5"/>
        <v>0</v>
      </c>
    </row>
  </sheetData>
  <autoFilter ref="A1:G41"/>
  <phoneticPr fontId="5"/>
  <conditionalFormatting sqref="K49:K1048576 K1:K2">
    <cfRule type="duplicateValues" dxfId="8" priority="9"/>
  </conditionalFormatting>
  <conditionalFormatting sqref="K3:K41">
    <cfRule type="duplicateValues" dxfId="7" priority="17"/>
  </conditionalFormatting>
  <conditionalFormatting sqref="K42">
    <cfRule type="duplicateValues" dxfId="6" priority="7"/>
  </conditionalFormatting>
  <conditionalFormatting sqref="K43">
    <cfRule type="duplicateValues" dxfId="5" priority="6"/>
  </conditionalFormatting>
  <conditionalFormatting sqref="K44">
    <cfRule type="duplicateValues" dxfId="4" priority="5"/>
  </conditionalFormatting>
  <conditionalFormatting sqref="K45">
    <cfRule type="duplicateValues" dxfId="3" priority="4"/>
  </conditionalFormatting>
  <conditionalFormatting sqref="K46">
    <cfRule type="duplicateValues" dxfId="2" priority="3"/>
  </conditionalFormatting>
  <conditionalFormatting sqref="K47">
    <cfRule type="duplicateValues" dxfId="1" priority="2"/>
  </conditionalFormatting>
  <conditionalFormatting sqref="K48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0"/>
  <sheetViews>
    <sheetView showGridLines="0" workbookViewId="0">
      <pane xSplit="5" ySplit="1" topLeftCell="F12" activePane="bottomRight" state="frozen"/>
      <selection pane="topRight"/>
      <selection pane="bottomLeft"/>
      <selection pane="bottomRight" activeCell="J44" sqref="J44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30020000_30020000</v>
      </c>
      <c r="B2" s="105">
        <v>30020000</v>
      </c>
      <c r="C2" s="47">
        <v>30020000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神殺しの雷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2" s="47">
        <v>30020000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31" si="1">B3&amp;"_"&amp;C3</f>
        <v>30020000_30020001</v>
      </c>
      <c r="B3" s="105">
        <v>30020000</v>
      </c>
      <c r="C3" s="47">
        <v>30020001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龍称以外は立ち去るがよい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種族ドラゴン以外のユニットにスキルバインド</v>
      </c>
      <c r="F3" s="111">
        <v>30020024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100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3" s="47"/>
      <c r="Q3" s="47"/>
      <c r="R3" s="47"/>
    </row>
    <row r="4" spans="1:18" ht="21" customHeight="1" x14ac:dyDescent="0.15">
      <c r="A4" s="39" t="str">
        <f t="shared" si="1"/>
        <v>30020000_30020002</v>
      </c>
      <c r="B4" s="105">
        <v>30020000</v>
      </c>
      <c r="C4" s="47">
        <v>30020002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サンダーアロー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4" s="111">
        <v>30020007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" s="47"/>
      <c r="Q4" s="47"/>
      <c r="R4" s="47"/>
    </row>
    <row r="5" spans="1:18" ht="21" customHeight="1" x14ac:dyDescent="0.15">
      <c r="A5" s="39" t="str">
        <f t="shared" si="1"/>
        <v>30020001_30020006</v>
      </c>
      <c r="B5" s="106">
        <v>30020001</v>
      </c>
      <c r="C5" s="47">
        <v>30020006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火炎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</v>
      </c>
      <c r="F5" s="111">
        <v>30020007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" s="47"/>
      <c r="Q5" s="47"/>
      <c r="R5" s="47"/>
    </row>
    <row r="6" spans="1:18" ht="21" customHeight="1" x14ac:dyDescent="0.15">
      <c r="A6" s="39" t="str">
        <f t="shared" si="1"/>
        <v>30020002_30020009</v>
      </c>
      <c r="B6" s="107">
        <v>30020002</v>
      </c>
      <c r="C6" s="47">
        <v>30020009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突撃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攻撃力×2.0倍の攻撃</v>
      </c>
      <c r="F6" s="112">
        <v>30020007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" s="47"/>
      <c r="Q6" s="47"/>
      <c r="R6" s="47"/>
    </row>
    <row r="7" spans="1:18" ht="21" customHeight="1" x14ac:dyDescent="0.15">
      <c r="A7" s="39" t="str">
        <f t="shared" si="1"/>
        <v>30020003_30020012</v>
      </c>
      <c r="B7" s="108">
        <v>30020003</v>
      </c>
      <c r="C7" s="47">
        <v>30020012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黒亀装甲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7" s="47">
        <v>30020012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30020003_30020013</v>
      </c>
      <c r="B8" s="108">
        <v>30020003</v>
      </c>
      <c r="C8" s="47">
        <v>30020013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重層空間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Cパネル生成延長</v>
      </c>
      <c r="F8" s="47">
        <v>30020013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30020003_30020014</v>
      </c>
      <c r="B9" s="108">
        <v>30020003</v>
      </c>
      <c r="C9" s="47">
        <v>30020014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北方七宿撃・序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HPが低いほど強力な攻撃</v>
      </c>
      <c r="F9" s="47">
        <v>30020014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9" s="48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76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30020003_30020015</v>
      </c>
      <c r="B10" s="108">
        <v>30020003</v>
      </c>
      <c r="C10" s="47">
        <v>30020015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北方七宿撃・破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HPが低いほど強力な攻撃</v>
      </c>
      <c r="F10" s="47">
        <v>30020015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10" s="48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51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30020003_30020016</v>
      </c>
      <c r="B11" s="108">
        <v>30020003</v>
      </c>
      <c r="C11" s="47">
        <v>30020016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北方七宿撃・急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HPが低いほど強力な攻撃</v>
      </c>
      <c r="F11" s="47">
        <v>30020016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" s="48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26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30020003_30020017</v>
      </c>
      <c r="B12" s="108">
        <v>30020003</v>
      </c>
      <c r="C12" s="47">
        <v>30020017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北方七宿撃・終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HPが低いほど強力な攻撃</v>
      </c>
      <c r="F12" s="47">
        <v>30020017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30020003_30020018</v>
      </c>
      <c r="B13" s="108">
        <v>30020003</v>
      </c>
      <c r="C13" s="47">
        <v>30020018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霊亀の憤怒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解除するまで攻撃力がアップ</v>
      </c>
      <c r="F13" s="47">
        <v>30020018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92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30020004_30020019</v>
      </c>
      <c r="B14" s="109">
        <v>30020004</v>
      </c>
      <c r="C14" s="47">
        <v>30020019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翔竜氷嵐弾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4" s="47">
        <v>30020019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4" s="47"/>
      <c r="Q14" s="47"/>
      <c r="R14" s="47"/>
    </row>
    <row r="15" spans="1:18" ht="21" customHeight="1" x14ac:dyDescent="0.15">
      <c r="A15" s="39" t="str">
        <f t="shared" si="1"/>
        <v>30020004_30020021</v>
      </c>
      <c r="B15" s="109">
        <v>30020004</v>
      </c>
      <c r="C15" s="47">
        <v>30020021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硬直秘孔突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3ターンの間スリープ</v>
      </c>
      <c r="F15" s="47">
        <v>30020022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5" s="47"/>
      <c r="Q15" s="47"/>
      <c r="R15" s="47"/>
    </row>
    <row r="16" spans="1:18" ht="21" customHeight="1" x14ac:dyDescent="0.15">
      <c r="A16" s="39" t="str">
        <f t="shared" si="1"/>
        <v>30020004_30020022</v>
      </c>
      <c r="B16" s="109">
        <v>30020004</v>
      </c>
      <c r="C16" s="47">
        <v>30020022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神龍の憤怒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解除するまで行動頻度が1になる</v>
      </c>
      <c r="F16" s="47">
        <v>30020021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89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30020005_30020025</v>
      </c>
      <c r="B17" s="105">
        <v>30020005</v>
      </c>
      <c r="C17" s="47">
        <v>30020025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まとわりつき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お邪魔パネル出現</v>
      </c>
      <c r="F17" s="47">
        <v>30020025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30020006_30020028</v>
      </c>
      <c r="B18" s="106">
        <v>30020006</v>
      </c>
      <c r="C18" s="47">
        <v>30020028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神殺しの雷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18" s="111">
        <v>30020000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30020006_30020029</v>
      </c>
      <c r="B19" s="106">
        <v>30020006</v>
      </c>
      <c r="C19" s="47">
        <v>30020029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龍称以外は立ち去れ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種族ドラゴン以外のユニットにスキルバインド</v>
      </c>
      <c r="F19" s="111">
        <v>30020024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100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19" s="47"/>
      <c r="Q19" s="47"/>
      <c r="R19" s="47"/>
    </row>
    <row r="20" spans="1:18" ht="21" customHeight="1" x14ac:dyDescent="0.15">
      <c r="A20" s="39" t="str">
        <f t="shared" si="1"/>
        <v>30020006_30020030</v>
      </c>
      <c r="B20" s="106">
        <v>30020006</v>
      </c>
      <c r="C20" s="47">
        <v>30020030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サンダーアロー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20" s="111">
        <v>30020030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0" s="47"/>
      <c r="Q20" s="47"/>
      <c r="R20" s="47"/>
    </row>
    <row r="21" spans="1:18" ht="21" customHeight="1" x14ac:dyDescent="0.15">
      <c r="A21" s="39" t="str">
        <f t="shared" si="1"/>
        <v>30020007_30020034</v>
      </c>
      <c r="B21" s="107">
        <v>30020007</v>
      </c>
      <c r="C21" s="47">
        <v>30020034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リミッターを解除する！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スガルの姿が変わっていく！</v>
      </c>
      <c r="F21" s="111">
        <v>30020012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30020007_30020035</v>
      </c>
      <c r="B22" s="107">
        <v>30020007</v>
      </c>
      <c r="C22" s="47">
        <v>30020035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サンダーウィング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3ターン攻撃頻度が1ターンにUP</v>
      </c>
      <c r="F22" s="47">
        <v>30020040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30020007_30020036</v>
      </c>
      <c r="B23" s="107">
        <v>30020007</v>
      </c>
      <c r="C23" s="47">
        <v>30020036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サンダーアロー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23" s="47">
        <v>30020036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3" s="47"/>
      <c r="Q23" s="47"/>
      <c r="R23" s="47"/>
    </row>
    <row r="24" spans="1:18" ht="21" customHeight="1" x14ac:dyDescent="0.15">
      <c r="A24" s="39" t="str">
        <f t="shared" si="1"/>
        <v>30020007_30020037</v>
      </c>
      <c r="B24" s="107">
        <v>30020007</v>
      </c>
      <c r="C24" s="47">
        <v>30020037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若造にしてはよくやる…だが！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とてつもないエネルギーが集まる！</v>
      </c>
      <c r="F24" s="47">
        <v>30020037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30020007_30020038</v>
      </c>
      <c r="B25" s="107">
        <v>30020007</v>
      </c>
      <c r="C25" s="47">
        <v>30020038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プロトンサンダー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強力な雷撃が襲いかかる！</v>
      </c>
      <c r="F25" s="47">
        <v>30020038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ref="A26" si="2">B26&amp;"_"&amp;C26</f>
        <v>30020007_30020050</v>
      </c>
      <c r="B26" s="107">
        <v>30020007</v>
      </c>
      <c r="C26" s="47">
        <v>30020050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サンダースパイラル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26" s="47">
        <v>30020039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30020008_30020047</v>
      </c>
      <c r="B27" s="110">
        <v>30020008</v>
      </c>
      <c r="C27" s="111">
        <v>30020047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真剣勝負だ！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ハートパネル出現率0%</v>
      </c>
      <c r="F27" s="111">
        <v>30020012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"/>
        <v>30020008_30020043</v>
      </c>
      <c r="B28" s="110">
        <v>30020008</v>
      </c>
      <c r="C28" s="47">
        <v>30020043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サンダーウィング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3ターン攻撃頻度が1ターンにUP</v>
      </c>
      <c r="F28" s="47">
        <v>30020042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30020008_30020044</v>
      </c>
      <c r="B29" s="110">
        <v>30020008</v>
      </c>
      <c r="C29" s="47">
        <v>30020044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サンダーアロー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29" s="47">
        <v>30020036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9" s="47"/>
      <c r="Q29" s="47"/>
      <c r="R29" s="47"/>
    </row>
    <row r="30" spans="1:18" ht="21" customHeight="1" x14ac:dyDescent="0.15">
      <c r="A30" s="39" t="str">
        <f t="shared" si="1"/>
        <v>30020008_30020045</v>
      </c>
      <c r="B30" s="110">
        <v>30020008</v>
      </c>
      <c r="C30" s="47">
        <v>30020045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これで終わりだ…！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とてつもないエネルギーが集まる！</v>
      </c>
      <c r="F30" s="47">
        <v>30020037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"/>
        <v>30020008_30020046</v>
      </c>
      <c r="B31" s="110">
        <v>30020008</v>
      </c>
      <c r="C31" s="47">
        <v>30020046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ラスト・プロトンサンダー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超強力な雷撃が襲いかかる！</v>
      </c>
      <c r="F31" s="47">
        <v>30020038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ref="A32" si="3">B32&amp;"_"&amp;C32</f>
        <v>30020008_30020050</v>
      </c>
      <c r="B32" s="110">
        <v>30020008</v>
      </c>
      <c r="C32" s="47">
        <v>30020050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サンダースパイラル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32" s="47">
        <v>30020041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ref="A33:A35" si="4">B33&amp;"_"&amp;C33</f>
        <v>30020000_30020051</v>
      </c>
      <c r="B33" s="111">
        <v>30020000</v>
      </c>
      <c r="C33" s="47">
        <v>30020051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龍称以外は立ち去るがよい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種族ドラゴン以外に超大ダメージ！_x000D_ヒュドラが反撃をした！</v>
      </c>
      <c r="F33" s="47">
        <v>30020043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100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615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33" s="47"/>
      <c r="Q33" s="47"/>
      <c r="R33" s="47"/>
    </row>
    <row r="34" spans="1:18" ht="21" customHeight="1" x14ac:dyDescent="0.15">
      <c r="A34" s="39" t="str">
        <f t="shared" si="4"/>
        <v>30020000_30020052</v>
      </c>
      <c r="B34" s="111">
        <v>30020000</v>
      </c>
      <c r="C34" s="47">
        <v>30020052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龍称以外は立ち去るがよい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種族ドラゴン以外に超大ダメージ！_x000D_リンドブルムが反撃をした！</v>
      </c>
      <c r="F34" s="47">
        <v>30020044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100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616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34" s="47"/>
      <c r="Q34" s="47"/>
      <c r="R34" s="47"/>
    </row>
    <row r="35" spans="1:18" ht="21" customHeight="1" x14ac:dyDescent="0.15">
      <c r="A35" s="39" t="str">
        <f t="shared" si="4"/>
        <v>30020000_30020053</v>
      </c>
      <c r="B35" s="111">
        <v>30020000</v>
      </c>
      <c r="C35" s="47">
        <v>30020053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龍称以外は立ち去るがよい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種族ドラゴン以外に超大ダメージ！_x000D_ラーフが反撃をした！</v>
      </c>
      <c r="F35" s="47">
        <v>30020045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100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617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35" s="47"/>
      <c r="Q35" s="47"/>
      <c r="R35" s="47"/>
    </row>
    <row r="36" spans="1:18" ht="21" customHeight="1" x14ac:dyDescent="0.15">
      <c r="A36" s="39" t="str">
        <f>B36&amp;"_"&amp;C36</f>
        <v>30020000_30020054</v>
      </c>
      <c r="B36" s="111">
        <v>30020000</v>
      </c>
      <c r="C36" s="47">
        <v>30020054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龍称以外は立ち去るがよい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種族ドラゴン以外に超大ダメージ！_x000D_フェルニゲシュが反撃をした！</v>
      </c>
      <c r="F36" s="47">
        <v>30020046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100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618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36" s="47"/>
      <c r="Q36" s="47"/>
      <c r="R36" s="47"/>
    </row>
    <row r="37" spans="1:18" ht="21" customHeight="1" x14ac:dyDescent="0.15">
      <c r="A37" s="39" t="str">
        <f t="shared" ref="A37:A40" si="5">B37&amp;"_"&amp;C37</f>
        <v>30020006_30020051</v>
      </c>
      <c r="B37" s="111">
        <v>30020006</v>
      </c>
      <c r="C37" s="47">
        <v>30020051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龍称以外は立ち去るがよい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種族ドラゴン以外に超大ダメージ！_x000D_ヒュドラが反撃をした！</v>
      </c>
      <c r="F37" s="47">
        <v>30020043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100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615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37" s="47"/>
      <c r="Q37" s="47"/>
      <c r="R37" s="47"/>
    </row>
    <row r="38" spans="1:18" ht="21" customHeight="1" x14ac:dyDescent="0.15">
      <c r="A38" s="39" t="str">
        <f t="shared" si="5"/>
        <v>30020006_30020052</v>
      </c>
      <c r="B38" s="111">
        <v>30020006</v>
      </c>
      <c r="C38" s="47">
        <v>30020052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龍称以外は立ち去るがよい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種族ドラゴン以外に超大ダメージ！_x000D_リンドブルムが反撃をした！</v>
      </c>
      <c r="F38" s="47">
        <v>30020044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100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616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38" s="47"/>
      <c r="Q38" s="47"/>
      <c r="R38" s="47"/>
    </row>
    <row r="39" spans="1:18" ht="21" customHeight="1" x14ac:dyDescent="0.15">
      <c r="A39" s="39" t="str">
        <f t="shared" si="5"/>
        <v>30020006_30020053</v>
      </c>
      <c r="B39" s="111">
        <v>30020006</v>
      </c>
      <c r="C39" s="47">
        <v>30020053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龍称以外は立ち去るがよい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種族ドラゴン以外に超大ダメージ！_x000D_ラーフが反撃をした！</v>
      </c>
      <c r="F39" s="47">
        <v>30020045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100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617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39" s="47"/>
      <c r="Q39" s="47"/>
      <c r="R39" s="47"/>
    </row>
    <row r="40" spans="1:18" ht="21" customHeight="1" x14ac:dyDescent="0.15">
      <c r="A40" s="39" t="str">
        <f t="shared" si="5"/>
        <v>30020006_30020054</v>
      </c>
      <c r="B40" s="111">
        <v>30020006</v>
      </c>
      <c r="C40" s="47">
        <v>30020054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龍称以外は立ち去るがよい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種族ドラゴン以外に超大ダメージ！_x000D_フェルニゲシュが反撃をした！</v>
      </c>
      <c r="F40" s="47">
        <v>30020046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100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618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40" s="47"/>
      <c r="Q40" s="47"/>
      <c r="R40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2"/>
  <sheetViews>
    <sheetView workbookViewId="0">
      <selection activeCell="P2" sqref="P2:P1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1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86">
        <v>30020</v>
      </c>
      <c r="B2" s="86">
        <v>1</v>
      </c>
      <c r="C2" s="116" t="str">
        <f t="shared" ref="C2:C12" si="0">A2&amp; "_"&amp;B2</f>
        <v>30020_1</v>
      </c>
      <c r="D2" s="116" t="str">
        <f>VLOOKUP(C2,[2]stages!$A:$AE,31,FALSE)</f>
        <v>everyone</v>
      </c>
      <c r="E2" s="86">
        <v>1</v>
      </c>
      <c r="F2" s="86" t="s">
        <v>168</v>
      </c>
      <c r="G2" s="86">
        <v>6500</v>
      </c>
      <c r="H2" s="86" t="s">
        <v>288</v>
      </c>
      <c r="I2" s="86">
        <v>1</v>
      </c>
      <c r="J2" s="86">
        <v>1</v>
      </c>
      <c r="K2" s="86">
        <v>0</v>
      </c>
      <c r="L2" s="86">
        <v>0</v>
      </c>
      <c r="M2" s="86">
        <v>0</v>
      </c>
      <c r="N2" s="86">
        <v>0</v>
      </c>
      <c r="O2" s="86">
        <v>1</v>
      </c>
      <c r="P2" s="86">
        <v>200</v>
      </c>
      <c r="Q2" s="86" t="s">
        <v>170</v>
      </c>
      <c r="R2" s="117" t="s">
        <v>289</v>
      </c>
    </row>
    <row r="3" spans="1:18" x14ac:dyDescent="0.15">
      <c r="A3" s="86">
        <v>30020</v>
      </c>
      <c r="B3" s="86">
        <v>1</v>
      </c>
      <c r="C3" s="116" t="str">
        <f t="shared" si="0"/>
        <v>30020_1</v>
      </c>
      <c r="D3" s="116" t="str">
        <f>VLOOKUP(C3,[2]stages!$A:$AE,31,FALSE)</f>
        <v>everyone</v>
      </c>
      <c r="E3" s="86">
        <v>2</v>
      </c>
      <c r="F3" s="86" t="s">
        <v>290</v>
      </c>
      <c r="G3" s="86">
        <v>25</v>
      </c>
      <c r="H3" s="86" t="s">
        <v>288</v>
      </c>
      <c r="I3" s="86">
        <v>1</v>
      </c>
      <c r="J3" s="86">
        <v>1</v>
      </c>
      <c r="K3" s="86">
        <v>0</v>
      </c>
      <c r="L3" s="86">
        <v>0</v>
      </c>
      <c r="M3" s="86">
        <v>0</v>
      </c>
      <c r="N3" s="86">
        <v>0</v>
      </c>
      <c r="O3" s="86">
        <v>1</v>
      </c>
      <c r="P3" s="86">
        <v>150</v>
      </c>
      <c r="Q3" s="86" t="s">
        <v>170</v>
      </c>
      <c r="R3" s="117" t="s">
        <v>291</v>
      </c>
    </row>
    <row r="4" spans="1:18" x14ac:dyDescent="0.15">
      <c r="A4" s="86">
        <v>30020</v>
      </c>
      <c r="B4" s="86">
        <v>1</v>
      </c>
      <c r="C4" s="116" t="str">
        <f t="shared" si="0"/>
        <v>30020_1</v>
      </c>
      <c r="D4" s="116" t="str">
        <f>VLOOKUP(C4,[2]stages!$A:$AE,31,FALSE)</f>
        <v>everyone</v>
      </c>
      <c r="E4" s="86">
        <v>3</v>
      </c>
      <c r="F4" s="86" t="s">
        <v>292</v>
      </c>
      <c r="G4" s="86">
        <v>344</v>
      </c>
      <c r="H4" s="86">
        <v>1</v>
      </c>
      <c r="I4" s="86">
        <v>1</v>
      </c>
      <c r="J4" s="86">
        <v>1</v>
      </c>
      <c r="K4" s="86">
        <v>0</v>
      </c>
      <c r="L4" s="86">
        <v>0</v>
      </c>
      <c r="M4" s="86">
        <v>0</v>
      </c>
      <c r="N4" s="86">
        <v>0</v>
      </c>
      <c r="O4" s="86">
        <v>1</v>
      </c>
      <c r="P4" s="86">
        <v>28</v>
      </c>
      <c r="Q4" s="86" t="s">
        <v>170</v>
      </c>
      <c r="R4" s="117" t="s">
        <v>171</v>
      </c>
    </row>
    <row r="5" spans="1:18" x14ac:dyDescent="0.15">
      <c r="A5" s="86">
        <v>30020</v>
      </c>
      <c r="B5" s="86">
        <v>1</v>
      </c>
      <c r="C5" s="116" t="str">
        <f t="shared" si="0"/>
        <v>30020_1</v>
      </c>
      <c r="D5" s="116" t="str">
        <f>VLOOKUP(C5,[2]stages!$A:$AE,31,FALSE)</f>
        <v>everyone</v>
      </c>
      <c r="E5" s="86">
        <v>4</v>
      </c>
      <c r="F5" s="86" t="s">
        <v>293</v>
      </c>
      <c r="G5" s="86">
        <v>345</v>
      </c>
      <c r="H5" s="86">
        <v>1</v>
      </c>
      <c r="I5" s="86">
        <v>1</v>
      </c>
      <c r="J5" s="86">
        <v>1</v>
      </c>
      <c r="K5" s="86">
        <v>0</v>
      </c>
      <c r="L5" s="86">
        <v>0</v>
      </c>
      <c r="M5" s="86">
        <v>0</v>
      </c>
      <c r="N5" s="86">
        <v>0</v>
      </c>
      <c r="O5" s="86">
        <v>1</v>
      </c>
      <c r="P5" s="86">
        <v>56</v>
      </c>
      <c r="Q5" s="86" t="s">
        <v>170</v>
      </c>
      <c r="R5" s="117" t="s">
        <v>171</v>
      </c>
    </row>
    <row r="6" spans="1:18" x14ac:dyDescent="0.15">
      <c r="A6" s="86">
        <v>30020</v>
      </c>
      <c r="B6" s="86">
        <v>1</v>
      </c>
      <c r="C6" s="116" t="str">
        <f t="shared" si="0"/>
        <v>30020_1</v>
      </c>
      <c r="D6" s="116" t="str">
        <f>VLOOKUP(C6,[2]stages!$A:$AE,31,FALSE)</f>
        <v>everyone</v>
      </c>
      <c r="E6" s="86">
        <v>5</v>
      </c>
      <c r="F6" s="86" t="s">
        <v>294</v>
      </c>
      <c r="G6" s="86">
        <v>346</v>
      </c>
      <c r="H6" s="86">
        <v>1</v>
      </c>
      <c r="I6" s="86">
        <v>1</v>
      </c>
      <c r="J6" s="86">
        <v>1</v>
      </c>
      <c r="K6" s="86">
        <v>0</v>
      </c>
      <c r="L6" s="86">
        <v>0</v>
      </c>
      <c r="M6" s="86">
        <v>0</v>
      </c>
      <c r="N6" s="86">
        <v>0</v>
      </c>
      <c r="O6" s="86">
        <v>1</v>
      </c>
      <c r="P6" s="86">
        <v>56</v>
      </c>
      <c r="Q6" s="86" t="s">
        <v>170</v>
      </c>
      <c r="R6" s="117" t="s">
        <v>171</v>
      </c>
    </row>
    <row r="7" spans="1:18" x14ac:dyDescent="0.15">
      <c r="A7" s="86">
        <v>30020</v>
      </c>
      <c r="B7" s="86">
        <v>1</v>
      </c>
      <c r="C7" s="116" t="str">
        <f t="shared" si="0"/>
        <v>30020_1</v>
      </c>
      <c r="D7" s="116" t="str">
        <f>VLOOKUP(C7,[2]stages!$A:$AE,31,FALSE)</f>
        <v>everyone</v>
      </c>
      <c r="E7" s="86">
        <v>6</v>
      </c>
      <c r="F7" s="86" t="s">
        <v>293</v>
      </c>
      <c r="G7" s="86">
        <v>121</v>
      </c>
      <c r="H7" s="86">
        <v>1</v>
      </c>
      <c r="I7" s="86">
        <v>1</v>
      </c>
      <c r="J7" s="86">
        <v>1</v>
      </c>
      <c r="K7" s="86">
        <v>0</v>
      </c>
      <c r="L7" s="86">
        <v>0</v>
      </c>
      <c r="M7" s="86">
        <v>0</v>
      </c>
      <c r="N7" s="86">
        <v>0</v>
      </c>
      <c r="O7" s="86">
        <v>1</v>
      </c>
      <c r="P7" s="86">
        <v>50</v>
      </c>
      <c r="Q7" s="86" t="s">
        <v>170</v>
      </c>
      <c r="R7" s="117" t="s">
        <v>171</v>
      </c>
    </row>
    <row r="8" spans="1:18" x14ac:dyDescent="0.15">
      <c r="A8" s="86">
        <v>30020</v>
      </c>
      <c r="B8" s="86">
        <v>1</v>
      </c>
      <c r="C8" s="116" t="str">
        <f t="shared" si="0"/>
        <v>30020_1</v>
      </c>
      <c r="D8" s="116" t="str">
        <f>VLOOKUP(C8,[2]stages!$A:$AE,31,FALSE)</f>
        <v>everyone</v>
      </c>
      <c r="E8" s="86">
        <v>7</v>
      </c>
      <c r="F8" s="86" t="s">
        <v>294</v>
      </c>
      <c r="G8" s="86">
        <v>122</v>
      </c>
      <c r="H8" s="86">
        <v>1</v>
      </c>
      <c r="I8" s="86">
        <v>1</v>
      </c>
      <c r="J8" s="86">
        <v>1</v>
      </c>
      <c r="K8" s="86">
        <v>0</v>
      </c>
      <c r="L8" s="86">
        <v>0</v>
      </c>
      <c r="M8" s="86">
        <v>0</v>
      </c>
      <c r="N8" s="86">
        <v>0</v>
      </c>
      <c r="O8" s="86">
        <v>1</v>
      </c>
      <c r="P8" s="86">
        <v>50</v>
      </c>
      <c r="Q8" s="86" t="s">
        <v>170</v>
      </c>
      <c r="R8" s="117" t="s">
        <v>171</v>
      </c>
    </row>
    <row r="9" spans="1:18" x14ac:dyDescent="0.15">
      <c r="A9" s="86">
        <v>30020</v>
      </c>
      <c r="B9" s="86">
        <v>1</v>
      </c>
      <c r="C9" s="116" t="str">
        <f t="shared" si="0"/>
        <v>30020_1</v>
      </c>
      <c r="D9" s="116" t="str">
        <f>VLOOKUP(C9,[2]stages!$A:$AE,31,FALSE)</f>
        <v>everyone</v>
      </c>
      <c r="E9" s="86">
        <v>8</v>
      </c>
      <c r="F9" s="86" t="s">
        <v>294</v>
      </c>
      <c r="G9" s="86">
        <v>123</v>
      </c>
      <c r="H9" s="86">
        <v>1</v>
      </c>
      <c r="I9" s="86">
        <v>1</v>
      </c>
      <c r="J9" s="86">
        <v>1</v>
      </c>
      <c r="K9" s="86">
        <v>0</v>
      </c>
      <c r="L9" s="86">
        <v>0</v>
      </c>
      <c r="M9" s="86">
        <v>0</v>
      </c>
      <c r="N9" s="86">
        <v>0</v>
      </c>
      <c r="O9" s="86">
        <v>1</v>
      </c>
      <c r="P9" s="86">
        <v>50</v>
      </c>
      <c r="Q9" s="86" t="s">
        <v>170</v>
      </c>
      <c r="R9" s="117" t="s">
        <v>171</v>
      </c>
    </row>
    <row r="10" spans="1:18" x14ac:dyDescent="0.15">
      <c r="A10" s="86">
        <v>30020</v>
      </c>
      <c r="B10" s="86">
        <v>1</v>
      </c>
      <c r="C10" s="116" t="str">
        <f t="shared" si="0"/>
        <v>30020_1</v>
      </c>
      <c r="D10" s="116" t="str">
        <f>VLOOKUP(C10,[2]stages!$A:$AE,31,FALSE)</f>
        <v>everyone</v>
      </c>
      <c r="E10" s="86">
        <v>9</v>
      </c>
      <c r="F10" s="86" t="s">
        <v>293</v>
      </c>
      <c r="G10" s="86">
        <v>125</v>
      </c>
      <c r="H10" s="86">
        <v>1</v>
      </c>
      <c r="I10" s="86">
        <v>1</v>
      </c>
      <c r="J10" s="86">
        <v>1</v>
      </c>
      <c r="K10" s="86">
        <v>0</v>
      </c>
      <c r="L10" s="86">
        <v>0</v>
      </c>
      <c r="M10" s="86">
        <v>0</v>
      </c>
      <c r="N10" s="86">
        <v>0</v>
      </c>
      <c r="O10" s="86">
        <v>1</v>
      </c>
      <c r="P10" s="86">
        <v>10</v>
      </c>
      <c r="Q10" s="86" t="s">
        <v>170</v>
      </c>
      <c r="R10" s="117" t="s">
        <v>171</v>
      </c>
    </row>
    <row r="11" spans="1:18" x14ac:dyDescent="0.15">
      <c r="A11" s="86">
        <v>30020</v>
      </c>
      <c r="B11" s="86">
        <v>1</v>
      </c>
      <c r="C11" s="116" t="str">
        <f t="shared" si="0"/>
        <v>30020_1</v>
      </c>
      <c r="D11" s="116" t="str">
        <f>VLOOKUP(C11,[2]stages!$A:$AE,31,FALSE)</f>
        <v>everyone</v>
      </c>
      <c r="E11" s="86">
        <v>10</v>
      </c>
      <c r="F11" s="86" t="s">
        <v>293</v>
      </c>
      <c r="G11" s="86">
        <v>458</v>
      </c>
      <c r="H11" s="86">
        <v>1</v>
      </c>
      <c r="I11" s="86">
        <v>1</v>
      </c>
      <c r="J11" s="86">
        <v>1</v>
      </c>
      <c r="K11" s="86">
        <v>0</v>
      </c>
      <c r="L11" s="86">
        <v>0</v>
      </c>
      <c r="M11" s="86">
        <v>0</v>
      </c>
      <c r="N11" s="86">
        <v>0</v>
      </c>
      <c r="O11" s="86">
        <v>1</v>
      </c>
      <c r="P11" s="86">
        <v>250</v>
      </c>
      <c r="Q11" s="86" t="s">
        <v>170</v>
      </c>
      <c r="R11" s="117" t="s">
        <v>171</v>
      </c>
    </row>
    <row r="12" spans="1:18" ht="16" thickBot="1" x14ac:dyDescent="0.2">
      <c r="A12" s="126">
        <v>30020</v>
      </c>
      <c r="B12" s="126">
        <v>1</v>
      </c>
      <c r="C12" s="127" t="str">
        <f t="shared" si="0"/>
        <v>30020_1</v>
      </c>
      <c r="D12" s="127" t="str">
        <f>VLOOKUP(C12,[2]stages!$A:$AE,31,FALSE)</f>
        <v>everyone</v>
      </c>
      <c r="E12" s="126">
        <v>11</v>
      </c>
      <c r="F12" s="126" t="s">
        <v>293</v>
      </c>
      <c r="G12" s="126">
        <v>354</v>
      </c>
      <c r="H12" s="126">
        <v>1</v>
      </c>
      <c r="I12" s="126">
        <v>1</v>
      </c>
      <c r="J12" s="126">
        <v>1</v>
      </c>
      <c r="K12" s="126">
        <v>0</v>
      </c>
      <c r="L12" s="126">
        <v>0</v>
      </c>
      <c r="M12" s="126">
        <v>0</v>
      </c>
      <c r="N12" s="126">
        <v>0</v>
      </c>
      <c r="O12" s="126">
        <v>1</v>
      </c>
      <c r="P12" s="126">
        <v>100</v>
      </c>
      <c r="Q12" s="126" t="s">
        <v>170</v>
      </c>
      <c r="R12" s="128" t="s">
        <v>171</v>
      </c>
    </row>
    <row r="13" spans="1:18" ht="16" thickTop="1" x14ac:dyDescent="0.15">
      <c r="A13" s="123">
        <v>30020</v>
      </c>
      <c r="B13" s="123">
        <v>2</v>
      </c>
      <c r="C13" s="124" t="str">
        <f>A13&amp; "_"&amp;B13</f>
        <v>30020_2</v>
      </c>
      <c r="D13" s="124" t="str">
        <f>VLOOKUP(C13,[2]stages!$A:$AE,31,FALSE)</f>
        <v>everyone</v>
      </c>
      <c r="E13" s="123">
        <v>12</v>
      </c>
      <c r="F13" s="123" t="s">
        <v>168</v>
      </c>
      <c r="G13" s="123">
        <v>7500</v>
      </c>
      <c r="H13" s="123" t="s">
        <v>295</v>
      </c>
      <c r="I13" s="123">
        <v>1</v>
      </c>
      <c r="J13" s="123">
        <v>1</v>
      </c>
      <c r="K13" s="123">
        <v>0</v>
      </c>
      <c r="L13" s="123">
        <v>0</v>
      </c>
      <c r="M13" s="123">
        <v>0</v>
      </c>
      <c r="N13" s="123">
        <v>0</v>
      </c>
      <c r="O13" s="123">
        <v>1</v>
      </c>
      <c r="P13" s="123">
        <v>100</v>
      </c>
      <c r="Q13" s="123" t="s">
        <v>170</v>
      </c>
      <c r="R13" s="125" t="s">
        <v>171</v>
      </c>
    </row>
    <row r="14" spans="1:18" x14ac:dyDescent="0.15">
      <c r="A14" s="86">
        <v>30020</v>
      </c>
      <c r="B14" s="86">
        <v>2</v>
      </c>
      <c r="C14" s="116" t="str">
        <f t="shared" ref="C14:C22" si="1">A14&amp; "_"&amp;B14</f>
        <v>30020_2</v>
      </c>
      <c r="D14" s="116" t="str">
        <f>VLOOKUP(C14,[2]stages!$A:$AE,31,FALSE)</f>
        <v>everyone</v>
      </c>
      <c r="E14" s="86">
        <v>13</v>
      </c>
      <c r="F14" s="86" t="s">
        <v>296</v>
      </c>
      <c r="G14" s="86">
        <v>25</v>
      </c>
      <c r="H14" s="86" t="s">
        <v>295</v>
      </c>
      <c r="I14" s="86">
        <v>1</v>
      </c>
      <c r="J14" s="86">
        <v>1</v>
      </c>
      <c r="K14" s="86">
        <v>0</v>
      </c>
      <c r="L14" s="86">
        <v>0</v>
      </c>
      <c r="M14" s="86">
        <v>0</v>
      </c>
      <c r="N14" s="86">
        <v>0</v>
      </c>
      <c r="O14" s="86">
        <v>1</v>
      </c>
      <c r="P14" s="86">
        <v>100</v>
      </c>
      <c r="Q14" s="86" t="s">
        <v>170</v>
      </c>
      <c r="R14" s="117" t="s">
        <v>171</v>
      </c>
    </row>
    <row r="15" spans="1:18" x14ac:dyDescent="0.15">
      <c r="A15" s="86">
        <v>30020</v>
      </c>
      <c r="B15" s="86">
        <v>2</v>
      </c>
      <c r="C15" s="116" t="str">
        <f t="shared" si="1"/>
        <v>30020_2</v>
      </c>
      <c r="D15" s="116" t="str">
        <f>VLOOKUP(C15,[2]stages!$A:$AE,31,FALSE)</f>
        <v>everyone</v>
      </c>
      <c r="E15" s="86">
        <v>14</v>
      </c>
      <c r="F15" s="86" t="s">
        <v>293</v>
      </c>
      <c r="G15" s="86">
        <v>345</v>
      </c>
      <c r="H15" s="86">
        <v>1</v>
      </c>
      <c r="I15" s="86">
        <v>1</v>
      </c>
      <c r="J15" s="86">
        <v>1</v>
      </c>
      <c r="K15" s="86">
        <v>0</v>
      </c>
      <c r="L15" s="86">
        <v>0</v>
      </c>
      <c r="M15" s="86">
        <v>0</v>
      </c>
      <c r="N15" s="86">
        <v>0</v>
      </c>
      <c r="O15" s="86">
        <v>1</v>
      </c>
      <c r="P15" s="86">
        <v>56</v>
      </c>
      <c r="Q15" s="86" t="s">
        <v>170</v>
      </c>
      <c r="R15" s="117" t="s">
        <v>171</v>
      </c>
    </row>
    <row r="16" spans="1:18" x14ac:dyDescent="0.15">
      <c r="A16" s="86">
        <v>30020</v>
      </c>
      <c r="B16" s="86">
        <v>2</v>
      </c>
      <c r="C16" s="116" t="str">
        <f t="shared" si="1"/>
        <v>30020_2</v>
      </c>
      <c r="D16" s="116" t="str">
        <f>VLOOKUP(C16,[2]stages!$A:$AE,31,FALSE)</f>
        <v>everyone</v>
      </c>
      <c r="E16" s="86">
        <v>15</v>
      </c>
      <c r="F16" s="86" t="s">
        <v>293</v>
      </c>
      <c r="G16" s="86">
        <v>346</v>
      </c>
      <c r="H16" s="86">
        <v>1</v>
      </c>
      <c r="I16" s="86">
        <v>1</v>
      </c>
      <c r="J16" s="86">
        <v>1</v>
      </c>
      <c r="K16" s="86">
        <v>0</v>
      </c>
      <c r="L16" s="86">
        <v>0</v>
      </c>
      <c r="M16" s="86">
        <v>0</v>
      </c>
      <c r="N16" s="86">
        <v>0</v>
      </c>
      <c r="O16" s="86">
        <v>1</v>
      </c>
      <c r="P16" s="86">
        <v>84</v>
      </c>
      <c r="Q16" s="86" t="s">
        <v>170</v>
      </c>
      <c r="R16" s="117" t="s">
        <v>171</v>
      </c>
    </row>
    <row r="17" spans="1:18" x14ac:dyDescent="0.15">
      <c r="A17" s="86">
        <v>30020</v>
      </c>
      <c r="B17" s="86">
        <v>2</v>
      </c>
      <c r="C17" s="116" t="str">
        <f t="shared" si="1"/>
        <v>30020_2</v>
      </c>
      <c r="D17" s="116" t="str">
        <f>VLOOKUP(C17,[2]stages!$A:$AE,31,FALSE)</f>
        <v>everyone</v>
      </c>
      <c r="E17" s="86">
        <v>16</v>
      </c>
      <c r="F17" s="86" t="s">
        <v>293</v>
      </c>
      <c r="G17" s="86">
        <v>121</v>
      </c>
      <c r="H17" s="86">
        <v>1</v>
      </c>
      <c r="I17" s="86">
        <v>1</v>
      </c>
      <c r="J17" s="86">
        <v>1</v>
      </c>
      <c r="K17" s="86">
        <v>0</v>
      </c>
      <c r="L17" s="86">
        <v>0</v>
      </c>
      <c r="M17" s="86">
        <v>0</v>
      </c>
      <c r="N17" s="86">
        <v>0</v>
      </c>
      <c r="O17" s="86">
        <v>1</v>
      </c>
      <c r="P17" s="86">
        <v>50</v>
      </c>
      <c r="Q17" s="86" t="s">
        <v>170</v>
      </c>
      <c r="R17" s="117" t="s">
        <v>171</v>
      </c>
    </row>
    <row r="18" spans="1:18" x14ac:dyDescent="0.15">
      <c r="A18" s="86">
        <v>30020</v>
      </c>
      <c r="B18" s="86">
        <v>2</v>
      </c>
      <c r="C18" s="116" t="str">
        <f t="shared" si="1"/>
        <v>30020_2</v>
      </c>
      <c r="D18" s="116" t="str">
        <f>VLOOKUP(C18,[2]stages!$A:$AE,31,FALSE)</f>
        <v>everyone</v>
      </c>
      <c r="E18" s="86">
        <v>17</v>
      </c>
      <c r="F18" s="86" t="s">
        <v>293</v>
      </c>
      <c r="G18" s="86">
        <v>122</v>
      </c>
      <c r="H18" s="86">
        <v>1</v>
      </c>
      <c r="I18" s="86">
        <v>1</v>
      </c>
      <c r="J18" s="86">
        <v>1</v>
      </c>
      <c r="K18" s="86">
        <v>0</v>
      </c>
      <c r="L18" s="86">
        <v>0</v>
      </c>
      <c r="M18" s="86">
        <v>0</v>
      </c>
      <c r="N18" s="86">
        <v>0</v>
      </c>
      <c r="O18" s="86">
        <v>1</v>
      </c>
      <c r="P18" s="86">
        <v>50</v>
      </c>
      <c r="Q18" s="86" t="s">
        <v>170</v>
      </c>
      <c r="R18" s="117" t="s">
        <v>171</v>
      </c>
    </row>
    <row r="19" spans="1:18" x14ac:dyDescent="0.15">
      <c r="A19" s="86">
        <v>30020</v>
      </c>
      <c r="B19" s="86">
        <v>2</v>
      </c>
      <c r="C19" s="116" t="str">
        <f t="shared" si="1"/>
        <v>30020_2</v>
      </c>
      <c r="D19" s="116" t="str">
        <f>VLOOKUP(C19,[2]stages!$A:$AE,31,FALSE)</f>
        <v>everyone</v>
      </c>
      <c r="E19" s="86">
        <v>18</v>
      </c>
      <c r="F19" s="86" t="s">
        <v>293</v>
      </c>
      <c r="G19" s="86">
        <v>123</v>
      </c>
      <c r="H19" s="86">
        <v>1</v>
      </c>
      <c r="I19" s="86">
        <v>1</v>
      </c>
      <c r="J19" s="86">
        <v>1</v>
      </c>
      <c r="K19" s="86">
        <v>0</v>
      </c>
      <c r="L19" s="86">
        <v>0</v>
      </c>
      <c r="M19" s="86">
        <v>0</v>
      </c>
      <c r="N19" s="86">
        <v>0</v>
      </c>
      <c r="O19" s="86">
        <v>1</v>
      </c>
      <c r="P19" s="86">
        <v>50</v>
      </c>
      <c r="Q19" s="86" t="s">
        <v>170</v>
      </c>
      <c r="R19" s="117" t="s">
        <v>171</v>
      </c>
    </row>
    <row r="20" spans="1:18" x14ac:dyDescent="0.15">
      <c r="A20" s="86">
        <v>30020</v>
      </c>
      <c r="B20" s="86">
        <v>2</v>
      </c>
      <c r="C20" s="116" t="str">
        <f t="shared" si="1"/>
        <v>30020_2</v>
      </c>
      <c r="D20" s="116" t="str">
        <f>VLOOKUP(C20,[2]stages!$A:$AE,31,FALSE)</f>
        <v>everyone</v>
      </c>
      <c r="E20" s="86">
        <v>19</v>
      </c>
      <c r="F20" s="86" t="s">
        <v>293</v>
      </c>
      <c r="G20" s="86">
        <v>125</v>
      </c>
      <c r="H20" s="86">
        <v>1</v>
      </c>
      <c r="I20" s="86">
        <v>1</v>
      </c>
      <c r="J20" s="86">
        <v>1</v>
      </c>
      <c r="K20" s="86">
        <v>0</v>
      </c>
      <c r="L20" s="86">
        <v>0</v>
      </c>
      <c r="M20" s="86">
        <v>0</v>
      </c>
      <c r="N20" s="86">
        <v>0</v>
      </c>
      <c r="O20" s="86">
        <v>1</v>
      </c>
      <c r="P20" s="86">
        <v>10</v>
      </c>
      <c r="Q20" s="86" t="s">
        <v>170</v>
      </c>
      <c r="R20" s="117" t="s">
        <v>171</v>
      </c>
    </row>
    <row r="21" spans="1:18" x14ac:dyDescent="0.15">
      <c r="A21" s="86">
        <v>30020</v>
      </c>
      <c r="B21" s="86">
        <v>2</v>
      </c>
      <c r="C21" s="116" t="str">
        <f t="shared" si="1"/>
        <v>30020_2</v>
      </c>
      <c r="D21" s="116" t="str">
        <f>VLOOKUP(C21,[2]stages!$A:$AE,31,FALSE)</f>
        <v>everyone</v>
      </c>
      <c r="E21" s="86">
        <v>20</v>
      </c>
      <c r="F21" s="86" t="s">
        <v>293</v>
      </c>
      <c r="G21" s="86">
        <v>458</v>
      </c>
      <c r="H21" s="86">
        <v>1</v>
      </c>
      <c r="I21" s="86">
        <v>1</v>
      </c>
      <c r="J21" s="86">
        <v>1</v>
      </c>
      <c r="K21" s="86">
        <v>0</v>
      </c>
      <c r="L21" s="86">
        <v>0</v>
      </c>
      <c r="M21" s="86">
        <v>0</v>
      </c>
      <c r="N21" s="86">
        <v>0</v>
      </c>
      <c r="O21" s="86">
        <v>1</v>
      </c>
      <c r="P21" s="86">
        <v>400</v>
      </c>
      <c r="Q21" s="86" t="s">
        <v>170</v>
      </c>
      <c r="R21" s="117" t="s">
        <v>171</v>
      </c>
    </row>
    <row r="22" spans="1:18" x14ac:dyDescent="0.15">
      <c r="A22" s="86">
        <v>30020</v>
      </c>
      <c r="B22" s="86">
        <v>2</v>
      </c>
      <c r="C22" s="116" t="str">
        <f t="shared" si="1"/>
        <v>30020_2</v>
      </c>
      <c r="D22" s="116" t="str">
        <f>VLOOKUP(C22,[2]stages!$A:$AE,31,FALSE)</f>
        <v>everyone</v>
      </c>
      <c r="E22" s="86">
        <v>21</v>
      </c>
      <c r="F22" s="86" t="s">
        <v>293</v>
      </c>
      <c r="G22" s="86">
        <v>354</v>
      </c>
      <c r="H22" s="86">
        <v>1</v>
      </c>
      <c r="I22" s="86">
        <v>1</v>
      </c>
      <c r="J22" s="86">
        <v>1</v>
      </c>
      <c r="K22" s="86">
        <v>0</v>
      </c>
      <c r="L22" s="86">
        <v>0</v>
      </c>
      <c r="M22" s="86">
        <v>0</v>
      </c>
      <c r="N22" s="86">
        <v>0</v>
      </c>
      <c r="O22" s="86">
        <v>1</v>
      </c>
      <c r="P22" s="86">
        <v>100</v>
      </c>
      <c r="Q22" s="86" t="s">
        <v>170</v>
      </c>
      <c r="R22" s="117" t="s">
        <v>171</v>
      </c>
    </row>
  </sheetData>
  <phoneticPr fontId="5"/>
  <dataValidations count="1">
    <dataValidation type="list" allowBlank="1" showInputMessage="1" showErrorMessage="1" sqref="F2:F2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O13"/>
  <sheetViews>
    <sheetView showGridLines="0" workbookViewId="0">
      <pane ySplit="1" topLeftCell="A6" activePane="bottomLeft" state="frozen"/>
      <selection pane="bottomLeft" activeCell="L11" sqref="L11"/>
    </sheetView>
  </sheetViews>
  <sheetFormatPr baseColWidth="12" defaultColWidth="13" defaultRowHeight="15" outlineLevelCol="1" x14ac:dyDescent="0.15"/>
  <cols>
    <col min="2" max="2" width="13" style="93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3" width="11.1640625" customWidth="1"/>
    <col min="14" max="14" width="42.6640625" customWidth="1"/>
  </cols>
  <sheetData>
    <row r="1" spans="1:15" x14ac:dyDescent="0.15">
      <c r="A1" s="78" t="s">
        <v>60</v>
      </c>
      <c r="B1" s="79" t="s">
        <v>184</v>
      </c>
      <c r="C1" s="72" t="s">
        <v>185</v>
      </c>
      <c r="D1" s="80" t="s">
        <v>186</v>
      </c>
      <c r="E1" s="80" t="s">
        <v>33</v>
      </c>
      <c r="F1" s="72" t="s">
        <v>187</v>
      </c>
      <c r="G1" s="80" t="s">
        <v>188</v>
      </c>
      <c r="H1" s="80" t="s">
        <v>33</v>
      </c>
      <c r="I1" s="72" t="s">
        <v>189</v>
      </c>
      <c r="J1" s="94" t="s">
        <v>190</v>
      </c>
      <c r="K1" s="81" t="s">
        <v>191</v>
      </c>
      <c r="L1" s="82" t="s">
        <v>126</v>
      </c>
      <c r="M1" s="82" t="s">
        <v>183</v>
      </c>
      <c r="N1" s="83" t="s">
        <v>181</v>
      </c>
      <c r="O1" s="84" t="s">
        <v>192</v>
      </c>
    </row>
    <row r="2" spans="1:15" ht="60" x14ac:dyDescent="0.15">
      <c r="A2" s="85" t="str">
        <f t="shared" ref="A2" si="0">C2&amp;"_"&amp;F2&amp;"_"&amp;J2</f>
        <v>30020_1_1</v>
      </c>
      <c r="B2" s="86" t="s">
        <v>193</v>
      </c>
      <c r="C2" s="87">
        <f>floors!$C$2</f>
        <v>30020</v>
      </c>
      <c r="D2" s="88" t="str">
        <f ca="1">VLOOKUP($C2,OFFSET([2]quests!$A$1,0,0,COUNTA([2]quests!$A:$A),MATCH(D$1,[2]quests!$1:$1,0)-MATCH($C$1,[2]quests!$1:$1,0)+1),MATCH(D$1,[2]quests!$1:$1,0)-MATCH($C$1,[2]quests!$1:$1,0)+1,FALSE)</f>
        <v>若造よ、身の程を知れ</v>
      </c>
      <c r="E2" s="88" t="str">
        <f ca="1">VLOOKUP($C2,OFFSET([2]quests!$A$1,0,0,COUNTA([2]quests!$A:$A),MATCH(E$1,[2]quests!$1:$1,0)-MATCH($C$1,[2]quests!$1:$1,0)+1),MATCH(E$1,[2]quests!$1:$1,0)-MATCH($C$1,[2]quests!$1:$1,0)+1,FALSE)</f>
        <v>ドロップイベント5（マルチ専用）</v>
      </c>
      <c r="F2" s="89">
        <v>1</v>
      </c>
      <c r="G2" s="88" t="str">
        <f ca="1">VLOOKUP($C2&amp;"_"&amp;$F2,OFFSET([2]stages!$A$1,0,0,COUNTA([2]stages!$A:$A),MATCH(G$1,[2]stages!$2:$2,0)-MATCH("temp_stage",[2]stages!$2:$2,0)+1),MATCH(G$1,[2]stages!$2:$2,0)-MATCH("temp_stage",[2]stages!$2:$2,0)+1,FALSE)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2" s="88" t="str">
        <f ca="1">VLOOKUP($C2&amp;"_"&amp;$F2,OFFSET([2]stages!$A$1,0,0,COUNTA([2]stages!$A:$A),MATCH(H$1,[2]stages!$2:$2,0)-MATCH("temp_stage",[2]stages!$2:$2,0)+1),MATCH(H$1,[2]stages!$2:$2,0)-MATCH("temp_stage",[2]stages!$2:$2,0)+1,FALSE)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2" s="90">
        <v>1</v>
      </c>
      <c r="J2" s="95">
        <f t="shared" ref="J2:J13" si="1">ROW()-1</f>
        <v>1</v>
      </c>
      <c r="K2" s="91" t="str">
        <f t="shared" ref="K2:K5" si="2">C2&amp;TEXT(J2,"00")</f>
        <v>3002001</v>
      </c>
      <c r="L2" s="89" t="s">
        <v>194</v>
      </c>
      <c r="M2" s="92" t="s">
        <v>195</v>
      </c>
      <c r="N2" s="121" t="s">
        <v>311</v>
      </c>
      <c r="O2" s="57" t="s">
        <v>196</v>
      </c>
    </row>
    <row r="3" spans="1:15" ht="60" x14ac:dyDescent="0.15">
      <c r="A3" s="85" t="str">
        <f t="shared" ref="A3:A4" si="3">C3&amp;"_"&amp;F3&amp;"_"&amp;J3</f>
        <v>30020_1_2</v>
      </c>
      <c r="B3" s="86" t="s">
        <v>193</v>
      </c>
      <c r="C3" s="87">
        <f>floors!$C$2</f>
        <v>30020</v>
      </c>
      <c r="D3" s="88" t="str">
        <f ca="1">VLOOKUP($C3,OFFSET([2]quests!$A$1,0,0,COUNTA([2]quests!$A:$A),MATCH(D$1,[2]quests!$1:$1,0)-MATCH($C$1,[2]quests!$1:$1,0)+1),MATCH(D$1,[2]quests!$1:$1,0)-MATCH($C$1,[2]quests!$1:$1,0)+1,FALSE)</f>
        <v>若造よ、身の程を知れ</v>
      </c>
      <c r="E3" s="88" t="str">
        <f ca="1">VLOOKUP($C3,OFFSET([2]quests!$A$1,0,0,COUNTA([2]quests!$A:$A),MATCH(E$1,[2]quests!$1:$1,0)-MATCH($C$1,[2]quests!$1:$1,0)+1),MATCH(E$1,[2]quests!$1:$1,0)-MATCH($C$1,[2]quests!$1:$1,0)+1,FALSE)</f>
        <v>ドロップイベント5（マルチ専用）</v>
      </c>
      <c r="F3" s="89">
        <v>1</v>
      </c>
      <c r="G3" s="88" t="str">
        <f ca="1">VLOOKUP($C3&amp;"_"&amp;$F3,OFFSET([2]stages!$A$1,0,0,COUNTA([2]stages!$A:$A),MATCH(G$1,[2]stages!$2:$2,0)-MATCH("temp_stage",[2]stages!$2:$2,0)+1),MATCH(G$1,[2]stages!$2:$2,0)-MATCH("temp_stage",[2]stages!$2:$2,0)+1,FALSE)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3" s="88" t="str">
        <f ca="1">VLOOKUP($C3&amp;"_"&amp;$F3,OFFSET([2]stages!$A$1,0,0,COUNTA([2]stages!$A:$A),MATCH(H$1,[2]stages!$2:$2,0)-MATCH("temp_stage",[2]stages!$2:$2,0)+1),MATCH(H$1,[2]stages!$2:$2,0)-MATCH("temp_stage",[2]stages!$2:$2,0)+1,FALSE)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3" s="90">
        <v>2</v>
      </c>
      <c r="J3" s="95">
        <f t="shared" si="1"/>
        <v>2</v>
      </c>
      <c r="K3" s="91" t="str">
        <f t="shared" si="2"/>
        <v>3002002</v>
      </c>
      <c r="L3" s="89" t="s">
        <v>127</v>
      </c>
      <c r="M3" s="92" t="s">
        <v>195</v>
      </c>
      <c r="N3" s="121" t="s">
        <v>312</v>
      </c>
      <c r="O3" s="57" t="s">
        <v>196</v>
      </c>
    </row>
    <row r="4" spans="1:15" ht="60" x14ac:dyDescent="0.15">
      <c r="A4" s="85" t="str">
        <f t="shared" si="3"/>
        <v>30020_1_3</v>
      </c>
      <c r="B4" s="86" t="s">
        <v>193</v>
      </c>
      <c r="C4" s="87">
        <f>floors!$C$2</f>
        <v>30020</v>
      </c>
      <c r="D4" s="88" t="str">
        <f ca="1">VLOOKUP($C4,OFFSET([2]quests!$A$1,0,0,COUNTA([2]quests!$A:$A),MATCH(D$1,[2]quests!$1:$1,0)-MATCH($C$1,[2]quests!$1:$1,0)+1),MATCH(D$1,[2]quests!$1:$1,0)-MATCH($C$1,[2]quests!$1:$1,0)+1,FALSE)</f>
        <v>若造よ、身の程を知れ</v>
      </c>
      <c r="E4" s="88" t="str">
        <f ca="1">VLOOKUP($C4,OFFSET([2]quests!$A$1,0,0,COUNTA([2]quests!$A:$A),MATCH(E$1,[2]quests!$1:$1,0)-MATCH($C$1,[2]quests!$1:$1,0)+1),MATCH(E$1,[2]quests!$1:$1,0)-MATCH($C$1,[2]quests!$1:$1,0)+1,FALSE)</f>
        <v>ドロップイベント5（マルチ専用）</v>
      </c>
      <c r="F4" s="89">
        <v>1</v>
      </c>
      <c r="G4" s="88" t="str">
        <f ca="1">VLOOKUP($C4&amp;"_"&amp;$F4,OFFSET([2]stages!$A$1,0,0,COUNTA([2]stages!$A:$A),MATCH(G$1,[2]stages!$2:$2,0)-MATCH("temp_stage",[2]stages!$2:$2,0)+1),MATCH(G$1,[2]stages!$2:$2,0)-MATCH("temp_stage",[2]stages!$2:$2,0)+1,FALSE)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4" s="88" t="str">
        <f ca="1">VLOOKUP($C4&amp;"_"&amp;$F4,OFFSET([2]stages!$A$1,0,0,COUNTA([2]stages!$A:$A),MATCH(H$1,[2]stages!$2:$2,0)-MATCH("temp_stage",[2]stages!$2:$2,0)+1),MATCH(H$1,[2]stages!$2:$2,0)-MATCH("temp_stage",[2]stages!$2:$2,0)+1,FALSE)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4" s="90">
        <v>3</v>
      </c>
      <c r="J4" s="95">
        <f t="shared" si="1"/>
        <v>3</v>
      </c>
      <c r="K4" s="91" t="str">
        <f t="shared" si="2"/>
        <v>3002003</v>
      </c>
      <c r="L4" s="89" t="s">
        <v>127</v>
      </c>
      <c r="M4" s="92" t="s">
        <v>195</v>
      </c>
      <c r="N4" s="121" t="s">
        <v>313</v>
      </c>
      <c r="O4" s="57" t="s">
        <v>196</v>
      </c>
    </row>
    <row r="5" spans="1:15" ht="60" x14ac:dyDescent="0.15">
      <c r="A5" s="85" t="str">
        <f t="shared" ref="A5" si="4">C5&amp;"_"&amp;F5&amp;"_"&amp;J5</f>
        <v>30020_1_4</v>
      </c>
      <c r="B5" s="86" t="s">
        <v>193</v>
      </c>
      <c r="C5" s="87">
        <f>floors!$C$2</f>
        <v>30020</v>
      </c>
      <c r="D5" s="88" t="str">
        <f ca="1">VLOOKUP($C5,OFFSET([2]quests!$A$1,0,0,COUNTA([2]quests!$A:$A),MATCH(D$1,[2]quests!$1:$1,0)-MATCH($C$1,[2]quests!$1:$1,0)+1),MATCH(D$1,[2]quests!$1:$1,0)-MATCH($C$1,[2]quests!$1:$1,0)+1,FALSE)</f>
        <v>若造よ、身の程を知れ</v>
      </c>
      <c r="E5" s="88" t="str">
        <f ca="1">VLOOKUP($C5,OFFSET([2]quests!$A$1,0,0,COUNTA([2]quests!$A:$A),MATCH(E$1,[2]quests!$1:$1,0)-MATCH($C$1,[2]quests!$1:$1,0)+1),MATCH(E$1,[2]quests!$1:$1,0)-MATCH($C$1,[2]quests!$1:$1,0)+1,FALSE)</f>
        <v>ドロップイベント5（マルチ専用）</v>
      </c>
      <c r="F5" s="89">
        <v>1</v>
      </c>
      <c r="G5" s="88" t="str">
        <f ca="1">VLOOKUP($C5&amp;"_"&amp;$F5,OFFSET([2]stages!$A$1,0,0,COUNTA([2]stages!$A:$A),MATCH(G$1,[2]stages!$2:$2,0)-MATCH("temp_stage",[2]stages!$2:$2,0)+1),MATCH(G$1,[2]stages!$2:$2,0)-MATCH("temp_stage",[2]stages!$2:$2,0)+1,FALSE)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5" s="88" t="str">
        <f ca="1">VLOOKUP($C5&amp;"_"&amp;$F5,OFFSET([2]stages!$A$1,0,0,COUNTA([2]stages!$A:$A),MATCH(H$1,[2]stages!$2:$2,0)-MATCH("temp_stage",[2]stages!$2:$2,0)+1),MATCH(H$1,[2]stages!$2:$2,0)-MATCH("temp_stage",[2]stages!$2:$2,0)+1,FALSE)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5" s="90">
        <v>4</v>
      </c>
      <c r="J5" s="95">
        <f t="shared" si="1"/>
        <v>4</v>
      </c>
      <c r="K5" s="91" t="str">
        <f t="shared" si="2"/>
        <v>3002004</v>
      </c>
      <c r="L5" s="89" t="s">
        <v>127</v>
      </c>
      <c r="M5" s="92" t="s">
        <v>195</v>
      </c>
      <c r="N5" s="121" t="s">
        <v>314</v>
      </c>
      <c r="O5" s="57" t="s">
        <v>196</v>
      </c>
    </row>
    <row r="6" spans="1:15" ht="60" x14ac:dyDescent="0.15">
      <c r="A6" s="85" t="str">
        <f t="shared" ref="A6:A11" si="5">C6&amp;"_"&amp;F6&amp;"_"&amp;J6</f>
        <v>30020_1_5</v>
      </c>
      <c r="B6" s="86" t="s">
        <v>193</v>
      </c>
      <c r="C6" s="87">
        <f>floors!$C$2</f>
        <v>30020</v>
      </c>
      <c r="D6" s="88" t="str">
        <f ca="1">VLOOKUP($C6,OFFSET([2]quests!$A$1,0,0,COUNTA([2]quests!$A:$A),MATCH(D$1,[2]quests!$1:$1,0)-MATCH($C$1,[2]quests!$1:$1,0)+1),MATCH(D$1,[2]quests!$1:$1,0)-MATCH($C$1,[2]quests!$1:$1,0)+1,FALSE)</f>
        <v>若造よ、身の程を知れ</v>
      </c>
      <c r="E6" s="88" t="str">
        <f ca="1">VLOOKUP($C6,OFFSET([2]quests!$A$1,0,0,COUNTA([2]quests!$A:$A),MATCH(E$1,[2]quests!$1:$1,0)-MATCH($C$1,[2]quests!$1:$1,0)+1),MATCH(E$1,[2]quests!$1:$1,0)-MATCH($C$1,[2]quests!$1:$1,0)+1,FALSE)</f>
        <v>ドロップイベント5（マルチ専用）</v>
      </c>
      <c r="F6" s="89">
        <v>1</v>
      </c>
      <c r="G6" s="88" t="str">
        <f ca="1">VLOOKUP($C6&amp;"_"&amp;$F6,OFFSET([2]stages!$A$1,0,0,COUNTA([2]stages!$A:$A),MATCH(G$1,[2]stages!$2:$2,0)-MATCH("temp_stage",[2]stages!$2:$2,0)+1),MATCH(G$1,[2]stages!$2:$2,0)-MATCH("temp_stage",[2]stages!$2:$2,0)+1,FALSE)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6" s="88" t="str">
        <f ca="1">VLOOKUP($C6&amp;"_"&amp;$F6,OFFSET([2]stages!$A$1,0,0,COUNTA([2]stages!$A:$A),MATCH(H$1,[2]stages!$2:$2,0)-MATCH("temp_stage",[2]stages!$2:$2,0)+1),MATCH(H$1,[2]stages!$2:$2,0)-MATCH("temp_stage",[2]stages!$2:$2,0)+1,FALSE)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6" s="90">
        <v>5</v>
      </c>
      <c r="J6" s="95">
        <f t="shared" si="1"/>
        <v>5</v>
      </c>
      <c r="K6" s="91" t="str">
        <f t="shared" ref="K6:K11" si="6">C6&amp;TEXT(J6,"00")</f>
        <v>3002005</v>
      </c>
      <c r="L6" s="89" t="s">
        <v>127</v>
      </c>
      <c r="M6" s="92" t="s">
        <v>195</v>
      </c>
      <c r="N6" s="121" t="s">
        <v>315</v>
      </c>
      <c r="O6" s="57" t="s">
        <v>196</v>
      </c>
    </row>
    <row r="7" spans="1:15" ht="30" x14ac:dyDescent="0.15">
      <c r="A7" s="85" t="str">
        <f t="shared" si="5"/>
        <v>30020_1_6</v>
      </c>
      <c r="B7" s="86" t="s">
        <v>193</v>
      </c>
      <c r="C7" s="87">
        <f>floors!$C$2</f>
        <v>30020</v>
      </c>
      <c r="D7" s="88" t="str">
        <f ca="1">VLOOKUP($C7,OFFSET([2]quests!$A$1,0,0,COUNTA([2]quests!$A:$A),MATCH(D$1,[2]quests!$1:$1,0)-MATCH($C$1,[2]quests!$1:$1,0)+1),MATCH(D$1,[2]quests!$1:$1,0)-MATCH($C$1,[2]quests!$1:$1,0)+1,FALSE)</f>
        <v>若造よ、身の程を知れ</v>
      </c>
      <c r="E7" s="88" t="str">
        <f ca="1">VLOOKUP($C7,OFFSET([2]quests!$A$1,0,0,COUNTA([2]quests!$A:$A),MATCH(E$1,[2]quests!$1:$1,0)-MATCH($C$1,[2]quests!$1:$1,0)+1),MATCH(E$1,[2]quests!$1:$1,0)-MATCH($C$1,[2]quests!$1:$1,0)+1,FALSE)</f>
        <v>ドロップイベント5（マルチ専用）</v>
      </c>
      <c r="F7" s="89">
        <v>1</v>
      </c>
      <c r="G7" s="88" t="str">
        <f ca="1">VLOOKUP($C7&amp;"_"&amp;$F7,OFFSET([2]stages!$A$1,0,0,COUNTA([2]stages!$A:$A),MATCH(G$1,[2]stages!$2:$2,0)-MATCH("temp_stage",[2]stages!$2:$2,0)+1),MATCH(G$1,[2]stages!$2:$2,0)-MATCH("temp_stage",[2]stages!$2:$2,0)+1,FALSE)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7" s="88" t="str">
        <f ca="1">VLOOKUP($C7&amp;"_"&amp;$F7,OFFSET([2]stages!$A$1,0,0,COUNTA([2]stages!$A:$A),MATCH(H$1,[2]stages!$2:$2,0)-MATCH("temp_stage",[2]stages!$2:$2,0)+1),MATCH(H$1,[2]stages!$2:$2,0)-MATCH("temp_stage",[2]stages!$2:$2,0)+1,FALSE)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7" s="90">
        <v>5</v>
      </c>
      <c r="J7" s="95">
        <f t="shared" si="1"/>
        <v>6</v>
      </c>
      <c r="K7" s="91" t="str">
        <f t="shared" si="6"/>
        <v>3002006</v>
      </c>
      <c r="L7" s="89" t="s">
        <v>127</v>
      </c>
      <c r="M7" s="92" t="s">
        <v>195</v>
      </c>
      <c r="N7" s="121" t="s">
        <v>316</v>
      </c>
      <c r="O7" s="57" t="s">
        <v>196</v>
      </c>
    </row>
    <row r="8" spans="1:15" ht="60" x14ac:dyDescent="0.15">
      <c r="A8" s="85" t="str">
        <f t="shared" si="5"/>
        <v>30020_2_7</v>
      </c>
      <c r="B8" s="86" t="s">
        <v>193</v>
      </c>
      <c r="C8" s="87">
        <f>floors!$C$2</f>
        <v>30020</v>
      </c>
      <c r="D8" s="88" t="str">
        <f ca="1">VLOOKUP($C8,OFFSET([2]quests!$A$1,0,0,COUNTA([2]quests!$A:$A),MATCH(D$1,[2]quests!$1:$1,0)-MATCH($C$1,[2]quests!$1:$1,0)+1),MATCH(D$1,[2]quests!$1:$1,0)-MATCH($C$1,[2]quests!$1:$1,0)+1,FALSE)</f>
        <v>若造よ、身の程を知れ</v>
      </c>
      <c r="E8" s="88" t="str">
        <f ca="1">VLOOKUP($C8,OFFSET([2]quests!$A$1,0,0,COUNTA([2]quests!$A:$A),MATCH(E$1,[2]quests!$1:$1,0)-MATCH($C$1,[2]quests!$1:$1,0)+1),MATCH(E$1,[2]quests!$1:$1,0)-MATCH($C$1,[2]quests!$1:$1,0)+1,FALSE)</f>
        <v>ドロップイベント5（マルチ専用）</v>
      </c>
      <c r="F8" s="89">
        <v>2</v>
      </c>
      <c r="G8" s="88" t="str">
        <f ca="1">VLOOKUP($C8&amp;"_"&amp;$F8,OFFSET([2]stages!$A$1,0,0,COUNTA([2]stages!$A:$A),MATCH(G$1,[2]stages!$2:$2,0)-MATCH("temp_stage",[2]stages!$2:$2,0)+1),MATCH(G$1,[2]stages!$2:$2,0)-MATCH("temp_stage",[2]stages!$2:$2,0)+1,FALSE)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8" s="88" t="str">
        <f ca="1">VLOOKUP($C8&amp;"_"&amp;$F8,OFFSET([2]stages!$A$1,0,0,COUNTA([2]stages!$A:$A),MATCH(H$1,[2]stages!$2:$2,0)-MATCH("temp_stage",[2]stages!$2:$2,0)+1),MATCH(H$1,[2]stages!$2:$2,0)-MATCH("temp_stage",[2]stages!$2:$2,0)+1,FALSE)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8" s="90">
        <v>1</v>
      </c>
      <c r="J8" s="95">
        <f t="shared" si="1"/>
        <v>7</v>
      </c>
      <c r="K8" s="91" t="str">
        <f t="shared" si="6"/>
        <v>3002007</v>
      </c>
      <c r="L8" s="89" t="s">
        <v>194</v>
      </c>
      <c r="M8" s="92" t="s">
        <v>195</v>
      </c>
      <c r="N8" s="121" t="s">
        <v>311</v>
      </c>
      <c r="O8" s="57" t="s">
        <v>196</v>
      </c>
    </row>
    <row r="9" spans="1:15" ht="60" x14ac:dyDescent="0.15">
      <c r="A9" s="85" t="str">
        <f t="shared" si="5"/>
        <v>30020_2_8</v>
      </c>
      <c r="B9" s="86" t="s">
        <v>193</v>
      </c>
      <c r="C9" s="87">
        <f>floors!$C$2</f>
        <v>30020</v>
      </c>
      <c r="D9" s="88" t="str">
        <f ca="1">VLOOKUP($C9,OFFSET([2]quests!$A$1,0,0,COUNTA([2]quests!$A:$A),MATCH(D$1,[2]quests!$1:$1,0)-MATCH($C$1,[2]quests!$1:$1,0)+1),MATCH(D$1,[2]quests!$1:$1,0)-MATCH($C$1,[2]quests!$1:$1,0)+1,FALSE)</f>
        <v>若造よ、身の程を知れ</v>
      </c>
      <c r="E9" s="88" t="str">
        <f ca="1">VLOOKUP($C9,OFFSET([2]quests!$A$1,0,0,COUNTA([2]quests!$A:$A),MATCH(E$1,[2]quests!$1:$1,0)-MATCH($C$1,[2]quests!$1:$1,0)+1),MATCH(E$1,[2]quests!$1:$1,0)-MATCH($C$1,[2]quests!$1:$1,0)+1,FALSE)</f>
        <v>ドロップイベント5（マルチ専用）</v>
      </c>
      <c r="F9" s="89">
        <v>2</v>
      </c>
      <c r="G9" s="88" t="str">
        <f ca="1">VLOOKUP($C9&amp;"_"&amp;$F9,OFFSET([2]stages!$A$1,0,0,COUNTA([2]stages!$A:$A),MATCH(G$1,[2]stages!$2:$2,0)-MATCH("temp_stage",[2]stages!$2:$2,0)+1),MATCH(G$1,[2]stages!$2:$2,0)-MATCH("temp_stage",[2]stages!$2:$2,0)+1,FALSE)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9" s="88" t="str">
        <f ca="1">VLOOKUP($C9&amp;"_"&amp;$F9,OFFSET([2]stages!$A$1,0,0,COUNTA([2]stages!$A:$A),MATCH(H$1,[2]stages!$2:$2,0)-MATCH("temp_stage",[2]stages!$2:$2,0)+1),MATCH(H$1,[2]stages!$2:$2,0)-MATCH("temp_stage",[2]stages!$2:$2,0)+1,FALSE)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9" s="90">
        <v>2</v>
      </c>
      <c r="J9" s="95">
        <f t="shared" si="1"/>
        <v>8</v>
      </c>
      <c r="K9" s="91" t="str">
        <f t="shared" si="6"/>
        <v>3002008</v>
      </c>
      <c r="L9" s="89" t="s">
        <v>127</v>
      </c>
      <c r="M9" s="92" t="s">
        <v>195</v>
      </c>
      <c r="N9" s="121" t="s">
        <v>312</v>
      </c>
      <c r="O9" s="57" t="s">
        <v>196</v>
      </c>
    </row>
    <row r="10" spans="1:15" ht="60" x14ac:dyDescent="0.15">
      <c r="A10" s="85" t="str">
        <f t="shared" si="5"/>
        <v>30020_2_9</v>
      </c>
      <c r="B10" s="86" t="s">
        <v>193</v>
      </c>
      <c r="C10" s="87">
        <f>floors!$C$2</f>
        <v>30020</v>
      </c>
      <c r="D10" s="88" t="str">
        <f ca="1">VLOOKUP($C10,OFFSET([2]quests!$A$1,0,0,COUNTA([2]quests!$A:$A),MATCH(D$1,[2]quests!$1:$1,0)-MATCH($C$1,[2]quests!$1:$1,0)+1),MATCH(D$1,[2]quests!$1:$1,0)-MATCH($C$1,[2]quests!$1:$1,0)+1,FALSE)</f>
        <v>若造よ、身の程を知れ</v>
      </c>
      <c r="E10" s="88" t="str">
        <f ca="1">VLOOKUP($C10,OFFSET([2]quests!$A$1,0,0,COUNTA([2]quests!$A:$A),MATCH(E$1,[2]quests!$1:$1,0)-MATCH($C$1,[2]quests!$1:$1,0)+1),MATCH(E$1,[2]quests!$1:$1,0)-MATCH($C$1,[2]quests!$1:$1,0)+1,FALSE)</f>
        <v>ドロップイベント5（マルチ専用）</v>
      </c>
      <c r="F10" s="89">
        <v>2</v>
      </c>
      <c r="G10" s="88" t="str">
        <f ca="1">VLOOKUP($C10&amp;"_"&amp;$F10,OFFSET([2]stages!$A$1,0,0,COUNTA([2]stages!$A:$A),MATCH(G$1,[2]stages!$2:$2,0)-MATCH("temp_stage",[2]stages!$2:$2,0)+1),MATCH(G$1,[2]stages!$2:$2,0)-MATCH("temp_stage",[2]stages!$2:$2,0)+1,FALSE)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10" s="88" t="str">
        <f ca="1">VLOOKUP($C10&amp;"_"&amp;$F10,OFFSET([2]stages!$A$1,0,0,COUNTA([2]stages!$A:$A),MATCH(H$1,[2]stages!$2:$2,0)-MATCH("temp_stage",[2]stages!$2:$2,0)+1),MATCH(H$1,[2]stages!$2:$2,0)-MATCH("temp_stage",[2]stages!$2:$2,0)+1,FALSE)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0" s="90">
        <v>3</v>
      </c>
      <c r="J10" s="95">
        <f t="shared" si="1"/>
        <v>9</v>
      </c>
      <c r="K10" s="91" t="str">
        <f t="shared" si="6"/>
        <v>3002009</v>
      </c>
      <c r="L10" s="89" t="s">
        <v>127</v>
      </c>
      <c r="M10" s="92" t="s">
        <v>195</v>
      </c>
      <c r="N10" s="121" t="s">
        <v>313</v>
      </c>
      <c r="O10" s="57" t="s">
        <v>196</v>
      </c>
    </row>
    <row r="11" spans="1:15" ht="60" x14ac:dyDescent="0.15">
      <c r="A11" s="85" t="str">
        <f t="shared" si="5"/>
        <v>30020_2_10</v>
      </c>
      <c r="B11" s="86" t="s">
        <v>193</v>
      </c>
      <c r="C11" s="87">
        <f>floors!$C$2</f>
        <v>30020</v>
      </c>
      <c r="D11" s="88" t="str">
        <f ca="1">VLOOKUP($C11,OFFSET([2]quests!$A$1,0,0,COUNTA([2]quests!$A:$A),MATCH(D$1,[2]quests!$1:$1,0)-MATCH($C$1,[2]quests!$1:$1,0)+1),MATCH(D$1,[2]quests!$1:$1,0)-MATCH($C$1,[2]quests!$1:$1,0)+1,FALSE)</f>
        <v>若造よ、身の程を知れ</v>
      </c>
      <c r="E11" s="88" t="str">
        <f ca="1">VLOOKUP($C11,OFFSET([2]quests!$A$1,0,0,COUNTA([2]quests!$A:$A),MATCH(E$1,[2]quests!$1:$1,0)-MATCH($C$1,[2]quests!$1:$1,0)+1),MATCH(E$1,[2]quests!$1:$1,0)-MATCH($C$1,[2]quests!$1:$1,0)+1,FALSE)</f>
        <v>ドロップイベント5（マルチ専用）</v>
      </c>
      <c r="F11" s="89">
        <v>2</v>
      </c>
      <c r="G11" s="88" t="str">
        <f ca="1">VLOOKUP($C11&amp;"_"&amp;$F11,OFFSET([2]stages!$A$1,0,0,COUNTA([2]stages!$A:$A),MATCH(G$1,[2]stages!$2:$2,0)-MATCH("temp_stage",[2]stages!$2:$2,0)+1),MATCH(G$1,[2]stages!$2:$2,0)-MATCH("temp_stage",[2]stages!$2:$2,0)+1,FALSE)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11" s="88" t="str">
        <f ca="1">VLOOKUP($C11&amp;"_"&amp;$F11,OFFSET([2]stages!$A$1,0,0,COUNTA([2]stages!$A:$A),MATCH(H$1,[2]stages!$2:$2,0)-MATCH("temp_stage",[2]stages!$2:$2,0)+1),MATCH(H$1,[2]stages!$2:$2,0)-MATCH("temp_stage",[2]stages!$2:$2,0)+1,FALSE)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1" s="90">
        <v>4</v>
      </c>
      <c r="J11" s="95">
        <f t="shared" si="1"/>
        <v>10</v>
      </c>
      <c r="K11" s="91" t="str">
        <f t="shared" si="6"/>
        <v>3002010</v>
      </c>
      <c r="L11" s="89" t="s">
        <v>127</v>
      </c>
      <c r="M11" s="92" t="s">
        <v>195</v>
      </c>
      <c r="N11" s="121" t="s">
        <v>314</v>
      </c>
      <c r="O11" s="57" t="s">
        <v>196</v>
      </c>
    </row>
    <row r="12" spans="1:15" ht="60" x14ac:dyDescent="0.15">
      <c r="A12" s="85" t="str">
        <f t="shared" ref="A12:A13" si="7">C12&amp;"_"&amp;F12&amp;"_"&amp;J12</f>
        <v>30020_2_11</v>
      </c>
      <c r="B12" s="86" t="s">
        <v>193</v>
      </c>
      <c r="C12" s="87">
        <f>floors!$C$2</f>
        <v>30020</v>
      </c>
      <c r="D12" s="88" t="str">
        <f ca="1">VLOOKUP($C12,OFFSET([2]quests!$A$1,0,0,COUNTA([2]quests!$A:$A),MATCH(D$1,[2]quests!$1:$1,0)-MATCH($C$1,[2]quests!$1:$1,0)+1),MATCH(D$1,[2]quests!$1:$1,0)-MATCH($C$1,[2]quests!$1:$1,0)+1,FALSE)</f>
        <v>若造よ、身の程を知れ</v>
      </c>
      <c r="E12" s="88" t="str">
        <f ca="1">VLOOKUP($C12,OFFSET([2]quests!$A$1,0,0,COUNTA([2]quests!$A:$A),MATCH(E$1,[2]quests!$1:$1,0)-MATCH($C$1,[2]quests!$1:$1,0)+1),MATCH(E$1,[2]quests!$1:$1,0)-MATCH($C$1,[2]quests!$1:$1,0)+1,FALSE)</f>
        <v>ドロップイベント5（マルチ専用）</v>
      </c>
      <c r="F12" s="89">
        <v>2</v>
      </c>
      <c r="G12" s="88" t="str">
        <f ca="1">VLOOKUP($C12&amp;"_"&amp;$F12,OFFSET([2]stages!$A$1,0,0,COUNTA([2]stages!$A:$A),MATCH(G$1,[2]stages!$2:$2,0)-MATCH("temp_stage",[2]stages!$2:$2,0)+1),MATCH(G$1,[2]stages!$2:$2,0)-MATCH("temp_stage",[2]stages!$2:$2,0)+1,FALSE)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12" s="88" t="str">
        <f ca="1">VLOOKUP($C12&amp;"_"&amp;$F12,OFFSET([2]stages!$A$1,0,0,COUNTA([2]stages!$A:$A),MATCH(H$1,[2]stages!$2:$2,0)-MATCH("temp_stage",[2]stages!$2:$2,0)+1),MATCH(H$1,[2]stages!$2:$2,0)-MATCH("temp_stage",[2]stages!$2:$2,0)+1,FALSE)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2" s="90">
        <v>5</v>
      </c>
      <c r="J12" s="95">
        <f t="shared" si="1"/>
        <v>11</v>
      </c>
      <c r="K12" s="91" t="str">
        <f t="shared" ref="K12:K13" si="8">C12&amp;TEXT(J12,"00")</f>
        <v>3002011</v>
      </c>
      <c r="L12" s="89" t="s">
        <v>127</v>
      </c>
      <c r="M12" s="92" t="s">
        <v>195</v>
      </c>
      <c r="N12" s="121" t="s">
        <v>315</v>
      </c>
      <c r="O12" s="57" t="s">
        <v>196</v>
      </c>
    </row>
    <row r="13" spans="1:15" ht="30" x14ac:dyDescent="0.15">
      <c r="A13" s="85" t="str">
        <f t="shared" si="7"/>
        <v>30020_2_12</v>
      </c>
      <c r="B13" s="86" t="s">
        <v>193</v>
      </c>
      <c r="C13" s="87">
        <f>floors!$C$2</f>
        <v>30020</v>
      </c>
      <c r="D13" s="88" t="str">
        <f ca="1">VLOOKUP($C13,OFFSET([2]quests!$A$1,0,0,COUNTA([2]quests!$A:$A),MATCH(D$1,[2]quests!$1:$1,0)-MATCH($C$1,[2]quests!$1:$1,0)+1),MATCH(D$1,[2]quests!$1:$1,0)-MATCH($C$1,[2]quests!$1:$1,0)+1,FALSE)</f>
        <v>若造よ、身の程を知れ</v>
      </c>
      <c r="E13" s="88" t="str">
        <f ca="1">VLOOKUP($C13,OFFSET([2]quests!$A$1,0,0,COUNTA([2]quests!$A:$A),MATCH(E$1,[2]quests!$1:$1,0)-MATCH($C$1,[2]quests!$1:$1,0)+1),MATCH(E$1,[2]quests!$1:$1,0)-MATCH($C$1,[2]quests!$1:$1,0)+1,FALSE)</f>
        <v>ドロップイベント5（マルチ専用）</v>
      </c>
      <c r="F13" s="89">
        <v>2</v>
      </c>
      <c r="G13" s="88" t="str">
        <f ca="1">VLOOKUP($C13&amp;"_"&amp;$F13,OFFSET([2]stages!$A$1,0,0,COUNTA([2]stages!$A:$A),MATCH(G$1,[2]stages!$2:$2,0)-MATCH("temp_stage",[2]stages!$2:$2,0)+1),MATCH(G$1,[2]stages!$2:$2,0)-MATCH("temp_stage",[2]stages!$2:$2,0)+1,FALSE)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13" s="88" t="str">
        <f ca="1">VLOOKUP($C13&amp;"_"&amp;$F13,OFFSET([2]stages!$A$1,0,0,COUNTA([2]stages!$A:$A),MATCH(H$1,[2]stages!$2:$2,0)-MATCH("temp_stage",[2]stages!$2:$2,0)+1),MATCH(H$1,[2]stages!$2:$2,0)-MATCH("temp_stage",[2]stages!$2:$2,0)+1,FALSE)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3" s="90">
        <v>5</v>
      </c>
      <c r="J13" s="95">
        <f t="shared" si="1"/>
        <v>12</v>
      </c>
      <c r="K13" s="91" t="str">
        <f t="shared" si="8"/>
        <v>3002012</v>
      </c>
      <c r="L13" s="89" t="s">
        <v>127</v>
      </c>
      <c r="M13" s="92" t="s">
        <v>195</v>
      </c>
      <c r="N13" s="121" t="s">
        <v>316</v>
      </c>
      <c r="O13" s="57" t="s">
        <v>196</v>
      </c>
    </row>
  </sheetData>
  <phoneticPr fontId="5"/>
  <dataValidations count="1">
    <dataValidation type="list" allowBlank="1" showInputMessage="1" showErrorMessage="1" sqref="B2:B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25"/>
  <sheetViews>
    <sheetView showGridLines="0" workbookViewId="0">
      <pane ySplit="1" topLeftCell="A3" activePane="bottomLeft" state="frozen"/>
      <selection pane="bottomLeft" activeCell="L19" sqref="L19"/>
    </sheetView>
  </sheetViews>
  <sheetFormatPr baseColWidth="12" defaultColWidth="13" defaultRowHeight="15" outlineLevelCol="1" x14ac:dyDescent="0.15"/>
  <cols>
    <col min="2" max="2" width="13" style="93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3" width="11.1640625" customWidth="1"/>
    <col min="14" max="14" width="42.6640625" customWidth="1"/>
  </cols>
  <sheetData>
    <row r="1" spans="1:15" x14ac:dyDescent="0.15">
      <c r="A1" s="78" t="s">
        <v>60</v>
      </c>
      <c r="B1" s="79" t="s">
        <v>184</v>
      </c>
      <c r="C1" s="72" t="s">
        <v>150</v>
      </c>
      <c r="D1" s="80" t="s">
        <v>186</v>
      </c>
      <c r="E1" s="80" t="s">
        <v>33</v>
      </c>
      <c r="F1" s="72" t="s">
        <v>151</v>
      </c>
      <c r="G1" s="80" t="s">
        <v>188</v>
      </c>
      <c r="H1" s="80" t="s">
        <v>33</v>
      </c>
      <c r="I1" s="72" t="s">
        <v>189</v>
      </c>
      <c r="J1" s="94" t="s">
        <v>190</v>
      </c>
      <c r="K1" s="81" t="s">
        <v>191</v>
      </c>
      <c r="L1" s="82" t="s">
        <v>126</v>
      </c>
      <c r="M1" s="82" t="s">
        <v>183</v>
      </c>
      <c r="N1" s="83" t="s">
        <v>181</v>
      </c>
      <c r="O1" s="84" t="s">
        <v>192</v>
      </c>
    </row>
    <row r="2" spans="1:15" x14ac:dyDescent="0.15">
      <c r="A2" s="85" t="str">
        <f t="shared" ref="A2:A25" si="0">C2&amp;"_"&amp;F2&amp;"_"&amp;J2</f>
        <v>30020_1_1</v>
      </c>
      <c r="B2" s="86" t="s">
        <v>297</v>
      </c>
      <c r="C2" s="87">
        <f>floors!$C$2</f>
        <v>30020</v>
      </c>
      <c r="D2" s="88" t="str">
        <f ca="1">VLOOKUP($C2,OFFSET([2]quests!$A$1,0,0,COUNTA([2]quests!$A:$A),MATCH(D$1,[2]quests!$1:$1,0)-MATCH($C$1,[2]quests!$1:$1,0)+1),MATCH(D$1,[2]quests!$1:$1,0)-MATCH($C$1,[2]quests!$1:$1,0)+1,FALSE)</f>
        <v>若造よ、身の程を知れ</v>
      </c>
      <c r="E2" s="88" t="str">
        <f ca="1">VLOOKUP($C2,OFFSET([2]quests!$A$1,0,0,COUNTA([2]quests!$A:$A),MATCH(E$1,[2]quests!$1:$1,0)-MATCH($C$1,[2]quests!$1:$1,0)+1),MATCH(E$1,[2]quests!$1:$1,0)-MATCH($C$1,[2]quests!$1:$1,0)+1,FALSE)</f>
        <v>ドロップイベント5（マルチ専用）</v>
      </c>
      <c r="F2" s="89">
        <v>1</v>
      </c>
      <c r="G2" s="88" t="str">
        <f ca="1">VLOOKUP($C2&amp;"_"&amp;$F2,OFFSET([2]stages!$A$1,0,0,COUNTA([2]stages!$A:$A),MATCH(G$1,[2]stages!$2:$2,0)-MATCH("temp_stage",[2]stages!$2:$2,0)+1),MATCH(G$1,[2]stages!$2:$2,0)-MATCH("temp_stage",[2]stages!$2:$2,0)+1,FALSE)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2" s="88" t="str">
        <f ca="1">VLOOKUP($C2&amp;"_"&amp;$F2,OFFSET([2]stages!$A$1,0,0,COUNTA([2]stages!$A:$A),MATCH(H$1,[2]stages!$2:$2,0)-MATCH("temp_stage",[2]stages!$2:$2,0)+1),MATCH(H$1,[2]stages!$2:$2,0)-MATCH("temp_stage",[2]stages!$2:$2,0)+1,FALSE)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2" s="90">
        <v>0</v>
      </c>
      <c r="J2" s="95">
        <f t="shared" ref="J2:J25" si="1">ROW()-1</f>
        <v>1</v>
      </c>
      <c r="K2">
        <v>12</v>
      </c>
      <c r="L2" s="89" t="s">
        <v>127</v>
      </c>
      <c r="M2" s="118" t="str">
        <f>VLOOKUP(K2,[7]stage_hints!$A:$C,3,FALSE)</f>
        <v>ユニットのお気に入り登録</v>
      </c>
      <c r="N2" s="119" t="str">
        <f>VLOOKUP(K2,[7]stage_hints!$A:$D,4,FALSE)</f>
        <v>大事なユニットを誤って消さないように_x000D_フォルダから「お気に入り登録」しましょう</v>
      </c>
      <c r="O2" s="57" t="s">
        <v>196</v>
      </c>
    </row>
    <row r="3" spans="1:15" x14ac:dyDescent="0.15">
      <c r="A3" s="85" t="str">
        <f t="shared" si="0"/>
        <v>30020_1_2</v>
      </c>
      <c r="B3" s="86" t="s">
        <v>297</v>
      </c>
      <c r="C3" s="87">
        <f>floors!$C$2</f>
        <v>30020</v>
      </c>
      <c r="D3" s="88" t="str">
        <f ca="1">VLOOKUP($C3,OFFSET([2]quests!$A$1,0,0,COUNTA([2]quests!$A:$A),MATCH(D$1,[2]quests!$1:$1,0)-MATCH($C$1,[2]quests!$1:$1,0)+1),MATCH(D$1,[2]quests!$1:$1,0)-MATCH($C$1,[2]quests!$1:$1,0)+1,FALSE)</f>
        <v>若造よ、身の程を知れ</v>
      </c>
      <c r="E3" s="88" t="str">
        <f ca="1">VLOOKUP($C3,OFFSET([2]quests!$A$1,0,0,COUNTA([2]quests!$A:$A),MATCH(E$1,[2]quests!$1:$1,0)-MATCH($C$1,[2]quests!$1:$1,0)+1),MATCH(E$1,[2]quests!$1:$1,0)-MATCH($C$1,[2]quests!$1:$1,0)+1,FALSE)</f>
        <v>ドロップイベント5（マルチ専用）</v>
      </c>
      <c r="F3" s="89">
        <v>1</v>
      </c>
      <c r="G3" s="88" t="str">
        <f ca="1">VLOOKUP($C3&amp;"_"&amp;$F3,OFFSET([2]stages!$A$1,0,0,COUNTA([2]stages!$A:$A),MATCH(G$1,[2]stages!$2:$2,0)-MATCH("temp_stage",[2]stages!$2:$2,0)+1),MATCH(G$1,[2]stages!$2:$2,0)-MATCH("temp_stage",[2]stages!$2:$2,0)+1,FALSE)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3" s="88" t="str">
        <f ca="1">VLOOKUP($C3&amp;"_"&amp;$F3,OFFSET([2]stages!$A$1,0,0,COUNTA([2]stages!$A:$A),MATCH(H$1,[2]stages!$2:$2,0)-MATCH("temp_stage",[2]stages!$2:$2,0)+1),MATCH(H$1,[2]stages!$2:$2,0)-MATCH("temp_stage",[2]stages!$2:$2,0)+1,FALSE)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3" s="90">
        <v>0</v>
      </c>
      <c r="J3" s="95">
        <f t="shared" si="1"/>
        <v>2</v>
      </c>
      <c r="K3">
        <v>17</v>
      </c>
      <c r="L3" s="89" t="s">
        <v>127</v>
      </c>
      <c r="M3" s="118" t="str">
        <f>VLOOKUP(K3,[7]stage_hints!$A:$C,3,FALSE)</f>
        <v>リンクガチャ</v>
      </c>
      <c r="N3" s="119" t="str">
        <f>VLOOKUP(K3,[7]stage_hints!$A:$D,4,FALSE)</f>
        <v>無料のリンクガチャを回して_x000D_経験値素材や売却素材を獲得しましょう</v>
      </c>
      <c r="O3" s="57" t="s">
        <v>196</v>
      </c>
    </row>
    <row r="4" spans="1:15" x14ac:dyDescent="0.15">
      <c r="A4" s="85" t="str">
        <f t="shared" si="0"/>
        <v>30020_1_3</v>
      </c>
      <c r="B4" s="86" t="s">
        <v>297</v>
      </c>
      <c r="C4" s="87">
        <f>floors!$C$2</f>
        <v>30020</v>
      </c>
      <c r="D4" s="88" t="str">
        <f ca="1">VLOOKUP($C4,OFFSET([2]quests!$A$1,0,0,COUNTA([2]quests!$A:$A),MATCH(D$1,[2]quests!$1:$1,0)-MATCH($C$1,[2]quests!$1:$1,0)+1),MATCH(D$1,[2]quests!$1:$1,0)-MATCH($C$1,[2]quests!$1:$1,0)+1,FALSE)</f>
        <v>若造よ、身の程を知れ</v>
      </c>
      <c r="E4" s="88" t="str">
        <f ca="1">VLOOKUP($C4,OFFSET([2]quests!$A$1,0,0,COUNTA([2]quests!$A:$A),MATCH(E$1,[2]quests!$1:$1,0)-MATCH($C$1,[2]quests!$1:$1,0)+1),MATCH(E$1,[2]quests!$1:$1,0)-MATCH($C$1,[2]quests!$1:$1,0)+1,FALSE)</f>
        <v>ドロップイベント5（マルチ専用）</v>
      </c>
      <c r="F4" s="89">
        <v>1</v>
      </c>
      <c r="G4" s="88" t="str">
        <f ca="1">VLOOKUP($C4&amp;"_"&amp;$F4,OFFSET([2]stages!$A$1,0,0,COUNTA([2]stages!$A:$A),MATCH(G$1,[2]stages!$2:$2,0)-MATCH("temp_stage",[2]stages!$2:$2,0)+1),MATCH(G$1,[2]stages!$2:$2,0)-MATCH("temp_stage",[2]stages!$2:$2,0)+1,FALSE)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4" s="88" t="str">
        <f ca="1">VLOOKUP($C4&amp;"_"&amp;$F4,OFFSET([2]stages!$A$1,0,0,COUNTA([2]stages!$A:$A),MATCH(H$1,[2]stages!$2:$2,0)-MATCH("temp_stage",[2]stages!$2:$2,0)+1),MATCH(H$1,[2]stages!$2:$2,0)-MATCH("temp_stage",[2]stages!$2:$2,0)+1,FALSE)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4" s="90">
        <v>0</v>
      </c>
      <c r="J4" s="95">
        <f t="shared" si="1"/>
        <v>3</v>
      </c>
      <c r="K4">
        <v>19</v>
      </c>
      <c r="L4" s="89" t="s">
        <v>127</v>
      </c>
      <c r="M4" s="118" t="str">
        <f>VLOOKUP(K4,[7]stage_hints!$A:$C,3,FALSE)</f>
        <v>ソロ専用タワーオブザクイーン</v>
      </c>
      <c r="N4" s="119" t="str">
        <f>VLOOKUP(K4,[7]stage_hints!$A:$D,4,FALSE)</f>
        <v>ソロ専用の「タワーオブザクイーン」は_x000D_期間限定で定期的に開催されます_x000D_ここでしか獲得できない報酬もあるようです</v>
      </c>
      <c r="O4" s="57" t="s">
        <v>196</v>
      </c>
    </row>
    <row r="5" spans="1:15" x14ac:dyDescent="0.15">
      <c r="A5" s="85" t="str">
        <f t="shared" si="0"/>
        <v>30020_1_4</v>
      </c>
      <c r="B5" s="86" t="s">
        <v>297</v>
      </c>
      <c r="C5" s="87">
        <f>floors!$C$2</f>
        <v>30020</v>
      </c>
      <c r="D5" s="88" t="str">
        <f ca="1">VLOOKUP($C5,OFFSET([2]quests!$A$1,0,0,COUNTA([2]quests!$A:$A),MATCH(D$1,[2]quests!$1:$1,0)-MATCH($C$1,[2]quests!$1:$1,0)+1),MATCH(D$1,[2]quests!$1:$1,0)-MATCH($C$1,[2]quests!$1:$1,0)+1,FALSE)</f>
        <v>若造よ、身の程を知れ</v>
      </c>
      <c r="E5" s="88" t="str">
        <f ca="1">VLOOKUP($C5,OFFSET([2]quests!$A$1,0,0,COUNTA([2]quests!$A:$A),MATCH(E$1,[2]quests!$1:$1,0)-MATCH($C$1,[2]quests!$1:$1,0)+1),MATCH(E$1,[2]quests!$1:$1,0)-MATCH($C$1,[2]quests!$1:$1,0)+1,FALSE)</f>
        <v>ドロップイベント5（マルチ専用）</v>
      </c>
      <c r="F5" s="89">
        <v>1</v>
      </c>
      <c r="G5" s="88" t="str">
        <f ca="1">VLOOKUP($C5&amp;"_"&amp;$F5,OFFSET([2]stages!$A$1,0,0,COUNTA([2]stages!$A:$A),MATCH(G$1,[2]stages!$2:$2,0)-MATCH("temp_stage",[2]stages!$2:$2,0)+1),MATCH(G$1,[2]stages!$2:$2,0)-MATCH("temp_stage",[2]stages!$2:$2,0)+1,FALSE)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5" s="88" t="str">
        <f ca="1">VLOOKUP($C5&amp;"_"&amp;$F5,OFFSET([2]stages!$A$1,0,0,COUNTA([2]stages!$A:$A),MATCH(H$1,[2]stages!$2:$2,0)-MATCH("temp_stage",[2]stages!$2:$2,0)+1),MATCH(H$1,[2]stages!$2:$2,0)-MATCH("temp_stage",[2]stages!$2:$2,0)+1,FALSE)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5" s="90">
        <v>0</v>
      </c>
      <c r="J5" s="95">
        <f t="shared" si="1"/>
        <v>4</v>
      </c>
      <c r="K5">
        <v>21</v>
      </c>
      <c r="L5" s="89" t="s">
        <v>127</v>
      </c>
      <c r="M5" s="118" t="str">
        <f>VLOOKUP(K5,[7]stage_hints!$A:$C,3,FALSE)</f>
        <v>スキルを有効に</v>
      </c>
      <c r="N5" s="119" t="str">
        <f>VLOOKUP(K5,[7]stage_hints!$A:$D,4,FALSE)</f>
        <v>ターン経過でユニットのスキルが使えます_x000D_強力スキルでバトルを有利に進めましょう</v>
      </c>
      <c r="O5" s="57" t="s">
        <v>196</v>
      </c>
    </row>
    <row r="6" spans="1:15" x14ac:dyDescent="0.15">
      <c r="A6" s="85" t="str">
        <f t="shared" si="0"/>
        <v>30020_1_5</v>
      </c>
      <c r="B6" s="86" t="s">
        <v>297</v>
      </c>
      <c r="C6" s="87">
        <f>floors!$C$2</f>
        <v>30020</v>
      </c>
      <c r="D6" s="88" t="str">
        <f ca="1">VLOOKUP($C6,OFFSET([2]quests!$A$1,0,0,COUNTA([2]quests!$A:$A),MATCH(D$1,[2]quests!$1:$1,0)-MATCH($C$1,[2]quests!$1:$1,0)+1),MATCH(D$1,[2]quests!$1:$1,0)-MATCH($C$1,[2]quests!$1:$1,0)+1,FALSE)</f>
        <v>若造よ、身の程を知れ</v>
      </c>
      <c r="E6" s="88" t="str">
        <f ca="1">VLOOKUP($C6,OFFSET([2]quests!$A$1,0,0,COUNTA([2]quests!$A:$A),MATCH(E$1,[2]quests!$1:$1,0)-MATCH($C$1,[2]quests!$1:$1,0)+1),MATCH(E$1,[2]quests!$1:$1,0)-MATCH($C$1,[2]quests!$1:$1,0)+1,FALSE)</f>
        <v>ドロップイベント5（マルチ専用）</v>
      </c>
      <c r="F6" s="89">
        <v>1</v>
      </c>
      <c r="G6" s="88" t="str">
        <f ca="1">VLOOKUP($C6&amp;"_"&amp;$F6,OFFSET([2]stages!$A$1,0,0,COUNTA([2]stages!$A:$A),MATCH(G$1,[2]stages!$2:$2,0)-MATCH("temp_stage",[2]stages!$2:$2,0)+1),MATCH(G$1,[2]stages!$2:$2,0)-MATCH("temp_stage",[2]stages!$2:$2,0)+1,FALSE)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6" s="88" t="str">
        <f ca="1">VLOOKUP($C6&amp;"_"&amp;$F6,OFFSET([2]stages!$A$1,0,0,COUNTA([2]stages!$A:$A),MATCH(H$1,[2]stages!$2:$2,0)-MATCH("temp_stage",[2]stages!$2:$2,0)+1),MATCH(H$1,[2]stages!$2:$2,0)-MATCH("temp_stage",[2]stages!$2:$2,0)+1,FALSE)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6" s="90">
        <v>0</v>
      </c>
      <c r="J6" s="95">
        <f t="shared" si="1"/>
        <v>5</v>
      </c>
      <c r="K6">
        <v>29</v>
      </c>
      <c r="L6" s="89" t="s">
        <v>127</v>
      </c>
      <c r="M6" s="118" t="str">
        <f>VLOOKUP(K6,[7]stage_hints!$A:$C,3,FALSE)</f>
        <v>「バグ」のメリット</v>
      </c>
      <c r="N6" s="119" t="str">
        <f>VLOOKUP(K6,[7]stage_hints!$A:$D,4,FALSE)</f>
        <v>ユニットの「バグ」を増やすと_x000D_報酬をもらえる確率がアップします</v>
      </c>
      <c r="O6" s="57" t="s">
        <v>196</v>
      </c>
    </row>
    <row r="7" spans="1:15" x14ac:dyDescent="0.15">
      <c r="A7" s="85" t="str">
        <f t="shared" si="0"/>
        <v>30020_1_6</v>
      </c>
      <c r="B7" s="86" t="s">
        <v>297</v>
      </c>
      <c r="C7" s="87">
        <f>floors!$C$2</f>
        <v>30020</v>
      </c>
      <c r="D7" s="88" t="str">
        <f ca="1">VLOOKUP($C7,OFFSET([2]quests!$A$1,0,0,COUNTA([2]quests!$A:$A),MATCH(D$1,[2]quests!$1:$1,0)-MATCH($C$1,[2]quests!$1:$1,0)+1),MATCH(D$1,[2]quests!$1:$1,0)-MATCH($C$1,[2]quests!$1:$1,0)+1,FALSE)</f>
        <v>若造よ、身の程を知れ</v>
      </c>
      <c r="E7" s="88" t="str">
        <f ca="1">VLOOKUP($C7,OFFSET([2]quests!$A$1,0,0,COUNTA([2]quests!$A:$A),MATCH(E$1,[2]quests!$1:$1,0)-MATCH($C$1,[2]quests!$1:$1,0)+1),MATCH(E$1,[2]quests!$1:$1,0)-MATCH($C$1,[2]quests!$1:$1,0)+1,FALSE)</f>
        <v>ドロップイベント5（マルチ専用）</v>
      </c>
      <c r="F7" s="89">
        <v>1</v>
      </c>
      <c r="G7" s="88" t="str">
        <f ca="1">VLOOKUP($C7&amp;"_"&amp;$F7,OFFSET([2]stages!$A$1,0,0,COUNTA([2]stages!$A:$A),MATCH(G$1,[2]stages!$2:$2,0)-MATCH("temp_stage",[2]stages!$2:$2,0)+1),MATCH(G$1,[2]stages!$2:$2,0)-MATCH("temp_stage",[2]stages!$2:$2,0)+1,FALSE)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7" s="88" t="str">
        <f ca="1">VLOOKUP($C7&amp;"_"&amp;$F7,OFFSET([2]stages!$A$1,0,0,COUNTA([2]stages!$A:$A),MATCH(H$1,[2]stages!$2:$2,0)-MATCH("temp_stage",[2]stages!$2:$2,0)+1),MATCH(H$1,[2]stages!$2:$2,0)-MATCH("temp_stage",[2]stages!$2:$2,0)+1,FALSE)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7" s="90">
        <v>0</v>
      </c>
      <c r="J7" s="95">
        <f t="shared" si="1"/>
        <v>6</v>
      </c>
      <c r="K7">
        <v>30</v>
      </c>
      <c r="L7" s="89" t="s">
        <v>127</v>
      </c>
      <c r="M7" s="118" t="str">
        <f>VLOOKUP(K7,[7]stage_hints!$A:$C,3,FALSE)</f>
        <v>「バグ」の増やし方</v>
      </c>
      <c r="N7" s="119" t="str">
        <f>VLOOKUP(K7,[7]stage_hints!$A:$D,4,FALSE)</f>
        <v>同じユニット同士を強化で合成すると_x000D_「バグ」を増やすことができます</v>
      </c>
      <c r="O7" s="57" t="s">
        <v>196</v>
      </c>
    </row>
    <row r="8" spans="1:15" x14ac:dyDescent="0.15">
      <c r="A8" s="85" t="str">
        <f t="shared" si="0"/>
        <v>30020_1_7</v>
      </c>
      <c r="B8" s="86" t="s">
        <v>297</v>
      </c>
      <c r="C8" s="87">
        <f>floors!$C$2</f>
        <v>30020</v>
      </c>
      <c r="D8" s="88" t="str">
        <f ca="1">VLOOKUP($C8,OFFSET([2]quests!$A$1,0,0,COUNTA([2]quests!$A:$A),MATCH(D$1,[2]quests!$1:$1,0)-MATCH($C$1,[2]quests!$1:$1,0)+1),MATCH(D$1,[2]quests!$1:$1,0)-MATCH($C$1,[2]quests!$1:$1,0)+1,FALSE)</f>
        <v>若造よ、身の程を知れ</v>
      </c>
      <c r="E8" s="88" t="str">
        <f ca="1">VLOOKUP($C8,OFFSET([2]quests!$A$1,0,0,COUNTA([2]quests!$A:$A),MATCH(E$1,[2]quests!$1:$1,0)-MATCH($C$1,[2]quests!$1:$1,0)+1),MATCH(E$1,[2]quests!$1:$1,0)-MATCH($C$1,[2]quests!$1:$1,0)+1,FALSE)</f>
        <v>ドロップイベント5（マルチ専用）</v>
      </c>
      <c r="F8" s="89">
        <v>1</v>
      </c>
      <c r="G8" s="88" t="str">
        <f ca="1">VLOOKUP($C8&amp;"_"&amp;$F8,OFFSET([2]stages!$A$1,0,0,COUNTA([2]stages!$A:$A),MATCH(G$1,[2]stages!$2:$2,0)-MATCH("temp_stage",[2]stages!$2:$2,0)+1),MATCH(G$1,[2]stages!$2:$2,0)-MATCH("temp_stage",[2]stages!$2:$2,0)+1,FALSE)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8" s="88" t="str">
        <f ca="1">VLOOKUP($C8&amp;"_"&amp;$F8,OFFSET([2]stages!$A$1,0,0,COUNTA([2]stages!$A:$A),MATCH(H$1,[2]stages!$2:$2,0)-MATCH("temp_stage",[2]stages!$2:$2,0)+1),MATCH(H$1,[2]stages!$2:$2,0)-MATCH("temp_stage",[2]stages!$2:$2,0)+1,FALSE)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8" s="90">
        <v>0</v>
      </c>
      <c r="J8" s="95">
        <f t="shared" si="1"/>
        <v>7</v>
      </c>
      <c r="K8">
        <v>32</v>
      </c>
      <c r="L8" s="89" t="s">
        <v>127</v>
      </c>
      <c r="M8" s="118" t="str">
        <f>VLOOKUP(K8,[7]stage_hints!$A:$C,3,FALSE)</f>
        <v>敵の連続攻撃には</v>
      </c>
      <c r="N8" s="119" t="str">
        <f>VLOOKUP(K8,[7]stage_hints!$A:$D,4,FALSE)</f>
        <v>カウンタースキルを持つユニットがいれば_x000D_ダメージ回数分の反撃ができます</v>
      </c>
      <c r="O8" s="57" t="s">
        <v>196</v>
      </c>
    </row>
    <row r="9" spans="1:15" x14ac:dyDescent="0.15">
      <c r="A9" s="85" t="str">
        <f t="shared" si="0"/>
        <v>30020_1_8</v>
      </c>
      <c r="B9" s="86" t="s">
        <v>297</v>
      </c>
      <c r="C9" s="87">
        <f>floors!$C$2</f>
        <v>30020</v>
      </c>
      <c r="D9" s="88" t="str">
        <f ca="1">VLOOKUP($C9,OFFSET([2]quests!$A$1,0,0,COUNTA([2]quests!$A:$A),MATCH(D$1,[2]quests!$1:$1,0)-MATCH($C$1,[2]quests!$1:$1,0)+1),MATCH(D$1,[2]quests!$1:$1,0)-MATCH($C$1,[2]quests!$1:$1,0)+1,FALSE)</f>
        <v>若造よ、身の程を知れ</v>
      </c>
      <c r="E9" s="88" t="str">
        <f ca="1">VLOOKUP($C9,OFFSET([2]quests!$A$1,0,0,COUNTA([2]quests!$A:$A),MATCH(E$1,[2]quests!$1:$1,0)-MATCH($C$1,[2]quests!$1:$1,0)+1),MATCH(E$1,[2]quests!$1:$1,0)-MATCH($C$1,[2]quests!$1:$1,0)+1,FALSE)</f>
        <v>ドロップイベント5（マルチ専用）</v>
      </c>
      <c r="F9" s="89">
        <v>1</v>
      </c>
      <c r="G9" s="88" t="str">
        <f ca="1">VLOOKUP($C9&amp;"_"&amp;$F9,OFFSET([2]stages!$A$1,0,0,COUNTA([2]stages!$A:$A),MATCH(G$1,[2]stages!$2:$2,0)-MATCH("temp_stage",[2]stages!$2:$2,0)+1),MATCH(G$1,[2]stages!$2:$2,0)-MATCH("temp_stage",[2]stages!$2:$2,0)+1,FALSE)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9" s="88" t="str">
        <f ca="1">VLOOKUP($C9&amp;"_"&amp;$F9,OFFSET([2]stages!$A$1,0,0,COUNTA([2]stages!$A:$A),MATCH(H$1,[2]stages!$2:$2,0)-MATCH("temp_stage",[2]stages!$2:$2,0)+1),MATCH(H$1,[2]stages!$2:$2,0)-MATCH("temp_stage",[2]stages!$2:$2,0)+1,FALSE)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9" s="90">
        <v>0</v>
      </c>
      <c r="J9" s="95">
        <f t="shared" si="1"/>
        <v>8</v>
      </c>
      <c r="K9">
        <v>33</v>
      </c>
      <c r="L9" s="89" t="s">
        <v>127</v>
      </c>
      <c r="M9" s="118" t="str">
        <f>VLOOKUP(K9,[7]stage_hints!$A:$C,3,FALSE)</f>
        <v>敵のカウンター攻撃には</v>
      </c>
      <c r="N9" s="119" t="str">
        <f>VLOOKUP(K9,[7]stage_hints!$A:$D,4,FALSE)</f>
        <v>カウンターブレイクスキルを持っていれば_x000D_敵のカウンターを解除して攻撃ができます</v>
      </c>
      <c r="O9" s="57" t="s">
        <v>196</v>
      </c>
    </row>
    <row r="10" spans="1:15" x14ac:dyDescent="0.15">
      <c r="A10" s="85" t="str">
        <f t="shared" si="0"/>
        <v>30020_1_9</v>
      </c>
      <c r="B10" s="86" t="s">
        <v>297</v>
      </c>
      <c r="C10" s="87">
        <f>floors!$C$2</f>
        <v>30020</v>
      </c>
      <c r="D10" s="88" t="str">
        <f ca="1">VLOOKUP($C10,OFFSET([2]quests!$A$1,0,0,COUNTA([2]quests!$A:$A),MATCH(D$1,[2]quests!$1:$1,0)-MATCH($C$1,[2]quests!$1:$1,0)+1),MATCH(D$1,[2]quests!$1:$1,0)-MATCH($C$1,[2]quests!$1:$1,0)+1,FALSE)</f>
        <v>若造よ、身の程を知れ</v>
      </c>
      <c r="E10" s="88" t="str">
        <f ca="1">VLOOKUP($C10,OFFSET([2]quests!$A$1,0,0,COUNTA([2]quests!$A:$A),MATCH(E$1,[2]quests!$1:$1,0)-MATCH($C$1,[2]quests!$1:$1,0)+1),MATCH(E$1,[2]quests!$1:$1,0)-MATCH($C$1,[2]quests!$1:$1,0)+1,FALSE)</f>
        <v>ドロップイベント5（マルチ専用）</v>
      </c>
      <c r="F10" s="89">
        <v>1</v>
      </c>
      <c r="G10" s="88" t="str">
        <f ca="1">VLOOKUP($C10&amp;"_"&amp;$F10,OFFSET([2]stages!$A$1,0,0,COUNTA([2]stages!$A:$A),MATCH(G$1,[2]stages!$2:$2,0)-MATCH("temp_stage",[2]stages!$2:$2,0)+1),MATCH(G$1,[2]stages!$2:$2,0)-MATCH("temp_stage",[2]stages!$2:$2,0)+1,FALSE)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10" s="88" t="str">
        <f ca="1">VLOOKUP($C10&amp;"_"&amp;$F10,OFFSET([2]stages!$A$1,0,0,COUNTA([2]stages!$A:$A),MATCH(H$1,[2]stages!$2:$2,0)-MATCH("temp_stage",[2]stages!$2:$2,0)+1),MATCH(H$1,[2]stages!$2:$2,0)-MATCH("temp_stage",[2]stages!$2:$2,0)+1,FALSE)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0" s="90">
        <v>0</v>
      </c>
      <c r="J10" s="95">
        <f t="shared" si="1"/>
        <v>9</v>
      </c>
      <c r="K10">
        <v>34</v>
      </c>
      <c r="L10" s="89" t="s">
        <v>127</v>
      </c>
      <c r="M10" s="118" t="str">
        <f>VLOOKUP(K10,[7]stage_hints!$A:$C,3,FALSE)</f>
        <v>ステータスをスキルで下げられたら</v>
      </c>
      <c r="N10" s="119" t="str">
        <f>VLOOKUP(K10,[7]stage_hints!$A:$D,4,FALSE)</f>
        <v>ステータスダウンのスキルを受けたら_x000D_ステータスアップスキルで上書きしましょう</v>
      </c>
      <c r="O10" s="57" t="s">
        <v>196</v>
      </c>
    </row>
    <row r="11" spans="1:15" x14ac:dyDescent="0.15">
      <c r="A11" s="85" t="str">
        <f t="shared" si="0"/>
        <v>30020_1_10</v>
      </c>
      <c r="B11" s="86" t="s">
        <v>297</v>
      </c>
      <c r="C11" s="87">
        <f>floors!$C$2</f>
        <v>30020</v>
      </c>
      <c r="D11" s="88" t="str">
        <f ca="1">VLOOKUP($C11,OFFSET([2]quests!$A$1,0,0,COUNTA([2]quests!$A:$A),MATCH(D$1,[2]quests!$1:$1,0)-MATCH($C$1,[2]quests!$1:$1,0)+1),MATCH(D$1,[2]quests!$1:$1,0)-MATCH($C$1,[2]quests!$1:$1,0)+1,FALSE)</f>
        <v>若造よ、身の程を知れ</v>
      </c>
      <c r="E11" s="88" t="str">
        <f ca="1">VLOOKUP($C11,OFFSET([2]quests!$A$1,0,0,COUNTA([2]quests!$A:$A),MATCH(E$1,[2]quests!$1:$1,0)-MATCH($C$1,[2]quests!$1:$1,0)+1),MATCH(E$1,[2]quests!$1:$1,0)-MATCH($C$1,[2]quests!$1:$1,0)+1,FALSE)</f>
        <v>ドロップイベント5（マルチ専用）</v>
      </c>
      <c r="F11" s="89">
        <v>1</v>
      </c>
      <c r="G11" s="88" t="str">
        <f ca="1">VLOOKUP($C11&amp;"_"&amp;$F11,OFFSET([2]stages!$A$1,0,0,COUNTA([2]stages!$A:$A),MATCH(G$1,[2]stages!$2:$2,0)-MATCH("temp_stage",[2]stages!$2:$2,0)+1),MATCH(G$1,[2]stages!$2:$2,0)-MATCH("temp_stage",[2]stages!$2:$2,0)+1,FALSE)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11" s="88" t="str">
        <f ca="1">VLOOKUP($C11&amp;"_"&amp;$F11,OFFSET([2]stages!$A$1,0,0,COUNTA([2]stages!$A:$A),MATCH(H$1,[2]stages!$2:$2,0)-MATCH("temp_stage",[2]stages!$2:$2,0)+1),MATCH(H$1,[2]stages!$2:$2,0)-MATCH("temp_stage",[2]stages!$2:$2,0)+1,FALSE)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1" s="90">
        <v>0</v>
      </c>
      <c r="J11" s="95">
        <f t="shared" si="1"/>
        <v>10</v>
      </c>
      <c r="K11">
        <v>35</v>
      </c>
      <c r="L11" s="89" t="s">
        <v>127</v>
      </c>
      <c r="M11" s="118" t="str">
        <f>VLOOKUP(K11,[7]stage_hints!$A:$C,3,FALSE)</f>
        <v>敵のステータスがスキルで上がったら</v>
      </c>
      <c r="N11" s="119" t="str">
        <f>VLOOKUP(K11,[7]stage_hints!$A:$D,4,FALSE)</f>
        <v>敵のステータスがスキルでアップしたときは_x000D_ステータスダウンスキルで上書きしましょう</v>
      </c>
      <c r="O11" s="57" t="s">
        <v>196</v>
      </c>
    </row>
    <row r="12" spans="1:15" x14ac:dyDescent="0.15">
      <c r="A12" s="85" t="str">
        <f t="shared" si="0"/>
        <v>30020_1_11</v>
      </c>
      <c r="B12" s="86" t="s">
        <v>297</v>
      </c>
      <c r="C12" s="87">
        <f>floors!$C$2</f>
        <v>30020</v>
      </c>
      <c r="D12" s="88" t="str">
        <f ca="1">VLOOKUP($C12,OFFSET([2]quests!$A$1,0,0,COUNTA([2]quests!$A:$A),MATCH(D$1,[2]quests!$1:$1,0)-MATCH($C$1,[2]quests!$1:$1,0)+1),MATCH(D$1,[2]quests!$1:$1,0)-MATCH($C$1,[2]quests!$1:$1,0)+1,FALSE)</f>
        <v>若造よ、身の程を知れ</v>
      </c>
      <c r="E12" s="88" t="str">
        <f ca="1">VLOOKUP($C12,OFFSET([2]quests!$A$1,0,0,COUNTA([2]quests!$A:$A),MATCH(E$1,[2]quests!$1:$1,0)-MATCH($C$1,[2]quests!$1:$1,0)+1),MATCH(E$1,[2]quests!$1:$1,0)-MATCH($C$1,[2]quests!$1:$1,0)+1,FALSE)</f>
        <v>ドロップイベント5（マルチ専用）</v>
      </c>
      <c r="F12" s="89">
        <v>1</v>
      </c>
      <c r="G12" s="88" t="str">
        <f ca="1">VLOOKUP($C12&amp;"_"&amp;$F12,OFFSET([2]stages!$A$1,0,0,COUNTA([2]stages!$A:$A),MATCH(G$1,[2]stages!$2:$2,0)-MATCH("temp_stage",[2]stages!$2:$2,0)+1),MATCH(G$1,[2]stages!$2:$2,0)-MATCH("temp_stage",[2]stages!$2:$2,0)+1,FALSE)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12" s="88" t="str">
        <f ca="1">VLOOKUP($C12&amp;"_"&amp;$F12,OFFSET([2]stages!$A$1,0,0,COUNTA([2]stages!$A:$A),MATCH(H$1,[2]stages!$2:$2,0)-MATCH("temp_stage",[2]stages!$2:$2,0)+1),MATCH(H$1,[2]stages!$2:$2,0)-MATCH("temp_stage",[2]stages!$2:$2,0)+1,FALSE)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2" s="90">
        <v>0</v>
      </c>
      <c r="J12" s="95">
        <f t="shared" si="1"/>
        <v>11</v>
      </c>
      <c r="K12">
        <v>36</v>
      </c>
      <c r="L12" s="89" t="s">
        <v>127</v>
      </c>
      <c r="M12" s="118" t="str">
        <f>VLOOKUP(K12,[7]stage_hints!$A:$C,3,FALSE)</f>
        <v>タワーオブザクイーンのボス</v>
      </c>
      <c r="N12" s="119" t="str">
        <f>VLOOKUP(K12,[7]stage_hints!$A:$D,4,FALSE)</f>
        <v>「タワーオブザクイーン」最上階のボスは_x000D_15階の初回クリア報酬で獲得できるほか_x000D_その階にて低確率でドロップもします</v>
      </c>
      <c r="O12" s="57" t="s">
        <v>196</v>
      </c>
    </row>
    <row r="13" spans="1:15" x14ac:dyDescent="0.15">
      <c r="A13" s="85" t="str">
        <f t="shared" si="0"/>
        <v>30020_1_12</v>
      </c>
      <c r="B13" s="86" t="s">
        <v>297</v>
      </c>
      <c r="C13" s="87">
        <f>floors!$C$2</f>
        <v>30020</v>
      </c>
      <c r="D13" s="88" t="str">
        <f ca="1">VLOOKUP($C13,OFFSET([2]quests!$A$1,0,0,COUNTA([2]quests!$A:$A),MATCH(D$1,[2]quests!$1:$1,0)-MATCH($C$1,[2]quests!$1:$1,0)+1),MATCH(D$1,[2]quests!$1:$1,0)-MATCH($C$1,[2]quests!$1:$1,0)+1,FALSE)</f>
        <v>若造よ、身の程を知れ</v>
      </c>
      <c r="E13" s="88" t="str">
        <f ca="1">VLOOKUP($C13,OFFSET([2]quests!$A$1,0,0,COUNTA([2]quests!$A:$A),MATCH(E$1,[2]quests!$1:$1,0)-MATCH($C$1,[2]quests!$1:$1,0)+1),MATCH(E$1,[2]quests!$1:$1,0)-MATCH($C$1,[2]quests!$1:$1,0)+1,FALSE)</f>
        <v>ドロップイベント5（マルチ専用）</v>
      </c>
      <c r="F13" s="89">
        <v>1</v>
      </c>
      <c r="G13" s="88" t="str">
        <f ca="1">VLOOKUP($C13&amp;"_"&amp;$F13,OFFSET([2]stages!$A$1,0,0,COUNTA([2]stages!$A:$A),MATCH(G$1,[2]stages!$2:$2,0)-MATCH("temp_stage",[2]stages!$2:$2,0)+1),MATCH(G$1,[2]stages!$2:$2,0)-MATCH("temp_stage",[2]stages!$2:$2,0)+1,FALSE)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13" s="88" t="str">
        <f ca="1">VLOOKUP($C13&amp;"_"&amp;$F13,OFFSET([2]stages!$A$1,0,0,COUNTA([2]stages!$A:$A),MATCH(H$1,[2]stages!$2:$2,0)-MATCH("temp_stage",[2]stages!$2:$2,0)+1),MATCH(H$1,[2]stages!$2:$2,0)-MATCH("temp_stage",[2]stages!$2:$2,0)+1,FALSE)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3" s="90">
        <v>0</v>
      </c>
      <c r="J13" s="95">
        <f t="shared" si="1"/>
        <v>12</v>
      </c>
      <c r="K13">
        <v>37</v>
      </c>
      <c r="L13" s="89" t="s">
        <v>127</v>
      </c>
      <c r="M13" s="118" t="str">
        <f>VLOOKUP(K13,[7]stage_hints!$A:$C,3,FALSE)</f>
        <v>限界突破値の引き継ぎ</v>
      </c>
      <c r="N13" s="119" t="str">
        <f>VLOOKUP(K13,[7]stage_hints!$A:$D,4,FALSE)</f>
        <v>同じユニットを強化で合成すると_x000D_限界突破値を引き継げます（覚醒前後も可）</v>
      </c>
      <c r="O13" s="57" t="s">
        <v>196</v>
      </c>
    </row>
    <row r="14" spans="1:15" x14ac:dyDescent="0.15">
      <c r="A14" s="85" t="str">
        <f t="shared" si="0"/>
        <v>30020_2_13</v>
      </c>
      <c r="B14" s="86" t="s">
        <v>297</v>
      </c>
      <c r="C14" s="87">
        <f>floors!$C$2</f>
        <v>30020</v>
      </c>
      <c r="D14" s="88" t="str">
        <f ca="1">VLOOKUP($C14,OFFSET([2]quests!$A$1,0,0,COUNTA([2]quests!$A:$A),MATCH(D$1,[2]quests!$1:$1,0)-MATCH($C$1,[2]quests!$1:$1,0)+1),MATCH(D$1,[2]quests!$1:$1,0)-MATCH($C$1,[2]quests!$1:$1,0)+1,FALSE)</f>
        <v>若造よ、身の程を知れ</v>
      </c>
      <c r="E14" s="88" t="str">
        <f ca="1">VLOOKUP($C14,OFFSET([2]quests!$A$1,0,0,COUNTA([2]quests!$A:$A),MATCH(E$1,[2]quests!$1:$1,0)-MATCH($C$1,[2]quests!$1:$1,0)+1),MATCH(E$1,[2]quests!$1:$1,0)-MATCH($C$1,[2]quests!$1:$1,0)+1,FALSE)</f>
        <v>ドロップイベント5（マルチ専用）</v>
      </c>
      <c r="F14" s="89">
        <v>2</v>
      </c>
      <c r="G14" s="88" t="str">
        <f ca="1">VLOOKUP($C14&amp;"_"&amp;$F14,OFFSET([2]stages!$A$1,0,0,COUNTA([2]stages!$A:$A),MATCH(G$1,[2]stages!$2:$2,0)-MATCH("temp_stage",[2]stages!$2:$2,0)+1),MATCH(G$1,[2]stages!$2:$2,0)-MATCH("temp_stage",[2]stages!$2:$2,0)+1,FALSE)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14" s="88" t="str">
        <f ca="1">VLOOKUP($C14&amp;"_"&amp;$F14,OFFSET([2]stages!$A$1,0,0,COUNTA([2]stages!$A:$A),MATCH(H$1,[2]stages!$2:$2,0)-MATCH("temp_stage",[2]stages!$2:$2,0)+1),MATCH(H$1,[2]stages!$2:$2,0)-MATCH("temp_stage",[2]stages!$2:$2,0)+1,FALSE)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4" s="90">
        <v>0</v>
      </c>
      <c r="J14" s="95">
        <f t="shared" si="1"/>
        <v>13</v>
      </c>
      <c r="K14">
        <v>12</v>
      </c>
      <c r="L14" s="89" t="s">
        <v>127</v>
      </c>
      <c r="M14" s="118" t="str">
        <f>VLOOKUP(K14,[7]stage_hints!$A:$C,3,FALSE)</f>
        <v>ユニットのお気に入り登録</v>
      </c>
      <c r="N14" s="119" t="str">
        <f>VLOOKUP(K14,[7]stage_hints!$A:$D,4,FALSE)</f>
        <v>大事なユニットを誤って消さないように_x000D_フォルダから「お気に入り登録」しましょう</v>
      </c>
      <c r="O14" s="57" t="s">
        <v>196</v>
      </c>
    </row>
    <row r="15" spans="1:15" x14ac:dyDescent="0.15">
      <c r="A15" s="85" t="str">
        <f t="shared" si="0"/>
        <v>30020_2_14</v>
      </c>
      <c r="B15" s="86" t="s">
        <v>297</v>
      </c>
      <c r="C15" s="87">
        <f>floors!$C$2</f>
        <v>30020</v>
      </c>
      <c r="D15" s="88" t="str">
        <f ca="1">VLOOKUP($C15,OFFSET([2]quests!$A$1,0,0,COUNTA([2]quests!$A:$A),MATCH(D$1,[2]quests!$1:$1,0)-MATCH($C$1,[2]quests!$1:$1,0)+1),MATCH(D$1,[2]quests!$1:$1,0)-MATCH($C$1,[2]quests!$1:$1,0)+1,FALSE)</f>
        <v>若造よ、身の程を知れ</v>
      </c>
      <c r="E15" s="88" t="str">
        <f ca="1">VLOOKUP($C15,OFFSET([2]quests!$A$1,0,0,COUNTA([2]quests!$A:$A),MATCH(E$1,[2]quests!$1:$1,0)-MATCH($C$1,[2]quests!$1:$1,0)+1),MATCH(E$1,[2]quests!$1:$1,0)-MATCH($C$1,[2]quests!$1:$1,0)+1,FALSE)</f>
        <v>ドロップイベント5（マルチ専用）</v>
      </c>
      <c r="F15" s="89">
        <v>2</v>
      </c>
      <c r="G15" s="88" t="str">
        <f ca="1">VLOOKUP($C15&amp;"_"&amp;$F15,OFFSET([2]stages!$A$1,0,0,COUNTA([2]stages!$A:$A),MATCH(G$1,[2]stages!$2:$2,0)-MATCH("temp_stage",[2]stages!$2:$2,0)+1),MATCH(G$1,[2]stages!$2:$2,0)-MATCH("temp_stage",[2]stages!$2:$2,0)+1,FALSE)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15" s="88" t="str">
        <f ca="1">VLOOKUP($C15&amp;"_"&amp;$F15,OFFSET([2]stages!$A$1,0,0,COUNTA([2]stages!$A:$A),MATCH(H$1,[2]stages!$2:$2,0)-MATCH("temp_stage",[2]stages!$2:$2,0)+1),MATCH(H$1,[2]stages!$2:$2,0)-MATCH("temp_stage",[2]stages!$2:$2,0)+1,FALSE)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5" s="90">
        <v>0</v>
      </c>
      <c r="J15" s="95">
        <f t="shared" si="1"/>
        <v>14</v>
      </c>
      <c r="K15">
        <v>17</v>
      </c>
      <c r="L15" s="89" t="s">
        <v>127</v>
      </c>
      <c r="M15" s="118" t="str">
        <f>VLOOKUP(K15,[7]stage_hints!$A:$C,3,FALSE)</f>
        <v>リンクガチャ</v>
      </c>
      <c r="N15" s="119" t="str">
        <f>VLOOKUP(K15,[7]stage_hints!$A:$D,4,FALSE)</f>
        <v>無料のリンクガチャを回して_x000D_経験値素材や売却素材を獲得しましょう</v>
      </c>
      <c r="O15" s="57" t="s">
        <v>196</v>
      </c>
    </row>
    <row r="16" spans="1:15" x14ac:dyDescent="0.15">
      <c r="A16" s="85" t="str">
        <f t="shared" si="0"/>
        <v>30020_2_15</v>
      </c>
      <c r="B16" s="86" t="s">
        <v>297</v>
      </c>
      <c r="C16" s="87">
        <f>floors!$C$2</f>
        <v>30020</v>
      </c>
      <c r="D16" s="88" t="str">
        <f ca="1">VLOOKUP($C16,OFFSET([2]quests!$A$1,0,0,COUNTA([2]quests!$A:$A),MATCH(D$1,[2]quests!$1:$1,0)-MATCH($C$1,[2]quests!$1:$1,0)+1),MATCH(D$1,[2]quests!$1:$1,0)-MATCH($C$1,[2]quests!$1:$1,0)+1,FALSE)</f>
        <v>若造よ、身の程を知れ</v>
      </c>
      <c r="E16" s="88" t="str">
        <f ca="1">VLOOKUP($C16,OFFSET([2]quests!$A$1,0,0,COUNTA([2]quests!$A:$A),MATCH(E$1,[2]quests!$1:$1,0)-MATCH($C$1,[2]quests!$1:$1,0)+1),MATCH(E$1,[2]quests!$1:$1,0)-MATCH($C$1,[2]quests!$1:$1,0)+1,FALSE)</f>
        <v>ドロップイベント5（マルチ専用）</v>
      </c>
      <c r="F16" s="89">
        <v>2</v>
      </c>
      <c r="G16" s="88" t="str">
        <f ca="1">VLOOKUP($C16&amp;"_"&amp;$F16,OFFSET([2]stages!$A$1,0,0,COUNTA([2]stages!$A:$A),MATCH(G$1,[2]stages!$2:$2,0)-MATCH("temp_stage",[2]stages!$2:$2,0)+1),MATCH(G$1,[2]stages!$2:$2,0)-MATCH("temp_stage",[2]stages!$2:$2,0)+1,FALSE)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16" s="88" t="str">
        <f ca="1">VLOOKUP($C16&amp;"_"&amp;$F16,OFFSET([2]stages!$A$1,0,0,COUNTA([2]stages!$A:$A),MATCH(H$1,[2]stages!$2:$2,0)-MATCH("temp_stage",[2]stages!$2:$2,0)+1),MATCH(H$1,[2]stages!$2:$2,0)-MATCH("temp_stage",[2]stages!$2:$2,0)+1,FALSE)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6" s="90">
        <v>0</v>
      </c>
      <c r="J16" s="95">
        <f t="shared" si="1"/>
        <v>15</v>
      </c>
      <c r="K16">
        <v>19</v>
      </c>
      <c r="L16" s="89" t="s">
        <v>127</v>
      </c>
      <c r="M16" s="118" t="str">
        <f>VLOOKUP(K16,[7]stage_hints!$A:$C,3,FALSE)</f>
        <v>ソロ専用タワーオブザクイーン</v>
      </c>
      <c r="N16" s="119" t="str">
        <f>VLOOKUP(K16,[7]stage_hints!$A:$D,4,FALSE)</f>
        <v>ソロ専用の「タワーオブザクイーン」は_x000D_期間限定で定期的に開催されます_x000D_ここでしか獲得できない報酬もあるようです</v>
      </c>
      <c r="O16" s="57" t="s">
        <v>196</v>
      </c>
    </row>
    <row r="17" spans="1:15" x14ac:dyDescent="0.15">
      <c r="A17" s="85" t="str">
        <f t="shared" si="0"/>
        <v>30020_2_16</v>
      </c>
      <c r="B17" s="86" t="s">
        <v>297</v>
      </c>
      <c r="C17" s="87">
        <f>floors!$C$2</f>
        <v>30020</v>
      </c>
      <c r="D17" s="88" t="str">
        <f ca="1">VLOOKUP($C17,OFFSET([2]quests!$A$1,0,0,COUNTA([2]quests!$A:$A),MATCH(D$1,[2]quests!$1:$1,0)-MATCH($C$1,[2]quests!$1:$1,0)+1),MATCH(D$1,[2]quests!$1:$1,0)-MATCH($C$1,[2]quests!$1:$1,0)+1,FALSE)</f>
        <v>若造よ、身の程を知れ</v>
      </c>
      <c r="E17" s="88" t="str">
        <f ca="1">VLOOKUP($C17,OFFSET([2]quests!$A$1,0,0,COUNTA([2]quests!$A:$A),MATCH(E$1,[2]quests!$1:$1,0)-MATCH($C$1,[2]quests!$1:$1,0)+1),MATCH(E$1,[2]quests!$1:$1,0)-MATCH($C$1,[2]quests!$1:$1,0)+1,FALSE)</f>
        <v>ドロップイベント5（マルチ専用）</v>
      </c>
      <c r="F17" s="89">
        <v>2</v>
      </c>
      <c r="G17" s="88" t="str">
        <f ca="1">VLOOKUP($C17&amp;"_"&amp;$F17,OFFSET([2]stages!$A$1,0,0,COUNTA([2]stages!$A:$A),MATCH(G$1,[2]stages!$2:$2,0)-MATCH("temp_stage",[2]stages!$2:$2,0)+1),MATCH(G$1,[2]stages!$2:$2,0)-MATCH("temp_stage",[2]stages!$2:$2,0)+1,FALSE)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17" s="88" t="str">
        <f ca="1">VLOOKUP($C17&amp;"_"&amp;$F17,OFFSET([2]stages!$A$1,0,0,COUNTA([2]stages!$A:$A),MATCH(H$1,[2]stages!$2:$2,0)-MATCH("temp_stage",[2]stages!$2:$2,0)+1),MATCH(H$1,[2]stages!$2:$2,0)-MATCH("temp_stage",[2]stages!$2:$2,0)+1,FALSE)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7" s="90">
        <v>0</v>
      </c>
      <c r="J17" s="95">
        <f t="shared" si="1"/>
        <v>16</v>
      </c>
      <c r="K17">
        <v>21</v>
      </c>
      <c r="L17" s="89" t="s">
        <v>127</v>
      </c>
      <c r="M17" s="118" t="str">
        <f>VLOOKUP(K17,[7]stage_hints!$A:$C,3,FALSE)</f>
        <v>スキルを有効に</v>
      </c>
      <c r="N17" s="119" t="str">
        <f>VLOOKUP(K17,[7]stage_hints!$A:$D,4,FALSE)</f>
        <v>ターン経過でユニットのスキルが使えます_x000D_強力スキルでバトルを有利に進めましょう</v>
      </c>
      <c r="O17" s="57" t="s">
        <v>196</v>
      </c>
    </row>
    <row r="18" spans="1:15" x14ac:dyDescent="0.15">
      <c r="A18" s="85" t="str">
        <f t="shared" si="0"/>
        <v>30020_2_17</v>
      </c>
      <c r="B18" s="86" t="s">
        <v>297</v>
      </c>
      <c r="C18" s="87">
        <f>floors!$C$2</f>
        <v>30020</v>
      </c>
      <c r="D18" s="88" t="str">
        <f ca="1">VLOOKUP($C18,OFFSET([2]quests!$A$1,0,0,COUNTA([2]quests!$A:$A),MATCH(D$1,[2]quests!$1:$1,0)-MATCH($C$1,[2]quests!$1:$1,0)+1),MATCH(D$1,[2]quests!$1:$1,0)-MATCH($C$1,[2]quests!$1:$1,0)+1,FALSE)</f>
        <v>若造よ、身の程を知れ</v>
      </c>
      <c r="E18" s="88" t="str">
        <f ca="1">VLOOKUP($C18,OFFSET([2]quests!$A$1,0,0,COUNTA([2]quests!$A:$A),MATCH(E$1,[2]quests!$1:$1,0)-MATCH($C$1,[2]quests!$1:$1,0)+1),MATCH(E$1,[2]quests!$1:$1,0)-MATCH($C$1,[2]quests!$1:$1,0)+1,FALSE)</f>
        <v>ドロップイベント5（マルチ専用）</v>
      </c>
      <c r="F18" s="89">
        <v>2</v>
      </c>
      <c r="G18" s="88" t="str">
        <f ca="1">VLOOKUP($C18&amp;"_"&amp;$F18,OFFSET([2]stages!$A$1,0,0,COUNTA([2]stages!$A:$A),MATCH(G$1,[2]stages!$2:$2,0)-MATCH("temp_stage",[2]stages!$2:$2,0)+1),MATCH(G$1,[2]stages!$2:$2,0)-MATCH("temp_stage",[2]stages!$2:$2,0)+1,FALSE)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18" s="88" t="str">
        <f ca="1">VLOOKUP($C18&amp;"_"&amp;$F18,OFFSET([2]stages!$A$1,0,0,COUNTA([2]stages!$A:$A),MATCH(H$1,[2]stages!$2:$2,0)-MATCH("temp_stage",[2]stages!$2:$2,0)+1),MATCH(H$1,[2]stages!$2:$2,0)-MATCH("temp_stage",[2]stages!$2:$2,0)+1,FALSE)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8" s="90">
        <v>0</v>
      </c>
      <c r="J18" s="95">
        <f t="shared" si="1"/>
        <v>17</v>
      </c>
      <c r="K18">
        <v>29</v>
      </c>
      <c r="L18" s="89" t="s">
        <v>127</v>
      </c>
      <c r="M18" s="118" t="str">
        <f>VLOOKUP(K18,[7]stage_hints!$A:$C,3,FALSE)</f>
        <v>「バグ」のメリット</v>
      </c>
      <c r="N18" s="119" t="str">
        <f>VLOOKUP(K18,[7]stage_hints!$A:$D,4,FALSE)</f>
        <v>ユニットの「バグ」を増やすと_x000D_報酬をもらえる確率がアップします</v>
      </c>
      <c r="O18" s="57" t="s">
        <v>196</v>
      </c>
    </row>
    <row r="19" spans="1:15" x14ac:dyDescent="0.15">
      <c r="A19" s="85" t="str">
        <f t="shared" si="0"/>
        <v>30020_2_18</v>
      </c>
      <c r="B19" s="86" t="s">
        <v>297</v>
      </c>
      <c r="C19" s="87">
        <f>floors!$C$2</f>
        <v>30020</v>
      </c>
      <c r="D19" s="88" t="str">
        <f ca="1">VLOOKUP($C19,OFFSET([2]quests!$A$1,0,0,COUNTA([2]quests!$A:$A),MATCH(D$1,[2]quests!$1:$1,0)-MATCH($C$1,[2]quests!$1:$1,0)+1),MATCH(D$1,[2]quests!$1:$1,0)-MATCH($C$1,[2]quests!$1:$1,0)+1,FALSE)</f>
        <v>若造よ、身の程を知れ</v>
      </c>
      <c r="E19" s="88" t="str">
        <f ca="1">VLOOKUP($C19,OFFSET([2]quests!$A$1,0,0,COUNTA([2]quests!$A:$A),MATCH(E$1,[2]quests!$1:$1,0)-MATCH($C$1,[2]quests!$1:$1,0)+1),MATCH(E$1,[2]quests!$1:$1,0)-MATCH($C$1,[2]quests!$1:$1,0)+1,FALSE)</f>
        <v>ドロップイベント5（マルチ専用）</v>
      </c>
      <c r="F19" s="89">
        <v>2</v>
      </c>
      <c r="G19" s="88" t="str">
        <f ca="1">VLOOKUP($C19&amp;"_"&amp;$F19,OFFSET([2]stages!$A$1,0,0,COUNTA([2]stages!$A:$A),MATCH(G$1,[2]stages!$2:$2,0)-MATCH("temp_stage",[2]stages!$2:$2,0)+1),MATCH(G$1,[2]stages!$2:$2,0)-MATCH("temp_stage",[2]stages!$2:$2,0)+1,FALSE)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19" s="88" t="str">
        <f ca="1">VLOOKUP($C19&amp;"_"&amp;$F19,OFFSET([2]stages!$A$1,0,0,COUNTA([2]stages!$A:$A),MATCH(H$1,[2]stages!$2:$2,0)-MATCH("temp_stage",[2]stages!$2:$2,0)+1),MATCH(H$1,[2]stages!$2:$2,0)-MATCH("temp_stage",[2]stages!$2:$2,0)+1,FALSE)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9" s="90">
        <v>0</v>
      </c>
      <c r="J19" s="95">
        <f t="shared" si="1"/>
        <v>18</v>
      </c>
      <c r="K19">
        <v>30</v>
      </c>
      <c r="L19" s="89" t="s">
        <v>127</v>
      </c>
      <c r="M19" s="118" t="str">
        <f>VLOOKUP(K19,[7]stage_hints!$A:$C,3,FALSE)</f>
        <v>「バグ」の増やし方</v>
      </c>
      <c r="N19" s="119" t="str">
        <f>VLOOKUP(K19,[7]stage_hints!$A:$D,4,FALSE)</f>
        <v>同じユニット同士を強化で合成すると_x000D_「バグ」を増やすことができます</v>
      </c>
      <c r="O19" s="57" t="s">
        <v>196</v>
      </c>
    </row>
    <row r="20" spans="1:15" x14ac:dyDescent="0.15">
      <c r="A20" s="85" t="str">
        <f t="shared" si="0"/>
        <v>30020_2_19</v>
      </c>
      <c r="B20" s="86" t="s">
        <v>297</v>
      </c>
      <c r="C20" s="87">
        <f>floors!$C$2</f>
        <v>30020</v>
      </c>
      <c r="D20" s="88" t="str">
        <f ca="1">VLOOKUP($C20,OFFSET([2]quests!$A$1,0,0,COUNTA([2]quests!$A:$A),MATCH(D$1,[2]quests!$1:$1,0)-MATCH($C$1,[2]quests!$1:$1,0)+1),MATCH(D$1,[2]quests!$1:$1,0)-MATCH($C$1,[2]quests!$1:$1,0)+1,FALSE)</f>
        <v>若造よ、身の程を知れ</v>
      </c>
      <c r="E20" s="88" t="str">
        <f ca="1">VLOOKUP($C20,OFFSET([2]quests!$A$1,0,0,COUNTA([2]quests!$A:$A),MATCH(E$1,[2]quests!$1:$1,0)-MATCH($C$1,[2]quests!$1:$1,0)+1),MATCH(E$1,[2]quests!$1:$1,0)-MATCH($C$1,[2]quests!$1:$1,0)+1,FALSE)</f>
        <v>ドロップイベント5（マルチ専用）</v>
      </c>
      <c r="F20" s="89">
        <v>2</v>
      </c>
      <c r="G20" s="88" t="str">
        <f ca="1">VLOOKUP($C20&amp;"_"&amp;$F20,OFFSET([2]stages!$A$1,0,0,COUNTA([2]stages!$A:$A),MATCH(G$1,[2]stages!$2:$2,0)-MATCH("temp_stage",[2]stages!$2:$2,0)+1),MATCH(G$1,[2]stages!$2:$2,0)-MATCH("temp_stage",[2]stages!$2:$2,0)+1,FALSE)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20" s="88" t="str">
        <f ca="1">VLOOKUP($C20&amp;"_"&amp;$F20,OFFSET([2]stages!$A$1,0,0,COUNTA([2]stages!$A:$A),MATCH(H$1,[2]stages!$2:$2,0)-MATCH("temp_stage",[2]stages!$2:$2,0)+1),MATCH(H$1,[2]stages!$2:$2,0)-MATCH("temp_stage",[2]stages!$2:$2,0)+1,FALSE)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20" s="90">
        <v>0</v>
      </c>
      <c r="J20" s="95">
        <f t="shared" si="1"/>
        <v>19</v>
      </c>
      <c r="K20">
        <v>32</v>
      </c>
      <c r="L20" s="89" t="s">
        <v>127</v>
      </c>
      <c r="M20" s="118" t="str">
        <f>VLOOKUP(K20,[7]stage_hints!$A:$C,3,FALSE)</f>
        <v>敵の連続攻撃には</v>
      </c>
      <c r="N20" s="119" t="str">
        <f>VLOOKUP(K20,[7]stage_hints!$A:$D,4,FALSE)</f>
        <v>カウンタースキルを持つユニットがいれば_x000D_ダメージ回数分の反撃ができます</v>
      </c>
      <c r="O20" s="57" t="s">
        <v>196</v>
      </c>
    </row>
    <row r="21" spans="1:15" x14ac:dyDescent="0.15">
      <c r="A21" s="85" t="str">
        <f t="shared" si="0"/>
        <v>30020_2_20</v>
      </c>
      <c r="B21" s="86" t="s">
        <v>297</v>
      </c>
      <c r="C21" s="87">
        <f>floors!$C$2</f>
        <v>30020</v>
      </c>
      <c r="D21" s="88" t="str">
        <f ca="1">VLOOKUP($C21,OFFSET([2]quests!$A$1,0,0,COUNTA([2]quests!$A:$A),MATCH(D$1,[2]quests!$1:$1,0)-MATCH($C$1,[2]quests!$1:$1,0)+1),MATCH(D$1,[2]quests!$1:$1,0)-MATCH($C$1,[2]quests!$1:$1,0)+1,FALSE)</f>
        <v>若造よ、身の程を知れ</v>
      </c>
      <c r="E21" s="88" t="str">
        <f ca="1">VLOOKUP($C21,OFFSET([2]quests!$A$1,0,0,COUNTA([2]quests!$A:$A),MATCH(E$1,[2]quests!$1:$1,0)-MATCH($C$1,[2]quests!$1:$1,0)+1),MATCH(E$1,[2]quests!$1:$1,0)-MATCH($C$1,[2]quests!$1:$1,0)+1,FALSE)</f>
        <v>ドロップイベント5（マルチ専用）</v>
      </c>
      <c r="F21" s="89">
        <v>2</v>
      </c>
      <c r="G21" s="88" t="str">
        <f ca="1">VLOOKUP($C21&amp;"_"&amp;$F21,OFFSET([2]stages!$A$1,0,0,COUNTA([2]stages!$A:$A),MATCH(G$1,[2]stages!$2:$2,0)-MATCH("temp_stage",[2]stages!$2:$2,0)+1),MATCH(G$1,[2]stages!$2:$2,0)-MATCH("temp_stage",[2]stages!$2:$2,0)+1,FALSE)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21" s="88" t="str">
        <f ca="1">VLOOKUP($C21&amp;"_"&amp;$F21,OFFSET([2]stages!$A$1,0,0,COUNTA([2]stages!$A:$A),MATCH(H$1,[2]stages!$2:$2,0)-MATCH("temp_stage",[2]stages!$2:$2,0)+1),MATCH(H$1,[2]stages!$2:$2,0)-MATCH("temp_stage",[2]stages!$2:$2,0)+1,FALSE)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21" s="90">
        <v>0</v>
      </c>
      <c r="J21" s="95">
        <f t="shared" si="1"/>
        <v>20</v>
      </c>
      <c r="K21">
        <v>33</v>
      </c>
      <c r="L21" s="89" t="s">
        <v>127</v>
      </c>
      <c r="M21" s="118" t="str">
        <f>VLOOKUP(K21,[7]stage_hints!$A:$C,3,FALSE)</f>
        <v>敵のカウンター攻撃には</v>
      </c>
      <c r="N21" s="119" t="str">
        <f>VLOOKUP(K21,[7]stage_hints!$A:$D,4,FALSE)</f>
        <v>カウンターブレイクスキルを持っていれば_x000D_敵のカウンターを解除して攻撃ができます</v>
      </c>
      <c r="O21" s="57" t="s">
        <v>196</v>
      </c>
    </row>
    <row r="22" spans="1:15" x14ac:dyDescent="0.15">
      <c r="A22" s="85" t="str">
        <f t="shared" si="0"/>
        <v>30020_2_21</v>
      </c>
      <c r="B22" s="86" t="s">
        <v>297</v>
      </c>
      <c r="C22" s="87">
        <f>floors!$C$2</f>
        <v>30020</v>
      </c>
      <c r="D22" s="88" t="str">
        <f ca="1">VLOOKUP($C22,OFFSET([2]quests!$A$1,0,0,COUNTA([2]quests!$A:$A),MATCH(D$1,[2]quests!$1:$1,0)-MATCH($C$1,[2]quests!$1:$1,0)+1),MATCH(D$1,[2]quests!$1:$1,0)-MATCH($C$1,[2]quests!$1:$1,0)+1,FALSE)</f>
        <v>若造よ、身の程を知れ</v>
      </c>
      <c r="E22" s="88" t="str">
        <f ca="1">VLOOKUP($C22,OFFSET([2]quests!$A$1,0,0,COUNTA([2]quests!$A:$A),MATCH(E$1,[2]quests!$1:$1,0)-MATCH($C$1,[2]quests!$1:$1,0)+1),MATCH(E$1,[2]quests!$1:$1,0)-MATCH($C$1,[2]quests!$1:$1,0)+1,FALSE)</f>
        <v>ドロップイベント5（マルチ専用）</v>
      </c>
      <c r="F22" s="89">
        <v>2</v>
      </c>
      <c r="G22" s="88" t="str">
        <f ca="1">VLOOKUP($C22&amp;"_"&amp;$F22,OFFSET([2]stages!$A$1,0,0,COUNTA([2]stages!$A:$A),MATCH(G$1,[2]stages!$2:$2,0)-MATCH("temp_stage",[2]stages!$2:$2,0)+1),MATCH(G$1,[2]stages!$2:$2,0)-MATCH("temp_stage",[2]stages!$2:$2,0)+1,FALSE)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22" s="88" t="str">
        <f ca="1">VLOOKUP($C22&amp;"_"&amp;$F22,OFFSET([2]stages!$A$1,0,0,COUNTA([2]stages!$A:$A),MATCH(H$1,[2]stages!$2:$2,0)-MATCH("temp_stage",[2]stages!$2:$2,0)+1),MATCH(H$1,[2]stages!$2:$2,0)-MATCH("temp_stage",[2]stages!$2:$2,0)+1,FALSE)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22" s="90">
        <v>0</v>
      </c>
      <c r="J22" s="95">
        <f t="shared" si="1"/>
        <v>21</v>
      </c>
      <c r="K22">
        <v>34</v>
      </c>
      <c r="L22" s="89" t="s">
        <v>127</v>
      </c>
      <c r="M22" s="118" t="str">
        <f>VLOOKUP(K22,[7]stage_hints!$A:$C,3,FALSE)</f>
        <v>ステータスをスキルで下げられたら</v>
      </c>
      <c r="N22" s="119" t="str">
        <f>VLOOKUP(K22,[7]stage_hints!$A:$D,4,FALSE)</f>
        <v>ステータスダウンのスキルを受けたら_x000D_ステータスアップスキルで上書きしましょう</v>
      </c>
      <c r="O22" s="57" t="s">
        <v>196</v>
      </c>
    </row>
    <row r="23" spans="1:15" x14ac:dyDescent="0.15">
      <c r="A23" s="85" t="str">
        <f t="shared" si="0"/>
        <v>30020_2_22</v>
      </c>
      <c r="B23" s="86" t="s">
        <v>297</v>
      </c>
      <c r="C23" s="87">
        <f>floors!$C$2</f>
        <v>30020</v>
      </c>
      <c r="D23" s="88" t="str">
        <f ca="1">VLOOKUP($C23,OFFSET([2]quests!$A$1,0,0,COUNTA([2]quests!$A:$A),MATCH(D$1,[2]quests!$1:$1,0)-MATCH($C$1,[2]quests!$1:$1,0)+1),MATCH(D$1,[2]quests!$1:$1,0)-MATCH($C$1,[2]quests!$1:$1,0)+1,FALSE)</f>
        <v>若造よ、身の程を知れ</v>
      </c>
      <c r="E23" s="88" t="str">
        <f ca="1">VLOOKUP($C23,OFFSET([2]quests!$A$1,0,0,COUNTA([2]quests!$A:$A),MATCH(E$1,[2]quests!$1:$1,0)-MATCH($C$1,[2]quests!$1:$1,0)+1),MATCH(E$1,[2]quests!$1:$1,0)-MATCH($C$1,[2]quests!$1:$1,0)+1,FALSE)</f>
        <v>ドロップイベント5（マルチ専用）</v>
      </c>
      <c r="F23" s="89">
        <v>2</v>
      </c>
      <c r="G23" s="88" t="str">
        <f ca="1">VLOOKUP($C23&amp;"_"&amp;$F23,OFFSET([2]stages!$A$1,0,0,COUNTA([2]stages!$A:$A),MATCH(G$1,[2]stages!$2:$2,0)-MATCH("temp_stage",[2]stages!$2:$2,0)+1),MATCH(G$1,[2]stages!$2:$2,0)-MATCH("temp_stage",[2]stages!$2:$2,0)+1,FALSE)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23" s="88" t="str">
        <f ca="1">VLOOKUP($C23&amp;"_"&amp;$F23,OFFSET([2]stages!$A$1,0,0,COUNTA([2]stages!$A:$A),MATCH(H$1,[2]stages!$2:$2,0)-MATCH("temp_stage",[2]stages!$2:$2,0)+1),MATCH(H$1,[2]stages!$2:$2,0)-MATCH("temp_stage",[2]stages!$2:$2,0)+1,FALSE)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23" s="90">
        <v>0</v>
      </c>
      <c r="J23" s="95">
        <f t="shared" si="1"/>
        <v>22</v>
      </c>
      <c r="K23">
        <v>35</v>
      </c>
      <c r="L23" s="89" t="s">
        <v>127</v>
      </c>
      <c r="M23" s="118" t="str">
        <f>VLOOKUP(K23,[7]stage_hints!$A:$C,3,FALSE)</f>
        <v>敵のステータスがスキルで上がったら</v>
      </c>
      <c r="N23" s="119" t="str">
        <f>VLOOKUP(K23,[7]stage_hints!$A:$D,4,FALSE)</f>
        <v>敵のステータスがスキルでアップしたときは_x000D_ステータスダウンスキルで上書きしましょう</v>
      </c>
      <c r="O23" s="57" t="s">
        <v>196</v>
      </c>
    </row>
    <row r="24" spans="1:15" x14ac:dyDescent="0.15">
      <c r="A24" s="85" t="str">
        <f t="shared" si="0"/>
        <v>30020_2_23</v>
      </c>
      <c r="B24" s="86" t="s">
        <v>297</v>
      </c>
      <c r="C24" s="87">
        <f>floors!$C$2</f>
        <v>30020</v>
      </c>
      <c r="D24" s="88" t="str">
        <f ca="1">VLOOKUP($C24,OFFSET([2]quests!$A$1,0,0,COUNTA([2]quests!$A:$A),MATCH(D$1,[2]quests!$1:$1,0)-MATCH($C$1,[2]quests!$1:$1,0)+1),MATCH(D$1,[2]quests!$1:$1,0)-MATCH($C$1,[2]quests!$1:$1,0)+1,FALSE)</f>
        <v>若造よ、身の程を知れ</v>
      </c>
      <c r="E24" s="88" t="str">
        <f ca="1">VLOOKUP($C24,OFFSET([2]quests!$A$1,0,0,COUNTA([2]quests!$A:$A),MATCH(E$1,[2]quests!$1:$1,0)-MATCH($C$1,[2]quests!$1:$1,0)+1),MATCH(E$1,[2]quests!$1:$1,0)-MATCH($C$1,[2]quests!$1:$1,0)+1,FALSE)</f>
        <v>ドロップイベント5（マルチ専用）</v>
      </c>
      <c r="F24" s="89">
        <v>2</v>
      </c>
      <c r="G24" s="88" t="str">
        <f ca="1">VLOOKUP($C24&amp;"_"&amp;$F24,OFFSET([2]stages!$A$1,0,0,COUNTA([2]stages!$A:$A),MATCH(G$1,[2]stages!$2:$2,0)-MATCH("temp_stage",[2]stages!$2:$2,0)+1),MATCH(G$1,[2]stages!$2:$2,0)-MATCH("temp_stage",[2]stages!$2:$2,0)+1,FALSE)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24" s="88" t="str">
        <f ca="1">VLOOKUP($C24&amp;"_"&amp;$F24,OFFSET([2]stages!$A$1,0,0,COUNTA([2]stages!$A:$A),MATCH(H$1,[2]stages!$2:$2,0)-MATCH("temp_stage",[2]stages!$2:$2,0)+1),MATCH(H$1,[2]stages!$2:$2,0)-MATCH("temp_stage",[2]stages!$2:$2,0)+1,FALSE)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24" s="90">
        <v>0</v>
      </c>
      <c r="J24" s="95">
        <f t="shared" si="1"/>
        <v>23</v>
      </c>
      <c r="K24">
        <v>36</v>
      </c>
      <c r="L24" s="89" t="s">
        <v>127</v>
      </c>
      <c r="M24" s="118" t="str">
        <f>VLOOKUP(K24,[7]stage_hints!$A:$C,3,FALSE)</f>
        <v>タワーオブザクイーンのボス</v>
      </c>
      <c r="N24" s="119" t="str">
        <f>VLOOKUP(K24,[7]stage_hints!$A:$D,4,FALSE)</f>
        <v>「タワーオブザクイーン」最上階のボスは_x000D_15階の初回クリア報酬で獲得できるほか_x000D_その階にて低確率でドロップもします</v>
      </c>
      <c r="O24" s="57" t="s">
        <v>196</v>
      </c>
    </row>
    <row r="25" spans="1:15" x14ac:dyDescent="0.15">
      <c r="A25" s="85" t="str">
        <f t="shared" si="0"/>
        <v>30020_2_24</v>
      </c>
      <c r="B25" s="86" t="s">
        <v>297</v>
      </c>
      <c r="C25" s="87">
        <f>floors!$C$2</f>
        <v>30020</v>
      </c>
      <c r="D25" s="88" t="str">
        <f ca="1">VLOOKUP($C25,OFFSET([2]quests!$A$1,0,0,COUNTA([2]quests!$A:$A),MATCH(D$1,[2]quests!$1:$1,0)-MATCH($C$1,[2]quests!$1:$1,0)+1),MATCH(D$1,[2]quests!$1:$1,0)-MATCH($C$1,[2]quests!$1:$1,0)+1,FALSE)</f>
        <v>若造よ、身の程を知れ</v>
      </c>
      <c r="E25" s="88" t="str">
        <f ca="1">VLOOKUP($C25,OFFSET([2]quests!$A$1,0,0,COUNTA([2]quests!$A:$A),MATCH(E$1,[2]quests!$1:$1,0)-MATCH($C$1,[2]quests!$1:$1,0)+1),MATCH(E$1,[2]quests!$1:$1,0)-MATCH($C$1,[2]quests!$1:$1,0)+1,FALSE)</f>
        <v>ドロップイベント5（マルチ専用）</v>
      </c>
      <c r="F25" s="89">
        <v>2</v>
      </c>
      <c r="G25" s="88" t="str">
        <f ca="1">VLOOKUP($C25&amp;"_"&amp;$F25,OFFSET([2]stages!$A$1,0,0,COUNTA([2]stages!$A:$A),MATCH(G$1,[2]stages!$2:$2,0)-MATCH("temp_stage",[2]stages!$2:$2,0)+1),MATCH(G$1,[2]stages!$2:$2,0)-MATCH("temp_stage",[2]stages!$2:$2,0)+1,FALSE)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25" s="88" t="str">
        <f ca="1">VLOOKUP($C25&amp;"_"&amp;$F25,OFFSET([2]stages!$A$1,0,0,COUNTA([2]stages!$A:$A),MATCH(H$1,[2]stages!$2:$2,0)-MATCH("temp_stage",[2]stages!$2:$2,0)+1),MATCH(H$1,[2]stages!$2:$2,0)-MATCH("temp_stage",[2]stages!$2:$2,0)+1,FALSE)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25" s="90">
        <v>0</v>
      </c>
      <c r="J25" s="95">
        <f t="shared" si="1"/>
        <v>24</v>
      </c>
      <c r="K25">
        <v>37</v>
      </c>
      <c r="L25" s="89" t="s">
        <v>127</v>
      </c>
      <c r="M25" s="118" t="str">
        <f>VLOOKUP(K25,[7]stage_hints!$A:$C,3,FALSE)</f>
        <v>限界突破値の引き継ぎ</v>
      </c>
      <c r="N25" s="119" t="str">
        <f>VLOOKUP(K25,[7]stage_hints!$A:$D,4,FALSE)</f>
        <v>同じユニットを強化で合成すると_x000D_限界突破値を引き継げます（覚醒前後も可）</v>
      </c>
      <c r="O25" s="57" t="s">
        <v>196</v>
      </c>
    </row>
  </sheetData>
  <phoneticPr fontId="5"/>
  <dataValidations count="1">
    <dataValidation type="list" allowBlank="1" showInputMessage="1" showErrorMessage="1" sqref="B2:B2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stage_hints_failure</vt:lpstr>
      <vt:lpstr>stage_hints_complete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2017-03-08T08:15:43Z</dcterms:modified>
</cp:coreProperties>
</file>