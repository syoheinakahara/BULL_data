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huangfuhsiang/Desktop/BULL_data/master_excel/"/>
    </mc:Choice>
  </mc:AlternateContent>
  <bookViews>
    <workbookView xWindow="29900" yWindow="2640" windowWidth="30220" windowHeight="17180" tabRatio="740" activeTab="1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18" l="1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AD13" i="1"/>
  <c r="AD12" i="1"/>
  <c r="AD9" i="1"/>
  <c r="AD8" i="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N3" i="22"/>
  <c r="G3" i="22"/>
  <c r="F3" i="22"/>
  <c r="D3" i="22"/>
  <c r="C3" i="22"/>
  <c r="A3" i="22"/>
  <c r="D4" i="2"/>
  <c r="N2" i="22"/>
  <c r="G2" i="22"/>
  <c r="F2" i="22"/>
  <c r="D2" i="22"/>
  <c r="C2" i="22"/>
  <c r="A2" i="22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J60" i="11"/>
  <c r="O30" i="9"/>
  <c r="N30" i="9"/>
  <c r="M30" i="9"/>
  <c r="L30" i="9"/>
  <c r="K30" i="9"/>
  <c r="J30" i="9"/>
  <c r="I30" i="9"/>
  <c r="H30" i="9"/>
  <c r="G30" i="9"/>
  <c r="E30" i="9"/>
  <c r="D30" i="9"/>
  <c r="A30" i="9"/>
  <c r="J28" i="11"/>
  <c r="O13" i="9"/>
  <c r="N13" i="9"/>
  <c r="M13" i="9"/>
  <c r="L13" i="9"/>
  <c r="K13" i="9"/>
  <c r="J13" i="9"/>
  <c r="I13" i="9"/>
  <c r="H13" i="9"/>
  <c r="G13" i="9"/>
  <c r="E13" i="9"/>
  <c r="D13" i="9"/>
  <c r="A13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J61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7" i="7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2" i="1"/>
  <c r="H3" i="1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B4" i="2"/>
  <c r="H3" i="2"/>
  <c r="E3" i="2"/>
  <c r="D3" i="2"/>
  <c r="B3" i="2"/>
  <c r="W2" i="7"/>
  <c r="U2" i="7"/>
  <c r="V3" i="1"/>
  <c r="V2" i="1"/>
  <c r="T3" i="1"/>
  <c r="T2" i="1"/>
  <c r="E13" i="16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E9" i="16"/>
  <c r="Y2" i="7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<sst xmlns="http://schemas.openxmlformats.org/spreadsheetml/2006/main" count="1097" uniqueCount="357">
  <si>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</si>
  <si>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</si>
  <si>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</si>
  <si>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</si>
  <si>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</si>
  <si>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</si>
  <si>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</si>
  <si>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</si>
  <si>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</si>
  <si>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</si>
  <si>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</si>
  <si>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</si>
  <si>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</si>
  <si>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</si>
  <si>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</si>
  <si>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</si>
  <si>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</si>
  <si>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</si>
  <si>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</si>
  <si>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</si>
  <si>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</si>
  <si>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</si>
  <si>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</si>
  <si>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</si>
  <si>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</si>
  <si>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</si>
  <si>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</si>
  <si>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</si>
  <si>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</si>
  <si>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</si>
  <si>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</si>
  <si>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</si>
  <si>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</si>
  <si>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</si>
  <si>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</si>
  <si>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</si>
  <si>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</si>
  <si>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</si>
  <si>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</si>
  <si>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</si>
  <si>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</si>
  <si>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</si>
  <si>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</si>
  <si>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</si>
  <si>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</si>
  <si>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</si>
  <si>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</si>
  <si>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</si>
  <si>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</si>
  <si>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</si>
  <si>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</si>
  <si>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</si>
  <si>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</si>
  <si>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</si>
  <si>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</si>
  <si>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</si>
  <si>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</si>
  <si>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</si>
  <si>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</si>
  <si>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</si>
  <si>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</si>
  <si>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</si>
  <si>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</si>
  <si>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</si>
  <si>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</si>
  <si>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</si>
  <si>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</si>
  <si>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</si>
  <si>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</si>
  <si>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</si>
  <si>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</si>
  <si>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</si>
  <si>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</si>
  <si>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</si>
  <si>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</si>
  <si>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</si>
  <si>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</si>
  <si>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</si>
  <si>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</si>
  <si>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</si>
  <si>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</si>
  <si>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</si>
  <si>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</si>
  <si>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</si>
  <si>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</si>
  <si>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</si>
  <si>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</si>
  <si>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</si>
  <si>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</si>
  <si>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</si>
  <si>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</si>
  <si>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</si>
  <si>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</si>
  <si>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</si>
  <si>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</si>
  <si>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</si>
  <si>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</si>
  <si>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</si>
  <si>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</si>
  <si>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</si>
  <si>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</si>
  <si>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</si>
  <si>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</si>
  <si>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</si>
  <si>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</si>
  <si>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</si>
  <si>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</si>
  <si>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</si>
  <si>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</si>
  <si>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</si>
  <si>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</si>
  <si>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</si>
  <si>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</si>
  <si>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</si>
  <si>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</si>
  <si>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</si>
  <si>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</si>
  <si>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</si>
  <si>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</si>
  <si>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</si>
  <si>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</si>
  <si>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</si>
  <si>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</si>
  <si>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</si>
  <si>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</si>
  <si>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</si>
  <si>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</si>
  <si>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</si>
  <si>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</si>
  <si>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</si>
  <si>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</si>
  <si>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</si>
  <si>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</si>
  <si>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</si>
  <si>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</si>
  <si>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</si>
  <si>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</si>
  <si>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</si>
  <si>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</si>
  <si>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</si>
  <si>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</si>
  <si>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</si>
  <si>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</si>
  <si>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</si>
  <si>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</si>
  <si>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</si>
  <si>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</si>
  <si>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</si>
  <si>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</si>
  <si>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</si>
  <si>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</si>
  <si>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</si>
  <si>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stage_target</t>
    <phoneticPr fontId="5"/>
  </si>
  <si>
    <t>bonus_id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</si>
  <si>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</si>
  <si>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</si>
  <si>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</si>
  <si>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</si>
  <si>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</si>
  <si>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</si>
  <si>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</si>
  <si>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</si>
  <si>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</si>
  <si>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</si>
  <si>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</si>
  <si>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</si>
  <si>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</si>
  <si>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</si>
  <si>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</si>
  <si>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</si>
  <si>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</si>
  <si>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</si>
  <si>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</si>
  <si>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</si>
  <si>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</si>
  <si>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</si>
  <si>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</si>
  <si>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</si>
  <si>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</si>
  <si>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</si>
  <si>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</si>
  <si>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</si>
  <si>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</si>
  <si>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</si>
  <si>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</si>
  <si>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</si>
  <si>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</si>
  <si>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</si>
  <si>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</si>
  <si>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</si>
  <si>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</si>
  <si>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</si>
  <si>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</si>
  <si>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</si>
  <si>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</si>
  <si>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</si>
  <si>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</si>
  <si>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</si>
  <si>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</si>
  <si>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</si>
  <si>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</si>
  <si>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</si>
  <si>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</si>
  <si>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</si>
  <si>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</si>
  <si>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</si>
  <si>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</si>
  <si>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</si>
  <si>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</si>
  <si>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</si>
  <si>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</si>
  <si>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</si>
  <si>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</si>
  <si>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</si>
  <si>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</si>
  <si>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</si>
  <si>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</si>
  <si>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</si>
  <si>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</si>
  <si>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</si>
  <si>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</si>
  <si>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</si>
  <si>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</si>
  <si>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</si>
  <si>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</si>
  <si>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</si>
  <si>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</si>
  <si>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</si>
  <si>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</si>
  <si>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</si>
  <si>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</si>
  <si>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</si>
  <si>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</si>
  <si>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</si>
  <si>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</si>
  <si>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</si>
  <si>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</si>
  <si>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</si>
  <si>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</si>
  <si>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</si>
  <si>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</si>
  <si>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</si>
  <si>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</si>
  <si>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</si>
  <si>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</si>
  <si>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</si>
  <si>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</si>
  <si>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.tmp</t>
  </si>
  <si>
    <t>old</t>
    <phoneticPr fontId="5"/>
  </si>
  <si>
    <t>old</t>
    <phoneticPr fontId="5"/>
  </si>
  <si>
    <t>タイチ</t>
    <phoneticPr fontId="5"/>
  </si>
  <si>
    <t>予備枠</t>
    <rPh sb="0" eb="3">
      <t>ヨｂ</t>
    </rPh>
    <phoneticPr fontId="5"/>
  </si>
  <si>
    <t>ノエル</t>
    <phoneticPr fontId="5"/>
  </si>
  <si>
    <t>青龍1</t>
    <rPh sb="0" eb="2">
      <t>セイリュ</t>
    </rPh>
    <phoneticPr fontId="5"/>
  </si>
  <si>
    <t>全体攻撃</t>
    <rPh sb="0" eb="4">
      <t>ゼンタイ</t>
    </rPh>
    <phoneticPr fontId="5"/>
  </si>
  <si>
    <t>青龍2</t>
    <rPh sb="0" eb="2">
      <t>セイリュ</t>
    </rPh>
    <phoneticPr fontId="5"/>
  </si>
  <si>
    <t>トモエ</t>
    <phoneticPr fontId="5"/>
  </si>
  <si>
    <t>全体攻撃</t>
    <rPh sb="0" eb="4">
      <t>ゼｎ</t>
    </rPh>
    <phoneticPr fontId="5"/>
  </si>
  <si>
    <t>クロウ</t>
    <phoneticPr fontId="5"/>
  </si>
  <si>
    <t>藍采和1</t>
    <phoneticPr fontId="5"/>
  </si>
  <si>
    <t>藍采和2</t>
    <phoneticPr fontId="5"/>
  </si>
  <si>
    <t>藍采和3</t>
    <phoneticPr fontId="5"/>
  </si>
  <si>
    <t>[effect:nothing]</t>
    <phoneticPr fontId="5"/>
  </si>
  <si>
    <t>[effect:critical, val:1.2, animation:enemy_critical]</t>
    <phoneticPr fontId="5"/>
  </si>
  <si>
    <t>[effect:crash_condition, target:unit_all, turn:-1, val:4, animation:enemy_crash_extend]</t>
    <phoneticPr fontId="5"/>
  </si>
  <si>
    <t>[effect:spread, val:0.4]</t>
    <phoneticPr fontId="5"/>
  </si>
  <si>
    <t>[effect:dis_heart, turn:-1, animation:enemy_dis_heart]</t>
    <phoneticPr fontId="5"/>
  </si>
  <si>
    <t>[effect:tolerance, target:myself, turn:-1, count:-1, tolerance_effect:all, animation:enemy_tolerance],[effect:crash_condition, target:unit_all, turn:-1, val:4, animation:enemy_crash_extend]</t>
    <phoneticPr fontId="5"/>
  </si>
  <si>
    <t>[effect:damage_gravity, val:0.4, animation:fevergauge_down]</t>
    <phoneticPr fontId="5"/>
  </si>
  <si>
    <t>[effect:degrade_unit, target:unit_one, turn:4, status:heal, val:0.5, calc:mul, animation:degrade_unit_all_heal]</t>
    <phoneticPr fontId="5"/>
  </si>
  <si>
    <t>[effect:damage_abnormal, target:unit_one, val:1.2, status:sleep, turn:2, rate:1, animation:sleep01],[effect:damage_abnormal, target:unit_one, val:1.2, status:sleep, turn:2, rate:1, animation:sleep01]</t>
    <phoneticPr fontId="5"/>
  </si>
  <si>
    <t>[effect:spread, val:0.5]</t>
    <phoneticPr fontId="5"/>
  </si>
  <si>
    <t>[effect:spread, val:0.5]</t>
    <phoneticPr fontId="5"/>
  </si>
  <si>
    <t>[effect:damage_abnormal, target:unit_one, val:1.2, status:sleep, turn:2, rate:1, animation:sleep01]</t>
    <phoneticPr fontId="5"/>
  </si>
  <si>
    <t>[effect:critical, val:1.0, animation:enemy_critical],[effect:heal, target:myself, val:0.2, animation:enemy_heal]</t>
    <phoneticPr fontId="5"/>
  </si>
  <si>
    <t>[effect:damage_anti_tribe, target:unit_all, tribe:human, val1:0.6, val2:0.4]</t>
    <phoneticPr fontId="5"/>
  </si>
  <si>
    <t>[effect:enhance_enemy, target:myself, turn:-1, status:attack, val:1.0, calc:mul, animation:enemy_enhance_attack],[effect:critical, val:1.0, animation:enemy_critical]</t>
    <phoneticPr fontId="5"/>
  </si>
  <si>
    <t>[effect:enhance_enemy, target:myself, turn:-1, status:attack, val:1.5, calc:mul, animation:enemy_enhance_attack],[effect:critical, val:1.0, animation:enemy_critical]</t>
    <phoneticPr fontId="5"/>
  </si>
  <si>
    <t>[effect:dis_heart, turn:-1, animation:enemy_dis_heart]</t>
    <phoneticPr fontId="5"/>
  </si>
  <si>
    <t>[effect:tolerance, target:myself, turn:-1, count:-1, tolerance_effect:all, animation:enemy_tolerance],[effect:dis_heart, turn:-1, animation:enemy_dis_heart]</t>
    <phoneticPr fontId="5"/>
  </si>
  <si>
    <t>クリティカル！</t>
    <phoneticPr fontId="5"/>
  </si>
  <si>
    <t xml:space="preserve"> 4ターン回復力50%DOWN</t>
    <phoneticPr fontId="5"/>
  </si>
  <si>
    <t>Cパネル生成延長(効果特大)</t>
    <phoneticPr fontId="5"/>
  </si>
  <si>
    <t>クリティカル！+2ターンスリープ</t>
    <phoneticPr fontId="5"/>
  </si>
  <si>
    <t>ハートパネル無効</t>
    <phoneticPr fontId="5"/>
  </si>
  <si>
    <t>Cパネル生成延長(効果特大)</t>
    <phoneticPr fontId="5"/>
  </si>
  <si>
    <t>状態異常耐性+Cパネル生成延長(効果特大)</t>
    <rPh sb="0" eb="4">
      <t>ｊｙ</t>
    </rPh>
    <rPh sb="4" eb="6">
      <t>タイセ</t>
    </rPh>
    <phoneticPr fontId="5"/>
  </si>
  <si>
    <t>種族ヒューマンのユニットに大ダメージの全体攻撃</t>
    <rPh sb="19" eb="23">
      <t>ゼｎ</t>
    </rPh>
    <phoneticPr fontId="5"/>
  </si>
  <si>
    <t>現在のHPの40%のダメージ</t>
    <rPh sb="0" eb="2">
      <t>ゲンザ</t>
    </rPh>
    <phoneticPr fontId="5"/>
  </si>
  <si>
    <t>状態異常耐性+ハートパネル無効</t>
    <rPh sb="0" eb="4">
      <t>ｊｙ</t>
    </rPh>
    <rPh sb="4" eb="6">
      <t>タイセ</t>
    </rPh>
    <rPh sb="13" eb="15">
      <t>ムコ</t>
    </rPh>
    <phoneticPr fontId="5"/>
  </si>
  <si>
    <t>[effect:heal, target:myself, val:0.2, animation:enemy_heal],[effect:critical, val:1.0, animation:enemy_critical]</t>
    <phoneticPr fontId="5"/>
  </si>
  <si>
    <t>攻撃力大UP+単体攻撃</t>
    <rPh sb="0" eb="3">
      <t>コウゲｋ</t>
    </rPh>
    <rPh sb="3" eb="4">
      <t>ダ</t>
    </rPh>
    <rPh sb="7" eb="11">
      <t>タンタ</t>
    </rPh>
    <phoneticPr fontId="5"/>
  </si>
  <si>
    <t>攻撃力超大UP+単体攻撃</t>
    <rPh sb="0" eb="3">
      <t>コウゲｋ</t>
    </rPh>
    <rPh sb="3" eb="5">
      <t>チョウダイ</t>
    </rPh>
    <phoneticPr fontId="5"/>
  </si>
  <si>
    <t>攻撃力超大UP+単体攻撃</t>
    <rPh sb="0" eb="3">
      <t>コウゲｋ</t>
    </rPh>
    <phoneticPr fontId="5"/>
  </si>
  <si>
    <t>[effect:enhance_enemy, target:myself, turn:-1, status:attack, val:0.5, calc:mul, animation:enemy_enhance_attack],[effect:critical, val:1.0, animation:enemy_critical]</t>
    <phoneticPr fontId="5"/>
  </si>
  <si>
    <t>ヒダルマダ！</t>
    <phoneticPr fontId="5"/>
  </si>
  <si>
    <t>ちょこっと吸血</t>
    <phoneticPr fontId="5"/>
  </si>
  <si>
    <t>攻撃+自己回復</t>
    <phoneticPr fontId="5"/>
  </si>
  <si>
    <t>ディスヒール</t>
    <phoneticPr fontId="5"/>
  </si>
  <si>
    <t>ノエル</t>
    <phoneticPr fontId="5"/>
  </si>
  <si>
    <t>重層空間</t>
    <phoneticPr fontId="5"/>
  </si>
  <si>
    <t>アイスフォール</t>
    <phoneticPr fontId="5"/>
  </si>
  <si>
    <t>スリープブレス</t>
    <phoneticPr fontId="5"/>
  </si>
  <si>
    <t>蒼の一閃</t>
    <phoneticPr fontId="5"/>
  </si>
  <si>
    <t>隙あり！</t>
    <phoneticPr fontId="5"/>
  </si>
  <si>
    <t>ディスハート</t>
    <phoneticPr fontId="5"/>
  </si>
  <si>
    <t>眠りの旋律</t>
    <rPh sb="0" eb="1">
      <t>ネムｒ</t>
    </rPh>
    <rPh sb="3" eb="5">
      <t>センリｔ</t>
    </rPh>
    <phoneticPr fontId="5"/>
  </si>
  <si>
    <t>ニンゲンなんかに負けないよ！</t>
    <rPh sb="8" eb="9">
      <t>マｋ</t>
    </rPh>
    <phoneticPr fontId="5"/>
  </si>
  <si>
    <t>どんなに強くてもこれでっ！</t>
    <rPh sb="4" eb="5">
      <t>ツｙ</t>
    </rPh>
    <phoneticPr fontId="5"/>
  </si>
  <si>
    <t>木々よ！ボクに力を！</t>
    <rPh sb="0" eb="1">
      <t>キｇ</t>
    </rPh>
    <rPh sb="7" eb="8">
      <t>チカｒ</t>
    </rPh>
    <phoneticPr fontId="5"/>
  </si>
  <si>
    <t>どんどん強くなるよ！</t>
    <rPh sb="4" eb="5">
      <t>ツｙ</t>
    </rPh>
    <phoneticPr fontId="5"/>
  </si>
  <si>
    <t>ほらほらー！</t>
    <phoneticPr fontId="5"/>
  </si>
  <si>
    <t>これで終わりにするよっ！</t>
    <rPh sb="3" eb="4">
      <t>オワｒ</t>
    </rPh>
    <phoneticPr fontId="5"/>
  </si>
  <si>
    <t>ふふっ、誰もボクを止められないよ！</t>
    <rPh sb="4" eb="5">
      <t>ダｒ</t>
    </rPh>
    <rPh sb="9" eb="10">
      <t>トｍ</t>
    </rPh>
    <phoneticPr fontId="5"/>
  </si>
  <si>
    <t>さあ、もっと暴れるよー！</t>
    <rPh sb="6" eb="7">
      <t>アバｒ</t>
    </rPh>
    <phoneticPr fontId="5"/>
  </si>
  <si>
    <t>何仙姑、ボクを連れ戻しに来たの？</t>
    <rPh sb="7" eb="8">
      <t>ツｒ</t>
    </rPh>
    <rPh sb="12" eb="13">
      <t>キｔ</t>
    </rPh>
    <phoneticPr fontId="5"/>
  </si>
  <si>
    <t>いたずらするのは楽しいね！</t>
    <rPh sb="8" eb="9">
      <t>タ</t>
    </rPh>
    <phoneticPr fontId="5"/>
  </si>
  <si>
    <t>負けちゃったかぁ…</t>
    <rPh sb="0" eb="1">
      <t>マｋ</t>
    </rPh>
    <phoneticPr fontId="5"/>
  </si>
  <si>
    <t>しばらくおとなしくしようかな…</t>
    <phoneticPr fontId="5"/>
  </si>
  <si>
    <t>このボクが負けるなんて…</t>
    <rPh sb="5" eb="6">
      <t>マｋ</t>
    </rPh>
    <phoneticPr fontId="5"/>
  </si>
  <si>
    <t>真面目に修行しなきゃダメかぁ…</t>
    <rPh sb="0" eb="3">
      <t>マジｍ</t>
    </rPh>
    <rPh sb="4" eb="6">
      <t>ｓｙ</t>
    </rPh>
    <phoneticPr fontId="5"/>
  </si>
  <si>
    <t>[effect:enemy_message, val1:2, val2:2.4]</t>
    <phoneticPr fontId="5"/>
  </si>
  <si>
    <t>temp_stage</t>
    <phoneticPr fontId="7"/>
  </si>
  <si>
    <t>unit</t>
    <phoneticPr fontId="5"/>
  </si>
  <si>
    <t>unit</t>
    <phoneticPr fontId="5"/>
  </si>
  <si>
    <t>2015-03-27 00:00:01</t>
  </si>
  <si>
    <t>2970-01-01 09:00:01</t>
  </si>
  <si>
    <t>2015-03-27 00:00:02</t>
  </si>
  <si>
    <t>2970-01-01 09:00:02</t>
  </si>
  <si>
    <t>2015-03-27 00:00:03</t>
  </si>
  <si>
    <t>2970-01-01 09:00:03</t>
  </si>
  <si>
    <t>2015-03-27 00:00:04</t>
  </si>
  <si>
    <t>2970-01-01 09:00:04</t>
  </si>
  <si>
    <t>2015-03-27 00:00:05</t>
  </si>
  <si>
    <t>2970-01-01 09:00:05</t>
  </si>
  <si>
    <t>2015-03-27 00:00:06</t>
  </si>
  <si>
    <t>2970-01-01 09:00:06</t>
  </si>
  <si>
    <t>bit</t>
    <phoneticPr fontId="5"/>
  </si>
  <si>
    <t>null</t>
    <phoneticPr fontId="5"/>
  </si>
  <si>
    <t>link</t>
  </si>
  <si>
    <t>unit</t>
    <phoneticPr fontId="5"/>
  </si>
  <si>
    <t>no_continue</t>
    <phoneticPr fontId="5"/>
  </si>
  <si>
    <t>full_member</t>
    <phoneticPr fontId="5"/>
  </si>
  <si>
    <t>ノエルは攻撃と同時に自己回復をします
Cパネルを使って一気に倒しましょう</t>
    <phoneticPr fontId="5"/>
  </si>
  <si>
    <t>青龍はCパネルの生成延長をして妨害します
Cパネル生成短縮のスキルが役立つでしょう</t>
    <phoneticPr fontId="5"/>
  </si>
  <si>
    <t>青龍はスリープ攻撃を使うことがあります
HPの管理には余裕を持って対応しましょう</t>
    <phoneticPr fontId="5"/>
  </si>
  <si>
    <t>トモエはハートパネル無効を使います
ハートパネル無効解除かパネルに
頼らない回復スキルが役立つでしょう</t>
    <phoneticPr fontId="5"/>
  </si>
  <si>
    <t>藍采和は4ターンごとに残りHPの40％の
ダメージを与えてきます
定期的な回復を心がけましょう</t>
    <phoneticPr fontId="5"/>
  </si>
  <si>
    <t>2ゲージ目の藍采和は残りHP50％以下で
攻撃と同時に自己回復をします
回数に制限があるので諦めずに戦いましょう</t>
    <phoneticPr fontId="5"/>
  </si>
  <si>
    <t>3ゲージ目の藍采和は残りHPによって
自身に攻撃力UPして攻撃をしてきます
スキルを使って一気に倒しましょう</t>
    <phoneticPr fontId="5"/>
  </si>
  <si>
    <t>セキュリティを担う8体の管理AIでしたが
女王の暴走により2つの勢力に分裂しました
この時女王の勢力についた一人が藍采和です</t>
    <phoneticPr fontId="5"/>
  </si>
  <si>
    <t>元々は自然を愛する元気なAIでしたが
女王によって暗黒仙人となりました
これによりイタズラ好きで自信過剰な性格が
強くなってしまったようです</t>
    <phoneticPr fontId="5"/>
  </si>
  <si>
    <t>八仙</t>
    <phoneticPr fontId="5"/>
  </si>
  <si>
    <t>藍采和</t>
    <phoneticPr fontId="5"/>
  </si>
  <si>
    <t>[effect:damage_abnormal, target:unit_one, val:1.2, status:sleep, turn:2, rate:1, animation:sleep01],[effect:damage_abnormal, target:unit_one, val:1.2, status:sleep, turn:2, rate:1, animation:sleep01]</t>
    <phoneticPr fontId="5"/>
  </si>
  <si>
    <t>2体にクリティカル！+2ターンスリープ</t>
    <rPh sb="1" eb="2">
      <t>タ</t>
    </rPh>
    <phoneticPr fontId="5"/>
  </si>
  <si>
    <t>2体にクリティカル！+2ターンスリープ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</si>
</sst>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29" fillId="0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5005</v>
          </cell>
        </row>
        <row r="1386">
          <cell r="A1386">
            <v>5006</v>
          </cell>
        </row>
        <row r="1387">
          <cell r="A1387">
            <v>5007</v>
          </cell>
        </row>
        <row r="1388">
          <cell r="A1388">
            <v>5008</v>
          </cell>
        </row>
        <row r="1389">
          <cell r="A1389">
            <v>6001</v>
          </cell>
        </row>
        <row r="1390">
          <cell r="A1390">
            <v>6002</v>
          </cell>
        </row>
        <row r="1391">
          <cell r="A1391">
            <v>6003</v>
          </cell>
        </row>
        <row r="1392">
          <cell r="A1392">
            <v>6004</v>
          </cell>
        </row>
        <row r="1393">
          <cell r="A1393">
            <v>6005</v>
          </cell>
        </row>
        <row r="1394">
          <cell r="A1394">
            <v>6006</v>
          </cell>
        </row>
        <row r="1395">
          <cell r="A1395">
            <v>6007</v>
          </cell>
        </row>
        <row r="1396">
          <cell r="A1396">
            <v>6008</v>
          </cell>
        </row>
        <row r="1397">
          <cell r="A1397">
            <v>6009</v>
          </cell>
        </row>
        <row r="1398">
          <cell r="A1398">
            <v>6010</v>
          </cell>
        </row>
        <row r="1399">
          <cell r="A1399">
            <v>6011</v>
          </cell>
        </row>
        <row r="1400">
          <cell r="A1400">
            <v>6012</v>
          </cell>
        </row>
        <row r="1401">
          <cell r="A1401">
            <v>6013</v>
          </cell>
        </row>
        <row r="1402">
          <cell r="A1402">
            <v>6014</v>
          </cell>
        </row>
        <row r="1403">
          <cell r="A1403">
            <v>6015</v>
          </cell>
        </row>
        <row r="1404">
          <cell r="A1404">
            <v>6016</v>
          </cell>
        </row>
        <row r="1405">
          <cell r="A1405">
            <v>6017</v>
          </cell>
        </row>
        <row r="1406">
          <cell r="A1406">
            <v>6018</v>
          </cell>
        </row>
        <row r="1407">
          <cell r="A1407">
            <v>6019</v>
          </cell>
        </row>
        <row r="1408">
          <cell r="A1408">
            <v>6020</v>
          </cell>
        </row>
        <row r="1409">
          <cell r="A1409">
            <v>8001</v>
          </cell>
        </row>
        <row r="1410">
          <cell r="A1410">
            <v>8002</v>
          </cell>
        </row>
        <row r="1411">
          <cell r="A1411">
            <v>8003</v>
          </cell>
        </row>
        <row r="1412">
          <cell r="A1412">
            <v>8004</v>
          </cell>
        </row>
        <row r="1413">
          <cell r="A1413">
            <v>8005</v>
          </cell>
        </row>
        <row r="1414">
          <cell r="A1414">
            <v>8006</v>
          </cell>
        </row>
        <row r="1415">
          <cell r="A1415">
            <v>8007</v>
          </cell>
        </row>
        <row r="1416">
          <cell r="A1416">
            <v>8008</v>
          </cell>
        </row>
        <row r="1417">
          <cell r="A1417">
            <v>8009</v>
          </cell>
        </row>
        <row r="1418">
          <cell r="A1418">
            <v>8010</v>
          </cell>
        </row>
        <row r="1419">
          <cell r="A1419">
            <v>8011</v>
          </cell>
        </row>
        <row r="1420">
          <cell r="A1420">
            <v>8012</v>
          </cell>
        </row>
        <row r="1421">
          <cell r="A1421">
            <v>8013</v>
          </cell>
        </row>
        <row r="1422">
          <cell r="A1422">
            <v>8014</v>
          </cell>
        </row>
        <row r="1423">
          <cell r="A1423">
            <v>8015</v>
          </cell>
        </row>
        <row r="1424">
          <cell r="A1424">
            <v>8016</v>
          </cell>
        </row>
        <row r="1425">
          <cell r="A1425">
            <v>8017</v>
          </cell>
        </row>
        <row r="1426">
          <cell r="A1426">
            <v>8018</v>
          </cell>
        </row>
        <row r="1427">
          <cell r="A1427">
            <v>8019</v>
          </cell>
        </row>
        <row r="1428">
          <cell r="A1428">
            <v>8020</v>
          </cell>
        </row>
        <row r="1429">
          <cell r="A1429">
            <v>8021</v>
          </cell>
        </row>
        <row r="1430">
          <cell r="A1430">
            <v>8022</v>
          </cell>
        </row>
        <row r="1431">
          <cell r="A1431">
            <v>8023</v>
          </cell>
        </row>
        <row r="1432">
          <cell r="A1432">
            <v>8024</v>
          </cell>
        </row>
        <row r="1433">
          <cell r="A1433">
            <v>8025</v>
          </cell>
        </row>
        <row r="1434">
          <cell r="A1434">
            <v>8026</v>
          </cell>
        </row>
        <row r="1435">
          <cell r="A1435">
            <v>8027</v>
          </cell>
        </row>
        <row r="1436">
          <cell r="A1436">
            <v>8028</v>
          </cell>
        </row>
        <row r="1437">
          <cell r="A1437">
            <v>8029</v>
          </cell>
        </row>
        <row r="1438">
          <cell r="A1438">
            <v>8030</v>
          </cell>
        </row>
        <row r="1439">
          <cell r="A1439">
            <v>8031</v>
          </cell>
        </row>
        <row r="1440">
          <cell r="A1440">
            <v>8032</v>
          </cell>
        </row>
        <row r="1441">
          <cell r="A1441">
            <v>8033</v>
          </cell>
        </row>
        <row r="1442">
          <cell r="A1442">
            <v>8034</v>
          </cell>
        </row>
        <row r="1443">
          <cell r="A1443">
            <v>8035</v>
          </cell>
        </row>
        <row r="1444">
          <cell r="A1444">
            <v>8036</v>
          </cell>
        </row>
        <row r="1445">
          <cell r="A1445">
            <v>8037</v>
          </cell>
        </row>
        <row r="1446">
          <cell r="A1446">
            <v>8038</v>
          </cell>
        </row>
        <row r="1447">
          <cell r="A1447">
            <v>8039</v>
          </cell>
        </row>
        <row r="1448">
          <cell r="A1448">
            <v>8040</v>
          </cell>
        </row>
        <row r="1449">
          <cell r="A1449">
            <v>8041</v>
          </cell>
        </row>
        <row r="1450">
          <cell r="A1450">
            <v>8042</v>
          </cell>
        </row>
        <row r="1451">
          <cell r="A1451">
            <v>8043</v>
          </cell>
        </row>
        <row r="1452">
          <cell r="A1452">
            <v>8044</v>
          </cell>
        </row>
        <row r="1453">
          <cell r="A1453">
            <v>8045</v>
          </cell>
        </row>
        <row r="1454">
          <cell r="A1454">
            <v>8046</v>
          </cell>
        </row>
        <row r="1455">
          <cell r="A1455">
            <v>8047</v>
          </cell>
        </row>
        <row r="1456">
          <cell r="A1456">
            <v>8048</v>
          </cell>
        </row>
        <row r="1457">
          <cell r="A1457">
            <v>8049</v>
          </cell>
        </row>
        <row r="1458">
          <cell r="A1458">
            <v>8050</v>
          </cell>
        </row>
        <row r="1459">
          <cell r="A1459">
            <v>8051</v>
          </cell>
        </row>
        <row r="1460">
          <cell r="A1460">
            <v>8052</v>
          </cell>
        </row>
        <row r="1461">
          <cell r="A1461">
            <v>8053</v>
          </cell>
        </row>
        <row r="1462">
          <cell r="A1462">
            <v>8054</v>
          </cell>
        </row>
        <row r="1463">
          <cell r="A1463">
            <v>8055</v>
          </cell>
        </row>
        <row r="1464">
          <cell r="A1464">
            <v>8056</v>
          </cell>
        </row>
        <row r="1465">
          <cell r="A1465">
            <v>8057</v>
          </cell>
        </row>
        <row r="1466">
          <cell r="A1466">
            <v>8058</v>
          </cell>
        </row>
        <row r="1467">
          <cell r="A1467">
            <v>8059</v>
          </cell>
        </row>
        <row r="1468">
          <cell r="A1468">
            <v>8060</v>
          </cell>
        </row>
        <row r="1469">
          <cell r="A1469">
            <v>8061</v>
          </cell>
        </row>
        <row r="1470">
          <cell r="A1470">
            <v>8062</v>
          </cell>
        </row>
        <row r="1471">
          <cell r="A1471">
            <v>8063</v>
          </cell>
        </row>
        <row r="1472">
          <cell r="A1472">
            <v>8064</v>
          </cell>
        </row>
        <row r="1473">
          <cell r="A1473">
            <v>8065</v>
          </cell>
        </row>
        <row r="1474">
          <cell r="A1474">
            <v>8066</v>
          </cell>
        </row>
        <row r="1475">
          <cell r="A1475">
            <v>8067</v>
          </cell>
        </row>
        <row r="1476">
          <cell r="A1476">
            <v>8068</v>
          </cell>
        </row>
        <row r="1477">
          <cell r="A1477">
            <v>8069</v>
          </cell>
        </row>
        <row r="1478">
          <cell r="A1478">
            <v>8070</v>
          </cell>
        </row>
        <row r="1479">
          <cell r="A1479">
            <v>8071</v>
          </cell>
        </row>
        <row r="1480">
          <cell r="A1480">
            <v>8072</v>
          </cell>
        </row>
        <row r="1481">
          <cell r="A1481">
            <v>8073</v>
          </cell>
        </row>
        <row r="1482">
          <cell r="A1482">
            <v>8074</v>
          </cell>
        </row>
        <row r="1483">
          <cell r="A1483">
            <v>8075</v>
          </cell>
        </row>
        <row r="1484">
          <cell r="A1484">
            <v>8076</v>
          </cell>
        </row>
        <row r="1485">
          <cell r="A1485">
            <v>8077</v>
          </cell>
        </row>
        <row r="1486">
          <cell r="A1486">
            <v>8078</v>
          </cell>
        </row>
        <row r="1487">
          <cell r="A1487">
            <v>8079</v>
          </cell>
        </row>
        <row r="1488">
          <cell r="A1488">
            <v>8080</v>
          </cell>
        </row>
        <row r="1489">
          <cell r="A1489">
            <v>8081</v>
          </cell>
        </row>
        <row r="1490">
          <cell r="A1490">
            <v>8082</v>
          </cell>
        </row>
        <row r="1491">
          <cell r="A1491">
            <v>8083</v>
          </cell>
        </row>
        <row r="1492">
          <cell r="A1492">
            <v>8084</v>
          </cell>
        </row>
        <row r="1493">
          <cell r="A1493">
            <v>8087</v>
          </cell>
        </row>
        <row r="1494">
          <cell r="A1494">
            <v>8088</v>
          </cell>
        </row>
        <row r="1495">
          <cell r="A1495">
            <v>8089</v>
          </cell>
        </row>
        <row r="1496">
          <cell r="A1496">
            <v>8090</v>
          </cell>
        </row>
        <row r="1497">
          <cell r="A1497">
            <v>8095</v>
          </cell>
        </row>
        <row r="1498">
          <cell r="A1498">
            <v>8096</v>
          </cell>
        </row>
        <row r="1499">
          <cell r="A1499">
            <v>8097</v>
          </cell>
        </row>
        <row r="1500">
          <cell r="A1500">
            <v>8098</v>
          </cell>
        </row>
        <row r="1501">
          <cell r="A1501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9" sqref="C1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248</v>
      </c>
      <c r="B2" s="56" t="s">
        <v>107</v>
      </c>
      <c r="C2" s="61">
        <v>48009</v>
      </c>
      <c r="D2" s="56" t="s">
        <v>247</v>
      </c>
      <c r="E2" s="55" t="str">
        <f>B2&amp;C2&amp;D2</f>
        <v>floors_48009.tmp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249</v>
      </c>
      <c r="B3" s="56" t="s">
        <v>110</v>
      </c>
      <c r="C3" s="61">
        <v>48009</v>
      </c>
      <c r="D3" s="56" t="s">
        <v>108</v>
      </c>
      <c r="E3" s="55" t="str">
        <f>B3&amp;C3&amp;D3</f>
        <v>enemy_habitats_48009.tmp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173</v>
      </c>
    </row>
    <row r="4" spans="1:30" x14ac:dyDescent="0.15">
      <c r="A4" s="60" t="s">
        <v>249</v>
      </c>
      <c r="B4" s="56" t="s">
        <v>112</v>
      </c>
      <c r="C4" s="61">
        <v>48009</v>
      </c>
      <c r="D4" s="56" t="s">
        <v>108</v>
      </c>
      <c r="E4" s="55" t="str">
        <f>B4&amp;C4&amp;D4</f>
        <v>enemy_habitat_S_48009.tmp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249</v>
      </c>
      <c r="B5" s="56" t="s">
        <v>114</v>
      </c>
      <c r="C5" s="61">
        <v>48009</v>
      </c>
      <c r="D5" s="56" t="s">
        <v>108</v>
      </c>
      <c r="E5" s="55" t="str">
        <f>B5&amp;C5&amp;D5</f>
        <v>enemy_skill_sets_48009.tmp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249</v>
      </c>
      <c r="B6" s="56" t="s">
        <v>116</v>
      </c>
      <c r="C6" s="61">
        <v>48009</v>
      </c>
      <c r="D6" s="56" t="s">
        <v>117</v>
      </c>
      <c r="E6" s="55" t="str">
        <f t="shared" ref="E6:E10" si="0">B6&amp;C6&amp;D6</f>
        <v>enemy_skills_tmp_48009.tmp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249</v>
      </c>
      <c r="B7" s="56" t="s">
        <v>118</v>
      </c>
      <c r="C7" s="61">
        <v>48009</v>
      </c>
      <c r="D7" s="56" t="s">
        <v>108</v>
      </c>
      <c r="E7" s="55" t="str">
        <f>B7&amp;C7&amp;D7</f>
        <v>enemy_skills_i18n_48009.tmp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249</v>
      </c>
      <c r="B8" s="56" t="s">
        <v>120</v>
      </c>
      <c r="C8" s="61">
        <v>48009</v>
      </c>
      <c r="D8" s="56" t="s">
        <v>121</v>
      </c>
      <c r="E8" s="55" t="str">
        <f t="shared" si="0"/>
        <v>enemy_skill_triggers_48009.tmp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248</v>
      </c>
      <c r="B9" s="66" t="s">
        <v>172</v>
      </c>
      <c r="C9" s="61">
        <v>48009</v>
      </c>
      <c r="D9" s="66" t="s">
        <v>166</v>
      </c>
      <c r="E9" s="67" t="str">
        <f t="shared" si="0"/>
        <v>stage_bug_bonuses_48009.tmp</v>
      </c>
      <c r="F9" s="66" t="s">
        <v>167</v>
      </c>
      <c r="G9" s="63" t="s">
        <v>151</v>
      </c>
      <c r="H9" s="63" t="s">
        <v>168</v>
      </c>
      <c r="I9" s="63" t="s">
        <v>169</v>
      </c>
      <c r="J9" s="65" t="s">
        <v>170</v>
      </c>
      <c r="K9" s="63" t="s">
        <v>171</v>
      </c>
      <c r="L9" s="63" t="s">
        <v>154</v>
      </c>
      <c r="M9" s="63" t="s">
        <v>155</v>
      </c>
      <c r="N9" s="63" t="s">
        <v>156</v>
      </c>
      <c r="O9" s="63" t="s">
        <v>157</v>
      </c>
      <c r="P9" s="63" t="s">
        <v>158</v>
      </c>
      <c r="Q9" s="63" t="s">
        <v>159</v>
      </c>
      <c r="R9" s="63" t="s">
        <v>160</v>
      </c>
      <c r="S9" s="63" t="s">
        <v>161</v>
      </c>
      <c r="T9" s="63" t="s">
        <v>162</v>
      </c>
      <c r="U9" s="63" t="s">
        <v>163</v>
      </c>
      <c r="V9" s="63" t="s">
        <v>164</v>
      </c>
      <c r="W9" s="63" t="s">
        <v>165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248</v>
      </c>
      <c r="B10" s="66" t="s">
        <v>196</v>
      </c>
      <c r="C10" s="61">
        <v>48009</v>
      </c>
      <c r="D10" s="66" t="s">
        <v>175</v>
      </c>
      <c r="E10" s="67" t="str">
        <f t="shared" si="0"/>
        <v>stage_hints_data_c_48009.tmp</v>
      </c>
      <c r="F10" s="66" t="s">
        <v>204</v>
      </c>
      <c r="G10" s="72" t="s">
        <v>176</v>
      </c>
      <c r="H10" s="72" t="s">
        <v>168</v>
      </c>
      <c r="I10" s="73" t="s">
        <v>177</v>
      </c>
      <c r="J10" s="65" t="s">
        <v>178</v>
      </c>
      <c r="K10" s="65" t="s">
        <v>179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0" t="s">
        <v>248</v>
      </c>
      <c r="B11" s="66" t="s">
        <v>197</v>
      </c>
      <c r="C11" s="61">
        <v>48009</v>
      </c>
      <c r="D11" s="66" t="s">
        <v>166</v>
      </c>
      <c r="E11" s="67" t="str">
        <f t="shared" ref="E11:E13" si="1">B11&amp;C11&amp;D11</f>
        <v>stage_hints_data_f_48009.tmp</v>
      </c>
      <c r="F11" s="66" t="s">
        <v>205</v>
      </c>
      <c r="G11" s="72" t="s">
        <v>176</v>
      </c>
      <c r="H11" s="72" t="s">
        <v>168</v>
      </c>
      <c r="I11" s="73" t="s">
        <v>177</v>
      </c>
      <c r="J11" s="65" t="s">
        <v>178</v>
      </c>
      <c r="K11" s="65" t="s">
        <v>179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0" t="s">
        <v>248</v>
      </c>
      <c r="B12" s="66" t="s">
        <v>198</v>
      </c>
      <c r="C12" s="61">
        <v>48009</v>
      </c>
      <c r="D12" s="66" t="s">
        <v>166</v>
      </c>
      <c r="E12" s="67" t="str">
        <f t="shared" si="1"/>
        <v>stage_hints_i18n_48009.tmp</v>
      </c>
      <c r="F12" s="66" t="s">
        <v>206</v>
      </c>
      <c r="G12" s="73" t="s">
        <v>199</v>
      </c>
      <c r="H12" s="92" t="s">
        <v>200</v>
      </c>
      <c r="I12" s="72" t="s">
        <v>201</v>
      </c>
      <c r="J12" s="100" t="s">
        <v>202</v>
      </c>
      <c r="K12" s="65" t="s">
        <v>203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0" t="s">
        <v>248</v>
      </c>
      <c r="B13" s="66" t="s">
        <v>244</v>
      </c>
      <c r="C13" s="61">
        <v>48009</v>
      </c>
      <c r="D13" s="66" t="s">
        <v>225</v>
      </c>
      <c r="E13" s="67" t="str">
        <f t="shared" si="1"/>
        <v>stage_bonuses_48009.tmp</v>
      </c>
      <c r="F13" s="66" t="s">
        <v>224</v>
      </c>
      <c r="G13" s="72" t="s">
        <v>226</v>
      </c>
      <c r="H13" s="72" t="s">
        <v>227</v>
      </c>
      <c r="I13" s="72" t="s">
        <v>228</v>
      </c>
      <c r="J13" s="72" t="s">
        <v>229</v>
      </c>
      <c r="K13" s="72" t="s">
        <v>230</v>
      </c>
      <c r="L13" s="72" t="s">
        <v>231</v>
      </c>
      <c r="M13" s="72" t="s">
        <v>232</v>
      </c>
      <c r="N13" s="72" t="s">
        <v>233</v>
      </c>
      <c r="O13" s="72" t="s">
        <v>234</v>
      </c>
      <c r="P13" s="72" t="s">
        <v>235</v>
      </c>
      <c r="Q13" s="72" t="s">
        <v>236</v>
      </c>
      <c r="R13" s="72" t="s">
        <v>237</v>
      </c>
      <c r="S13" s="72" t="s">
        <v>238</v>
      </c>
      <c r="T13" s="72" t="s">
        <v>239</v>
      </c>
      <c r="U13" s="72" t="s">
        <v>240</v>
      </c>
      <c r="V13" s="72" t="s">
        <v>241</v>
      </c>
      <c r="W13" s="72" t="s">
        <v>242</v>
      </c>
      <c r="X13" s="72" t="s">
        <v>243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F13" sqref="F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48009_1-1</v>
      </c>
      <c r="B2" s="16" t="str">
        <f>IF(COUNTIF(enemy_habitats!$H:$H,A2),"OK","NG")</f>
        <v>OK</v>
      </c>
      <c r="C2" s="7">
        <v>48009</v>
      </c>
      <c r="D2" s="11" t="str">
        <f ca="1">VLOOKUP($C2,OFFSET([2]quests!$A$1,0,0,COUNTA([2]quests!$A:$A),MATCH(D$1,[2]quests!$1:$1,0)-MATCH($C$1,[2]quests!$1:$1,0)+1),MATCH(D$1,[2]quests!$1:$1,0)-MATCH($C$1,[2]quests!$1:$1,0)+1,FALSE)</f>
        <v>藍采和襲来！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台湾版降臨10</v>
      </c>
      <c r="F2" s="21">
        <v>1</v>
      </c>
      <c r="G2" s="22" t="str">
        <f>C2&amp;"_"&amp;F2</f>
        <v>48009_1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【超絶級】藍采和襲来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48009_1-2</v>
      </c>
      <c r="B3" s="16" t="str">
        <f>IF(COUNTIF(enemy_habitats!$H:$H,A3),"OK","NG")</f>
        <v>OK</v>
      </c>
      <c r="C3" s="7">
        <v>48009</v>
      </c>
      <c r="D3" s="11" t="str">
        <f ca="1">VLOOKUP($C3,OFFSET([2]quests!$A$1,0,0,COUNTA([2]quests!$A:$A),MATCH(D$1,[2]quests!$1:$1,0)-MATCH($C$1,[2]quests!$1:$1,0)+1),MATCH(D$1,[2]quests!$1:$1,0)-MATCH($C$1,[2]quests!$1:$1,0)+1,FALSE)</f>
        <v>藍采和襲来！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台湾版降臨10</v>
      </c>
      <c r="F3" s="21">
        <v>1</v>
      </c>
      <c r="G3" s="22" t="str">
        <f t="shared" ref="G3:G5" si="1">C3&amp;"_"&amp;F3</f>
        <v>48009_1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【超絶級】藍采和襲来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48009_1-3</v>
      </c>
      <c r="B4" s="16" t="str">
        <f>IF(COUNTIF(enemy_habitats!$H:$H,A4),"OK","NG")</f>
        <v>OK</v>
      </c>
      <c r="C4" s="7">
        <v>48009</v>
      </c>
      <c r="D4" s="11" t="str">
        <f ca="1">VLOOKUP($C4,OFFSET([2]quests!$A$1,0,0,COUNTA([2]quests!$A:$A),MATCH(D$1,[2]quests!$1:$1,0)-MATCH($C$1,[2]quests!$1:$1,0)+1),MATCH(D$1,[2]quests!$1:$1,0)-MATCH($C$1,[2]quests!$1:$1,0)+1,FALSE)</f>
        <v>藍采和襲来！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台湾版降臨10</v>
      </c>
      <c r="F4" s="21">
        <v>1</v>
      </c>
      <c r="G4" s="22" t="str">
        <f t="shared" si="1"/>
        <v>48009_1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【超絶級】藍采和襲来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48009_1-4</v>
      </c>
      <c r="B5" s="16" t="str">
        <f>IF(COUNTIF(enemy_habitats!$H:$H,A5),"OK","NG")</f>
        <v>OK</v>
      </c>
      <c r="C5" s="7">
        <v>48009</v>
      </c>
      <c r="D5" s="11" t="str">
        <f ca="1">VLOOKUP($C5,OFFSET([2]quests!$A$1,0,0,COUNTA([2]quests!$A:$A),MATCH(D$1,[2]quests!$1:$1,0)-MATCH($C$1,[2]quests!$1:$1,0)+1),MATCH(D$1,[2]quests!$1:$1,0)-MATCH($C$1,[2]quests!$1:$1,0)+1,FALSE)</f>
        <v>藍采和襲来！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台湾版降臨10</v>
      </c>
      <c r="F5" s="21">
        <v>1</v>
      </c>
      <c r="G5" s="22" t="str">
        <f t="shared" si="1"/>
        <v>48009_1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【超絶級】藍采和襲来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48009_2-1</v>
      </c>
      <c r="B6" s="16" t="str">
        <f>IF(COUNTIF(enemy_habitats!$H:$H,A6),"OK","NG")</f>
        <v>OK</v>
      </c>
      <c r="C6" s="7">
        <v>48009</v>
      </c>
      <c r="D6" s="11" t="str">
        <f ca="1">VLOOKUP($C6,OFFSET([2]quests!$A$1,0,0,COUNTA([2]quests!$A:$A),MATCH(D$1,[2]quests!$1:$1,0)-MATCH($C$1,[2]quests!$1:$1,0)+1),MATCH(D$1,[2]quests!$1:$1,0)-MATCH($C$1,[2]quests!$1:$1,0)+1,FALSE)</f>
        <v>藍采和襲来！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台湾版降臨10</v>
      </c>
      <c r="F6" s="21">
        <v>2</v>
      </c>
      <c r="G6" s="22" t="str">
        <f>C6&amp;"_"&amp;F6</f>
        <v>48009_2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【ウィザード級】藍采和襲来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ref="A7:A9" si="2">G7&amp;"-"&amp;I7</f>
        <v>48009_2-2</v>
      </c>
      <c r="B7" s="16" t="str">
        <f>IF(COUNTIF(enemy_habitats!$H:$H,A7),"OK","NG")</f>
        <v>OK</v>
      </c>
      <c r="C7" s="7">
        <v>48009</v>
      </c>
      <c r="D7" s="11" t="str">
        <f ca="1">VLOOKUP($C7,OFFSET([2]quests!$A$1,0,0,COUNTA([2]quests!$A:$A),MATCH(D$1,[2]quests!$1:$1,0)-MATCH($C$1,[2]quests!$1:$1,0)+1),MATCH(D$1,[2]quests!$1:$1,0)-MATCH($C$1,[2]quests!$1:$1,0)+1,FALSE)</f>
        <v>藍采和襲来！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台湾版降臨10</v>
      </c>
      <c r="F7" s="21">
        <v>2</v>
      </c>
      <c r="G7" s="22" t="str">
        <f t="shared" ref="G7:G9" si="3">C7&amp;"_"&amp;F7</f>
        <v>48009_2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【ウィザード級】藍采和襲来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48009_2-3</v>
      </c>
      <c r="B8" s="16" t="str">
        <f>IF(COUNTIF(enemy_habitats!$H:$H,A8),"OK","NG")</f>
        <v>OK</v>
      </c>
      <c r="C8" s="7">
        <v>48009</v>
      </c>
      <c r="D8" s="11" t="str">
        <f ca="1">VLOOKUP($C8,OFFSET([2]quests!$A$1,0,0,COUNTA([2]quests!$A:$A),MATCH(D$1,[2]quests!$1:$1,0)-MATCH($C$1,[2]quests!$1:$1,0)+1),MATCH(D$1,[2]quests!$1:$1,0)-MATCH($C$1,[2]quests!$1:$1,0)+1,FALSE)</f>
        <v>藍采和襲来！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台湾版降臨10</v>
      </c>
      <c r="F8" s="21">
        <v>2</v>
      </c>
      <c r="G8" s="22" t="str">
        <f t="shared" si="3"/>
        <v>48009_2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【ウィザード級】藍采和襲来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48009_2-4</v>
      </c>
      <c r="B9" s="16" t="str">
        <f>IF(COUNTIF(enemy_habitats!$H:$H,A9),"OK","NG")</f>
        <v>OK</v>
      </c>
      <c r="C9" s="7">
        <v>48009</v>
      </c>
      <c r="D9" s="11" t="str">
        <f ca="1">VLOOKUP($C9,OFFSET([2]quests!$A$1,0,0,COUNTA([2]quests!$A:$A),MATCH(D$1,[2]quests!$1:$1,0)-MATCH($C$1,[2]quests!$1:$1,0)+1),MATCH(D$1,[2]quests!$1:$1,0)-MATCH($C$1,[2]quests!$1:$1,0)+1,FALSE)</f>
        <v>藍采和襲来！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台湾版降臨10</v>
      </c>
      <c r="F9" s="21">
        <v>2</v>
      </c>
      <c r="G9" s="22" t="str">
        <f t="shared" si="3"/>
        <v>48009_2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【ウィザード級】藍采和襲来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zoomScale="80" zoomScaleNormal="80" zoomScalePageLayoutView="8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B15" sqref="B1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1" t="s">
        <v>245</v>
      </c>
      <c r="U1" s="25" t="s">
        <v>50</v>
      </c>
      <c r="V1" s="101" t="s">
        <v>246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174</v>
      </c>
    </row>
    <row r="2" spans="1:42" ht="21" customHeight="1" x14ac:dyDescent="0.15">
      <c r="A2" s="16" t="str">
        <f>B2&amp;"_"&amp;C2&amp;"-"&amp;G2&amp;"/"&amp;L2&amp;"&lt;lv"&amp;R2&amp;"&gt;s"&amp;AC2</f>
        <v>48009_1-1/370&lt;lv60&gt;s2</v>
      </c>
      <c r="B2" s="7">
        <v>48009</v>
      </c>
      <c r="C2" s="21">
        <v>1</v>
      </c>
      <c r="D2" s="2" t="str">
        <f>B2&amp;"_"&amp;C2</f>
        <v>48009_1</v>
      </c>
      <c r="E2" s="4" t="str">
        <f ca="1">VLOOKUP($B2,OFFSET([2]quests!$A$1,0,0,COUNTA([2]quests!$A:$A),MATCH(E$1,[2]quests!$1:$1,0)-MATCH($B$1,[2]quests!$1:$1,0)+1),MATCH(E$1,[2]quests!$1:$1,0)-MATCH($B$1,[2]quests!$1:$1,0)+1,FALSE)</f>
        <v>藍采和襲来！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【超絶級】藍采和襲来</v>
      </c>
      <c r="G2" s="21">
        <v>1</v>
      </c>
      <c r="H2" s="15" t="str">
        <f>B2&amp;"_"&amp;C2&amp;"-"&amp;G2</f>
        <v>48009_1-1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20">
        <v>370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タイチ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4">
        <v>5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61500</v>
      </c>
      <c r="U2" s="24">
        <v>0.5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2503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6">
        <v>48009100</v>
      </c>
      <c r="Z2" s="6">
        <v>1</v>
      </c>
      <c r="AA2" s="6">
        <v>100</v>
      </c>
      <c r="AB2" s="6">
        <v>1</v>
      </c>
      <c r="AC2" s="17">
        <v>2</v>
      </c>
      <c r="AD2" s="23">
        <f>L2</f>
        <v>370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3">
        <f ca="1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>B3&amp;"_"&amp;C3&amp;"-"&amp;G3&amp;"/"&amp;L3&amp;"&lt;lv"&amp;R3&amp;"&gt;s"&amp;AC3</f>
        <v>48009_1-1/364&lt;lv60&gt;s1</v>
      </c>
      <c r="B3" s="7">
        <v>48009</v>
      </c>
      <c r="C3" s="21">
        <v>1</v>
      </c>
      <c r="D3" s="2" t="str">
        <f>B3&amp;"_"&amp;C3</f>
        <v>48009_1</v>
      </c>
      <c r="E3" s="4" t="str">
        <f ca="1">VLOOKUP($B3,OFFSET([2]quests!$A$1,0,0,COUNTA([2]quests!$A:$A),MATCH(E$1,[2]quests!$1:$1,0)-MATCH($B$1,[2]quests!$1:$1,0)+1),MATCH(E$1,[2]quests!$1:$1,0)-MATCH($B$1,[2]quests!$1:$1,0)+1,FALSE)</f>
        <v>藍采和襲来！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【超絶級】藍采和襲来</v>
      </c>
      <c r="G3" s="21">
        <v>1</v>
      </c>
      <c r="H3" s="15" t="str">
        <f>B3&amp;"_"&amp;C3&amp;"-"&amp;G3</f>
        <v>48009_1-1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20">
        <v>364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ノエル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4">
        <v>6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73800</v>
      </c>
      <c r="U3" s="24">
        <v>0.4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2116.4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 xml:space="preserve"> 4ターン回復力50%DOWN</v>
      </c>
      <c r="Y3" s="46">
        <v>48009101</v>
      </c>
      <c r="Z3" s="6">
        <v>2</v>
      </c>
      <c r="AA3" s="6">
        <v>100</v>
      </c>
      <c r="AB3" s="6">
        <v>0</v>
      </c>
      <c r="AC3" s="17">
        <v>1</v>
      </c>
      <c r="AD3" s="23">
        <f>L3</f>
        <v>364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3">
        <f ca="1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ref="A4:A6" si="0">B4&amp;"_"&amp;C4&amp;"-"&amp;G4&amp;"/"&amp;L4&amp;"&lt;lv"&amp;R4&amp;"&gt;s"&amp;AC4</f>
        <v>48009_1-2/92&lt;lv65&gt;s2</v>
      </c>
      <c r="B4" s="7">
        <v>48009</v>
      </c>
      <c r="C4" s="21">
        <v>1</v>
      </c>
      <c r="D4" s="2" t="str">
        <f t="shared" ref="D4:D6" si="1">B4&amp;"_"&amp;C4</f>
        <v>48009_1</v>
      </c>
      <c r="E4" s="4" t="str">
        <f ca="1">VLOOKUP($B4,OFFSET([2]quests!$A$1,0,0,COUNTA([2]quests!$A:$A),MATCH(E$1,[2]quests!$1:$1,0)-MATCH($B$1,[2]quests!$1:$1,0)+1),MATCH(E$1,[2]quests!$1:$1,0)-MATCH($B$1,[2]quests!$1:$1,0)+1,FALSE)</f>
        <v>藍采和襲来！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【超絶級】藍采和襲来</v>
      </c>
      <c r="G4" s="21">
        <v>2</v>
      </c>
      <c r="H4" s="15" t="str">
        <f t="shared" ref="H4:H6" si="2">B4&amp;"_"&amp;C4&amp;"-"&amp;G4</f>
        <v>48009_1-2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1</v>
      </c>
      <c r="L4" s="20">
        <v>92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守護者 青龍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65</v>
      </c>
      <c r="S4" s="24">
        <v>2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198836</v>
      </c>
      <c r="U4" s="24">
        <v>0.7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5088.2999999999993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Cパネル生成延長(効果特大)</v>
      </c>
      <c r="Y4" s="46">
        <v>48009102</v>
      </c>
      <c r="Z4" s="6">
        <v>1</v>
      </c>
      <c r="AA4" s="6">
        <v>100</v>
      </c>
      <c r="AB4" s="6">
        <v>1</v>
      </c>
      <c r="AC4" s="17">
        <v>2</v>
      </c>
      <c r="AD4" s="23">
        <v>91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青龍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3">
        <f t="shared" ref="AI4:AI6" ca="1" si="3">AF4</f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48009_1-3/138&lt;lv60&gt;s1</v>
      </c>
      <c r="B5" s="7">
        <v>48009</v>
      </c>
      <c r="C5" s="21">
        <v>1</v>
      </c>
      <c r="D5" s="2" t="str">
        <f t="shared" si="1"/>
        <v>48009_1</v>
      </c>
      <c r="E5" s="4" t="str">
        <f ca="1">VLOOKUP($B5,OFFSET([2]quests!$A$1,0,0,COUNTA([2]quests!$A:$A),MATCH(E$1,[2]quests!$1:$1,0)-MATCH($B$1,[2]quests!$1:$1,0)+1),MATCH(E$1,[2]quests!$1:$1,0)-MATCH($B$1,[2]quests!$1:$1,0)+1,FALSE)</f>
        <v>藍采和襲来！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【超絶級】藍采和襲来</v>
      </c>
      <c r="G5" s="21">
        <v>3</v>
      </c>
      <c r="H5" s="15" t="str">
        <f t="shared" si="2"/>
        <v>48009_1-3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20">
        <v>138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蒼薙のトモエ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60</v>
      </c>
      <c r="S5" s="24">
        <v>6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381546</v>
      </c>
      <c r="U5" s="24">
        <v>0.6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3351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全体攻撃</v>
      </c>
      <c r="Y5" s="46">
        <v>48009104</v>
      </c>
      <c r="Z5" s="6">
        <v>1</v>
      </c>
      <c r="AA5" s="6">
        <v>100</v>
      </c>
      <c r="AB5" s="6">
        <v>1</v>
      </c>
      <c r="AC5" s="17">
        <v>1</v>
      </c>
      <c r="AD5" s="23">
        <v>138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蒼薙のトモエ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3">
        <f t="shared" ca="1" si="3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48009_1-3/61&lt;lv60&gt;s2</v>
      </c>
      <c r="B6" s="7">
        <v>48009</v>
      </c>
      <c r="C6" s="21">
        <v>1</v>
      </c>
      <c r="D6" s="2" t="str">
        <f t="shared" si="1"/>
        <v>48009_1</v>
      </c>
      <c r="E6" s="4" t="str">
        <f ca="1">VLOOKUP($B6,OFFSET([2]quests!$A$1,0,0,COUNTA([2]quests!$A:$A),MATCH(E$1,[2]quests!$1:$1,0)-MATCH($B$1,[2]quests!$1:$1,0)+1),MATCH(E$1,[2]quests!$1:$1,0)-MATCH($B$1,[2]quests!$1:$1,0)+1,FALSE)</f>
        <v>藍采和襲来！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【超絶級】藍采和襲来</v>
      </c>
      <c r="G6" s="21">
        <v>3</v>
      </c>
      <c r="H6" s="15" t="str">
        <f t="shared" si="2"/>
        <v>48009_1-3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20">
        <v>61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クロウ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60</v>
      </c>
      <c r="S6" s="24">
        <v>10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98400</v>
      </c>
      <c r="U6" s="24">
        <v>0.8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2482.4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クリティカル！+2ターンスリープ</v>
      </c>
      <c r="Y6" s="46">
        <v>48009105</v>
      </c>
      <c r="Z6" s="6">
        <v>2</v>
      </c>
      <c r="AA6" s="6">
        <v>100</v>
      </c>
      <c r="AB6" s="6">
        <v>0</v>
      </c>
      <c r="AC6" s="17">
        <v>2</v>
      </c>
      <c r="AD6" s="23">
        <f t="shared" ref="AD6" si="4">L6</f>
        <v>61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7">
        <v>1</v>
      </c>
      <c r="AI6" s="23">
        <f t="shared" ca="1" si="3"/>
        <v>2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>B7&amp;"_"&amp;C7&amp;"-"&amp;G7&amp;"/"&amp;L7&amp;"&lt;lv"&amp;R7&amp;"&gt;s"&amp;AC7</f>
        <v>48009_1-4/8041&lt;lv65&gt;s2</v>
      </c>
      <c r="B7" s="7">
        <v>48009</v>
      </c>
      <c r="C7" s="21">
        <v>1</v>
      </c>
      <c r="D7" s="2" t="str">
        <f>B7&amp;"_"&amp;C7</f>
        <v>48009_1</v>
      </c>
      <c r="E7" s="4" t="str">
        <f ca="1">VLOOKUP($B7,OFFSET([2]quests!$A$1,0,0,COUNTA([2]quests!$A:$A),MATCH(E$1,[2]quests!$1:$1,0)-MATCH($B$1,[2]quests!$1:$1,0)+1),MATCH(E$1,[2]quests!$1:$1,0)-MATCH($B$1,[2]quests!$1:$1,0)+1,FALSE)</f>
        <v>藍采和襲来！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【超絶級】藍采和襲来</v>
      </c>
      <c r="G7" s="21">
        <v>4</v>
      </c>
      <c r="H7" s="15" t="str">
        <f>B7&amp;"_"&amp;C7&amp;"-"&amp;G7</f>
        <v>48009_1-4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20">
        <v>8041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藍采和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65</v>
      </c>
      <c r="S7" s="24">
        <v>1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24">
        <v>1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6">
        <v>48009106</v>
      </c>
      <c r="Z7" s="6">
        <v>1</v>
      </c>
      <c r="AA7" s="6">
        <v>100</v>
      </c>
      <c r="AB7" s="6">
        <v>1</v>
      </c>
      <c r="AC7" s="17">
        <v>2</v>
      </c>
      <c r="AD7" s="23">
        <f>L7</f>
        <v>8041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藍采和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3">
        <f ca="1">AF7</f>
        <v>5</v>
      </c>
      <c r="AJ7" s="8">
        <v>15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>B8&amp;"_"&amp;C8&amp;"-"&amp;G8&amp;"/"&amp;L8&amp;"&lt;lv"&amp;R8&amp;"&gt;s"&amp;AC8</f>
        <v>48009_2-1/370&lt;lv80&gt;s2</v>
      </c>
      <c r="B8" s="7">
        <v>48009</v>
      </c>
      <c r="C8" s="21">
        <v>2</v>
      </c>
      <c r="D8" s="2" t="str">
        <f>B8&amp;"_"&amp;C8</f>
        <v>48009_2</v>
      </c>
      <c r="E8" s="4" t="str">
        <f ca="1">VLOOKUP($B8,OFFSET([2]quests!$A$1,0,0,COUNTA([2]quests!$A:$A),MATCH(E$1,[2]quests!$1:$1,0)-MATCH($B$1,[2]quests!$1:$1,0)+1),MATCH(E$1,[2]quests!$1:$1,0)-MATCH($B$1,[2]quests!$1:$1,0)+1,FALSE)</f>
        <v>藍采和襲来！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【ウィザード級】藍采和襲来</v>
      </c>
      <c r="G8" s="21">
        <v>1</v>
      </c>
      <c r="H8" s="15" t="str">
        <f>B8&amp;"_"&amp;C8&amp;"-"&amp;G8</f>
        <v>48009_2-1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20">
        <v>370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タイチ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80</v>
      </c>
      <c r="S8" s="24">
        <v>5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81500</v>
      </c>
      <c r="U8" s="24">
        <v>0.5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3317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6">
        <v>48009100</v>
      </c>
      <c r="Z8" s="6">
        <v>1</v>
      </c>
      <c r="AA8" s="6">
        <v>100</v>
      </c>
      <c r="AB8" s="6">
        <v>1</v>
      </c>
      <c r="AC8" s="17">
        <v>2</v>
      </c>
      <c r="AD8" s="23">
        <f>L8</f>
        <v>370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3">
        <f ca="1">AF8</f>
        <v>2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>B9&amp;"_"&amp;C9&amp;"-"&amp;G9&amp;"/"&amp;L9&amp;"&lt;lv"&amp;R9&amp;"&gt;s"&amp;AC9</f>
        <v>48009_2-1/364&lt;lv80&gt;s1</v>
      </c>
      <c r="B9" s="7">
        <v>48009</v>
      </c>
      <c r="C9" s="21">
        <v>2</v>
      </c>
      <c r="D9" s="2" t="str">
        <f>B9&amp;"_"&amp;C9</f>
        <v>48009_2</v>
      </c>
      <c r="E9" s="4" t="str">
        <f ca="1">VLOOKUP($B9,OFFSET([2]quests!$A$1,0,0,COUNTA([2]quests!$A:$A),MATCH(E$1,[2]quests!$1:$1,0)-MATCH($B$1,[2]quests!$1:$1,0)+1),MATCH(E$1,[2]quests!$1:$1,0)-MATCH($B$1,[2]quests!$1:$1,0)+1,FALSE)</f>
        <v>藍采和襲来！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【ウィザード級】藍采和襲来</v>
      </c>
      <c r="G9" s="21">
        <v>1</v>
      </c>
      <c r="H9" s="15" t="str">
        <f>B9&amp;"_"&amp;C9&amp;"-"&amp;G9</f>
        <v>48009_2-1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53</v>
      </c>
      <c r="L9" s="20">
        <v>364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ノエル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80</v>
      </c>
      <c r="S9" s="24">
        <v>6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97800</v>
      </c>
      <c r="U9" s="24">
        <v>0.4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2804.4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 xml:space="preserve"> 4ターン回復力50%DOWN</v>
      </c>
      <c r="Y9" s="46">
        <v>48009101</v>
      </c>
      <c r="Z9" s="6">
        <v>2</v>
      </c>
      <c r="AA9" s="6">
        <v>100</v>
      </c>
      <c r="AB9" s="6">
        <v>0</v>
      </c>
      <c r="AC9" s="17">
        <v>1</v>
      </c>
      <c r="AD9" s="23">
        <f>L9</f>
        <v>364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3">
        <f ca="1">AF9</f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ref="A10:A12" si="5">B10&amp;"_"&amp;C10&amp;"-"&amp;G10&amp;"/"&amp;L10&amp;"&lt;lv"&amp;R10&amp;"&gt;s"&amp;AC10</f>
        <v>48009_2-2/92&lt;lv80&gt;s2</v>
      </c>
      <c r="B10" s="7">
        <v>48009</v>
      </c>
      <c r="C10" s="21">
        <v>2</v>
      </c>
      <c r="D10" s="2" t="str">
        <f t="shared" ref="D10:D12" si="6">B10&amp;"_"&amp;C10</f>
        <v>48009_2</v>
      </c>
      <c r="E10" s="4" t="str">
        <f ca="1">VLOOKUP($B10,OFFSET([2]quests!$A$1,0,0,COUNTA([2]quests!$A:$A),MATCH(E$1,[2]quests!$1:$1,0)-MATCH($B$1,[2]quests!$1:$1,0)+1),MATCH(E$1,[2]quests!$1:$1,0)-MATCH($B$1,[2]quests!$1:$1,0)+1,FALSE)</f>
        <v>藍采和襲来！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【ウィザード級】藍采和襲来</v>
      </c>
      <c r="G10" s="21">
        <v>2</v>
      </c>
      <c r="H10" s="15" t="str">
        <f t="shared" ref="H10:H12" si="7">B10&amp;"_"&amp;C10&amp;"-"&amp;G10</f>
        <v>48009_2-2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3</v>
      </c>
      <c r="L10" s="20">
        <v>92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守護者 青龍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80</v>
      </c>
      <c r="S10" s="24">
        <v>2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243686</v>
      </c>
      <c r="U10" s="24">
        <v>0.7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6236.2999999999993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Cパネル生成延長(効果特大)</v>
      </c>
      <c r="Y10" s="46">
        <v>48009102</v>
      </c>
      <c r="Z10" s="6">
        <v>1</v>
      </c>
      <c r="AA10" s="6">
        <v>100</v>
      </c>
      <c r="AB10" s="6">
        <v>1</v>
      </c>
      <c r="AC10" s="17">
        <v>2</v>
      </c>
      <c r="AD10" s="23">
        <v>91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青龍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3">
        <f t="shared" ref="AI10:AI12" ca="1" si="8">AF10</f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6" t="str">
        <f t="shared" si="5"/>
        <v>48009_2-3/138&lt;lv80&gt;s1</v>
      </c>
      <c r="B11" s="7">
        <v>48009</v>
      </c>
      <c r="C11" s="21">
        <v>2</v>
      </c>
      <c r="D11" s="2" t="str">
        <f t="shared" si="6"/>
        <v>48009_2</v>
      </c>
      <c r="E11" s="4" t="str">
        <f ca="1">VLOOKUP($B11,OFFSET([2]quests!$A$1,0,0,COUNTA([2]quests!$A:$A),MATCH(E$1,[2]quests!$1:$1,0)-MATCH($B$1,[2]quests!$1:$1,0)+1),MATCH(E$1,[2]quests!$1:$1,0)-MATCH($B$1,[2]quests!$1:$1,0)+1,FALSE)</f>
        <v>藍采和襲来！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【ウィザード級】藍采和襲来</v>
      </c>
      <c r="G11" s="21">
        <v>3</v>
      </c>
      <c r="H11" s="15" t="str">
        <f t="shared" si="7"/>
        <v>48009_2-3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 t="s">
        <v>53</v>
      </c>
      <c r="L11" s="20">
        <v>138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蒼薙のトモエ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80</v>
      </c>
      <c r="S11" s="24">
        <v>6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505626</v>
      </c>
      <c r="U11" s="24">
        <v>0.6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4440.5999999999995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1" s="46">
        <v>48009104</v>
      </c>
      <c r="Z11" s="6">
        <v>1</v>
      </c>
      <c r="AA11" s="6">
        <v>100</v>
      </c>
      <c r="AB11" s="6">
        <v>1</v>
      </c>
      <c r="AC11" s="17">
        <v>1</v>
      </c>
      <c r="AD11" s="23">
        <v>138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蒼薙のトモエ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7">
        <v>1</v>
      </c>
      <c r="AI11" s="23">
        <f t="shared" ca="1" si="8"/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  <row r="12" spans="1:42" ht="21" customHeight="1" x14ac:dyDescent="0.15">
      <c r="A12" s="16" t="str">
        <f t="shared" si="5"/>
        <v>48009_2-3/61&lt;lv80&gt;s2</v>
      </c>
      <c r="B12" s="7">
        <v>48009</v>
      </c>
      <c r="C12" s="21">
        <v>2</v>
      </c>
      <c r="D12" s="2" t="str">
        <f t="shared" si="6"/>
        <v>48009_2</v>
      </c>
      <c r="E12" s="4" t="str">
        <f ca="1">VLOOKUP($B12,OFFSET([2]quests!$A$1,0,0,COUNTA([2]quests!$A:$A),MATCH(E$1,[2]quests!$1:$1,0)-MATCH($B$1,[2]quests!$1:$1,0)+1),MATCH(E$1,[2]quests!$1:$1,0)-MATCH($B$1,[2]quests!$1:$1,0)+1,FALSE)</f>
        <v>藍采和襲来！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【ウィザード級】藍采和襲来</v>
      </c>
      <c r="G12" s="21">
        <v>3</v>
      </c>
      <c r="H12" s="15" t="str">
        <f t="shared" si="7"/>
        <v>48009_2-3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 t="s">
        <v>53</v>
      </c>
      <c r="L12" s="20">
        <v>61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クロウ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80</v>
      </c>
      <c r="S12" s="24">
        <v>10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130400</v>
      </c>
      <c r="U12" s="24">
        <v>0.8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3289.6000000000004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クリティカル！+2ターンスリープ</v>
      </c>
      <c r="Y12" s="46">
        <v>48009105</v>
      </c>
      <c r="Z12" s="6">
        <v>2</v>
      </c>
      <c r="AA12" s="6">
        <v>100</v>
      </c>
      <c r="AB12" s="6">
        <v>0</v>
      </c>
      <c r="AC12" s="17">
        <v>2</v>
      </c>
      <c r="AD12" s="23">
        <f t="shared" ref="AD12" si="9">L12</f>
        <v>61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Drop1N</v>
      </c>
      <c r="AH12" s="7">
        <v>1</v>
      </c>
      <c r="AI12" s="23">
        <f t="shared" ca="1" si="8"/>
        <v>2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8">
        <v>1</v>
      </c>
    </row>
    <row r="13" spans="1:42" ht="21" customHeight="1" x14ac:dyDescent="0.15">
      <c r="A13" s="16" t="str">
        <f>B13&amp;"_"&amp;C13&amp;"-"&amp;G13&amp;"/"&amp;L13&amp;"&lt;lv"&amp;R13&amp;"&gt;s"&amp;AC13</f>
        <v>48009_2-4/8041&lt;lv80&gt;s2</v>
      </c>
      <c r="B13" s="7">
        <v>48009</v>
      </c>
      <c r="C13" s="21">
        <v>2</v>
      </c>
      <c r="D13" s="2" t="str">
        <f>B13&amp;"_"&amp;C13</f>
        <v>48009_2</v>
      </c>
      <c r="E13" s="4" t="str">
        <f ca="1">VLOOKUP($B13,OFFSET([2]quests!$A$1,0,0,COUNTA([2]quests!$A:$A),MATCH(E$1,[2]quests!$1:$1,0)-MATCH($B$1,[2]quests!$1:$1,0)+1),MATCH(E$1,[2]quests!$1:$1,0)-MATCH($B$1,[2]quests!$1:$1,0)+1,FALSE)</f>
        <v>藍采和襲来！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【ウィザード級】藍采和襲来</v>
      </c>
      <c r="G13" s="21">
        <v>4</v>
      </c>
      <c r="H13" s="15" t="str">
        <f>B13&amp;"_"&amp;C13&amp;"-"&amp;G13</f>
        <v>48009_2-4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>
        <v>4</v>
      </c>
      <c r="L13" s="20">
        <v>8041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藍采和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80</v>
      </c>
      <c r="S13" s="24">
        <v>4.5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24">
        <v>0.7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5">
        <v>0</v>
      </c>
      <c r="X13" s="4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3" s="46">
        <v>48009106</v>
      </c>
      <c r="Z13" s="6">
        <v>1</v>
      </c>
      <c r="AA13" s="6">
        <v>100</v>
      </c>
      <c r="AB13" s="6">
        <v>1</v>
      </c>
      <c r="AC13" s="17">
        <v>2</v>
      </c>
      <c r="AD13" s="23">
        <f>L13</f>
        <v>8041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藍采和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3">
        <f ca="1">AF13</f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3" sqref="N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1" t="s">
        <v>245</v>
      </c>
      <c r="V1" s="25" t="s">
        <v>50</v>
      </c>
      <c r="W1" s="101" t="s">
        <v>246</v>
      </c>
      <c r="X1" s="25" t="s">
        <v>52</v>
      </c>
      <c r="Y1" s="27" t="s">
        <v>130</v>
      </c>
      <c r="Z1" s="28" t="s">
        <v>129</v>
      </c>
      <c r="AA1" s="27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48009_1-2/93&lt;lv65&gt;sq1st2</v>
      </c>
      <c r="B2" s="7">
        <v>48009</v>
      </c>
      <c r="C2" s="21">
        <v>1</v>
      </c>
      <c r="D2" s="2" t="str">
        <f>B2&amp;"_"&amp;C2</f>
        <v>48009_1</v>
      </c>
      <c r="E2" s="4" t="str">
        <f ca="1">VLOOKUP($B2,OFFSET([2]quests!$A$1,0,0,COUNTA([2]quests!$A:$A),MATCH(E$1,[2]quests!$1:$1,0)-MATCH($B$1,[2]quests!$1:$1,0)+1),MATCH(E$1,[2]quests!$1:$1,0)-MATCH($B$1,[2]quests!$1:$1,0)+1,FALSE)</f>
        <v>藍采和襲来！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【超絶級】藍采和襲来</v>
      </c>
      <c r="G2" s="21">
        <v>2</v>
      </c>
      <c r="H2" s="15" t="str">
        <f>B2&amp;"_"&amp;C2&amp;"-"&amp;G2</f>
        <v>48009_1-2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93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碧東の守護神 青龍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65</v>
      </c>
      <c r="T2" s="24">
        <v>2.4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312019.20000000001</v>
      </c>
      <c r="V2" s="24">
        <v>0.8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6262.4000000000005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6">
        <v>48009103</v>
      </c>
      <c r="AA2" s="69">
        <v>1</v>
      </c>
    </row>
    <row r="3" spans="1:27" ht="21" customHeight="1" x14ac:dyDescent="0.15">
      <c r="A3" s="16" t="str">
        <f t="shared" ref="A3:A4" si="0">B3&amp;"_"&amp;C3&amp;"-"&amp;G3&amp;"/"&amp;M3&amp;"&lt;lv"&amp;S3&amp;"&gt;sq"&amp;K3&amp;"st"&amp;L3</f>
        <v>48009_1-4/8042&lt;lv65&gt;sq2st2</v>
      </c>
      <c r="B3" s="7">
        <v>48009</v>
      </c>
      <c r="C3" s="21">
        <v>1</v>
      </c>
      <c r="D3" s="2" t="str">
        <f t="shared" ref="D3:D4" si="1">B3&amp;"_"&amp;C3</f>
        <v>48009_1</v>
      </c>
      <c r="E3" s="4" t="str">
        <f ca="1">VLOOKUP($B3,OFFSET([2]quests!$A$1,0,0,COUNTA([2]quests!$A:$A),MATCH(E$1,[2]quests!$1:$1,0)-MATCH($B$1,[2]quests!$1:$1,0)+1),MATCH(E$1,[2]quests!$1:$1,0)-MATCH($B$1,[2]quests!$1:$1,0)+1,FALSE)</f>
        <v>藍采和襲来！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【超絶級】藍采和襲来</v>
      </c>
      <c r="G3" s="21">
        <v>4</v>
      </c>
      <c r="H3" s="15" t="str">
        <f t="shared" ref="H3:H4" si="2">B3&amp;"_"&amp;C3&amp;"-"&amp;G3</f>
        <v>48009_1-4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20">
        <v>8042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レア６藍采和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65</v>
      </c>
      <c r="T3" s="24">
        <v>3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4">
        <v>0.9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6">
        <v>48009107</v>
      </c>
      <c r="AA3" s="69">
        <v>1</v>
      </c>
    </row>
    <row r="4" spans="1:27" ht="21" customHeight="1" x14ac:dyDescent="0.15">
      <c r="A4" s="16" t="str">
        <f t="shared" si="0"/>
        <v>48009_1-4/8042&lt;lv65&gt;sq2st3</v>
      </c>
      <c r="B4" s="7">
        <v>48009</v>
      </c>
      <c r="C4" s="21">
        <v>1</v>
      </c>
      <c r="D4" s="2" t="str">
        <f t="shared" si="1"/>
        <v>48009_1</v>
      </c>
      <c r="E4" s="4" t="str">
        <f ca="1">VLOOKUP($B4,OFFSET([2]quests!$A$1,0,0,COUNTA([2]quests!$A:$A),MATCH(E$1,[2]quests!$1:$1,0)-MATCH($B$1,[2]quests!$1:$1,0)+1),MATCH(E$1,[2]quests!$1:$1,0)-MATCH($B$1,[2]quests!$1:$1,0)+1,FALSE)</f>
        <v>藍采和襲来！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【超絶級】藍采和襲来</v>
      </c>
      <c r="G4" s="21">
        <v>4</v>
      </c>
      <c r="H4" s="15" t="str">
        <f t="shared" si="2"/>
        <v>48009_1-4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20">
        <v>8042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レア６藍采和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65</v>
      </c>
      <c r="T4" s="24">
        <v>5.6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4">
        <v>1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6">
        <v>48009108</v>
      </c>
      <c r="AA4" s="69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48009_2-2/93&lt;lv80&gt;sq3st2</v>
      </c>
      <c r="B5" s="7">
        <v>48009</v>
      </c>
      <c r="C5" s="21">
        <v>2</v>
      </c>
      <c r="D5" s="2" t="str">
        <f>B5&amp;"_"&amp;C5</f>
        <v>48009_2</v>
      </c>
      <c r="E5" s="4" t="str">
        <f ca="1">VLOOKUP($B5,OFFSET([2]quests!$A$1,0,0,COUNTA([2]quests!$A:$A),MATCH(E$1,[2]quests!$1:$1,0)-MATCH($B$1,[2]quests!$1:$1,0)+1),MATCH(E$1,[2]quests!$1:$1,0)-MATCH($B$1,[2]quests!$1:$1,0)+1,FALSE)</f>
        <v>藍采和襲来！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【ウィザード級】藍采和襲来</v>
      </c>
      <c r="G5" s="21">
        <v>2</v>
      </c>
      <c r="H5" s="15" t="str">
        <f>B5&amp;"_"&amp;C5&amp;"-"&amp;G5</f>
        <v>48009_2-2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37">
        <v>2</v>
      </c>
      <c r="M5" s="20">
        <v>93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碧東の守護神 青龍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4">
        <v>2.4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382399.2</v>
      </c>
      <c r="V5" s="24">
        <v>0.8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7675.2000000000007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6">
        <v>48009103</v>
      </c>
      <c r="AA5" s="69">
        <v>1</v>
      </c>
    </row>
    <row r="6" spans="1:27" ht="21" customHeight="1" x14ac:dyDescent="0.15">
      <c r="A6" s="16" t="str">
        <f t="shared" ref="A6:A7" si="3">B6&amp;"_"&amp;C6&amp;"-"&amp;G6&amp;"/"&amp;M6&amp;"&lt;lv"&amp;S6&amp;"&gt;sq"&amp;K6&amp;"st"&amp;L6</f>
        <v>48009_2-4/8042&lt;lv80&gt;sq4st2</v>
      </c>
      <c r="B6" s="7">
        <v>48009</v>
      </c>
      <c r="C6" s="21">
        <v>2</v>
      </c>
      <c r="D6" s="2" t="str">
        <f t="shared" ref="D6:D7" si="4">B6&amp;"_"&amp;C6</f>
        <v>48009_2</v>
      </c>
      <c r="E6" s="4" t="str">
        <f ca="1">VLOOKUP($B6,OFFSET([2]quests!$A$1,0,0,COUNTA([2]quests!$A:$A),MATCH(E$1,[2]quests!$1:$1,0)-MATCH($B$1,[2]quests!$1:$1,0)+1),MATCH(E$1,[2]quests!$1:$1,0)-MATCH($B$1,[2]quests!$1:$1,0)+1,FALSE)</f>
        <v>藍采和襲来！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【ウィザード級】藍采和襲来</v>
      </c>
      <c r="G6" s="21">
        <v>4</v>
      </c>
      <c r="H6" s="15" t="str">
        <f t="shared" ref="H6:H7" si="5">B6&amp;"_"&amp;C6&amp;"-"&amp;G6</f>
        <v>48009_2-4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4</v>
      </c>
      <c r="L6" s="37">
        <v>2</v>
      </c>
      <c r="M6" s="20">
        <v>8042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レア６藍采和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4">
        <v>3</v>
      </c>
      <c r="U6" s="102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24">
        <v>0.9</v>
      </c>
      <c r="W6" s="102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6">
        <v>48009107</v>
      </c>
      <c r="AA6" s="69">
        <v>1</v>
      </c>
    </row>
    <row r="7" spans="1:27" ht="21" customHeight="1" x14ac:dyDescent="0.15">
      <c r="A7" s="16" t="str">
        <f t="shared" si="3"/>
        <v>48009_2-4/8042&lt;lv80&gt;sq4st3</v>
      </c>
      <c r="B7" s="7">
        <v>48009</v>
      </c>
      <c r="C7" s="21">
        <v>2</v>
      </c>
      <c r="D7" s="2" t="str">
        <f t="shared" si="4"/>
        <v>48009_2</v>
      </c>
      <c r="E7" s="4" t="str">
        <f ca="1">VLOOKUP($B7,OFFSET([2]quests!$A$1,0,0,COUNTA([2]quests!$A:$A),MATCH(E$1,[2]quests!$1:$1,0)-MATCH($B$1,[2]quests!$1:$1,0)+1),MATCH(E$1,[2]quests!$1:$1,0)-MATCH($B$1,[2]quests!$1:$1,0)+1,FALSE)</f>
        <v>藍采和襲来！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【ウィザード級】藍采和襲来</v>
      </c>
      <c r="G7" s="21">
        <v>4</v>
      </c>
      <c r="H7" s="15" t="str">
        <f t="shared" si="5"/>
        <v>48009_2-4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4</v>
      </c>
      <c r="L7" s="37">
        <v>3</v>
      </c>
      <c r="M7" s="20">
        <v>8042</v>
      </c>
      <c r="N7" s="17" t="str">
        <f ca="1">VLOOKUP($M7,OFFSET([3]enemies!$A$1,0,0,COUNTA([3]enemies!$A:$A),MATCH(N$1,[3]enemies!$1:$1,0)-MATCH($M$1,[3]enemies!$1:$1,0)+1),MATCH(N$1,[3]enemies!$1:$1,0)-MATCH($M$1,[3]enemies!$1:$1,0)+1,FALSE)</f>
        <v>レア６藍采和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80</v>
      </c>
      <c r="T7" s="24">
        <v>5.6</v>
      </c>
      <c r="U7" s="10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0</v>
      </c>
      <c r="V7" s="24">
        <v>1</v>
      </c>
      <c r="W7" s="10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0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6">
        <v>48009108</v>
      </c>
      <c r="AA7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0"/>
  <sheetViews>
    <sheetView showGridLines="0" workbookViewId="0">
      <pane xSplit="5" ySplit="1" topLeftCell="F18" activePane="bottomRight" state="frozen"/>
      <selection pane="topRight"/>
      <selection pane="bottomLeft"/>
      <selection pane="bottomRight" activeCell="I36" sqref="I36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48009100_48009100</v>
      </c>
      <c r="B2" s="46">
        <v>48009100</v>
      </c>
      <c r="C2" s="46">
        <v>48009100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ヒダルマダ！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46">
        <v>48009100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" s="46"/>
      <c r="Q2" s="46"/>
      <c r="R2" s="46"/>
    </row>
    <row r="3" spans="1:18" ht="21" customHeight="1" x14ac:dyDescent="0.15">
      <c r="A3" s="38" t="str">
        <f t="shared" ref="A3:A28" si="1">B3&amp;"_"&amp;C3</f>
        <v>48009101_48009105</v>
      </c>
      <c r="B3" s="46">
        <v>48009101</v>
      </c>
      <c r="C3" s="46">
        <v>48009105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ディスヒール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 xml:space="preserve"> 4ターン回復力50%DOWN</v>
      </c>
      <c r="F3" s="46">
        <v>48009105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48009101_48009106</v>
      </c>
      <c r="B4" s="46">
        <v>48009101</v>
      </c>
      <c r="C4" s="46">
        <v>48009106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ちょこっと吸血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攻撃+自己回復</v>
      </c>
      <c r="F4" s="46">
        <v>48009106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" s="46"/>
      <c r="Q4" s="46"/>
      <c r="R4" s="46"/>
    </row>
    <row r="5" spans="1:18" ht="21" customHeight="1" x14ac:dyDescent="0.15">
      <c r="A5" s="38" t="str">
        <f t="shared" si="1"/>
        <v>48009102_48009110</v>
      </c>
      <c r="B5" s="46">
        <v>48009102</v>
      </c>
      <c r="C5" s="46">
        <v>48009110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重層空間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Cパネル生成延長(効果特大)</v>
      </c>
      <c r="F5" s="46">
        <v>48009110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48009102_48009111</v>
      </c>
      <c r="B6" s="46">
        <v>48009102</v>
      </c>
      <c r="C6" s="46">
        <v>48009111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アイスフォール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6">
        <v>48009111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46"/>
      <c r="Q6" s="46"/>
      <c r="R6" s="46"/>
    </row>
    <row r="7" spans="1:18" ht="21" customHeight="1" x14ac:dyDescent="0.15">
      <c r="A7" s="38" t="str">
        <f t="shared" si="1"/>
        <v>48009102_48009112</v>
      </c>
      <c r="B7" s="46">
        <v>48009102</v>
      </c>
      <c r="C7" s="46">
        <v>48009112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スリープブレス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2体にクリティカル！+2ターンスリープ</v>
      </c>
      <c r="F7" s="46">
        <v>48009112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46"/>
      <c r="Q7" s="46"/>
      <c r="R7" s="46"/>
    </row>
    <row r="8" spans="1:18" ht="21" customHeight="1" x14ac:dyDescent="0.15">
      <c r="A8" s="38" t="str">
        <f t="shared" si="1"/>
        <v>48009103_48009115</v>
      </c>
      <c r="B8" s="46">
        <v>48009103</v>
      </c>
      <c r="C8" s="46">
        <v>48009115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重層空間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Cパネル生成延長(効果特大)</v>
      </c>
      <c r="F8" s="46">
        <v>48009115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48009103_48009116</v>
      </c>
      <c r="B9" s="46">
        <v>48009103</v>
      </c>
      <c r="C9" s="46">
        <v>48009116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アイスフォール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6">
        <v>48009116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6"/>
      <c r="Q9" s="46"/>
      <c r="R9" s="46"/>
    </row>
    <row r="10" spans="1:18" ht="21" customHeight="1" x14ac:dyDescent="0.15">
      <c r="A10" s="38" t="str">
        <f t="shared" si="1"/>
        <v>48009103_48009117</v>
      </c>
      <c r="B10" s="46">
        <v>48009103</v>
      </c>
      <c r="C10" s="46">
        <v>48009117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スリープブレス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2体にクリティカル！+2ターンスリープ</v>
      </c>
      <c r="F10" s="46">
        <v>48009117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46"/>
      <c r="Q10" s="46"/>
      <c r="R10" s="46"/>
    </row>
    <row r="11" spans="1:18" ht="21" customHeight="1" x14ac:dyDescent="0.15">
      <c r="A11" s="38" t="str">
        <f t="shared" si="1"/>
        <v>48009104_48009120</v>
      </c>
      <c r="B11" s="46">
        <v>48009104</v>
      </c>
      <c r="C11" s="46">
        <v>48009120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蒼の一閃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46">
        <v>48009120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6"/>
      <c r="Q11" s="46"/>
      <c r="R11" s="46"/>
    </row>
    <row r="12" spans="1:18" ht="21" customHeight="1" x14ac:dyDescent="0.15">
      <c r="A12" s="38" t="str">
        <f t="shared" si="1"/>
        <v>48009104_48009121</v>
      </c>
      <c r="B12" s="46">
        <v>48009104</v>
      </c>
      <c r="C12" s="46">
        <v>48009121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隙あり！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ハートパネル無効</v>
      </c>
      <c r="F12" s="46">
        <v>48009121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ref="A13" si="2">B13&amp;"_"&amp;C13</f>
        <v>48009105_48009126</v>
      </c>
      <c r="B13" s="46">
        <v>48009105</v>
      </c>
      <c r="C13" s="46">
        <v>48009126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眠りの旋律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クリティカル！+2ターンスリープ</v>
      </c>
      <c r="F13" s="46">
        <v>48009126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3" s="46"/>
      <c r="Q13" s="46"/>
      <c r="R13" s="46"/>
    </row>
    <row r="14" spans="1:18" ht="21" customHeight="1" x14ac:dyDescent="0.15">
      <c r="A14" s="38" t="str">
        <f t="shared" si="1"/>
        <v>48009106_48009130</v>
      </c>
      <c r="B14" s="46">
        <v>48009106</v>
      </c>
      <c r="C14" s="46">
        <v>48009130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何仙姑、ボクを連れ戻しに来たの？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状態異常耐性+Cパネル生成延長(効果特大)</v>
      </c>
      <c r="F14" s="46">
        <v>48009130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8039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48009106_48009131</v>
      </c>
      <c r="B15" s="46">
        <v>48009106</v>
      </c>
      <c r="C15" s="46">
        <v>48009131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ふふっ、誰もボクを止められないよ！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状態異常耐性+Cパネル生成延長(効果特大)</v>
      </c>
      <c r="F15" s="46">
        <v>48009131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48009106_48009132</v>
      </c>
      <c r="B16" s="46">
        <v>48009106</v>
      </c>
      <c r="C16" s="46">
        <v>48009132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ニンゲンなんかに負けないよ！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16" s="46">
        <v>48009132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6" s="46"/>
      <c r="Q16" s="46"/>
      <c r="R16" s="46"/>
    </row>
    <row r="17" spans="1:18" ht="21" customHeight="1" x14ac:dyDescent="0.15">
      <c r="A17" s="38" t="str">
        <f t="shared" si="1"/>
        <v>48009106_48009133</v>
      </c>
      <c r="B17" s="46">
        <v>48009106</v>
      </c>
      <c r="C17" s="46">
        <v>48009133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どんなに強くてもこれでっ！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現在のHPの40%のダメージ</v>
      </c>
      <c r="F17" s="46">
        <v>48009133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48009107_48009140</v>
      </c>
      <c r="B18" s="46">
        <v>48009107</v>
      </c>
      <c r="C18" s="46">
        <v>48009140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さあ、もっと暴れるよー！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状態異常耐性+ハートパネル無効</v>
      </c>
      <c r="F18" s="46">
        <v>48009140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48009107_48009141</v>
      </c>
      <c r="B19" s="46">
        <v>48009107</v>
      </c>
      <c r="C19" s="46">
        <v>48009141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ニンゲンなんかに負けないよ！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19" s="46">
        <v>48009141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46"/>
      <c r="Q19" s="46"/>
      <c r="R19" s="46"/>
    </row>
    <row r="20" spans="1:18" ht="21" customHeight="1" x14ac:dyDescent="0.15">
      <c r="A20" s="38" t="str">
        <f t="shared" si="1"/>
        <v>48009107_48009142</v>
      </c>
      <c r="B20" s="46">
        <v>48009107</v>
      </c>
      <c r="C20" s="46">
        <v>48009142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どんなに強くてもこれでっ！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現在のHPの40%のダメージ</v>
      </c>
      <c r="F20" s="46">
        <v>48009142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48009107_48009143</v>
      </c>
      <c r="B21" s="46">
        <v>48009107</v>
      </c>
      <c r="C21" s="46">
        <v>48009143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木々よ！ボクに力を！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攻撃+自己回復</v>
      </c>
      <c r="F21" s="46">
        <v>48009143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6"/>
      <c r="Q21" s="46"/>
      <c r="R21" s="46"/>
    </row>
    <row r="22" spans="1:18" ht="21" customHeight="1" x14ac:dyDescent="0.15">
      <c r="A22" s="38" t="str">
        <f t="shared" si="1"/>
        <v>48009108_48009150</v>
      </c>
      <c r="B22" s="46">
        <v>48009108</v>
      </c>
      <c r="C22" s="46">
        <v>48009150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いたずらするのは楽しいね！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状態異常耐性+Cパネル生成延長(効果特大)</v>
      </c>
      <c r="F22" s="46">
        <v>48009150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48009108_48009151</v>
      </c>
      <c r="B23" s="46">
        <v>48009108</v>
      </c>
      <c r="C23" s="46">
        <v>48009151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ニンゲンなんかに負けないよ！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3" s="46">
        <v>48009151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3" s="46"/>
      <c r="Q23" s="46"/>
      <c r="R23" s="46"/>
    </row>
    <row r="24" spans="1:18" ht="21" customHeight="1" x14ac:dyDescent="0.15">
      <c r="A24" s="38" t="str">
        <f t="shared" si="1"/>
        <v>48009108_48009152</v>
      </c>
      <c r="B24" s="46">
        <v>48009108</v>
      </c>
      <c r="C24" s="46">
        <v>48009152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どんなに強くてもこれでっ！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現在のHPの40%のダメージ</v>
      </c>
      <c r="F24" s="46">
        <v>48009152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48009108_48009153</v>
      </c>
      <c r="B25" s="46">
        <v>48009108</v>
      </c>
      <c r="C25" s="46">
        <v>48009153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どんどん強くなるよ！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攻撃力大UP+単体攻撃</v>
      </c>
      <c r="F25" s="46">
        <v>48009153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48009108_48009154</v>
      </c>
      <c r="B26" s="46">
        <v>48009108</v>
      </c>
      <c r="C26" s="46">
        <v>48009154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ほらほらー！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攻撃力超大UP+単体攻撃</v>
      </c>
      <c r="F26" s="46">
        <v>48009154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1"/>
        <v>48009108_48009155</v>
      </c>
      <c r="B27" s="46">
        <v>48009108</v>
      </c>
      <c r="C27" s="46">
        <v>48009155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これで終わりにするよっ！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攻撃力超大UP+単体攻撃</v>
      </c>
      <c r="F27" s="46">
        <v>48009155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48009108_48009156</v>
      </c>
      <c r="B28" s="46">
        <v>48009108</v>
      </c>
      <c r="C28" s="46">
        <v>48009156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負けちゃったかぁ…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しばらくおとなしくしようかな…</v>
      </c>
      <c r="F28" s="46">
        <v>48009156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8039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ref="A29" si="3">B29&amp;"_"&amp;C29</f>
        <v>48009108_48009157</v>
      </c>
      <c r="B29" s="46">
        <v>48009108</v>
      </c>
      <c r="C29" s="46">
        <v>48009157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負けちゃったかぁ…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しばらくおとなしくしようかな…</v>
      </c>
      <c r="F29" s="46">
        <v>48009157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115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8040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ref="A30" si="4">B30&amp;"_"&amp;C30</f>
        <v>48009108_48009158</v>
      </c>
      <c r="B30" s="46">
        <v>48009108</v>
      </c>
      <c r="C30" s="46">
        <v>48009158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このボクが負けるなんて…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真面目に修行しなきゃダメかぁ…</v>
      </c>
      <c r="F30" s="46">
        <v>48009158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1"/>
  <sheetViews>
    <sheetView showGridLines="0" workbookViewId="0">
      <pane ySplit="1" topLeftCell="A43" activePane="bottomLeft" state="frozenSplit"/>
      <selection pane="bottomLeft" activeCell="D41" sqref="D41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48009100</v>
      </c>
      <c r="B2" s="46" t="s">
        <v>263</v>
      </c>
      <c r="C2" s="49">
        <v>1</v>
      </c>
      <c r="D2" s="49" t="s">
        <v>128</v>
      </c>
      <c r="E2" s="50" t="s">
        <v>295</v>
      </c>
      <c r="F2" s="50" t="s">
        <v>280</v>
      </c>
      <c r="G2" s="62" t="str">
        <f>IFERROR(LEFT(B2,FIND("],",B2)),B2)</f>
        <v>[effect:critical, val:1.2, animation:enemy_critical]</v>
      </c>
      <c r="H2" s="62">
        <f>FIND("effect:",G2)+7</f>
        <v>9</v>
      </c>
      <c r="I2" s="62">
        <f>IFERROR(FIND(",",G2),LEN(G2))</f>
        <v>17</v>
      </c>
      <c r="J2" s="62" t="e">
        <f>FIND("target:",G2)+7</f>
        <v>#VALUE!</v>
      </c>
      <c r="K2" s="62">
        <f>FIND(",",G2,I2+1)</f>
        <v>26</v>
      </c>
      <c r="L2" s="62" t="str">
        <f>IFERROR(VLOOKUP(MID(G2,J2,K2-J2),[6]skilldef!$C:$D,2,FALSE),"-") &amp; " / " &amp; IFERROR(VLOOKUP(MID(G2,H2,I2-H2),[6]skilldef!$A:$B,2,FALSE),"-")</f>
        <v>- / 大攻撃</v>
      </c>
      <c r="M2" s="62" t="str">
        <f>IFERROR(RIGHT(B2,LEN(B2)-FIND("],",B2)-1),"none")</f>
        <v>none</v>
      </c>
      <c r="N2" s="47" t="str">
        <f>IFERROR(LEFT(M2,FIND("],",M2)+S12),M2)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 x14ac:dyDescent="0.15">
      <c r="A3" s="46">
        <v>48009101</v>
      </c>
      <c r="B3" s="46" t="s">
        <v>262</v>
      </c>
      <c r="C3" s="49">
        <v>1</v>
      </c>
      <c r="D3" s="49" t="s">
        <v>128</v>
      </c>
      <c r="E3" s="50" t="s">
        <v>250</v>
      </c>
      <c r="F3" s="50" t="s">
        <v>251</v>
      </c>
      <c r="G3" s="62" t="str">
        <f t="shared" ref="G3:G52" si="0">IFERROR(LEFT(B3,FIND("],",B3)),B3)</f>
        <v>[effect:nothing]</v>
      </c>
      <c r="H3" s="62">
        <f t="shared" ref="H3:H61" si="1">FIND("effect:",G3)+7</f>
        <v>9</v>
      </c>
      <c r="I3" s="62">
        <f t="shared" ref="I3:I52" si="2">IFERROR(FIND(",",G3),LEN(G3))</f>
        <v>16</v>
      </c>
      <c r="J3" s="62" t="e">
        <f t="shared" ref="J3:J52" si="3">FIND("target:",G3)+7</f>
        <v>#VALUE!</v>
      </c>
      <c r="K3" s="62" t="e">
        <f t="shared" ref="K3:K52" si="4">FIND(",",G3,I3+1)</f>
        <v>#VALUE!</v>
      </c>
      <c r="L3" s="62" t="str">
        <f>IFERROR(VLOOKUP(MID(G3,J3,K3-J3),[6]skilldef!$C:$D,2,FALSE),"-") &amp; " / " &amp; IFERROR(VLOOKUP(MID(G3,H3,I3-H3),[6]skilldef!$A:$B,2,FALSE),"-")</f>
        <v>- / 何もしない</v>
      </c>
      <c r="M3" s="62" t="str">
        <f t="shared" ref="M3:M52" si="5">IFERROR(RIGHT(B3,LEN(B3)-FIND("],",B3)-1),"none")</f>
        <v>none</v>
      </c>
      <c r="N3" s="47" t="str">
        <f t="shared" ref="N3:N51" si="6">IFERROR(LEFT(M3,FIND("],",M3)+S13),M3)</f>
        <v>none</v>
      </c>
      <c r="O3" s="62" t="e">
        <f t="shared" ref="O3:O61" si="7">FIND("effect:",N3)+7</f>
        <v>#VALUE!</v>
      </c>
      <c r="P3" s="62">
        <f t="shared" ref="P3:P52" si="8">IFERROR(FIND(",",N3),LEN(N3))</f>
        <v>4</v>
      </c>
      <c r="Q3" s="62" t="e">
        <f t="shared" ref="Q3:Q52" si="9">FIND("target:",N3)+7</f>
        <v>#VALUE!</v>
      </c>
      <c r="R3" s="62" t="e">
        <f t="shared" ref="R3:R52" si="10">FIND(",",N3,P3+1)</f>
        <v>#VALUE!</v>
      </c>
      <c r="S3" s="62" t="str">
        <f>IFERROR(VLOOKUP(MID(N3,Q3,R3-Q3),[6]skilldef!$C:$D,2,FALSE),"-") &amp; " / " &amp; IFERROR(VLOOKUP(MID(N3,O3,P3-O3),[6]skilldef!$A:$B,2,FALSE),"-")</f>
        <v>- / -</v>
      </c>
      <c r="T3" s="47" t="str">
        <f t="shared" ref="T3:T52" si="11">IFERROR(RIGHT(M3,LEN(M3)-FIND("],",M3)-1),"none")</f>
        <v>none</v>
      </c>
      <c r="U3" s="62" t="e">
        <f t="shared" ref="U3:U61" si="12">FIND("effect:",T3)+7</f>
        <v>#VALUE!</v>
      </c>
      <c r="V3" s="62">
        <f t="shared" ref="V3:V52" si="13">IFERROR(FIND(",",T3),LEN(T3))</f>
        <v>4</v>
      </c>
      <c r="W3" s="62" t="e">
        <f t="shared" ref="W3:W52" si="14">FIND("target:",T3)+7</f>
        <v>#VALUE!</v>
      </c>
      <c r="X3" s="62" t="e">
        <f t="shared" ref="X3:X52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 x14ac:dyDescent="0.15">
      <c r="A4" s="46">
        <v>48009102</v>
      </c>
      <c r="B4" s="46" t="s">
        <v>262</v>
      </c>
      <c r="C4" s="49">
        <v>1</v>
      </c>
      <c r="D4" s="49" t="s">
        <v>128</v>
      </c>
      <c r="E4" s="50" t="s">
        <v>250</v>
      </c>
      <c r="F4" s="50" t="s">
        <v>251</v>
      </c>
      <c r="G4" s="62" t="str">
        <f t="shared" si="0"/>
        <v>[effect:nothing]</v>
      </c>
      <c r="H4" s="62">
        <f t="shared" si="1"/>
        <v>9</v>
      </c>
      <c r="I4" s="62">
        <f t="shared" si="2"/>
        <v>16</v>
      </c>
      <c r="J4" s="62" t="e">
        <f t="shared" si="3"/>
        <v>#VALUE!</v>
      </c>
      <c r="K4" s="62" t="e">
        <f t="shared" si="4"/>
        <v>#VALUE!</v>
      </c>
      <c r="L4" s="62" t="str">
        <f>IFERROR(VLOOKUP(MID(G4,J4,K4-J4),[6]skilldef!$C:$D,2,FALSE),"-") &amp; " / " &amp; IFERROR(VLOOKUP(MID(G4,H4,I4-H4),[6]skilldef!$A:$B,2,FALSE),"-")</f>
        <v>- / 何もしない</v>
      </c>
      <c r="M4" s="62" t="str">
        <f t="shared" si="5"/>
        <v>none</v>
      </c>
      <c r="N4" s="47" t="str">
        <f t="shared" si="6"/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</row>
    <row r="5" spans="1:28" ht="21" customHeight="1" x14ac:dyDescent="0.15">
      <c r="A5" s="46">
        <v>48009103</v>
      </c>
      <c r="B5" s="46" t="s">
        <v>262</v>
      </c>
      <c r="C5" s="49">
        <v>1</v>
      </c>
      <c r="D5" s="49" t="s">
        <v>128</v>
      </c>
      <c r="E5" s="50" t="s">
        <v>250</v>
      </c>
      <c r="F5" s="50" t="s">
        <v>251</v>
      </c>
      <c r="G5" s="62" t="str">
        <f t="shared" si="0"/>
        <v>[effect:nothing]</v>
      </c>
      <c r="H5" s="62">
        <f t="shared" si="1"/>
        <v>9</v>
      </c>
      <c r="I5" s="62">
        <f t="shared" si="2"/>
        <v>16</v>
      </c>
      <c r="J5" s="62" t="e">
        <f t="shared" si="3"/>
        <v>#VALUE!</v>
      </c>
      <c r="K5" s="62" t="e">
        <f t="shared" si="4"/>
        <v>#VALUE!</v>
      </c>
      <c r="L5" s="62" t="str">
        <f>IFERROR(VLOOKUP(MID(G5,J5,K5-J5),[6]skilldef!$C:$D,2,FALSE),"-") &amp; " / " &amp; IFERROR(VLOOKUP(MID(G5,H5,I5-H5),[6]skilldef!$A:$B,2,FALSE),"-")</f>
        <v>- / 何もしない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</row>
    <row r="6" spans="1:28" ht="21" customHeight="1" x14ac:dyDescent="0.15">
      <c r="A6" s="46">
        <v>48009104</v>
      </c>
      <c r="B6" s="46" t="s">
        <v>262</v>
      </c>
      <c r="C6" s="49">
        <v>1</v>
      </c>
      <c r="D6" s="49" t="s">
        <v>128</v>
      </c>
      <c r="E6" s="50" t="s">
        <v>250</v>
      </c>
      <c r="F6" s="50" t="s">
        <v>251</v>
      </c>
      <c r="G6" s="62" t="str">
        <f t="shared" si="0"/>
        <v>[effect:nothing]</v>
      </c>
      <c r="H6" s="62">
        <f t="shared" si="1"/>
        <v>9</v>
      </c>
      <c r="I6" s="62">
        <f t="shared" si="2"/>
        <v>16</v>
      </c>
      <c r="J6" s="62" t="e">
        <f t="shared" si="3"/>
        <v>#VALUE!</v>
      </c>
      <c r="K6" s="62" t="e">
        <f t="shared" si="4"/>
        <v>#VALUE!</v>
      </c>
      <c r="L6" s="62" t="str">
        <f>IFERROR(VLOOKUP(MID(G6,J6,K6-J6),[6]skilldef!$C:$D,2,FALSE),"-") &amp; " / " &amp; IFERROR(VLOOKUP(MID(G6,H6,I6-H6),[6]skilldef!$A:$B,2,FALSE),"-")</f>
        <v>- / 何もしない</v>
      </c>
      <c r="M6" s="62" t="str">
        <f t="shared" si="5"/>
        <v>none</v>
      </c>
      <c r="N6" s="47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</row>
    <row r="7" spans="1:28" ht="21" customHeight="1" x14ac:dyDescent="0.15">
      <c r="A7" s="46">
        <v>48009105</v>
      </c>
      <c r="B7" s="46" t="s">
        <v>269</v>
      </c>
      <c r="C7" s="49">
        <v>1</v>
      </c>
      <c r="D7" s="49" t="s">
        <v>128</v>
      </c>
      <c r="E7" s="50" t="s">
        <v>298</v>
      </c>
      <c r="F7" s="50" t="s">
        <v>281</v>
      </c>
      <c r="G7" s="62" t="str">
        <f t="shared" si="0"/>
        <v>[effect:degrade_unit, target:unit_one, turn:4, status:heal, val:0.5, calc:mul, animation:degrade_unit_all_heal]</v>
      </c>
      <c r="H7" s="62">
        <f t="shared" si="1"/>
        <v>9</v>
      </c>
      <c r="I7" s="62">
        <f t="shared" si="2"/>
        <v>21</v>
      </c>
      <c r="J7" s="62">
        <f t="shared" si="3"/>
        <v>30</v>
      </c>
      <c r="K7" s="62">
        <f t="shared" si="4"/>
        <v>38</v>
      </c>
      <c r="L7" s="62" t="str">
        <f>IFERROR(VLOOKUP(MID(G7,J7,K7-J7),[6]skilldef!$C:$D,2,FALSE),"-") &amp; " / " &amp; IFERROR(VLOOKUP(MID(G7,H7,I7-H7),[6]skilldef!$A:$B,2,FALSE),"-")</f>
        <v>味方単体に / ステータスDOWN</v>
      </c>
      <c r="M7" s="62" t="str">
        <f t="shared" si="5"/>
        <v>none</v>
      </c>
      <c r="N7" s="47" t="str">
        <f t="shared" si="6"/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</row>
    <row r="8" spans="1:28" ht="21" customHeight="1" x14ac:dyDescent="0.15">
      <c r="A8" s="46">
        <v>48009106</v>
      </c>
      <c r="B8" s="46" t="s">
        <v>274</v>
      </c>
      <c r="C8" s="49">
        <v>1</v>
      </c>
      <c r="D8" s="49" t="s">
        <v>128</v>
      </c>
      <c r="E8" s="50" t="s">
        <v>296</v>
      </c>
      <c r="F8" s="50" t="s">
        <v>297</v>
      </c>
      <c r="G8" s="62" t="str">
        <f t="shared" si="0"/>
        <v>[effect:critical, val:1.0, animation:enemy_critical]</v>
      </c>
      <c r="H8" s="62">
        <f t="shared" si="1"/>
        <v>9</v>
      </c>
      <c r="I8" s="62">
        <f t="shared" si="2"/>
        <v>17</v>
      </c>
      <c r="J8" s="62" t="e">
        <f t="shared" si="3"/>
        <v>#VALUE!</v>
      </c>
      <c r="K8" s="62">
        <f t="shared" si="4"/>
        <v>26</v>
      </c>
      <c r="L8" s="62" t="str">
        <f>IFERROR(VLOOKUP(MID(G8,J8,K8-J8),[6]skilldef!$C:$D,2,FALSE),"-") &amp; " / " &amp; IFERROR(VLOOKUP(MID(G8,H8,I8-H8),[6]skilldef!$A:$B,2,FALSE),"-")</f>
        <v>- / 大攻撃</v>
      </c>
      <c r="M8" s="62" t="str">
        <f t="shared" si="5"/>
        <v>[effect:heal, target:myself, val:0.2, animation:enemy_heal]</v>
      </c>
      <c r="N8" s="47" t="str">
        <f t="shared" si="6"/>
        <v>[effect:heal, target:myself, val:0.2, animation:enemy_heal]</v>
      </c>
      <c r="O8" s="62">
        <f t="shared" si="7"/>
        <v>9</v>
      </c>
      <c r="P8" s="62">
        <f t="shared" si="8"/>
        <v>13</v>
      </c>
      <c r="Q8" s="62">
        <f t="shared" si="9"/>
        <v>22</v>
      </c>
      <c r="R8" s="62">
        <f t="shared" si="10"/>
        <v>28</v>
      </c>
      <c r="S8" s="62" t="str">
        <f>IFERROR(VLOOKUP(MID(N8,Q8,R8-Q8),[6]skilldef!$C:$D,2,FALSE),"-") &amp; " / " &amp; IFERROR(VLOOKUP(MID(N8,O8,P8-O8),[6]skilldef!$A:$B,2,FALSE),"-")</f>
        <v>自分自身に / 回復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</row>
    <row r="9" spans="1:28" ht="21" customHeight="1" x14ac:dyDescent="0.15">
      <c r="A9" s="46">
        <v>48009107</v>
      </c>
      <c r="B9" s="46" t="s">
        <v>262</v>
      </c>
      <c r="C9" s="49">
        <v>1</v>
      </c>
      <c r="D9" s="49" t="s">
        <v>128</v>
      </c>
      <c r="E9" s="50" t="s">
        <v>252</v>
      </c>
      <c r="F9" s="50" t="s">
        <v>251</v>
      </c>
      <c r="G9" s="62" t="str">
        <f t="shared" si="0"/>
        <v>[effect:nothing]</v>
      </c>
      <c r="H9" s="62">
        <f t="shared" si="1"/>
        <v>9</v>
      </c>
      <c r="I9" s="62">
        <f t="shared" si="2"/>
        <v>16</v>
      </c>
      <c r="J9" s="62" t="e">
        <f t="shared" si="3"/>
        <v>#VALUE!</v>
      </c>
      <c r="K9" s="62" t="e">
        <f t="shared" si="4"/>
        <v>#VALUE!</v>
      </c>
      <c r="L9" s="62" t="str">
        <f>IFERROR(VLOOKUP(MID(G9,J9,K9-J9),[6]skilldef!$C:$D,2,FALSE),"-") &amp; " / " &amp; IFERROR(VLOOKUP(MID(G9,H9,I9-H9),[6]skilldef!$A:$B,2,FALSE),"-")</f>
        <v>- / 何もしない</v>
      </c>
      <c r="M9" s="62" t="str">
        <f t="shared" si="5"/>
        <v>none</v>
      </c>
      <c r="N9" s="47" t="str">
        <f t="shared" si="6"/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IFERROR(VLOOKUP(MID(N9,Q9,R9-Q9),[6]skilldef!$C:$D,2,FALSE),"-") &amp; " / " &amp; IFERROR(VLOOKUP(MID(N9,O9,P9-O9),[6]skilldef!$A:$B,2,FALSE),"-")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</row>
    <row r="10" spans="1:28" ht="21" customHeight="1" x14ac:dyDescent="0.15">
      <c r="A10" s="46">
        <v>48009108</v>
      </c>
      <c r="B10" s="46" t="s">
        <v>262</v>
      </c>
      <c r="C10" s="49">
        <v>1</v>
      </c>
      <c r="D10" s="49" t="s">
        <v>128</v>
      </c>
      <c r="E10" s="50" t="s">
        <v>252</v>
      </c>
      <c r="F10" s="50" t="s">
        <v>251</v>
      </c>
      <c r="G10" s="62" t="str">
        <f t="shared" si="0"/>
        <v>[effect:nothing]</v>
      </c>
      <c r="H10" s="62">
        <f t="shared" si="1"/>
        <v>9</v>
      </c>
      <c r="I10" s="62">
        <f t="shared" si="2"/>
        <v>16</v>
      </c>
      <c r="J10" s="62" t="e">
        <f t="shared" si="3"/>
        <v>#VALUE!</v>
      </c>
      <c r="K10" s="62" t="e">
        <f t="shared" si="4"/>
        <v>#VALUE!</v>
      </c>
      <c r="L10" s="62" t="str">
        <f>IFERROR(VLOOKUP(MID(G10,J10,K10-J10),[6]skilldef!$C:$D,2,FALSE),"-") &amp; " / " &amp; IFERROR(VLOOKUP(MID(G10,H10,I10-H10),[6]skilldef!$A:$B,2,FALSE),"-")</f>
        <v>- / 何もしない</v>
      </c>
      <c r="M10" s="62" t="str">
        <f t="shared" si="5"/>
        <v>none</v>
      </c>
      <c r="N10" s="47" t="str">
        <f t="shared" si="6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</row>
    <row r="11" spans="1:28" ht="21" customHeight="1" x14ac:dyDescent="0.15">
      <c r="A11" s="46">
        <v>48009109</v>
      </c>
      <c r="B11" s="46" t="s">
        <v>262</v>
      </c>
      <c r="C11" s="49">
        <v>1</v>
      </c>
      <c r="D11" s="49" t="s">
        <v>128</v>
      </c>
      <c r="E11" s="50" t="s">
        <v>299</v>
      </c>
      <c r="F11" s="50" t="s">
        <v>251</v>
      </c>
      <c r="G11" s="62" t="str">
        <f t="shared" si="0"/>
        <v>[effect:nothing]</v>
      </c>
      <c r="H11" s="62">
        <f t="shared" si="1"/>
        <v>9</v>
      </c>
      <c r="I11" s="62">
        <f t="shared" si="2"/>
        <v>16</v>
      </c>
      <c r="J11" s="62" t="e">
        <f t="shared" si="3"/>
        <v>#VALUE!</v>
      </c>
      <c r="K11" s="62" t="e">
        <f t="shared" si="4"/>
        <v>#VALUE!</v>
      </c>
      <c r="L11" s="62" t="str">
        <f>IFERROR(VLOOKUP(MID(G11,J11,K11-J11),[6]skilldef!$C:$D,2,FALSE),"-") &amp; " / " &amp; IFERROR(VLOOKUP(MID(G11,H11,I11-H11),[6]skilldef!$A:$B,2,FALSE),"-")</f>
        <v>- / 何もしない</v>
      </c>
      <c r="M11" s="62" t="str">
        <f t="shared" si="5"/>
        <v>none</v>
      </c>
      <c r="N11" s="47" t="str">
        <f t="shared" si="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</row>
    <row r="12" spans="1:28" ht="21" customHeight="1" x14ac:dyDescent="0.15">
      <c r="A12" s="46">
        <v>48009110</v>
      </c>
      <c r="B12" s="46" t="s">
        <v>264</v>
      </c>
      <c r="C12" s="49">
        <v>1</v>
      </c>
      <c r="D12" s="49" t="s">
        <v>128</v>
      </c>
      <c r="E12" s="50" t="s">
        <v>300</v>
      </c>
      <c r="F12" s="50" t="s">
        <v>282</v>
      </c>
      <c r="G12" s="62" t="str">
        <f t="shared" si="0"/>
        <v>[effect:crash_condition, target:unit_all, turn:-1, val:4, animation:enemy_crash_extend]</v>
      </c>
      <c r="H12" s="62">
        <f t="shared" si="1"/>
        <v>9</v>
      </c>
      <c r="I12" s="62">
        <f t="shared" si="2"/>
        <v>24</v>
      </c>
      <c r="J12" s="62">
        <f t="shared" si="3"/>
        <v>33</v>
      </c>
      <c r="K12" s="62">
        <f t="shared" si="4"/>
        <v>41</v>
      </c>
      <c r="L12" s="62" t="str">
        <f>IFERROR(VLOOKUP(MID(G12,J12,K12-J12),[6]skilldef!$C:$D,2,FALSE),"-") &amp; " / " &amp; IFERROR(VLOOKUP(MID(G12,H12,I12-H12),[6]skilldef!$A:$B,2,FALSE),"-")</f>
        <v>味方全体に / -</v>
      </c>
      <c r="M12" s="62" t="str">
        <f t="shared" si="5"/>
        <v>none</v>
      </c>
      <c r="N12" s="47" t="str">
        <f t="shared" si="6"/>
        <v>none</v>
      </c>
      <c r="O12" s="62" t="e">
        <f t="shared" si="7"/>
        <v>#VALUE!</v>
      </c>
      <c r="P12" s="62">
        <f t="shared" si="8"/>
        <v>4</v>
      </c>
      <c r="Q12" s="62" t="e">
        <f t="shared" si="9"/>
        <v>#VALUE!</v>
      </c>
      <c r="R12" s="62" t="e">
        <f t="shared" si="10"/>
        <v>#VALUE!</v>
      </c>
      <c r="S12" s="62" t="str">
        <f>IFERROR(VLOOKUP(MID(N12,Q12,R12-Q12),[6]skilldef!$C:$D,2,FALSE),"-") &amp; " / " &amp; IFERROR(VLOOKUP(MID(N12,O12,P12-O12),[6]skilldef!$A:$B,2,FALSE),"-")</f>
        <v>- / -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</row>
    <row r="13" spans="1:28" ht="21" customHeight="1" x14ac:dyDescent="0.15">
      <c r="A13" s="46">
        <v>48009111</v>
      </c>
      <c r="B13" s="46" t="s">
        <v>271</v>
      </c>
      <c r="C13" s="49">
        <v>1</v>
      </c>
      <c r="D13" s="49" t="s">
        <v>128</v>
      </c>
      <c r="E13" s="50" t="s">
        <v>301</v>
      </c>
      <c r="F13" s="50" t="s">
        <v>254</v>
      </c>
      <c r="G13" s="62" t="str">
        <f t="shared" si="0"/>
        <v>[effect:spread, val:0.5]</v>
      </c>
      <c r="H13" s="62">
        <f t="shared" si="1"/>
        <v>9</v>
      </c>
      <c r="I13" s="62">
        <f t="shared" si="2"/>
        <v>15</v>
      </c>
      <c r="J13" s="62" t="e">
        <f t="shared" si="3"/>
        <v>#VALUE!</v>
      </c>
      <c r="K13" s="62" t="e">
        <f t="shared" si="4"/>
        <v>#VALUE!</v>
      </c>
      <c r="L13" s="62" t="str">
        <f>IFERROR(VLOOKUP(MID(G13,J13,K13-J13),[6]skilldef!$C:$D,2,FALSE),"-") &amp; " / " &amp; IFERROR(VLOOKUP(MID(G13,H13,I13-H13),[6]skilldef!$A:$B,2,FALSE),"-")</f>
        <v>- / 全体攻撃</v>
      </c>
      <c r="M13" s="62" t="str">
        <f t="shared" si="5"/>
        <v>none</v>
      </c>
      <c r="N13" s="47" t="str">
        <f t="shared" si="6"/>
        <v>none</v>
      </c>
      <c r="O13" s="62" t="e">
        <f t="shared" si="7"/>
        <v>#VALUE!</v>
      </c>
      <c r="P13" s="62">
        <f t="shared" si="8"/>
        <v>4</v>
      </c>
      <c r="Q13" s="62" t="e">
        <f t="shared" si="9"/>
        <v>#VALUE!</v>
      </c>
      <c r="R13" s="62" t="e">
        <f t="shared" si="10"/>
        <v>#VALUE!</v>
      </c>
      <c r="S13" s="62" t="str">
        <f>IFERROR(VLOOKUP(MID(N13,Q13,R13-Q13),[6]skilldef!$C:$D,2,FALSE),"-") &amp; " / " &amp; IFERROR(VLOOKUP(MID(N13,O13,P13-O13),[6]skilldef!$A:$B,2,FALSE),"-")</f>
        <v>- / -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</row>
    <row r="14" spans="1:28" ht="21" customHeight="1" x14ac:dyDescent="0.15">
      <c r="A14" s="46">
        <v>48009112</v>
      </c>
      <c r="B14" s="46" t="s">
        <v>270</v>
      </c>
      <c r="C14" s="49">
        <v>1</v>
      </c>
      <c r="D14" s="49" t="s">
        <v>128</v>
      </c>
      <c r="E14" s="50" t="s">
        <v>302</v>
      </c>
      <c r="F14" s="50" t="s">
        <v>355</v>
      </c>
      <c r="G14" s="62" t="str">
        <f t="shared" si="0"/>
        <v>[effect:damage_abnormal, target:unit_one, val:1.2, status:sleep, turn:2, rate:1, animation:sleep01]</v>
      </c>
      <c r="H14" s="62">
        <f t="shared" si="1"/>
        <v>9</v>
      </c>
      <c r="I14" s="62">
        <f t="shared" si="2"/>
        <v>24</v>
      </c>
      <c r="J14" s="62">
        <f t="shared" si="3"/>
        <v>33</v>
      </c>
      <c r="K14" s="62">
        <f t="shared" si="4"/>
        <v>41</v>
      </c>
      <c r="L14" s="62" t="str">
        <f>IFERROR(VLOOKUP(MID(G14,J14,K14-J14),[6]skilldef!$C:$D,2,FALSE),"-") &amp; " / " &amp; IFERROR(VLOOKUP(MID(G14,H14,I14-H14),[6]skilldef!$A:$B,2,FALSE),"-")</f>
        <v>味方単体に / -</v>
      </c>
      <c r="M14" s="62" t="str">
        <f t="shared" si="5"/>
        <v>[effect:damage_abnormal, target:unit_one, val:1.2, status:sleep, turn:2, rate:1, animation:sleep01]</v>
      </c>
      <c r="N14" s="47" t="str">
        <f t="shared" si="6"/>
        <v>[effect:damage_abnormal, target:unit_one, val:1.2, status:sleep, turn:2, rate:1, animation:sleep01]</v>
      </c>
      <c r="O14" s="62">
        <f t="shared" si="7"/>
        <v>9</v>
      </c>
      <c r="P14" s="62">
        <f t="shared" si="8"/>
        <v>24</v>
      </c>
      <c r="Q14" s="62">
        <f t="shared" si="9"/>
        <v>33</v>
      </c>
      <c r="R14" s="62">
        <f t="shared" si="10"/>
        <v>41</v>
      </c>
      <c r="S14" s="62" t="str">
        <f>IFERROR(VLOOKUP(MID(N14,Q14,R14-Q14),[6]skilldef!$C:$D,2,FALSE),"-") &amp; " / " &amp; IFERROR(VLOOKUP(MID(N14,O14,P14-O14),[6]skilldef!$A:$B,2,FALSE),"-")</f>
        <v>味方単体に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</row>
    <row r="15" spans="1:28" ht="21" customHeight="1" x14ac:dyDescent="0.15">
      <c r="A15" s="46">
        <v>48009113</v>
      </c>
      <c r="B15" s="46" t="s">
        <v>262</v>
      </c>
      <c r="C15" s="49">
        <v>1</v>
      </c>
      <c r="D15" s="49" t="s">
        <v>128</v>
      </c>
      <c r="E15" s="50" t="s">
        <v>253</v>
      </c>
      <c r="F15" s="50" t="s">
        <v>251</v>
      </c>
      <c r="G15" s="62" t="str">
        <f t="shared" si="0"/>
        <v>[effect:nothing]</v>
      </c>
      <c r="H15" s="62">
        <f t="shared" si="1"/>
        <v>9</v>
      </c>
      <c r="I15" s="62">
        <f t="shared" si="2"/>
        <v>16</v>
      </c>
      <c r="J15" s="62" t="e">
        <f t="shared" si="3"/>
        <v>#VALUE!</v>
      </c>
      <c r="K15" s="62" t="e">
        <f t="shared" si="4"/>
        <v>#VALUE!</v>
      </c>
      <c r="L15" s="62" t="str">
        <f>IFERROR(VLOOKUP(MID(G15,J15,K15-J15),[6]skilldef!$C:$D,2,FALSE),"-") &amp; " / " &amp; IFERROR(VLOOKUP(MID(G15,H15,I15-H15),[6]skilldef!$A:$B,2,FALSE),"-")</f>
        <v>- / 何もしない</v>
      </c>
      <c r="M15" s="62" t="str">
        <f t="shared" si="5"/>
        <v>none</v>
      </c>
      <c r="N15" s="47" t="str">
        <f t="shared" si="6"/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</row>
    <row r="16" spans="1:28" ht="21" customHeight="1" x14ac:dyDescent="0.15">
      <c r="A16" s="46">
        <v>48009114</v>
      </c>
      <c r="B16" s="46" t="s">
        <v>262</v>
      </c>
      <c r="C16" s="49">
        <v>1</v>
      </c>
      <c r="D16" s="49" t="s">
        <v>128</v>
      </c>
      <c r="E16" s="50" t="s">
        <v>253</v>
      </c>
      <c r="F16" s="50" t="s">
        <v>251</v>
      </c>
      <c r="G16" s="62" t="str">
        <f t="shared" si="0"/>
        <v>[effect:nothing]</v>
      </c>
      <c r="H16" s="62">
        <f t="shared" si="1"/>
        <v>9</v>
      </c>
      <c r="I16" s="62">
        <f t="shared" si="2"/>
        <v>16</v>
      </c>
      <c r="J16" s="62" t="e">
        <f t="shared" si="3"/>
        <v>#VALUE!</v>
      </c>
      <c r="K16" s="62" t="e">
        <f t="shared" si="4"/>
        <v>#VALUE!</v>
      </c>
      <c r="L16" s="62" t="str">
        <f>IFERROR(VLOOKUP(MID(G16,J16,K16-J16),[6]skilldef!$C:$D,2,FALSE),"-") &amp; " / " &amp; IFERROR(VLOOKUP(MID(G16,H16,I16-H16),[6]skilldef!$A:$B,2,FALSE),"-")</f>
        <v>- / 何もしない</v>
      </c>
      <c r="M16" s="62" t="str">
        <f t="shared" si="5"/>
        <v>none</v>
      </c>
      <c r="N16" s="47" t="str">
        <f t="shared" si="6"/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</row>
    <row r="17" spans="1:28" ht="21" customHeight="1" x14ac:dyDescent="0.15">
      <c r="A17" s="46">
        <v>48009115</v>
      </c>
      <c r="B17" s="46" t="s">
        <v>264</v>
      </c>
      <c r="C17" s="49">
        <v>1</v>
      </c>
      <c r="D17" s="49" t="s">
        <v>128</v>
      </c>
      <c r="E17" s="50" t="s">
        <v>300</v>
      </c>
      <c r="F17" s="50" t="s">
        <v>285</v>
      </c>
      <c r="G17" s="62" t="str">
        <f t="shared" si="0"/>
        <v>[effect:crash_condition, target:unit_all, turn:-1, val:4, animation:enemy_crash_extend]</v>
      </c>
      <c r="H17" s="62">
        <f t="shared" si="1"/>
        <v>9</v>
      </c>
      <c r="I17" s="62">
        <f t="shared" si="2"/>
        <v>24</v>
      </c>
      <c r="J17" s="62">
        <f t="shared" si="3"/>
        <v>33</v>
      </c>
      <c r="K17" s="62">
        <f t="shared" si="4"/>
        <v>41</v>
      </c>
      <c r="L17" s="62" t="str">
        <f>IFERROR(VLOOKUP(MID(G17,J17,K17-J17),[6]skilldef!$C:$D,2,FALSE),"-") &amp; " / " &amp; IFERROR(VLOOKUP(MID(G17,H17,I17-H17),[6]skilldef!$A:$B,2,FALSE),"-")</f>
        <v>味方全体に / -</v>
      </c>
      <c r="M17" s="62" t="str">
        <f t="shared" si="5"/>
        <v>none</v>
      </c>
      <c r="N17" s="47" t="str">
        <f t="shared" si="6"/>
        <v>none</v>
      </c>
      <c r="O17" s="62" t="e">
        <f t="shared" si="7"/>
        <v>#VALUE!</v>
      </c>
      <c r="P17" s="62">
        <f t="shared" si="8"/>
        <v>4</v>
      </c>
      <c r="Q17" s="62" t="e">
        <f t="shared" si="9"/>
        <v>#VALUE!</v>
      </c>
      <c r="R17" s="62" t="e">
        <f t="shared" si="10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</row>
    <row r="18" spans="1:28" ht="21" customHeight="1" x14ac:dyDescent="0.15">
      <c r="A18" s="46">
        <v>48009116</v>
      </c>
      <c r="B18" s="46" t="s">
        <v>272</v>
      </c>
      <c r="C18" s="49">
        <v>1</v>
      </c>
      <c r="D18" s="49" t="s">
        <v>128</v>
      </c>
      <c r="E18" s="50" t="s">
        <v>301</v>
      </c>
      <c r="F18" s="50" t="s">
        <v>254</v>
      </c>
      <c r="G18" s="62" t="str">
        <f t="shared" si="0"/>
        <v>[effect:spread, val:0.5]</v>
      </c>
      <c r="H18" s="62">
        <f t="shared" si="1"/>
        <v>9</v>
      </c>
      <c r="I18" s="62">
        <f t="shared" si="2"/>
        <v>15</v>
      </c>
      <c r="J18" s="62" t="e">
        <f t="shared" si="3"/>
        <v>#VALUE!</v>
      </c>
      <c r="K18" s="62" t="e">
        <f t="shared" si="4"/>
        <v>#VALUE!</v>
      </c>
      <c r="L18" s="62" t="str">
        <f>IFERROR(VLOOKUP(MID(G18,J18,K18-J18),[6]skilldef!$C:$D,2,FALSE),"-") &amp; " / " &amp; IFERROR(VLOOKUP(MID(G18,H18,I18-H18),[6]skilldef!$A:$B,2,FALSE),"-")</f>
        <v>- / 全体攻撃</v>
      </c>
      <c r="M18" s="62" t="str">
        <f t="shared" si="5"/>
        <v>none</v>
      </c>
      <c r="N18" s="47" t="str">
        <f t="shared" si="6"/>
        <v>none</v>
      </c>
      <c r="O18" s="62" t="e">
        <f t="shared" si="7"/>
        <v>#VALUE!</v>
      </c>
      <c r="P18" s="62">
        <f t="shared" si="8"/>
        <v>4</v>
      </c>
      <c r="Q18" s="62" t="e">
        <f t="shared" si="9"/>
        <v>#VALUE!</v>
      </c>
      <c r="R18" s="62" t="e">
        <f t="shared" si="10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</row>
    <row r="19" spans="1:28" ht="21" customHeight="1" x14ac:dyDescent="0.15">
      <c r="A19" s="46">
        <v>48009117</v>
      </c>
      <c r="B19" s="46" t="s">
        <v>354</v>
      </c>
      <c r="C19" s="49">
        <v>1</v>
      </c>
      <c r="D19" s="49" t="s">
        <v>128</v>
      </c>
      <c r="E19" s="50" t="s">
        <v>302</v>
      </c>
      <c r="F19" s="50" t="s">
        <v>356</v>
      </c>
      <c r="G19" s="62" t="str">
        <f t="shared" si="0"/>
        <v>[effect:damage_abnormal, target:unit_one, val:1.2, status:sleep, turn:2, rate:1, animation:sleep01]</v>
      </c>
      <c r="H19" s="62">
        <f t="shared" si="1"/>
        <v>9</v>
      </c>
      <c r="I19" s="62">
        <f t="shared" si="2"/>
        <v>24</v>
      </c>
      <c r="J19" s="62">
        <f t="shared" si="3"/>
        <v>33</v>
      </c>
      <c r="K19" s="62">
        <f t="shared" si="4"/>
        <v>41</v>
      </c>
      <c r="L19" s="62" t="str">
        <f>IFERROR(VLOOKUP(MID(G19,J19,K19-J19),[6]skilldef!$C:$D,2,FALSE),"-") &amp; " / " &amp; IFERROR(VLOOKUP(MID(G19,H19,I19-H19),[6]skilldef!$A:$B,2,FALSE),"-")</f>
        <v>味方単体に / -</v>
      </c>
      <c r="M19" s="62" t="str">
        <f t="shared" si="5"/>
        <v>[effect:damage_abnormal, target:unit_one, val:1.2, status:sleep, turn:2, rate:1, animation:sleep01]</v>
      </c>
      <c r="N19" s="47" t="str">
        <f t="shared" si="6"/>
        <v>[effect:damage_abnormal, target:unit_one, val:1.2, status:sleep, turn:2, rate:1, animation:sleep01]</v>
      </c>
      <c r="O19" s="62">
        <f t="shared" si="7"/>
        <v>9</v>
      </c>
      <c r="P19" s="62">
        <f t="shared" si="8"/>
        <v>24</v>
      </c>
      <c r="Q19" s="62">
        <f t="shared" si="9"/>
        <v>33</v>
      </c>
      <c r="R19" s="62">
        <f t="shared" si="10"/>
        <v>41</v>
      </c>
      <c r="S19" s="62" t="str">
        <f>IFERROR(VLOOKUP(MID(N19,Q19,R19-Q19),[6]skilldef!$C:$D,2,FALSE),"-") &amp; " / " &amp; IFERROR(VLOOKUP(MID(N19,O19,P19-O19),[6]skilldef!$A:$B,2,FALSE),"-")</f>
        <v>味方単体に / -</v>
      </c>
      <c r="T19" s="47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</row>
    <row r="20" spans="1:28" ht="21" customHeight="1" x14ac:dyDescent="0.15">
      <c r="A20" s="46">
        <v>48009118</v>
      </c>
      <c r="B20" s="46" t="s">
        <v>262</v>
      </c>
      <c r="C20" s="49">
        <v>1</v>
      </c>
      <c r="D20" s="49" t="s">
        <v>128</v>
      </c>
      <c r="E20" s="50" t="s">
        <v>255</v>
      </c>
      <c r="F20" s="50" t="s">
        <v>251</v>
      </c>
      <c r="G20" s="62" t="str">
        <f t="shared" si="0"/>
        <v>[effect:nothing]</v>
      </c>
      <c r="H20" s="62">
        <f t="shared" si="1"/>
        <v>9</v>
      </c>
      <c r="I20" s="62">
        <f t="shared" si="2"/>
        <v>16</v>
      </c>
      <c r="J20" s="62" t="e">
        <f t="shared" si="3"/>
        <v>#VALUE!</v>
      </c>
      <c r="K20" s="62" t="e">
        <f t="shared" si="4"/>
        <v>#VALUE!</v>
      </c>
      <c r="L20" s="62" t="str">
        <f>IFERROR(VLOOKUP(MID(G20,J20,K20-J20),[6]skilldef!$C:$D,2,FALSE),"-") &amp; " / " &amp; IFERROR(VLOOKUP(MID(G20,H20,I20-H20),[6]skilldef!$A:$B,2,FALSE),"-")</f>
        <v>- / 何もしない</v>
      </c>
      <c r="M20" s="62" t="str">
        <f t="shared" si="5"/>
        <v>none</v>
      </c>
      <c r="N20" s="47" t="str">
        <f t="shared" si="6"/>
        <v>none</v>
      </c>
      <c r="O20" s="62" t="e">
        <f t="shared" si="7"/>
        <v>#VALUE!</v>
      </c>
      <c r="P20" s="62">
        <f t="shared" si="8"/>
        <v>4</v>
      </c>
      <c r="Q20" s="62" t="e">
        <f t="shared" si="9"/>
        <v>#VALUE!</v>
      </c>
      <c r="R20" s="62" t="e">
        <f t="shared" si="10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</row>
    <row r="21" spans="1:28" ht="21" customHeight="1" x14ac:dyDescent="0.15">
      <c r="A21" s="46">
        <v>48009119</v>
      </c>
      <c r="B21" s="46" t="s">
        <v>262</v>
      </c>
      <c r="C21" s="49">
        <v>1</v>
      </c>
      <c r="D21" s="49" t="s">
        <v>128</v>
      </c>
      <c r="E21" s="50" t="s">
        <v>255</v>
      </c>
      <c r="F21" s="50" t="s">
        <v>251</v>
      </c>
      <c r="G21" s="62" t="str">
        <f t="shared" si="0"/>
        <v>[effect:nothing]</v>
      </c>
      <c r="H21" s="62">
        <f t="shared" si="1"/>
        <v>9</v>
      </c>
      <c r="I21" s="62">
        <f t="shared" si="2"/>
        <v>16</v>
      </c>
      <c r="J21" s="62" t="e">
        <f t="shared" si="3"/>
        <v>#VALUE!</v>
      </c>
      <c r="K21" s="62" t="e">
        <f t="shared" si="4"/>
        <v>#VALUE!</v>
      </c>
      <c r="L21" s="62" t="str">
        <f>IFERROR(VLOOKUP(MID(G21,J21,K21-J21),[6]skilldef!$C:$D,2,FALSE),"-") &amp; " / " &amp; IFERROR(VLOOKUP(MID(G21,H21,I21-H21),[6]skilldef!$A:$B,2,FALSE),"-")</f>
        <v>- / 何もしない</v>
      </c>
      <c r="M21" s="62" t="str">
        <f t="shared" si="5"/>
        <v>none</v>
      </c>
      <c r="N21" s="47" t="str">
        <f t="shared" si="6"/>
        <v>none</v>
      </c>
      <c r="O21" s="62" t="e">
        <f t="shared" si="7"/>
        <v>#VALUE!</v>
      </c>
      <c r="P21" s="62">
        <f t="shared" si="8"/>
        <v>4</v>
      </c>
      <c r="Q21" s="62" t="e">
        <f t="shared" si="9"/>
        <v>#VALUE!</v>
      </c>
      <c r="R21" s="62" t="e">
        <f t="shared" si="10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</row>
    <row r="22" spans="1:28" ht="21" customHeight="1" x14ac:dyDescent="0.15">
      <c r="A22" s="46">
        <v>48009120</v>
      </c>
      <c r="B22" s="46" t="s">
        <v>265</v>
      </c>
      <c r="C22" s="49">
        <v>1</v>
      </c>
      <c r="D22" s="49" t="s">
        <v>128</v>
      </c>
      <c r="E22" s="50" t="s">
        <v>303</v>
      </c>
      <c r="F22" s="50" t="s">
        <v>257</v>
      </c>
      <c r="G22" s="62" t="str">
        <f t="shared" si="0"/>
        <v>[effect:spread, val:0.4]</v>
      </c>
      <c r="H22" s="62">
        <f t="shared" si="1"/>
        <v>9</v>
      </c>
      <c r="I22" s="62">
        <f t="shared" si="2"/>
        <v>15</v>
      </c>
      <c r="J22" s="62" t="e">
        <f t="shared" si="3"/>
        <v>#VALUE!</v>
      </c>
      <c r="K22" s="62" t="e">
        <f t="shared" si="4"/>
        <v>#VALUE!</v>
      </c>
      <c r="L22" s="62" t="str">
        <f>IFERROR(VLOOKUP(MID(G22,J22,K22-J22),[6]skilldef!$C:$D,2,FALSE),"-") &amp; " / " &amp; IFERROR(VLOOKUP(MID(G22,H22,I22-H22),[6]skilldef!$A:$B,2,FALSE),"-")</f>
        <v>- / 全体攻撃</v>
      </c>
      <c r="M22" s="62" t="str">
        <f t="shared" si="5"/>
        <v>none</v>
      </c>
      <c r="N22" s="47" t="str">
        <f t="shared" si="6"/>
        <v>none</v>
      </c>
      <c r="O22" s="62" t="e">
        <f t="shared" si="7"/>
        <v>#VALUE!</v>
      </c>
      <c r="P22" s="62">
        <f t="shared" si="8"/>
        <v>4</v>
      </c>
      <c r="Q22" s="62" t="e">
        <f t="shared" si="9"/>
        <v>#VALUE!</v>
      </c>
      <c r="R22" s="62" t="e">
        <f t="shared" si="10"/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7" t="str">
        <f t="shared" si="11"/>
        <v>none</v>
      </c>
      <c r="U22" s="62" t="e">
        <f t="shared" si="12"/>
        <v>#VALUE!</v>
      </c>
      <c r="V22" s="62">
        <f t="shared" si="13"/>
        <v>4</v>
      </c>
      <c r="W22" s="62" t="e">
        <f t="shared" si="14"/>
        <v>#VALUE!</v>
      </c>
      <c r="X22" s="62" t="e">
        <f t="shared" si="15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</row>
    <row r="23" spans="1:28" ht="21" customHeight="1" x14ac:dyDescent="0.15">
      <c r="A23" s="46">
        <v>48009121</v>
      </c>
      <c r="B23" s="46" t="s">
        <v>266</v>
      </c>
      <c r="C23" s="49">
        <v>1</v>
      </c>
      <c r="D23" s="49" t="s">
        <v>128</v>
      </c>
      <c r="E23" s="50" t="s">
        <v>304</v>
      </c>
      <c r="F23" s="50" t="s">
        <v>284</v>
      </c>
      <c r="G23" s="62" t="str">
        <f t="shared" si="0"/>
        <v>[effect:dis_heart, turn:-1, animation:enemy_dis_heart]</v>
      </c>
      <c r="H23" s="62">
        <f t="shared" si="1"/>
        <v>9</v>
      </c>
      <c r="I23" s="62">
        <f t="shared" si="2"/>
        <v>18</v>
      </c>
      <c r="J23" s="62" t="e">
        <f t="shared" si="3"/>
        <v>#VALUE!</v>
      </c>
      <c r="K23" s="62">
        <f t="shared" si="4"/>
        <v>27</v>
      </c>
      <c r="L23" s="62" t="str">
        <f>IFERROR(VLOOKUP(MID(G23,J23,K23-J23),[6]skilldef!$C:$D,2,FALSE),"-") &amp; " / " &amp; IFERROR(VLOOKUP(MID(G23,H23,I23-H23),[6]skilldef!$A:$B,2,FALSE),"-")</f>
        <v>- / ディスハート</v>
      </c>
      <c r="M23" s="62" t="str">
        <f t="shared" si="5"/>
        <v>none</v>
      </c>
      <c r="N23" s="47" t="str">
        <f t="shared" si="6"/>
        <v>none</v>
      </c>
      <c r="O23" s="62" t="e">
        <f t="shared" si="7"/>
        <v>#VALUE!</v>
      </c>
      <c r="P23" s="62">
        <f t="shared" si="8"/>
        <v>4</v>
      </c>
      <c r="Q23" s="62" t="e">
        <f t="shared" si="9"/>
        <v>#VALUE!</v>
      </c>
      <c r="R23" s="62" t="e">
        <f t="shared" si="10"/>
        <v>#VALUE!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11"/>
        <v>none</v>
      </c>
      <c r="U23" s="62" t="e">
        <f t="shared" si="12"/>
        <v>#VALUE!</v>
      </c>
      <c r="V23" s="62">
        <f t="shared" si="13"/>
        <v>4</v>
      </c>
      <c r="W23" s="62" t="e">
        <f t="shared" si="14"/>
        <v>#VALUE!</v>
      </c>
      <c r="X23" s="62" t="e">
        <f t="shared" si="15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</row>
    <row r="24" spans="1:28" ht="21" customHeight="1" x14ac:dyDescent="0.15">
      <c r="A24" s="46">
        <v>48009122</v>
      </c>
      <c r="B24" s="46" t="s">
        <v>262</v>
      </c>
      <c r="C24" s="49">
        <v>1</v>
      </c>
      <c r="D24" s="49" t="s">
        <v>128</v>
      </c>
      <c r="E24" s="50" t="s">
        <v>256</v>
      </c>
      <c r="F24" s="50" t="s">
        <v>251</v>
      </c>
      <c r="G24" s="62" t="str">
        <f t="shared" si="0"/>
        <v>[effect:nothing]</v>
      </c>
      <c r="H24" s="62">
        <f t="shared" si="1"/>
        <v>9</v>
      </c>
      <c r="I24" s="62">
        <f t="shared" si="2"/>
        <v>16</v>
      </c>
      <c r="J24" s="62" t="e">
        <f t="shared" si="3"/>
        <v>#VALUE!</v>
      </c>
      <c r="K24" s="62" t="e">
        <f t="shared" si="4"/>
        <v>#VALUE!</v>
      </c>
      <c r="L24" s="62" t="str">
        <f>IFERROR(VLOOKUP(MID(G24,J24,K24-J24),[6]skilldef!$C:$D,2,FALSE),"-") &amp; " / " &amp; IFERROR(VLOOKUP(MID(G24,H24,I24-H24),[6]skilldef!$A:$B,2,FALSE),"-")</f>
        <v>- / 何もしない</v>
      </c>
      <c r="M24" s="62" t="str">
        <f t="shared" si="5"/>
        <v>none</v>
      </c>
      <c r="N24" s="47" t="str">
        <f t="shared" si="6"/>
        <v>none</v>
      </c>
      <c r="O24" s="62" t="e">
        <f t="shared" si="7"/>
        <v>#VALUE!</v>
      </c>
      <c r="P24" s="62">
        <f t="shared" si="8"/>
        <v>4</v>
      </c>
      <c r="Q24" s="62" t="e">
        <f t="shared" si="9"/>
        <v>#VALUE!</v>
      </c>
      <c r="R24" s="62" t="e">
        <f t="shared" si="10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7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</row>
    <row r="25" spans="1:28" ht="21" customHeight="1" x14ac:dyDescent="0.15">
      <c r="A25" s="46">
        <v>48009123</v>
      </c>
      <c r="B25" s="46" t="s">
        <v>262</v>
      </c>
      <c r="C25" s="49">
        <v>1</v>
      </c>
      <c r="D25" s="49" t="s">
        <v>128</v>
      </c>
      <c r="E25" s="50" t="s">
        <v>256</v>
      </c>
      <c r="F25" s="50" t="s">
        <v>251</v>
      </c>
      <c r="G25" s="62" t="str">
        <f t="shared" si="0"/>
        <v>[effect:nothing]</v>
      </c>
      <c r="H25" s="62">
        <f t="shared" si="1"/>
        <v>9</v>
      </c>
      <c r="I25" s="62">
        <f t="shared" si="2"/>
        <v>16</v>
      </c>
      <c r="J25" s="62" t="e">
        <f t="shared" si="3"/>
        <v>#VALUE!</v>
      </c>
      <c r="K25" s="62" t="e">
        <f t="shared" si="4"/>
        <v>#VALUE!</v>
      </c>
      <c r="L25" s="62" t="str">
        <f>IFERROR(VLOOKUP(MID(G25,J25,K25-J25),[6]skilldef!$C:$D,2,FALSE),"-") &amp; " / " &amp; IFERROR(VLOOKUP(MID(G25,H25,I25-H25),[6]skilldef!$A:$B,2,FALSE),"-")</f>
        <v>- / 何もしない</v>
      </c>
      <c r="M25" s="62" t="str">
        <f t="shared" si="5"/>
        <v>none</v>
      </c>
      <c r="N25" s="47" t="str">
        <f t="shared" si="6"/>
        <v>none</v>
      </c>
      <c r="O25" s="62" t="e">
        <f t="shared" si="7"/>
        <v>#VALUE!</v>
      </c>
      <c r="P25" s="62">
        <f t="shared" si="8"/>
        <v>4</v>
      </c>
      <c r="Q25" s="62" t="e">
        <f t="shared" si="9"/>
        <v>#VALUE!</v>
      </c>
      <c r="R25" s="62" t="e">
        <f t="shared" si="10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7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</row>
    <row r="26" spans="1:28" ht="21" customHeight="1" x14ac:dyDescent="0.15">
      <c r="A26" s="46">
        <v>48009124</v>
      </c>
      <c r="B26" s="46" t="s">
        <v>262</v>
      </c>
      <c r="C26" s="49">
        <v>1</v>
      </c>
      <c r="D26" s="49" t="s">
        <v>128</v>
      </c>
      <c r="E26" s="50" t="s">
        <v>256</v>
      </c>
      <c r="F26" s="50" t="s">
        <v>251</v>
      </c>
      <c r="G26" s="62" t="str">
        <f t="shared" si="0"/>
        <v>[effect:nothing]</v>
      </c>
      <c r="H26" s="62">
        <f t="shared" si="1"/>
        <v>9</v>
      </c>
      <c r="I26" s="62">
        <f t="shared" si="2"/>
        <v>16</v>
      </c>
      <c r="J26" s="62" t="e">
        <f t="shared" si="3"/>
        <v>#VALUE!</v>
      </c>
      <c r="K26" s="62" t="e">
        <f t="shared" si="4"/>
        <v>#VALUE!</v>
      </c>
      <c r="L26" s="62" t="str">
        <f>IFERROR(VLOOKUP(MID(G26,J26,K26-J26),[6]skilldef!$C:$D,2,FALSE),"-") &amp; " / " &amp; IFERROR(VLOOKUP(MID(G26,H26,I26-H26),[6]skilldef!$A:$B,2,FALSE),"-")</f>
        <v>- / 何もしない</v>
      </c>
      <c r="M26" s="62" t="str">
        <f t="shared" si="5"/>
        <v>none</v>
      </c>
      <c r="N26" s="47" t="str">
        <f t="shared" si="6"/>
        <v>none</v>
      </c>
      <c r="O26" s="62" t="e">
        <f t="shared" si="7"/>
        <v>#VALUE!</v>
      </c>
      <c r="P26" s="62">
        <f t="shared" si="8"/>
        <v>4</v>
      </c>
      <c r="Q26" s="62" t="e">
        <f t="shared" si="9"/>
        <v>#VALUE!</v>
      </c>
      <c r="R26" s="62" t="e">
        <f t="shared" si="10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</row>
    <row r="27" spans="1:28" ht="21" customHeight="1" x14ac:dyDescent="0.15">
      <c r="A27" s="46">
        <v>48009125</v>
      </c>
      <c r="B27" s="46" t="s">
        <v>278</v>
      </c>
      <c r="C27" s="49">
        <v>1</v>
      </c>
      <c r="D27" s="49" t="s">
        <v>128</v>
      </c>
      <c r="E27" s="50" t="s">
        <v>305</v>
      </c>
      <c r="F27" s="50" t="s">
        <v>284</v>
      </c>
      <c r="G27" s="62" t="str">
        <f t="shared" si="0"/>
        <v>[effect:dis_heart, turn:-1, animation:enemy_dis_heart]</v>
      </c>
      <c r="H27" s="62">
        <f t="shared" si="1"/>
        <v>9</v>
      </c>
      <c r="I27" s="62">
        <f t="shared" si="2"/>
        <v>18</v>
      </c>
      <c r="J27" s="62" t="e">
        <f t="shared" si="3"/>
        <v>#VALUE!</v>
      </c>
      <c r="K27" s="62">
        <f t="shared" si="4"/>
        <v>27</v>
      </c>
      <c r="L27" s="62" t="str">
        <f>IFERROR(VLOOKUP(MID(G27,J27,K27-J27),[6]skilldef!$C:$D,2,FALSE),"-") &amp; " / " &amp; IFERROR(VLOOKUP(MID(G27,H27,I27-H27),[6]skilldef!$A:$B,2,FALSE),"-")</f>
        <v>- / ディスハート</v>
      </c>
      <c r="M27" s="62" t="str">
        <f t="shared" si="5"/>
        <v>none</v>
      </c>
      <c r="N27" s="47" t="str">
        <f t="shared" si="6"/>
        <v>none</v>
      </c>
      <c r="O27" s="62" t="e">
        <f t="shared" si="7"/>
        <v>#VALUE!</v>
      </c>
      <c r="P27" s="62">
        <f t="shared" si="8"/>
        <v>4</v>
      </c>
      <c r="Q27" s="62" t="e">
        <f t="shared" si="9"/>
        <v>#VALUE!</v>
      </c>
      <c r="R27" s="62" t="e">
        <f t="shared" si="10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11"/>
        <v>none</v>
      </c>
      <c r="U27" s="62" t="e">
        <f t="shared" si="12"/>
        <v>#VALUE!</v>
      </c>
      <c r="V27" s="62">
        <f t="shared" si="13"/>
        <v>4</v>
      </c>
      <c r="W27" s="62" t="e">
        <f t="shared" si="14"/>
        <v>#VALUE!</v>
      </c>
      <c r="X27" s="62" t="e">
        <f t="shared" si="15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</row>
    <row r="28" spans="1:28" ht="21" customHeight="1" x14ac:dyDescent="0.15">
      <c r="A28" s="46">
        <v>48009126</v>
      </c>
      <c r="B28" s="46" t="s">
        <v>273</v>
      </c>
      <c r="C28" s="49">
        <v>1</v>
      </c>
      <c r="D28" s="49" t="s">
        <v>128</v>
      </c>
      <c r="E28" s="50" t="s">
        <v>306</v>
      </c>
      <c r="F28" s="50" t="s">
        <v>283</v>
      </c>
      <c r="G28" s="62" t="str">
        <f t="shared" si="0"/>
        <v>[effect:damage_abnormal, target:unit_one, val:1.2, status:sleep, turn:2, rate:1, animation:sleep01]</v>
      </c>
      <c r="H28" s="62">
        <f t="shared" si="1"/>
        <v>9</v>
      </c>
      <c r="I28" s="62">
        <f t="shared" si="2"/>
        <v>24</v>
      </c>
      <c r="J28" s="62">
        <f t="shared" si="3"/>
        <v>33</v>
      </c>
      <c r="K28" s="62">
        <f t="shared" si="4"/>
        <v>41</v>
      </c>
      <c r="L28" s="62" t="str">
        <f>IFERROR(VLOOKUP(MID(G28,J28,K28-J28),[6]skilldef!$C:$D,2,FALSE),"-") &amp; " / " &amp; IFERROR(VLOOKUP(MID(G28,H28,I28-H28),[6]skilldef!$A:$B,2,FALSE),"-")</f>
        <v>味方単体に / -</v>
      </c>
      <c r="M28" s="62" t="str">
        <f t="shared" si="5"/>
        <v>none</v>
      </c>
      <c r="N28" s="47" t="str">
        <f t="shared" si="6"/>
        <v>none</v>
      </c>
      <c r="O28" s="62" t="e">
        <f t="shared" si="7"/>
        <v>#VALUE!</v>
      </c>
      <c r="P28" s="62">
        <f t="shared" si="8"/>
        <v>4</v>
      </c>
      <c r="Q28" s="62" t="e">
        <f t="shared" si="9"/>
        <v>#VALUE!</v>
      </c>
      <c r="R28" s="62" t="e">
        <f t="shared" si="10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11"/>
        <v>none</v>
      </c>
      <c r="U28" s="62" t="e">
        <f t="shared" si="12"/>
        <v>#VALUE!</v>
      </c>
      <c r="V28" s="62">
        <f t="shared" si="13"/>
        <v>4</v>
      </c>
      <c r="W28" s="62" t="e">
        <f t="shared" si="14"/>
        <v>#VALUE!</v>
      </c>
      <c r="X28" s="62" t="e">
        <f t="shared" si="15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</row>
    <row r="29" spans="1:28" ht="21" customHeight="1" x14ac:dyDescent="0.15">
      <c r="A29" s="46">
        <v>48009127</v>
      </c>
      <c r="B29" s="46" t="s">
        <v>262</v>
      </c>
      <c r="C29" s="49">
        <v>1</v>
      </c>
      <c r="D29" s="49" t="s">
        <v>128</v>
      </c>
      <c r="E29" s="50" t="s">
        <v>258</v>
      </c>
      <c r="F29" s="50" t="s">
        <v>251</v>
      </c>
      <c r="G29" s="62" t="str">
        <f t="shared" si="0"/>
        <v>[effect:nothing]</v>
      </c>
      <c r="H29" s="62">
        <f t="shared" si="1"/>
        <v>9</v>
      </c>
      <c r="I29" s="62">
        <f t="shared" si="2"/>
        <v>16</v>
      </c>
      <c r="J29" s="62" t="e">
        <f t="shared" si="3"/>
        <v>#VALUE!</v>
      </c>
      <c r="K29" s="62" t="e">
        <f t="shared" si="4"/>
        <v>#VALUE!</v>
      </c>
      <c r="L29" s="62" t="str">
        <f>IFERROR(VLOOKUP(MID(G29,J29,K29-J29),[6]skilldef!$C:$D,2,FALSE),"-") &amp; " / " &amp; IFERROR(VLOOKUP(MID(G29,H29,I29-H29),[6]skilldef!$A:$B,2,FALSE),"-")</f>
        <v>- / 何もしない</v>
      </c>
      <c r="M29" s="62" t="str">
        <f t="shared" si="5"/>
        <v>none</v>
      </c>
      <c r="N29" s="47" t="str">
        <f t="shared" si="6"/>
        <v>none</v>
      </c>
      <c r="O29" s="62" t="e">
        <f t="shared" si="7"/>
        <v>#VALUE!</v>
      </c>
      <c r="P29" s="62">
        <f t="shared" si="8"/>
        <v>4</v>
      </c>
      <c r="Q29" s="62" t="e">
        <f t="shared" si="9"/>
        <v>#VALUE!</v>
      </c>
      <c r="R29" s="62" t="e">
        <f t="shared" si="10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</row>
    <row r="30" spans="1:28" ht="21" customHeight="1" x14ac:dyDescent="0.15">
      <c r="A30" s="46">
        <v>48009128</v>
      </c>
      <c r="B30" s="46" t="s">
        <v>262</v>
      </c>
      <c r="C30" s="49">
        <v>1</v>
      </c>
      <c r="D30" s="49" t="s">
        <v>128</v>
      </c>
      <c r="E30" s="50" t="s">
        <v>258</v>
      </c>
      <c r="F30" s="50" t="s">
        <v>251</v>
      </c>
      <c r="G30" s="62" t="str">
        <f t="shared" si="0"/>
        <v>[effect:nothing]</v>
      </c>
      <c r="H30" s="62">
        <f t="shared" si="1"/>
        <v>9</v>
      </c>
      <c r="I30" s="62">
        <f t="shared" si="2"/>
        <v>16</v>
      </c>
      <c r="J30" s="62" t="e">
        <f t="shared" si="3"/>
        <v>#VALUE!</v>
      </c>
      <c r="K30" s="62" t="e">
        <f t="shared" si="4"/>
        <v>#VALUE!</v>
      </c>
      <c r="L30" s="62" t="str">
        <f>IFERROR(VLOOKUP(MID(G30,J30,K30-J30),[6]skilldef!$C:$D,2,FALSE),"-") &amp; " / " &amp; IFERROR(VLOOKUP(MID(G30,H30,I30-H30),[6]skilldef!$A:$B,2,FALSE),"-")</f>
        <v>- / 何もしない</v>
      </c>
      <c r="M30" s="62" t="str">
        <f t="shared" si="5"/>
        <v>none</v>
      </c>
      <c r="N30" s="47" t="str">
        <f t="shared" si="6"/>
        <v>none</v>
      </c>
      <c r="O30" s="62" t="e">
        <f t="shared" si="7"/>
        <v>#VALUE!</v>
      </c>
      <c r="P30" s="62">
        <f t="shared" si="8"/>
        <v>4</v>
      </c>
      <c r="Q30" s="62" t="e">
        <f t="shared" si="9"/>
        <v>#VALUE!</v>
      </c>
      <c r="R30" s="62" t="e">
        <f t="shared" si="10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</row>
    <row r="31" spans="1:28" ht="21" customHeight="1" x14ac:dyDescent="0.15">
      <c r="A31" s="46">
        <v>48009129</v>
      </c>
      <c r="B31" s="46" t="s">
        <v>262</v>
      </c>
      <c r="C31" s="49">
        <v>1</v>
      </c>
      <c r="D31" s="49" t="s">
        <v>128</v>
      </c>
      <c r="E31" s="50" t="s">
        <v>258</v>
      </c>
      <c r="F31" s="50" t="s">
        <v>251</v>
      </c>
      <c r="G31" s="62" t="str">
        <f t="shared" si="0"/>
        <v>[effect:nothing]</v>
      </c>
      <c r="H31" s="62">
        <f t="shared" si="1"/>
        <v>9</v>
      </c>
      <c r="I31" s="62">
        <f t="shared" si="2"/>
        <v>16</v>
      </c>
      <c r="J31" s="62" t="e">
        <f t="shared" si="3"/>
        <v>#VALUE!</v>
      </c>
      <c r="K31" s="62" t="e">
        <f t="shared" si="4"/>
        <v>#VALUE!</v>
      </c>
      <c r="L31" s="62" t="str">
        <f>IFERROR(VLOOKUP(MID(G31,J31,K31-J31),[6]skilldef!$C:$D,2,FALSE),"-") &amp; " / " &amp; IFERROR(VLOOKUP(MID(G31,H31,I31-H31),[6]skilldef!$A:$B,2,FALSE),"-")</f>
        <v>- / 何もしない</v>
      </c>
      <c r="M31" s="62" t="str">
        <f t="shared" si="5"/>
        <v>none</v>
      </c>
      <c r="N31" s="47" t="str">
        <f t="shared" si="6"/>
        <v>none</v>
      </c>
      <c r="O31" s="62" t="e">
        <f t="shared" si="7"/>
        <v>#VALUE!</v>
      </c>
      <c r="P31" s="62">
        <f t="shared" si="8"/>
        <v>4</v>
      </c>
      <c r="Q31" s="62" t="e">
        <f t="shared" si="9"/>
        <v>#VALUE!</v>
      </c>
      <c r="R31" s="62" t="e">
        <f t="shared" si="10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</row>
    <row r="32" spans="1:28" ht="21" customHeight="1" x14ac:dyDescent="0.15">
      <c r="A32" s="46">
        <v>48009130</v>
      </c>
      <c r="B32" s="46" t="s">
        <v>267</v>
      </c>
      <c r="C32" s="49">
        <v>1</v>
      </c>
      <c r="D32" s="49" t="s">
        <v>128</v>
      </c>
      <c r="E32" s="50" t="s">
        <v>315</v>
      </c>
      <c r="F32" s="50" t="s">
        <v>286</v>
      </c>
      <c r="G32" s="62" t="str">
        <f t="shared" si="0"/>
        <v>[effect:tolerance, target:myself, turn:-1, count:-1, tolerance_effect:all, animation:enemy_tolerance]</v>
      </c>
      <c r="H32" s="62">
        <f t="shared" si="1"/>
        <v>9</v>
      </c>
      <c r="I32" s="62">
        <f t="shared" si="2"/>
        <v>18</v>
      </c>
      <c r="J32" s="62">
        <f t="shared" si="3"/>
        <v>27</v>
      </c>
      <c r="K32" s="62">
        <f t="shared" si="4"/>
        <v>33</v>
      </c>
      <c r="L32" s="62" t="str">
        <f>IFERROR(VLOOKUP(MID(G32,J32,K32-J32),[6]skilldef!$C:$D,2,FALSE),"-") &amp; " / " &amp; IFERROR(VLOOKUP(MID(G32,H32,I32-H32),[6]skilldef!$A:$B,2,FALSE),"-")</f>
        <v>自分自身に / 状態異常耐性</v>
      </c>
      <c r="M32" s="62" t="str">
        <f t="shared" si="5"/>
        <v>[effect:crash_condition, target:unit_all, turn:-1, val:4, animation:enemy_crash_extend]</v>
      </c>
      <c r="N32" s="47" t="str">
        <f t="shared" si="6"/>
        <v>[effect:crash_condition, target:unit_all, turn:-1, val:4, animation:enemy_crash_extend]</v>
      </c>
      <c r="O32" s="62">
        <f t="shared" si="7"/>
        <v>9</v>
      </c>
      <c r="P32" s="62">
        <f t="shared" si="8"/>
        <v>24</v>
      </c>
      <c r="Q32" s="62">
        <f t="shared" si="9"/>
        <v>33</v>
      </c>
      <c r="R32" s="62">
        <f t="shared" si="10"/>
        <v>41</v>
      </c>
      <c r="S32" s="62" t="str">
        <f>IFERROR(VLOOKUP(MID(N32,Q32,R32-Q32),[6]skilldef!$C:$D,2,FALSE),"-") &amp; " / " &amp; IFERROR(VLOOKUP(MID(N32,O32,P32-O32),[6]skilldef!$A:$B,2,FALSE),"-")</f>
        <v>味方全体に / -</v>
      </c>
      <c r="T32" s="47" t="str">
        <f t="shared" si="11"/>
        <v>none</v>
      </c>
      <c r="U32" s="62" t="e">
        <f t="shared" si="12"/>
        <v>#VALUE!</v>
      </c>
      <c r="V32" s="62">
        <f t="shared" si="13"/>
        <v>4</v>
      </c>
      <c r="W32" s="62" t="e">
        <f t="shared" si="14"/>
        <v>#VALUE!</v>
      </c>
      <c r="X32" s="62" t="e">
        <f t="shared" si="15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</row>
    <row r="33" spans="1:28" ht="21" customHeight="1" x14ac:dyDescent="0.15">
      <c r="A33" s="46">
        <v>48009131</v>
      </c>
      <c r="B33" s="46" t="s">
        <v>267</v>
      </c>
      <c r="C33" s="49">
        <v>1</v>
      </c>
      <c r="D33" s="49" t="s">
        <v>128</v>
      </c>
      <c r="E33" s="50" t="s">
        <v>313</v>
      </c>
      <c r="F33" s="50" t="s">
        <v>286</v>
      </c>
      <c r="G33" s="62" t="str">
        <f t="shared" si="0"/>
        <v>[effect:tolerance, target:myself, turn:-1, count:-1, tolerance_effect:all, animation:enemy_tolerance]</v>
      </c>
      <c r="H33" s="62">
        <f t="shared" si="1"/>
        <v>9</v>
      </c>
      <c r="I33" s="62">
        <f t="shared" si="2"/>
        <v>18</v>
      </c>
      <c r="J33" s="62">
        <f t="shared" si="3"/>
        <v>27</v>
      </c>
      <c r="K33" s="62">
        <f t="shared" si="4"/>
        <v>33</v>
      </c>
      <c r="L33" s="62" t="str">
        <f>IFERROR(VLOOKUP(MID(G33,J33,K33-J33),[6]skilldef!$C:$D,2,FALSE),"-") &amp; " / " &amp; IFERROR(VLOOKUP(MID(G33,H33,I33-H33),[6]skilldef!$A:$B,2,FALSE),"-")</f>
        <v>自分自身に / 状態異常耐性</v>
      </c>
      <c r="M33" s="62" t="str">
        <f t="shared" si="5"/>
        <v>[effect:crash_condition, target:unit_all, turn:-1, val:4, animation:enemy_crash_extend]</v>
      </c>
      <c r="N33" s="47" t="str">
        <f t="shared" si="6"/>
        <v>[effect:crash_condition, target:unit_all, turn:-1, val:4, animation:enemy_crash_extend]</v>
      </c>
      <c r="O33" s="62">
        <f t="shared" si="7"/>
        <v>9</v>
      </c>
      <c r="P33" s="62">
        <f t="shared" si="8"/>
        <v>24</v>
      </c>
      <c r="Q33" s="62">
        <f t="shared" si="9"/>
        <v>33</v>
      </c>
      <c r="R33" s="62">
        <f t="shared" si="10"/>
        <v>41</v>
      </c>
      <c r="S33" s="62" t="str">
        <f>IFERROR(VLOOKUP(MID(N33,Q33,R33-Q33),[6]skilldef!$C:$D,2,FALSE),"-") &amp; " / " &amp; IFERROR(VLOOKUP(MID(N33,O33,P33-O33),[6]skilldef!$A:$B,2,FALSE),"-")</f>
        <v>味方全体に / -</v>
      </c>
      <c r="T33" s="47" t="str">
        <f t="shared" si="11"/>
        <v>none</v>
      </c>
      <c r="U33" s="62" t="e">
        <f t="shared" si="12"/>
        <v>#VALUE!</v>
      </c>
      <c r="V33" s="62">
        <f t="shared" si="13"/>
        <v>4</v>
      </c>
      <c r="W33" s="62" t="e">
        <f t="shared" si="14"/>
        <v>#VALUE!</v>
      </c>
      <c r="X33" s="62" t="e">
        <f t="shared" si="1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</row>
    <row r="34" spans="1:28" ht="21" customHeight="1" x14ac:dyDescent="0.15">
      <c r="A34" s="46">
        <v>48009132</v>
      </c>
      <c r="B34" s="46" t="s">
        <v>275</v>
      </c>
      <c r="C34" s="49">
        <v>1</v>
      </c>
      <c r="D34" s="49" t="s">
        <v>128</v>
      </c>
      <c r="E34" s="50" t="s">
        <v>307</v>
      </c>
      <c r="F34" s="50" t="s">
        <v>287</v>
      </c>
      <c r="G34" s="62" t="str">
        <f t="shared" si="0"/>
        <v>[effect:damage_anti_tribe, target:unit_all, tribe:human, val1:0.6, val2:0.4]</v>
      </c>
      <c r="H34" s="62">
        <f t="shared" si="1"/>
        <v>9</v>
      </c>
      <c r="I34" s="62">
        <f t="shared" si="2"/>
        <v>26</v>
      </c>
      <c r="J34" s="62">
        <f t="shared" si="3"/>
        <v>35</v>
      </c>
      <c r="K34" s="62">
        <f t="shared" si="4"/>
        <v>43</v>
      </c>
      <c r="L34" s="62" t="str">
        <f>IFERROR(VLOOKUP(MID(G34,J34,K34-J34),[6]skilldef!$C:$D,2,FALSE),"-") &amp; " / " &amp; IFERROR(VLOOKUP(MID(G34,H34,I34-H34),[6]skilldef!$A:$B,2,FALSE),"-")</f>
        <v>味方全体に / 種族キラー</v>
      </c>
      <c r="M34" s="62" t="str">
        <f t="shared" si="5"/>
        <v>none</v>
      </c>
      <c r="N34" s="47" t="str">
        <f t="shared" si="6"/>
        <v>none</v>
      </c>
      <c r="O34" s="62" t="e">
        <f t="shared" si="7"/>
        <v>#VALUE!</v>
      </c>
      <c r="P34" s="62">
        <f t="shared" si="8"/>
        <v>4</v>
      </c>
      <c r="Q34" s="62" t="e">
        <f t="shared" si="9"/>
        <v>#VALUE!</v>
      </c>
      <c r="R34" s="62" t="e">
        <f t="shared" si="10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7" t="str">
        <f t="shared" si="11"/>
        <v>none</v>
      </c>
      <c r="U34" s="62" t="e">
        <f t="shared" si="12"/>
        <v>#VALUE!</v>
      </c>
      <c r="V34" s="62">
        <f t="shared" si="13"/>
        <v>4</v>
      </c>
      <c r="W34" s="62" t="e">
        <f t="shared" si="14"/>
        <v>#VALUE!</v>
      </c>
      <c r="X34" s="62" t="e">
        <f t="shared" si="1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</row>
    <row r="35" spans="1:28" ht="21" customHeight="1" x14ac:dyDescent="0.15">
      <c r="A35" s="46">
        <v>48009133</v>
      </c>
      <c r="B35" s="46" t="s">
        <v>268</v>
      </c>
      <c r="C35" s="49">
        <v>1</v>
      </c>
      <c r="D35" s="49" t="s">
        <v>128</v>
      </c>
      <c r="E35" s="50" t="s">
        <v>308</v>
      </c>
      <c r="F35" s="50" t="s">
        <v>288</v>
      </c>
      <c r="G35" s="62" t="str">
        <f t="shared" si="0"/>
        <v>[effect:damage_gravity, val:0.4, animation:fevergauge_down]</v>
      </c>
      <c r="H35" s="62">
        <f t="shared" si="1"/>
        <v>9</v>
      </c>
      <c r="I35" s="62">
        <f t="shared" si="2"/>
        <v>23</v>
      </c>
      <c r="J35" s="62" t="e">
        <f t="shared" si="3"/>
        <v>#VALUE!</v>
      </c>
      <c r="K35" s="62">
        <f t="shared" si="4"/>
        <v>32</v>
      </c>
      <c r="L35" s="62" t="str">
        <f>IFERROR(VLOOKUP(MID(G35,J35,K35-J35),[6]skilldef!$C:$D,2,FALSE),"-") &amp; " / " &amp; IFERROR(VLOOKUP(MID(G35,H35,I35-H35),[6]skilldef!$A:$B,2,FALSE),"-")</f>
        <v>- / 割合ダメージ</v>
      </c>
      <c r="M35" s="62" t="str">
        <f t="shared" si="5"/>
        <v>none</v>
      </c>
      <c r="N35" s="47" t="str">
        <f t="shared" si="6"/>
        <v>none</v>
      </c>
      <c r="O35" s="62" t="e">
        <f t="shared" si="7"/>
        <v>#VALUE!</v>
      </c>
      <c r="P35" s="62">
        <f t="shared" si="8"/>
        <v>4</v>
      </c>
      <c r="Q35" s="62" t="e">
        <f t="shared" si="9"/>
        <v>#VALUE!</v>
      </c>
      <c r="R35" s="62" t="e">
        <f t="shared" si="10"/>
        <v>#VALUE!</v>
      </c>
      <c r="S35" s="62" t="str">
        <f>IFERROR(VLOOKUP(MID(N35,Q35,R35-Q35),[6]skilldef!$C:$D,2,FALSE),"-") &amp; " / " &amp; IFERROR(VLOOKUP(MID(N35,O35,P35-O35),[6]skilldef!$A:$B,2,FALSE),"-")</f>
        <v>- / -</v>
      </c>
      <c r="T35" s="47" t="str">
        <f t="shared" si="11"/>
        <v>none</v>
      </c>
      <c r="U35" s="62" t="e">
        <f t="shared" si="12"/>
        <v>#VALUE!</v>
      </c>
      <c r="V35" s="62">
        <f t="shared" si="13"/>
        <v>4</v>
      </c>
      <c r="W35" s="62" t="e">
        <f t="shared" si="14"/>
        <v>#VALUE!</v>
      </c>
      <c r="X35" s="62" t="e">
        <f t="shared" si="15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</row>
    <row r="36" spans="1:28" ht="21" customHeight="1" x14ac:dyDescent="0.15">
      <c r="A36" s="46">
        <v>48009134</v>
      </c>
      <c r="B36" s="46" t="s">
        <v>262</v>
      </c>
      <c r="C36" s="49">
        <v>1</v>
      </c>
      <c r="D36" s="49" t="s">
        <v>128</v>
      </c>
      <c r="E36" s="50" t="s">
        <v>259</v>
      </c>
      <c r="F36" s="50" t="s">
        <v>251</v>
      </c>
      <c r="G36" s="62" t="str">
        <f t="shared" si="0"/>
        <v>[effect:nothing]</v>
      </c>
      <c r="H36" s="62">
        <f t="shared" si="1"/>
        <v>9</v>
      </c>
      <c r="I36" s="62">
        <f t="shared" si="2"/>
        <v>16</v>
      </c>
      <c r="J36" s="62" t="e">
        <f t="shared" si="3"/>
        <v>#VALUE!</v>
      </c>
      <c r="K36" s="62" t="e">
        <f t="shared" si="4"/>
        <v>#VALUE!</v>
      </c>
      <c r="L36" s="62" t="str">
        <f>IFERROR(VLOOKUP(MID(G36,J36,K36-J36),[6]skilldef!$C:$D,2,FALSE),"-") &amp; " / " &amp; IFERROR(VLOOKUP(MID(G36,H36,I36-H36),[6]skilldef!$A:$B,2,FALSE),"-")</f>
        <v>- / 何もしない</v>
      </c>
      <c r="M36" s="62" t="str">
        <f t="shared" si="5"/>
        <v>none</v>
      </c>
      <c r="N36" s="47" t="str">
        <f t="shared" si="6"/>
        <v>none</v>
      </c>
      <c r="O36" s="62" t="e">
        <f t="shared" si="7"/>
        <v>#VALUE!</v>
      </c>
      <c r="P36" s="62">
        <f t="shared" si="8"/>
        <v>4</v>
      </c>
      <c r="Q36" s="62" t="e">
        <f t="shared" si="9"/>
        <v>#VALUE!</v>
      </c>
      <c r="R36" s="62" t="e">
        <f t="shared" si="10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11"/>
        <v>none</v>
      </c>
      <c r="U36" s="62" t="e">
        <f t="shared" si="12"/>
        <v>#VALUE!</v>
      </c>
      <c r="V36" s="62">
        <f t="shared" si="13"/>
        <v>4</v>
      </c>
      <c r="W36" s="62" t="e">
        <f t="shared" si="14"/>
        <v>#VALUE!</v>
      </c>
      <c r="X36" s="62" t="e">
        <f t="shared" si="1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</row>
    <row r="37" spans="1:28" ht="21" customHeight="1" x14ac:dyDescent="0.15">
      <c r="A37" s="46">
        <v>48009135</v>
      </c>
      <c r="B37" s="46" t="s">
        <v>262</v>
      </c>
      <c r="C37" s="49">
        <v>1</v>
      </c>
      <c r="D37" s="49" t="s">
        <v>128</v>
      </c>
      <c r="E37" s="50" t="s">
        <v>259</v>
      </c>
      <c r="F37" s="50" t="s">
        <v>251</v>
      </c>
      <c r="G37" s="62" t="str">
        <f t="shared" si="0"/>
        <v>[effect:nothing]</v>
      </c>
      <c r="H37" s="62">
        <f t="shared" si="1"/>
        <v>9</v>
      </c>
      <c r="I37" s="62">
        <f t="shared" si="2"/>
        <v>16</v>
      </c>
      <c r="J37" s="62" t="e">
        <f t="shared" si="3"/>
        <v>#VALUE!</v>
      </c>
      <c r="K37" s="62" t="e">
        <f t="shared" si="4"/>
        <v>#VALUE!</v>
      </c>
      <c r="L37" s="62" t="str">
        <f>IFERROR(VLOOKUP(MID(G37,J37,K37-J37),[6]skilldef!$C:$D,2,FALSE),"-") &amp; " / " &amp; IFERROR(VLOOKUP(MID(G37,H37,I37-H37),[6]skilldef!$A:$B,2,FALSE),"-")</f>
        <v>- / 何もしない</v>
      </c>
      <c r="M37" s="62" t="str">
        <f t="shared" si="5"/>
        <v>none</v>
      </c>
      <c r="N37" s="47" t="str">
        <f t="shared" si="6"/>
        <v>none</v>
      </c>
      <c r="O37" s="62" t="e">
        <f t="shared" si="7"/>
        <v>#VALUE!</v>
      </c>
      <c r="P37" s="62">
        <f t="shared" si="8"/>
        <v>4</v>
      </c>
      <c r="Q37" s="62" t="e">
        <f t="shared" si="9"/>
        <v>#VALUE!</v>
      </c>
      <c r="R37" s="62" t="e">
        <f t="shared" si="10"/>
        <v>#VALUE!</v>
      </c>
      <c r="S37" s="62" t="str">
        <f>IFERROR(VLOOKUP(MID(N37,Q37,R37-Q37),[6]skilldef!$C:$D,2,FALSE),"-") &amp; " / " &amp; IFERROR(VLOOKUP(MID(N37,O37,P37-O37),[6]skilldef!$A:$B,2,FALSE),"-")</f>
        <v>- / -</v>
      </c>
      <c r="T37" s="47" t="str">
        <f t="shared" si="11"/>
        <v>none</v>
      </c>
      <c r="U37" s="62" t="e">
        <f t="shared" si="12"/>
        <v>#VALUE!</v>
      </c>
      <c r="V37" s="62">
        <f t="shared" si="13"/>
        <v>4</v>
      </c>
      <c r="W37" s="62" t="e">
        <f t="shared" si="14"/>
        <v>#VALUE!</v>
      </c>
      <c r="X37" s="62" t="e">
        <f t="shared" si="15"/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49"/>
      <c r="AA37" s="51"/>
      <c r="AB37" s="49"/>
    </row>
    <row r="38" spans="1:28" ht="21" customHeight="1" x14ac:dyDescent="0.15">
      <c r="A38" s="46">
        <v>48009136</v>
      </c>
      <c r="B38" s="46" t="s">
        <v>262</v>
      </c>
      <c r="C38" s="49">
        <v>1</v>
      </c>
      <c r="D38" s="49" t="s">
        <v>128</v>
      </c>
      <c r="E38" s="50" t="s">
        <v>259</v>
      </c>
      <c r="F38" s="50" t="s">
        <v>251</v>
      </c>
      <c r="G38" s="62" t="str">
        <f t="shared" si="0"/>
        <v>[effect:nothing]</v>
      </c>
      <c r="H38" s="62">
        <f t="shared" si="1"/>
        <v>9</v>
      </c>
      <c r="I38" s="62">
        <f t="shared" si="2"/>
        <v>16</v>
      </c>
      <c r="J38" s="62" t="e">
        <f t="shared" si="3"/>
        <v>#VALUE!</v>
      </c>
      <c r="K38" s="62" t="e">
        <f t="shared" si="4"/>
        <v>#VALUE!</v>
      </c>
      <c r="L38" s="62" t="str">
        <f>IFERROR(VLOOKUP(MID(G38,J38,K38-J38),[6]skilldef!$C:$D,2,FALSE),"-") &amp; " / " &amp; IFERROR(VLOOKUP(MID(G38,H38,I38-H38),[6]skilldef!$A:$B,2,FALSE),"-")</f>
        <v>- / 何もしない</v>
      </c>
      <c r="M38" s="62" t="str">
        <f t="shared" si="5"/>
        <v>none</v>
      </c>
      <c r="N38" s="47" t="str">
        <f t="shared" si="6"/>
        <v>none</v>
      </c>
      <c r="O38" s="62" t="e">
        <f t="shared" si="7"/>
        <v>#VALUE!</v>
      </c>
      <c r="P38" s="62">
        <f t="shared" si="8"/>
        <v>4</v>
      </c>
      <c r="Q38" s="62" t="e">
        <f t="shared" si="9"/>
        <v>#VALUE!</v>
      </c>
      <c r="R38" s="62" t="e">
        <f t="shared" si="10"/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7" t="str">
        <f t="shared" si="11"/>
        <v>none</v>
      </c>
      <c r="U38" s="62" t="e">
        <f t="shared" si="12"/>
        <v>#VALUE!</v>
      </c>
      <c r="V38" s="62">
        <f t="shared" si="13"/>
        <v>4</v>
      </c>
      <c r="W38" s="62" t="e">
        <f t="shared" si="14"/>
        <v>#VALUE!</v>
      </c>
      <c r="X38" s="62" t="e">
        <f t="shared" si="15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49"/>
      <c r="AA38" s="51"/>
      <c r="AB38" s="49"/>
    </row>
    <row r="39" spans="1:28" ht="21" customHeight="1" x14ac:dyDescent="0.15">
      <c r="A39" s="46">
        <v>48009137</v>
      </c>
      <c r="B39" s="46" t="s">
        <v>262</v>
      </c>
      <c r="C39" s="49">
        <v>1</v>
      </c>
      <c r="D39" s="49" t="s">
        <v>128</v>
      </c>
      <c r="E39" s="50" t="s">
        <v>259</v>
      </c>
      <c r="F39" s="50" t="s">
        <v>251</v>
      </c>
      <c r="G39" s="62" t="str">
        <f t="shared" si="0"/>
        <v>[effect:nothing]</v>
      </c>
      <c r="H39" s="62">
        <f t="shared" si="1"/>
        <v>9</v>
      </c>
      <c r="I39" s="62">
        <f t="shared" si="2"/>
        <v>16</v>
      </c>
      <c r="J39" s="62" t="e">
        <f t="shared" si="3"/>
        <v>#VALUE!</v>
      </c>
      <c r="K39" s="62" t="e">
        <f t="shared" si="4"/>
        <v>#VALUE!</v>
      </c>
      <c r="L39" s="62" t="str">
        <f>IFERROR(VLOOKUP(MID(G39,J39,K39-J39),[6]skilldef!$C:$D,2,FALSE),"-") &amp; " / " &amp; IFERROR(VLOOKUP(MID(G39,H39,I39-H39),[6]skilldef!$A:$B,2,FALSE),"-")</f>
        <v>- / 何もしない</v>
      </c>
      <c r="M39" s="62" t="str">
        <f t="shared" si="5"/>
        <v>none</v>
      </c>
      <c r="N39" s="47" t="str">
        <f t="shared" si="6"/>
        <v>none</v>
      </c>
      <c r="O39" s="62" t="e">
        <f t="shared" si="7"/>
        <v>#VALUE!</v>
      </c>
      <c r="P39" s="62">
        <f t="shared" si="8"/>
        <v>4</v>
      </c>
      <c r="Q39" s="62" t="e">
        <f t="shared" si="9"/>
        <v>#VALUE!</v>
      </c>
      <c r="R39" s="62" t="e">
        <f t="shared" si="10"/>
        <v>#VALUE!</v>
      </c>
      <c r="S39" s="62" t="str">
        <f>IFERROR(VLOOKUP(MID(N39,Q39,R39-Q39),[6]skilldef!$C:$D,2,FALSE),"-") &amp; " / " &amp; IFERROR(VLOOKUP(MID(N39,O39,P39-O39),[6]skilldef!$A:$B,2,FALSE),"-")</f>
        <v>- / -</v>
      </c>
      <c r="T39" s="47" t="str">
        <f t="shared" si="11"/>
        <v>none</v>
      </c>
      <c r="U39" s="62" t="e">
        <f t="shared" si="12"/>
        <v>#VALUE!</v>
      </c>
      <c r="V39" s="62">
        <f t="shared" si="13"/>
        <v>4</v>
      </c>
      <c r="W39" s="62" t="e">
        <f t="shared" si="14"/>
        <v>#VALUE!</v>
      </c>
      <c r="X39" s="62" t="e">
        <f t="shared" si="15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/>
      <c r="AB39" s="49"/>
    </row>
    <row r="40" spans="1:28" ht="21" customHeight="1" x14ac:dyDescent="0.15">
      <c r="A40" s="46">
        <v>48009138</v>
      </c>
      <c r="B40" s="46" t="s">
        <v>262</v>
      </c>
      <c r="C40" s="49">
        <v>1</v>
      </c>
      <c r="D40" s="49" t="s">
        <v>128</v>
      </c>
      <c r="E40" s="50" t="s">
        <v>259</v>
      </c>
      <c r="F40" s="50" t="s">
        <v>251</v>
      </c>
      <c r="G40" s="62" t="str">
        <f t="shared" si="0"/>
        <v>[effect:nothing]</v>
      </c>
      <c r="H40" s="62">
        <f t="shared" si="1"/>
        <v>9</v>
      </c>
      <c r="I40" s="62">
        <f t="shared" si="2"/>
        <v>16</v>
      </c>
      <c r="J40" s="62" t="e">
        <f t="shared" si="3"/>
        <v>#VALUE!</v>
      </c>
      <c r="K40" s="62" t="e">
        <f t="shared" si="4"/>
        <v>#VALUE!</v>
      </c>
      <c r="L40" s="62" t="str">
        <f>IFERROR(VLOOKUP(MID(G40,J40,K40-J40),[6]skilldef!$C:$D,2,FALSE),"-") &amp; " / " &amp; IFERROR(VLOOKUP(MID(G40,H40,I40-H40),[6]skilldef!$A:$B,2,FALSE),"-")</f>
        <v>- / 何もしない</v>
      </c>
      <c r="M40" s="62" t="str">
        <f t="shared" si="5"/>
        <v>none</v>
      </c>
      <c r="N40" s="47" t="str">
        <f t="shared" si="6"/>
        <v>none</v>
      </c>
      <c r="O40" s="62" t="e">
        <f t="shared" si="7"/>
        <v>#VALUE!</v>
      </c>
      <c r="P40" s="62">
        <f t="shared" si="8"/>
        <v>4</v>
      </c>
      <c r="Q40" s="62" t="e">
        <f t="shared" si="9"/>
        <v>#VALUE!</v>
      </c>
      <c r="R40" s="62" t="e">
        <f t="shared" si="10"/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7" t="str">
        <f t="shared" si="11"/>
        <v>none</v>
      </c>
      <c r="U40" s="62" t="e">
        <f t="shared" si="12"/>
        <v>#VALUE!</v>
      </c>
      <c r="V40" s="62">
        <f t="shared" si="13"/>
        <v>4</v>
      </c>
      <c r="W40" s="62" t="e">
        <f t="shared" si="14"/>
        <v>#VALUE!</v>
      </c>
      <c r="X40" s="62" t="e">
        <f t="shared" si="15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49"/>
      <c r="AA40" s="51"/>
      <c r="AB40" s="49"/>
    </row>
    <row r="41" spans="1:28" ht="21" customHeight="1" x14ac:dyDescent="0.15">
      <c r="A41" s="46">
        <v>48009139</v>
      </c>
      <c r="B41" s="46" t="s">
        <v>262</v>
      </c>
      <c r="C41" s="49">
        <v>1</v>
      </c>
      <c r="D41" s="49" t="s">
        <v>128</v>
      </c>
      <c r="E41" s="50" t="s">
        <v>259</v>
      </c>
      <c r="F41" s="50" t="s">
        <v>251</v>
      </c>
      <c r="G41" s="62" t="str">
        <f t="shared" si="0"/>
        <v>[effect:nothing]</v>
      </c>
      <c r="H41" s="62">
        <f t="shared" si="1"/>
        <v>9</v>
      </c>
      <c r="I41" s="62">
        <f t="shared" si="2"/>
        <v>16</v>
      </c>
      <c r="J41" s="62" t="e">
        <f t="shared" si="3"/>
        <v>#VALUE!</v>
      </c>
      <c r="K41" s="62" t="e">
        <f t="shared" si="4"/>
        <v>#VALUE!</v>
      </c>
      <c r="L41" s="62" t="str">
        <f>IFERROR(VLOOKUP(MID(G41,J41,K41-J41),[6]skilldef!$C:$D,2,FALSE),"-") &amp; " / " &amp; IFERROR(VLOOKUP(MID(G41,H41,I41-H41),[6]skilldef!$A:$B,2,FALSE),"-")</f>
        <v>- / 何もしない</v>
      </c>
      <c r="M41" s="62" t="str">
        <f t="shared" si="5"/>
        <v>none</v>
      </c>
      <c r="N41" s="47" t="str">
        <f t="shared" si="6"/>
        <v>none</v>
      </c>
      <c r="O41" s="62" t="e">
        <f t="shared" si="7"/>
        <v>#VALUE!</v>
      </c>
      <c r="P41" s="62">
        <f t="shared" si="8"/>
        <v>4</v>
      </c>
      <c r="Q41" s="62" t="e">
        <f t="shared" si="9"/>
        <v>#VALUE!</v>
      </c>
      <c r="R41" s="62" t="e">
        <f t="shared" si="10"/>
        <v>#VALUE!</v>
      </c>
      <c r="S41" s="62" t="str">
        <f>IFERROR(VLOOKUP(MID(N41,Q41,R41-Q41),[6]skilldef!$C:$D,2,FALSE),"-") &amp; " / " &amp; IFERROR(VLOOKUP(MID(N41,O41,P41-O41),[6]skilldef!$A:$B,2,FALSE),"-")</f>
        <v>- / -</v>
      </c>
      <c r="T41" s="47" t="str">
        <f t="shared" si="11"/>
        <v>none</v>
      </c>
      <c r="U41" s="62" t="e">
        <f t="shared" si="12"/>
        <v>#VALUE!</v>
      </c>
      <c r="V41" s="62">
        <f t="shared" si="13"/>
        <v>4</v>
      </c>
      <c r="W41" s="62" t="e">
        <f t="shared" si="14"/>
        <v>#VALUE!</v>
      </c>
      <c r="X41" s="62" t="e">
        <f t="shared" si="15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</row>
    <row r="42" spans="1:28" ht="21" customHeight="1" x14ac:dyDescent="0.15">
      <c r="A42" s="46">
        <v>48009140</v>
      </c>
      <c r="B42" s="46" t="s">
        <v>279</v>
      </c>
      <c r="C42" s="49">
        <v>1</v>
      </c>
      <c r="D42" s="49" t="s">
        <v>128</v>
      </c>
      <c r="E42" s="50" t="s">
        <v>314</v>
      </c>
      <c r="F42" s="50" t="s">
        <v>289</v>
      </c>
      <c r="G42" s="62" t="str">
        <f t="shared" si="0"/>
        <v>[effect:tolerance, target:myself, turn:-1, count:-1, tolerance_effect:all, animation:enemy_tolerance]</v>
      </c>
      <c r="H42" s="62">
        <f t="shared" si="1"/>
        <v>9</v>
      </c>
      <c r="I42" s="62">
        <f t="shared" si="2"/>
        <v>18</v>
      </c>
      <c r="J42" s="62">
        <f t="shared" si="3"/>
        <v>27</v>
      </c>
      <c r="K42" s="62">
        <f t="shared" si="4"/>
        <v>33</v>
      </c>
      <c r="L42" s="62" t="str">
        <f>IFERROR(VLOOKUP(MID(G42,J42,K42-J42),[6]skilldef!$C:$D,2,FALSE),"-") &amp; " / " &amp; IFERROR(VLOOKUP(MID(G42,H42,I42-H42),[6]skilldef!$A:$B,2,FALSE),"-")</f>
        <v>自分自身に / 状態異常耐性</v>
      </c>
      <c r="M42" s="62" t="str">
        <f t="shared" si="5"/>
        <v>[effect:dis_heart, turn:-1, animation:enemy_dis_heart]</v>
      </c>
      <c r="N42" s="47" t="str">
        <f t="shared" si="6"/>
        <v>[effect:dis_heart, turn:-1, animation:enemy_dis_heart]</v>
      </c>
      <c r="O42" s="62">
        <f t="shared" si="7"/>
        <v>9</v>
      </c>
      <c r="P42" s="62">
        <f t="shared" si="8"/>
        <v>18</v>
      </c>
      <c r="Q42" s="62" t="e">
        <f t="shared" si="9"/>
        <v>#VALUE!</v>
      </c>
      <c r="R42" s="62">
        <f t="shared" si="10"/>
        <v>27</v>
      </c>
      <c r="S42" s="62" t="str">
        <f>IFERROR(VLOOKUP(MID(N42,Q42,R42-Q42),[6]skilldef!$C:$D,2,FALSE),"-") &amp; " / " &amp; IFERROR(VLOOKUP(MID(N42,O42,P42-O42),[6]skilldef!$A:$B,2,FALSE),"-")</f>
        <v>- / ディスハート</v>
      </c>
      <c r="T42" s="47" t="str">
        <f t="shared" si="11"/>
        <v>none</v>
      </c>
      <c r="U42" s="62" t="e">
        <f t="shared" si="12"/>
        <v>#VALUE!</v>
      </c>
      <c r="V42" s="62">
        <f t="shared" si="13"/>
        <v>4</v>
      </c>
      <c r="W42" s="62" t="e">
        <f t="shared" si="14"/>
        <v>#VALUE!</v>
      </c>
      <c r="X42" s="62" t="e">
        <f t="shared" si="15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49"/>
      <c r="AA42" s="51"/>
      <c r="AB42" s="49"/>
    </row>
    <row r="43" spans="1:28" ht="21" customHeight="1" x14ac:dyDescent="0.15">
      <c r="A43" s="46">
        <v>48009141</v>
      </c>
      <c r="B43" s="46" t="s">
        <v>275</v>
      </c>
      <c r="C43" s="49">
        <v>1</v>
      </c>
      <c r="D43" s="49" t="s">
        <v>128</v>
      </c>
      <c r="E43" s="50" t="s">
        <v>307</v>
      </c>
      <c r="F43" s="50" t="s">
        <v>287</v>
      </c>
      <c r="G43" s="62" t="str">
        <f t="shared" si="0"/>
        <v>[effect:damage_anti_tribe, target:unit_all, tribe:human, val1:0.6, val2:0.4]</v>
      </c>
      <c r="H43" s="62">
        <f t="shared" si="1"/>
        <v>9</v>
      </c>
      <c r="I43" s="62">
        <f t="shared" si="2"/>
        <v>26</v>
      </c>
      <c r="J43" s="62">
        <f t="shared" si="3"/>
        <v>35</v>
      </c>
      <c r="K43" s="62">
        <f t="shared" si="4"/>
        <v>43</v>
      </c>
      <c r="L43" s="62" t="str">
        <f>IFERROR(VLOOKUP(MID(G43,J43,K43-J43),[6]skilldef!$C:$D,2,FALSE),"-") &amp; " / " &amp; IFERROR(VLOOKUP(MID(G43,H43,I43-H43),[6]skilldef!$A:$B,2,FALSE),"-")</f>
        <v>味方全体に / 種族キラー</v>
      </c>
      <c r="M43" s="62" t="str">
        <f t="shared" si="5"/>
        <v>none</v>
      </c>
      <c r="N43" s="47" t="str">
        <f t="shared" si="6"/>
        <v>none</v>
      </c>
      <c r="O43" s="62" t="e">
        <f t="shared" si="7"/>
        <v>#VALUE!</v>
      </c>
      <c r="P43" s="62">
        <f t="shared" si="8"/>
        <v>4</v>
      </c>
      <c r="Q43" s="62" t="e">
        <f t="shared" si="9"/>
        <v>#VALUE!</v>
      </c>
      <c r="R43" s="62" t="e">
        <f t="shared" si="10"/>
        <v>#VALUE!</v>
      </c>
      <c r="S43" s="62" t="str">
        <f>IFERROR(VLOOKUP(MID(N43,Q43,R43-Q43),[6]skilldef!$C:$D,2,FALSE),"-") &amp; " / " &amp; IFERROR(VLOOKUP(MID(N43,O43,P43-O43),[6]skilldef!$A:$B,2,FALSE),"-")</f>
        <v>- / -</v>
      </c>
      <c r="T43" s="47" t="str">
        <f t="shared" si="11"/>
        <v>none</v>
      </c>
      <c r="U43" s="62" t="e">
        <f t="shared" si="12"/>
        <v>#VALUE!</v>
      </c>
      <c r="V43" s="62">
        <f t="shared" si="13"/>
        <v>4</v>
      </c>
      <c r="W43" s="62" t="e">
        <f t="shared" si="14"/>
        <v>#VALUE!</v>
      </c>
      <c r="X43" s="62" t="e">
        <f t="shared" si="15"/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49"/>
      <c r="AA43" s="51"/>
      <c r="AB43" s="49"/>
    </row>
    <row r="44" spans="1:28" ht="21" customHeight="1" x14ac:dyDescent="0.15">
      <c r="A44" s="46">
        <v>48009142</v>
      </c>
      <c r="B44" s="46" t="s">
        <v>268</v>
      </c>
      <c r="C44" s="49">
        <v>1</v>
      </c>
      <c r="D44" s="49" t="s">
        <v>128</v>
      </c>
      <c r="E44" s="50" t="s">
        <v>308</v>
      </c>
      <c r="F44" s="50" t="s">
        <v>288</v>
      </c>
      <c r="G44" s="62" t="str">
        <f t="shared" si="0"/>
        <v>[effect:damage_gravity, val:0.4, animation:fevergauge_down]</v>
      </c>
      <c r="H44" s="62">
        <f t="shared" si="1"/>
        <v>9</v>
      </c>
      <c r="I44" s="62">
        <f t="shared" si="2"/>
        <v>23</v>
      </c>
      <c r="J44" s="62" t="e">
        <f t="shared" si="3"/>
        <v>#VALUE!</v>
      </c>
      <c r="K44" s="62">
        <f t="shared" si="4"/>
        <v>32</v>
      </c>
      <c r="L44" s="62" t="str">
        <f>IFERROR(VLOOKUP(MID(G44,J44,K44-J44),[6]skilldef!$C:$D,2,FALSE),"-") &amp; " / " &amp; IFERROR(VLOOKUP(MID(G44,H44,I44-H44),[6]skilldef!$A:$B,2,FALSE),"-")</f>
        <v>- / 割合ダメージ</v>
      </c>
      <c r="M44" s="62" t="str">
        <f t="shared" si="5"/>
        <v>none</v>
      </c>
      <c r="N44" s="47" t="str">
        <f t="shared" si="6"/>
        <v>none</v>
      </c>
      <c r="O44" s="62" t="e">
        <f t="shared" si="7"/>
        <v>#VALUE!</v>
      </c>
      <c r="P44" s="62">
        <f t="shared" si="8"/>
        <v>4</v>
      </c>
      <c r="Q44" s="62" t="e">
        <f t="shared" si="9"/>
        <v>#VALUE!</v>
      </c>
      <c r="R44" s="62" t="e">
        <f t="shared" si="10"/>
        <v>#VALUE!</v>
      </c>
      <c r="S44" s="62" t="str">
        <f>IFERROR(VLOOKUP(MID(N44,Q44,R44-Q44),[6]skilldef!$C:$D,2,FALSE),"-") &amp; " / " &amp; IFERROR(VLOOKUP(MID(N44,O44,P44-O44),[6]skilldef!$A:$B,2,FALSE),"-")</f>
        <v>- / -</v>
      </c>
      <c r="T44" s="47" t="str">
        <f t="shared" si="11"/>
        <v>none</v>
      </c>
      <c r="U44" s="62" t="e">
        <f t="shared" si="12"/>
        <v>#VALUE!</v>
      </c>
      <c r="V44" s="62">
        <f t="shared" si="13"/>
        <v>4</v>
      </c>
      <c r="W44" s="62" t="e">
        <f t="shared" si="14"/>
        <v>#VALUE!</v>
      </c>
      <c r="X44" s="62" t="e">
        <f t="shared" si="15"/>
        <v>#VALUE!</v>
      </c>
      <c r="Y44" s="62" t="str">
        <f>IFERROR(VLOOKUP(MID(T44,W44,X44-W44),[6]skilldef!$C:$D,2,FALSE),"-") &amp; " / " &amp; IFERROR(VLOOKUP(MID(T44,U44,V44-U44),[6]skilldef!$A:$B,2,FALSE),"-")</f>
        <v>- / -</v>
      </c>
      <c r="Z44" s="49"/>
      <c r="AA44" s="51"/>
      <c r="AB44" s="49"/>
    </row>
    <row r="45" spans="1:28" ht="21" customHeight="1" x14ac:dyDescent="0.15">
      <c r="A45" s="46">
        <v>48009143</v>
      </c>
      <c r="B45" s="46" t="s">
        <v>290</v>
      </c>
      <c r="C45" s="49">
        <v>1</v>
      </c>
      <c r="D45" s="49" t="s">
        <v>128</v>
      </c>
      <c r="E45" s="50" t="s">
        <v>309</v>
      </c>
      <c r="F45" s="50" t="s">
        <v>297</v>
      </c>
      <c r="G45" s="62" t="str">
        <f t="shared" si="0"/>
        <v>[effect:heal, target:myself, val:0.2, animation:enemy_heal]</v>
      </c>
      <c r="H45" s="62">
        <f t="shared" si="1"/>
        <v>9</v>
      </c>
      <c r="I45" s="62">
        <f t="shared" si="2"/>
        <v>13</v>
      </c>
      <c r="J45" s="62">
        <f t="shared" si="3"/>
        <v>22</v>
      </c>
      <c r="K45" s="62">
        <f t="shared" si="4"/>
        <v>28</v>
      </c>
      <c r="L45" s="62" t="str">
        <f>IFERROR(VLOOKUP(MID(G45,J45,K45-J45),[6]skilldef!$C:$D,2,FALSE),"-") &amp; " / " &amp; IFERROR(VLOOKUP(MID(G45,H45,I45-H45),[6]skilldef!$A:$B,2,FALSE),"-")</f>
        <v>自分自身に / 回復</v>
      </c>
      <c r="M45" s="62" t="str">
        <f t="shared" si="5"/>
        <v>[effect:critical, val:1.0, animation:enemy_critical]</v>
      </c>
      <c r="N45" s="47" t="str">
        <f t="shared" si="6"/>
        <v>[effect:critical, val:1.0, animation:enemy_critical]</v>
      </c>
      <c r="O45" s="62">
        <f t="shared" si="7"/>
        <v>9</v>
      </c>
      <c r="P45" s="62">
        <f t="shared" si="8"/>
        <v>17</v>
      </c>
      <c r="Q45" s="62" t="e">
        <f t="shared" si="9"/>
        <v>#VALUE!</v>
      </c>
      <c r="R45" s="62">
        <f t="shared" si="10"/>
        <v>26</v>
      </c>
      <c r="S45" s="62" t="str">
        <f>IFERROR(VLOOKUP(MID(N45,Q45,R45-Q45),[6]skilldef!$C:$D,2,FALSE),"-") &amp; " / " &amp; IFERROR(VLOOKUP(MID(N45,O45,P45-O45),[6]skilldef!$A:$B,2,FALSE),"-")</f>
        <v>- / 大攻撃</v>
      </c>
      <c r="T45" s="47" t="str">
        <f t="shared" si="11"/>
        <v>none</v>
      </c>
      <c r="U45" s="62" t="e">
        <f t="shared" si="12"/>
        <v>#VALUE!</v>
      </c>
      <c r="V45" s="62">
        <f t="shared" si="13"/>
        <v>4</v>
      </c>
      <c r="W45" s="62" t="e">
        <f t="shared" si="14"/>
        <v>#VALUE!</v>
      </c>
      <c r="X45" s="62" t="e">
        <f t="shared" si="15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</row>
    <row r="46" spans="1:28" ht="21" customHeight="1" x14ac:dyDescent="0.15">
      <c r="A46" s="46">
        <v>48009144</v>
      </c>
      <c r="B46" s="46" t="s">
        <v>262</v>
      </c>
      <c r="C46" s="49">
        <v>1</v>
      </c>
      <c r="D46" s="49" t="s">
        <v>128</v>
      </c>
      <c r="E46" s="50" t="s">
        <v>260</v>
      </c>
      <c r="F46" s="50" t="s">
        <v>251</v>
      </c>
      <c r="G46" s="62" t="str">
        <f t="shared" si="0"/>
        <v>[effect:nothing]</v>
      </c>
      <c r="H46" s="62">
        <f t="shared" si="1"/>
        <v>9</v>
      </c>
      <c r="I46" s="62">
        <f t="shared" si="2"/>
        <v>16</v>
      </c>
      <c r="J46" s="62" t="e">
        <f t="shared" si="3"/>
        <v>#VALUE!</v>
      </c>
      <c r="K46" s="62" t="e">
        <f t="shared" si="4"/>
        <v>#VALUE!</v>
      </c>
      <c r="L46" s="62" t="str">
        <f>IFERROR(VLOOKUP(MID(G46,J46,K46-J46),[6]skilldef!$C:$D,2,FALSE),"-") &amp; " / " &amp; IFERROR(VLOOKUP(MID(G46,H46,I46-H46),[6]skilldef!$A:$B,2,FALSE),"-")</f>
        <v>- / 何もしない</v>
      </c>
      <c r="M46" s="62" t="str">
        <f t="shared" si="5"/>
        <v>none</v>
      </c>
      <c r="N46" s="47" t="str">
        <f t="shared" si="6"/>
        <v>none</v>
      </c>
      <c r="O46" s="62" t="e">
        <f t="shared" si="7"/>
        <v>#VALUE!</v>
      </c>
      <c r="P46" s="62">
        <f t="shared" si="8"/>
        <v>4</v>
      </c>
      <c r="Q46" s="62" t="e">
        <f t="shared" si="9"/>
        <v>#VALUE!</v>
      </c>
      <c r="R46" s="62" t="e">
        <f t="shared" si="10"/>
        <v>#VALUE!</v>
      </c>
      <c r="S46" s="62" t="str">
        <f>IFERROR(VLOOKUP(MID(N46,Q46,R46-Q46),[6]skilldef!$C:$D,2,FALSE),"-") &amp; " / " &amp; IFERROR(VLOOKUP(MID(N46,O46,P46-O46),[6]skilldef!$A:$B,2,FALSE),"-")</f>
        <v>- / -</v>
      </c>
      <c r="T46" s="47" t="str">
        <f t="shared" si="11"/>
        <v>none</v>
      </c>
      <c r="U46" s="62" t="e">
        <f t="shared" si="12"/>
        <v>#VALUE!</v>
      </c>
      <c r="V46" s="62">
        <f t="shared" si="13"/>
        <v>4</v>
      </c>
      <c r="W46" s="62" t="e">
        <f t="shared" si="14"/>
        <v>#VALUE!</v>
      </c>
      <c r="X46" s="62" t="e">
        <f t="shared" si="15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</row>
    <row r="47" spans="1:28" ht="21" customHeight="1" x14ac:dyDescent="0.15">
      <c r="A47" s="46">
        <v>48009145</v>
      </c>
      <c r="B47" s="46" t="s">
        <v>262</v>
      </c>
      <c r="C47" s="49">
        <v>1</v>
      </c>
      <c r="D47" s="49" t="s">
        <v>128</v>
      </c>
      <c r="E47" s="50" t="s">
        <v>260</v>
      </c>
      <c r="F47" s="50" t="s">
        <v>251</v>
      </c>
      <c r="G47" s="62" t="str">
        <f t="shared" si="0"/>
        <v>[effect:nothing]</v>
      </c>
      <c r="H47" s="62">
        <f t="shared" si="1"/>
        <v>9</v>
      </c>
      <c r="I47" s="62">
        <f t="shared" si="2"/>
        <v>16</v>
      </c>
      <c r="J47" s="62" t="e">
        <f t="shared" si="3"/>
        <v>#VALUE!</v>
      </c>
      <c r="K47" s="62" t="e">
        <f t="shared" si="4"/>
        <v>#VALUE!</v>
      </c>
      <c r="L47" s="62" t="str">
        <f>IFERROR(VLOOKUP(MID(G47,J47,K47-J47),[6]skilldef!$C:$D,2,FALSE),"-") &amp; " / " &amp; IFERROR(VLOOKUP(MID(G47,H47,I47-H47),[6]skilldef!$A:$B,2,FALSE),"-")</f>
        <v>- / 何もしない</v>
      </c>
      <c r="M47" s="62" t="str">
        <f t="shared" si="5"/>
        <v>none</v>
      </c>
      <c r="N47" s="47" t="str">
        <f t="shared" si="6"/>
        <v>none</v>
      </c>
      <c r="O47" s="62" t="e">
        <f t="shared" si="7"/>
        <v>#VALUE!</v>
      </c>
      <c r="P47" s="62">
        <f t="shared" si="8"/>
        <v>4</v>
      </c>
      <c r="Q47" s="62" t="e">
        <f t="shared" si="9"/>
        <v>#VALUE!</v>
      </c>
      <c r="R47" s="62" t="e">
        <f t="shared" si="10"/>
        <v>#VALUE!</v>
      </c>
      <c r="S47" s="62" t="str">
        <f>IFERROR(VLOOKUP(MID(N47,Q47,R47-Q47),[6]skilldef!$C:$D,2,FALSE),"-") &amp; " / " &amp; IFERROR(VLOOKUP(MID(N47,O47,P47-O47),[6]skilldef!$A:$B,2,FALSE),"-")</f>
        <v>- / -</v>
      </c>
      <c r="T47" s="47" t="str">
        <f t="shared" si="11"/>
        <v>none</v>
      </c>
      <c r="U47" s="62" t="e">
        <f t="shared" si="12"/>
        <v>#VALUE!</v>
      </c>
      <c r="V47" s="62">
        <f t="shared" si="13"/>
        <v>4</v>
      </c>
      <c r="W47" s="62" t="e">
        <f t="shared" si="14"/>
        <v>#VALUE!</v>
      </c>
      <c r="X47" s="62" t="e">
        <f t="shared" si="15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49"/>
      <c r="AA47" s="51"/>
      <c r="AB47" s="49"/>
    </row>
    <row r="48" spans="1:28" ht="21" customHeight="1" x14ac:dyDescent="0.15">
      <c r="A48" s="46">
        <v>48009146</v>
      </c>
      <c r="B48" s="46" t="s">
        <v>262</v>
      </c>
      <c r="C48" s="49">
        <v>1</v>
      </c>
      <c r="D48" s="49" t="s">
        <v>128</v>
      </c>
      <c r="E48" s="50" t="s">
        <v>260</v>
      </c>
      <c r="F48" s="50" t="s">
        <v>251</v>
      </c>
      <c r="G48" s="62" t="str">
        <f t="shared" si="0"/>
        <v>[effect:nothing]</v>
      </c>
      <c r="H48" s="62">
        <f t="shared" si="1"/>
        <v>9</v>
      </c>
      <c r="I48" s="62">
        <f t="shared" si="2"/>
        <v>16</v>
      </c>
      <c r="J48" s="62" t="e">
        <f t="shared" si="3"/>
        <v>#VALUE!</v>
      </c>
      <c r="K48" s="62" t="e">
        <f t="shared" si="4"/>
        <v>#VALUE!</v>
      </c>
      <c r="L48" s="62" t="str">
        <f>IFERROR(VLOOKUP(MID(G48,J48,K48-J48),[6]skilldef!$C:$D,2,FALSE),"-") &amp; " / " &amp; IFERROR(VLOOKUP(MID(G48,H48,I48-H48),[6]skilldef!$A:$B,2,FALSE),"-")</f>
        <v>- / 何もしない</v>
      </c>
      <c r="M48" s="62" t="str">
        <f t="shared" si="5"/>
        <v>none</v>
      </c>
      <c r="N48" s="47" t="str">
        <f t="shared" si="6"/>
        <v>none</v>
      </c>
      <c r="O48" s="62" t="e">
        <f t="shared" si="7"/>
        <v>#VALUE!</v>
      </c>
      <c r="P48" s="62">
        <f t="shared" si="8"/>
        <v>4</v>
      </c>
      <c r="Q48" s="62" t="e">
        <f t="shared" si="9"/>
        <v>#VALUE!</v>
      </c>
      <c r="R48" s="62" t="e">
        <f t="shared" si="10"/>
        <v>#VALUE!</v>
      </c>
      <c r="S48" s="62" t="str">
        <f>IFERROR(VLOOKUP(MID(N48,Q48,R48-Q48),[6]skilldef!$C:$D,2,FALSE),"-") &amp; " / " &amp; IFERROR(VLOOKUP(MID(N48,O48,P48-O48),[6]skilldef!$A:$B,2,FALSE),"-")</f>
        <v>- / -</v>
      </c>
      <c r="T48" s="47" t="str">
        <f t="shared" si="11"/>
        <v>none</v>
      </c>
      <c r="U48" s="62" t="e">
        <f t="shared" si="12"/>
        <v>#VALUE!</v>
      </c>
      <c r="V48" s="62">
        <f t="shared" si="13"/>
        <v>4</v>
      </c>
      <c r="W48" s="62" t="e">
        <f t="shared" si="14"/>
        <v>#VALUE!</v>
      </c>
      <c r="X48" s="62" t="e">
        <f t="shared" si="15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</row>
    <row r="49" spans="1:28" ht="21" customHeight="1" x14ac:dyDescent="0.15">
      <c r="A49" s="46">
        <v>48009147</v>
      </c>
      <c r="B49" s="46" t="s">
        <v>262</v>
      </c>
      <c r="C49" s="49">
        <v>1</v>
      </c>
      <c r="D49" s="49" t="s">
        <v>128</v>
      </c>
      <c r="E49" s="50" t="s">
        <v>260</v>
      </c>
      <c r="F49" s="50" t="s">
        <v>251</v>
      </c>
      <c r="G49" s="62" t="str">
        <f t="shared" si="0"/>
        <v>[effect:nothing]</v>
      </c>
      <c r="H49" s="62">
        <f t="shared" si="1"/>
        <v>9</v>
      </c>
      <c r="I49" s="62">
        <f t="shared" si="2"/>
        <v>16</v>
      </c>
      <c r="J49" s="62" t="e">
        <f t="shared" si="3"/>
        <v>#VALUE!</v>
      </c>
      <c r="K49" s="62" t="e">
        <f t="shared" si="4"/>
        <v>#VALUE!</v>
      </c>
      <c r="L49" s="62" t="str">
        <f>IFERROR(VLOOKUP(MID(G49,J49,K49-J49),[6]skilldef!$C:$D,2,FALSE),"-") &amp; " / " &amp; IFERROR(VLOOKUP(MID(G49,H49,I49-H49),[6]skilldef!$A:$B,2,FALSE),"-")</f>
        <v>- / 何もしない</v>
      </c>
      <c r="M49" s="62" t="str">
        <f t="shared" si="5"/>
        <v>none</v>
      </c>
      <c r="N49" s="47" t="str">
        <f t="shared" si="6"/>
        <v>none</v>
      </c>
      <c r="O49" s="62" t="e">
        <f t="shared" si="7"/>
        <v>#VALUE!</v>
      </c>
      <c r="P49" s="62">
        <f t="shared" si="8"/>
        <v>4</v>
      </c>
      <c r="Q49" s="62" t="e">
        <f t="shared" si="9"/>
        <v>#VALUE!</v>
      </c>
      <c r="R49" s="62" t="e">
        <f t="shared" si="10"/>
        <v>#VALUE!</v>
      </c>
      <c r="S49" s="62" t="str">
        <f>IFERROR(VLOOKUP(MID(N49,Q49,R49-Q49),[6]skilldef!$C:$D,2,FALSE),"-") &amp; " / " &amp; IFERROR(VLOOKUP(MID(N49,O49,P49-O49),[6]skilldef!$A:$B,2,FALSE),"-")</f>
        <v>- / -</v>
      </c>
      <c r="T49" s="47" t="str">
        <f t="shared" si="11"/>
        <v>none</v>
      </c>
      <c r="U49" s="62" t="e">
        <f t="shared" si="12"/>
        <v>#VALUE!</v>
      </c>
      <c r="V49" s="62">
        <f t="shared" si="13"/>
        <v>4</v>
      </c>
      <c r="W49" s="62" t="e">
        <f t="shared" si="14"/>
        <v>#VALUE!</v>
      </c>
      <c r="X49" s="62" t="e">
        <f t="shared" si="15"/>
        <v>#VALUE!</v>
      </c>
      <c r="Y49" s="62" t="str">
        <f>IFERROR(VLOOKUP(MID(T49,W49,X49-W49),[6]skilldef!$C:$D,2,FALSE),"-") &amp; " / " &amp; IFERROR(VLOOKUP(MID(T49,U49,V49-U49),[6]skilldef!$A:$B,2,FALSE),"-")</f>
        <v>- / -</v>
      </c>
      <c r="Z49" s="49"/>
      <c r="AA49" s="51"/>
      <c r="AB49" s="49"/>
    </row>
    <row r="50" spans="1:28" ht="21" customHeight="1" x14ac:dyDescent="0.15">
      <c r="A50" s="46">
        <v>48009148</v>
      </c>
      <c r="B50" s="46" t="s">
        <v>262</v>
      </c>
      <c r="C50" s="49">
        <v>1</v>
      </c>
      <c r="D50" s="49" t="s">
        <v>128</v>
      </c>
      <c r="E50" s="50" t="s">
        <v>260</v>
      </c>
      <c r="F50" s="50" t="s">
        <v>251</v>
      </c>
      <c r="G50" s="62" t="str">
        <f t="shared" si="0"/>
        <v>[effect:nothing]</v>
      </c>
      <c r="H50" s="62">
        <f t="shared" si="1"/>
        <v>9</v>
      </c>
      <c r="I50" s="62">
        <f t="shared" si="2"/>
        <v>16</v>
      </c>
      <c r="J50" s="62" t="e">
        <f t="shared" si="3"/>
        <v>#VALUE!</v>
      </c>
      <c r="K50" s="62" t="e">
        <f t="shared" si="4"/>
        <v>#VALUE!</v>
      </c>
      <c r="L50" s="62" t="str">
        <f>IFERROR(VLOOKUP(MID(G50,J50,K50-J50),[6]skilldef!$C:$D,2,FALSE),"-") &amp; " / " &amp; IFERROR(VLOOKUP(MID(G50,H50,I50-H50),[6]skilldef!$A:$B,2,FALSE),"-")</f>
        <v>- / 何もしない</v>
      </c>
      <c r="M50" s="62" t="str">
        <f t="shared" si="5"/>
        <v>none</v>
      </c>
      <c r="N50" s="47" t="str">
        <f t="shared" si="6"/>
        <v>none</v>
      </c>
      <c r="O50" s="62" t="e">
        <f t="shared" si="7"/>
        <v>#VALUE!</v>
      </c>
      <c r="P50" s="62">
        <f t="shared" si="8"/>
        <v>4</v>
      </c>
      <c r="Q50" s="62" t="e">
        <f t="shared" si="9"/>
        <v>#VALUE!</v>
      </c>
      <c r="R50" s="62" t="e">
        <f t="shared" si="10"/>
        <v>#VALUE!</v>
      </c>
      <c r="S50" s="62" t="str">
        <f>IFERROR(VLOOKUP(MID(N50,Q50,R50-Q50),[6]skilldef!$C:$D,2,FALSE),"-") &amp; " / " &amp; IFERROR(VLOOKUP(MID(N50,O50,P50-O50),[6]skilldef!$A:$B,2,FALSE),"-")</f>
        <v>- / -</v>
      </c>
      <c r="T50" s="47" t="str">
        <f t="shared" si="11"/>
        <v>none</v>
      </c>
      <c r="U50" s="62" t="e">
        <f t="shared" si="12"/>
        <v>#VALUE!</v>
      </c>
      <c r="V50" s="62">
        <f t="shared" si="13"/>
        <v>4</v>
      </c>
      <c r="W50" s="62" t="e">
        <f t="shared" si="14"/>
        <v>#VALUE!</v>
      </c>
      <c r="X50" s="62" t="e">
        <f t="shared" si="15"/>
        <v>#VALUE!</v>
      </c>
      <c r="Y50" s="62" t="str">
        <f>IFERROR(VLOOKUP(MID(T50,W50,X50-W50),[6]skilldef!$C:$D,2,FALSE),"-") &amp; " / " &amp; IFERROR(VLOOKUP(MID(T50,U50,V50-U50),[6]skilldef!$A:$B,2,FALSE),"-")</f>
        <v>- / -</v>
      </c>
      <c r="Z50" s="49"/>
      <c r="AA50" s="51"/>
      <c r="AB50" s="49"/>
    </row>
    <row r="51" spans="1:28" ht="21" customHeight="1" x14ac:dyDescent="0.15">
      <c r="A51" s="46">
        <v>48009149</v>
      </c>
      <c r="B51" s="46" t="s">
        <v>262</v>
      </c>
      <c r="C51" s="49">
        <v>1</v>
      </c>
      <c r="D51" s="49" t="s">
        <v>128</v>
      </c>
      <c r="E51" s="50" t="s">
        <v>260</v>
      </c>
      <c r="F51" s="50" t="s">
        <v>251</v>
      </c>
      <c r="G51" s="62" t="str">
        <f t="shared" si="0"/>
        <v>[effect:nothing]</v>
      </c>
      <c r="H51" s="62">
        <f t="shared" si="1"/>
        <v>9</v>
      </c>
      <c r="I51" s="62">
        <f t="shared" si="2"/>
        <v>16</v>
      </c>
      <c r="J51" s="62" t="e">
        <f t="shared" si="3"/>
        <v>#VALUE!</v>
      </c>
      <c r="K51" s="62" t="e">
        <f t="shared" si="4"/>
        <v>#VALUE!</v>
      </c>
      <c r="L51" s="62" t="str">
        <f>IFERROR(VLOOKUP(MID(G51,J51,K51-J51),[6]skilldef!$C:$D,2,FALSE),"-") &amp; " / " &amp; IFERROR(VLOOKUP(MID(G51,H51,I51-H51),[6]skilldef!$A:$B,2,FALSE),"-")</f>
        <v>- / 何もしない</v>
      </c>
      <c r="M51" s="62" t="str">
        <f t="shared" si="5"/>
        <v>none</v>
      </c>
      <c r="N51" s="47" t="str">
        <f t="shared" si="6"/>
        <v>none</v>
      </c>
      <c r="O51" s="62" t="e">
        <f t="shared" si="7"/>
        <v>#VALUE!</v>
      </c>
      <c r="P51" s="62">
        <f t="shared" si="8"/>
        <v>4</v>
      </c>
      <c r="Q51" s="62" t="e">
        <f t="shared" si="9"/>
        <v>#VALUE!</v>
      </c>
      <c r="R51" s="62" t="e">
        <f t="shared" si="10"/>
        <v>#VALUE!</v>
      </c>
      <c r="S51" s="62" t="str">
        <f>IFERROR(VLOOKUP(MID(N51,Q51,R51-Q51),[6]skilldef!$C:$D,2,FALSE),"-") &amp; " / " &amp; IFERROR(VLOOKUP(MID(N51,O51,P51-O51),[6]skilldef!$A:$B,2,FALSE),"-")</f>
        <v>- / -</v>
      </c>
      <c r="T51" s="47" t="str">
        <f t="shared" si="11"/>
        <v>none</v>
      </c>
      <c r="U51" s="62" t="e">
        <f t="shared" si="12"/>
        <v>#VALUE!</v>
      </c>
      <c r="V51" s="62">
        <f t="shared" si="13"/>
        <v>4</v>
      </c>
      <c r="W51" s="62" t="e">
        <f t="shared" si="14"/>
        <v>#VALUE!</v>
      </c>
      <c r="X51" s="62" t="e">
        <f t="shared" si="15"/>
        <v>#VALUE!</v>
      </c>
      <c r="Y51" s="62" t="str">
        <f>IFERROR(VLOOKUP(MID(T51,W51,X51-W51),[6]skilldef!$C:$D,2,FALSE),"-") &amp; " / " &amp; IFERROR(VLOOKUP(MID(T51,U51,V51-U51),[6]skilldef!$A:$B,2,FALSE),"-")</f>
        <v>- / -</v>
      </c>
      <c r="Z51" s="49"/>
      <c r="AA51" s="51"/>
      <c r="AB51" s="49"/>
    </row>
    <row r="52" spans="1:28" ht="21" customHeight="1" x14ac:dyDescent="0.15">
      <c r="A52" s="46">
        <v>48009150</v>
      </c>
      <c r="B52" s="46" t="s">
        <v>267</v>
      </c>
      <c r="C52" s="49">
        <v>1</v>
      </c>
      <c r="D52" s="49" t="s">
        <v>128</v>
      </c>
      <c r="E52" s="50" t="s">
        <v>316</v>
      </c>
      <c r="F52" s="50" t="s">
        <v>286</v>
      </c>
      <c r="G52" s="62" t="str">
        <f t="shared" si="0"/>
        <v>[effect:tolerance, target:myself, turn:-1, count:-1, tolerance_effect:all, animation:enemy_tolerance]</v>
      </c>
      <c r="H52" s="62">
        <f t="shared" si="1"/>
        <v>9</v>
      </c>
      <c r="I52" s="62">
        <f t="shared" si="2"/>
        <v>18</v>
      </c>
      <c r="J52" s="62">
        <f t="shared" si="3"/>
        <v>27</v>
      </c>
      <c r="K52" s="62">
        <f t="shared" si="4"/>
        <v>33</v>
      </c>
      <c r="L52" s="62" t="str">
        <f>IFERROR(VLOOKUP(MID(G52,J52,K52-J52),[6]skilldef!$C:$D,2,FALSE),"-") &amp; " / " &amp; IFERROR(VLOOKUP(MID(G52,H52,I52-H52),[6]skilldef!$A:$B,2,FALSE),"-")</f>
        <v>自分自身に / 状態異常耐性</v>
      </c>
      <c r="M52" s="62" t="str">
        <f t="shared" si="5"/>
        <v>[effect:crash_condition, target:unit_all, turn:-1, val:4, animation:enemy_crash_extend]</v>
      </c>
      <c r="N52" s="47" t="str">
        <f>IFERROR(LEFT(M52,FIND("],",M52)+#REF!),M52)</f>
        <v>[effect:crash_condition, target:unit_all, turn:-1, val:4, animation:enemy_crash_extend]</v>
      </c>
      <c r="O52" s="62">
        <f t="shared" si="7"/>
        <v>9</v>
      </c>
      <c r="P52" s="62">
        <f t="shared" si="8"/>
        <v>24</v>
      </c>
      <c r="Q52" s="62">
        <f t="shared" si="9"/>
        <v>33</v>
      </c>
      <c r="R52" s="62">
        <f t="shared" si="10"/>
        <v>41</v>
      </c>
      <c r="S52" s="62" t="str">
        <f>IFERROR(VLOOKUP(MID(N52,Q52,R52-Q52),[6]skilldef!$C:$D,2,FALSE),"-") &amp; " / " &amp; IFERROR(VLOOKUP(MID(N52,O52,P52-O52),[6]skilldef!$A:$B,2,FALSE),"-")</f>
        <v>味方全体に / -</v>
      </c>
      <c r="T52" s="47" t="str">
        <f t="shared" si="11"/>
        <v>none</v>
      </c>
      <c r="U52" s="62" t="e">
        <f t="shared" si="12"/>
        <v>#VALUE!</v>
      </c>
      <c r="V52" s="62">
        <f t="shared" si="13"/>
        <v>4</v>
      </c>
      <c r="W52" s="62" t="e">
        <f t="shared" si="14"/>
        <v>#VALUE!</v>
      </c>
      <c r="X52" s="62" t="e">
        <f t="shared" si="15"/>
        <v>#VALUE!</v>
      </c>
      <c r="Y52" s="62" t="str">
        <f>IFERROR(VLOOKUP(MID(T52,W52,X52-W52),[6]skilldef!$C:$D,2,FALSE),"-") &amp; " / " &amp; IFERROR(VLOOKUP(MID(T52,U52,V52-U52),[6]skilldef!$A:$B,2,FALSE),"-")</f>
        <v>- / -</v>
      </c>
      <c r="Z52" s="49"/>
      <c r="AA52" s="51"/>
      <c r="AB52" s="49"/>
    </row>
    <row r="53" spans="1:28" ht="21" customHeight="1" x14ac:dyDescent="0.15">
      <c r="A53" s="46">
        <v>48009151</v>
      </c>
      <c r="B53" s="46" t="s">
        <v>275</v>
      </c>
      <c r="C53" s="49">
        <v>1</v>
      </c>
      <c r="D53" s="49" t="s">
        <v>128</v>
      </c>
      <c r="E53" s="50" t="s">
        <v>307</v>
      </c>
      <c r="F53" s="50" t="s">
        <v>287</v>
      </c>
      <c r="G53" s="62" t="str">
        <f t="shared" ref="G53:G61" si="16">IFERROR(LEFT(B53,FIND("],",B53)),B53)</f>
        <v>[effect:damage_anti_tribe, target:unit_all, tribe:human, val1:0.6, val2:0.4]</v>
      </c>
      <c r="H53" s="62">
        <f t="shared" si="1"/>
        <v>9</v>
      </c>
      <c r="I53" s="62">
        <f t="shared" ref="I53:I61" si="17">IFERROR(FIND(",",G53),LEN(G53))</f>
        <v>26</v>
      </c>
      <c r="J53" s="62">
        <f t="shared" ref="J53:J61" si="18">FIND("target:",G53)+7</f>
        <v>35</v>
      </c>
      <c r="K53" s="62">
        <f t="shared" ref="K53:K61" si="19">FIND(",",G53,I53+1)</f>
        <v>43</v>
      </c>
      <c r="L53" s="62" t="str">
        <f>IFERROR(VLOOKUP(MID(G53,J53,K53-J53),[6]skilldef!$C:$D,2,FALSE),"-") &amp; " / " &amp; IFERROR(VLOOKUP(MID(G53,H53,I53-H53),[6]skilldef!$A:$B,2,FALSE),"-")</f>
        <v>味方全体に / 種族キラー</v>
      </c>
      <c r="M53" s="62" t="str">
        <f t="shared" ref="M53:M61" si="20">IFERROR(RIGHT(B53,LEN(B53)-FIND("],",B53)-1),"none")</f>
        <v>none</v>
      </c>
      <c r="N53" s="47" t="str">
        <f>IFERROR(LEFT(M53,FIND("],",M53)+#REF!),M53)</f>
        <v>none</v>
      </c>
      <c r="O53" s="62" t="e">
        <f t="shared" si="7"/>
        <v>#VALUE!</v>
      </c>
      <c r="P53" s="62">
        <f t="shared" ref="P53:P61" si="21">IFERROR(FIND(",",N53),LEN(N53))</f>
        <v>4</v>
      </c>
      <c r="Q53" s="62" t="e">
        <f t="shared" ref="Q53:Q61" si="22">FIND("target:",N53)+7</f>
        <v>#VALUE!</v>
      </c>
      <c r="R53" s="62" t="e">
        <f t="shared" ref="R53:R61" si="23">FIND(",",N53,P53+1)</f>
        <v>#VALUE!</v>
      </c>
      <c r="S53" s="62" t="str">
        <f>IFERROR(VLOOKUP(MID(N53,Q53,R53-Q53),[6]skilldef!$C:$D,2,FALSE),"-") &amp; " / " &amp; IFERROR(VLOOKUP(MID(N53,O53,P53-O53),[6]skilldef!$A:$B,2,FALSE),"-")</f>
        <v>- / -</v>
      </c>
      <c r="T53" s="47" t="str">
        <f t="shared" ref="T53:T61" si="24">IFERROR(RIGHT(M53,LEN(M53)-FIND("],",M53)-1),"none")</f>
        <v>none</v>
      </c>
      <c r="U53" s="62" t="e">
        <f t="shared" si="12"/>
        <v>#VALUE!</v>
      </c>
      <c r="V53" s="62">
        <f t="shared" ref="V53:V61" si="25">IFERROR(FIND(",",T53),LEN(T53))</f>
        <v>4</v>
      </c>
      <c r="W53" s="62" t="e">
        <f t="shared" ref="W53:W61" si="26">FIND("target:",T53)+7</f>
        <v>#VALUE!</v>
      </c>
      <c r="X53" s="62" t="e">
        <f t="shared" ref="X53:X61" si="27">FIND(",",T53,V53+1)</f>
        <v>#VALUE!</v>
      </c>
      <c r="Y53" s="62" t="str">
        <f>IFERROR(VLOOKUP(MID(T53,W53,X53-W53),[6]skilldef!$C:$D,2,FALSE),"-") &amp; " / " &amp; IFERROR(VLOOKUP(MID(T53,U53,V53-U53),[6]skilldef!$A:$B,2,FALSE),"-")</f>
        <v>- / -</v>
      </c>
      <c r="Z53" s="49"/>
      <c r="AA53" s="51"/>
      <c r="AB53" s="49"/>
    </row>
    <row r="54" spans="1:28" ht="21" customHeight="1" x14ac:dyDescent="0.15">
      <c r="A54" s="46">
        <v>48009152</v>
      </c>
      <c r="B54" s="46" t="s">
        <v>268</v>
      </c>
      <c r="C54" s="49">
        <v>1</v>
      </c>
      <c r="D54" s="49" t="s">
        <v>128</v>
      </c>
      <c r="E54" s="50" t="s">
        <v>308</v>
      </c>
      <c r="F54" s="50" t="s">
        <v>288</v>
      </c>
      <c r="G54" s="62" t="str">
        <f t="shared" si="16"/>
        <v>[effect:damage_gravity, val:0.4, animation:fevergauge_down]</v>
      </c>
      <c r="H54" s="62">
        <f t="shared" si="1"/>
        <v>9</v>
      </c>
      <c r="I54" s="62">
        <f t="shared" si="17"/>
        <v>23</v>
      </c>
      <c r="J54" s="62" t="e">
        <f t="shared" si="18"/>
        <v>#VALUE!</v>
      </c>
      <c r="K54" s="62">
        <f t="shared" si="19"/>
        <v>32</v>
      </c>
      <c r="L54" s="62" t="str">
        <f>IFERROR(VLOOKUP(MID(G54,J54,K54-J54),[6]skilldef!$C:$D,2,FALSE),"-") &amp; " / " &amp; IFERROR(VLOOKUP(MID(G54,H54,I54-H54),[6]skilldef!$A:$B,2,FALSE),"-")</f>
        <v>- / 割合ダメージ</v>
      </c>
      <c r="M54" s="62" t="str">
        <f t="shared" si="20"/>
        <v>none</v>
      </c>
      <c r="N54" s="47" t="str">
        <f t="shared" ref="N54:N61" si="28">IFERROR(LEFT(M54,FIND("],",M54)+S62),M54)</f>
        <v>none</v>
      </c>
      <c r="O54" s="62" t="e">
        <f t="shared" si="7"/>
        <v>#VALUE!</v>
      </c>
      <c r="P54" s="62">
        <f t="shared" si="21"/>
        <v>4</v>
      </c>
      <c r="Q54" s="62" t="e">
        <f t="shared" si="22"/>
        <v>#VALUE!</v>
      </c>
      <c r="R54" s="62" t="e">
        <f t="shared" si="23"/>
        <v>#VALUE!</v>
      </c>
      <c r="S54" s="62" t="str">
        <f>IFERROR(VLOOKUP(MID(N54,Q54,R54-Q54),[6]skilldef!$C:$D,2,FALSE),"-") &amp; " / " &amp; IFERROR(VLOOKUP(MID(N54,O54,P54-O54),[6]skilldef!$A:$B,2,FALSE),"-")</f>
        <v>- / -</v>
      </c>
      <c r="T54" s="47" t="str">
        <f t="shared" si="24"/>
        <v>none</v>
      </c>
      <c r="U54" s="62" t="e">
        <f t="shared" si="12"/>
        <v>#VALUE!</v>
      </c>
      <c r="V54" s="62">
        <f t="shared" si="25"/>
        <v>4</v>
      </c>
      <c r="W54" s="62" t="e">
        <f t="shared" si="26"/>
        <v>#VALUE!</v>
      </c>
      <c r="X54" s="62" t="e">
        <f t="shared" si="27"/>
        <v>#VALUE!</v>
      </c>
      <c r="Y54" s="62" t="str">
        <f>IFERROR(VLOOKUP(MID(T54,W54,X54-W54),[6]skilldef!$C:$D,2,FALSE),"-") &amp; " / " &amp; IFERROR(VLOOKUP(MID(T54,U54,V54-U54),[6]skilldef!$A:$B,2,FALSE),"-")</f>
        <v>- / -</v>
      </c>
      <c r="Z54" s="49"/>
      <c r="AA54" s="51"/>
      <c r="AB54" s="49"/>
    </row>
    <row r="55" spans="1:28" ht="21" customHeight="1" x14ac:dyDescent="0.15">
      <c r="A55" s="46">
        <v>48009153</v>
      </c>
      <c r="B55" s="46" t="s">
        <v>294</v>
      </c>
      <c r="C55" s="49">
        <v>1</v>
      </c>
      <c r="D55" s="49" t="s">
        <v>128</v>
      </c>
      <c r="E55" s="50" t="s">
        <v>310</v>
      </c>
      <c r="F55" s="50" t="s">
        <v>291</v>
      </c>
      <c r="G55" s="62" t="str">
        <f t="shared" si="16"/>
        <v>[effect:enhance_enemy, target:myself, turn:-1, status:attack, val:0.5, calc:mul, animation:enemy_enhance_attack]</v>
      </c>
      <c r="H55" s="62">
        <f t="shared" si="1"/>
        <v>9</v>
      </c>
      <c r="I55" s="62">
        <f t="shared" si="17"/>
        <v>22</v>
      </c>
      <c r="J55" s="62">
        <f t="shared" si="18"/>
        <v>31</v>
      </c>
      <c r="K55" s="62">
        <f t="shared" si="19"/>
        <v>37</v>
      </c>
      <c r="L55" s="62" t="str">
        <f>IFERROR(VLOOKUP(MID(G55,J55,K55-J55),[6]skilldef!$C:$D,2,FALSE),"-") &amp; " / " &amp; IFERROR(VLOOKUP(MID(G55,H55,I55-H55),[6]skilldef!$A:$B,2,FALSE),"-")</f>
        <v>自分自身に / ステータス強化</v>
      </c>
      <c r="M55" s="62" t="str">
        <f t="shared" si="20"/>
        <v>[effect:critical, val:1.0, animation:enemy_critical]</v>
      </c>
      <c r="N55" s="47" t="str">
        <f t="shared" si="28"/>
        <v>[effect:critical, val:1.0, animation:enemy_critical]</v>
      </c>
      <c r="O55" s="62">
        <f t="shared" si="7"/>
        <v>9</v>
      </c>
      <c r="P55" s="62">
        <f t="shared" si="21"/>
        <v>17</v>
      </c>
      <c r="Q55" s="62" t="e">
        <f t="shared" si="22"/>
        <v>#VALUE!</v>
      </c>
      <c r="R55" s="62">
        <f t="shared" si="23"/>
        <v>26</v>
      </c>
      <c r="S55" s="62" t="str">
        <f>IFERROR(VLOOKUP(MID(N55,Q55,R55-Q55),[6]skilldef!$C:$D,2,FALSE),"-") &amp; " / " &amp; IFERROR(VLOOKUP(MID(N55,O55,P55-O55),[6]skilldef!$A:$B,2,FALSE),"-")</f>
        <v>- / 大攻撃</v>
      </c>
      <c r="T55" s="47" t="str">
        <f t="shared" si="24"/>
        <v>none</v>
      </c>
      <c r="U55" s="62" t="e">
        <f t="shared" si="12"/>
        <v>#VALUE!</v>
      </c>
      <c r="V55" s="62">
        <f t="shared" si="25"/>
        <v>4</v>
      </c>
      <c r="W55" s="62" t="e">
        <f t="shared" si="26"/>
        <v>#VALUE!</v>
      </c>
      <c r="X55" s="62" t="e">
        <f t="shared" si="27"/>
        <v>#VALUE!</v>
      </c>
      <c r="Y55" s="62" t="str">
        <f>IFERROR(VLOOKUP(MID(T55,W55,X55-W55),[6]skilldef!$C:$D,2,FALSE),"-") &amp; " / " &amp; IFERROR(VLOOKUP(MID(T55,U55,V55-U55),[6]skilldef!$A:$B,2,FALSE),"-")</f>
        <v>- / -</v>
      </c>
      <c r="Z55" s="49"/>
      <c r="AA55" s="51"/>
      <c r="AB55" s="49"/>
    </row>
    <row r="56" spans="1:28" ht="21" customHeight="1" x14ac:dyDescent="0.15">
      <c r="A56" s="46">
        <v>48009154</v>
      </c>
      <c r="B56" s="46" t="s">
        <v>276</v>
      </c>
      <c r="C56" s="49">
        <v>1</v>
      </c>
      <c r="D56" s="49" t="s">
        <v>128</v>
      </c>
      <c r="E56" s="50" t="s">
        <v>311</v>
      </c>
      <c r="F56" s="50" t="s">
        <v>292</v>
      </c>
      <c r="G56" s="62" t="str">
        <f t="shared" si="16"/>
        <v>[effect:enhance_enemy, target:myself, turn:-1, status:attack, val:1.0, calc:mul, animation:enemy_enhance_attack]</v>
      </c>
      <c r="H56" s="62">
        <f t="shared" si="1"/>
        <v>9</v>
      </c>
      <c r="I56" s="62">
        <f t="shared" si="17"/>
        <v>22</v>
      </c>
      <c r="J56" s="62">
        <f t="shared" si="18"/>
        <v>31</v>
      </c>
      <c r="K56" s="62">
        <f t="shared" si="19"/>
        <v>37</v>
      </c>
      <c r="L56" s="62" t="str">
        <f>IFERROR(VLOOKUP(MID(G56,J56,K56-J56),[6]skilldef!$C:$D,2,FALSE),"-") &amp; " / " &amp; IFERROR(VLOOKUP(MID(G56,H56,I56-H56),[6]skilldef!$A:$B,2,FALSE),"-")</f>
        <v>自分自身に / ステータス強化</v>
      </c>
      <c r="M56" s="62" t="str">
        <f t="shared" si="20"/>
        <v>[effect:critical, val:1.0, animation:enemy_critical]</v>
      </c>
      <c r="N56" s="47" t="str">
        <f t="shared" si="28"/>
        <v>[effect:critical, val:1.0, animation:enemy_critical]</v>
      </c>
      <c r="O56" s="62">
        <f t="shared" si="7"/>
        <v>9</v>
      </c>
      <c r="P56" s="62">
        <f t="shared" si="21"/>
        <v>17</v>
      </c>
      <c r="Q56" s="62" t="e">
        <f t="shared" si="22"/>
        <v>#VALUE!</v>
      </c>
      <c r="R56" s="62">
        <f t="shared" si="23"/>
        <v>26</v>
      </c>
      <c r="S56" s="62" t="str">
        <f>IFERROR(VLOOKUP(MID(N56,Q56,R56-Q56),[6]skilldef!$C:$D,2,FALSE),"-") &amp; " / " &amp; IFERROR(VLOOKUP(MID(N56,O56,P56-O56),[6]skilldef!$A:$B,2,FALSE),"-")</f>
        <v>- / 大攻撃</v>
      </c>
      <c r="T56" s="47" t="str">
        <f t="shared" si="24"/>
        <v>none</v>
      </c>
      <c r="U56" s="62" t="e">
        <f t="shared" si="12"/>
        <v>#VALUE!</v>
      </c>
      <c r="V56" s="62">
        <f t="shared" si="25"/>
        <v>4</v>
      </c>
      <c r="W56" s="62" t="e">
        <f t="shared" si="26"/>
        <v>#VALUE!</v>
      </c>
      <c r="X56" s="62" t="e">
        <f t="shared" si="27"/>
        <v>#VALUE!</v>
      </c>
      <c r="Y56" s="62" t="str">
        <f>IFERROR(VLOOKUP(MID(T56,W56,X56-W56),[6]skilldef!$C:$D,2,FALSE),"-") &amp; " / " &amp; IFERROR(VLOOKUP(MID(T56,U56,V56-U56),[6]skilldef!$A:$B,2,FALSE),"-")</f>
        <v>- / -</v>
      </c>
      <c r="Z56" s="49"/>
      <c r="AA56" s="51"/>
      <c r="AB56" s="49"/>
    </row>
    <row r="57" spans="1:28" ht="21" customHeight="1" x14ac:dyDescent="0.15">
      <c r="A57" s="46">
        <v>48009155</v>
      </c>
      <c r="B57" s="46" t="s">
        <v>277</v>
      </c>
      <c r="C57" s="49">
        <v>1</v>
      </c>
      <c r="D57" s="49" t="s">
        <v>128</v>
      </c>
      <c r="E57" s="50" t="s">
        <v>312</v>
      </c>
      <c r="F57" s="50" t="s">
        <v>293</v>
      </c>
      <c r="G57" s="62" t="str">
        <f t="shared" si="16"/>
        <v>[effect:enhance_enemy, target:myself, turn:-1, status:attack, val:1.5, calc:mul, animation:enemy_enhance_attack]</v>
      </c>
      <c r="H57" s="62">
        <f t="shared" si="1"/>
        <v>9</v>
      </c>
      <c r="I57" s="62">
        <f t="shared" si="17"/>
        <v>22</v>
      </c>
      <c r="J57" s="62">
        <f t="shared" si="18"/>
        <v>31</v>
      </c>
      <c r="K57" s="62">
        <f t="shared" si="19"/>
        <v>37</v>
      </c>
      <c r="L57" s="62" t="str">
        <f>IFERROR(VLOOKUP(MID(G57,J57,K57-J57),[6]skilldef!$C:$D,2,FALSE),"-") &amp; " / " &amp; IFERROR(VLOOKUP(MID(G57,H57,I57-H57),[6]skilldef!$A:$B,2,FALSE),"-")</f>
        <v>自分自身に / ステータス強化</v>
      </c>
      <c r="M57" s="62" t="str">
        <f t="shared" si="20"/>
        <v>[effect:critical, val:1.0, animation:enemy_critical]</v>
      </c>
      <c r="N57" s="47" t="str">
        <f t="shared" si="28"/>
        <v>[effect:critical, val:1.0, animation:enemy_critical]</v>
      </c>
      <c r="O57" s="62">
        <f t="shared" si="7"/>
        <v>9</v>
      </c>
      <c r="P57" s="62">
        <f t="shared" si="21"/>
        <v>17</v>
      </c>
      <c r="Q57" s="62" t="e">
        <f t="shared" si="22"/>
        <v>#VALUE!</v>
      </c>
      <c r="R57" s="62">
        <f t="shared" si="23"/>
        <v>26</v>
      </c>
      <c r="S57" s="62" t="str">
        <f>IFERROR(VLOOKUP(MID(N57,Q57,R57-Q57),[6]skilldef!$C:$D,2,FALSE),"-") &amp; " / " &amp; IFERROR(VLOOKUP(MID(N57,O57,P57-O57),[6]skilldef!$A:$B,2,FALSE),"-")</f>
        <v>- / 大攻撃</v>
      </c>
      <c r="T57" s="47" t="str">
        <f t="shared" si="24"/>
        <v>none</v>
      </c>
      <c r="U57" s="62" t="e">
        <f t="shared" si="12"/>
        <v>#VALUE!</v>
      </c>
      <c r="V57" s="62">
        <f t="shared" si="25"/>
        <v>4</v>
      </c>
      <c r="W57" s="62" t="e">
        <f t="shared" si="26"/>
        <v>#VALUE!</v>
      </c>
      <c r="X57" s="62" t="e">
        <f t="shared" si="27"/>
        <v>#VALUE!</v>
      </c>
      <c r="Y57" s="62" t="str">
        <f>IFERROR(VLOOKUP(MID(T57,W57,X57-W57),[6]skilldef!$C:$D,2,FALSE),"-") &amp; " / " &amp; IFERROR(VLOOKUP(MID(T57,U57,V57-U57),[6]skilldef!$A:$B,2,FALSE),"-")</f>
        <v>- / -</v>
      </c>
      <c r="Z57" s="49"/>
      <c r="AA57" s="51"/>
      <c r="AB57" s="49"/>
    </row>
    <row r="58" spans="1:28" ht="21" customHeight="1" x14ac:dyDescent="0.15">
      <c r="A58" s="46">
        <v>48009156</v>
      </c>
      <c r="B58" s="46" t="s">
        <v>321</v>
      </c>
      <c r="C58" s="49">
        <v>1</v>
      </c>
      <c r="D58" s="49" t="s">
        <v>128</v>
      </c>
      <c r="E58" s="50" t="s">
        <v>317</v>
      </c>
      <c r="F58" s="50" t="s">
        <v>318</v>
      </c>
      <c r="G58" s="62" t="str">
        <f t="shared" si="16"/>
        <v>[effect:enemy_message, val1:2, val2:2.4]</v>
      </c>
      <c r="H58" s="62">
        <f t="shared" si="1"/>
        <v>9</v>
      </c>
      <c r="I58" s="62">
        <f t="shared" si="17"/>
        <v>22</v>
      </c>
      <c r="J58" s="62" t="e">
        <f t="shared" si="18"/>
        <v>#VALUE!</v>
      </c>
      <c r="K58" s="62">
        <f t="shared" si="19"/>
        <v>30</v>
      </c>
      <c r="L58" s="62" t="str">
        <f>IFERROR(VLOOKUP(MID(G58,J58,K58-J58),[6]skilldef!$C:$D,2,FALSE),"-") &amp; " / " &amp; IFERROR(VLOOKUP(MID(G58,H58,I58-H58),[6]skilldef!$A:$B,2,FALSE),"-")</f>
        <v>- / -</v>
      </c>
      <c r="M58" s="62" t="str">
        <f t="shared" si="20"/>
        <v>none</v>
      </c>
      <c r="N58" s="47" t="str">
        <f t="shared" si="28"/>
        <v>none</v>
      </c>
      <c r="O58" s="62" t="e">
        <f t="shared" si="7"/>
        <v>#VALUE!</v>
      </c>
      <c r="P58" s="62">
        <f t="shared" si="21"/>
        <v>4</v>
      </c>
      <c r="Q58" s="62" t="e">
        <f t="shared" si="22"/>
        <v>#VALUE!</v>
      </c>
      <c r="R58" s="62" t="e">
        <f t="shared" si="23"/>
        <v>#VALUE!</v>
      </c>
      <c r="S58" s="62" t="str">
        <f>IFERROR(VLOOKUP(MID(N58,Q58,R58-Q58),[6]skilldef!$C:$D,2,FALSE),"-") &amp; " / " &amp; IFERROR(VLOOKUP(MID(N58,O58,P58-O58),[6]skilldef!$A:$B,2,FALSE),"-")</f>
        <v>- / -</v>
      </c>
      <c r="T58" s="47" t="str">
        <f t="shared" si="24"/>
        <v>none</v>
      </c>
      <c r="U58" s="62" t="e">
        <f t="shared" si="12"/>
        <v>#VALUE!</v>
      </c>
      <c r="V58" s="62">
        <f t="shared" si="25"/>
        <v>4</v>
      </c>
      <c r="W58" s="62" t="e">
        <f t="shared" si="26"/>
        <v>#VALUE!</v>
      </c>
      <c r="X58" s="62" t="e">
        <f t="shared" si="27"/>
        <v>#VALUE!</v>
      </c>
      <c r="Y58" s="62" t="str">
        <f>IFERROR(VLOOKUP(MID(T58,W58,X58-W58),[6]skilldef!$C:$D,2,FALSE),"-") &amp; " / " &amp; IFERROR(VLOOKUP(MID(T58,U58,V58-U58),[6]skilldef!$A:$B,2,FALSE),"-")</f>
        <v>- / -</v>
      </c>
      <c r="Z58" s="49"/>
      <c r="AA58" s="51"/>
      <c r="AB58" s="49"/>
    </row>
    <row r="59" spans="1:28" ht="21" customHeight="1" x14ac:dyDescent="0.15">
      <c r="A59" s="46">
        <v>48009157</v>
      </c>
      <c r="B59" s="46" t="s">
        <v>321</v>
      </c>
      <c r="C59" s="49">
        <v>1</v>
      </c>
      <c r="D59" s="49" t="s">
        <v>128</v>
      </c>
      <c r="E59" s="50" t="s">
        <v>317</v>
      </c>
      <c r="F59" s="50" t="s">
        <v>318</v>
      </c>
      <c r="G59" s="62" t="str">
        <f t="shared" si="16"/>
        <v>[effect:enemy_message, val1:2, val2:2.4]</v>
      </c>
      <c r="H59" s="62">
        <f t="shared" si="1"/>
        <v>9</v>
      </c>
      <c r="I59" s="62">
        <f t="shared" si="17"/>
        <v>22</v>
      </c>
      <c r="J59" s="62" t="e">
        <f t="shared" si="18"/>
        <v>#VALUE!</v>
      </c>
      <c r="K59" s="62">
        <f t="shared" si="19"/>
        <v>30</v>
      </c>
      <c r="L59" s="62" t="str">
        <f>IFERROR(VLOOKUP(MID(G59,J59,K59-J59),[6]skilldef!$C:$D,2,FALSE),"-") &amp; " / " &amp; IFERROR(VLOOKUP(MID(G59,H59,I59-H59),[6]skilldef!$A:$B,2,FALSE),"-")</f>
        <v>- / -</v>
      </c>
      <c r="M59" s="62" t="str">
        <f t="shared" si="20"/>
        <v>none</v>
      </c>
      <c r="N59" s="47" t="str">
        <f t="shared" si="28"/>
        <v>none</v>
      </c>
      <c r="O59" s="62" t="e">
        <f t="shared" si="7"/>
        <v>#VALUE!</v>
      </c>
      <c r="P59" s="62">
        <f t="shared" si="21"/>
        <v>4</v>
      </c>
      <c r="Q59" s="62" t="e">
        <f t="shared" si="22"/>
        <v>#VALUE!</v>
      </c>
      <c r="R59" s="62" t="e">
        <f t="shared" si="23"/>
        <v>#VALUE!</v>
      </c>
      <c r="S59" s="62" t="str">
        <f>IFERROR(VLOOKUP(MID(N59,Q59,R59-Q59),[6]skilldef!$C:$D,2,FALSE),"-") &amp; " / " &amp; IFERROR(VLOOKUP(MID(N59,O59,P59-O59),[6]skilldef!$A:$B,2,FALSE),"-")</f>
        <v>- / -</v>
      </c>
      <c r="T59" s="47" t="str">
        <f t="shared" si="24"/>
        <v>none</v>
      </c>
      <c r="U59" s="62" t="e">
        <f t="shared" si="12"/>
        <v>#VALUE!</v>
      </c>
      <c r="V59" s="62">
        <f t="shared" si="25"/>
        <v>4</v>
      </c>
      <c r="W59" s="62" t="e">
        <f t="shared" si="26"/>
        <v>#VALUE!</v>
      </c>
      <c r="X59" s="62" t="e">
        <f t="shared" si="27"/>
        <v>#VALUE!</v>
      </c>
      <c r="Y59" s="62" t="str">
        <f>IFERROR(VLOOKUP(MID(T59,W59,X59-W59),[6]skilldef!$C:$D,2,FALSE),"-") &amp; " / " &amp; IFERROR(VLOOKUP(MID(T59,U59,V59-U59),[6]skilldef!$A:$B,2,FALSE),"-")</f>
        <v>- / -</v>
      </c>
      <c r="Z59" s="49"/>
      <c r="AA59" s="51"/>
      <c r="AB59" s="49"/>
    </row>
    <row r="60" spans="1:28" ht="21" customHeight="1" x14ac:dyDescent="0.15">
      <c r="A60" s="46">
        <v>48009158</v>
      </c>
      <c r="B60" s="46" t="s">
        <v>321</v>
      </c>
      <c r="C60" s="49">
        <v>1</v>
      </c>
      <c r="D60" s="49" t="s">
        <v>128</v>
      </c>
      <c r="E60" s="50" t="s">
        <v>319</v>
      </c>
      <c r="F60" s="50" t="s">
        <v>320</v>
      </c>
      <c r="G60" s="62" t="str">
        <f t="shared" si="16"/>
        <v>[effect:enemy_message, val1:2, val2:2.4]</v>
      </c>
      <c r="H60" s="62">
        <f t="shared" si="1"/>
        <v>9</v>
      </c>
      <c r="I60" s="62">
        <f t="shared" si="17"/>
        <v>22</v>
      </c>
      <c r="J60" s="62" t="e">
        <f t="shared" si="18"/>
        <v>#VALUE!</v>
      </c>
      <c r="K60" s="62">
        <f t="shared" si="19"/>
        <v>30</v>
      </c>
      <c r="L60" s="62" t="str">
        <f>IFERROR(VLOOKUP(MID(G60,J60,K60-J60),[6]skilldef!$C:$D,2,FALSE),"-") &amp; " / " &amp; IFERROR(VLOOKUP(MID(G60,H60,I60-H60),[6]skilldef!$A:$B,2,FALSE),"-")</f>
        <v>- / -</v>
      </c>
      <c r="M60" s="62" t="str">
        <f t="shared" si="20"/>
        <v>none</v>
      </c>
      <c r="N60" s="47" t="str">
        <f t="shared" si="28"/>
        <v>none</v>
      </c>
      <c r="O60" s="62" t="e">
        <f t="shared" si="7"/>
        <v>#VALUE!</v>
      </c>
      <c r="P60" s="62">
        <f t="shared" si="21"/>
        <v>4</v>
      </c>
      <c r="Q60" s="62" t="e">
        <f t="shared" si="22"/>
        <v>#VALUE!</v>
      </c>
      <c r="R60" s="62" t="e">
        <f t="shared" si="23"/>
        <v>#VALUE!</v>
      </c>
      <c r="S60" s="62" t="str">
        <f>IFERROR(VLOOKUP(MID(N60,Q60,R60-Q60),[6]skilldef!$C:$D,2,FALSE),"-") &amp; " / " &amp; IFERROR(VLOOKUP(MID(N60,O60,P60-O60),[6]skilldef!$A:$B,2,FALSE),"-")</f>
        <v>- / -</v>
      </c>
      <c r="T60" s="47" t="str">
        <f t="shared" si="24"/>
        <v>none</v>
      </c>
      <c r="U60" s="62" t="e">
        <f t="shared" si="12"/>
        <v>#VALUE!</v>
      </c>
      <c r="V60" s="62">
        <f t="shared" si="25"/>
        <v>4</v>
      </c>
      <c r="W60" s="62" t="e">
        <f t="shared" si="26"/>
        <v>#VALUE!</v>
      </c>
      <c r="X60" s="62" t="e">
        <f t="shared" si="27"/>
        <v>#VALUE!</v>
      </c>
      <c r="Y60" s="62" t="str">
        <f>IFERROR(VLOOKUP(MID(T60,W60,X60-W60),[6]skilldef!$C:$D,2,FALSE),"-") &amp; " / " &amp; IFERROR(VLOOKUP(MID(T60,U60,V60-U60),[6]skilldef!$A:$B,2,FALSE),"-")</f>
        <v>- / -</v>
      </c>
      <c r="Z60" s="49"/>
      <c r="AA60" s="51"/>
      <c r="AB60" s="49"/>
    </row>
    <row r="61" spans="1:28" ht="21" customHeight="1" x14ac:dyDescent="0.15">
      <c r="A61" s="46">
        <v>48009159</v>
      </c>
      <c r="B61" s="46" t="s">
        <v>262</v>
      </c>
      <c r="C61" s="49">
        <v>1</v>
      </c>
      <c r="D61" s="49" t="s">
        <v>128</v>
      </c>
      <c r="E61" s="50" t="s">
        <v>261</v>
      </c>
      <c r="F61" s="50" t="s">
        <v>251</v>
      </c>
      <c r="G61" s="62" t="str">
        <f t="shared" si="16"/>
        <v>[effect:nothing]</v>
      </c>
      <c r="H61" s="62">
        <f t="shared" si="1"/>
        <v>9</v>
      </c>
      <c r="I61" s="62">
        <f t="shared" si="17"/>
        <v>16</v>
      </c>
      <c r="J61" s="62" t="e">
        <f t="shared" si="18"/>
        <v>#VALUE!</v>
      </c>
      <c r="K61" s="62" t="e">
        <f t="shared" si="19"/>
        <v>#VALUE!</v>
      </c>
      <c r="L61" s="62" t="str">
        <f>IFERROR(VLOOKUP(MID(G61,J61,K61-J61),[6]skilldef!$C:$D,2,FALSE),"-") &amp; " / " &amp; IFERROR(VLOOKUP(MID(G61,H61,I61-H61),[6]skilldef!$A:$B,2,FALSE),"-")</f>
        <v>- / 何もしない</v>
      </c>
      <c r="M61" s="62" t="str">
        <f t="shared" si="20"/>
        <v>none</v>
      </c>
      <c r="N61" s="47" t="str">
        <f t="shared" si="28"/>
        <v>none</v>
      </c>
      <c r="O61" s="62" t="e">
        <f t="shared" si="7"/>
        <v>#VALUE!</v>
      </c>
      <c r="P61" s="62">
        <f t="shared" si="21"/>
        <v>4</v>
      </c>
      <c r="Q61" s="62" t="e">
        <f t="shared" si="22"/>
        <v>#VALUE!</v>
      </c>
      <c r="R61" s="62" t="e">
        <f t="shared" si="23"/>
        <v>#VALUE!</v>
      </c>
      <c r="S61" s="62" t="str">
        <f>IFERROR(VLOOKUP(MID(N61,Q61,R61-Q61),[6]skilldef!$C:$D,2,FALSE),"-") &amp; " / " &amp; IFERROR(VLOOKUP(MID(N61,O61,P61-O61),[6]skilldef!$A:$B,2,FALSE),"-")</f>
        <v>- / -</v>
      </c>
      <c r="T61" s="47" t="str">
        <f t="shared" si="24"/>
        <v>none</v>
      </c>
      <c r="U61" s="62" t="e">
        <f t="shared" si="12"/>
        <v>#VALUE!</v>
      </c>
      <c r="V61" s="62">
        <f t="shared" si="25"/>
        <v>4</v>
      </c>
      <c r="W61" s="62" t="e">
        <f t="shared" si="26"/>
        <v>#VALUE!</v>
      </c>
      <c r="X61" s="62" t="e">
        <f t="shared" si="27"/>
        <v>#VALUE!</v>
      </c>
      <c r="Y61" s="62" t="str">
        <f>IFERROR(VLOOKUP(MID(T61,W61,X61-W61),[6]skilldef!$C:$D,2,FALSE),"-") &amp; " / " &amp; IFERROR(VLOOKUP(MID(T61,U61,V61-U61),[6]skilldef!$A:$B,2,FALSE),"-")</f>
        <v>- / -</v>
      </c>
      <c r="Z61" s="49"/>
      <c r="AA61" s="51"/>
      <c r="AB61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1"/>
  <sheetViews>
    <sheetView showGridLines="0" zoomScale="75" zoomScaleNormal="75" zoomScalePageLayoutView="75" workbookViewId="0">
      <pane ySplit="1" topLeftCell="A36" activePane="bottomLeft" state="frozenSplit"/>
      <selection pane="bottomLeft" activeCell="Q60" sqref="Q60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48009100</v>
      </c>
      <c r="B2" s="46">
        <v>0</v>
      </c>
      <c r="C2" s="46" t="s">
        <v>89</v>
      </c>
      <c r="D2" s="46">
        <v>40</v>
      </c>
      <c r="E2" s="46" t="s">
        <v>90</v>
      </c>
      <c r="F2" s="46" t="s">
        <v>90</v>
      </c>
      <c r="G2" s="46" t="s">
        <v>90</v>
      </c>
      <c r="H2" s="46" t="s">
        <v>90</v>
      </c>
      <c r="I2" s="46" t="s">
        <v>90</v>
      </c>
      <c r="J2" s="47">
        <f t="shared" ref="J2" si="0">D2</f>
        <v>40</v>
      </c>
    </row>
    <row r="3" spans="1:11" ht="21" customHeight="1" x14ac:dyDescent="0.15">
      <c r="A3" s="46">
        <v>48009101</v>
      </c>
      <c r="B3" s="46">
        <v>0</v>
      </c>
      <c r="C3" s="46" t="s">
        <v>89</v>
      </c>
      <c r="D3" s="46">
        <v>100</v>
      </c>
      <c r="E3" s="46" t="s">
        <v>90</v>
      </c>
      <c r="F3" s="46" t="s">
        <v>90</v>
      </c>
      <c r="G3" s="46" t="s">
        <v>90</v>
      </c>
      <c r="H3" s="46" t="s">
        <v>90</v>
      </c>
      <c r="I3" s="46" t="s">
        <v>90</v>
      </c>
      <c r="J3" s="47">
        <f t="shared" ref="J3:J61" si="1">D3</f>
        <v>100</v>
      </c>
    </row>
    <row r="4" spans="1:11" ht="21" customHeight="1" x14ac:dyDescent="0.15">
      <c r="A4" s="46">
        <v>48009102</v>
      </c>
      <c r="B4" s="46">
        <v>0</v>
      </c>
      <c r="C4" s="46" t="s">
        <v>89</v>
      </c>
      <c r="D4" s="46">
        <v>100</v>
      </c>
      <c r="E4" s="46" t="s">
        <v>90</v>
      </c>
      <c r="F4" s="46" t="s">
        <v>90</v>
      </c>
      <c r="G4" s="46" t="s">
        <v>90</v>
      </c>
      <c r="H4" s="46" t="s">
        <v>90</v>
      </c>
      <c r="I4" s="46" t="s">
        <v>90</v>
      </c>
      <c r="J4" s="47">
        <f t="shared" si="1"/>
        <v>100</v>
      </c>
    </row>
    <row r="5" spans="1:11" ht="21" customHeight="1" x14ac:dyDescent="0.15">
      <c r="A5" s="46">
        <v>48009103</v>
      </c>
      <c r="B5" s="46">
        <v>0</v>
      </c>
      <c r="C5" s="46" t="s">
        <v>89</v>
      </c>
      <c r="D5" s="46">
        <v>100</v>
      </c>
      <c r="E5" s="46" t="s">
        <v>90</v>
      </c>
      <c r="F5" s="46" t="s">
        <v>90</v>
      </c>
      <c r="G5" s="46" t="s">
        <v>90</v>
      </c>
      <c r="H5" s="46" t="s">
        <v>90</v>
      </c>
      <c r="I5" s="46" t="s">
        <v>90</v>
      </c>
      <c r="J5" s="47">
        <f t="shared" si="1"/>
        <v>100</v>
      </c>
    </row>
    <row r="6" spans="1:11" ht="21" customHeight="1" x14ac:dyDescent="0.15">
      <c r="A6" s="46">
        <v>48009104</v>
      </c>
      <c r="B6" s="46">
        <v>0</v>
      </c>
      <c r="C6" s="46" t="s">
        <v>89</v>
      </c>
      <c r="D6" s="46">
        <v>100</v>
      </c>
      <c r="E6" s="46" t="s">
        <v>90</v>
      </c>
      <c r="F6" s="46" t="s">
        <v>90</v>
      </c>
      <c r="G6" s="46" t="s">
        <v>90</v>
      </c>
      <c r="H6" s="46" t="s">
        <v>90</v>
      </c>
      <c r="I6" s="46" t="s">
        <v>90</v>
      </c>
      <c r="J6" s="47">
        <f t="shared" si="1"/>
        <v>100</v>
      </c>
    </row>
    <row r="7" spans="1:11" ht="21" customHeight="1" x14ac:dyDescent="0.15">
      <c r="A7" s="46">
        <v>48009105</v>
      </c>
      <c r="B7" s="46">
        <v>1</v>
      </c>
      <c r="C7" s="46" t="s">
        <v>89</v>
      </c>
      <c r="D7" s="46">
        <v>100</v>
      </c>
      <c r="E7" s="46" t="s">
        <v>90</v>
      </c>
      <c r="F7" s="46" t="s">
        <v>90</v>
      </c>
      <c r="G7" s="46">
        <v>1</v>
      </c>
      <c r="H7" s="46" t="s">
        <v>90</v>
      </c>
      <c r="I7" s="46" t="s">
        <v>90</v>
      </c>
      <c r="J7" s="47">
        <f t="shared" si="1"/>
        <v>100</v>
      </c>
    </row>
    <row r="8" spans="1:11" ht="21" customHeight="1" x14ac:dyDescent="0.15">
      <c r="A8" s="46">
        <v>48009106</v>
      </c>
      <c r="B8" s="46">
        <v>0</v>
      </c>
      <c r="C8" s="46" t="s">
        <v>89</v>
      </c>
      <c r="D8" s="46">
        <v>40</v>
      </c>
      <c r="E8" s="46" t="s">
        <v>90</v>
      </c>
      <c r="F8" s="46" t="s">
        <v>90</v>
      </c>
      <c r="G8" s="46" t="s">
        <v>90</v>
      </c>
      <c r="H8" s="46" t="s">
        <v>90</v>
      </c>
      <c r="I8" s="46" t="s">
        <v>90</v>
      </c>
      <c r="J8" s="47">
        <f t="shared" si="1"/>
        <v>40</v>
      </c>
    </row>
    <row r="9" spans="1:11" ht="21" customHeight="1" x14ac:dyDescent="0.15">
      <c r="A9" s="46">
        <v>48009107</v>
      </c>
      <c r="B9" s="46">
        <v>0</v>
      </c>
      <c r="C9" s="46" t="s">
        <v>89</v>
      </c>
      <c r="D9" s="46">
        <v>100</v>
      </c>
      <c r="E9" s="46" t="s">
        <v>90</v>
      </c>
      <c r="F9" s="46" t="s">
        <v>90</v>
      </c>
      <c r="G9" s="46" t="s">
        <v>90</v>
      </c>
      <c r="H9" s="46" t="s">
        <v>90</v>
      </c>
      <c r="I9" s="46" t="s">
        <v>90</v>
      </c>
      <c r="J9" s="47">
        <f t="shared" si="1"/>
        <v>100</v>
      </c>
    </row>
    <row r="10" spans="1:11" ht="21" customHeight="1" x14ac:dyDescent="0.15">
      <c r="A10" s="46">
        <v>48009108</v>
      </c>
      <c r="B10" s="46">
        <v>0</v>
      </c>
      <c r="C10" s="46" t="s">
        <v>89</v>
      </c>
      <c r="D10" s="46">
        <v>100</v>
      </c>
      <c r="E10" s="46" t="s">
        <v>90</v>
      </c>
      <c r="F10" s="46" t="s">
        <v>90</v>
      </c>
      <c r="G10" s="46" t="s">
        <v>90</v>
      </c>
      <c r="H10" s="46" t="s">
        <v>90</v>
      </c>
      <c r="I10" s="46" t="s">
        <v>90</v>
      </c>
      <c r="J10" s="47">
        <f t="shared" si="1"/>
        <v>100</v>
      </c>
    </row>
    <row r="11" spans="1:11" ht="21" customHeight="1" x14ac:dyDescent="0.15">
      <c r="A11" s="46">
        <v>48009109</v>
      </c>
      <c r="B11" s="46">
        <v>0</v>
      </c>
      <c r="C11" s="46" t="s">
        <v>89</v>
      </c>
      <c r="D11" s="46">
        <v>100</v>
      </c>
      <c r="E11" s="46" t="s">
        <v>90</v>
      </c>
      <c r="F11" s="46" t="s">
        <v>90</v>
      </c>
      <c r="G11" s="46" t="s">
        <v>90</v>
      </c>
      <c r="H11" s="46" t="s">
        <v>90</v>
      </c>
      <c r="I11" s="46" t="s">
        <v>90</v>
      </c>
      <c r="J11" s="47">
        <f t="shared" si="1"/>
        <v>100</v>
      </c>
    </row>
    <row r="12" spans="1:11" ht="21" customHeight="1" x14ac:dyDescent="0.15">
      <c r="A12" s="46">
        <v>48009110</v>
      </c>
      <c r="B12" s="46">
        <v>1</v>
      </c>
      <c r="C12" s="46" t="s">
        <v>89</v>
      </c>
      <c r="D12" s="46">
        <v>100</v>
      </c>
      <c r="E12" s="46" t="s">
        <v>90</v>
      </c>
      <c r="F12" s="46" t="s">
        <v>90</v>
      </c>
      <c r="G12" s="46">
        <v>1</v>
      </c>
      <c r="H12" s="46" t="s">
        <v>90</v>
      </c>
      <c r="I12" s="46" t="s">
        <v>90</v>
      </c>
      <c r="J12" s="47">
        <f t="shared" si="1"/>
        <v>100</v>
      </c>
    </row>
    <row r="13" spans="1:11" ht="21" customHeight="1" x14ac:dyDescent="0.15">
      <c r="A13" s="46">
        <v>48009111</v>
      </c>
      <c r="B13" s="46">
        <v>0</v>
      </c>
      <c r="C13" s="46" t="s">
        <v>89</v>
      </c>
      <c r="D13" s="46">
        <v>30</v>
      </c>
      <c r="E13" s="46" t="s">
        <v>90</v>
      </c>
      <c r="F13" s="46" t="s">
        <v>90</v>
      </c>
      <c r="G13" s="46" t="s">
        <v>90</v>
      </c>
      <c r="H13" s="46" t="s">
        <v>90</v>
      </c>
      <c r="I13" s="46" t="s">
        <v>90</v>
      </c>
      <c r="J13" s="47">
        <f t="shared" si="1"/>
        <v>30</v>
      </c>
    </row>
    <row r="14" spans="1:11" ht="21" customHeight="1" x14ac:dyDescent="0.15">
      <c r="A14" s="46">
        <v>48009112</v>
      </c>
      <c r="B14" s="46">
        <v>0</v>
      </c>
      <c r="C14" s="46" t="s">
        <v>89</v>
      </c>
      <c r="D14" s="46">
        <v>30</v>
      </c>
      <c r="E14" s="46" t="s">
        <v>90</v>
      </c>
      <c r="F14" s="46" t="s">
        <v>90</v>
      </c>
      <c r="G14" s="46" t="s">
        <v>90</v>
      </c>
      <c r="H14" s="46" t="s">
        <v>90</v>
      </c>
      <c r="I14" s="46" t="s">
        <v>90</v>
      </c>
      <c r="J14" s="47">
        <f t="shared" si="1"/>
        <v>30</v>
      </c>
    </row>
    <row r="15" spans="1:11" ht="21" customHeight="1" x14ac:dyDescent="0.15">
      <c r="A15" s="46">
        <v>48009113</v>
      </c>
      <c r="B15" s="46">
        <v>0</v>
      </c>
      <c r="C15" s="46" t="s">
        <v>89</v>
      </c>
      <c r="D15" s="46">
        <v>100</v>
      </c>
      <c r="E15" s="46" t="s">
        <v>90</v>
      </c>
      <c r="F15" s="46" t="s">
        <v>90</v>
      </c>
      <c r="G15" s="46" t="s">
        <v>90</v>
      </c>
      <c r="H15" s="46" t="s">
        <v>90</v>
      </c>
      <c r="I15" s="46" t="s">
        <v>90</v>
      </c>
      <c r="J15" s="47">
        <f t="shared" si="1"/>
        <v>100</v>
      </c>
    </row>
    <row r="16" spans="1:11" ht="21" customHeight="1" x14ac:dyDescent="0.15">
      <c r="A16" s="46">
        <v>48009114</v>
      </c>
      <c r="B16" s="46">
        <v>0</v>
      </c>
      <c r="C16" s="46" t="s">
        <v>89</v>
      </c>
      <c r="D16" s="46">
        <v>100</v>
      </c>
      <c r="E16" s="46" t="s">
        <v>90</v>
      </c>
      <c r="F16" s="46" t="s">
        <v>90</v>
      </c>
      <c r="G16" s="46" t="s">
        <v>90</v>
      </c>
      <c r="H16" s="46" t="s">
        <v>90</v>
      </c>
      <c r="I16" s="46" t="s">
        <v>90</v>
      </c>
      <c r="J16" s="47">
        <f t="shared" si="1"/>
        <v>100</v>
      </c>
    </row>
    <row r="17" spans="1:10" ht="21" customHeight="1" x14ac:dyDescent="0.15">
      <c r="A17" s="46">
        <v>48009115</v>
      </c>
      <c r="B17" s="46">
        <v>1</v>
      </c>
      <c r="C17" s="46" t="s">
        <v>89</v>
      </c>
      <c r="D17" s="46">
        <v>100</v>
      </c>
      <c r="E17" s="46" t="s">
        <v>90</v>
      </c>
      <c r="F17" s="46" t="s">
        <v>90</v>
      </c>
      <c r="G17" s="46">
        <v>1</v>
      </c>
      <c r="H17" s="46" t="s">
        <v>90</v>
      </c>
      <c r="I17" s="46" t="s">
        <v>90</v>
      </c>
      <c r="J17" s="47">
        <f t="shared" si="1"/>
        <v>100</v>
      </c>
    </row>
    <row r="18" spans="1:10" ht="21" customHeight="1" x14ac:dyDescent="0.15">
      <c r="A18" s="46">
        <v>48009116</v>
      </c>
      <c r="B18" s="46">
        <v>0</v>
      </c>
      <c r="C18" s="46" t="s">
        <v>89</v>
      </c>
      <c r="D18" s="46">
        <v>30</v>
      </c>
      <c r="E18" s="46" t="s">
        <v>90</v>
      </c>
      <c r="F18" s="46" t="s">
        <v>90</v>
      </c>
      <c r="G18" s="46" t="s">
        <v>90</v>
      </c>
      <c r="H18" s="46" t="s">
        <v>90</v>
      </c>
      <c r="I18" s="46" t="s">
        <v>90</v>
      </c>
      <c r="J18" s="47">
        <f t="shared" si="1"/>
        <v>30</v>
      </c>
    </row>
    <row r="19" spans="1:10" ht="21" customHeight="1" x14ac:dyDescent="0.15">
      <c r="A19" s="46">
        <v>48009117</v>
      </c>
      <c r="B19" s="46">
        <v>0</v>
      </c>
      <c r="C19" s="46" t="s">
        <v>89</v>
      </c>
      <c r="D19" s="46">
        <v>30</v>
      </c>
      <c r="E19" s="46" t="s">
        <v>90</v>
      </c>
      <c r="F19" s="46" t="s">
        <v>90</v>
      </c>
      <c r="G19" s="46" t="s">
        <v>90</v>
      </c>
      <c r="H19" s="46" t="s">
        <v>90</v>
      </c>
      <c r="I19" s="46" t="s">
        <v>90</v>
      </c>
      <c r="J19" s="47">
        <f t="shared" si="1"/>
        <v>30</v>
      </c>
    </row>
    <row r="20" spans="1:10" ht="21" customHeight="1" x14ac:dyDescent="0.15">
      <c r="A20" s="46">
        <v>48009118</v>
      </c>
      <c r="B20" s="46">
        <v>0</v>
      </c>
      <c r="C20" s="46" t="s">
        <v>89</v>
      </c>
      <c r="D20" s="46">
        <v>100</v>
      </c>
      <c r="E20" s="46" t="s">
        <v>90</v>
      </c>
      <c r="F20" s="46" t="s">
        <v>90</v>
      </c>
      <c r="G20" s="46" t="s">
        <v>90</v>
      </c>
      <c r="H20" s="46" t="s">
        <v>90</v>
      </c>
      <c r="I20" s="46" t="s">
        <v>90</v>
      </c>
      <c r="J20" s="47">
        <f t="shared" si="1"/>
        <v>100</v>
      </c>
    </row>
    <row r="21" spans="1:10" ht="21" customHeight="1" x14ac:dyDescent="0.15">
      <c r="A21" s="46">
        <v>48009119</v>
      </c>
      <c r="B21" s="46">
        <v>0</v>
      </c>
      <c r="C21" s="46" t="s">
        <v>89</v>
      </c>
      <c r="D21" s="46">
        <v>100</v>
      </c>
      <c r="E21" s="46" t="s">
        <v>90</v>
      </c>
      <c r="F21" s="46" t="s">
        <v>90</v>
      </c>
      <c r="G21" s="46" t="s">
        <v>90</v>
      </c>
      <c r="H21" s="46" t="s">
        <v>90</v>
      </c>
      <c r="I21" s="46" t="s">
        <v>90</v>
      </c>
      <c r="J21" s="47">
        <f t="shared" si="1"/>
        <v>100</v>
      </c>
    </row>
    <row r="22" spans="1:10" ht="21" customHeight="1" x14ac:dyDescent="0.15">
      <c r="A22" s="46">
        <v>48009120</v>
      </c>
      <c r="B22" s="46">
        <v>0</v>
      </c>
      <c r="C22" s="46" t="s">
        <v>89</v>
      </c>
      <c r="D22" s="46">
        <v>40</v>
      </c>
      <c r="E22" s="46" t="s">
        <v>90</v>
      </c>
      <c r="F22" s="46" t="s">
        <v>90</v>
      </c>
      <c r="G22" s="46" t="s">
        <v>90</v>
      </c>
      <c r="H22" s="46" t="s">
        <v>90</v>
      </c>
      <c r="I22" s="46" t="s">
        <v>90</v>
      </c>
      <c r="J22" s="47">
        <f t="shared" si="1"/>
        <v>40</v>
      </c>
    </row>
    <row r="23" spans="1:10" ht="21" customHeight="1" x14ac:dyDescent="0.15">
      <c r="A23" s="46">
        <v>48009121</v>
      </c>
      <c r="B23" s="46">
        <v>0</v>
      </c>
      <c r="C23" s="46">
        <v>100</v>
      </c>
      <c r="D23" s="46">
        <v>100</v>
      </c>
      <c r="E23" s="46" t="s">
        <v>90</v>
      </c>
      <c r="F23" s="46" t="s">
        <v>90</v>
      </c>
      <c r="G23" s="46">
        <v>1</v>
      </c>
      <c r="H23" s="46">
        <v>2</v>
      </c>
      <c r="I23" s="46" t="s">
        <v>90</v>
      </c>
      <c r="J23" s="47">
        <f t="shared" si="1"/>
        <v>100</v>
      </c>
    </row>
    <row r="24" spans="1:10" ht="21" customHeight="1" x14ac:dyDescent="0.15">
      <c r="A24" s="46">
        <v>48009122</v>
      </c>
      <c r="B24" s="46">
        <v>0</v>
      </c>
      <c r="C24" s="46" t="s">
        <v>89</v>
      </c>
      <c r="D24" s="46">
        <v>100</v>
      </c>
      <c r="E24" s="46" t="s">
        <v>90</v>
      </c>
      <c r="F24" s="46" t="s">
        <v>90</v>
      </c>
      <c r="G24" s="46" t="s">
        <v>90</v>
      </c>
      <c r="H24" s="46" t="s">
        <v>90</v>
      </c>
      <c r="I24" s="46" t="s">
        <v>90</v>
      </c>
      <c r="J24" s="47">
        <f t="shared" si="1"/>
        <v>100</v>
      </c>
    </row>
    <row r="25" spans="1:10" ht="21" customHeight="1" x14ac:dyDescent="0.15">
      <c r="A25" s="46">
        <v>48009123</v>
      </c>
      <c r="B25" s="46">
        <v>0</v>
      </c>
      <c r="C25" s="46" t="s">
        <v>89</v>
      </c>
      <c r="D25" s="46">
        <v>100</v>
      </c>
      <c r="E25" s="46" t="s">
        <v>90</v>
      </c>
      <c r="F25" s="46" t="s">
        <v>90</v>
      </c>
      <c r="G25" s="46" t="s">
        <v>90</v>
      </c>
      <c r="H25" s="46" t="s">
        <v>90</v>
      </c>
      <c r="I25" s="46" t="s">
        <v>90</v>
      </c>
      <c r="J25" s="47">
        <f t="shared" si="1"/>
        <v>100</v>
      </c>
    </row>
    <row r="26" spans="1:10" ht="21" customHeight="1" x14ac:dyDescent="0.15">
      <c r="A26" s="46">
        <v>48009124</v>
      </c>
      <c r="B26" s="46">
        <v>0</v>
      </c>
      <c r="C26" s="46" t="s">
        <v>89</v>
      </c>
      <c r="D26" s="46">
        <v>100</v>
      </c>
      <c r="E26" s="46" t="s">
        <v>90</v>
      </c>
      <c r="F26" s="46" t="s">
        <v>90</v>
      </c>
      <c r="G26" s="46" t="s">
        <v>90</v>
      </c>
      <c r="H26" s="46" t="s">
        <v>90</v>
      </c>
      <c r="I26" s="46" t="s">
        <v>90</v>
      </c>
      <c r="J26" s="47">
        <f t="shared" si="1"/>
        <v>100</v>
      </c>
    </row>
    <row r="27" spans="1:10" ht="21" customHeight="1" x14ac:dyDescent="0.15">
      <c r="A27" s="46">
        <v>48009125</v>
      </c>
      <c r="B27" s="46">
        <v>0</v>
      </c>
      <c r="C27" s="46" t="s">
        <v>89</v>
      </c>
      <c r="D27" s="46">
        <v>40</v>
      </c>
      <c r="E27" s="46" t="s">
        <v>90</v>
      </c>
      <c r="F27" s="46" t="s">
        <v>90</v>
      </c>
      <c r="G27" s="46" t="s">
        <v>90</v>
      </c>
      <c r="H27" s="46" t="s">
        <v>90</v>
      </c>
      <c r="I27" s="46" t="s">
        <v>90</v>
      </c>
      <c r="J27" s="47">
        <f t="shared" si="1"/>
        <v>40</v>
      </c>
    </row>
    <row r="28" spans="1:10" ht="21" customHeight="1" x14ac:dyDescent="0.15">
      <c r="A28" s="46">
        <v>48009126</v>
      </c>
      <c r="B28" s="46">
        <v>0</v>
      </c>
      <c r="C28" s="46" t="s">
        <v>89</v>
      </c>
      <c r="D28" s="46">
        <v>30</v>
      </c>
      <c r="E28" s="46" t="s">
        <v>90</v>
      </c>
      <c r="F28" s="46" t="s">
        <v>90</v>
      </c>
      <c r="G28" s="46" t="s">
        <v>90</v>
      </c>
      <c r="H28" s="46" t="s">
        <v>90</v>
      </c>
      <c r="I28" s="46" t="s">
        <v>90</v>
      </c>
      <c r="J28" s="47">
        <f t="shared" si="1"/>
        <v>30</v>
      </c>
    </row>
    <row r="29" spans="1:10" ht="21" customHeight="1" x14ac:dyDescent="0.15">
      <c r="A29" s="46">
        <v>48009127</v>
      </c>
      <c r="B29" s="46">
        <v>0</v>
      </c>
      <c r="C29" s="46" t="s">
        <v>89</v>
      </c>
      <c r="D29" s="46">
        <v>100</v>
      </c>
      <c r="E29" s="46" t="s">
        <v>90</v>
      </c>
      <c r="F29" s="46" t="s">
        <v>90</v>
      </c>
      <c r="G29" s="46" t="s">
        <v>90</v>
      </c>
      <c r="H29" s="46" t="s">
        <v>90</v>
      </c>
      <c r="I29" s="46" t="s">
        <v>90</v>
      </c>
      <c r="J29" s="47">
        <f t="shared" si="1"/>
        <v>100</v>
      </c>
    </row>
    <row r="30" spans="1:10" ht="21" customHeight="1" x14ac:dyDescent="0.15">
      <c r="A30" s="46">
        <v>48009128</v>
      </c>
      <c r="B30" s="46">
        <v>0</v>
      </c>
      <c r="C30" s="46" t="s">
        <v>89</v>
      </c>
      <c r="D30" s="46">
        <v>100</v>
      </c>
      <c r="E30" s="46" t="s">
        <v>90</v>
      </c>
      <c r="F30" s="46" t="s">
        <v>90</v>
      </c>
      <c r="G30" s="46" t="s">
        <v>90</v>
      </c>
      <c r="H30" s="46" t="s">
        <v>90</v>
      </c>
      <c r="I30" s="46" t="s">
        <v>90</v>
      </c>
      <c r="J30" s="47">
        <f t="shared" si="1"/>
        <v>100</v>
      </c>
    </row>
    <row r="31" spans="1:10" ht="21" customHeight="1" x14ac:dyDescent="0.15">
      <c r="A31" s="46">
        <v>48009129</v>
      </c>
      <c r="B31" s="46">
        <v>0</v>
      </c>
      <c r="C31" s="46" t="s">
        <v>89</v>
      </c>
      <c r="D31" s="46">
        <v>100</v>
      </c>
      <c r="E31" s="46" t="s">
        <v>90</v>
      </c>
      <c r="F31" s="46" t="s">
        <v>90</v>
      </c>
      <c r="G31" s="46" t="s">
        <v>90</v>
      </c>
      <c r="H31" s="46" t="s">
        <v>90</v>
      </c>
      <c r="I31" s="46" t="s">
        <v>90</v>
      </c>
      <c r="J31" s="47">
        <f t="shared" si="1"/>
        <v>100</v>
      </c>
    </row>
    <row r="32" spans="1:10" ht="21" customHeight="1" x14ac:dyDescent="0.15">
      <c r="A32" s="46">
        <v>48009130</v>
      </c>
      <c r="B32" s="46">
        <v>1</v>
      </c>
      <c r="C32" s="46">
        <v>100</v>
      </c>
      <c r="D32" s="46">
        <v>100</v>
      </c>
      <c r="E32" s="46" t="s">
        <v>90</v>
      </c>
      <c r="F32" s="46" t="s">
        <v>90</v>
      </c>
      <c r="G32" s="46">
        <v>1</v>
      </c>
      <c r="H32" s="46" t="s">
        <v>90</v>
      </c>
      <c r="I32" s="46">
        <v>8039</v>
      </c>
      <c r="J32" s="47">
        <f t="shared" si="1"/>
        <v>100</v>
      </c>
    </row>
    <row r="33" spans="1:10" ht="21" customHeight="1" x14ac:dyDescent="0.15">
      <c r="A33" s="46">
        <v>48009131</v>
      </c>
      <c r="B33" s="46">
        <v>1</v>
      </c>
      <c r="C33" s="46">
        <v>90</v>
      </c>
      <c r="D33" s="46">
        <v>100</v>
      </c>
      <c r="E33" s="46" t="s">
        <v>90</v>
      </c>
      <c r="F33" s="46" t="s">
        <v>90</v>
      </c>
      <c r="G33" s="46">
        <v>1</v>
      </c>
      <c r="H33" s="46" t="s">
        <v>90</v>
      </c>
      <c r="I33" s="46" t="s">
        <v>90</v>
      </c>
      <c r="J33" s="47">
        <f t="shared" si="1"/>
        <v>100</v>
      </c>
    </row>
    <row r="34" spans="1:10" ht="21" customHeight="1" x14ac:dyDescent="0.15">
      <c r="A34" s="46">
        <v>48009132</v>
      </c>
      <c r="B34" s="46">
        <v>0</v>
      </c>
      <c r="C34" s="46" t="s">
        <v>89</v>
      </c>
      <c r="D34" s="46">
        <v>40</v>
      </c>
      <c r="E34" s="46" t="s">
        <v>90</v>
      </c>
      <c r="F34" s="46" t="s">
        <v>90</v>
      </c>
      <c r="G34" s="46" t="s">
        <v>90</v>
      </c>
      <c r="H34" s="46" t="s">
        <v>90</v>
      </c>
      <c r="I34" s="46" t="s">
        <v>90</v>
      </c>
      <c r="J34" s="47">
        <f t="shared" si="1"/>
        <v>40</v>
      </c>
    </row>
    <row r="35" spans="1:10" ht="21" customHeight="1" x14ac:dyDescent="0.15">
      <c r="A35" s="46">
        <v>48009133</v>
      </c>
      <c r="B35" s="46">
        <v>0</v>
      </c>
      <c r="C35" s="46" t="s">
        <v>89</v>
      </c>
      <c r="D35" s="46">
        <v>100</v>
      </c>
      <c r="E35" s="46" t="s">
        <v>90</v>
      </c>
      <c r="F35" s="46" t="s">
        <v>90</v>
      </c>
      <c r="G35" s="46" t="s">
        <v>90</v>
      </c>
      <c r="H35" s="46">
        <v>4</v>
      </c>
      <c r="I35" s="46" t="s">
        <v>90</v>
      </c>
      <c r="J35" s="47">
        <f t="shared" si="1"/>
        <v>100</v>
      </c>
    </row>
    <row r="36" spans="1:10" ht="21" customHeight="1" x14ac:dyDescent="0.15">
      <c r="A36" s="46">
        <v>48009134</v>
      </c>
      <c r="B36" s="46">
        <v>0</v>
      </c>
      <c r="C36" s="46" t="s">
        <v>89</v>
      </c>
      <c r="D36" s="46">
        <v>100</v>
      </c>
      <c r="E36" s="46" t="s">
        <v>90</v>
      </c>
      <c r="F36" s="46" t="s">
        <v>90</v>
      </c>
      <c r="G36" s="46" t="s">
        <v>90</v>
      </c>
      <c r="H36" s="46" t="s">
        <v>90</v>
      </c>
      <c r="I36" s="46" t="s">
        <v>90</v>
      </c>
      <c r="J36" s="47">
        <f t="shared" si="1"/>
        <v>100</v>
      </c>
    </row>
    <row r="37" spans="1:10" ht="21" customHeight="1" x14ac:dyDescent="0.15">
      <c r="A37" s="46">
        <v>48009135</v>
      </c>
      <c r="B37" s="46">
        <v>0</v>
      </c>
      <c r="C37" s="46" t="s">
        <v>89</v>
      </c>
      <c r="D37" s="46">
        <v>100</v>
      </c>
      <c r="E37" s="46" t="s">
        <v>90</v>
      </c>
      <c r="F37" s="46" t="s">
        <v>90</v>
      </c>
      <c r="G37" s="46" t="s">
        <v>90</v>
      </c>
      <c r="H37" s="46" t="s">
        <v>90</v>
      </c>
      <c r="I37" s="46" t="s">
        <v>90</v>
      </c>
      <c r="J37" s="47">
        <f t="shared" si="1"/>
        <v>100</v>
      </c>
    </row>
    <row r="38" spans="1:10" ht="21" customHeight="1" x14ac:dyDescent="0.15">
      <c r="A38" s="46">
        <v>48009136</v>
      </c>
      <c r="B38" s="46">
        <v>0</v>
      </c>
      <c r="C38" s="46" t="s">
        <v>89</v>
      </c>
      <c r="D38" s="46">
        <v>100</v>
      </c>
      <c r="E38" s="46" t="s">
        <v>90</v>
      </c>
      <c r="F38" s="46" t="s">
        <v>90</v>
      </c>
      <c r="G38" s="46" t="s">
        <v>90</v>
      </c>
      <c r="H38" s="46" t="s">
        <v>90</v>
      </c>
      <c r="I38" s="46" t="s">
        <v>90</v>
      </c>
      <c r="J38" s="47">
        <f t="shared" si="1"/>
        <v>100</v>
      </c>
    </row>
    <row r="39" spans="1:10" ht="21" customHeight="1" x14ac:dyDescent="0.15">
      <c r="A39" s="46">
        <v>48009137</v>
      </c>
      <c r="B39" s="46">
        <v>0</v>
      </c>
      <c r="C39" s="46" t="s">
        <v>89</v>
      </c>
      <c r="D39" s="46">
        <v>100</v>
      </c>
      <c r="E39" s="46" t="s">
        <v>90</v>
      </c>
      <c r="F39" s="46" t="s">
        <v>90</v>
      </c>
      <c r="G39" s="46" t="s">
        <v>90</v>
      </c>
      <c r="H39" s="46" t="s">
        <v>90</v>
      </c>
      <c r="I39" s="46" t="s">
        <v>90</v>
      </c>
      <c r="J39" s="47">
        <f t="shared" si="1"/>
        <v>100</v>
      </c>
    </row>
    <row r="40" spans="1:10" ht="21" customHeight="1" x14ac:dyDescent="0.15">
      <c r="A40" s="46">
        <v>48009138</v>
      </c>
      <c r="B40" s="46">
        <v>0</v>
      </c>
      <c r="C40" s="46" t="s">
        <v>89</v>
      </c>
      <c r="D40" s="46">
        <v>100</v>
      </c>
      <c r="E40" s="46" t="s">
        <v>90</v>
      </c>
      <c r="F40" s="46" t="s">
        <v>90</v>
      </c>
      <c r="G40" s="46" t="s">
        <v>90</v>
      </c>
      <c r="H40" s="46" t="s">
        <v>90</v>
      </c>
      <c r="I40" s="46" t="s">
        <v>90</v>
      </c>
      <c r="J40" s="47">
        <f t="shared" si="1"/>
        <v>100</v>
      </c>
    </row>
    <row r="41" spans="1:10" ht="21" customHeight="1" x14ac:dyDescent="0.15">
      <c r="A41" s="46">
        <v>48009139</v>
      </c>
      <c r="B41" s="46">
        <v>0</v>
      </c>
      <c r="C41" s="46" t="s">
        <v>89</v>
      </c>
      <c r="D41" s="46">
        <v>100</v>
      </c>
      <c r="E41" s="46" t="s">
        <v>90</v>
      </c>
      <c r="F41" s="46" t="s">
        <v>90</v>
      </c>
      <c r="G41" s="46" t="s">
        <v>90</v>
      </c>
      <c r="H41" s="46" t="s">
        <v>90</v>
      </c>
      <c r="I41" s="46" t="s">
        <v>90</v>
      </c>
      <c r="J41" s="47">
        <f t="shared" si="1"/>
        <v>100</v>
      </c>
    </row>
    <row r="42" spans="1:10" ht="21" customHeight="1" x14ac:dyDescent="0.15">
      <c r="A42" s="46">
        <v>48009140</v>
      </c>
      <c r="B42" s="46">
        <v>1</v>
      </c>
      <c r="C42" s="46" t="s">
        <v>89</v>
      </c>
      <c r="D42" s="46">
        <v>100</v>
      </c>
      <c r="E42" s="46" t="s">
        <v>90</v>
      </c>
      <c r="F42" s="46" t="s">
        <v>90</v>
      </c>
      <c r="G42" s="46">
        <v>1</v>
      </c>
      <c r="H42" s="46" t="s">
        <v>90</v>
      </c>
      <c r="I42" s="46" t="s">
        <v>90</v>
      </c>
      <c r="J42" s="47">
        <f t="shared" si="1"/>
        <v>100</v>
      </c>
    </row>
    <row r="43" spans="1:10" ht="21" customHeight="1" x14ac:dyDescent="0.15">
      <c r="A43" s="46">
        <v>48009141</v>
      </c>
      <c r="B43" s="46">
        <v>0</v>
      </c>
      <c r="C43" s="46" t="s">
        <v>89</v>
      </c>
      <c r="D43" s="46">
        <v>40</v>
      </c>
      <c r="E43" s="46" t="s">
        <v>90</v>
      </c>
      <c r="F43" s="46" t="s">
        <v>90</v>
      </c>
      <c r="G43" s="46" t="s">
        <v>90</v>
      </c>
      <c r="H43" s="46" t="s">
        <v>90</v>
      </c>
      <c r="I43" s="46" t="s">
        <v>90</v>
      </c>
      <c r="J43" s="47">
        <f t="shared" si="1"/>
        <v>40</v>
      </c>
    </row>
    <row r="44" spans="1:10" ht="21" customHeight="1" x14ac:dyDescent="0.15">
      <c r="A44" s="46">
        <v>48009142</v>
      </c>
      <c r="B44" s="46">
        <v>0</v>
      </c>
      <c r="C44" s="46" t="s">
        <v>89</v>
      </c>
      <c r="D44" s="46">
        <v>100</v>
      </c>
      <c r="E44" s="46" t="s">
        <v>90</v>
      </c>
      <c r="F44" s="46" t="s">
        <v>90</v>
      </c>
      <c r="G44" s="46" t="s">
        <v>90</v>
      </c>
      <c r="H44" s="46">
        <v>4</v>
      </c>
      <c r="I44" s="46" t="s">
        <v>90</v>
      </c>
      <c r="J44" s="47">
        <f t="shared" si="1"/>
        <v>100</v>
      </c>
    </row>
    <row r="45" spans="1:10" ht="21" customHeight="1" x14ac:dyDescent="0.15">
      <c r="A45" s="46">
        <v>48009143</v>
      </c>
      <c r="B45" s="46">
        <v>0</v>
      </c>
      <c r="C45" s="46" t="s">
        <v>89</v>
      </c>
      <c r="D45" s="46">
        <v>50</v>
      </c>
      <c r="E45" s="46">
        <v>50</v>
      </c>
      <c r="F45" s="46" t="s">
        <v>90</v>
      </c>
      <c r="G45" s="46">
        <v>2</v>
      </c>
      <c r="H45" s="46" t="s">
        <v>90</v>
      </c>
      <c r="I45" s="46" t="s">
        <v>90</v>
      </c>
      <c r="J45" s="47">
        <f t="shared" si="1"/>
        <v>50</v>
      </c>
    </row>
    <row r="46" spans="1:10" ht="21" customHeight="1" x14ac:dyDescent="0.15">
      <c r="A46" s="46">
        <v>48009144</v>
      </c>
      <c r="B46" s="46">
        <v>0</v>
      </c>
      <c r="C46" s="46" t="s">
        <v>89</v>
      </c>
      <c r="D46" s="46">
        <v>100</v>
      </c>
      <c r="E46" s="46" t="s">
        <v>90</v>
      </c>
      <c r="F46" s="46" t="s">
        <v>90</v>
      </c>
      <c r="G46" s="46" t="s">
        <v>90</v>
      </c>
      <c r="H46" s="46" t="s">
        <v>90</v>
      </c>
      <c r="I46" s="46" t="s">
        <v>90</v>
      </c>
      <c r="J46" s="47">
        <f t="shared" si="1"/>
        <v>100</v>
      </c>
    </row>
    <row r="47" spans="1:10" ht="21" customHeight="1" x14ac:dyDescent="0.15">
      <c r="A47" s="46">
        <v>48009145</v>
      </c>
      <c r="B47" s="46">
        <v>0</v>
      </c>
      <c r="C47" s="46" t="s">
        <v>89</v>
      </c>
      <c r="D47" s="46">
        <v>100</v>
      </c>
      <c r="E47" s="46" t="s">
        <v>90</v>
      </c>
      <c r="F47" s="46" t="s">
        <v>90</v>
      </c>
      <c r="G47" s="46" t="s">
        <v>90</v>
      </c>
      <c r="H47" s="46" t="s">
        <v>90</v>
      </c>
      <c r="I47" s="46" t="s">
        <v>90</v>
      </c>
      <c r="J47" s="47">
        <f t="shared" si="1"/>
        <v>100</v>
      </c>
    </row>
    <row r="48" spans="1:10" ht="21" customHeight="1" x14ac:dyDescent="0.15">
      <c r="A48" s="46">
        <v>48009146</v>
      </c>
      <c r="B48" s="46">
        <v>0</v>
      </c>
      <c r="C48" s="46" t="s">
        <v>89</v>
      </c>
      <c r="D48" s="46">
        <v>100</v>
      </c>
      <c r="E48" s="46" t="s">
        <v>90</v>
      </c>
      <c r="F48" s="46" t="s">
        <v>90</v>
      </c>
      <c r="G48" s="46" t="s">
        <v>90</v>
      </c>
      <c r="H48" s="46" t="s">
        <v>90</v>
      </c>
      <c r="I48" s="46" t="s">
        <v>90</v>
      </c>
      <c r="J48" s="47">
        <f t="shared" si="1"/>
        <v>100</v>
      </c>
    </row>
    <row r="49" spans="1:10" ht="21" customHeight="1" x14ac:dyDescent="0.15">
      <c r="A49" s="46">
        <v>48009147</v>
      </c>
      <c r="B49" s="46">
        <v>0</v>
      </c>
      <c r="C49" s="46" t="s">
        <v>89</v>
      </c>
      <c r="D49" s="46">
        <v>100</v>
      </c>
      <c r="E49" s="46" t="s">
        <v>90</v>
      </c>
      <c r="F49" s="46" t="s">
        <v>90</v>
      </c>
      <c r="G49" s="46" t="s">
        <v>90</v>
      </c>
      <c r="H49" s="46" t="s">
        <v>90</v>
      </c>
      <c r="I49" s="46" t="s">
        <v>90</v>
      </c>
      <c r="J49" s="47">
        <f t="shared" si="1"/>
        <v>100</v>
      </c>
    </row>
    <row r="50" spans="1:10" ht="21" customHeight="1" x14ac:dyDescent="0.15">
      <c r="A50" s="46">
        <v>48009148</v>
      </c>
      <c r="B50" s="46">
        <v>0</v>
      </c>
      <c r="C50" s="46" t="s">
        <v>89</v>
      </c>
      <c r="D50" s="46">
        <v>100</v>
      </c>
      <c r="E50" s="46" t="s">
        <v>90</v>
      </c>
      <c r="F50" s="46" t="s">
        <v>90</v>
      </c>
      <c r="G50" s="46" t="s">
        <v>90</v>
      </c>
      <c r="H50" s="46" t="s">
        <v>90</v>
      </c>
      <c r="I50" s="46" t="s">
        <v>90</v>
      </c>
      <c r="J50" s="47">
        <f t="shared" si="1"/>
        <v>100</v>
      </c>
    </row>
    <row r="51" spans="1:10" ht="21" customHeight="1" x14ac:dyDescent="0.15">
      <c r="A51" s="46">
        <v>48009149</v>
      </c>
      <c r="B51" s="46">
        <v>0</v>
      </c>
      <c r="C51" s="46" t="s">
        <v>89</v>
      </c>
      <c r="D51" s="46">
        <v>100</v>
      </c>
      <c r="E51" s="46" t="s">
        <v>90</v>
      </c>
      <c r="F51" s="46" t="s">
        <v>90</v>
      </c>
      <c r="G51" s="46" t="s">
        <v>90</v>
      </c>
      <c r="H51" s="46" t="s">
        <v>90</v>
      </c>
      <c r="I51" s="46" t="s">
        <v>90</v>
      </c>
      <c r="J51" s="47">
        <f t="shared" si="1"/>
        <v>100</v>
      </c>
    </row>
    <row r="52" spans="1:10" ht="21" customHeight="1" x14ac:dyDescent="0.15">
      <c r="A52" s="46">
        <v>48009150</v>
      </c>
      <c r="B52" s="46">
        <v>1</v>
      </c>
      <c r="C52" s="46" t="s">
        <v>89</v>
      </c>
      <c r="D52" s="46">
        <v>100</v>
      </c>
      <c r="E52" s="46" t="s">
        <v>90</v>
      </c>
      <c r="F52" s="46" t="s">
        <v>90</v>
      </c>
      <c r="G52" s="46">
        <v>1</v>
      </c>
      <c r="H52" s="46" t="s">
        <v>90</v>
      </c>
      <c r="I52" s="46" t="s">
        <v>90</v>
      </c>
      <c r="J52" s="47">
        <f t="shared" si="1"/>
        <v>100</v>
      </c>
    </row>
    <row r="53" spans="1:10" ht="21" customHeight="1" x14ac:dyDescent="0.15">
      <c r="A53" s="46">
        <v>48009151</v>
      </c>
      <c r="B53" s="46">
        <v>0</v>
      </c>
      <c r="C53" s="46" t="s">
        <v>89</v>
      </c>
      <c r="D53" s="46">
        <v>40</v>
      </c>
      <c r="E53" s="46" t="s">
        <v>90</v>
      </c>
      <c r="F53" s="46" t="s">
        <v>90</v>
      </c>
      <c r="G53" s="46" t="s">
        <v>90</v>
      </c>
      <c r="H53" s="46" t="s">
        <v>90</v>
      </c>
      <c r="I53" s="46" t="s">
        <v>90</v>
      </c>
      <c r="J53" s="47">
        <f t="shared" si="1"/>
        <v>40</v>
      </c>
    </row>
    <row r="54" spans="1:10" ht="21" customHeight="1" x14ac:dyDescent="0.15">
      <c r="A54" s="46">
        <v>48009152</v>
      </c>
      <c r="B54" s="46">
        <v>0</v>
      </c>
      <c r="C54" s="46" t="s">
        <v>89</v>
      </c>
      <c r="D54" s="46">
        <v>100</v>
      </c>
      <c r="E54" s="46" t="s">
        <v>90</v>
      </c>
      <c r="F54" s="46" t="s">
        <v>90</v>
      </c>
      <c r="G54" s="46" t="s">
        <v>90</v>
      </c>
      <c r="H54" s="46">
        <v>4</v>
      </c>
      <c r="I54" s="46" t="s">
        <v>90</v>
      </c>
      <c r="J54" s="47">
        <f t="shared" si="1"/>
        <v>100</v>
      </c>
    </row>
    <row r="55" spans="1:10" ht="21" customHeight="1" x14ac:dyDescent="0.15">
      <c r="A55" s="46">
        <v>48009153</v>
      </c>
      <c r="B55" s="46">
        <v>0</v>
      </c>
      <c r="C55" s="46">
        <v>100</v>
      </c>
      <c r="D55" s="46">
        <v>100</v>
      </c>
      <c r="E55" s="46">
        <v>70</v>
      </c>
      <c r="F55" s="46" t="s">
        <v>90</v>
      </c>
      <c r="G55" s="46">
        <v>1</v>
      </c>
      <c r="H55" s="46" t="s">
        <v>90</v>
      </c>
      <c r="I55" s="46" t="s">
        <v>90</v>
      </c>
      <c r="J55" s="47">
        <f t="shared" si="1"/>
        <v>100</v>
      </c>
    </row>
    <row r="56" spans="1:10" ht="21" customHeight="1" x14ac:dyDescent="0.15">
      <c r="A56" s="46">
        <v>48009154</v>
      </c>
      <c r="B56" s="46">
        <v>0</v>
      </c>
      <c r="C56" s="46">
        <v>90</v>
      </c>
      <c r="D56" s="46">
        <v>100</v>
      </c>
      <c r="E56" s="46">
        <v>40</v>
      </c>
      <c r="F56" s="46" t="s">
        <v>90</v>
      </c>
      <c r="G56" s="46">
        <v>1</v>
      </c>
      <c r="H56" s="46" t="s">
        <v>90</v>
      </c>
      <c r="I56" s="46" t="s">
        <v>90</v>
      </c>
      <c r="J56" s="47">
        <f t="shared" si="1"/>
        <v>100</v>
      </c>
    </row>
    <row r="57" spans="1:10" ht="21" customHeight="1" x14ac:dyDescent="0.15">
      <c r="A57" s="46">
        <v>48009155</v>
      </c>
      <c r="B57" s="46">
        <v>0</v>
      </c>
      <c r="C57" s="46">
        <v>80</v>
      </c>
      <c r="D57" s="46">
        <v>100</v>
      </c>
      <c r="E57" s="46">
        <v>10</v>
      </c>
      <c r="F57" s="46" t="s">
        <v>90</v>
      </c>
      <c r="G57" s="46">
        <v>1</v>
      </c>
      <c r="H57" s="46" t="s">
        <v>90</v>
      </c>
      <c r="I57" s="46" t="s">
        <v>90</v>
      </c>
      <c r="J57" s="47">
        <f t="shared" si="1"/>
        <v>100</v>
      </c>
    </row>
    <row r="58" spans="1:10" ht="21" customHeight="1" x14ac:dyDescent="0.15">
      <c r="A58" s="46">
        <v>48009156</v>
      </c>
      <c r="B58" s="46">
        <v>0</v>
      </c>
      <c r="C58" s="46">
        <v>120</v>
      </c>
      <c r="D58" s="46">
        <v>100</v>
      </c>
      <c r="E58" s="46" t="s">
        <v>90</v>
      </c>
      <c r="F58" s="46" t="s">
        <v>90</v>
      </c>
      <c r="G58" s="46">
        <v>0</v>
      </c>
      <c r="H58" s="46" t="s">
        <v>90</v>
      </c>
      <c r="I58" s="46">
        <v>8039</v>
      </c>
      <c r="J58" s="47">
        <f t="shared" si="1"/>
        <v>100</v>
      </c>
    </row>
    <row r="59" spans="1:10" ht="21" customHeight="1" x14ac:dyDescent="0.15">
      <c r="A59" s="46">
        <v>48009157</v>
      </c>
      <c r="B59" s="46">
        <v>0</v>
      </c>
      <c r="C59" s="46">
        <v>115</v>
      </c>
      <c r="D59" s="46">
        <v>100</v>
      </c>
      <c r="E59" s="46" t="s">
        <v>90</v>
      </c>
      <c r="F59" s="46" t="s">
        <v>90</v>
      </c>
      <c r="G59" s="46">
        <v>0</v>
      </c>
      <c r="H59" s="46" t="s">
        <v>90</v>
      </c>
      <c r="I59" s="46">
        <v>8040</v>
      </c>
      <c r="J59" s="47">
        <f t="shared" si="1"/>
        <v>100</v>
      </c>
    </row>
    <row r="60" spans="1:10" ht="21" customHeight="1" x14ac:dyDescent="0.15">
      <c r="A60" s="46">
        <v>48009158</v>
      </c>
      <c r="B60" s="46">
        <v>0</v>
      </c>
      <c r="C60" s="46">
        <v>110</v>
      </c>
      <c r="D60" s="46">
        <v>100</v>
      </c>
      <c r="E60" s="46" t="s">
        <v>90</v>
      </c>
      <c r="F60" s="46" t="s">
        <v>90</v>
      </c>
      <c r="G60" s="46">
        <v>0</v>
      </c>
      <c r="H60" s="46" t="s">
        <v>90</v>
      </c>
      <c r="I60" s="46">
        <v>0</v>
      </c>
      <c r="J60" s="47">
        <f t="shared" si="1"/>
        <v>100</v>
      </c>
    </row>
    <row r="61" spans="1:10" ht="21" customHeight="1" x14ac:dyDescent="0.15">
      <c r="A61" s="46">
        <v>48009159</v>
      </c>
      <c r="B61" s="46">
        <v>0</v>
      </c>
      <c r="C61" s="46" t="s">
        <v>89</v>
      </c>
      <c r="D61" s="46">
        <v>100</v>
      </c>
      <c r="E61" s="46" t="s">
        <v>90</v>
      </c>
      <c r="F61" s="46" t="s">
        <v>90</v>
      </c>
      <c r="G61" s="46" t="s">
        <v>90</v>
      </c>
      <c r="H61" s="46" t="s">
        <v>90</v>
      </c>
      <c r="I61" s="46" t="s">
        <v>90</v>
      </c>
      <c r="J61" s="47">
        <f t="shared" si="1"/>
        <v>100</v>
      </c>
    </row>
  </sheetData>
  <autoFilter ref="A1:G1"/>
  <phoneticPr fontId="5"/>
  <conditionalFormatting sqref="K1:K2 K62:K1048576">
    <cfRule type="duplicateValues" dxfId="1" priority="3"/>
  </conditionalFormatting>
  <conditionalFormatting sqref="K3:K61">
    <cfRule type="duplicateValues" dxfId="0" priority="6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I21" sqref="I2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176</v>
      </c>
      <c r="B1" s="63" t="s">
        <v>210</v>
      </c>
      <c r="C1" s="64" t="s">
        <v>322</v>
      </c>
      <c r="D1" s="71" t="s">
        <v>152</v>
      </c>
      <c r="E1" s="65" t="s">
        <v>153</v>
      </c>
      <c r="F1" s="63" t="s">
        <v>171</v>
      </c>
      <c r="G1" s="63" t="s">
        <v>232</v>
      </c>
      <c r="H1" s="63" t="s">
        <v>155</v>
      </c>
      <c r="I1" s="63" t="s">
        <v>57</v>
      </c>
      <c r="J1" s="63" t="s">
        <v>174</v>
      </c>
      <c r="K1" s="63" t="s">
        <v>38</v>
      </c>
      <c r="L1" s="63" t="s">
        <v>40</v>
      </c>
      <c r="M1" s="63" t="s">
        <v>42</v>
      </c>
      <c r="N1" s="63" t="s">
        <v>161</v>
      </c>
      <c r="O1" s="63" t="s">
        <v>46</v>
      </c>
      <c r="P1" s="63" t="s">
        <v>241</v>
      </c>
      <c r="Q1" s="63" t="s">
        <v>219</v>
      </c>
      <c r="R1" s="63" t="s">
        <v>243</v>
      </c>
    </row>
    <row r="2" spans="1:18" x14ac:dyDescent="0.15">
      <c r="A2" s="56">
        <v>48009</v>
      </c>
      <c r="B2" s="80">
        <v>2</v>
      </c>
      <c r="C2" s="70" t="str">
        <f t="shared" ref="C2:C18" si="0">A2&amp; "_"&amp;B2</f>
        <v>48009_2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0">
        <v>1</v>
      </c>
      <c r="F2" s="80" t="s">
        <v>324</v>
      </c>
      <c r="G2" s="80">
        <v>342</v>
      </c>
      <c r="H2" s="80">
        <v>1</v>
      </c>
      <c r="I2" s="80">
        <v>1</v>
      </c>
      <c r="J2" s="80">
        <v>1</v>
      </c>
      <c r="K2" s="80">
        <v>0</v>
      </c>
      <c r="L2" s="80">
        <v>0</v>
      </c>
      <c r="M2" s="80">
        <v>0</v>
      </c>
      <c r="N2" s="80">
        <v>0</v>
      </c>
      <c r="O2" s="80">
        <v>1</v>
      </c>
      <c r="P2" s="56">
        <v>50</v>
      </c>
      <c r="Q2" s="56" t="s">
        <v>325</v>
      </c>
      <c r="R2" s="56" t="s">
        <v>326</v>
      </c>
    </row>
    <row r="3" spans="1:18" x14ac:dyDescent="0.15">
      <c r="A3" s="56">
        <v>48009</v>
      </c>
      <c r="B3" s="80">
        <v>2</v>
      </c>
      <c r="C3" s="70" t="str">
        <f t="shared" si="0"/>
        <v>48009_2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0">
        <v>2</v>
      </c>
      <c r="F3" s="80" t="s">
        <v>324</v>
      </c>
      <c r="G3" s="80">
        <v>352</v>
      </c>
      <c r="H3" s="80">
        <v>1</v>
      </c>
      <c r="I3" s="80">
        <v>1</v>
      </c>
      <c r="J3" s="80">
        <v>1</v>
      </c>
      <c r="K3" s="80">
        <v>0</v>
      </c>
      <c r="L3" s="80">
        <v>0</v>
      </c>
      <c r="M3" s="80">
        <v>0</v>
      </c>
      <c r="N3" s="80">
        <v>0</v>
      </c>
      <c r="O3" s="80">
        <v>1</v>
      </c>
      <c r="P3" s="56">
        <v>120</v>
      </c>
      <c r="Q3" s="56" t="s">
        <v>327</v>
      </c>
      <c r="R3" s="56" t="s">
        <v>328</v>
      </c>
    </row>
    <row r="4" spans="1:18" x14ac:dyDescent="0.15">
      <c r="A4" s="56">
        <v>48009</v>
      </c>
      <c r="B4" s="80">
        <v>2</v>
      </c>
      <c r="C4" s="70" t="str">
        <f t="shared" si="0"/>
        <v>48009_2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0">
        <v>3</v>
      </c>
      <c r="F4" s="80" t="s">
        <v>324</v>
      </c>
      <c r="G4" s="80">
        <v>607</v>
      </c>
      <c r="H4" s="80">
        <v>1</v>
      </c>
      <c r="I4" s="80">
        <v>1</v>
      </c>
      <c r="J4" s="80">
        <v>1</v>
      </c>
      <c r="K4" s="80">
        <v>0</v>
      </c>
      <c r="L4" s="80">
        <v>0</v>
      </c>
      <c r="M4" s="80">
        <v>0</v>
      </c>
      <c r="N4" s="80">
        <v>0</v>
      </c>
      <c r="O4" s="80">
        <v>1</v>
      </c>
      <c r="P4" s="56">
        <v>100</v>
      </c>
      <c r="Q4" s="56" t="s">
        <v>329</v>
      </c>
      <c r="R4" s="56" t="s">
        <v>330</v>
      </c>
    </row>
    <row r="5" spans="1:18" x14ac:dyDescent="0.15">
      <c r="A5" s="56">
        <v>48009</v>
      </c>
      <c r="B5" s="80">
        <v>2</v>
      </c>
      <c r="C5" s="70" t="str">
        <f t="shared" si="0"/>
        <v>48009_2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0">
        <v>4</v>
      </c>
      <c r="F5" s="80" t="s">
        <v>324</v>
      </c>
      <c r="G5" s="80">
        <v>608</v>
      </c>
      <c r="H5" s="80">
        <v>1</v>
      </c>
      <c r="I5" s="80">
        <v>1</v>
      </c>
      <c r="J5" s="80">
        <v>1</v>
      </c>
      <c r="K5" s="80">
        <v>0</v>
      </c>
      <c r="L5" s="80">
        <v>0</v>
      </c>
      <c r="M5" s="80">
        <v>0</v>
      </c>
      <c r="N5" s="80">
        <v>0</v>
      </c>
      <c r="O5" s="80">
        <v>1</v>
      </c>
      <c r="P5" s="56">
        <v>100</v>
      </c>
      <c r="Q5" s="56" t="s">
        <v>331</v>
      </c>
      <c r="R5" s="56" t="s">
        <v>332</v>
      </c>
    </row>
    <row r="6" spans="1:18" x14ac:dyDescent="0.15">
      <c r="A6" s="56">
        <v>48009</v>
      </c>
      <c r="B6" s="80">
        <v>2</v>
      </c>
      <c r="C6" s="70" t="str">
        <f t="shared" si="0"/>
        <v>48009_2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0">
        <v>5</v>
      </c>
      <c r="F6" s="80" t="s">
        <v>324</v>
      </c>
      <c r="G6" s="80">
        <v>609</v>
      </c>
      <c r="H6" s="80">
        <v>1</v>
      </c>
      <c r="I6" s="80">
        <v>1</v>
      </c>
      <c r="J6" s="80">
        <v>1</v>
      </c>
      <c r="K6" s="80">
        <v>0</v>
      </c>
      <c r="L6" s="80">
        <v>0</v>
      </c>
      <c r="M6" s="80">
        <v>0</v>
      </c>
      <c r="N6" s="80">
        <v>0</v>
      </c>
      <c r="O6" s="80">
        <v>1</v>
      </c>
      <c r="P6" s="56">
        <v>100</v>
      </c>
      <c r="Q6" s="56" t="s">
        <v>333</v>
      </c>
      <c r="R6" s="56" t="s">
        <v>334</v>
      </c>
    </row>
    <row r="7" spans="1:18" x14ac:dyDescent="0.15">
      <c r="A7" s="56">
        <v>48009</v>
      </c>
      <c r="B7" s="80">
        <v>2</v>
      </c>
      <c r="C7" s="70" t="str">
        <f t="shared" si="0"/>
        <v>48009_2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0">
        <v>6</v>
      </c>
      <c r="F7" s="80" t="s">
        <v>324</v>
      </c>
      <c r="G7" s="80">
        <v>125</v>
      </c>
      <c r="H7" s="80">
        <v>1</v>
      </c>
      <c r="I7" s="80">
        <v>1</v>
      </c>
      <c r="J7" s="80">
        <v>1</v>
      </c>
      <c r="K7" s="80">
        <v>0</v>
      </c>
      <c r="L7" s="80">
        <v>0</v>
      </c>
      <c r="M7" s="80">
        <v>0</v>
      </c>
      <c r="N7" s="80">
        <v>0</v>
      </c>
      <c r="O7" s="80">
        <v>1</v>
      </c>
      <c r="P7" s="56">
        <v>30</v>
      </c>
      <c r="Q7" s="56" t="s">
        <v>335</v>
      </c>
      <c r="R7" s="56" t="s">
        <v>336</v>
      </c>
    </row>
    <row r="8" spans="1:18" x14ac:dyDescent="0.15">
      <c r="A8" s="56">
        <v>48009</v>
      </c>
      <c r="B8" s="80">
        <v>2</v>
      </c>
      <c r="C8" s="70" t="str">
        <f t="shared" si="0"/>
        <v>48009_2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0">
        <v>7</v>
      </c>
      <c r="F8" s="80" t="s">
        <v>323</v>
      </c>
      <c r="G8" s="80">
        <v>8041</v>
      </c>
      <c r="H8" s="80">
        <v>1</v>
      </c>
      <c r="I8" s="80">
        <v>1</v>
      </c>
      <c r="J8" s="80">
        <v>1</v>
      </c>
      <c r="K8" s="80">
        <v>0</v>
      </c>
      <c r="L8" s="80">
        <v>0</v>
      </c>
      <c r="M8" s="80">
        <v>0</v>
      </c>
      <c r="N8" s="80">
        <v>0</v>
      </c>
      <c r="O8" s="80">
        <v>1</v>
      </c>
      <c r="P8" s="56">
        <v>500</v>
      </c>
      <c r="Q8" s="56" t="s">
        <v>335</v>
      </c>
      <c r="R8" s="56" t="s">
        <v>336</v>
      </c>
    </row>
    <row r="9" spans="1:18" x14ac:dyDescent="0.15">
      <c r="A9" s="56">
        <v>48009</v>
      </c>
      <c r="B9" s="80">
        <v>1</v>
      </c>
      <c r="C9" s="70" t="str">
        <f t="shared" si="0"/>
        <v>48009_1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0">
        <v>1</v>
      </c>
      <c r="F9" s="80" t="s">
        <v>337</v>
      </c>
      <c r="G9" s="80">
        <v>40000</v>
      </c>
      <c r="H9" s="80" t="s">
        <v>338</v>
      </c>
      <c r="I9" s="80">
        <v>1</v>
      </c>
      <c r="J9" s="80">
        <v>1</v>
      </c>
      <c r="K9" s="80">
        <v>0</v>
      </c>
      <c r="L9" s="80">
        <v>0</v>
      </c>
      <c r="M9" s="80">
        <v>0</v>
      </c>
      <c r="N9" s="80">
        <v>0</v>
      </c>
      <c r="O9" s="80">
        <v>1</v>
      </c>
      <c r="P9" s="56">
        <v>150</v>
      </c>
      <c r="Q9" s="56" t="s">
        <v>325</v>
      </c>
      <c r="R9" s="56" t="s">
        <v>326</v>
      </c>
    </row>
    <row r="10" spans="1:18" x14ac:dyDescent="0.15">
      <c r="A10" s="56">
        <v>48009</v>
      </c>
      <c r="B10" s="80">
        <v>1</v>
      </c>
      <c r="C10" s="70" t="str">
        <f t="shared" si="0"/>
        <v>48009_1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0">
        <v>2</v>
      </c>
      <c r="F10" s="80" t="s">
        <v>339</v>
      </c>
      <c r="G10" s="80">
        <v>30</v>
      </c>
      <c r="H10" s="80" t="s">
        <v>338</v>
      </c>
      <c r="I10" s="80">
        <v>1</v>
      </c>
      <c r="J10" s="80">
        <v>1</v>
      </c>
      <c r="K10" s="80">
        <v>0</v>
      </c>
      <c r="L10" s="80">
        <v>0</v>
      </c>
      <c r="M10" s="80">
        <v>0</v>
      </c>
      <c r="N10" s="80">
        <v>0</v>
      </c>
      <c r="O10" s="80">
        <v>1</v>
      </c>
      <c r="P10" s="56">
        <v>150</v>
      </c>
      <c r="Q10" s="56" t="s">
        <v>327</v>
      </c>
      <c r="R10" s="56" t="s">
        <v>328</v>
      </c>
    </row>
    <row r="11" spans="1:18" x14ac:dyDescent="0.15">
      <c r="A11" s="56">
        <v>48009</v>
      </c>
      <c r="B11" s="80">
        <v>1</v>
      </c>
      <c r="C11" s="70" t="str">
        <f t="shared" si="0"/>
        <v>48009_1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80">
        <v>3</v>
      </c>
      <c r="F11" s="80" t="s">
        <v>324</v>
      </c>
      <c r="G11" s="80">
        <v>341</v>
      </c>
      <c r="H11" s="80">
        <v>1</v>
      </c>
      <c r="I11" s="80">
        <v>1</v>
      </c>
      <c r="J11" s="80">
        <v>1</v>
      </c>
      <c r="K11" s="80">
        <v>0</v>
      </c>
      <c r="L11" s="80">
        <v>0</v>
      </c>
      <c r="M11" s="80">
        <v>0</v>
      </c>
      <c r="N11" s="80">
        <v>0</v>
      </c>
      <c r="O11" s="80">
        <v>1</v>
      </c>
      <c r="P11" s="56">
        <v>28</v>
      </c>
      <c r="Q11" s="56" t="s">
        <v>329</v>
      </c>
      <c r="R11" s="56" t="s">
        <v>330</v>
      </c>
    </row>
    <row r="12" spans="1:18" x14ac:dyDescent="0.15">
      <c r="A12" s="56">
        <v>48009</v>
      </c>
      <c r="B12" s="80">
        <v>1</v>
      </c>
      <c r="C12" s="70" t="str">
        <f t="shared" si="0"/>
        <v>48009_1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0">
        <v>4</v>
      </c>
      <c r="F12" s="80" t="s">
        <v>324</v>
      </c>
      <c r="G12" s="80">
        <v>342</v>
      </c>
      <c r="H12" s="80">
        <v>1</v>
      </c>
      <c r="I12" s="80">
        <v>1</v>
      </c>
      <c r="J12" s="80">
        <v>1</v>
      </c>
      <c r="K12" s="80">
        <v>0</v>
      </c>
      <c r="L12" s="80">
        <v>0</v>
      </c>
      <c r="M12" s="80">
        <v>0</v>
      </c>
      <c r="N12" s="80">
        <v>0</v>
      </c>
      <c r="O12" s="80">
        <v>1</v>
      </c>
      <c r="P12" s="56">
        <v>112</v>
      </c>
      <c r="Q12" s="56" t="s">
        <v>331</v>
      </c>
      <c r="R12" s="56" t="s">
        <v>332</v>
      </c>
    </row>
    <row r="13" spans="1:18" x14ac:dyDescent="0.15">
      <c r="A13" s="56">
        <v>48009</v>
      </c>
      <c r="B13" s="80">
        <v>1</v>
      </c>
      <c r="C13" s="70" t="str">
        <f t="shared" si="0"/>
        <v>48009_1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0">
        <v>5</v>
      </c>
      <c r="F13" s="80" t="s">
        <v>324</v>
      </c>
      <c r="G13" s="80">
        <v>121</v>
      </c>
      <c r="H13" s="80">
        <v>1</v>
      </c>
      <c r="I13" s="80">
        <v>1</v>
      </c>
      <c r="J13" s="80">
        <v>1</v>
      </c>
      <c r="K13" s="80">
        <v>0</v>
      </c>
      <c r="L13" s="80">
        <v>0</v>
      </c>
      <c r="M13" s="80">
        <v>0</v>
      </c>
      <c r="N13" s="80">
        <v>0</v>
      </c>
      <c r="O13" s="80">
        <v>1</v>
      </c>
      <c r="P13" s="56">
        <v>100</v>
      </c>
      <c r="Q13" s="56" t="s">
        <v>333</v>
      </c>
      <c r="R13" s="56" t="s">
        <v>334</v>
      </c>
    </row>
    <row r="14" spans="1:18" x14ac:dyDescent="0.15">
      <c r="A14" s="56">
        <v>48009</v>
      </c>
      <c r="B14" s="80">
        <v>1</v>
      </c>
      <c r="C14" s="70" t="str">
        <f t="shared" si="0"/>
        <v>48009_1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0">
        <v>6</v>
      </c>
      <c r="F14" s="80" t="s">
        <v>324</v>
      </c>
      <c r="G14" s="80">
        <v>122</v>
      </c>
      <c r="H14" s="80">
        <v>1</v>
      </c>
      <c r="I14" s="80">
        <v>1</v>
      </c>
      <c r="J14" s="80">
        <v>1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56">
        <v>100</v>
      </c>
      <c r="Q14" s="56" t="s">
        <v>335</v>
      </c>
      <c r="R14" s="56" t="s">
        <v>336</v>
      </c>
    </row>
    <row r="15" spans="1:18" x14ac:dyDescent="0.15">
      <c r="A15" s="56">
        <v>48009</v>
      </c>
      <c r="B15" s="80">
        <v>1</v>
      </c>
      <c r="C15" s="70" t="str">
        <f t="shared" si="0"/>
        <v>48009_1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0">
        <v>7</v>
      </c>
      <c r="F15" s="80" t="s">
        <v>340</v>
      </c>
      <c r="G15" s="80">
        <v>123</v>
      </c>
      <c r="H15" s="80">
        <v>1</v>
      </c>
      <c r="I15" s="80">
        <v>1</v>
      </c>
      <c r="J15" s="80">
        <v>1</v>
      </c>
      <c r="K15" s="80">
        <v>0</v>
      </c>
      <c r="L15" s="80">
        <v>0</v>
      </c>
      <c r="M15" s="80">
        <v>0</v>
      </c>
      <c r="N15" s="80">
        <v>0</v>
      </c>
      <c r="O15" s="80">
        <v>1</v>
      </c>
      <c r="P15" s="56">
        <v>100</v>
      </c>
      <c r="Q15" s="56" t="s">
        <v>335</v>
      </c>
      <c r="R15" s="56" t="s">
        <v>336</v>
      </c>
    </row>
    <row r="16" spans="1:18" x14ac:dyDescent="0.15">
      <c r="A16" s="56">
        <v>48009</v>
      </c>
      <c r="B16" s="80">
        <v>1</v>
      </c>
      <c r="C16" s="70" t="str">
        <f t="shared" si="0"/>
        <v>48009_1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0">
        <v>8</v>
      </c>
      <c r="F16" s="80" t="s">
        <v>323</v>
      </c>
      <c r="G16" s="80">
        <v>125</v>
      </c>
      <c r="H16" s="80">
        <v>1</v>
      </c>
      <c r="I16" s="80">
        <v>1</v>
      </c>
      <c r="J16" s="80">
        <v>1</v>
      </c>
      <c r="K16" s="80">
        <v>0</v>
      </c>
      <c r="L16" s="80">
        <v>0</v>
      </c>
      <c r="M16" s="80">
        <v>0</v>
      </c>
      <c r="N16" s="80">
        <v>0</v>
      </c>
      <c r="O16" s="80">
        <v>1</v>
      </c>
      <c r="P16" s="56">
        <v>10</v>
      </c>
      <c r="Q16" s="56" t="s">
        <v>335</v>
      </c>
      <c r="R16" s="56" t="s">
        <v>336</v>
      </c>
    </row>
    <row r="17" spans="1:18" x14ac:dyDescent="0.15">
      <c r="A17" s="56">
        <v>48009</v>
      </c>
      <c r="B17" s="80">
        <v>1</v>
      </c>
      <c r="C17" s="70" t="str">
        <f t="shared" si="0"/>
        <v>48009_1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0">
        <v>9</v>
      </c>
      <c r="F17" s="80" t="s">
        <v>340</v>
      </c>
      <c r="G17" s="80">
        <v>8041</v>
      </c>
      <c r="H17" s="80">
        <v>1</v>
      </c>
      <c r="I17" s="80">
        <v>1</v>
      </c>
      <c r="J17" s="80">
        <v>1</v>
      </c>
      <c r="K17" s="80">
        <v>0</v>
      </c>
      <c r="L17" s="80">
        <v>0</v>
      </c>
      <c r="M17" s="80">
        <v>0</v>
      </c>
      <c r="N17" s="80">
        <v>0</v>
      </c>
      <c r="O17" s="80">
        <v>1</v>
      </c>
      <c r="P17" s="56">
        <v>100</v>
      </c>
      <c r="Q17" s="56" t="s">
        <v>335</v>
      </c>
      <c r="R17" s="56" t="s">
        <v>336</v>
      </c>
    </row>
    <row r="18" spans="1:18" x14ac:dyDescent="0.15">
      <c r="A18" s="56">
        <v>48009</v>
      </c>
      <c r="B18" s="80">
        <v>1</v>
      </c>
      <c r="C18" s="70" t="str">
        <f t="shared" si="0"/>
        <v>48009_1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0">
        <v>10</v>
      </c>
      <c r="F18" s="80" t="s">
        <v>340</v>
      </c>
      <c r="G18" s="80">
        <v>352</v>
      </c>
      <c r="H18" s="80">
        <v>1</v>
      </c>
      <c r="I18" s="80">
        <v>1</v>
      </c>
      <c r="J18" s="80">
        <v>1</v>
      </c>
      <c r="K18" s="80">
        <v>0</v>
      </c>
      <c r="L18" s="80">
        <v>0</v>
      </c>
      <c r="M18" s="80">
        <v>0</v>
      </c>
      <c r="N18" s="80">
        <v>0</v>
      </c>
      <c r="O18" s="80">
        <v>1</v>
      </c>
      <c r="P18" s="56">
        <v>150</v>
      </c>
      <c r="Q18" s="56" t="s">
        <v>335</v>
      </c>
      <c r="R18" s="56" t="s">
        <v>336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N14" sqref="N14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182</v>
      </c>
      <c r="B1" s="72" t="s">
        <v>183</v>
      </c>
      <c r="C1" s="76" t="s">
        <v>184</v>
      </c>
      <c r="D1" s="76" t="s">
        <v>33</v>
      </c>
      <c r="E1" s="72" t="s">
        <v>185</v>
      </c>
      <c r="F1" s="76" t="s">
        <v>186</v>
      </c>
      <c r="G1" s="76" t="s">
        <v>33</v>
      </c>
      <c r="H1" s="72" t="s">
        <v>187</v>
      </c>
      <c r="I1" s="90" t="s">
        <v>189</v>
      </c>
      <c r="J1" s="78" t="s">
        <v>127</v>
      </c>
      <c r="K1" s="77" t="s">
        <v>181</v>
      </c>
      <c r="L1" s="91" t="s">
        <v>180</v>
      </c>
      <c r="M1" s="79" t="s">
        <v>190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workbookViewId="0">
      <pane ySplit="1" topLeftCell="A14" activePane="bottomLeft" state="frozen"/>
      <selection pane="bottomLeft" activeCell="O18" sqref="O1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182</v>
      </c>
      <c r="B1" s="72" t="s">
        <v>151</v>
      </c>
      <c r="C1" s="76" t="s">
        <v>184</v>
      </c>
      <c r="D1" s="76" t="s">
        <v>33</v>
      </c>
      <c r="E1" s="72" t="s">
        <v>185</v>
      </c>
      <c r="F1" s="76" t="s">
        <v>18</v>
      </c>
      <c r="G1" s="76" t="s">
        <v>33</v>
      </c>
      <c r="H1" s="72" t="s">
        <v>187</v>
      </c>
      <c r="I1" s="88" t="s">
        <v>188</v>
      </c>
      <c r="J1" s="90" t="s">
        <v>189</v>
      </c>
      <c r="K1" s="78" t="s">
        <v>127</v>
      </c>
      <c r="L1" s="77" t="s">
        <v>181</v>
      </c>
      <c r="M1" s="91" t="s">
        <v>180</v>
      </c>
      <c r="N1" s="79" t="s">
        <v>190</v>
      </c>
    </row>
    <row r="2" spans="1:14" ht="28" x14ac:dyDescent="0.15">
      <c r="A2" s="80" t="s">
        <v>191</v>
      </c>
      <c r="B2" s="81">
        <f>floors!$C$2</f>
        <v>48009</v>
      </c>
      <c r="C2" s="82" t="str">
        <f ca="1">VLOOKUP($B2,OFFSET([2]quests!$A$1,0,0,COUNTA([2]quests!$A:$A),MATCH(C$1,[2]quests!$1:$1,0)-MATCH($B$1,[2]quests!$1:$1,0)+1),MATCH(C$1,[2]quests!$1:$1,0)-MATCH($B$1,[2]quests!$1:$1,0)+1,FALSE)</f>
        <v>藍采和襲来！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台湾版降臨10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【超絶級】藍采和襲来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台湾版降臨10</v>
      </c>
      <c r="H2" s="84">
        <v>1</v>
      </c>
      <c r="I2" s="89">
        <f>ROW()-1</f>
        <v>1</v>
      </c>
      <c r="J2" s="85" t="str">
        <f>B2&amp;TEXT(I2,"00")</f>
        <v>4800901</v>
      </c>
      <c r="K2" s="83" t="s">
        <v>192</v>
      </c>
      <c r="L2" s="86" t="s">
        <v>193</v>
      </c>
      <c r="M2" s="105" t="s">
        <v>343</v>
      </c>
      <c r="N2" s="56" t="s">
        <v>194</v>
      </c>
    </row>
    <row r="3" spans="1:14" ht="28" x14ac:dyDescent="0.15">
      <c r="A3" s="80" t="s">
        <v>191</v>
      </c>
      <c r="B3" s="81">
        <f>floors!$C$2</f>
        <v>48009</v>
      </c>
      <c r="C3" s="82" t="str">
        <f ca="1">VLOOKUP($B3,OFFSET([2]quests!$A$1,0,0,COUNTA([2]quests!$A:$A),MATCH(C$1,[2]quests!$1:$1,0)-MATCH($B$1,[2]quests!$1:$1,0)+1),MATCH(C$1,[2]quests!$1:$1,0)-MATCH($B$1,[2]quests!$1:$1,0)+1,FALSE)</f>
        <v>藍采和襲来！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台湾版降臨10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【超絶級】藍采和襲来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台湾版降臨10</v>
      </c>
      <c r="H3" s="84">
        <v>2</v>
      </c>
      <c r="I3" s="89">
        <f t="shared" ref="I3:I19" si="0">ROW()-1</f>
        <v>2</v>
      </c>
      <c r="J3" s="85" t="str">
        <f t="shared" ref="J3:J10" si="1">B3&amp;TEXT(I3,"00")</f>
        <v>4800902</v>
      </c>
      <c r="K3" s="83" t="s">
        <v>192</v>
      </c>
      <c r="L3" s="86" t="s">
        <v>193</v>
      </c>
      <c r="M3" s="105" t="s">
        <v>344</v>
      </c>
      <c r="N3" s="56" t="s">
        <v>194</v>
      </c>
    </row>
    <row r="4" spans="1:14" ht="28" x14ac:dyDescent="0.15">
      <c r="A4" s="80" t="s">
        <v>191</v>
      </c>
      <c r="B4" s="81">
        <f>floors!$C$2</f>
        <v>48009</v>
      </c>
      <c r="C4" s="82" t="str">
        <f ca="1">VLOOKUP($B4,OFFSET([2]quests!$A$1,0,0,COUNTA([2]quests!$A:$A),MATCH(C$1,[2]quests!$1:$1,0)-MATCH($B$1,[2]quests!$1:$1,0)+1),MATCH(C$1,[2]quests!$1:$1,0)-MATCH($B$1,[2]quests!$1:$1,0)+1,FALSE)</f>
        <v>藍采和襲来！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台湾版降臨10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【超絶級】藍采和襲来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台湾版降臨10</v>
      </c>
      <c r="H4" s="84">
        <v>2</v>
      </c>
      <c r="I4" s="89">
        <f t="shared" si="0"/>
        <v>3</v>
      </c>
      <c r="J4" s="85" t="str">
        <f t="shared" si="1"/>
        <v>4800903</v>
      </c>
      <c r="K4" s="83" t="s">
        <v>192</v>
      </c>
      <c r="L4" s="86" t="s">
        <v>193</v>
      </c>
      <c r="M4" s="105" t="s">
        <v>345</v>
      </c>
      <c r="N4" s="56" t="s">
        <v>194</v>
      </c>
    </row>
    <row r="5" spans="1:14" ht="42" x14ac:dyDescent="0.15">
      <c r="A5" s="80" t="s">
        <v>191</v>
      </c>
      <c r="B5" s="81">
        <f>floors!$C$2</f>
        <v>48009</v>
      </c>
      <c r="C5" s="82" t="str">
        <f ca="1">VLOOKUP($B5,OFFSET([2]quests!$A$1,0,0,COUNTA([2]quests!$A:$A),MATCH(C$1,[2]quests!$1:$1,0)-MATCH($B$1,[2]quests!$1:$1,0)+1),MATCH(C$1,[2]quests!$1:$1,0)-MATCH($B$1,[2]quests!$1:$1,0)+1,FALSE)</f>
        <v>藍采和襲来！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台湾版降臨10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【超絶級】藍采和襲来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台湾版降臨10</v>
      </c>
      <c r="H5" s="84">
        <v>3</v>
      </c>
      <c r="I5" s="89">
        <f t="shared" si="0"/>
        <v>4</v>
      </c>
      <c r="J5" s="85" t="str">
        <f t="shared" si="1"/>
        <v>4800904</v>
      </c>
      <c r="K5" s="83" t="s">
        <v>192</v>
      </c>
      <c r="L5" s="86" t="s">
        <v>193</v>
      </c>
      <c r="M5" s="105" t="s">
        <v>346</v>
      </c>
      <c r="N5" s="56" t="s">
        <v>194</v>
      </c>
    </row>
    <row r="6" spans="1:14" ht="42" x14ac:dyDescent="0.15">
      <c r="A6" s="80" t="s">
        <v>191</v>
      </c>
      <c r="B6" s="81">
        <f>floors!$C$2</f>
        <v>48009</v>
      </c>
      <c r="C6" s="82" t="str">
        <f ca="1">VLOOKUP($B6,OFFSET([2]quests!$A$1,0,0,COUNTA([2]quests!$A:$A),MATCH(C$1,[2]quests!$1:$1,0)-MATCH($B$1,[2]quests!$1:$1,0)+1),MATCH(C$1,[2]quests!$1:$1,0)-MATCH($B$1,[2]quests!$1:$1,0)+1,FALSE)</f>
        <v>藍采和襲来！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台湾版降臨10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【超絶級】藍采和襲来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台湾版降臨10</v>
      </c>
      <c r="H6" s="84">
        <v>4</v>
      </c>
      <c r="I6" s="89">
        <f t="shared" si="0"/>
        <v>5</v>
      </c>
      <c r="J6" s="85" t="str">
        <f t="shared" si="1"/>
        <v>4800905</v>
      </c>
      <c r="K6" s="83" t="s">
        <v>192</v>
      </c>
      <c r="L6" s="86" t="s">
        <v>193</v>
      </c>
      <c r="M6" s="105" t="s">
        <v>347</v>
      </c>
      <c r="N6" s="56" t="s">
        <v>194</v>
      </c>
    </row>
    <row r="7" spans="1:14" ht="42" x14ac:dyDescent="0.15">
      <c r="A7" s="80" t="s">
        <v>191</v>
      </c>
      <c r="B7" s="81">
        <f>floors!$C$2</f>
        <v>48009</v>
      </c>
      <c r="C7" s="82" t="str">
        <f ca="1">VLOOKUP($B7,OFFSET([2]quests!$A$1,0,0,COUNTA([2]quests!$A:$A),MATCH(C$1,[2]quests!$1:$1,0)-MATCH($B$1,[2]quests!$1:$1,0)+1),MATCH(C$1,[2]quests!$1:$1,0)-MATCH($B$1,[2]quests!$1:$1,0)+1,FALSE)</f>
        <v>藍采和襲来！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台湾版降臨10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【超絶級】藍采和襲来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台湾版降臨10</v>
      </c>
      <c r="H7" s="84">
        <v>4</v>
      </c>
      <c r="I7" s="89">
        <f t="shared" si="0"/>
        <v>6</v>
      </c>
      <c r="J7" s="85" t="str">
        <f t="shared" si="1"/>
        <v>4800906</v>
      </c>
      <c r="K7" s="83" t="s">
        <v>192</v>
      </c>
      <c r="L7" s="86" t="s">
        <v>193</v>
      </c>
      <c r="M7" s="105" t="s">
        <v>348</v>
      </c>
      <c r="N7" s="56" t="s">
        <v>194</v>
      </c>
    </row>
    <row r="8" spans="1:14" ht="42" x14ac:dyDescent="0.15">
      <c r="A8" s="80" t="s">
        <v>191</v>
      </c>
      <c r="B8" s="81">
        <f>floors!$C$2</f>
        <v>48009</v>
      </c>
      <c r="C8" s="82" t="str">
        <f ca="1">VLOOKUP($B8,OFFSET([2]quests!$A$1,0,0,COUNTA([2]quests!$A:$A),MATCH(C$1,[2]quests!$1:$1,0)-MATCH($B$1,[2]quests!$1:$1,0)+1),MATCH(C$1,[2]quests!$1:$1,0)-MATCH($B$1,[2]quests!$1:$1,0)+1,FALSE)</f>
        <v>藍采和襲来！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台湾版降臨10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【超絶級】藍采和襲来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台湾版降臨10</v>
      </c>
      <c r="H8" s="84">
        <v>4</v>
      </c>
      <c r="I8" s="89">
        <f t="shared" si="0"/>
        <v>7</v>
      </c>
      <c r="J8" s="85" t="str">
        <f t="shared" si="1"/>
        <v>4800907</v>
      </c>
      <c r="K8" s="83" t="s">
        <v>192</v>
      </c>
      <c r="L8" s="86" t="s">
        <v>193</v>
      </c>
      <c r="M8" s="105" t="s">
        <v>349</v>
      </c>
      <c r="N8" s="56" t="s">
        <v>194</v>
      </c>
    </row>
    <row r="9" spans="1:14" ht="42" x14ac:dyDescent="0.15">
      <c r="A9" s="80" t="s">
        <v>195</v>
      </c>
      <c r="B9" s="81">
        <f>floors!$C$2</f>
        <v>48009</v>
      </c>
      <c r="C9" s="82" t="str">
        <f ca="1">VLOOKUP($B9,OFFSET([2]quests!$A$1,0,0,COUNTA([2]quests!$A:$A),MATCH(C$1,[2]quests!$1:$1,0)-MATCH($B$1,[2]quests!$1:$1,0)+1),MATCH(C$1,[2]quests!$1:$1,0)-MATCH($B$1,[2]quests!$1:$1,0)+1,FALSE)</f>
        <v>藍采和襲来！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台湾版降臨10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【超絶級】藍采和襲来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台湾版降臨10</v>
      </c>
      <c r="H9" s="84">
        <v>0</v>
      </c>
      <c r="I9" s="89">
        <f t="shared" si="0"/>
        <v>8</v>
      </c>
      <c r="J9" s="85" t="str">
        <f t="shared" si="1"/>
        <v>4800908</v>
      </c>
      <c r="K9" s="83" t="s">
        <v>192</v>
      </c>
      <c r="L9" s="86" t="s">
        <v>352</v>
      </c>
      <c r="M9" s="105" t="s">
        <v>350</v>
      </c>
      <c r="N9" s="56" t="s">
        <v>194</v>
      </c>
    </row>
    <row r="10" spans="1:14" ht="56" x14ac:dyDescent="0.15">
      <c r="A10" s="80" t="s">
        <v>195</v>
      </c>
      <c r="B10" s="81">
        <f>floors!$C$2</f>
        <v>48009</v>
      </c>
      <c r="C10" s="82" t="str">
        <f ca="1">VLOOKUP($B10,OFFSET([2]quests!$A$1,0,0,COUNTA([2]quests!$A:$A),MATCH(C$1,[2]quests!$1:$1,0)-MATCH($B$1,[2]quests!$1:$1,0)+1),MATCH(C$1,[2]quests!$1:$1,0)-MATCH($B$1,[2]quests!$1:$1,0)+1,FALSE)</f>
        <v>藍采和襲来！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台湾版降臨10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【超絶級】藍采和襲来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台湾版降臨10</v>
      </c>
      <c r="H10" s="84">
        <v>0</v>
      </c>
      <c r="I10" s="89">
        <f t="shared" si="0"/>
        <v>9</v>
      </c>
      <c r="J10" s="85" t="str">
        <f t="shared" si="1"/>
        <v>4800909</v>
      </c>
      <c r="K10" s="83" t="s">
        <v>192</v>
      </c>
      <c r="L10" s="86" t="s">
        <v>353</v>
      </c>
      <c r="M10" s="105" t="s">
        <v>351</v>
      </c>
      <c r="N10" s="56" t="s">
        <v>194</v>
      </c>
    </row>
    <row r="11" spans="1:14" ht="28" x14ac:dyDescent="0.15">
      <c r="A11" s="80" t="s">
        <v>191</v>
      </c>
      <c r="B11" s="81">
        <f>floors!$C$2</f>
        <v>48009</v>
      </c>
      <c r="C11" s="82" t="str">
        <f ca="1">VLOOKUP($B11,OFFSET([2]quests!$A$1,0,0,COUNTA([2]quests!$A:$A),MATCH(C$1,[2]quests!$1:$1,0)-MATCH($B$1,[2]quests!$1:$1,0)+1),MATCH(C$1,[2]quests!$1:$1,0)-MATCH($B$1,[2]quests!$1:$1,0)+1,FALSE)</f>
        <v>藍采和襲来！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台湾版降臨10</v>
      </c>
      <c r="E11" s="83">
        <v>2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台湾版降臨10</v>
      </c>
      <c r="H11" s="84">
        <v>1</v>
      </c>
      <c r="I11" s="89">
        <f>ROW()-1</f>
        <v>10</v>
      </c>
      <c r="J11" s="85" t="str">
        <f>B11&amp;TEXT(I11,"00")</f>
        <v>4800910</v>
      </c>
      <c r="K11" s="83" t="s">
        <v>192</v>
      </c>
      <c r="L11" s="86" t="s">
        <v>193</v>
      </c>
      <c r="M11" s="105" t="s">
        <v>343</v>
      </c>
      <c r="N11" s="56" t="s">
        <v>194</v>
      </c>
    </row>
    <row r="12" spans="1:14" ht="28" x14ac:dyDescent="0.15">
      <c r="A12" s="80" t="s">
        <v>191</v>
      </c>
      <c r="B12" s="81">
        <f>floors!$C$2</f>
        <v>48009</v>
      </c>
      <c r="C12" s="82" t="str">
        <f ca="1">VLOOKUP($B12,OFFSET([2]quests!$A$1,0,0,COUNTA([2]quests!$A:$A),MATCH(C$1,[2]quests!$1:$1,0)-MATCH($B$1,[2]quests!$1:$1,0)+1),MATCH(C$1,[2]quests!$1:$1,0)-MATCH($B$1,[2]quests!$1:$1,0)+1,FALSE)</f>
        <v>藍采和襲来！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台湾版降臨10</v>
      </c>
      <c r="E12" s="83">
        <v>2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台湾版降臨10</v>
      </c>
      <c r="H12" s="84">
        <v>2</v>
      </c>
      <c r="I12" s="89">
        <f t="shared" si="0"/>
        <v>11</v>
      </c>
      <c r="J12" s="85" t="str">
        <f t="shared" ref="J12:J19" si="2">B12&amp;TEXT(I12,"00")</f>
        <v>4800911</v>
      </c>
      <c r="K12" s="83" t="s">
        <v>192</v>
      </c>
      <c r="L12" s="86" t="s">
        <v>193</v>
      </c>
      <c r="M12" s="105" t="s">
        <v>344</v>
      </c>
      <c r="N12" s="56" t="s">
        <v>194</v>
      </c>
    </row>
    <row r="13" spans="1:14" ht="28" x14ac:dyDescent="0.15">
      <c r="A13" s="80" t="s">
        <v>191</v>
      </c>
      <c r="B13" s="81">
        <f>floors!$C$2</f>
        <v>48009</v>
      </c>
      <c r="C13" s="82" t="str">
        <f ca="1">VLOOKUP($B13,OFFSET([2]quests!$A$1,0,0,COUNTA([2]quests!$A:$A),MATCH(C$1,[2]quests!$1:$1,0)-MATCH($B$1,[2]quests!$1:$1,0)+1),MATCH(C$1,[2]quests!$1:$1,0)-MATCH($B$1,[2]quests!$1:$1,0)+1,FALSE)</f>
        <v>藍采和襲来！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台湾版降臨10</v>
      </c>
      <c r="E13" s="83">
        <v>2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台湾版降臨10</v>
      </c>
      <c r="H13" s="84">
        <v>2</v>
      </c>
      <c r="I13" s="89">
        <f t="shared" si="0"/>
        <v>12</v>
      </c>
      <c r="J13" s="85" t="str">
        <f t="shared" si="2"/>
        <v>4800912</v>
      </c>
      <c r="K13" s="83" t="s">
        <v>192</v>
      </c>
      <c r="L13" s="86" t="s">
        <v>193</v>
      </c>
      <c r="M13" s="105" t="s">
        <v>345</v>
      </c>
      <c r="N13" s="56" t="s">
        <v>194</v>
      </c>
    </row>
    <row r="14" spans="1:14" ht="42" x14ac:dyDescent="0.15">
      <c r="A14" s="80" t="s">
        <v>191</v>
      </c>
      <c r="B14" s="81">
        <f>floors!$C$2</f>
        <v>48009</v>
      </c>
      <c r="C14" s="82" t="str">
        <f ca="1">VLOOKUP($B14,OFFSET([2]quests!$A$1,0,0,COUNTA([2]quests!$A:$A),MATCH(C$1,[2]quests!$1:$1,0)-MATCH($B$1,[2]quests!$1:$1,0)+1),MATCH(C$1,[2]quests!$1:$1,0)-MATCH($B$1,[2]quests!$1:$1,0)+1,FALSE)</f>
        <v>藍采和襲来！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台湾版降臨10</v>
      </c>
      <c r="E14" s="83">
        <v>2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台湾版降臨10</v>
      </c>
      <c r="H14" s="84">
        <v>3</v>
      </c>
      <c r="I14" s="89">
        <f t="shared" si="0"/>
        <v>13</v>
      </c>
      <c r="J14" s="85" t="str">
        <f t="shared" si="2"/>
        <v>4800913</v>
      </c>
      <c r="K14" s="83" t="s">
        <v>192</v>
      </c>
      <c r="L14" s="86" t="s">
        <v>193</v>
      </c>
      <c r="M14" s="105" t="s">
        <v>346</v>
      </c>
      <c r="N14" s="56" t="s">
        <v>194</v>
      </c>
    </row>
    <row r="15" spans="1:14" ht="42" x14ac:dyDescent="0.15">
      <c r="A15" s="80" t="s">
        <v>191</v>
      </c>
      <c r="B15" s="81">
        <f>floors!$C$2</f>
        <v>48009</v>
      </c>
      <c r="C15" s="82" t="str">
        <f ca="1">VLOOKUP($B15,OFFSET([2]quests!$A$1,0,0,COUNTA([2]quests!$A:$A),MATCH(C$1,[2]quests!$1:$1,0)-MATCH($B$1,[2]quests!$1:$1,0)+1),MATCH(C$1,[2]quests!$1:$1,0)-MATCH($B$1,[2]quests!$1:$1,0)+1,FALSE)</f>
        <v>藍采和襲来！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台湾版降臨10</v>
      </c>
      <c r="E15" s="83">
        <v>2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台湾版降臨10</v>
      </c>
      <c r="H15" s="84">
        <v>4</v>
      </c>
      <c r="I15" s="89">
        <f t="shared" si="0"/>
        <v>14</v>
      </c>
      <c r="J15" s="85" t="str">
        <f t="shared" si="2"/>
        <v>4800914</v>
      </c>
      <c r="K15" s="83" t="s">
        <v>192</v>
      </c>
      <c r="L15" s="86" t="s">
        <v>193</v>
      </c>
      <c r="M15" s="105" t="s">
        <v>347</v>
      </c>
      <c r="N15" s="56" t="s">
        <v>194</v>
      </c>
    </row>
    <row r="16" spans="1:14" ht="42" x14ac:dyDescent="0.15">
      <c r="A16" s="80" t="s">
        <v>191</v>
      </c>
      <c r="B16" s="81">
        <f>floors!$C$2</f>
        <v>48009</v>
      </c>
      <c r="C16" s="82" t="str">
        <f ca="1">VLOOKUP($B16,OFFSET([2]quests!$A$1,0,0,COUNTA([2]quests!$A:$A),MATCH(C$1,[2]quests!$1:$1,0)-MATCH($B$1,[2]quests!$1:$1,0)+1),MATCH(C$1,[2]quests!$1:$1,0)-MATCH($B$1,[2]quests!$1:$1,0)+1,FALSE)</f>
        <v>藍采和襲来！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台湾版降臨10</v>
      </c>
      <c r="E16" s="83">
        <v>2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台湾版降臨10</v>
      </c>
      <c r="H16" s="84">
        <v>4</v>
      </c>
      <c r="I16" s="89">
        <f t="shared" si="0"/>
        <v>15</v>
      </c>
      <c r="J16" s="85" t="str">
        <f t="shared" si="2"/>
        <v>4800915</v>
      </c>
      <c r="K16" s="83" t="s">
        <v>192</v>
      </c>
      <c r="L16" s="86" t="s">
        <v>193</v>
      </c>
      <c r="M16" s="105" t="s">
        <v>348</v>
      </c>
      <c r="N16" s="56" t="s">
        <v>194</v>
      </c>
    </row>
    <row r="17" spans="1:14" ht="42" x14ac:dyDescent="0.15">
      <c r="A17" s="80" t="s">
        <v>191</v>
      </c>
      <c r="B17" s="81">
        <f>floors!$C$2</f>
        <v>48009</v>
      </c>
      <c r="C17" s="82" t="str">
        <f ca="1">VLOOKUP($B17,OFFSET([2]quests!$A$1,0,0,COUNTA([2]quests!$A:$A),MATCH(C$1,[2]quests!$1:$1,0)-MATCH($B$1,[2]quests!$1:$1,0)+1),MATCH(C$1,[2]quests!$1:$1,0)-MATCH($B$1,[2]quests!$1:$1,0)+1,FALSE)</f>
        <v>藍采和襲来！</v>
      </c>
      <c r="D17" s="82" t="str">
        <f ca="1">VLOOKUP($B17,OFFSET([2]quests!$A$1,0,0,COUNTA([2]quests!$A:$A),MATCH(D$1,[2]quests!$1:$1,0)-MATCH($B$1,[2]quests!$1:$1,0)+1),MATCH(D$1,[2]quests!$1:$1,0)-MATCH($B$1,[2]quests!$1:$1,0)+1,FALSE)</f>
        <v>台湾版降臨10</v>
      </c>
      <c r="E17" s="83">
        <v>2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台湾版降臨10</v>
      </c>
      <c r="H17" s="84">
        <v>4</v>
      </c>
      <c r="I17" s="89">
        <f t="shared" si="0"/>
        <v>16</v>
      </c>
      <c r="J17" s="85" t="str">
        <f t="shared" si="2"/>
        <v>4800916</v>
      </c>
      <c r="K17" s="83" t="s">
        <v>192</v>
      </c>
      <c r="L17" s="86" t="s">
        <v>193</v>
      </c>
      <c r="M17" s="105" t="s">
        <v>349</v>
      </c>
      <c r="N17" s="56" t="s">
        <v>194</v>
      </c>
    </row>
    <row r="18" spans="1:14" ht="42" x14ac:dyDescent="0.15">
      <c r="A18" s="80" t="s">
        <v>195</v>
      </c>
      <c r="B18" s="81">
        <f>floors!$C$2</f>
        <v>48009</v>
      </c>
      <c r="C18" s="82" t="str">
        <f ca="1">VLOOKUP($B18,OFFSET([2]quests!$A$1,0,0,COUNTA([2]quests!$A:$A),MATCH(C$1,[2]quests!$1:$1,0)-MATCH($B$1,[2]quests!$1:$1,0)+1),MATCH(C$1,[2]quests!$1:$1,0)-MATCH($B$1,[2]quests!$1:$1,0)+1,FALSE)</f>
        <v>藍采和襲来！</v>
      </c>
      <c r="D18" s="82" t="str">
        <f ca="1">VLOOKUP($B18,OFFSET([2]quests!$A$1,0,0,COUNTA([2]quests!$A:$A),MATCH(D$1,[2]quests!$1:$1,0)-MATCH($B$1,[2]quests!$1:$1,0)+1),MATCH(D$1,[2]quests!$1:$1,0)-MATCH($B$1,[2]quests!$1:$1,0)+1,FALSE)</f>
        <v>台湾版降臨10</v>
      </c>
      <c r="E18" s="83">
        <v>2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台湾版降臨10</v>
      </c>
      <c r="H18" s="84">
        <v>0</v>
      </c>
      <c r="I18" s="89">
        <f t="shared" si="0"/>
        <v>17</v>
      </c>
      <c r="J18" s="85" t="str">
        <f t="shared" si="2"/>
        <v>4800917</v>
      </c>
      <c r="K18" s="83" t="s">
        <v>192</v>
      </c>
      <c r="L18" s="86" t="s">
        <v>352</v>
      </c>
      <c r="M18" s="105" t="s">
        <v>350</v>
      </c>
      <c r="N18" s="56" t="s">
        <v>194</v>
      </c>
    </row>
    <row r="19" spans="1:14" ht="56" x14ac:dyDescent="0.15">
      <c r="A19" s="80" t="s">
        <v>195</v>
      </c>
      <c r="B19" s="81">
        <f>floors!$C$2</f>
        <v>48009</v>
      </c>
      <c r="C19" s="82" t="str">
        <f ca="1">VLOOKUP($B19,OFFSET([2]quests!$A$1,0,0,COUNTA([2]quests!$A:$A),MATCH(C$1,[2]quests!$1:$1,0)-MATCH($B$1,[2]quests!$1:$1,0)+1),MATCH(C$1,[2]quests!$1:$1,0)-MATCH($B$1,[2]quests!$1:$1,0)+1,FALSE)</f>
        <v>藍采和襲来！</v>
      </c>
      <c r="D19" s="82" t="str">
        <f ca="1">VLOOKUP($B19,OFFSET([2]quests!$A$1,0,0,COUNTA([2]quests!$A:$A),MATCH(D$1,[2]quests!$1:$1,0)-MATCH($B$1,[2]quests!$1:$1,0)+1),MATCH(D$1,[2]quests!$1:$1,0)-MATCH($B$1,[2]quests!$1:$1,0)+1,FALSE)</f>
        <v>台湾版降臨10</v>
      </c>
      <c r="E19" s="83">
        <v>2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台湾版降臨10</v>
      </c>
      <c r="H19" s="84">
        <v>0</v>
      </c>
      <c r="I19" s="89">
        <f t="shared" si="0"/>
        <v>18</v>
      </c>
      <c r="J19" s="85" t="str">
        <f t="shared" si="2"/>
        <v>4800918</v>
      </c>
      <c r="K19" s="83" t="s">
        <v>192</v>
      </c>
      <c r="L19" s="86" t="s">
        <v>353</v>
      </c>
      <c r="M19" s="105" t="s">
        <v>351</v>
      </c>
      <c r="N19" s="56" t="s">
        <v>194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tabSelected="1" workbookViewId="0">
      <pane ySplit="1" topLeftCell="A2" activePane="bottomLeft" state="frozen"/>
      <selection pane="bottomLeft" activeCell="N5" sqref="N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207</v>
      </c>
      <c r="B1" s="94" t="s">
        <v>208</v>
      </c>
      <c r="C1" s="76" t="s">
        <v>209</v>
      </c>
      <c r="D1" s="76" t="s">
        <v>33</v>
      </c>
      <c r="E1" s="94" t="s">
        <v>210</v>
      </c>
      <c r="F1" s="76" t="s">
        <v>211</v>
      </c>
      <c r="G1" s="76" t="s">
        <v>33</v>
      </c>
      <c r="H1" s="94" t="s">
        <v>212</v>
      </c>
      <c r="I1" s="94" t="s">
        <v>213</v>
      </c>
      <c r="J1" s="94" t="s">
        <v>214</v>
      </c>
      <c r="K1" s="72" t="s">
        <v>215</v>
      </c>
      <c r="L1" s="72" t="s">
        <v>216</v>
      </c>
      <c r="M1" s="72" t="s">
        <v>154</v>
      </c>
      <c r="N1" s="76" t="s">
        <v>16</v>
      </c>
      <c r="O1" s="72" t="s">
        <v>217</v>
      </c>
      <c r="P1" s="72" t="s">
        <v>57</v>
      </c>
      <c r="Q1" s="72" t="s">
        <v>218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219</v>
      </c>
      <c r="X1" s="72" t="s">
        <v>220</v>
      </c>
    </row>
    <row r="2" spans="1:24" x14ac:dyDescent="0.15">
      <c r="A2" s="95" t="str">
        <f t="shared" ref="A2" si="0">B2&amp;"_"&amp;E2&amp;"_"&amp;I2</f>
        <v>48009_2_no_continue</v>
      </c>
      <c r="B2" s="104">
        <v>48009</v>
      </c>
      <c r="C2" s="82" t="str">
        <f ca="1">VLOOKUP($B2,OFFSET([2]quests!$A$1,0,0,COUNTA([2]quests!$A:$A),MATCH(C$1,[2]quests!$1:$1,0)-MATCH($B$1,[2]quests!$1:$1,0)+1),MATCH(C$1,[2]quests!$1:$1,0)-MATCH($B$1,[2]quests!$1:$1,0)+1,FALSE)</f>
        <v>藍采和襲来！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台湾版降臨10</v>
      </c>
      <c r="E2" s="83">
        <v>2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台湾版降臨10</v>
      </c>
      <c r="H2" s="84" t="s">
        <v>221</v>
      </c>
      <c r="I2" s="83" t="s">
        <v>341</v>
      </c>
      <c r="J2" s="83">
        <v>1</v>
      </c>
      <c r="K2" s="83">
        <v>1000</v>
      </c>
      <c r="L2" s="83" t="s">
        <v>323</v>
      </c>
      <c r="M2" s="83">
        <v>8041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藍采和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222</v>
      </c>
      <c r="X2" s="98" t="s">
        <v>223</v>
      </c>
    </row>
    <row r="3" spans="1:24" x14ac:dyDescent="0.15">
      <c r="A3" s="95" t="str">
        <f t="shared" ref="A3" si="1">B3&amp;"_"&amp;E3&amp;"_"&amp;I3</f>
        <v>48009_2_full_member</v>
      </c>
      <c r="B3" s="104">
        <v>48009</v>
      </c>
      <c r="C3" s="82" t="str">
        <f ca="1">VLOOKUP($B3,OFFSET([2]quests!$A$1,0,0,COUNTA([2]quests!$A:$A),MATCH(C$1,[2]quests!$1:$1,0)-MATCH($B$1,[2]quests!$1:$1,0)+1),MATCH(C$1,[2]quests!$1:$1,0)-MATCH($B$1,[2]quests!$1:$1,0)+1,FALSE)</f>
        <v>藍采和襲来！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台湾版降臨10</v>
      </c>
      <c r="E3" s="83">
        <v>2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【ウィザード級】藍采和襲来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台湾版降臨10</v>
      </c>
      <c r="H3" s="84" t="s">
        <v>221</v>
      </c>
      <c r="I3" s="83" t="s">
        <v>342</v>
      </c>
      <c r="J3" s="83">
        <v>2</v>
      </c>
      <c r="K3" s="83">
        <v>1000</v>
      </c>
      <c r="L3" s="83" t="s">
        <v>323</v>
      </c>
      <c r="M3" s="83">
        <v>8041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藍采和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222</v>
      </c>
      <c r="X3" s="98" t="s">
        <v>223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2017-01-30T08:33:43Z</dcterms:modified>
</cp:coreProperties>
</file>