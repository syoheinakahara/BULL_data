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wada/Desktop/BULL_data/master_excel/"/>
    </mc:Choice>
  </mc:AlternateContent>
  <bookViews>
    <workbookView xWindow="0" yWindow="460" windowWidth="28800" windowHeight="1648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enemy_habitat_S!$B$1:$Y$8</definedName>
    <definedName name="_xlnm._FilterDatabase" localSheetId="2" hidden="1">enemy_habitats!$B$1:$AH$6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7" i="21" l="1"/>
  <c r="B37" i="21"/>
  <c r="J37" i="21"/>
  <c r="G37" i="21"/>
  <c r="F37" i="21"/>
  <c r="D37" i="21"/>
  <c r="C37" i="21"/>
  <c r="B32" i="21"/>
  <c r="I32" i="21"/>
  <c r="J32" i="21"/>
  <c r="G32" i="21"/>
  <c r="F32" i="21"/>
  <c r="D32" i="21"/>
  <c r="C32" i="21"/>
  <c r="B27" i="21"/>
  <c r="I27" i="21"/>
  <c r="J27" i="21"/>
  <c r="G27" i="21"/>
  <c r="F27" i="21"/>
  <c r="D27" i="21"/>
  <c r="C27" i="21"/>
  <c r="B28" i="21"/>
  <c r="I28" i="21"/>
  <c r="J28" i="21"/>
  <c r="B26" i="21"/>
  <c r="I26" i="21"/>
  <c r="J26" i="21"/>
  <c r="B21" i="21"/>
  <c r="I21" i="21"/>
  <c r="J21" i="21"/>
  <c r="B24" i="21"/>
  <c r="I24" i="21"/>
  <c r="J24" i="21"/>
  <c r="B23" i="21"/>
  <c r="I23" i="21"/>
  <c r="J23" i="21"/>
  <c r="B22" i="21"/>
  <c r="I22" i="21"/>
  <c r="J22" i="21"/>
  <c r="B36" i="21"/>
  <c r="I36" i="21"/>
  <c r="J36" i="21"/>
  <c r="G36" i="21"/>
  <c r="F36" i="21"/>
  <c r="D36" i="21"/>
  <c r="C36" i="21"/>
  <c r="B31" i="21"/>
  <c r="I31" i="21"/>
  <c r="J31" i="21"/>
  <c r="G31" i="21"/>
  <c r="F31" i="21"/>
  <c r="D31" i="21"/>
  <c r="C31" i="21"/>
  <c r="G26" i="21"/>
  <c r="F26" i="21"/>
  <c r="D26" i="21"/>
  <c r="C26" i="21"/>
  <c r="B35" i="21"/>
  <c r="I35" i="21"/>
  <c r="J35" i="21"/>
  <c r="G35" i="21"/>
  <c r="F35" i="21"/>
  <c r="D35" i="21"/>
  <c r="C35" i="21"/>
  <c r="B34" i="21"/>
  <c r="I34" i="21"/>
  <c r="J34" i="21"/>
  <c r="G34" i="21"/>
  <c r="F34" i="21"/>
  <c r="D34" i="21"/>
  <c r="C34" i="21"/>
  <c r="B33" i="21"/>
  <c r="I33" i="21"/>
  <c r="J33" i="21"/>
  <c r="G33" i="21"/>
  <c r="F33" i="21"/>
  <c r="D33" i="21"/>
  <c r="C33" i="21"/>
  <c r="B30" i="21"/>
  <c r="I30" i="21"/>
  <c r="J30" i="21"/>
  <c r="G30" i="21"/>
  <c r="F30" i="21"/>
  <c r="D30" i="21"/>
  <c r="C30" i="21"/>
  <c r="B29" i="21"/>
  <c r="I29" i="21"/>
  <c r="J29" i="21"/>
  <c r="G29" i="21"/>
  <c r="F29" i="21"/>
  <c r="D29" i="21"/>
  <c r="C29" i="21"/>
  <c r="G28" i="21"/>
  <c r="F28" i="21"/>
  <c r="D28" i="21"/>
  <c r="C28" i="21"/>
  <c r="B25" i="21"/>
  <c r="I25" i="21"/>
  <c r="J25" i="21"/>
  <c r="G25" i="21"/>
  <c r="F25" i="21"/>
  <c r="D25" i="21"/>
  <c r="C25" i="21"/>
  <c r="G24" i="21"/>
  <c r="F24" i="21"/>
  <c r="D24" i="21"/>
  <c r="C24" i="21"/>
  <c r="G23" i="21"/>
  <c r="F23" i="21"/>
  <c r="D23" i="21"/>
  <c r="C23" i="21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G22" i="21"/>
  <c r="F22" i="21"/>
  <c r="D22" i="21"/>
  <c r="C22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E81" i="9"/>
  <c r="W19" i="7"/>
  <c r="R19" i="7"/>
  <c r="Q19" i="7"/>
  <c r="P19" i="7"/>
  <c r="O19" i="7"/>
  <c r="N19" i="7"/>
  <c r="H19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J19" i="7"/>
  <c r="I19" i="7"/>
  <c r="D19" i="7"/>
  <c r="F19" i="7"/>
  <c r="E19" i="7"/>
  <c r="A19" i="7"/>
  <c r="W18" i="7"/>
  <c r="R18" i="7"/>
  <c r="Q18" i="7"/>
  <c r="P18" i="7"/>
  <c r="O18" i="7"/>
  <c r="N18" i="7"/>
  <c r="H18" i="7"/>
  <c r="J18" i="7"/>
  <c r="I18" i="7"/>
  <c r="D18" i="7"/>
  <c r="F18" i="7"/>
  <c r="E18" i="7"/>
  <c r="A18" i="7"/>
  <c r="W17" i="7"/>
  <c r="R17" i="7"/>
  <c r="Q17" i="7"/>
  <c r="P17" i="7"/>
  <c r="O17" i="7"/>
  <c r="N17" i="7"/>
  <c r="H17" i="7"/>
  <c r="J17" i="7"/>
  <c r="I17" i="7"/>
  <c r="D17" i="7"/>
  <c r="F17" i="7"/>
  <c r="E17" i="7"/>
  <c r="A17" i="7"/>
  <c r="W16" i="7"/>
  <c r="R16" i="7"/>
  <c r="Q16" i="7"/>
  <c r="P16" i="7"/>
  <c r="O16" i="7"/>
  <c r="N16" i="7"/>
  <c r="H16" i="7"/>
  <c r="J16" i="7"/>
  <c r="I16" i="7"/>
  <c r="D16" i="7"/>
  <c r="F16" i="7"/>
  <c r="E16" i="7"/>
  <c r="A16" i="7"/>
  <c r="W15" i="7"/>
  <c r="R15" i="7"/>
  <c r="Q15" i="7"/>
  <c r="P15" i="7"/>
  <c r="O15" i="7"/>
  <c r="N15" i="7"/>
  <c r="H15" i="7"/>
  <c r="J15" i="7"/>
  <c r="I15" i="7"/>
  <c r="D15" i="7"/>
  <c r="F15" i="7"/>
  <c r="E15" i="7"/>
  <c r="A15" i="7"/>
  <c r="W14" i="7"/>
  <c r="R14" i="7"/>
  <c r="Q14" i="7"/>
  <c r="P14" i="7"/>
  <c r="O14" i="7"/>
  <c r="N14" i="7"/>
  <c r="H14" i="7"/>
  <c r="J14" i="7"/>
  <c r="I14" i="7"/>
  <c r="D14" i="7"/>
  <c r="F14" i="7"/>
  <c r="E14" i="7"/>
  <c r="A14" i="7"/>
  <c r="AB13" i="1"/>
  <c r="AD13" i="1"/>
  <c r="AG13" i="1"/>
  <c r="AE13" i="1"/>
  <c r="AC13" i="1"/>
  <c r="E26" i="9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E11" i="9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E14" i="9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E2" i="9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H10" i="2"/>
  <c r="E10" i="2"/>
  <c r="D10" i="2"/>
  <c r="H2" i="1"/>
  <c r="H3" i="1"/>
  <c r="H5" i="1"/>
  <c r="H4" i="1"/>
  <c r="H6" i="1"/>
  <c r="H8" i="1"/>
  <c r="H7" i="1"/>
  <c r="H9" i="1"/>
  <c r="B10" i="2"/>
  <c r="H9" i="2"/>
  <c r="E9" i="2"/>
  <c r="D9" i="2"/>
  <c r="B9" i="2"/>
  <c r="H8" i="2"/>
  <c r="E8" i="2"/>
  <c r="D8" i="2"/>
  <c r="B8" i="2"/>
  <c r="O88" i="9"/>
  <c r="N88" i="9"/>
  <c r="M88" i="9"/>
  <c r="L88" i="9"/>
  <c r="K88" i="9"/>
  <c r="J88" i="9"/>
  <c r="I88" i="9"/>
  <c r="H88" i="9"/>
  <c r="G88" i="9"/>
  <c r="E88" i="9"/>
  <c r="D88" i="9"/>
  <c r="A88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81" i="9"/>
  <c r="N81" i="9"/>
  <c r="M81" i="9"/>
  <c r="L81" i="9"/>
  <c r="K81" i="9"/>
  <c r="J81" i="9"/>
  <c r="I81" i="9"/>
  <c r="H81" i="9"/>
  <c r="G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9" i="9"/>
  <c r="N79" i="9"/>
  <c r="M79" i="9"/>
  <c r="L79" i="9"/>
  <c r="K79" i="9"/>
  <c r="J79" i="9"/>
  <c r="I79" i="9"/>
  <c r="H79" i="9"/>
  <c r="G79" i="9"/>
  <c r="E79" i="9"/>
  <c r="D79" i="9"/>
  <c r="A79" i="9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W7" i="7"/>
  <c r="R7" i="7"/>
  <c r="Q7" i="7"/>
  <c r="P7" i="7"/>
  <c r="O7" i="7"/>
  <c r="N7" i="7"/>
  <c r="H7" i="7"/>
  <c r="J7" i="7"/>
  <c r="I7" i="7"/>
  <c r="D7" i="7"/>
  <c r="F7" i="7"/>
  <c r="E7" i="7"/>
  <c r="A7" i="7"/>
  <c r="W6" i="7"/>
  <c r="R6" i="7"/>
  <c r="Q6" i="7"/>
  <c r="P6" i="7"/>
  <c r="O6" i="7"/>
  <c r="N6" i="7"/>
  <c r="H6" i="7"/>
  <c r="J6" i="7"/>
  <c r="I6" i="7"/>
  <c r="D6" i="7"/>
  <c r="F6" i="7"/>
  <c r="E6" i="7"/>
  <c r="A6" i="7"/>
  <c r="W5" i="7"/>
  <c r="R5" i="7"/>
  <c r="Q5" i="7"/>
  <c r="P5" i="7"/>
  <c r="O5" i="7"/>
  <c r="N5" i="7"/>
  <c r="H5" i="7"/>
  <c r="J5" i="7"/>
  <c r="I5" i="7"/>
  <c r="D5" i="7"/>
  <c r="F5" i="7"/>
  <c r="E5" i="7"/>
  <c r="A5" i="7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W2" i="7"/>
  <c r="R2" i="7"/>
  <c r="Q2" i="7"/>
  <c r="P2" i="7"/>
  <c r="O2" i="7"/>
  <c r="N2" i="7"/>
  <c r="H2" i="7"/>
  <c r="J2" i="7"/>
  <c r="I2" i="7"/>
  <c r="D2" i="7"/>
  <c r="F2" i="7"/>
  <c r="E2" i="7"/>
  <c r="A2" i="7"/>
  <c r="AB5" i="1"/>
  <c r="AD5" i="1"/>
  <c r="AG5" i="1"/>
  <c r="AE5" i="1"/>
  <c r="AC5" i="1"/>
  <c r="V5" i="1"/>
  <c r="Q5" i="1"/>
  <c r="P5" i="1"/>
  <c r="O5" i="1"/>
  <c r="N5" i="1"/>
  <c r="M5" i="1"/>
  <c r="J5" i="1"/>
  <c r="I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J4" i="1"/>
  <c r="I4" i="1"/>
  <c r="D4" i="1"/>
  <c r="F4" i="1"/>
  <c r="E4" i="1"/>
  <c r="A4" i="1"/>
  <c r="AB3" i="1"/>
  <c r="AD3" i="1"/>
  <c r="AG3" i="1"/>
  <c r="AE3" i="1"/>
  <c r="AC3" i="1"/>
  <c r="V3" i="1"/>
  <c r="Q3" i="1"/>
  <c r="P3" i="1"/>
  <c r="O3" i="1"/>
  <c r="N3" i="1"/>
  <c r="M3" i="1"/>
  <c r="J3" i="1"/>
  <c r="I3" i="1"/>
  <c r="D3" i="1"/>
  <c r="F3" i="1"/>
  <c r="E3" i="1"/>
  <c r="A3" i="1"/>
  <c r="AB2" i="1"/>
  <c r="AD2" i="1"/>
  <c r="AG2" i="1"/>
  <c r="AE2" i="1"/>
  <c r="AC2" i="1"/>
  <c r="V2" i="1"/>
  <c r="Q2" i="1"/>
  <c r="P2" i="1"/>
  <c r="O2" i="1"/>
  <c r="N2" i="1"/>
  <c r="M2" i="1"/>
  <c r="J2" i="1"/>
  <c r="I2" i="1"/>
  <c r="D2" i="1"/>
  <c r="F2" i="1"/>
  <c r="E2" i="1"/>
  <c r="A2" i="1"/>
  <c r="B5" i="2"/>
  <c r="D5" i="2"/>
  <c r="E5" i="2"/>
  <c r="H5" i="2"/>
  <c r="B6" i="2"/>
  <c r="D6" i="2"/>
  <c r="E6" i="2"/>
  <c r="H6" i="2"/>
  <c r="B7" i="2"/>
  <c r="D7" i="2"/>
  <c r="E7" i="2"/>
  <c r="H7" i="2"/>
  <c r="B8" i="21"/>
  <c r="C8" i="21"/>
  <c r="D8" i="21"/>
  <c r="F8" i="21"/>
  <c r="G8" i="21"/>
  <c r="I8" i="21"/>
  <c r="J8" i="21"/>
  <c r="B7" i="21"/>
  <c r="C7" i="21"/>
  <c r="D7" i="21"/>
  <c r="F7" i="21"/>
  <c r="G7" i="21"/>
  <c r="I7" i="21"/>
  <c r="J7" i="21"/>
  <c r="B6" i="21"/>
  <c r="C6" i="21"/>
  <c r="D6" i="21"/>
  <c r="F6" i="21"/>
  <c r="G6" i="21"/>
  <c r="I6" i="21"/>
  <c r="J6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H45" i="9"/>
  <c r="J45" i="9"/>
  <c r="L45" i="9"/>
  <c r="N45" i="9"/>
  <c r="H46" i="9"/>
  <c r="J46" i="9"/>
  <c r="L46" i="9"/>
  <c r="N46" i="9"/>
  <c r="G47" i="9"/>
  <c r="H47" i="9"/>
  <c r="I47" i="9"/>
  <c r="J47" i="9"/>
  <c r="K47" i="9"/>
  <c r="L47" i="9"/>
  <c r="M47" i="9"/>
  <c r="N47" i="9"/>
  <c r="J45" i="11"/>
  <c r="O47" i="9"/>
  <c r="G48" i="9"/>
  <c r="H48" i="9"/>
  <c r="I48" i="9"/>
  <c r="J48" i="9"/>
  <c r="K48" i="9"/>
  <c r="L48" i="9"/>
  <c r="M48" i="9"/>
  <c r="N48" i="9"/>
  <c r="J46" i="11"/>
  <c r="O48" i="9"/>
  <c r="G49" i="9"/>
  <c r="H49" i="9"/>
  <c r="I49" i="9"/>
  <c r="J49" i="9"/>
  <c r="K49" i="9"/>
  <c r="L49" i="9"/>
  <c r="M49" i="9"/>
  <c r="N49" i="9"/>
  <c r="J47" i="11"/>
  <c r="O49" i="9"/>
  <c r="G50" i="9"/>
  <c r="H50" i="9"/>
  <c r="I50" i="9"/>
  <c r="J50" i="9"/>
  <c r="K50" i="9"/>
  <c r="L50" i="9"/>
  <c r="M50" i="9"/>
  <c r="N50" i="9"/>
  <c r="J48" i="11"/>
  <c r="O50" i="9"/>
  <c r="G51" i="9"/>
  <c r="H51" i="9"/>
  <c r="I51" i="9"/>
  <c r="J51" i="9"/>
  <c r="K51" i="9"/>
  <c r="L51" i="9"/>
  <c r="M51" i="9"/>
  <c r="N51" i="9"/>
  <c r="J49" i="11"/>
  <c r="O51" i="9"/>
  <c r="G52" i="9"/>
  <c r="H52" i="9"/>
  <c r="I52" i="9"/>
  <c r="J52" i="9"/>
  <c r="K52" i="9"/>
  <c r="L52" i="9"/>
  <c r="M52" i="9"/>
  <c r="N52" i="9"/>
  <c r="J50" i="11"/>
  <c r="O52" i="9"/>
  <c r="G53" i="9"/>
  <c r="H53" i="9"/>
  <c r="I53" i="9"/>
  <c r="J53" i="9"/>
  <c r="K53" i="9"/>
  <c r="L53" i="9"/>
  <c r="M53" i="9"/>
  <c r="N53" i="9"/>
  <c r="J51" i="11"/>
  <c r="O53" i="9"/>
  <c r="G54" i="9"/>
  <c r="H54" i="9"/>
  <c r="I54" i="9"/>
  <c r="J54" i="9"/>
  <c r="K54" i="9"/>
  <c r="L54" i="9"/>
  <c r="M54" i="9"/>
  <c r="N54" i="9"/>
  <c r="J52" i="11"/>
  <c r="O54" i="9"/>
  <c r="G55" i="9"/>
  <c r="H55" i="9"/>
  <c r="I55" i="9"/>
  <c r="J55" i="9"/>
  <c r="K55" i="9"/>
  <c r="L55" i="9"/>
  <c r="M55" i="9"/>
  <c r="N55" i="9"/>
  <c r="J53" i="11"/>
  <c r="O55" i="9"/>
  <c r="G56" i="9"/>
  <c r="H56" i="9"/>
  <c r="I56" i="9"/>
  <c r="J56" i="9"/>
  <c r="K56" i="9"/>
  <c r="L56" i="9"/>
  <c r="M56" i="9"/>
  <c r="N56" i="9"/>
  <c r="J54" i="11"/>
  <c r="O56" i="9"/>
  <c r="G57" i="9"/>
  <c r="H57" i="9"/>
  <c r="I57" i="9"/>
  <c r="J57" i="9"/>
  <c r="K57" i="9"/>
  <c r="L57" i="9"/>
  <c r="M57" i="9"/>
  <c r="N57" i="9"/>
  <c r="J55" i="11"/>
  <c r="O57" i="9"/>
  <c r="G58" i="9"/>
  <c r="H58" i="9"/>
  <c r="I58" i="9"/>
  <c r="J58" i="9"/>
  <c r="K58" i="9"/>
  <c r="L58" i="9"/>
  <c r="M58" i="9"/>
  <c r="N58" i="9"/>
  <c r="J56" i="11"/>
  <c r="O58" i="9"/>
  <c r="G59" i="9"/>
  <c r="H59" i="9"/>
  <c r="I59" i="9"/>
  <c r="J59" i="9"/>
  <c r="K59" i="9"/>
  <c r="L59" i="9"/>
  <c r="M59" i="9"/>
  <c r="N59" i="9"/>
  <c r="J57" i="11"/>
  <c r="O59" i="9"/>
  <c r="G60" i="9"/>
  <c r="H60" i="9"/>
  <c r="I60" i="9"/>
  <c r="J60" i="9"/>
  <c r="K60" i="9"/>
  <c r="L60" i="9"/>
  <c r="M60" i="9"/>
  <c r="N60" i="9"/>
  <c r="J58" i="11"/>
  <c r="O60" i="9"/>
  <c r="G61" i="9"/>
  <c r="H61" i="9"/>
  <c r="I61" i="9"/>
  <c r="J61" i="9"/>
  <c r="K61" i="9"/>
  <c r="L61" i="9"/>
  <c r="M61" i="9"/>
  <c r="N61" i="9"/>
  <c r="J59" i="11"/>
  <c r="O61" i="9"/>
  <c r="G62" i="9"/>
  <c r="H62" i="9"/>
  <c r="I62" i="9"/>
  <c r="J62" i="9"/>
  <c r="K62" i="9"/>
  <c r="L62" i="9"/>
  <c r="M62" i="9"/>
  <c r="N62" i="9"/>
  <c r="J60" i="11"/>
  <c r="O62" i="9"/>
  <c r="G63" i="9"/>
  <c r="H63" i="9"/>
  <c r="I63" i="9"/>
  <c r="J63" i="9"/>
  <c r="K63" i="9"/>
  <c r="L63" i="9"/>
  <c r="M63" i="9"/>
  <c r="N63" i="9"/>
  <c r="J61" i="11"/>
  <c r="O63" i="9"/>
  <c r="G64" i="9"/>
  <c r="H64" i="9"/>
  <c r="I64" i="9"/>
  <c r="J64" i="9"/>
  <c r="K64" i="9"/>
  <c r="L64" i="9"/>
  <c r="M64" i="9"/>
  <c r="N64" i="9"/>
  <c r="J62" i="11"/>
  <c r="O64" i="9"/>
  <c r="G65" i="9"/>
  <c r="H65" i="9"/>
  <c r="I65" i="9"/>
  <c r="J65" i="9"/>
  <c r="K65" i="9"/>
  <c r="L65" i="9"/>
  <c r="M65" i="9"/>
  <c r="N65" i="9"/>
  <c r="J63" i="11"/>
  <c r="O65" i="9"/>
  <c r="G66" i="9"/>
  <c r="H66" i="9"/>
  <c r="I66" i="9"/>
  <c r="J66" i="9"/>
  <c r="K66" i="9"/>
  <c r="L66" i="9"/>
  <c r="M66" i="9"/>
  <c r="N66" i="9"/>
  <c r="J64" i="11"/>
  <c r="O66" i="9"/>
  <c r="G67" i="9"/>
  <c r="H67" i="9"/>
  <c r="I67" i="9"/>
  <c r="J67" i="9"/>
  <c r="K67" i="9"/>
  <c r="L67" i="9"/>
  <c r="M67" i="9"/>
  <c r="N67" i="9"/>
  <c r="J65" i="11"/>
  <c r="O67" i="9"/>
  <c r="G68" i="9"/>
  <c r="H68" i="9"/>
  <c r="I68" i="9"/>
  <c r="J68" i="9"/>
  <c r="K68" i="9"/>
  <c r="L68" i="9"/>
  <c r="M68" i="9"/>
  <c r="N68" i="9"/>
  <c r="J66" i="11"/>
  <c r="O68" i="9"/>
  <c r="G69" i="9"/>
  <c r="H69" i="9"/>
  <c r="I69" i="9"/>
  <c r="J69" i="9"/>
  <c r="K69" i="9"/>
  <c r="L69" i="9"/>
  <c r="M69" i="9"/>
  <c r="N69" i="9"/>
  <c r="J67" i="11"/>
  <c r="O69" i="9"/>
  <c r="G70" i="9"/>
  <c r="H70" i="9"/>
  <c r="I70" i="9"/>
  <c r="J70" i="9"/>
  <c r="K70" i="9"/>
  <c r="L70" i="9"/>
  <c r="M70" i="9"/>
  <c r="N70" i="9"/>
  <c r="J68" i="11"/>
  <c r="O70" i="9"/>
  <c r="G71" i="9"/>
  <c r="H71" i="9"/>
  <c r="I71" i="9"/>
  <c r="J71" i="9"/>
  <c r="K71" i="9"/>
  <c r="L71" i="9"/>
  <c r="M71" i="9"/>
  <c r="N71" i="9"/>
  <c r="J69" i="11"/>
  <c r="O71" i="9"/>
  <c r="G72" i="9"/>
  <c r="H72" i="9"/>
  <c r="I72" i="9"/>
  <c r="J72" i="9"/>
  <c r="K72" i="9"/>
  <c r="L72" i="9"/>
  <c r="M72" i="9"/>
  <c r="N72" i="9"/>
  <c r="J70" i="11"/>
  <c r="O72" i="9"/>
  <c r="G73" i="9"/>
  <c r="H73" i="9"/>
  <c r="I73" i="9"/>
  <c r="J73" i="9"/>
  <c r="K73" i="9"/>
  <c r="L73" i="9"/>
  <c r="M73" i="9"/>
  <c r="N73" i="9"/>
  <c r="J71" i="11"/>
  <c r="O73" i="9"/>
  <c r="G74" i="9"/>
  <c r="H74" i="9"/>
  <c r="I74" i="9"/>
  <c r="J74" i="9"/>
  <c r="K74" i="9"/>
  <c r="L74" i="9"/>
  <c r="M74" i="9"/>
  <c r="N74" i="9"/>
  <c r="J72" i="11"/>
  <c r="O74" i="9"/>
  <c r="G75" i="9"/>
  <c r="H75" i="9"/>
  <c r="I75" i="9"/>
  <c r="J75" i="9"/>
  <c r="K75" i="9"/>
  <c r="L75" i="9"/>
  <c r="M75" i="9"/>
  <c r="N75" i="9"/>
  <c r="J73" i="11"/>
  <c r="O75" i="9"/>
  <c r="G76" i="9"/>
  <c r="H76" i="9"/>
  <c r="I76" i="9"/>
  <c r="J76" i="9"/>
  <c r="K76" i="9"/>
  <c r="L76" i="9"/>
  <c r="M76" i="9"/>
  <c r="N76" i="9"/>
  <c r="J74" i="11"/>
  <c r="O76" i="9"/>
  <c r="A76" i="9"/>
  <c r="D76" i="9"/>
  <c r="E76" i="9"/>
  <c r="A70" i="9"/>
  <c r="D70" i="9"/>
  <c r="E70" i="9"/>
  <c r="A71" i="9"/>
  <c r="D71" i="9"/>
  <c r="E71" i="9"/>
  <c r="A72" i="9"/>
  <c r="D72" i="9"/>
  <c r="E72" i="9"/>
  <c r="A73" i="9"/>
  <c r="D73" i="9"/>
  <c r="E73" i="9"/>
  <c r="A74" i="9"/>
  <c r="D74" i="9"/>
  <c r="E74" i="9"/>
  <c r="A75" i="9"/>
  <c r="D75" i="9"/>
  <c r="E75" i="9"/>
  <c r="A57" i="9"/>
  <c r="D57" i="9"/>
  <c r="E57" i="9"/>
  <c r="A58" i="9"/>
  <c r="D58" i="9"/>
  <c r="E58" i="9"/>
  <c r="A59" i="9"/>
  <c r="D59" i="9"/>
  <c r="E59" i="9"/>
  <c r="A60" i="9"/>
  <c r="D60" i="9"/>
  <c r="E60" i="9"/>
  <c r="A61" i="9"/>
  <c r="D61" i="9"/>
  <c r="E61" i="9"/>
  <c r="A62" i="9"/>
  <c r="D62" i="9"/>
  <c r="E62" i="9"/>
  <c r="A63" i="9"/>
  <c r="D63" i="9"/>
  <c r="E63" i="9"/>
  <c r="A64" i="9"/>
  <c r="D64" i="9"/>
  <c r="E64" i="9"/>
  <c r="A65" i="9"/>
  <c r="D65" i="9"/>
  <c r="E65" i="9"/>
  <c r="A66" i="9"/>
  <c r="D66" i="9"/>
  <c r="E66" i="9"/>
  <c r="A67" i="9"/>
  <c r="D67" i="9"/>
  <c r="E67" i="9"/>
  <c r="A68" i="9"/>
  <c r="D68" i="9"/>
  <c r="E68" i="9"/>
  <c r="A69" i="9"/>
  <c r="D69" i="9"/>
  <c r="E69" i="9"/>
  <c r="A48" i="9"/>
  <c r="D48" i="9"/>
  <c r="E48" i="9"/>
  <c r="A49" i="9"/>
  <c r="D49" i="9"/>
  <c r="E49" i="9"/>
  <c r="A50" i="9"/>
  <c r="D50" i="9"/>
  <c r="E50" i="9"/>
  <c r="A51" i="9"/>
  <c r="D51" i="9"/>
  <c r="E51" i="9"/>
  <c r="A52" i="9"/>
  <c r="D52" i="9"/>
  <c r="E52" i="9"/>
  <c r="A53" i="9"/>
  <c r="D53" i="9"/>
  <c r="E53" i="9"/>
  <c r="A54" i="9"/>
  <c r="D54" i="9"/>
  <c r="E54" i="9"/>
  <c r="A55" i="9"/>
  <c r="D55" i="9"/>
  <c r="E55" i="9"/>
  <c r="A56" i="9"/>
  <c r="D56" i="9"/>
  <c r="E56" i="9"/>
  <c r="E47" i="9"/>
  <c r="D47" i="9"/>
  <c r="A47" i="9"/>
  <c r="A45" i="9"/>
  <c r="D45" i="9"/>
  <c r="E45" i="9"/>
  <c r="A46" i="9"/>
  <c r="D46" i="9"/>
  <c r="E46" i="9"/>
  <c r="H44" i="9"/>
  <c r="J44" i="9"/>
  <c r="L44" i="9"/>
  <c r="N44" i="9"/>
  <c r="A44" i="9"/>
  <c r="D44" i="9"/>
  <c r="E44" i="9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K19" i="9"/>
  <c r="K20" i="9"/>
  <c r="J15" i="9"/>
  <c r="J16" i="9"/>
  <c r="E17" i="9"/>
  <c r="V7" i="1"/>
  <c r="V8" i="1"/>
  <c r="V9" i="1"/>
  <c r="V6" i="1"/>
  <c r="G2" i="9"/>
  <c r="H2" i="9"/>
  <c r="I2" i="9"/>
  <c r="J2" i="9"/>
  <c r="K2" i="9"/>
  <c r="L2" i="9"/>
  <c r="M2" i="9"/>
  <c r="N2" i="9"/>
  <c r="J2" i="11"/>
  <c r="O2" i="9"/>
  <c r="G3" i="9"/>
  <c r="H3" i="9"/>
  <c r="I3" i="9"/>
  <c r="J3" i="9"/>
  <c r="K3" i="9"/>
  <c r="L3" i="9"/>
  <c r="M3" i="9"/>
  <c r="N3" i="9"/>
  <c r="J3" i="11"/>
  <c r="O3" i="9"/>
  <c r="G4" i="9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J5" i="11"/>
  <c r="O5" i="9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J7" i="11"/>
  <c r="O7" i="9"/>
  <c r="G8" i="9"/>
  <c r="H8" i="9"/>
  <c r="I8" i="9"/>
  <c r="J8" i="9"/>
  <c r="K8" i="9"/>
  <c r="L8" i="9"/>
  <c r="M8" i="9"/>
  <c r="N8" i="9"/>
  <c r="J8" i="11"/>
  <c r="O8" i="9"/>
  <c r="G9" i="9"/>
  <c r="H9" i="9"/>
  <c r="I9" i="9"/>
  <c r="J9" i="9"/>
  <c r="K9" i="9"/>
  <c r="L9" i="9"/>
  <c r="M9" i="9"/>
  <c r="N9" i="9"/>
  <c r="J9" i="11"/>
  <c r="O9" i="9"/>
  <c r="G10" i="9"/>
  <c r="H10" i="9"/>
  <c r="I10" i="9"/>
  <c r="J10" i="9"/>
  <c r="K10" i="9"/>
  <c r="L10" i="9"/>
  <c r="M10" i="9"/>
  <c r="N10" i="9"/>
  <c r="J10" i="11"/>
  <c r="O10" i="9"/>
  <c r="G11" i="9"/>
  <c r="H11" i="9"/>
  <c r="I11" i="9"/>
  <c r="J11" i="9"/>
  <c r="K11" i="9"/>
  <c r="L11" i="9"/>
  <c r="M11" i="9"/>
  <c r="N11" i="9"/>
  <c r="J11" i="11"/>
  <c r="O11" i="9"/>
  <c r="G12" i="9"/>
  <c r="H12" i="9"/>
  <c r="I12" i="9"/>
  <c r="J12" i="9"/>
  <c r="K12" i="9"/>
  <c r="L12" i="9"/>
  <c r="M12" i="9"/>
  <c r="N12" i="9"/>
  <c r="J12" i="11"/>
  <c r="O12" i="9"/>
  <c r="G13" i="9"/>
  <c r="H13" i="9"/>
  <c r="I13" i="9"/>
  <c r="J13" i="9"/>
  <c r="K13" i="9"/>
  <c r="L13" i="9"/>
  <c r="M13" i="9"/>
  <c r="N13" i="9"/>
  <c r="J13" i="11"/>
  <c r="O13" i="9"/>
  <c r="G14" i="9"/>
  <c r="H14" i="9"/>
  <c r="I14" i="9"/>
  <c r="J14" i="9"/>
  <c r="K14" i="9"/>
  <c r="L14" i="9"/>
  <c r="M14" i="9"/>
  <c r="N14" i="9"/>
  <c r="J14" i="11"/>
  <c r="O14" i="9"/>
  <c r="G15" i="9"/>
  <c r="H15" i="9"/>
  <c r="I15" i="9"/>
  <c r="K15" i="9"/>
  <c r="L15" i="9"/>
  <c r="M15" i="9"/>
  <c r="N15" i="9"/>
  <c r="J15" i="11"/>
  <c r="J16" i="11"/>
  <c r="O15" i="9"/>
  <c r="G16" i="9"/>
  <c r="H16" i="9"/>
  <c r="I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J17" i="11"/>
  <c r="O17" i="9"/>
  <c r="G18" i="9"/>
  <c r="H18" i="9"/>
  <c r="I18" i="9"/>
  <c r="J18" i="9"/>
  <c r="K18" i="9"/>
  <c r="L18" i="9"/>
  <c r="M18" i="9"/>
  <c r="N18" i="9"/>
  <c r="J18" i="11"/>
  <c r="O18" i="9"/>
  <c r="G19" i="9"/>
  <c r="H19" i="9"/>
  <c r="I19" i="9"/>
  <c r="J19" i="9"/>
  <c r="L19" i="9"/>
  <c r="M19" i="9"/>
  <c r="N19" i="9"/>
  <c r="J19" i="11"/>
  <c r="O19" i="9"/>
  <c r="G20" i="9"/>
  <c r="H20" i="9"/>
  <c r="I20" i="9"/>
  <c r="J20" i="9"/>
  <c r="L20" i="9"/>
  <c r="M20" i="9"/>
  <c r="N20" i="9"/>
  <c r="J20" i="11"/>
  <c r="O20" i="9"/>
  <c r="G21" i="9"/>
  <c r="H21" i="9"/>
  <c r="I21" i="9"/>
  <c r="J21" i="9"/>
  <c r="K21" i="9"/>
  <c r="L21" i="9"/>
  <c r="M21" i="9"/>
  <c r="N21" i="9"/>
  <c r="J21" i="11"/>
  <c r="O21" i="9"/>
  <c r="G22" i="9"/>
  <c r="H22" i="9"/>
  <c r="I22" i="9"/>
  <c r="J22" i="9"/>
  <c r="K22" i="9"/>
  <c r="L22" i="9"/>
  <c r="M22" i="9"/>
  <c r="N22" i="9"/>
  <c r="J22" i="11"/>
  <c r="O22" i="9"/>
  <c r="G23" i="9"/>
  <c r="H23" i="9"/>
  <c r="I23" i="9"/>
  <c r="J23" i="9"/>
  <c r="K23" i="9"/>
  <c r="L23" i="9"/>
  <c r="M23" i="9"/>
  <c r="N23" i="9"/>
  <c r="J23" i="11"/>
  <c r="O23" i="9"/>
  <c r="G24" i="9"/>
  <c r="H24" i="9"/>
  <c r="I24" i="9"/>
  <c r="J24" i="9"/>
  <c r="K24" i="9"/>
  <c r="L24" i="9"/>
  <c r="M24" i="9"/>
  <c r="N24" i="9"/>
  <c r="J24" i="11"/>
  <c r="O24" i="9"/>
  <c r="G25" i="9"/>
  <c r="H25" i="9"/>
  <c r="I25" i="9"/>
  <c r="J25" i="9"/>
  <c r="K25" i="9"/>
  <c r="L25" i="9"/>
  <c r="M25" i="9"/>
  <c r="N25" i="9"/>
  <c r="J25" i="11"/>
  <c r="O25" i="9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A2" i="9"/>
  <c r="D2" i="9"/>
  <c r="A3" i="9"/>
  <c r="D3" i="9"/>
  <c r="E3" i="9"/>
  <c r="A4" i="9"/>
  <c r="D4" i="9"/>
  <c r="E4" i="9"/>
  <c r="A5" i="9"/>
  <c r="D5" i="9"/>
  <c r="E5" i="9"/>
  <c r="A6" i="9"/>
  <c r="D6" i="9"/>
  <c r="E6" i="9"/>
  <c r="A7" i="9"/>
  <c r="D7" i="9"/>
  <c r="E7" i="9"/>
  <c r="A8" i="9"/>
  <c r="D8" i="9"/>
  <c r="E8" i="9"/>
  <c r="A9" i="9"/>
  <c r="D9" i="9"/>
  <c r="E9" i="9"/>
  <c r="A10" i="9"/>
  <c r="D10" i="9"/>
  <c r="E10" i="9"/>
  <c r="A11" i="9"/>
  <c r="D11" i="9"/>
  <c r="A12" i="9"/>
  <c r="D12" i="9"/>
  <c r="E12" i="9"/>
  <c r="A13" i="9"/>
  <c r="D13" i="9"/>
  <c r="E13" i="9"/>
  <c r="A14" i="9"/>
  <c r="D14" i="9"/>
  <c r="A15" i="9"/>
  <c r="D15" i="9"/>
  <c r="E15" i="9"/>
  <c r="A16" i="9"/>
  <c r="D16" i="9"/>
  <c r="E16" i="9"/>
  <c r="A17" i="9"/>
  <c r="D17" i="9"/>
  <c r="A18" i="9"/>
  <c r="D18" i="9"/>
  <c r="E18" i="9"/>
  <c r="A19" i="9"/>
  <c r="D19" i="9"/>
  <c r="E19" i="9"/>
  <c r="A20" i="9"/>
  <c r="D20" i="9"/>
  <c r="E20" i="9"/>
  <c r="A21" i="9"/>
  <c r="D21" i="9"/>
  <c r="E21" i="9"/>
  <c r="A22" i="9"/>
  <c r="D22" i="9"/>
  <c r="E22" i="9"/>
  <c r="A23" i="9"/>
  <c r="D23" i="9"/>
  <c r="E23" i="9"/>
  <c r="A24" i="9"/>
  <c r="D24" i="9"/>
  <c r="E24" i="9"/>
  <c r="A25" i="9"/>
  <c r="D25" i="9"/>
  <c r="E25" i="9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37" i="9"/>
  <c r="H37" i="9"/>
  <c r="I37" i="9"/>
  <c r="J37" i="9"/>
  <c r="K37" i="9"/>
  <c r="L37" i="9"/>
  <c r="M37" i="9"/>
  <c r="N37" i="9"/>
  <c r="G38" i="9"/>
  <c r="H38" i="9"/>
  <c r="I38" i="9"/>
  <c r="J38" i="9"/>
  <c r="K38" i="9"/>
  <c r="L38" i="9"/>
  <c r="M38" i="9"/>
  <c r="N38" i="9"/>
  <c r="G39" i="9"/>
  <c r="H39" i="9"/>
  <c r="I39" i="9"/>
  <c r="J39" i="9"/>
  <c r="K39" i="9"/>
  <c r="L39" i="9"/>
  <c r="M39" i="9"/>
  <c r="N39" i="9"/>
  <c r="G40" i="9"/>
  <c r="H40" i="9"/>
  <c r="I40" i="9"/>
  <c r="J40" i="9"/>
  <c r="K40" i="9"/>
  <c r="L40" i="9"/>
  <c r="M40" i="9"/>
  <c r="N40" i="9"/>
  <c r="G41" i="9"/>
  <c r="H41" i="9"/>
  <c r="I41" i="9"/>
  <c r="J41" i="9"/>
  <c r="K41" i="9"/>
  <c r="L41" i="9"/>
  <c r="M41" i="9"/>
  <c r="N41" i="9"/>
  <c r="G42" i="9"/>
  <c r="H42" i="9"/>
  <c r="I42" i="9"/>
  <c r="J42" i="9"/>
  <c r="K42" i="9"/>
  <c r="L42" i="9"/>
  <c r="M42" i="9"/>
  <c r="N42" i="9"/>
  <c r="G43" i="9"/>
  <c r="H43" i="9"/>
  <c r="I43" i="9"/>
  <c r="J43" i="9"/>
  <c r="K43" i="9"/>
  <c r="L43" i="9"/>
  <c r="M43" i="9"/>
  <c r="N43" i="9"/>
  <c r="A27" i="9"/>
  <c r="D27" i="9"/>
  <c r="E27" i="9"/>
  <c r="O27" i="9"/>
  <c r="A28" i="9"/>
  <c r="D28" i="9"/>
  <c r="E28" i="9"/>
  <c r="O28" i="9"/>
  <c r="A29" i="9"/>
  <c r="D29" i="9"/>
  <c r="E29" i="9"/>
  <c r="O29" i="9"/>
  <c r="A30" i="9"/>
  <c r="D30" i="9"/>
  <c r="E30" i="9"/>
  <c r="O30" i="9"/>
  <c r="A31" i="9"/>
  <c r="D31" i="9"/>
  <c r="E31" i="9"/>
  <c r="O31" i="9"/>
  <c r="A32" i="9"/>
  <c r="D32" i="9"/>
  <c r="E32" i="9"/>
  <c r="O32" i="9"/>
  <c r="A33" i="9"/>
  <c r="D33" i="9"/>
  <c r="E33" i="9"/>
  <c r="O33" i="9"/>
  <c r="A34" i="9"/>
  <c r="D34" i="9"/>
  <c r="E34" i="9"/>
  <c r="O34" i="9"/>
  <c r="A35" i="9"/>
  <c r="D35" i="9"/>
  <c r="E35" i="9"/>
  <c r="O35" i="9"/>
  <c r="A36" i="9"/>
  <c r="D36" i="9"/>
  <c r="E36" i="9"/>
  <c r="O36" i="9"/>
  <c r="A37" i="9"/>
  <c r="D37" i="9"/>
  <c r="E37" i="9"/>
  <c r="O37" i="9"/>
  <c r="A38" i="9"/>
  <c r="D38" i="9"/>
  <c r="E38" i="9"/>
  <c r="O38" i="9"/>
  <c r="A39" i="9"/>
  <c r="D39" i="9"/>
  <c r="E39" i="9"/>
  <c r="O39" i="9"/>
  <c r="A40" i="9"/>
  <c r="D40" i="9"/>
  <c r="E40" i="9"/>
  <c r="O40" i="9"/>
  <c r="A41" i="9"/>
  <c r="D41" i="9"/>
  <c r="E41" i="9"/>
  <c r="O41" i="9"/>
  <c r="A42" i="9"/>
  <c r="D42" i="9"/>
  <c r="E42" i="9"/>
  <c r="O42" i="9"/>
  <c r="A43" i="9"/>
  <c r="D43" i="9"/>
  <c r="E43" i="9"/>
  <c r="O43" i="9"/>
  <c r="B3" i="2"/>
  <c r="D3" i="2"/>
  <c r="E3" i="2"/>
  <c r="H3" i="2"/>
  <c r="B4" i="2"/>
  <c r="D4" i="2"/>
  <c r="E4" i="2"/>
  <c r="H4" i="2"/>
  <c r="A9" i="7"/>
  <c r="D9" i="7"/>
  <c r="E9" i="7"/>
  <c r="F9" i="7"/>
  <c r="H9" i="7"/>
  <c r="I9" i="7"/>
  <c r="J9" i="7"/>
  <c r="N9" i="7"/>
  <c r="O9" i="7"/>
  <c r="P9" i="7"/>
  <c r="Q9" i="7"/>
  <c r="R9" i="7"/>
  <c r="W9" i="7"/>
  <c r="A13" i="7"/>
  <c r="D13" i="7"/>
  <c r="E13" i="7"/>
  <c r="F13" i="7"/>
  <c r="H13" i="7"/>
  <c r="I13" i="7"/>
  <c r="J13" i="7"/>
  <c r="N13" i="7"/>
  <c r="O13" i="7"/>
  <c r="P13" i="7"/>
  <c r="Q13" i="7"/>
  <c r="R13" i="7"/>
  <c r="W13" i="7"/>
  <c r="AB7" i="1"/>
  <c r="AC7" i="1"/>
  <c r="AD7" i="1"/>
  <c r="AE7" i="1"/>
  <c r="AG7" i="1"/>
  <c r="AB8" i="1"/>
  <c r="AC8" i="1"/>
  <c r="AD8" i="1"/>
  <c r="AE8" i="1"/>
  <c r="AG8" i="1"/>
  <c r="AB9" i="1"/>
  <c r="AC9" i="1"/>
  <c r="AD9" i="1"/>
  <c r="AE9" i="1"/>
  <c r="AG9" i="1"/>
  <c r="A10" i="7"/>
  <c r="D10" i="7"/>
  <c r="E10" i="7"/>
  <c r="F10" i="7"/>
  <c r="H10" i="7"/>
  <c r="I10" i="7"/>
  <c r="J10" i="7"/>
  <c r="N10" i="7"/>
  <c r="O10" i="7"/>
  <c r="P10" i="7"/>
  <c r="Q10" i="7"/>
  <c r="R10" i="7"/>
  <c r="W10" i="7"/>
  <c r="A11" i="7"/>
  <c r="D11" i="7"/>
  <c r="E11" i="7"/>
  <c r="F11" i="7"/>
  <c r="H11" i="7"/>
  <c r="I11" i="7"/>
  <c r="J11" i="7"/>
  <c r="N11" i="7"/>
  <c r="O11" i="7"/>
  <c r="P11" i="7"/>
  <c r="Q11" i="7"/>
  <c r="R11" i="7"/>
  <c r="W11" i="7"/>
  <c r="A12" i="7"/>
  <c r="D12" i="7"/>
  <c r="E12" i="7"/>
  <c r="F12" i="7"/>
  <c r="H12" i="7"/>
  <c r="I12" i="7"/>
  <c r="J12" i="7"/>
  <c r="N12" i="7"/>
  <c r="O12" i="7"/>
  <c r="P12" i="7"/>
  <c r="Q12" i="7"/>
  <c r="R12" i="7"/>
  <c r="W12" i="7"/>
  <c r="A8" i="1"/>
  <c r="D8" i="1"/>
  <c r="E8" i="1"/>
  <c r="F8" i="1"/>
  <c r="I8" i="1"/>
  <c r="J8" i="1"/>
  <c r="M8" i="1"/>
  <c r="N8" i="1"/>
  <c r="O8" i="1"/>
  <c r="P8" i="1"/>
  <c r="Q8" i="1"/>
  <c r="A9" i="1"/>
  <c r="D9" i="1"/>
  <c r="E9" i="1"/>
  <c r="F9" i="1"/>
  <c r="I9" i="1"/>
  <c r="J9" i="1"/>
  <c r="M9" i="1"/>
  <c r="N9" i="1"/>
  <c r="O9" i="1"/>
  <c r="P9" i="1"/>
  <c r="Q9" i="1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M10" i="10"/>
  <c r="N10" i="10"/>
  <c r="Q10" i="10"/>
  <c r="P10" i="10"/>
  <c r="R10" i="10"/>
  <c r="O10" i="10"/>
  <c r="S10" i="10"/>
  <c r="M9" i="10"/>
  <c r="N9" i="10"/>
  <c r="Q9" i="10"/>
  <c r="P9" i="10"/>
  <c r="R9" i="10"/>
  <c r="O9" i="10"/>
  <c r="S9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1" i="10"/>
  <c r="M15" i="10"/>
  <c r="N15" i="10"/>
  <c r="Q15" i="10"/>
  <c r="P15" i="10"/>
  <c r="R15" i="10"/>
  <c r="O15" i="10"/>
  <c r="S15" i="10"/>
  <c r="N11" i="10"/>
  <c r="Q11" i="10"/>
  <c r="P11" i="10"/>
  <c r="R11" i="10"/>
  <c r="O11" i="10"/>
  <c r="S11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2" i="10"/>
  <c r="N12" i="10"/>
  <c r="Q12" i="10"/>
  <c r="P12" i="10"/>
  <c r="R12" i="10"/>
  <c r="O12" i="10"/>
  <c r="S12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3" i="10"/>
  <c r="N13" i="10"/>
  <c r="Q13" i="10"/>
  <c r="P13" i="10"/>
  <c r="R13" i="10"/>
  <c r="O13" i="10"/>
  <c r="S13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T9" i="10"/>
  <c r="U9" i="10"/>
  <c r="V9" i="10"/>
  <c r="W9" i="10"/>
  <c r="X9" i="10"/>
  <c r="Y9" i="10"/>
  <c r="G10" i="10"/>
  <c r="H10" i="10"/>
  <c r="I10" i="10"/>
  <c r="J10" i="10"/>
  <c r="K10" i="10"/>
  <c r="L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J26" i="11"/>
  <c r="O26" i="9"/>
  <c r="D26" i="9"/>
  <c r="C4" i="16"/>
  <c r="C5" i="16"/>
  <c r="C6" i="16"/>
  <c r="C7" i="16"/>
  <c r="C8" i="16"/>
  <c r="C9" i="16"/>
  <c r="C3" i="16"/>
  <c r="E9" i="16"/>
  <c r="W8" i="7"/>
  <c r="R8" i="7"/>
  <c r="Q8" i="7"/>
  <c r="P8" i="7"/>
  <c r="O8" i="7"/>
  <c r="N8" i="7"/>
  <c r="AB6" i="1"/>
  <c r="AE6" i="1"/>
  <c r="AD6" i="1"/>
  <c r="AC6" i="1"/>
  <c r="Q7" i="1"/>
  <c r="P7" i="1"/>
  <c r="O7" i="1"/>
  <c r="N7" i="1"/>
  <c r="M7" i="1"/>
  <c r="Q6" i="1"/>
  <c r="P6" i="1"/>
  <c r="O6" i="1"/>
  <c r="N6" i="1"/>
  <c r="M6" i="1"/>
  <c r="AG6" i="1"/>
  <c r="H8" i="7"/>
  <c r="J8" i="7"/>
  <c r="E8" i="16"/>
  <c r="E7" i="16"/>
  <c r="E6" i="16"/>
  <c r="E5" i="16"/>
  <c r="E4" i="16"/>
  <c r="E3" i="16"/>
  <c r="E2" i="16"/>
  <c r="A7" i="1"/>
  <c r="A6" i="1"/>
  <c r="A26" i="9"/>
  <c r="J7" i="1"/>
  <c r="I7" i="1"/>
  <c r="D7" i="1"/>
  <c r="F7" i="1"/>
  <c r="E7" i="1"/>
  <c r="A8" i="7"/>
  <c r="I8" i="7"/>
  <c r="D8" i="7"/>
  <c r="F8" i="7"/>
  <c r="E8" i="7"/>
  <c r="J6" i="1"/>
  <c r="I6" i="1"/>
  <c r="D2" i="2"/>
  <c r="E2" i="2"/>
  <c r="H2" i="2"/>
  <c r="D6" i="1"/>
  <c r="E6" i="1"/>
  <c r="F6" i="1"/>
  <c r="B2" i="2"/>
  <c r="G45" i="9"/>
  <c r="I45" i="9"/>
  <c r="K45" i="9"/>
  <c r="M45" i="9"/>
  <c r="J44" i="11"/>
  <c r="O45" i="9"/>
  <c r="G46" i="9"/>
  <c r="I46" i="9"/>
  <c r="K46" i="9"/>
  <c r="M46" i="9"/>
  <c r="O46" i="9"/>
  <c r="G44" i="9"/>
  <c r="I44" i="9"/>
  <c r="K44" i="9"/>
  <c r="M44" i="9"/>
  <c r="O44" i="9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<sst xmlns="http://schemas.openxmlformats.org/spreadsheetml/2006/main" count="1041" uniqueCount="382">
  <si>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</si>
  <si>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</si>
  <si>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</si>
  <si>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</si>
  <si>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</si>
  <si>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</si>
  <si>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</si>
  <si>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</si>
  <si>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</si>
  <si>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</si>
  <si>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</si>
  <si>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</si>
  <si>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</si>
  <si>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</si>
  <si>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</si>
  <si>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</si>
  <si>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</si>
  <si>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</si>
  <si>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</si>
  <si>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</si>
  <si>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</si>
  <si>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</si>
  <si>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</si>
  <si>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</si>
  <si>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</si>
  <si>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</si>
  <si>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</si>
  <si>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</si>
  <si>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</si>
  <si>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</si>
  <si>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</si>
  <si>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</si>
  <si>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</si>
  <si>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</si>
  <si>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</si>
  <si>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</si>
  <si>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</si>
  <si>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</si>
  <si>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</si>
  <si>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</si>
  <si>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</si>
  <si>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</si>
  <si>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</si>
  <si>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</si>
  <si>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</si>
  <si>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</si>
  <si>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</si>
  <si>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</si>
  <si>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</si>
  <si>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</si>
  <si>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</si>
  <si>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</si>
  <si>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</si>
  <si>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</si>
  <si>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</si>
  <si>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</si>
  <si>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</si>
  <si>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</si>
  <si>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</si>
  <si>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</si>
  <si>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</si>
  <si>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</si>
  <si>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</si>
  <si>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</si>
  <si>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</si>
  <si>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</si>
  <si>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</si>
  <si>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</si>
  <si>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</si>
  <si>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</si>
  <si>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</si>
  <si>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</si>
  <si>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</si>
  <si>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</si>
  <si>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</si>
  <si>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</si>
  <si>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</si>
  <si>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</si>
  <si>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</si>
  <si>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</si>
  <si>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</si>
  <si>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</si>
  <si>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</si>
  <si>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</si>
  <si>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</si>
  <si>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</si>
  <si>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</si>
  <si>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</si>
  <si>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</si>
  <si>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</si>
  <si>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</si>
  <si>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</si>
  <si>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</si>
  <si>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</si>
  <si>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</si>
  <si>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</si>
  <si>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</si>
  <si>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</si>
  <si>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</si>
  <si>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</si>
  <si>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</si>
  <si>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</si>
  <si>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</si>
  <si>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</si>
  <si>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</si>
  <si>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</si>
  <si>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</si>
  <si>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</si>
  <si>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</si>
  <si>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</si>
  <si>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</si>
  <si>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</si>
  <si>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</si>
  <si>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</si>
  <si>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</si>
  <si>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</si>
  <si>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</si>
  <si>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</si>
  <si>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</si>
  <si>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</si>
  <si>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</si>
  <si>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</si>
  <si>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</si>
  <si>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</si>
  <si>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</si>
  <si>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</si>
  <si>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</si>
  <si>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</si>
  <si>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</si>
  <si>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</si>
  <si>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</si>
  <si>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</si>
  <si>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</si>
  <si>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</si>
  <si>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</si>
  <si>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</si>
  <si>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</si>
  <si>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</si>
  <si>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</si>
  <si>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</si>
  <si>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</si>
  <si>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</si>
  <si>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</si>
  <si>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</si>
  <si>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</si>
  <si>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</si>
  <si>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</si>
  <si>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</si>
  <si>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</si>
  <si>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</si>
  <si>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</si>
  <si>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</si>
  <si>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</si>
  <si>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</si>
  <si>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</si>
  <si>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</si>
  <si>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</si>
  <si>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</si>
  <si>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</si>
  <si>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</si>
  <si>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</si>
  <si>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</si>
  <si>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</si>
  <si>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</si>
  <si>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</si>
  <si>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</si>
  <si>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</si>
  <si>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</si>
  <si>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</si>
  <si>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</si>
  <si>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</si>
  <si>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</si>
  <si>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</si>
  <si>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</si>
  <si>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</si>
  <si>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</si>
  <si>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</si>
  <si>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</si>
  <si>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</si>
  <si>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</si>
  <si>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</si>
  <si>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</si>
  <si>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</si>
  <si>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</si>
  <si>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</si>
  <si>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</si>
  <si>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</si>
  <si>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</si>
  <si>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</si>
  <si>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</si>
  <si>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</si>
  <si>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</si>
  <si>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</si>
  <si>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</si>
  <si>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</si>
  <si>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</si>
  <si>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</si>
  <si>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</si>
  <si>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</si>
  <si>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</si>
  <si>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</si>
  <si>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</si>
  <si>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</si>
  <si>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</si>
  <si>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</si>
  <si>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</si>
  <si>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</si>
  <si>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</si>
  <si>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</si>
  <si>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</si>
  <si>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old</t>
  </si>
  <si>
    <t>青パネルを吸収して全体攻撃</t>
    <rPh sb="0" eb="1">
      <t>アオパネルヲキュウシュウシテ</t>
    </rPh>
    <rPh sb="9" eb="13">
      <t>ゼンタイコウゲキ</t>
    </rPh>
    <phoneticPr fontId="5"/>
  </si>
  <si>
    <t>[effect:fix_speed,target:myself,turn:3]</t>
    <phoneticPr fontId="5"/>
  </si>
  <si>
    <t>[effect:dark, turn:3,target:unit_all,animation:enemy_dark],[effect:spread, val:0.2, animation:enemy_spread]</t>
    <phoneticPr fontId="5"/>
  </si>
  <si>
    <t>3ターン暗闇＋全体攻撃</t>
    <rPh sb="4" eb="6">
      <t>クラヤミ</t>
    </rPh>
    <rPh sb="7" eb="9">
      <t>ゼンタイ</t>
    </rPh>
    <rPh sb="9" eb="11">
      <t>コウゲキ</t>
    </rPh>
    <phoneticPr fontId="5"/>
  </si>
  <si>
    <t>全体攻撃</t>
    <rPh sb="0" eb="4">
      <t>ゼンタイコウゲキ</t>
    </rPh>
    <phoneticPr fontId="5"/>
  </si>
  <si>
    <t>ja</t>
    <phoneticPr fontId="5"/>
  </si>
  <si>
    <t>3ターン攻撃力UP</t>
    <phoneticPr fontId="5"/>
  </si>
  <si>
    <t>[effect:fix_speed,target:myself,turn:1]</t>
    <phoneticPr fontId="5"/>
  </si>
  <si>
    <t>[effect:critical, val:5.0, animation:enemy_critical],[effect:fix_speed,target:myself,turn:2]</t>
    <phoneticPr fontId="5"/>
  </si>
  <si>
    <t>超強力な一撃！</t>
    <rPh sb="0" eb="1">
      <t>チョウ</t>
    </rPh>
    <rPh sb="1" eb="3">
      <t>キョウリョク</t>
    </rPh>
    <rPh sb="4" eb="6">
      <t>イチゲキ</t>
    </rPh>
    <phoneticPr fontId="5"/>
  </si>
  <si>
    <t>[effect:freq_turn, target:myself, turn:3, val:1, animation:enemy_freq_turn]</t>
    <phoneticPr fontId="5"/>
  </si>
  <si>
    <t>ja</t>
    <phoneticPr fontId="5"/>
  </si>
  <si>
    <t>null</t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</si>
  <si>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</si>
  <si>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</si>
  <si>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</si>
  <si>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</si>
  <si>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</si>
  <si>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</si>
  <si>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</si>
  <si>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</si>
  <si>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</si>
  <si>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</si>
  <si>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</si>
  <si>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[effect:rush, count:3, val:0.4]</t>
    <phoneticPr fontId="5"/>
  </si>
  <si>
    <t>全体攻撃</t>
    <phoneticPr fontId="5"/>
  </si>
  <si>
    <t>[effect:fix_speed,target:myself,turn:1]</t>
    <phoneticPr fontId="5"/>
  </si>
  <si>
    <t xml:space="preserve">[effect:fix_speed, target:myself, turn:1],[effect:fix_speed, target:enemy_unknown, turn:2]    </t>
    <phoneticPr fontId="5"/>
  </si>
  <si>
    <t>ゆけ！親愛なる仲間達よ！</t>
    <rPh sb="3" eb="5">
      <t>シンアイナル</t>
    </rPh>
    <rPh sb="7" eb="10">
      <t>ナカマタチ</t>
    </rPh>
    <phoneticPr fontId="5"/>
  </si>
  <si>
    <t xml:space="preserve">[effect:rush, count:2, val:0.6]    </t>
    <phoneticPr fontId="5"/>
  </si>
  <si>
    <t xml:space="preserve">[effect:spread, val:0.32]    </t>
    <phoneticPr fontId="5"/>
  </si>
  <si>
    <t xml:space="preserve">[effect:dis_heart, turn:1, animation:enemy_dis_heart]    </t>
    <phoneticPr fontId="5"/>
  </si>
  <si>
    <t>[effect:heal, target:enemy_all, val:0.1, animation:enemy_heal]</t>
    <phoneticPr fontId="5"/>
  </si>
  <si>
    <t xml:space="preserve">[effect:spread, val:0.32]    </t>
    <phoneticPr fontId="5"/>
  </si>
  <si>
    <t xml:space="preserve">[effect:change_panel_ratio, turn:3, block_type:heal, val:0, animation:block_incidence04]    </t>
    <phoneticPr fontId="5"/>
  </si>
  <si>
    <t>[effect:change_panel_ratio, turn:1, block_type:blue, val:0, animation:block_incidence04],[effect:fix_speed, target:myself, turn:1]</t>
    <phoneticPr fontId="5"/>
  </si>
  <si>
    <t>[effect:enhance_enemy, target:enemy_all, turn:-1, status:defense, val:2000, calc:add, animation:enemy_enhance_attack]</t>
    <phoneticPr fontId="5"/>
  </si>
  <si>
    <t xml:space="preserve">[effect:fix_speed, target:myself, turn:2]    </t>
    <phoneticPr fontId="5"/>
  </si>
  <si>
    <t xml:space="preserve">[effect:change_attribute, target:myself, color:red, turn:-1, animation:change_attribute_red],[effect:fix_speed, target:myself, turn:2]    </t>
    <phoneticPr fontId="5"/>
  </si>
  <si>
    <t xml:space="preserve">[effect:spread, val:0.31]    </t>
    <phoneticPr fontId="5"/>
  </si>
  <si>
    <t xml:space="preserve">[effect:rush, count:2, val:0.55]    </t>
    <phoneticPr fontId="5"/>
  </si>
  <si>
    <t xml:space="preserve">[effect:critical, val:1.4]    </t>
    <phoneticPr fontId="5"/>
  </si>
  <si>
    <t>余裕の笑みを浮かべている</t>
    <rPh sb="0" eb="2">
      <t>ヨユウノエミ</t>
    </rPh>
    <rPh sb="6" eb="7">
      <t>ウカベテイル</t>
    </rPh>
    <phoneticPr fontId="5"/>
  </si>
  <si>
    <t>ポムポムプリンを追っていった…</t>
    <rPh sb="8" eb="9">
      <t>オッテ</t>
    </rPh>
    <phoneticPr fontId="5"/>
  </si>
  <si>
    <t>赤属性に変化した</t>
    <rPh sb="0" eb="3">
      <t>アカゾクセイニ</t>
    </rPh>
    <rPh sb="4" eb="6">
      <t>ヘンカ</t>
    </rPh>
    <phoneticPr fontId="5"/>
  </si>
  <si>
    <t xml:space="preserve">[effect:enhance_enemy, target:myself, turn:4, status:attack, val:1.1, calc:mul, animation:enemy_enhance_attack],[effect:enhance_unit, target:unit_all, turn:4, status:heal, val:1.5, calc:mul]    </t>
    <phoneticPr fontId="5"/>
  </si>
  <si>
    <t>あら？あなたも食べたいの？</t>
  </si>
  <si>
    <t>残念、あげないわよ♪</t>
  </si>
  <si>
    <t>ベリーベリーアタック</t>
  </si>
  <si>
    <t>いつもと違う私、どう？</t>
  </si>
  <si>
    <t>スイートティラミス</t>
  </si>
  <si>
    <t>クッキーラッシュ</t>
  </si>
  <si>
    <t>スプラッシュミント</t>
  </si>
  <si>
    <t>ミラクルシロップ</t>
  </si>
  <si>
    <t>あ！ちょっと！私のパフェ…！</t>
  </si>
  <si>
    <t>お邪魔パネル出現＋クリティカル</t>
    <phoneticPr fontId="5"/>
  </si>
  <si>
    <t>[effect:force_change_block, new_block:block_heart, target:block_green, count:15, val:0, animation:change_block],[effect:spread, val:0.41],[effect:fix_speed,target:myself,turn:2]</t>
    <phoneticPr fontId="5"/>
  </si>
  <si>
    <t>1ターンハートパネル無効</t>
    <rPh sb="10" eb="12">
      <t>mukou</t>
    </rPh>
    <phoneticPr fontId="5"/>
  </si>
  <si>
    <t>ランダムで時限式ダメージパネルに変換</t>
    <rPh sb="5" eb="8">
      <t>jigensiki</t>
    </rPh>
    <rPh sb="16" eb="18">
      <t>ヘンカn</t>
    </rPh>
    <phoneticPr fontId="5"/>
  </si>
  <si>
    <t>黄属性に大ダメージ</t>
    <rPh sb="0" eb="3">
      <t>キゾクセイ</t>
    </rPh>
    <rPh sb="4" eb="5">
      <t>ダイダメージ</t>
    </rPh>
    <phoneticPr fontId="5"/>
  </si>
  <si>
    <t>防御力UP</t>
    <rPh sb="0" eb="3">
      <t>ゼンタイボウギョリョク</t>
    </rPh>
    <phoneticPr fontId="5"/>
  </si>
  <si>
    <t>クリティカル</t>
    <phoneticPr fontId="5"/>
  </si>
  <si>
    <t>次のターンに青パネルを吸収して全体攻撃</t>
    <rPh sb="0" eb="1">
      <t>ツギノターン</t>
    </rPh>
    <rPh sb="6" eb="7">
      <t>アオパネル</t>
    </rPh>
    <rPh sb="11" eb="13">
      <t>キュウシュウ</t>
    </rPh>
    <rPh sb="15" eb="19">
      <t>ゼンタイコウゲキ</t>
    </rPh>
    <phoneticPr fontId="5"/>
  </si>
  <si>
    <t xml:space="preserve">[effect:damage_anti_color, target:unit_all, color:yellow, val1:1.5, val2:0.4]    </t>
    <phoneticPr fontId="5"/>
  </si>
  <si>
    <t xml:space="preserve">[effect:critical, val:1.5]    </t>
    <phoneticPr fontId="5"/>
  </si>
  <si>
    <t xml:space="preserve">[effect:critical, val:1.5]    </t>
    <phoneticPr fontId="5"/>
  </si>
  <si>
    <t>[effect:break_attack_fix, val:250, lowest_val:1000, count:-1, block:block_blue, target:unit_all],[effect:fix_speed, target:myself, turn:2]</t>
    <phoneticPr fontId="5"/>
  </si>
  <si>
    <t xml:space="preserve">[effect:enhance_fever, val:700.0, animation:fevergauge_up04]    </t>
    <phoneticPr fontId="5"/>
  </si>
  <si>
    <t xml:space="preserve">[effect:enhance_fever, val:500.0, animation:fevergauge_up04]    </t>
    <phoneticPr fontId="5"/>
  </si>
  <si>
    <t>3ターンハートパネルをドロップしない</t>
    <phoneticPr fontId="5"/>
  </si>
  <si>
    <t>クリティカル</t>
    <phoneticPr fontId="5"/>
  </si>
  <si>
    <t>4ターン攻撃力UP＋味方の回復力UP</t>
    <rPh sb="10" eb="12">
      <t>ミカタノ</t>
    </rPh>
    <rPh sb="13" eb="16">
      <t>カイフクリョク</t>
    </rPh>
    <phoneticPr fontId="5"/>
  </si>
  <si>
    <t>フラワーリング</t>
    <phoneticPr fontId="5"/>
  </si>
  <si>
    <t>ブロッサムリング</t>
    <phoneticPr fontId="5"/>
  </si>
  <si>
    <t>イエローレイド</t>
    <phoneticPr fontId="5"/>
  </si>
  <si>
    <t>ダブルフラッシュ</t>
    <phoneticPr fontId="5"/>
  </si>
  <si>
    <t>セーフモード</t>
    <phoneticPr fontId="5"/>
  </si>
  <si>
    <t>グリーンフラッシュ</t>
    <phoneticPr fontId="5"/>
  </si>
  <si>
    <t>カレイドスコープ</t>
    <phoneticPr fontId="5"/>
  </si>
  <si>
    <t>アンハッピードリーム</t>
    <phoneticPr fontId="5"/>
  </si>
  <si>
    <t>ふふふ…いくわよ</t>
    <phoneticPr fontId="5"/>
  </si>
  <si>
    <t>フル・ブロッサム</t>
    <phoneticPr fontId="5"/>
  </si>
  <si>
    <t>ハートスポイル</t>
    <phoneticPr fontId="5"/>
  </si>
  <si>
    <t>クリティカル</t>
    <phoneticPr fontId="5"/>
  </si>
  <si>
    <t>HPチャージ</t>
    <phoneticPr fontId="5"/>
  </si>
  <si>
    <t>一緒にがんばろうゼ！</t>
    <phoneticPr fontId="5"/>
  </si>
  <si>
    <t>3ターンの間スピードアップ</t>
    <phoneticPr fontId="5"/>
  </si>
  <si>
    <t>仲間達の力を合わせた攻撃！</t>
    <rPh sb="0" eb="3">
      <t>ナカマタチ</t>
    </rPh>
    <rPh sb="4" eb="5">
      <t>チカラヲ</t>
    </rPh>
    <rPh sb="10" eb="12">
      <t>コウゲキ</t>
    </rPh>
    <phoneticPr fontId="5"/>
  </si>
  <si>
    <t>フン…悪くない遊戯だったな…</t>
    <phoneticPr fontId="5"/>
  </si>
  <si>
    <t>またいずれ相手をしてやろう！</t>
    <phoneticPr fontId="5"/>
  </si>
  <si>
    <t>あらあら…お強いのね</t>
    <phoneticPr fontId="5"/>
  </si>
  <si>
    <t>また遊んでやるゼ！</t>
    <phoneticPr fontId="5"/>
  </si>
  <si>
    <t>みんな仲が良さそうだ</t>
    <phoneticPr fontId="5"/>
  </si>
  <si>
    <t>お邪魔パネル出現＋クリティカル</t>
  </si>
  <si>
    <t>なかなかやるな！</t>
    <phoneticPr fontId="5"/>
  </si>
  <si>
    <t xml:space="preserve">[effect:degrade_unit, target:unit_all, turn:3, status:attack, val:0.5, calc:mul]    </t>
    <phoneticPr fontId="5"/>
  </si>
  <si>
    <t xml:space="preserve">[effect:degrade_unit, target:unit_all, turn:3, status:heal, val:0.5, calc:mul]    </t>
    <phoneticPr fontId="5"/>
  </si>
  <si>
    <t>[effect:force_change_block, new_block:time_bomb, target:block_all, count:15, val:0.2, min_time_count:2, max_time_count:3, animation:change_block]</t>
    <phoneticPr fontId="5"/>
  </si>
  <si>
    <t>[effect:spread, val:0.35, animation:enemy_spread]</t>
    <phoneticPr fontId="5"/>
  </si>
  <si>
    <t>[effect:change_block, new_block:jammer, target:block_all, count:8, val:0.0, animation:change_block][effect:critical, val:1.33, animation:enemy_critical]</t>
    <phoneticPr fontId="5"/>
  </si>
  <si>
    <t>[effect:spread, val:0.36, animation:enemy_spread]</t>
    <phoneticPr fontId="5"/>
  </si>
  <si>
    <t>[effect:enhance_enemy, target:enemy_all, turn:3, status:attack, val:0.3, animation:enemy_enhance_enemy]</t>
    <phoneticPr fontId="5"/>
  </si>
  <si>
    <t>[effect:rush, count:6, val:0.21]</t>
    <phoneticPr fontId="5"/>
  </si>
  <si>
    <t>[effect:change_block, new_block:jammer, target:block_all, count:8, val:0.0, animation:change_block][effect:critical, val:1.21, animation:enemy_critical]</t>
    <phoneticPr fontId="5"/>
  </si>
  <si>
    <t>[effect:spread, val:0.28, animation:enemy_spread]</t>
    <phoneticPr fontId="5"/>
  </si>
  <si>
    <t>[effect:spread, val:0.09],[effect:spread, val:0.1],[effect:spread, val:0.11]</t>
    <phoneticPr fontId="5"/>
  </si>
  <si>
    <t>[effect:enemy_message, val1:2, val2:2, dead_type:escape]</t>
    <phoneticPr fontId="5"/>
  </si>
  <si>
    <t>[effect:enemy_message, val1:2, val2:2, dead_type:escape]</t>
    <phoneticPr fontId="5"/>
  </si>
  <si>
    <t>[effect:enemy_message, val1:2.1, val2:2.1, dead_type:escape]</t>
    <phoneticPr fontId="5"/>
  </si>
  <si>
    <t>モルドレッドは1ゲージ目のはじめに
ハートパネルのドロップをゼロにします
回復が難しくなりますが
Cパネルが作りやすくなります</t>
    <phoneticPr fontId="5"/>
  </si>
  <si>
    <t>モルドレッドは2ゲージ目のHPが減ると
攻撃力UPを行います
クリティカル攻撃がより強力になるため
注意しましょう</t>
    <phoneticPr fontId="5"/>
  </si>
  <si>
    <t>ニーベルゲンは2ゲージ目に入ると
味方のステータスを下げるスキルを使います</t>
    <phoneticPr fontId="5"/>
  </si>
  <si>
    <t>アザゼルはパネルをお邪魔パネルに変換する
スキルを使うことがあります
フィーバーやスキルを使って対応しましょう</t>
    <phoneticPr fontId="5"/>
  </si>
  <si>
    <t>アザゼルは2ゲージ目で全ての緑パネルを
ハートパネルに変換しますが
同時に大ダメージの攻撃も行います</t>
    <phoneticPr fontId="5"/>
  </si>
  <si>
    <t>アザゼルは3ゲージ目に入ると
行動速度が1になります
強力な攻撃が連続するので
回復力や防御力を上げるスキルが有効です</t>
    <phoneticPr fontId="5"/>
  </si>
  <si>
    <t>アザゼルは3ゲージ目のはじめに
フィーバーゲージを上昇させます
攻撃力UPスキルなどを準備しておくと
より有利に進められます</t>
    <phoneticPr fontId="5"/>
  </si>
  <si>
    <t>[effect:change_block, new_block:jammer, target:block_all, count:5, val:0.0, animation:change_block][effect:critical, val:1.3, animation:enemy_critical]</t>
    <phoneticPr fontId="5"/>
  </si>
  <si>
    <t>[effect:change_block, new_block:jammer, target:block_all, count:5, val:0.0, animation:change_block][effect:critical, val:1.2, animation:enemy_critical]</t>
    <phoneticPr fontId="5"/>
  </si>
  <si>
    <t>超級アザゼル</t>
    <phoneticPr fontId="5"/>
  </si>
  <si>
    <t>アンラッキードリーム</t>
    <phoneticPr fontId="5"/>
  </si>
  <si>
    <t>ミスフォーチュンリング</t>
    <phoneticPr fontId="5"/>
  </si>
  <si>
    <t>[effect:enemy_message, val1:2, val2:2, dead_type:escape],[effect:suicide, val:1, dead_type:escape]</t>
    <phoneticPr fontId="5"/>
  </si>
  <si>
    <t>link</t>
    <phoneticPr fontId="5"/>
  </si>
  <si>
    <t>unit</t>
    <phoneticPr fontId="5"/>
  </si>
  <si>
    <t>つぎは負けないわよ…</t>
    <phoneticPr fontId="5"/>
  </si>
  <si>
    <t>敵全体回復</t>
    <rPh sb="3" eb="5">
      <t>カイフク</t>
    </rPh>
    <phoneticPr fontId="5"/>
  </si>
  <si>
    <t>3ターン攻撃力50％ダウン</t>
    <phoneticPr fontId="5"/>
  </si>
  <si>
    <t>3ターン回復力50％ダウン</t>
    <phoneticPr fontId="5"/>
  </si>
  <si>
    <t>3回連続攻撃</t>
    <rPh sb="2" eb="6">
      <t>レンゾクコウゲキ</t>
    </rPh>
    <phoneticPr fontId="5"/>
  </si>
  <si>
    <t>2回連続攻撃</t>
    <rPh sb="2" eb="6">
      <t>レンゾクコウゲキ</t>
    </rPh>
    <phoneticPr fontId="5"/>
  </si>
  <si>
    <t>2回連続攻撃</t>
    <rPh sb="2" eb="6">
      <t>ニレンゾクコウゲキ</t>
    </rPh>
    <phoneticPr fontId="5"/>
  </si>
  <si>
    <t>3回連続攻撃</t>
    <phoneticPr fontId="5"/>
  </si>
  <si>
    <t>6回連続攻撃</t>
    <phoneticPr fontId="5"/>
  </si>
  <si>
    <t xml:space="preserve">[effect:enhance_enemy, target:myself, turn:2, status:attack, val:1.1, calc:mul, animation:enemy_enhance_attack],[effect:enhance_unit, target:unit_all, turn:2, status:attack, val:1.1, calc:mul],[effect:enhance_unit, target:unit_ss, turn:2, status:attack, val:1.13, calc:mul]    </t>
    <phoneticPr fontId="5"/>
  </si>
  <si>
    <t>緑パネルをハートに変換＋全体攻撃</t>
    <rPh sb="0" eb="1">
      <t>ミドリ</t>
    </rPh>
    <rPh sb="9" eb="11">
      <t>ヘンカn</t>
    </rPh>
    <phoneticPr fontId="5"/>
  </si>
  <si>
    <t>次のターン緑パネルをハートに変換 
＋次のターンに強力な攻撃</t>
    <rPh sb="0" eb="1">
      <t>ツギ</t>
    </rPh>
    <rPh sb="5" eb="6">
      <t>ミドリ</t>
    </rPh>
    <rPh sb="14" eb="16">
      <t>ヘンカn</t>
    </rPh>
    <rPh sb="19" eb="20">
      <t>ツギノターン</t>
    </rPh>
    <phoneticPr fontId="5"/>
  </si>
  <si>
    <t>2ターン全てのユニットの攻撃力UP 
種族サンリオキャラクターズに効果大</t>
    <rPh sb="4" eb="5">
      <t>スベテ</t>
    </rPh>
    <rPh sb="33" eb="35">
      <t>コウカ</t>
    </rPh>
    <rPh sb="35" eb="36">
      <t>ダイ</t>
    </rPh>
    <phoneticPr fontId="5"/>
  </si>
  <si>
    <t>フィーバーゲージ上昇 
（種族サンリオキャラクターズが居ると効果UP）</t>
  </si>
  <si>
    <t>フィーバーゲージ上昇 
（種族サンリオキャラクターズが居ると効果UP）</t>
    <phoneticPr fontId="5"/>
  </si>
  <si>
    <t>null</t>
    <phoneticPr fontId="5"/>
  </si>
  <si>
    <t>null</t>
    <phoneticPr fontId="5"/>
  </si>
  <si>
    <t>unit</t>
    <phoneticPr fontId="5"/>
  </si>
  <si>
    <t>unit</t>
    <phoneticPr fontId="5"/>
  </si>
  <si>
    <t>complete</t>
    <phoneticPr fontId="5"/>
  </si>
  <si>
    <t>あのアザゼルも
サンリオキャラクターズと一緒にいると
少し可愛らしく見えてきます</t>
    <phoneticPr fontId="5"/>
  </si>
  <si>
    <t>楽園からの帰還 アザゼル</t>
    <rPh sb="0" eb="2">
      <t>ラクエンカラ</t>
    </rPh>
    <rPh sb="5" eb="7">
      <t>キカン</t>
    </rPh>
    <phoneticPr fontId="5"/>
  </si>
  <si>
    <t>サンリオキャラクターズフェスティバルは
まだまだ続きます
期間中はめいっぱいお楽しみください</t>
    <phoneticPr fontId="5"/>
  </si>
  <si>
    <t>サンリオキャラクターズフェスティバル</t>
    <phoneticPr fontId="5"/>
  </si>
  <si>
    <t>リンクガチャからは「KIRIMIちゃん.」が
期間限定で確率で登場します
たくさん集めてバグUPを目指しましょう</t>
    <phoneticPr fontId="5"/>
  </si>
  <si>
    <t>KIRIMIちゃん.</t>
  </si>
  <si>
    <t>さあ帰ってきたぞ！楽園から！！</t>
  </si>
  <si>
    <t>オレの仲間たちの力を見せてやろう</t>
    <phoneticPr fontId="5"/>
  </si>
  <si>
    <t>貴様にこの幸せを壊しはさせんぞ！</t>
    <phoneticPr fontId="5"/>
  </si>
  <si>
    <t>踊れ！パレードのように！</t>
    <phoneticPr fontId="5"/>
  </si>
  <si>
    <t>愛い奴め…仕方ないな！！！</t>
  </si>
  <si>
    <t>力がみなぎってくるようだ…！</t>
  </si>
  <si>
    <t>ハハハ…笑いが止まらんぞ…？！</t>
    <phoneticPr fontId="5"/>
  </si>
  <si>
    <t>どうだ似合っているだろう？</t>
    <rPh sb="3" eb="5">
      <t>ニアッテイルダオウ</t>
    </rPh>
    <phoneticPr fontId="5"/>
  </si>
  <si>
    <t>出でよ！愉快な仲間たち！！！</t>
  </si>
  <si>
    <t>貴様も味わうが良い…このもふもふを！</t>
    <phoneticPr fontId="5"/>
  </si>
  <si>
    <t>仲間達を愚弄するとは…許さんぞ！</t>
  </si>
  <si>
    <t>そら、受け取れ！！土産だ！</t>
  </si>
  <si>
    <t>さあ踊れ踊れ！！</t>
    <rPh sb="2" eb="3">
      <t>オドレオドレ</t>
    </rPh>
    <phoneticPr fontId="5"/>
  </si>
  <si>
    <t>このオレがっ！愛でてやるっ！</t>
  </si>
  <si>
    <t>オレと仲間達との絆の力…
受け取るがいい…</t>
    <rPh sb="8" eb="9">
      <t>キズナノ</t>
    </rPh>
    <phoneticPr fontId="5"/>
  </si>
  <si>
    <t>さあカーニバルだ！！</t>
    <phoneticPr fontId="5"/>
  </si>
  <si>
    <t>なにやらテンションがおかしい！</t>
    <phoneticPr fontId="5"/>
  </si>
  <si>
    <t>アザゼルのテンションが最高潮に達し…</t>
  </si>
  <si>
    <t>楽園からの帰還 アザゼル</t>
    <rPh sb="0" eb="2">
      <t>ラクエンカラノキカン</t>
    </rPh>
    <phoneticPr fontId="5"/>
  </si>
  <si>
    <t>楽園から帰ってきたアザゼルは
誰かに喜びを共有したいらしいです
ちゃんと相手をしてあげましょう</t>
    <phoneticPr fontId="5"/>
  </si>
  <si>
    <t>フェスティバルもラストスパートです
それに合わせてクエスト内のアザゼルも
テンションがいつもより3割増しです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</si>
</sst>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  <font>
      <sz val="12"/>
      <color theme="1"/>
      <name val="MS PGothic"/>
      <family val="3"/>
      <charset val="128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indexed="8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69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2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16" fillId="31" borderId="7" xfId="0" applyFont="1" applyFill="1" applyBorder="1" applyAlignment="1">
      <alignment vertical="center"/>
    </xf>
    <xf numFmtId="0" fontId="16" fillId="31" borderId="7" xfId="0" applyFont="1" applyFill="1" applyBorder="1" applyAlignment="1">
      <alignment horizontal="left" vertical="center"/>
    </xf>
    <xf numFmtId="0" fontId="51" fillId="31" borderId="7" xfId="0" applyFont="1" applyFill="1" applyBorder="1" applyAlignment="1">
      <alignment horizontal="left" vertical="center" wrapText="1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" borderId="10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  <xf numFmtId="0" fontId="4" fillId="0" borderId="2" xfId="0" applyFont="1" applyFill="1" applyBorder="1" applyAlignment="1">
      <alignment vertical="center"/>
    </xf>
    <xf numFmtId="0" fontId="6" fillId="5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0" fontId="12" fillId="7" borderId="24" xfId="0" applyFont="1" applyFill="1" applyBorder="1" applyAlignment="1">
      <alignment vertical="center"/>
    </xf>
    <xf numFmtId="0" fontId="4" fillId="0" borderId="25" xfId="0" applyFont="1" applyFill="1" applyBorder="1" applyAlignment="1">
      <alignment vertical="center"/>
    </xf>
    <xf numFmtId="0" fontId="6" fillId="5" borderId="25" xfId="0" applyFont="1" applyFill="1" applyBorder="1" applyAlignment="1">
      <alignment vertical="center"/>
    </xf>
    <xf numFmtId="0" fontId="4" fillId="0" borderId="25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vertical="center"/>
    </xf>
    <xf numFmtId="0" fontId="4" fillId="3" borderId="25" xfId="0" applyFont="1" applyFill="1" applyBorder="1" applyAlignment="1">
      <alignment horizontal="center" vertical="center"/>
    </xf>
    <xf numFmtId="0" fontId="6" fillId="0" borderId="25" xfId="0" applyFont="1" applyFill="1" applyBorder="1" applyAlignment="1">
      <alignment vertical="center"/>
    </xf>
    <xf numFmtId="0" fontId="6" fillId="0" borderId="26" xfId="0" applyFont="1" applyFill="1" applyBorder="1" applyAlignment="1">
      <alignment vertical="center"/>
    </xf>
    <xf numFmtId="0" fontId="12" fillId="7" borderId="27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28" xfId="0" applyFont="1" applyFill="1" applyBorder="1" applyAlignment="1">
      <alignment vertical="center"/>
    </xf>
    <xf numFmtId="0" fontId="12" fillId="7" borderId="29" xfId="0" applyFont="1" applyFill="1" applyBorder="1" applyAlignment="1">
      <alignment vertical="center"/>
    </xf>
    <xf numFmtId="0" fontId="12" fillId="7" borderId="30" xfId="0" applyFont="1" applyFill="1" applyBorder="1" applyAlignment="1">
      <alignment vertical="center"/>
    </xf>
    <xf numFmtId="0" fontId="4" fillId="0" borderId="31" xfId="0" applyFont="1" applyFill="1" applyBorder="1" applyAlignment="1">
      <alignment vertical="center"/>
    </xf>
    <xf numFmtId="0" fontId="6" fillId="5" borderId="31" xfId="0" applyFont="1" applyFill="1" applyBorder="1" applyAlignment="1">
      <alignment vertical="center"/>
    </xf>
    <xf numFmtId="0" fontId="4" fillId="0" borderId="31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vertical="center"/>
    </xf>
    <xf numFmtId="0" fontId="4" fillId="3" borderId="31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vertical="center"/>
    </xf>
    <xf numFmtId="0" fontId="6" fillId="0" borderId="32" xfId="0" applyFont="1" applyFill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0" fontId="6" fillId="5" borderId="34" xfId="0" applyFont="1" applyFill="1" applyBorder="1" applyAlignment="1">
      <alignment vertical="center"/>
    </xf>
    <xf numFmtId="0" fontId="8" fillId="0" borderId="35" xfId="0" applyFont="1" applyBorder="1" applyAlignment="1">
      <alignment vertical="center"/>
    </xf>
    <xf numFmtId="177" fontId="8" fillId="0" borderId="35" xfId="0" applyNumberFormat="1" applyFont="1" applyBorder="1" applyAlignment="1">
      <alignment vertical="center"/>
    </xf>
    <xf numFmtId="0" fontId="4" fillId="0" borderId="36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0" borderId="37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6" fillId="5" borderId="38" xfId="0" applyFont="1" applyFill="1" applyBorder="1" applyAlignment="1">
      <alignment vertical="center"/>
    </xf>
    <xf numFmtId="0" fontId="6" fillId="5" borderId="39" xfId="0" applyFont="1" applyFill="1" applyBorder="1" applyAlignment="1">
      <alignment vertical="center"/>
    </xf>
    <xf numFmtId="0" fontId="8" fillId="0" borderId="40" xfId="0" applyFont="1" applyBorder="1" applyAlignment="1">
      <alignment vertical="center"/>
    </xf>
    <xf numFmtId="177" fontId="8" fillId="0" borderId="40" xfId="0" applyNumberFormat="1" applyFont="1" applyBorder="1" applyAlignment="1">
      <alignment vertical="center"/>
    </xf>
    <xf numFmtId="0" fontId="4" fillId="0" borderId="38" xfId="0" applyFont="1" applyBorder="1" applyAlignment="1">
      <alignment vertical="center"/>
    </xf>
    <xf numFmtId="0" fontId="4" fillId="3" borderId="25" xfId="0" applyFont="1" applyFill="1" applyBorder="1" applyAlignment="1">
      <alignment vertical="center"/>
    </xf>
    <xf numFmtId="0" fontId="4" fillId="0" borderId="41" xfId="0" applyFont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6" fillId="5" borderId="42" xfId="0" applyFont="1" applyFill="1" applyBorder="1" applyAlignment="1">
      <alignment vertical="center"/>
    </xf>
    <xf numFmtId="0" fontId="6" fillId="5" borderId="43" xfId="0" applyFont="1" applyFill="1" applyBorder="1" applyAlignment="1">
      <alignment vertical="center"/>
    </xf>
    <xf numFmtId="0" fontId="8" fillId="0" borderId="44" xfId="0" applyFont="1" applyBorder="1" applyAlignment="1">
      <alignment vertical="center"/>
    </xf>
    <xf numFmtId="177" fontId="8" fillId="0" borderId="44" xfId="0" applyNumberFormat="1" applyFont="1" applyBorder="1" applyAlignment="1">
      <alignment vertical="center"/>
    </xf>
    <xf numFmtId="0" fontId="4" fillId="0" borderId="45" xfId="0" applyFont="1" applyBorder="1" applyAlignment="1">
      <alignment vertical="center"/>
    </xf>
    <xf numFmtId="0" fontId="4" fillId="3" borderId="31" xfId="0" applyFont="1" applyFill="1" applyBorder="1" applyAlignment="1">
      <alignment vertical="center"/>
    </xf>
    <xf numFmtId="0" fontId="4" fillId="0" borderId="46" xfId="0" applyFont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6" fillId="5" borderId="47" xfId="0" applyFont="1" applyFill="1" applyBorder="1" applyAlignment="1">
      <alignment vertical="center"/>
    </xf>
    <xf numFmtId="0" fontId="6" fillId="5" borderId="48" xfId="0" applyFont="1" applyFill="1" applyBorder="1" applyAlignment="1">
      <alignment vertical="center"/>
    </xf>
    <xf numFmtId="0" fontId="16" fillId="0" borderId="31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vertical="center"/>
    </xf>
    <xf numFmtId="0" fontId="14" fillId="7" borderId="23" xfId="0" applyFont="1" applyFill="1" applyBorder="1" applyAlignment="1">
      <alignment vertical="center"/>
    </xf>
    <xf numFmtId="0" fontId="16" fillId="0" borderId="25" xfId="0" applyFont="1" applyFill="1" applyBorder="1" applyAlignment="1">
      <alignment vertical="center"/>
    </xf>
    <xf numFmtId="0" fontId="16" fillId="3" borderId="25" xfId="0" applyFont="1" applyFill="1" applyBorder="1" applyAlignment="1">
      <alignment horizontal="left" vertical="center"/>
    </xf>
    <xf numFmtId="0" fontId="16" fillId="3" borderId="25" xfId="0" applyFont="1" applyFill="1" applyBorder="1" applyAlignment="1">
      <alignment vertical="center"/>
    </xf>
    <xf numFmtId="0" fontId="16" fillId="0" borderId="24" xfId="0" applyFont="1" applyBorder="1" applyAlignment="1">
      <alignment vertical="center"/>
    </xf>
    <xf numFmtId="0" fontId="14" fillId="7" borderId="27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4" fillId="7" borderId="29" xfId="0" applyFont="1" applyFill="1" applyBorder="1" applyAlignment="1">
      <alignment vertical="center"/>
    </xf>
    <xf numFmtId="0" fontId="16" fillId="3" borderId="31" xfId="0" applyFont="1" applyFill="1" applyBorder="1" applyAlignment="1">
      <alignment horizontal="left" vertical="center"/>
    </xf>
    <xf numFmtId="0" fontId="16" fillId="3" borderId="31" xfId="0" applyFont="1" applyFill="1" applyBorder="1" applyAlignment="1">
      <alignment vertical="center"/>
    </xf>
    <xf numFmtId="0" fontId="16" fillId="0" borderId="30" xfId="0" applyFont="1" applyBorder="1" applyAlignment="1">
      <alignment vertical="center"/>
    </xf>
    <xf numFmtId="0" fontId="8" fillId="0" borderId="50" xfId="0" applyFont="1" applyBorder="1" applyAlignment="1">
      <alignment vertical="center"/>
    </xf>
    <xf numFmtId="0" fontId="8" fillId="0" borderId="51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177" fontId="8" fillId="0" borderId="7" xfId="0" applyNumberFormat="1" applyFont="1" applyBorder="1" applyAlignment="1">
      <alignment vertical="center"/>
    </xf>
    <xf numFmtId="0" fontId="4" fillId="0" borderId="53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8" fillId="0" borderId="52" xfId="0" applyFont="1" applyBorder="1" applyAlignment="1">
      <alignment vertical="center"/>
    </xf>
    <xf numFmtId="177" fontId="8" fillId="0" borderId="52" xfId="0" applyNumberFormat="1" applyFont="1" applyBorder="1" applyAlignment="1">
      <alignment vertical="center"/>
    </xf>
    <xf numFmtId="0" fontId="6" fillId="5" borderId="54" xfId="0" applyFont="1" applyFill="1" applyBorder="1" applyAlignment="1">
      <alignment vertical="center"/>
    </xf>
    <xf numFmtId="0" fontId="4" fillId="0" borderId="55" xfId="0" applyFont="1" applyFill="1" applyBorder="1" applyAlignment="1">
      <alignment horizontal="center" vertical="center"/>
    </xf>
    <xf numFmtId="0" fontId="8" fillId="0" borderId="31" xfId="0" applyFont="1" applyBorder="1" applyAlignment="1">
      <alignment vertical="center"/>
    </xf>
    <xf numFmtId="177" fontId="8" fillId="0" borderId="31" xfId="0" applyNumberFormat="1" applyFont="1" applyBorder="1" applyAlignment="1">
      <alignment vertical="center"/>
    </xf>
    <xf numFmtId="0" fontId="0" fillId="3" borderId="7" xfId="0" applyFill="1" applyBorder="1"/>
    <xf numFmtId="0" fontId="52" fillId="0" borderId="7" xfId="0" applyFont="1" applyFill="1" applyBorder="1"/>
    <xf numFmtId="0" fontId="27" fillId="0" borderId="31" xfId="0" applyFont="1" applyFill="1" applyBorder="1"/>
    <xf numFmtId="0" fontId="0" fillId="3" borderId="31" xfId="0" applyFill="1" applyBorder="1"/>
    <xf numFmtId="0" fontId="52" fillId="0" borderId="31" xfId="0" applyFont="1" applyFill="1" applyBorder="1"/>
    <xf numFmtId="0" fontId="27" fillId="0" borderId="25" xfId="0" applyFont="1" applyFill="1" applyBorder="1"/>
    <xf numFmtId="0" fontId="52" fillId="13" borderId="10" xfId="0" applyFont="1" applyFill="1" applyBorder="1" applyAlignment="1">
      <alignment horizontal="left" vertical="center" wrapText="1"/>
    </xf>
    <xf numFmtId="0" fontId="16" fillId="13" borderId="10" xfId="0" applyFont="1" applyFill="1" applyBorder="1" applyAlignment="1">
      <alignment horizontal="center" vertical="center" wrapText="1"/>
    </xf>
    <xf numFmtId="0" fontId="52" fillId="13" borderId="7" xfId="0" applyFont="1" applyFill="1" applyBorder="1" applyAlignment="1">
      <alignment horizontal="left" vertical="center" wrapText="1"/>
    </xf>
    <xf numFmtId="0" fontId="4" fillId="13" borderId="1" xfId="0" applyFont="1" applyFill="1" applyBorder="1" applyAlignment="1">
      <alignment vertical="center"/>
    </xf>
    <xf numFmtId="0" fontId="4" fillId="13" borderId="2" xfId="0" applyFont="1" applyFill="1" applyBorder="1" applyAlignment="1">
      <alignment vertical="center"/>
    </xf>
    <xf numFmtId="0" fontId="4" fillId="13" borderId="25" xfId="0" applyFont="1" applyFill="1" applyBorder="1" applyAlignment="1">
      <alignment vertical="center"/>
    </xf>
    <xf numFmtId="0" fontId="4" fillId="13" borderId="7" xfId="0" applyFont="1" applyFill="1" applyBorder="1" applyAlignment="1">
      <alignment vertical="center"/>
    </xf>
    <xf numFmtId="0" fontId="4" fillId="13" borderId="31" xfId="0" applyFont="1" applyFill="1" applyBorder="1" applyAlignment="1">
      <alignment vertical="center"/>
    </xf>
    <xf numFmtId="0" fontId="4" fillId="13" borderId="25" xfId="0" applyFont="1" applyFill="1" applyBorder="1" applyAlignment="1">
      <alignment horizontal="center" vertical="center"/>
    </xf>
    <xf numFmtId="0" fontId="4" fillId="13" borderId="7" xfId="0" applyFont="1" applyFill="1" applyBorder="1" applyAlignment="1">
      <alignment horizontal="center" vertical="center"/>
    </xf>
    <xf numFmtId="0" fontId="4" fillId="13" borderId="31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13" borderId="2" xfId="0" applyFont="1" applyFill="1" applyBorder="1" applyAlignment="1">
      <alignment horizontal="center" vertical="center"/>
    </xf>
    <xf numFmtId="176" fontId="4" fillId="13" borderId="38" xfId="0" applyNumberFormat="1" applyFont="1" applyFill="1" applyBorder="1" applyAlignment="1">
      <alignment horizontal="center" vertical="center"/>
    </xf>
    <xf numFmtId="176" fontId="4" fillId="13" borderId="9" xfId="0" applyNumberFormat="1" applyFont="1" applyFill="1" applyBorder="1" applyAlignment="1">
      <alignment horizontal="center" vertical="center"/>
    </xf>
    <xf numFmtId="176" fontId="4" fillId="13" borderId="42" xfId="0" applyNumberFormat="1" applyFont="1" applyFill="1" applyBorder="1" applyAlignment="1">
      <alignment horizontal="center" vertical="center"/>
    </xf>
    <xf numFmtId="176" fontId="4" fillId="13" borderId="3" xfId="0" applyNumberFormat="1" applyFont="1" applyFill="1" applyBorder="1" applyAlignment="1">
      <alignment horizontal="center" vertical="center"/>
    </xf>
    <xf numFmtId="176" fontId="4" fillId="13" borderId="33" xfId="0" applyNumberFormat="1" applyFont="1" applyFill="1" applyBorder="1" applyAlignment="1">
      <alignment horizontal="center" vertical="center"/>
    </xf>
    <xf numFmtId="0" fontId="4" fillId="13" borderId="12" xfId="0" applyFont="1" applyFill="1" applyBorder="1" applyAlignment="1">
      <alignment horizontal="center" vertical="center"/>
    </xf>
    <xf numFmtId="0" fontId="16" fillId="13" borderId="31" xfId="0" applyFont="1" applyFill="1" applyBorder="1" applyAlignment="1">
      <alignment vertical="center"/>
    </xf>
    <xf numFmtId="0" fontId="16" fillId="13" borderId="2" xfId="0" applyFont="1" applyFill="1" applyBorder="1" applyAlignment="1">
      <alignment vertical="center"/>
    </xf>
    <xf numFmtId="0" fontId="16" fillId="13" borderId="25" xfId="0" applyFont="1" applyFill="1" applyBorder="1" applyAlignment="1">
      <alignment vertical="center"/>
    </xf>
    <xf numFmtId="0" fontId="27" fillId="13" borderId="7" xfId="0" applyFont="1" applyFill="1" applyBorder="1"/>
    <xf numFmtId="0" fontId="53" fillId="13" borderId="0" xfId="0" applyFont="1" applyFill="1"/>
  </cellXfs>
  <cellStyles count="69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11207</v>
          </cell>
        </row>
        <row r="67">
          <cell r="A67">
            <v>11208</v>
          </cell>
        </row>
        <row r="68">
          <cell r="A68">
            <v>11209</v>
          </cell>
        </row>
        <row r="69">
          <cell r="A69">
            <v>11210</v>
          </cell>
        </row>
        <row r="70">
          <cell r="A70">
            <v>11211</v>
          </cell>
        </row>
        <row r="71">
          <cell r="A71">
            <v>11212</v>
          </cell>
        </row>
        <row r="72">
          <cell r="A72">
            <v>11213</v>
          </cell>
        </row>
        <row r="73">
          <cell r="A73">
            <v>11214</v>
          </cell>
        </row>
        <row r="74">
          <cell r="A74">
            <v>11215</v>
          </cell>
        </row>
        <row r="75">
          <cell r="A75">
            <v>11216</v>
          </cell>
        </row>
        <row r="76">
          <cell r="A76">
            <v>11217</v>
          </cell>
        </row>
        <row r="77">
          <cell r="A77">
            <v>11218</v>
          </cell>
        </row>
        <row r="78">
          <cell r="A78">
            <v>11219</v>
          </cell>
        </row>
        <row r="79">
          <cell r="A79">
            <v>11220</v>
          </cell>
        </row>
        <row r="80">
          <cell r="A80">
            <v>11221</v>
          </cell>
        </row>
        <row r="81">
          <cell r="A81">
            <v>11224</v>
          </cell>
        </row>
        <row r="82">
          <cell r="A82">
            <v>11225</v>
          </cell>
        </row>
        <row r="83">
          <cell r="A83">
            <v>11226</v>
          </cell>
        </row>
        <row r="84">
          <cell r="A84">
            <v>12001</v>
          </cell>
        </row>
        <row r="85">
          <cell r="A85">
            <v>12002</v>
          </cell>
        </row>
        <row r="86">
          <cell r="A86">
            <v>12003</v>
          </cell>
        </row>
        <row r="87">
          <cell r="A87">
            <v>12004</v>
          </cell>
        </row>
        <row r="88">
          <cell r="A88">
            <v>13001</v>
          </cell>
        </row>
        <row r="89">
          <cell r="A89">
            <v>14001</v>
          </cell>
        </row>
        <row r="90">
          <cell r="A90">
            <v>14002</v>
          </cell>
        </row>
        <row r="91">
          <cell r="A91">
            <v>14003</v>
          </cell>
        </row>
        <row r="92">
          <cell r="A92">
            <v>14004</v>
          </cell>
        </row>
        <row r="93">
          <cell r="A93">
            <v>14005</v>
          </cell>
        </row>
        <row r="94">
          <cell r="A94">
            <v>14006</v>
          </cell>
        </row>
        <row r="95">
          <cell r="A95">
            <v>15027</v>
          </cell>
        </row>
        <row r="96">
          <cell r="A96">
            <v>15028</v>
          </cell>
        </row>
        <row r="97">
          <cell r="A97">
            <v>15029</v>
          </cell>
        </row>
        <row r="98">
          <cell r="A98">
            <v>15030</v>
          </cell>
        </row>
        <row r="99">
          <cell r="A99">
            <v>15031</v>
          </cell>
        </row>
        <row r="100">
          <cell r="A100">
            <v>20001</v>
          </cell>
        </row>
        <row r="101">
          <cell r="A101">
            <v>20002</v>
          </cell>
        </row>
        <row r="102">
          <cell r="A102">
            <v>20003</v>
          </cell>
        </row>
        <row r="103">
          <cell r="A103">
            <v>20004</v>
          </cell>
        </row>
        <row r="104">
          <cell r="A104">
            <v>20005</v>
          </cell>
        </row>
        <row r="105">
          <cell r="A105">
            <v>20006</v>
          </cell>
        </row>
        <row r="106">
          <cell r="A106">
            <v>20007</v>
          </cell>
        </row>
        <row r="107">
          <cell r="A107">
            <v>20008</v>
          </cell>
        </row>
        <row r="108">
          <cell r="A108">
            <v>20009</v>
          </cell>
        </row>
        <row r="109">
          <cell r="A109">
            <v>20010</v>
          </cell>
        </row>
        <row r="110">
          <cell r="A110">
            <v>20011</v>
          </cell>
        </row>
        <row r="111">
          <cell r="A111">
            <v>20012</v>
          </cell>
        </row>
        <row r="112">
          <cell r="A112">
            <v>20013</v>
          </cell>
        </row>
        <row r="113">
          <cell r="A113">
            <v>20014</v>
          </cell>
        </row>
        <row r="114">
          <cell r="A114">
            <v>20015</v>
          </cell>
        </row>
        <row r="115">
          <cell r="A115">
            <v>20016</v>
          </cell>
        </row>
        <row r="116">
          <cell r="A116">
            <v>20017</v>
          </cell>
        </row>
        <row r="117">
          <cell r="A117">
            <v>20018</v>
          </cell>
        </row>
        <row r="118">
          <cell r="A118">
            <v>20019</v>
          </cell>
        </row>
        <row r="119">
          <cell r="A119">
            <v>30001</v>
          </cell>
        </row>
        <row r="120">
          <cell r="A120">
            <v>30002</v>
          </cell>
        </row>
        <row r="121">
          <cell r="A121">
            <v>30003</v>
          </cell>
        </row>
        <row r="122">
          <cell r="A122">
            <v>30004</v>
          </cell>
        </row>
        <row r="123">
          <cell r="A123">
            <v>30005</v>
          </cell>
        </row>
        <row r="124">
          <cell r="A124">
            <v>30006</v>
          </cell>
        </row>
        <row r="125">
          <cell r="A125">
            <v>30007</v>
          </cell>
        </row>
        <row r="126">
          <cell r="A126">
            <v>30008</v>
          </cell>
        </row>
        <row r="127">
          <cell r="A127">
            <v>30009</v>
          </cell>
        </row>
        <row r="128">
          <cell r="A128">
            <v>30010</v>
          </cell>
        </row>
        <row r="129">
          <cell r="A129">
            <v>30011</v>
          </cell>
        </row>
        <row r="130">
          <cell r="A130">
            <v>30012</v>
          </cell>
        </row>
        <row r="131">
          <cell r="A131">
            <v>30013</v>
          </cell>
        </row>
        <row r="132">
          <cell r="A132">
            <v>30014</v>
          </cell>
        </row>
        <row r="133">
          <cell r="A133">
            <v>30015</v>
          </cell>
        </row>
        <row r="134">
          <cell r="A134">
            <v>30016</v>
          </cell>
        </row>
        <row r="135">
          <cell r="A135">
            <v>30017</v>
          </cell>
        </row>
        <row r="136">
          <cell r="A136">
            <v>30018</v>
          </cell>
        </row>
        <row r="137">
          <cell r="A137">
            <v>30019</v>
          </cell>
        </row>
        <row r="138">
          <cell r="A138">
            <v>30020</v>
          </cell>
        </row>
        <row r="139">
          <cell r="A139">
            <v>30021</v>
          </cell>
        </row>
        <row r="140">
          <cell r="A140">
            <v>30022</v>
          </cell>
        </row>
        <row r="141">
          <cell r="A141">
            <v>30023</v>
          </cell>
        </row>
        <row r="142">
          <cell r="A142">
            <v>30024</v>
          </cell>
        </row>
        <row r="143">
          <cell r="A143">
            <v>30025</v>
          </cell>
        </row>
        <row r="144">
          <cell r="A144">
            <v>30026</v>
          </cell>
        </row>
        <row r="145">
          <cell r="A145">
            <v>30027</v>
          </cell>
        </row>
        <row r="146">
          <cell r="A146">
            <v>30028</v>
          </cell>
        </row>
        <row r="147">
          <cell r="A147">
            <v>30029</v>
          </cell>
        </row>
        <row r="148">
          <cell r="A148">
            <v>30030</v>
          </cell>
        </row>
        <row r="149">
          <cell r="A149">
            <v>30031</v>
          </cell>
        </row>
        <row r="150">
          <cell r="A150">
            <v>30032</v>
          </cell>
        </row>
        <row r="151">
          <cell r="A151">
            <v>30033</v>
          </cell>
        </row>
        <row r="152">
          <cell r="A152">
            <v>30034</v>
          </cell>
        </row>
        <row r="153">
          <cell r="A153">
            <v>30035</v>
          </cell>
        </row>
        <row r="154">
          <cell r="A154">
            <v>30036</v>
          </cell>
        </row>
        <row r="155">
          <cell r="A155">
            <v>30037</v>
          </cell>
        </row>
        <row r="156">
          <cell r="A156">
            <v>30038</v>
          </cell>
        </row>
        <row r="157">
          <cell r="A157">
            <v>30039</v>
          </cell>
        </row>
        <row r="158">
          <cell r="A158">
            <v>39001</v>
          </cell>
        </row>
        <row r="159">
          <cell r="A159">
            <v>39002</v>
          </cell>
        </row>
        <row r="160">
          <cell r="A160">
            <v>39003</v>
          </cell>
        </row>
        <row r="161">
          <cell r="A161">
            <v>39004</v>
          </cell>
        </row>
        <row r="162">
          <cell r="A162">
            <v>39005</v>
          </cell>
        </row>
        <row r="163">
          <cell r="A163">
            <v>39006</v>
          </cell>
        </row>
        <row r="164">
          <cell r="A164">
            <v>39007</v>
          </cell>
        </row>
        <row r="165">
          <cell r="A165">
            <v>40001</v>
          </cell>
        </row>
        <row r="166">
          <cell r="A166">
            <v>40002</v>
          </cell>
        </row>
        <row r="167">
          <cell r="A167">
            <v>40003</v>
          </cell>
        </row>
        <row r="168">
          <cell r="A168">
            <v>40004</v>
          </cell>
        </row>
        <row r="169">
          <cell r="A169">
            <v>40005</v>
          </cell>
        </row>
        <row r="170">
          <cell r="A170">
            <v>40006</v>
          </cell>
        </row>
        <row r="171">
          <cell r="A171">
            <v>40007</v>
          </cell>
        </row>
        <row r="172">
          <cell r="A172">
            <v>40008</v>
          </cell>
        </row>
        <row r="173">
          <cell r="A173">
            <v>40009</v>
          </cell>
        </row>
        <row r="174">
          <cell r="A174">
            <v>40010</v>
          </cell>
        </row>
        <row r="175">
          <cell r="A175">
            <v>40011</v>
          </cell>
        </row>
        <row r="176">
          <cell r="A176">
            <v>40012</v>
          </cell>
        </row>
        <row r="177">
          <cell r="A177">
            <v>40013</v>
          </cell>
        </row>
        <row r="178">
          <cell r="A178">
            <v>40014</v>
          </cell>
        </row>
        <row r="179">
          <cell r="A179">
            <v>40015</v>
          </cell>
        </row>
        <row r="180">
          <cell r="A180">
            <v>40016</v>
          </cell>
        </row>
        <row r="181">
          <cell r="A181">
            <v>40017</v>
          </cell>
        </row>
        <row r="182">
          <cell r="A182">
            <v>40018</v>
          </cell>
        </row>
        <row r="183">
          <cell r="A183">
            <v>40019</v>
          </cell>
        </row>
        <row r="184">
          <cell r="A184">
            <v>40021</v>
          </cell>
        </row>
        <row r="185">
          <cell r="A185">
            <v>40022</v>
          </cell>
        </row>
        <row r="186">
          <cell r="A186">
            <v>48001</v>
          </cell>
        </row>
        <row r="187">
          <cell r="A187">
            <v>48002</v>
          </cell>
        </row>
        <row r="188">
          <cell r="A188">
            <v>48003</v>
          </cell>
        </row>
        <row r="189">
          <cell r="A189">
            <v>48004</v>
          </cell>
        </row>
        <row r="190">
          <cell r="A190">
            <v>41001</v>
          </cell>
        </row>
        <row r="191">
          <cell r="A191">
            <v>41002</v>
          </cell>
        </row>
        <row r="192">
          <cell r="A192">
            <v>41003</v>
          </cell>
        </row>
        <row r="193">
          <cell r="A193">
            <v>41004</v>
          </cell>
        </row>
        <row r="194">
          <cell r="A194">
            <v>41005</v>
          </cell>
        </row>
        <row r="195">
          <cell r="A195">
            <v>41006</v>
          </cell>
        </row>
        <row r="196">
          <cell r="A196">
            <v>41007</v>
          </cell>
        </row>
        <row r="197">
          <cell r="A197">
            <v>41008</v>
          </cell>
        </row>
        <row r="198">
          <cell r="A198">
            <v>41009</v>
          </cell>
        </row>
        <row r="199">
          <cell r="A199">
            <v>41010</v>
          </cell>
        </row>
        <row r="200">
          <cell r="A200">
            <v>41011</v>
          </cell>
        </row>
        <row r="201">
          <cell r="A201">
            <v>41012</v>
          </cell>
        </row>
        <row r="202">
          <cell r="A202">
            <v>41013</v>
          </cell>
        </row>
        <row r="203">
          <cell r="A203">
            <v>41014</v>
          </cell>
        </row>
        <row r="204">
          <cell r="A204">
            <v>41015</v>
          </cell>
        </row>
        <row r="205">
          <cell r="A205">
            <v>47001</v>
          </cell>
        </row>
        <row r="206">
          <cell r="A206">
            <v>47002</v>
          </cell>
        </row>
        <row r="207">
          <cell r="A207">
            <v>49001</v>
          </cell>
        </row>
        <row r="208">
          <cell r="A208">
            <v>49002</v>
          </cell>
        </row>
        <row r="209">
          <cell r="A209">
            <v>49003</v>
          </cell>
        </row>
        <row r="210">
          <cell r="A210">
            <v>49004</v>
          </cell>
        </row>
        <row r="211">
          <cell r="A211">
            <v>49005</v>
          </cell>
        </row>
        <row r="212">
          <cell r="A212">
            <v>49006</v>
          </cell>
        </row>
        <row r="213">
          <cell r="A213">
            <v>49007</v>
          </cell>
        </row>
        <row r="214">
          <cell r="A214">
            <v>50001</v>
          </cell>
        </row>
        <row r="215">
          <cell r="A215">
            <v>50002</v>
          </cell>
        </row>
        <row r="216">
          <cell r="A216">
            <v>50003</v>
          </cell>
        </row>
        <row r="217">
          <cell r="A217">
            <v>50004</v>
          </cell>
        </row>
        <row r="218">
          <cell r="A218">
            <v>50005</v>
          </cell>
        </row>
        <row r="219">
          <cell r="A219">
            <v>50006</v>
          </cell>
        </row>
        <row r="220">
          <cell r="A220">
            <v>51001</v>
          </cell>
        </row>
        <row r="221">
          <cell r="A221">
            <v>51002</v>
          </cell>
        </row>
        <row r="222">
          <cell r="A222">
            <v>60001</v>
          </cell>
        </row>
        <row r="223">
          <cell r="A223">
            <v>60002</v>
          </cell>
        </row>
        <row r="224">
          <cell r="A224">
            <v>60003</v>
          </cell>
        </row>
        <row r="225">
          <cell r="A225">
            <v>60004</v>
          </cell>
        </row>
        <row r="226">
          <cell r="A226">
            <v>60005</v>
          </cell>
        </row>
        <row r="227">
          <cell r="A227">
            <v>60006</v>
          </cell>
        </row>
        <row r="228">
          <cell r="A228">
            <v>60007</v>
          </cell>
        </row>
        <row r="229">
          <cell r="A229">
            <v>60010</v>
          </cell>
        </row>
        <row r="230">
          <cell r="A230">
            <v>60011</v>
          </cell>
        </row>
        <row r="231">
          <cell r="A231">
            <v>61011</v>
          </cell>
        </row>
        <row r="232">
          <cell r="A232">
            <v>60012</v>
          </cell>
        </row>
        <row r="233">
          <cell r="A233">
            <v>60013</v>
          </cell>
        </row>
        <row r="234">
          <cell r="A234">
            <v>60014</v>
          </cell>
        </row>
        <row r="235">
          <cell r="A235">
            <v>65533</v>
          </cell>
        </row>
        <row r="236">
          <cell r="A236">
            <v>65534</v>
          </cell>
        </row>
        <row r="237">
          <cell r="A237">
            <v>65535</v>
          </cell>
        </row>
        <row r="238">
          <cell r="A238">
            <v>60021</v>
          </cell>
        </row>
        <row r="239">
          <cell r="A239">
            <v>60022</v>
          </cell>
        </row>
        <row r="240">
          <cell r="A240">
            <v>60023</v>
          </cell>
        </row>
        <row r="241">
          <cell r="A24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11207_1</v>
          </cell>
        </row>
        <row r="266">
          <cell r="A266" t="str">
            <v>11207_2</v>
          </cell>
        </row>
        <row r="267">
          <cell r="A267" t="str">
            <v>11208_1</v>
          </cell>
        </row>
        <row r="268">
          <cell r="A268" t="str">
            <v>11208_2</v>
          </cell>
        </row>
        <row r="269">
          <cell r="A269" t="str">
            <v>11209_1</v>
          </cell>
        </row>
        <row r="270">
          <cell r="A270" t="str">
            <v>11209_2</v>
          </cell>
        </row>
        <row r="271">
          <cell r="A271" t="str">
            <v>11212_1</v>
          </cell>
        </row>
        <row r="272">
          <cell r="A272" t="str">
            <v>11213_1</v>
          </cell>
        </row>
        <row r="273">
          <cell r="A273" t="str">
            <v>11214_1</v>
          </cell>
        </row>
        <row r="274">
          <cell r="A274" t="str">
            <v>11214_2</v>
          </cell>
        </row>
        <row r="275">
          <cell r="A275" t="str">
            <v>11214_3</v>
          </cell>
        </row>
        <row r="276">
          <cell r="A276" t="str">
            <v>11215_1</v>
          </cell>
        </row>
        <row r="277">
          <cell r="A277" t="str">
            <v>11216_1</v>
          </cell>
        </row>
        <row r="278">
          <cell r="A278" t="str">
            <v>11217_1</v>
          </cell>
        </row>
        <row r="279">
          <cell r="A279" t="str">
            <v>11218_1</v>
          </cell>
        </row>
        <row r="280">
          <cell r="A280" t="str">
            <v>11219_1</v>
          </cell>
        </row>
        <row r="281">
          <cell r="A281" t="str">
            <v>11220_1</v>
          </cell>
        </row>
        <row r="282">
          <cell r="A282" t="str">
            <v>11221_1</v>
          </cell>
        </row>
        <row r="283">
          <cell r="A283" t="str">
            <v>11224_1</v>
          </cell>
        </row>
        <row r="284">
          <cell r="A284" t="str">
            <v>11225_1</v>
          </cell>
        </row>
        <row r="285">
          <cell r="A285" t="str">
            <v>11226_1</v>
          </cell>
        </row>
        <row r="286">
          <cell r="A286" t="str">
            <v>11226_2</v>
          </cell>
        </row>
        <row r="287">
          <cell r="A287" t="str">
            <v>11226_3</v>
          </cell>
        </row>
        <row r="288">
          <cell r="A288" t="str">
            <v>11226_4</v>
          </cell>
        </row>
        <row r="289">
          <cell r="A289" t="str">
            <v>11226_5</v>
          </cell>
        </row>
        <row r="290">
          <cell r="A290" t="str">
            <v>11226_6</v>
          </cell>
        </row>
        <row r="291">
          <cell r="A291" t="str">
            <v>11226_7</v>
          </cell>
        </row>
        <row r="292">
          <cell r="A292" t="str">
            <v>11226_8</v>
          </cell>
        </row>
        <row r="293">
          <cell r="A293" t="str">
            <v>12001_1</v>
          </cell>
        </row>
        <row r="294">
          <cell r="A294" t="str">
            <v>12001_2</v>
          </cell>
        </row>
        <row r="295">
          <cell r="A295" t="str">
            <v>12001_3</v>
          </cell>
        </row>
        <row r="296">
          <cell r="A296" t="str">
            <v>12002_1</v>
          </cell>
        </row>
        <row r="297">
          <cell r="A297" t="str">
            <v>12002_2</v>
          </cell>
        </row>
        <row r="298">
          <cell r="A298" t="str">
            <v>12003_1</v>
          </cell>
        </row>
        <row r="299">
          <cell r="A299" t="str">
            <v>12003_2</v>
          </cell>
        </row>
        <row r="300">
          <cell r="A300" t="str">
            <v>12003_3</v>
          </cell>
        </row>
        <row r="301">
          <cell r="A301" t="str">
            <v>12003_4</v>
          </cell>
        </row>
        <row r="302">
          <cell r="A302" t="str">
            <v>12004_1</v>
          </cell>
        </row>
        <row r="303">
          <cell r="A303" t="str">
            <v>13001_1</v>
          </cell>
        </row>
        <row r="304">
          <cell r="A304" t="str">
            <v>13001_2</v>
          </cell>
        </row>
        <row r="305">
          <cell r="A305" t="str">
            <v>13001_3</v>
          </cell>
        </row>
        <row r="306">
          <cell r="A306" t="str">
            <v>13001_4</v>
          </cell>
        </row>
        <row r="307">
          <cell r="A307" t="str">
            <v>13001_5</v>
          </cell>
        </row>
        <row r="308">
          <cell r="A308" t="str">
            <v>13001_6</v>
          </cell>
        </row>
        <row r="309">
          <cell r="A309" t="str">
            <v>13001_7</v>
          </cell>
        </row>
        <row r="310">
          <cell r="A310" t="str">
            <v>13001_8</v>
          </cell>
        </row>
        <row r="311">
          <cell r="A311" t="str">
            <v>13001_9</v>
          </cell>
        </row>
        <row r="312">
          <cell r="A312" t="str">
            <v>13001_10</v>
          </cell>
        </row>
        <row r="313">
          <cell r="A313" t="str">
            <v>13001_11</v>
          </cell>
        </row>
        <row r="314">
          <cell r="A314" t="str">
            <v>13001_12</v>
          </cell>
        </row>
        <row r="315">
          <cell r="A315" t="str">
            <v>13001_13</v>
          </cell>
        </row>
        <row r="316">
          <cell r="A316" t="str">
            <v>13001_14</v>
          </cell>
        </row>
        <row r="317">
          <cell r="A317" t="str">
            <v>13001_15</v>
          </cell>
        </row>
        <row r="318">
          <cell r="A318" t="str">
            <v>13001_16</v>
          </cell>
        </row>
        <row r="319">
          <cell r="A319" t="str">
            <v>13001_17</v>
          </cell>
        </row>
        <row r="320">
          <cell r="A320" t="str">
            <v>13001_18</v>
          </cell>
        </row>
        <row r="321">
          <cell r="A321" t="str">
            <v>13001_19</v>
          </cell>
        </row>
        <row r="322">
          <cell r="A322" t="str">
            <v>13001_20</v>
          </cell>
        </row>
        <row r="323">
          <cell r="A323" t="str">
            <v>13001_21</v>
          </cell>
        </row>
        <row r="324">
          <cell r="A324" t="str">
            <v>13001_22</v>
          </cell>
        </row>
        <row r="325">
          <cell r="A325" t="str">
            <v>13001_23</v>
          </cell>
        </row>
        <row r="326">
          <cell r="A326" t="str">
            <v>13001_24</v>
          </cell>
        </row>
        <row r="327">
          <cell r="A327" t="str">
            <v>13001_25</v>
          </cell>
        </row>
        <row r="328">
          <cell r="A328" t="str">
            <v>14001_1</v>
          </cell>
        </row>
        <row r="329">
          <cell r="A329" t="str">
            <v>14001_2</v>
          </cell>
        </row>
        <row r="330">
          <cell r="A330" t="str">
            <v>14001_3</v>
          </cell>
        </row>
        <row r="331">
          <cell r="A331" t="str">
            <v>14001_4</v>
          </cell>
        </row>
        <row r="332">
          <cell r="A332" t="str">
            <v>14001_5</v>
          </cell>
        </row>
        <row r="333">
          <cell r="A333" t="str">
            <v>14001_6</v>
          </cell>
        </row>
        <row r="334">
          <cell r="A334" t="str">
            <v>14001_7</v>
          </cell>
        </row>
        <row r="335">
          <cell r="A335" t="str">
            <v>14001_8</v>
          </cell>
        </row>
        <row r="336">
          <cell r="A336" t="str">
            <v>14002_1</v>
          </cell>
        </row>
        <row r="337">
          <cell r="A337" t="str">
            <v>14002_2</v>
          </cell>
        </row>
        <row r="338">
          <cell r="A338" t="str">
            <v>14003_1</v>
          </cell>
        </row>
        <row r="339">
          <cell r="A339" t="str">
            <v>14003_2</v>
          </cell>
        </row>
        <row r="340">
          <cell r="A340" t="str">
            <v>14003_3</v>
          </cell>
        </row>
        <row r="341">
          <cell r="A341" t="str">
            <v>14003_4</v>
          </cell>
        </row>
        <row r="342">
          <cell r="A342" t="str">
            <v>14004_1</v>
          </cell>
        </row>
        <row r="343">
          <cell r="A343" t="str">
            <v>14004_2</v>
          </cell>
        </row>
        <row r="344">
          <cell r="A344" t="str">
            <v>14004_3</v>
          </cell>
        </row>
        <row r="345">
          <cell r="A345" t="str">
            <v>14004_4</v>
          </cell>
        </row>
        <row r="346">
          <cell r="A346" t="str">
            <v>14005_1</v>
          </cell>
        </row>
        <row r="347">
          <cell r="A347" t="str">
            <v>14006_1</v>
          </cell>
        </row>
        <row r="348">
          <cell r="A348" t="str">
            <v>15027_1</v>
          </cell>
        </row>
        <row r="349">
          <cell r="A349" t="str">
            <v>15027_2</v>
          </cell>
        </row>
        <row r="350">
          <cell r="A350" t="str">
            <v>15027_3</v>
          </cell>
        </row>
        <row r="351">
          <cell r="A351" t="str">
            <v>15027_4</v>
          </cell>
        </row>
        <row r="352">
          <cell r="A352" t="str">
            <v>15028_1</v>
          </cell>
        </row>
        <row r="353">
          <cell r="A353" t="str">
            <v>15028_2</v>
          </cell>
        </row>
        <row r="354">
          <cell r="A354" t="str">
            <v>15028_3</v>
          </cell>
        </row>
        <row r="355">
          <cell r="A355" t="str">
            <v>15028_4</v>
          </cell>
        </row>
        <row r="356">
          <cell r="A356" t="str">
            <v>15029_1</v>
          </cell>
        </row>
        <row r="357">
          <cell r="A357" t="str">
            <v>15029_2</v>
          </cell>
        </row>
        <row r="358">
          <cell r="A358" t="str">
            <v>15029_3</v>
          </cell>
        </row>
        <row r="359">
          <cell r="A359" t="str">
            <v>15029_4</v>
          </cell>
        </row>
        <row r="360">
          <cell r="A360" t="str">
            <v>15030_1</v>
          </cell>
        </row>
        <row r="361">
          <cell r="A361" t="str">
            <v>15030_2</v>
          </cell>
        </row>
        <row r="362">
          <cell r="A362" t="str">
            <v>15030_3</v>
          </cell>
        </row>
        <row r="363">
          <cell r="A363" t="str">
            <v>15030_4</v>
          </cell>
        </row>
        <row r="364">
          <cell r="A364" t="str">
            <v>15031_1</v>
          </cell>
        </row>
        <row r="365">
          <cell r="A365" t="str">
            <v>15031_2</v>
          </cell>
        </row>
        <row r="366">
          <cell r="A366" t="str">
            <v>15031_3</v>
          </cell>
        </row>
        <row r="367">
          <cell r="A367" t="str">
            <v>15031_4</v>
          </cell>
        </row>
        <row r="368">
          <cell r="A368" t="str">
            <v>20001_1</v>
          </cell>
        </row>
        <row r="369">
          <cell r="A369" t="str">
            <v>20001_2</v>
          </cell>
        </row>
        <row r="370">
          <cell r="A370" t="str">
            <v>20001_3</v>
          </cell>
        </row>
        <row r="371">
          <cell r="A371" t="str">
            <v>20002_1</v>
          </cell>
        </row>
        <row r="372">
          <cell r="A372" t="str">
            <v>20002_2</v>
          </cell>
        </row>
        <row r="373">
          <cell r="A373" t="str">
            <v>20002_3</v>
          </cell>
        </row>
        <row r="374">
          <cell r="A374" t="str">
            <v>20003_1</v>
          </cell>
        </row>
        <row r="375">
          <cell r="A375" t="str">
            <v>20003_2</v>
          </cell>
        </row>
        <row r="376">
          <cell r="A376" t="str">
            <v>20003_3</v>
          </cell>
        </row>
        <row r="377">
          <cell r="A377" t="str">
            <v>20004_1</v>
          </cell>
        </row>
        <row r="378">
          <cell r="A378" t="str">
            <v>20004_2</v>
          </cell>
        </row>
        <row r="379">
          <cell r="A379" t="str">
            <v>20004_3</v>
          </cell>
        </row>
        <row r="380">
          <cell r="A380" t="str">
            <v>20005_1</v>
          </cell>
        </row>
        <row r="381">
          <cell r="A381" t="str">
            <v>20005_2</v>
          </cell>
        </row>
        <row r="382">
          <cell r="A382" t="str">
            <v>20005_3</v>
          </cell>
        </row>
        <row r="383">
          <cell r="A383" t="str">
            <v>20006_1</v>
          </cell>
        </row>
        <row r="384">
          <cell r="A384" t="str">
            <v>20006_2</v>
          </cell>
        </row>
        <row r="385">
          <cell r="A385" t="str">
            <v>20006_3</v>
          </cell>
        </row>
        <row r="386">
          <cell r="A386" t="str">
            <v>20007_1</v>
          </cell>
        </row>
        <row r="387">
          <cell r="A387" t="str">
            <v>20007_2</v>
          </cell>
        </row>
        <row r="388">
          <cell r="A388" t="str">
            <v>20007_3</v>
          </cell>
        </row>
        <row r="389">
          <cell r="A389" t="str">
            <v>20008_1</v>
          </cell>
        </row>
        <row r="390">
          <cell r="A390" t="str">
            <v>20008_2</v>
          </cell>
        </row>
        <row r="391">
          <cell r="A391" t="str">
            <v>20008_3</v>
          </cell>
        </row>
        <row r="392">
          <cell r="A392" t="str">
            <v>20009_1</v>
          </cell>
        </row>
        <row r="393">
          <cell r="A393" t="str">
            <v>20009_2</v>
          </cell>
        </row>
        <row r="394">
          <cell r="A394" t="str">
            <v>20009_3</v>
          </cell>
        </row>
        <row r="395">
          <cell r="A395" t="str">
            <v>20010_1</v>
          </cell>
        </row>
        <row r="396">
          <cell r="A396" t="str">
            <v>20010_2</v>
          </cell>
        </row>
        <row r="397">
          <cell r="A397" t="str">
            <v>20010_3</v>
          </cell>
        </row>
        <row r="398">
          <cell r="A398" t="str">
            <v>20011_1</v>
          </cell>
        </row>
        <row r="399">
          <cell r="A399" t="str">
            <v>20011_2</v>
          </cell>
        </row>
        <row r="400">
          <cell r="A400" t="str">
            <v>20011_3</v>
          </cell>
        </row>
        <row r="401">
          <cell r="A401" t="str">
            <v>20012_1</v>
          </cell>
        </row>
        <row r="402">
          <cell r="A402" t="str">
            <v>20012_2</v>
          </cell>
        </row>
        <row r="403">
          <cell r="A403" t="str">
            <v>20012_3</v>
          </cell>
        </row>
        <row r="404">
          <cell r="A404" t="str">
            <v>20013_1</v>
          </cell>
        </row>
        <row r="405">
          <cell r="A405" t="str">
            <v>20013_2</v>
          </cell>
        </row>
        <row r="406">
          <cell r="A406" t="str">
            <v>20013_3</v>
          </cell>
        </row>
        <row r="407">
          <cell r="A407" t="str">
            <v>20014_1</v>
          </cell>
        </row>
        <row r="408">
          <cell r="A408" t="str">
            <v>20014_2</v>
          </cell>
        </row>
        <row r="409">
          <cell r="A409" t="str">
            <v>20014_3</v>
          </cell>
        </row>
        <row r="410">
          <cell r="A410" t="str">
            <v>20015_1</v>
          </cell>
        </row>
        <row r="411">
          <cell r="A411" t="str">
            <v>20015_2</v>
          </cell>
        </row>
        <row r="412">
          <cell r="A412" t="str">
            <v>20015_3</v>
          </cell>
        </row>
        <row r="413">
          <cell r="A413" t="str">
            <v>20016_1</v>
          </cell>
        </row>
        <row r="414">
          <cell r="A414" t="str">
            <v>20016_2</v>
          </cell>
        </row>
        <row r="415">
          <cell r="A415" t="str">
            <v>20016_3</v>
          </cell>
        </row>
        <row r="416">
          <cell r="A416" t="str">
            <v>20017_1</v>
          </cell>
        </row>
        <row r="417">
          <cell r="A417" t="str">
            <v>20017_2</v>
          </cell>
        </row>
        <row r="418">
          <cell r="A418" t="str">
            <v>20017_3</v>
          </cell>
        </row>
        <row r="419">
          <cell r="A419" t="str">
            <v>20018_1</v>
          </cell>
        </row>
        <row r="420">
          <cell r="A420" t="str">
            <v>20018_2</v>
          </cell>
        </row>
        <row r="421">
          <cell r="A421" t="str">
            <v>20018_3</v>
          </cell>
        </row>
        <row r="422">
          <cell r="A422" t="str">
            <v>20019_1</v>
          </cell>
        </row>
        <row r="423">
          <cell r="A423" t="str">
            <v>20019_2</v>
          </cell>
        </row>
        <row r="424">
          <cell r="A424" t="str">
            <v>20019_3</v>
          </cell>
        </row>
        <row r="425">
          <cell r="A425" t="str">
            <v>30001_1</v>
          </cell>
        </row>
        <row r="426">
          <cell r="A426" t="str">
            <v>30001_2</v>
          </cell>
        </row>
        <row r="427">
          <cell r="A427" t="str">
            <v>30001_3</v>
          </cell>
        </row>
        <row r="428">
          <cell r="A428" t="str">
            <v>30002_1</v>
          </cell>
        </row>
        <row r="429">
          <cell r="A429" t="str">
            <v>30002_2</v>
          </cell>
        </row>
        <row r="430">
          <cell r="A430" t="str">
            <v>30002_3</v>
          </cell>
        </row>
        <row r="431">
          <cell r="A431" t="str">
            <v>30003_1</v>
          </cell>
        </row>
        <row r="432">
          <cell r="A432" t="str">
            <v>30003_2</v>
          </cell>
        </row>
        <row r="433">
          <cell r="A433" t="str">
            <v>30003_3</v>
          </cell>
        </row>
        <row r="434">
          <cell r="A434" t="str">
            <v>30004_1</v>
          </cell>
        </row>
        <row r="435">
          <cell r="A435" t="str">
            <v>30004_2</v>
          </cell>
        </row>
        <row r="436">
          <cell r="A436" t="str">
            <v>30004_3</v>
          </cell>
        </row>
        <row r="437">
          <cell r="A437" t="str">
            <v>30005_1</v>
          </cell>
        </row>
        <row r="438">
          <cell r="A438" t="str">
            <v>30005_2</v>
          </cell>
        </row>
        <row r="439">
          <cell r="A439" t="str">
            <v>30005_3</v>
          </cell>
        </row>
        <row r="440">
          <cell r="A440" t="str">
            <v>30006_1</v>
          </cell>
        </row>
        <row r="441">
          <cell r="A441" t="str">
            <v>30006_2</v>
          </cell>
        </row>
        <row r="442">
          <cell r="A442" t="str">
            <v>30006_3</v>
          </cell>
        </row>
        <row r="443">
          <cell r="A443" t="str">
            <v>30007_1</v>
          </cell>
        </row>
        <row r="444">
          <cell r="A444" t="str">
            <v>30007_2</v>
          </cell>
        </row>
        <row r="445">
          <cell r="A445" t="str">
            <v>30007_3</v>
          </cell>
        </row>
        <row r="446">
          <cell r="A446" t="str">
            <v>30008_1</v>
          </cell>
        </row>
        <row r="447">
          <cell r="A447" t="str">
            <v>30008_2</v>
          </cell>
        </row>
        <row r="448">
          <cell r="A448" t="str">
            <v>30008_3</v>
          </cell>
        </row>
        <row r="449">
          <cell r="A449" t="str">
            <v>30009_3</v>
          </cell>
        </row>
        <row r="450">
          <cell r="A450" t="str">
            <v>30009_1</v>
          </cell>
        </row>
        <row r="451">
          <cell r="A451" t="str">
            <v>30009_2</v>
          </cell>
        </row>
        <row r="452">
          <cell r="A452" t="str">
            <v>30010_1</v>
          </cell>
        </row>
        <row r="453">
          <cell r="A453" t="str">
            <v>30010_2</v>
          </cell>
        </row>
        <row r="454">
          <cell r="A454" t="str">
            <v>30010_3</v>
          </cell>
        </row>
        <row r="455">
          <cell r="A455" t="str">
            <v>30011_1</v>
          </cell>
        </row>
        <row r="456">
          <cell r="A456" t="str">
            <v>30011_2</v>
          </cell>
        </row>
        <row r="457">
          <cell r="A457" t="str">
            <v>30011_3</v>
          </cell>
        </row>
        <row r="458">
          <cell r="A458" t="str">
            <v>30012_1</v>
          </cell>
        </row>
        <row r="459">
          <cell r="A459" t="str">
            <v>30012_2</v>
          </cell>
        </row>
        <row r="460">
          <cell r="A460" t="str">
            <v>30012_3</v>
          </cell>
        </row>
        <row r="461">
          <cell r="A461" t="str">
            <v>30013_1</v>
          </cell>
        </row>
        <row r="462">
          <cell r="A462" t="str">
            <v>30013_2</v>
          </cell>
        </row>
        <row r="463">
          <cell r="A463" t="str">
            <v>30014_1</v>
          </cell>
        </row>
        <row r="464">
          <cell r="A464" t="str">
            <v>30014_2</v>
          </cell>
        </row>
        <row r="465">
          <cell r="A465" t="str">
            <v>30015_1</v>
          </cell>
        </row>
        <row r="466">
          <cell r="A466" t="str">
            <v>30015_2</v>
          </cell>
        </row>
        <row r="467">
          <cell r="A467" t="str">
            <v>30016_1</v>
          </cell>
        </row>
        <row r="468">
          <cell r="A468" t="str">
            <v>30016_2</v>
          </cell>
        </row>
        <row r="469">
          <cell r="A469" t="str">
            <v>30017_1</v>
          </cell>
        </row>
        <row r="470">
          <cell r="A470" t="str">
            <v>30017_2</v>
          </cell>
        </row>
        <row r="471">
          <cell r="A471" t="str">
            <v>30018_1</v>
          </cell>
        </row>
        <row r="472">
          <cell r="A472" t="str">
            <v>30018_2</v>
          </cell>
        </row>
        <row r="473">
          <cell r="A473" t="str">
            <v>30019_1</v>
          </cell>
        </row>
        <row r="474">
          <cell r="A474" t="str">
            <v>30019_2</v>
          </cell>
        </row>
        <row r="475">
          <cell r="A475" t="str">
            <v>30020_1</v>
          </cell>
        </row>
        <row r="476">
          <cell r="A476" t="str">
            <v>30020_2</v>
          </cell>
        </row>
        <row r="477">
          <cell r="A477" t="str">
            <v>30021_1</v>
          </cell>
        </row>
        <row r="478">
          <cell r="A478" t="str">
            <v>30021_2</v>
          </cell>
        </row>
        <row r="479">
          <cell r="A479" t="str">
            <v>30021_3</v>
          </cell>
        </row>
        <row r="480">
          <cell r="A480" t="str">
            <v>30022_1</v>
          </cell>
        </row>
        <row r="481">
          <cell r="A481" t="str">
            <v>30022_2</v>
          </cell>
        </row>
        <row r="482">
          <cell r="A482" t="str">
            <v>30023_1</v>
          </cell>
        </row>
        <row r="483">
          <cell r="A483" t="str">
            <v>30023_2</v>
          </cell>
        </row>
        <row r="484">
          <cell r="A484" t="str">
            <v>30023_3</v>
          </cell>
        </row>
        <row r="485">
          <cell r="A485" t="str">
            <v>30024_1</v>
          </cell>
        </row>
        <row r="486">
          <cell r="A486" t="str">
            <v>30024_2</v>
          </cell>
        </row>
        <row r="487">
          <cell r="A487" t="str">
            <v>30024_3</v>
          </cell>
        </row>
        <row r="488">
          <cell r="A488" t="str">
            <v>30025_1</v>
          </cell>
        </row>
        <row r="489">
          <cell r="A489" t="str">
            <v>30025_2</v>
          </cell>
        </row>
        <row r="490">
          <cell r="A490" t="str">
            <v>30025_3</v>
          </cell>
        </row>
        <row r="491">
          <cell r="A491" t="str">
            <v>30026_1</v>
          </cell>
        </row>
        <row r="492">
          <cell r="A492" t="str">
            <v>30026_2</v>
          </cell>
        </row>
        <row r="493">
          <cell r="A493" t="str">
            <v>30026_3</v>
          </cell>
        </row>
        <row r="494">
          <cell r="A494" t="str">
            <v>30027_1</v>
          </cell>
        </row>
        <row r="495">
          <cell r="A495" t="str">
            <v>30027_2</v>
          </cell>
        </row>
        <row r="496">
          <cell r="A496" t="str">
            <v>30027_3</v>
          </cell>
        </row>
        <row r="497">
          <cell r="A497" t="str">
            <v>30028_1</v>
          </cell>
        </row>
        <row r="498">
          <cell r="A498" t="str">
            <v>30028_2</v>
          </cell>
        </row>
        <row r="499">
          <cell r="A499" t="str">
            <v>30028_3</v>
          </cell>
        </row>
        <row r="500">
          <cell r="A500" t="str">
            <v>30029_1</v>
          </cell>
        </row>
        <row r="501">
          <cell r="A501" t="str">
            <v>30029_2</v>
          </cell>
        </row>
        <row r="502">
          <cell r="A502" t="str">
            <v>30029_3</v>
          </cell>
        </row>
        <row r="503">
          <cell r="A503" t="str">
            <v>30030_1</v>
          </cell>
        </row>
        <row r="504">
          <cell r="A504" t="str">
            <v>30030_2</v>
          </cell>
        </row>
        <row r="505">
          <cell r="A505" t="str">
            <v>30030_3</v>
          </cell>
        </row>
        <row r="506">
          <cell r="A506" t="str">
            <v>30031_1</v>
          </cell>
        </row>
        <row r="507">
          <cell r="A507" t="str">
            <v>30031_2</v>
          </cell>
        </row>
        <row r="508">
          <cell r="A508" t="str">
            <v>30031_3</v>
          </cell>
        </row>
        <row r="509">
          <cell r="A509" t="str">
            <v>30032_1</v>
          </cell>
        </row>
        <row r="510">
          <cell r="A510" t="str">
            <v>30032_2</v>
          </cell>
        </row>
        <row r="511">
          <cell r="A511" t="str">
            <v>30032_3</v>
          </cell>
        </row>
        <row r="512">
          <cell r="A512" t="str">
            <v>30033_1</v>
          </cell>
        </row>
        <row r="513">
          <cell r="A513" t="str">
            <v>30033_2</v>
          </cell>
        </row>
        <row r="514">
          <cell r="A514" t="str">
            <v>30033_3</v>
          </cell>
        </row>
        <row r="515">
          <cell r="A515" t="str">
            <v>30034_1</v>
          </cell>
        </row>
        <row r="516">
          <cell r="A516" t="str">
            <v>30034_2</v>
          </cell>
        </row>
        <row r="517">
          <cell r="A517" t="str">
            <v>30034_3</v>
          </cell>
        </row>
        <row r="518">
          <cell r="A518" t="str">
            <v>30035_1</v>
          </cell>
        </row>
        <row r="519">
          <cell r="A519" t="str">
            <v>30035_2</v>
          </cell>
        </row>
        <row r="520">
          <cell r="A520" t="str">
            <v>30035_3</v>
          </cell>
        </row>
        <row r="521">
          <cell r="A521" t="str">
            <v>30036_1</v>
          </cell>
        </row>
        <row r="522">
          <cell r="A522" t="str">
            <v>30036_2</v>
          </cell>
        </row>
        <row r="523">
          <cell r="A523" t="str">
            <v>30036_3</v>
          </cell>
        </row>
        <row r="524">
          <cell r="A524" t="str">
            <v>30037_1</v>
          </cell>
        </row>
        <row r="525">
          <cell r="A525" t="str">
            <v>30037_2</v>
          </cell>
        </row>
        <row r="526">
          <cell r="A526" t="str">
            <v>30037_3</v>
          </cell>
        </row>
        <row r="527">
          <cell r="A527" t="str">
            <v>30038_1</v>
          </cell>
        </row>
        <row r="528">
          <cell r="A528" t="str">
            <v>30038_2</v>
          </cell>
        </row>
        <row r="529">
          <cell r="A529" t="str">
            <v>30038_3</v>
          </cell>
        </row>
        <row r="530">
          <cell r="A530" t="str">
            <v>30039_1</v>
          </cell>
        </row>
        <row r="531">
          <cell r="A531" t="str">
            <v>30039_2</v>
          </cell>
        </row>
        <row r="532">
          <cell r="A532" t="str">
            <v>30039_3</v>
          </cell>
        </row>
        <row r="533">
          <cell r="A533" t="str">
            <v>39001_1</v>
          </cell>
        </row>
        <row r="534">
          <cell r="A534" t="str">
            <v>39001_2</v>
          </cell>
        </row>
        <row r="535">
          <cell r="A535" t="str">
            <v>39001_3</v>
          </cell>
        </row>
        <row r="536">
          <cell r="A536" t="str">
            <v>39001_4</v>
          </cell>
        </row>
        <row r="537">
          <cell r="A537" t="str">
            <v>39001_5</v>
          </cell>
        </row>
        <row r="538">
          <cell r="A538" t="str">
            <v>39002_1</v>
          </cell>
        </row>
        <row r="539">
          <cell r="A539" t="str">
            <v>39002_2</v>
          </cell>
        </row>
        <row r="540">
          <cell r="A540" t="str">
            <v>39002_3</v>
          </cell>
        </row>
        <row r="541">
          <cell r="A541" t="str">
            <v>39002_4</v>
          </cell>
        </row>
        <row r="542">
          <cell r="A542" t="str">
            <v>39003_1</v>
          </cell>
        </row>
        <row r="543">
          <cell r="A543" t="str">
            <v>39003_2</v>
          </cell>
        </row>
        <row r="544">
          <cell r="A544" t="str">
            <v>39003_3</v>
          </cell>
        </row>
        <row r="545">
          <cell r="A545" t="str">
            <v>39003_4</v>
          </cell>
        </row>
        <row r="546">
          <cell r="A546" t="str">
            <v>39004_1</v>
          </cell>
        </row>
        <row r="547">
          <cell r="A547" t="str">
            <v>39004_2</v>
          </cell>
        </row>
        <row r="548">
          <cell r="A548" t="str">
            <v>39004_3</v>
          </cell>
        </row>
        <row r="549">
          <cell r="A549" t="str">
            <v>39004_4</v>
          </cell>
        </row>
        <row r="550">
          <cell r="A550" t="str">
            <v>39005_1</v>
          </cell>
        </row>
        <row r="551">
          <cell r="A551" t="str">
            <v>39005_2</v>
          </cell>
        </row>
        <row r="552">
          <cell r="A552" t="str">
            <v>39005_3</v>
          </cell>
        </row>
        <row r="553">
          <cell r="A553" t="str">
            <v>39005_4</v>
          </cell>
        </row>
        <row r="554">
          <cell r="A554" t="str">
            <v>39005_5</v>
          </cell>
        </row>
        <row r="555">
          <cell r="A555" t="str">
            <v>39006_1</v>
          </cell>
        </row>
        <row r="556">
          <cell r="A556" t="str">
            <v>39006_2</v>
          </cell>
        </row>
        <row r="557">
          <cell r="A557" t="str">
            <v>39006_3</v>
          </cell>
        </row>
        <row r="558">
          <cell r="A558" t="str">
            <v>39006_4</v>
          </cell>
        </row>
        <row r="559">
          <cell r="A559" t="str">
            <v>39007_1</v>
          </cell>
        </row>
        <row r="560">
          <cell r="A560" t="str">
            <v>39007_2</v>
          </cell>
        </row>
        <row r="561">
          <cell r="A561" t="str">
            <v>39007_3</v>
          </cell>
        </row>
        <row r="562">
          <cell r="A562" t="str">
            <v>39007_4</v>
          </cell>
        </row>
        <row r="563">
          <cell r="A563" t="str">
            <v>40001_1</v>
          </cell>
        </row>
        <row r="564">
          <cell r="A564" t="str">
            <v>40002_1</v>
          </cell>
        </row>
        <row r="565">
          <cell r="A565" t="str">
            <v>40002_2</v>
          </cell>
        </row>
        <row r="566">
          <cell r="A566" t="str">
            <v>40002_3</v>
          </cell>
        </row>
        <row r="567">
          <cell r="A567" t="str">
            <v>40003_1</v>
          </cell>
        </row>
        <row r="568">
          <cell r="A568" t="str">
            <v>40004_1</v>
          </cell>
        </row>
        <row r="569">
          <cell r="A569" t="str">
            <v>40005_1</v>
          </cell>
        </row>
        <row r="570">
          <cell r="A570" t="str">
            <v>40006_1</v>
          </cell>
        </row>
        <row r="571">
          <cell r="A571" t="str">
            <v>40007_1</v>
          </cell>
        </row>
        <row r="572">
          <cell r="A572" t="str">
            <v>40008_1</v>
          </cell>
        </row>
        <row r="573">
          <cell r="A573" t="str">
            <v>40009_1</v>
          </cell>
        </row>
        <row r="574">
          <cell r="A574" t="str">
            <v>40010_1</v>
          </cell>
        </row>
        <row r="575">
          <cell r="A575" t="str">
            <v>40011_1</v>
          </cell>
        </row>
        <row r="576">
          <cell r="A576" t="str">
            <v>40012_1</v>
          </cell>
        </row>
        <row r="577">
          <cell r="A577" t="str">
            <v>40013_1</v>
          </cell>
        </row>
        <row r="578">
          <cell r="A578" t="str">
            <v>40014_1</v>
          </cell>
        </row>
        <row r="579">
          <cell r="A579" t="str">
            <v>40015_1</v>
          </cell>
        </row>
        <row r="580">
          <cell r="A580" t="str">
            <v>40016_1</v>
          </cell>
        </row>
        <row r="581">
          <cell r="A581" t="str">
            <v>40016_2</v>
          </cell>
        </row>
        <row r="582">
          <cell r="A582" t="str">
            <v>40017_1</v>
          </cell>
        </row>
        <row r="583">
          <cell r="A583" t="str">
            <v>40017_2</v>
          </cell>
        </row>
        <row r="584">
          <cell r="A584" t="str">
            <v>40017_3</v>
          </cell>
        </row>
        <row r="585">
          <cell r="A585" t="str">
            <v>40018_1</v>
          </cell>
        </row>
        <row r="586">
          <cell r="A586" t="str">
            <v>40018_2</v>
          </cell>
        </row>
        <row r="587">
          <cell r="A587" t="str">
            <v>40018_3</v>
          </cell>
        </row>
        <row r="588">
          <cell r="A588" t="str">
            <v>40019_1</v>
          </cell>
        </row>
        <row r="589">
          <cell r="A589" t="str">
            <v>40019_2</v>
          </cell>
        </row>
        <row r="590">
          <cell r="A590" t="str">
            <v>40019_3</v>
          </cell>
        </row>
        <row r="591">
          <cell r="A591" t="str">
            <v>40021_1</v>
          </cell>
        </row>
        <row r="592">
          <cell r="A592" t="str">
            <v>40021_2</v>
          </cell>
        </row>
        <row r="593">
          <cell r="A593" t="str">
            <v>40022_1</v>
          </cell>
        </row>
        <row r="594">
          <cell r="A594" t="str">
            <v>40022_2</v>
          </cell>
        </row>
        <row r="595">
          <cell r="A595" t="str">
            <v>48001_1</v>
          </cell>
        </row>
        <row r="596">
          <cell r="A596" t="str">
            <v>48002_1</v>
          </cell>
        </row>
        <row r="597">
          <cell r="A597" t="str">
            <v>48002_2</v>
          </cell>
        </row>
        <row r="598">
          <cell r="A598" t="str">
            <v>48002_3</v>
          </cell>
        </row>
        <row r="599">
          <cell r="A599" t="str">
            <v>48003_1</v>
          </cell>
        </row>
        <row r="600">
          <cell r="A600" t="str">
            <v>48003_2</v>
          </cell>
        </row>
        <row r="601">
          <cell r="A601" t="str">
            <v>48003_3</v>
          </cell>
        </row>
        <row r="602">
          <cell r="A602" t="str">
            <v>48004_1</v>
          </cell>
        </row>
        <row r="603">
          <cell r="A603" t="str">
            <v>48004_2</v>
          </cell>
        </row>
        <row r="604">
          <cell r="A604" t="str">
            <v>41001_1</v>
          </cell>
        </row>
        <row r="605">
          <cell r="A605" t="str">
            <v>41001_2</v>
          </cell>
        </row>
        <row r="606">
          <cell r="A606" t="str">
            <v>41001_3</v>
          </cell>
        </row>
        <row r="607">
          <cell r="A607" t="str">
            <v>41002_1</v>
          </cell>
        </row>
        <row r="608">
          <cell r="A608" t="str">
            <v>41002_2</v>
          </cell>
        </row>
        <row r="609">
          <cell r="A609" t="str">
            <v>41002_3</v>
          </cell>
        </row>
        <row r="610">
          <cell r="A610" t="str">
            <v>41003_1</v>
          </cell>
        </row>
        <row r="611">
          <cell r="A611" t="str">
            <v>41003_2</v>
          </cell>
        </row>
        <row r="612">
          <cell r="A612" t="str">
            <v>41003_3</v>
          </cell>
        </row>
        <row r="613">
          <cell r="A613" t="str">
            <v>41004_1</v>
          </cell>
        </row>
        <row r="614">
          <cell r="A614" t="str">
            <v>41004_2</v>
          </cell>
        </row>
        <row r="615">
          <cell r="A615" t="str">
            <v>41004_3</v>
          </cell>
        </row>
        <row r="616">
          <cell r="A616" t="str">
            <v>41005_1</v>
          </cell>
        </row>
        <row r="617">
          <cell r="A617" t="str">
            <v>41005_2</v>
          </cell>
        </row>
        <row r="618">
          <cell r="A618" t="str">
            <v>41005_3</v>
          </cell>
        </row>
        <row r="619">
          <cell r="A619" t="str">
            <v>41006_1</v>
          </cell>
        </row>
        <row r="620">
          <cell r="A620" t="str">
            <v>41006_2</v>
          </cell>
        </row>
        <row r="621">
          <cell r="A621" t="str">
            <v>41006_3</v>
          </cell>
        </row>
        <row r="622">
          <cell r="A622" t="str">
            <v>41007_1</v>
          </cell>
        </row>
        <row r="623">
          <cell r="A623" t="str">
            <v>41007_2</v>
          </cell>
        </row>
        <row r="624">
          <cell r="A624" t="str">
            <v>41007_3</v>
          </cell>
        </row>
        <row r="625">
          <cell r="A625" t="str">
            <v>41008_1</v>
          </cell>
        </row>
        <row r="626">
          <cell r="A626" t="str">
            <v>41008_2</v>
          </cell>
        </row>
        <row r="627">
          <cell r="A627" t="str">
            <v>41008_3</v>
          </cell>
        </row>
        <row r="628">
          <cell r="A628" t="str">
            <v>41009_1</v>
          </cell>
        </row>
        <row r="629">
          <cell r="A629" t="str">
            <v>41009_2</v>
          </cell>
        </row>
        <row r="630">
          <cell r="A630" t="str">
            <v>41009_3</v>
          </cell>
        </row>
        <row r="631">
          <cell r="A631" t="str">
            <v>41010_1</v>
          </cell>
        </row>
        <row r="632">
          <cell r="A632" t="str">
            <v>41010_2</v>
          </cell>
        </row>
        <row r="633">
          <cell r="A633" t="str">
            <v>41010_3</v>
          </cell>
        </row>
        <row r="634">
          <cell r="A634" t="str">
            <v>41011_1</v>
          </cell>
        </row>
        <row r="635">
          <cell r="A635" t="str">
            <v>41011_2</v>
          </cell>
        </row>
        <row r="636">
          <cell r="A636" t="str">
            <v>41012_1</v>
          </cell>
        </row>
        <row r="637">
          <cell r="A637" t="str">
            <v>41012_2</v>
          </cell>
        </row>
        <row r="638">
          <cell r="A638" t="str">
            <v>41013_1</v>
          </cell>
        </row>
        <row r="639">
          <cell r="A639" t="str">
            <v>41013_2</v>
          </cell>
        </row>
        <row r="640">
          <cell r="A640" t="str">
            <v>41014_1</v>
          </cell>
        </row>
        <row r="641">
          <cell r="A641" t="str">
            <v>41014_2</v>
          </cell>
        </row>
        <row r="642">
          <cell r="A642" t="str">
            <v>41015_1</v>
          </cell>
        </row>
        <row r="643">
          <cell r="A643" t="str">
            <v>41015_2</v>
          </cell>
        </row>
        <row r="644">
          <cell r="A644" t="str">
            <v>47001_1</v>
          </cell>
        </row>
        <row r="645">
          <cell r="A645" t="str">
            <v>47001_2</v>
          </cell>
        </row>
        <row r="646">
          <cell r="A646" t="str">
            <v>47002_1</v>
          </cell>
        </row>
        <row r="647">
          <cell r="A647" t="str">
            <v>47002_2</v>
          </cell>
        </row>
        <row r="648">
          <cell r="A648" t="str">
            <v>49001_1</v>
          </cell>
        </row>
        <row r="649">
          <cell r="A649" t="str">
            <v>49002_1</v>
          </cell>
        </row>
        <row r="650">
          <cell r="A650" t="str">
            <v>49002_2</v>
          </cell>
        </row>
        <row r="651">
          <cell r="A651" t="str">
            <v>49003_1</v>
          </cell>
        </row>
        <row r="652">
          <cell r="A652" t="str">
            <v>49003_2</v>
          </cell>
        </row>
        <row r="653">
          <cell r="A653" t="str">
            <v>49004_1</v>
          </cell>
        </row>
        <row r="654">
          <cell r="A654" t="str">
            <v>49004_2</v>
          </cell>
        </row>
        <row r="655">
          <cell r="A655" t="str">
            <v>49004_3</v>
          </cell>
        </row>
        <row r="656">
          <cell r="A656" t="str">
            <v>49005_1</v>
          </cell>
        </row>
        <row r="657">
          <cell r="A657" t="str">
            <v>49006_1</v>
          </cell>
        </row>
        <row r="658">
          <cell r="A658" t="str">
            <v>49006_2</v>
          </cell>
        </row>
        <row r="659">
          <cell r="A659" t="str">
            <v>49007_1</v>
          </cell>
        </row>
        <row r="660">
          <cell r="A660" t="str">
            <v>49007_2</v>
          </cell>
        </row>
        <row r="661">
          <cell r="A661" t="str">
            <v>49007_3</v>
          </cell>
        </row>
        <row r="662">
          <cell r="A662" t="str">
            <v>50001_1</v>
          </cell>
        </row>
        <row r="663">
          <cell r="A663" t="str">
            <v>50002_1</v>
          </cell>
        </row>
        <row r="664">
          <cell r="A664" t="str">
            <v>50003_1</v>
          </cell>
        </row>
        <row r="665">
          <cell r="A665" t="str">
            <v>50004_1</v>
          </cell>
        </row>
        <row r="666">
          <cell r="A666" t="str">
            <v>50005_1</v>
          </cell>
        </row>
        <row r="667">
          <cell r="A667" t="str">
            <v>50006_1</v>
          </cell>
        </row>
        <row r="668">
          <cell r="A668" t="str">
            <v>51001_1</v>
          </cell>
        </row>
        <row r="669">
          <cell r="A669" t="str">
            <v>51002_1</v>
          </cell>
        </row>
        <row r="670">
          <cell r="A670" t="str">
            <v>60001_1</v>
          </cell>
        </row>
        <row r="671">
          <cell r="A671" t="str">
            <v>60002_1</v>
          </cell>
        </row>
        <row r="672">
          <cell r="A672" t="str">
            <v>60002_2</v>
          </cell>
        </row>
        <row r="673">
          <cell r="A673" t="str">
            <v>60003_1</v>
          </cell>
        </row>
        <row r="674">
          <cell r="A674" t="str">
            <v>60003_2</v>
          </cell>
        </row>
        <row r="675">
          <cell r="A675" t="str">
            <v>60003_3</v>
          </cell>
        </row>
        <row r="676">
          <cell r="A676" t="str">
            <v>60004_1</v>
          </cell>
        </row>
        <row r="677">
          <cell r="A677" t="str">
            <v>60005_1</v>
          </cell>
        </row>
        <row r="678">
          <cell r="A678" t="str">
            <v>60006_1</v>
          </cell>
        </row>
        <row r="679">
          <cell r="A679" t="str">
            <v>60006_2</v>
          </cell>
        </row>
        <row r="680">
          <cell r="A680" t="str">
            <v>60006_3</v>
          </cell>
        </row>
        <row r="681">
          <cell r="A681" t="str">
            <v>60007_1</v>
          </cell>
        </row>
        <row r="682">
          <cell r="A682" t="str">
            <v>60007_2</v>
          </cell>
        </row>
        <row r="683">
          <cell r="A683" t="str">
            <v>60007_3</v>
          </cell>
        </row>
        <row r="684">
          <cell r="A684" t="str">
            <v>60010_1</v>
          </cell>
        </row>
        <row r="685">
          <cell r="A685" t="str">
            <v>60011_1</v>
          </cell>
        </row>
        <row r="686">
          <cell r="A686" t="str">
            <v>60011_2</v>
          </cell>
        </row>
        <row r="687">
          <cell r="A687" t="str">
            <v>61011_1</v>
          </cell>
        </row>
        <row r="688">
          <cell r="A688" t="str">
            <v>60012_1</v>
          </cell>
        </row>
        <row r="689">
          <cell r="A689" t="str">
            <v>60013_1</v>
          </cell>
        </row>
        <row r="690">
          <cell r="A690" t="str">
            <v>60013_2</v>
          </cell>
        </row>
        <row r="691">
          <cell r="A691" t="str">
            <v>60013_3</v>
          </cell>
        </row>
        <row r="692">
          <cell r="A692" t="str">
            <v>60014_1</v>
          </cell>
        </row>
        <row r="693">
          <cell r="A693" t="str">
            <v>65533_1</v>
          </cell>
        </row>
        <row r="694">
          <cell r="A694" t="str">
            <v>65533_2</v>
          </cell>
        </row>
        <row r="695">
          <cell r="A695" t="str">
            <v>65534_1</v>
          </cell>
        </row>
        <row r="696">
          <cell r="A696" t="str">
            <v>65535_1</v>
          </cell>
        </row>
        <row r="697">
          <cell r="A697" t="str">
            <v>65535_2</v>
          </cell>
        </row>
        <row r="698">
          <cell r="A698" t="str">
            <v>65535_3</v>
          </cell>
        </row>
        <row r="699">
          <cell r="A699" t="str">
            <v>65535_4</v>
          </cell>
        </row>
        <row r="700">
          <cell r="A700" t="str">
            <v>65535_5</v>
          </cell>
        </row>
        <row r="701">
          <cell r="A701" t="str">
            <v>65535_6</v>
          </cell>
        </row>
        <row r="702">
          <cell r="A702" t="str">
            <v>65535_7</v>
          </cell>
        </row>
        <row r="703">
          <cell r="A703" t="str">
            <v>65535_8</v>
          </cell>
        </row>
        <row r="704">
          <cell r="A704" t="str">
            <v>60021_3</v>
          </cell>
        </row>
        <row r="705">
          <cell r="A705" t="str">
            <v>60022_3</v>
          </cell>
        </row>
        <row r="706">
          <cell r="A706" t="str">
            <v>60023_3</v>
          </cell>
        </row>
        <row r="707">
          <cell r="A707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tabSelected="1" workbookViewId="0">
      <selection activeCell="C22" sqref="C2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128</v>
      </c>
      <c r="B1" s="53" t="s">
        <v>98</v>
      </c>
      <c r="C1" s="53" t="s">
        <v>99</v>
      </c>
      <c r="D1" s="53" t="s">
        <v>100</v>
      </c>
      <c r="E1" s="53" t="s">
        <v>101</v>
      </c>
      <c r="F1" s="53" t="s">
        <v>102</v>
      </c>
      <c r="G1" s="53" t="s">
        <v>103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</row>
    <row r="2" spans="1:30" x14ac:dyDescent="0.15">
      <c r="A2" s="59" t="s">
        <v>210</v>
      </c>
      <c r="B2" s="55" t="s">
        <v>104</v>
      </c>
      <c r="C2" s="7">
        <v>49007</v>
      </c>
      <c r="D2" s="55" t="s">
        <v>105</v>
      </c>
      <c r="E2" s="54" t="str">
        <f>B2&amp;C2&amp;D2</f>
        <v>floors_49007.tmp</v>
      </c>
      <c r="F2" s="55" t="s">
        <v>106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</row>
    <row r="3" spans="1:30" x14ac:dyDescent="0.15">
      <c r="A3" s="59" t="s">
        <v>210</v>
      </c>
      <c r="B3" s="55" t="s">
        <v>107</v>
      </c>
      <c r="C3" s="60">
        <f>C$2</f>
        <v>49007</v>
      </c>
      <c r="D3" s="55" t="s">
        <v>105</v>
      </c>
      <c r="E3" s="54" t="str">
        <f>B3&amp;C3&amp;D3</f>
        <v>enemy_habitats_49007.tmp</v>
      </c>
      <c r="F3" s="55" t="s">
        <v>108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53</v>
      </c>
      <c r="AD3" s="56" t="s">
        <v>177</v>
      </c>
    </row>
    <row r="4" spans="1:30" x14ac:dyDescent="0.15">
      <c r="A4" s="59" t="s">
        <v>210</v>
      </c>
      <c r="B4" s="55" t="s">
        <v>109</v>
      </c>
      <c r="C4" s="60">
        <f t="shared" ref="C4:C12" si="0">C$2</f>
        <v>49007</v>
      </c>
      <c r="D4" s="55" t="s">
        <v>105</v>
      </c>
      <c r="E4" s="54" t="str">
        <f>B4&amp;C4&amp;D4</f>
        <v>enemy_habitat_S_49007.tmp</v>
      </c>
      <c r="F4" s="55" t="s">
        <v>110</v>
      </c>
      <c r="G4" s="56" t="s">
        <v>0</v>
      </c>
      <c r="H4" s="56" t="s">
        <v>1</v>
      </c>
      <c r="I4" s="56" t="s">
        <v>13</v>
      </c>
      <c r="J4" s="56" t="s">
        <v>53</v>
      </c>
      <c r="K4" s="56" t="s">
        <v>54</v>
      </c>
      <c r="L4" s="56" t="s">
        <v>55</v>
      </c>
      <c r="M4" s="56" t="s">
        <v>56</v>
      </c>
      <c r="N4" s="56" t="s">
        <v>57</v>
      </c>
      <c r="O4" s="56" t="s">
        <v>58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</row>
    <row r="5" spans="1:30" x14ac:dyDescent="0.15">
      <c r="A5" s="59" t="s">
        <v>210</v>
      </c>
      <c r="B5" s="55" t="s">
        <v>111</v>
      </c>
      <c r="C5" s="60">
        <f t="shared" si="0"/>
        <v>49007</v>
      </c>
      <c r="D5" s="55" t="s">
        <v>105</v>
      </c>
      <c r="E5" s="54" t="str">
        <f>B5&amp;C5&amp;D5</f>
        <v>enemy_skill_sets_49007.tmp</v>
      </c>
      <c r="F5" s="55" t="s">
        <v>112</v>
      </c>
      <c r="G5" s="57" t="s">
        <v>22</v>
      </c>
      <c r="H5" s="57" t="s">
        <v>97</v>
      </c>
      <c r="I5" s="57" t="s">
        <v>92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</row>
    <row r="6" spans="1:30" x14ac:dyDescent="0.15">
      <c r="A6" s="59" t="s">
        <v>210</v>
      </c>
      <c r="B6" s="55" t="s">
        <v>113</v>
      </c>
      <c r="C6" s="60">
        <f t="shared" si="0"/>
        <v>49007</v>
      </c>
      <c r="D6" s="55" t="s">
        <v>114</v>
      </c>
      <c r="E6" s="54" t="str">
        <f t="shared" ref="E6:E10" si="1">B6&amp;C6&amp;D6</f>
        <v>enemy_skills_tmp_49007.tmp</v>
      </c>
      <c r="F6" s="55" t="s">
        <v>88</v>
      </c>
      <c r="G6" s="56" t="s">
        <v>78</v>
      </c>
      <c r="H6" s="56" t="s">
        <v>79</v>
      </c>
      <c r="I6" s="56" t="s">
        <v>80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</row>
    <row r="7" spans="1:30" x14ac:dyDescent="0.15">
      <c r="A7" s="59" t="s">
        <v>210</v>
      </c>
      <c r="B7" s="55" t="s">
        <v>115</v>
      </c>
      <c r="C7" s="60">
        <f t="shared" si="0"/>
        <v>49007</v>
      </c>
      <c r="D7" s="55" t="s">
        <v>105</v>
      </c>
      <c r="E7" s="54" t="str">
        <f>B7&amp;C7&amp;D7</f>
        <v>enemy_skills_i18n_49007.tmp</v>
      </c>
      <c r="F7" s="55" t="s">
        <v>116</v>
      </c>
      <c r="G7" s="56" t="s">
        <v>78</v>
      </c>
      <c r="H7" s="56" t="s">
        <v>89</v>
      </c>
      <c r="I7" s="56" t="s">
        <v>90</v>
      </c>
      <c r="J7" s="56" t="s">
        <v>91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</row>
    <row r="8" spans="1:30" x14ac:dyDescent="0.15">
      <c r="A8" s="59" t="s">
        <v>210</v>
      </c>
      <c r="B8" s="55" t="s">
        <v>117</v>
      </c>
      <c r="C8" s="60">
        <f t="shared" si="0"/>
        <v>49007</v>
      </c>
      <c r="D8" s="55" t="s">
        <v>118</v>
      </c>
      <c r="E8" s="54" t="str">
        <f t="shared" si="1"/>
        <v>enemy_skill_triggers_49007.tmp</v>
      </c>
      <c r="F8" s="55" t="s">
        <v>119</v>
      </c>
      <c r="G8" s="56" t="s">
        <v>92</v>
      </c>
      <c r="H8" s="56" t="s">
        <v>93</v>
      </c>
      <c r="I8" s="56" t="s">
        <v>94</v>
      </c>
      <c r="J8" s="56" t="s">
        <v>95</v>
      </c>
      <c r="K8" s="56" t="s">
        <v>120</v>
      </c>
      <c r="L8" s="56" t="s">
        <v>96</v>
      </c>
      <c r="M8" s="56" t="s">
        <v>121</v>
      </c>
      <c r="N8" s="56" t="s">
        <v>122</v>
      </c>
      <c r="O8" s="56" t="s">
        <v>123</v>
      </c>
      <c r="P8" s="56" t="s">
        <v>66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</row>
    <row r="9" spans="1:30" x14ac:dyDescent="0.15">
      <c r="A9" s="59" t="s">
        <v>210</v>
      </c>
      <c r="B9" s="65" t="s">
        <v>176</v>
      </c>
      <c r="C9" s="60">
        <f t="shared" si="0"/>
        <v>49007</v>
      </c>
      <c r="D9" s="65" t="s">
        <v>170</v>
      </c>
      <c r="E9" s="66" t="str">
        <f t="shared" si="1"/>
        <v>stage_bug_bonuses_49007.tmp</v>
      </c>
      <c r="F9" s="65" t="s">
        <v>171</v>
      </c>
      <c r="G9" s="62" t="s">
        <v>148</v>
      </c>
      <c r="H9" s="62" t="s">
        <v>172</v>
      </c>
      <c r="I9" s="62" t="s">
        <v>173</v>
      </c>
      <c r="J9" s="64" t="s">
        <v>174</v>
      </c>
      <c r="K9" s="62" t="s">
        <v>175</v>
      </c>
      <c r="L9" s="62" t="s">
        <v>154</v>
      </c>
      <c r="M9" s="62" t="s">
        <v>155</v>
      </c>
      <c r="N9" s="62" t="s">
        <v>156</v>
      </c>
      <c r="O9" s="62" t="s">
        <v>157</v>
      </c>
      <c r="P9" s="62" t="s">
        <v>158</v>
      </c>
      <c r="Q9" s="62" t="s">
        <v>159</v>
      </c>
      <c r="R9" s="62" t="s">
        <v>160</v>
      </c>
      <c r="S9" s="62" t="s">
        <v>161</v>
      </c>
      <c r="T9" s="62" t="s">
        <v>162</v>
      </c>
      <c r="U9" s="62" t="s">
        <v>163</v>
      </c>
      <c r="V9" s="62" t="s">
        <v>164</v>
      </c>
      <c r="W9" s="62" t="s">
        <v>165</v>
      </c>
    </row>
    <row r="10" spans="1:30" s="73" customFormat="1" x14ac:dyDescent="0.15">
      <c r="A10" s="59" t="s">
        <v>210</v>
      </c>
      <c r="B10" s="65" t="s">
        <v>199</v>
      </c>
      <c r="C10" s="60">
        <f>C$2</f>
        <v>49007</v>
      </c>
      <c r="D10" s="65" t="s">
        <v>179</v>
      </c>
      <c r="E10" s="66" t="str">
        <f t="shared" si="1"/>
        <v>stage_hints_data_c_49007.tmp</v>
      </c>
      <c r="F10" s="65" t="s">
        <v>207</v>
      </c>
      <c r="G10" s="70" t="s">
        <v>180</v>
      </c>
      <c r="H10" s="70" t="s">
        <v>172</v>
      </c>
      <c r="I10" s="71" t="s">
        <v>181</v>
      </c>
      <c r="J10" s="64" t="s">
        <v>182</v>
      </c>
      <c r="K10" s="72" t="s">
        <v>183</v>
      </c>
    </row>
    <row r="11" spans="1:30" s="73" customFormat="1" x14ac:dyDescent="0.15">
      <c r="A11" s="59" t="s">
        <v>210</v>
      </c>
      <c r="B11" s="65" t="s">
        <v>200</v>
      </c>
      <c r="C11" s="60">
        <f t="shared" si="0"/>
        <v>49007</v>
      </c>
      <c r="D11" s="65" t="s">
        <v>170</v>
      </c>
      <c r="E11" s="66" t="str">
        <f t="shared" ref="E11:E12" si="2">B11&amp;C11&amp;D11</f>
        <v>stage_hints_data_f_49007.tmp</v>
      </c>
      <c r="F11" s="65" t="s">
        <v>208</v>
      </c>
      <c r="G11" s="70" t="s">
        <v>180</v>
      </c>
      <c r="H11" s="70" t="s">
        <v>172</v>
      </c>
      <c r="I11" s="71" t="s">
        <v>181</v>
      </c>
      <c r="J11" s="64" t="s">
        <v>182</v>
      </c>
      <c r="K11" s="72" t="s">
        <v>183</v>
      </c>
    </row>
    <row r="12" spans="1:30" s="73" customFormat="1" x14ac:dyDescent="0.15">
      <c r="A12" s="59" t="s">
        <v>210</v>
      </c>
      <c r="B12" s="65" t="s">
        <v>201</v>
      </c>
      <c r="C12" s="60">
        <f t="shared" si="0"/>
        <v>49007</v>
      </c>
      <c r="D12" s="65" t="s">
        <v>170</v>
      </c>
      <c r="E12" s="66" t="str">
        <f t="shared" si="2"/>
        <v>stage_hints_i18n_49007.tmp</v>
      </c>
      <c r="F12" s="65" t="s">
        <v>209</v>
      </c>
      <c r="G12" s="71" t="s">
        <v>202</v>
      </c>
      <c r="H12" s="93" t="s">
        <v>203</v>
      </c>
      <c r="I12" s="70" t="s">
        <v>204</v>
      </c>
      <c r="J12" s="94" t="s">
        <v>205</v>
      </c>
      <c r="K12" s="72" t="s">
        <v>206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C2" sqref="C2:C10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1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49007_1-1</v>
      </c>
      <c r="B2" s="16" t="str">
        <f>IF(COUNTIF(enemy_habitats!$H:$H,A2),"OK","NG")</f>
        <v>OK</v>
      </c>
      <c r="C2" s="208">
        <v>49007</v>
      </c>
      <c r="D2" s="11" t="str">
        <f ca="1">VLOOKUP($C2,OFFSET([2]quests!$A$1,0,0,COUNTA([2]quests!$A:$A),MATCH(D$1,[2]quests!$1:$1,0)-MATCH($C$1,[2]quests!$1:$1,0)+1),MATCH(D$1,[2]quests!$1:$1,0)-MATCH($C$1,[2]quests!$1:$1,0)+1,FALSE)</f>
        <v>アザゼル（台）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コラボ降臨4</v>
      </c>
      <c r="F2" s="20">
        <v>1</v>
      </c>
      <c r="G2" s="21" t="str">
        <f>C2&amp;"_"&amp;F2</f>
        <v>49007_1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【超絶】アザゼル（台）</v>
      </c>
      <c r="I2" s="20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4" si="0">G3&amp;"-"&amp;I3</f>
        <v>49007_1-2</v>
      </c>
      <c r="B3" s="16" t="str">
        <f>IF(COUNTIF(enemy_habitats!$H:$H,A3),"OK","NG")</f>
        <v>OK</v>
      </c>
      <c r="C3" s="208">
        <v>49007</v>
      </c>
      <c r="D3" s="11" t="str">
        <f ca="1">VLOOKUP($C3,OFFSET([2]quests!$A$1,0,0,COUNTA([2]quests!$A:$A),MATCH(D$1,[2]quests!$1:$1,0)-MATCH($C$1,[2]quests!$1:$1,0)+1),MATCH(D$1,[2]quests!$1:$1,0)-MATCH($C$1,[2]quests!$1:$1,0)+1,FALSE)</f>
        <v>アザゼル（台）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コラボ降臨4</v>
      </c>
      <c r="F3" s="20">
        <v>1</v>
      </c>
      <c r="G3" s="21" t="str">
        <f t="shared" ref="G3:G4" si="1">C3&amp;"_"&amp;F3</f>
        <v>49007_1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【超絶】アザゼル（台）</v>
      </c>
      <c r="I3" s="20">
        <v>2</v>
      </c>
      <c r="J3" s="12">
        <v>60</v>
      </c>
      <c r="K3" s="12">
        <v>60</v>
      </c>
    </row>
    <row r="4" spans="1:11" ht="21" customHeight="1" thickBot="1" x14ac:dyDescent="0.2">
      <c r="A4" s="16" t="str">
        <f t="shared" si="0"/>
        <v>49007_1-3</v>
      </c>
      <c r="B4" s="16" t="str">
        <f>IF(COUNTIF(enemy_habitats!$H:$H,A4),"OK","NG")</f>
        <v>OK</v>
      </c>
      <c r="C4" s="209">
        <v>49007</v>
      </c>
      <c r="D4" s="111" t="str">
        <f ca="1">VLOOKUP($C4,OFFSET([2]quests!$A$1,0,0,COUNTA([2]quests!$A:$A),MATCH(D$1,[2]quests!$1:$1,0)-MATCH($C$1,[2]quests!$1:$1,0)+1),MATCH(D$1,[2]quests!$1:$1,0)-MATCH($C$1,[2]quests!$1:$1,0)+1,FALSE)</f>
        <v>アザゼル（台）</v>
      </c>
      <c r="E4" s="111" t="str">
        <f ca="1">VLOOKUP($C4,OFFSET([2]quests!$A$1,0,0,COUNTA([2]quests!$A:$A),MATCH(E$1,[2]quests!$1:$1,0)-MATCH($C$1,[2]quests!$1:$1,0)+1),MATCH(E$1,[2]quests!$1:$1,0)-MATCH($C$1,[2]quests!$1:$1,0)+1,FALSE)</f>
        <v>コラボ降臨4</v>
      </c>
      <c r="F4" s="112">
        <v>1</v>
      </c>
      <c r="G4" s="113" t="str">
        <f t="shared" si="1"/>
        <v>49007_1</v>
      </c>
      <c r="H4" s="114" t="str">
        <f ca="1">VLOOKUP($G4,OFFSET([2]stages!$A$1,0,0,COUNTA([2]stages!$A:$A),MATCH(H$1,[2]stages!$2:$2,0)-MATCH($G$1,[2]stages!$2:$2,0)+1),MATCH(H$1,[2]stages!$2:$2,0)-MATCH($G$1,[2]stages!$2:$2,0)+1,FALSE)</f>
        <v>【超絶】アザゼル（台）</v>
      </c>
      <c r="I4" s="112">
        <v>3</v>
      </c>
      <c r="J4" s="115">
        <v>60</v>
      </c>
      <c r="K4" s="115">
        <v>60</v>
      </c>
    </row>
    <row r="5" spans="1:11" ht="21" customHeight="1" x14ac:dyDescent="0.15">
      <c r="A5" s="116" t="str">
        <f>G5&amp;"-"&amp;I5</f>
        <v>49007_2-1</v>
      </c>
      <c r="B5" s="117" t="str">
        <f>IF(COUNTIF(enemy_habitats!$H:$H,A5),"OK","NG")</f>
        <v>OK</v>
      </c>
      <c r="C5" s="210">
        <v>49007</v>
      </c>
      <c r="D5" s="119" t="str">
        <f ca="1">VLOOKUP($C5,OFFSET([2]quests!$A$1,0,0,COUNTA([2]quests!$A:$A),MATCH(D$1,[2]quests!$1:$1,0)-MATCH($C$1,[2]quests!$1:$1,0)+1),MATCH(D$1,[2]quests!$1:$1,0)-MATCH($C$1,[2]quests!$1:$1,0)+1,FALSE)</f>
        <v>アザゼル（台）</v>
      </c>
      <c r="E5" s="119" t="str">
        <f ca="1">VLOOKUP($C5,OFFSET([2]quests!$A$1,0,0,COUNTA([2]quests!$A:$A),MATCH(E$1,[2]quests!$1:$1,0)-MATCH($C$1,[2]quests!$1:$1,0)+1),MATCH(E$1,[2]quests!$1:$1,0)-MATCH($C$1,[2]quests!$1:$1,0)+1,FALSE)</f>
        <v>コラボ降臨4</v>
      </c>
      <c r="F5" s="120">
        <v>2</v>
      </c>
      <c r="G5" s="121" t="str">
        <f>C5&amp;"_"&amp;F5</f>
        <v>49007_2</v>
      </c>
      <c r="H5" s="122" t="str">
        <f ca="1">VLOOKUP($G5,OFFSET([2]stages!$A$1,0,0,COUNTA([2]stages!$A:$A),MATCH(H$1,[2]stages!$2:$2,0)-MATCH($G$1,[2]stages!$2:$2,0)+1),MATCH(H$1,[2]stages!$2:$2,0)-MATCH($G$1,[2]stages!$2:$2,0)+1,FALSE)</f>
        <v>【ｳｨｻﾞ】アザゼル（台）</v>
      </c>
      <c r="I5" s="120">
        <v>1</v>
      </c>
      <c r="J5" s="123">
        <v>60</v>
      </c>
      <c r="K5" s="124">
        <v>60</v>
      </c>
    </row>
    <row r="6" spans="1:11" ht="21" customHeight="1" x14ac:dyDescent="0.15">
      <c r="A6" s="125" t="str">
        <f t="shared" ref="A6:A7" si="2">G6&amp;"-"&amp;I6</f>
        <v>49007_2-2</v>
      </c>
      <c r="B6" s="126" t="str">
        <f>IF(COUNTIF(enemy_habitats!$H:$H,A6),"OK","NG")</f>
        <v>OK</v>
      </c>
      <c r="C6" s="211">
        <v>49007</v>
      </c>
      <c r="D6" s="18" t="str">
        <f ca="1">VLOOKUP($C6,OFFSET([2]quests!$A$1,0,0,COUNTA([2]quests!$A:$A),MATCH(D$1,[2]quests!$1:$1,0)-MATCH($C$1,[2]quests!$1:$1,0)+1),MATCH(D$1,[2]quests!$1:$1,0)-MATCH($C$1,[2]quests!$1:$1,0)+1,FALSE)</f>
        <v>アザゼル（台）</v>
      </c>
      <c r="E6" s="18" t="str">
        <f ca="1">VLOOKUP($C6,OFFSET([2]quests!$A$1,0,0,COUNTA([2]quests!$A:$A),MATCH(E$1,[2]quests!$1:$1,0)-MATCH($C$1,[2]quests!$1:$1,0)+1),MATCH(E$1,[2]quests!$1:$1,0)-MATCH($C$1,[2]quests!$1:$1,0)+1,FALSE)</f>
        <v>コラボ降臨4</v>
      </c>
      <c r="F6" s="128">
        <v>2</v>
      </c>
      <c r="G6" s="21" t="str">
        <f t="shared" ref="G6:G7" si="3">C6&amp;"_"&amp;F6</f>
        <v>49007_2</v>
      </c>
      <c r="H6" s="15" t="str">
        <f ca="1">VLOOKUP($G6,OFFSET([2]stages!$A$1,0,0,COUNTA([2]stages!$A:$A),MATCH(H$1,[2]stages!$2:$2,0)-MATCH($G$1,[2]stages!$2:$2,0)+1),MATCH(H$1,[2]stages!$2:$2,0)-MATCH($G$1,[2]stages!$2:$2,0)+1,FALSE)</f>
        <v>【ｳｨｻﾞ】アザゼル（台）</v>
      </c>
      <c r="I6" s="128">
        <v>2</v>
      </c>
      <c r="J6" s="36">
        <v>60</v>
      </c>
      <c r="K6" s="129">
        <v>60</v>
      </c>
    </row>
    <row r="7" spans="1:11" ht="21" customHeight="1" thickBot="1" x14ac:dyDescent="0.2">
      <c r="A7" s="130" t="str">
        <f t="shared" si="2"/>
        <v>49007_2-3</v>
      </c>
      <c r="B7" s="131" t="str">
        <f>IF(COUNTIF(enemy_habitats!$H:$H,A7),"OK","NG")</f>
        <v>OK</v>
      </c>
      <c r="C7" s="212">
        <v>49007</v>
      </c>
      <c r="D7" s="133" t="str">
        <f ca="1">VLOOKUP($C7,OFFSET([2]quests!$A$1,0,0,COUNTA([2]quests!$A:$A),MATCH(D$1,[2]quests!$1:$1,0)-MATCH($C$1,[2]quests!$1:$1,0)+1),MATCH(D$1,[2]quests!$1:$1,0)-MATCH($C$1,[2]quests!$1:$1,0)+1,FALSE)</f>
        <v>アザゼル（台）</v>
      </c>
      <c r="E7" s="133" t="str">
        <f ca="1">VLOOKUP($C7,OFFSET([2]quests!$A$1,0,0,COUNTA([2]quests!$A:$A),MATCH(E$1,[2]quests!$1:$1,0)-MATCH($C$1,[2]quests!$1:$1,0)+1),MATCH(E$1,[2]quests!$1:$1,0)-MATCH($C$1,[2]quests!$1:$1,0)+1,FALSE)</f>
        <v>コラボ降臨4</v>
      </c>
      <c r="F7" s="134">
        <v>2</v>
      </c>
      <c r="G7" s="135" t="str">
        <f t="shared" si="3"/>
        <v>49007_2</v>
      </c>
      <c r="H7" s="136" t="str">
        <f ca="1">VLOOKUP($G7,OFFSET([2]stages!$A$1,0,0,COUNTA([2]stages!$A:$A),MATCH(H$1,[2]stages!$2:$2,0)-MATCH($G$1,[2]stages!$2:$2,0)+1),MATCH(H$1,[2]stages!$2:$2,0)-MATCH($G$1,[2]stages!$2:$2,0)+1,FALSE)</f>
        <v>【ｳｨｻﾞ】アザゼル（台）</v>
      </c>
      <c r="I7" s="134">
        <v>3</v>
      </c>
      <c r="J7" s="137">
        <v>60</v>
      </c>
      <c r="K7" s="138">
        <v>60</v>
      </c>
    </row>
    <row r="8" spans="1:11" ht="21" customHeight="1" x14ac:dyDescent="0.15">
      <c r="A8" s="116" t="str">
        <f>G8&amp;"-"&amp;I8</f>
        <v>49007_3-1</v>
      </c>
      <c r="B8" s="117" t="str">
        <f>IF(COUNTIF(enemy_habitats!$H:$H,A8),"OK","NG")</f>
        <v>OK</v>
      </c>
      <c r="C8" s="210">
        <v>49007</v>
      </c>
      <c r="D8" s="119" t="str">
        <f ca="1">VLOOKUP($C8,OFFSET([2]quests!$A$1,0,0,COUNTA([2]quests!$A:$A),MATCH(D$1,[2]quests!$1:$1,0)-MATCH($C$1,[2]quests!$1:$1,0)+1),MATCH(D$1,[2]quests!$1:$1,0)-MATCH($C$1,[2]quests!$1:$1,0)+1,FALSE)</f>
        <v>アザゼル（台）</v>
      </c>
      <c r="E8" s="119" t="str">
        <f ca="1">VLOOKUP($C8,OFFSET([2]quests!$A$1,0,0,COUNTA([2]quests!$A:$A),MATCH(E$1,[2]quests!$1:$1,0)-MATCH($C$1,[2]quests!$1:$1,0)+1),MATCH(E$1,[2]quests!$1:$1,0)-MATCH($C$1,[2]quests!$1:$1,0)+1,FALSE)</f>
        <v>コラボ降臨4</v>
      </c>
      <c r="F8" s="120">
        <v>3</v>
      </c>
      <c r="G8" s="121" t="str">
        <f>C8&amp;"_"&amp;F8</f>
        <v>49007_3</v>
      </c>
      <c r="H8" s="122" t="str">
        <f ca="1">VLOOKUP($G8,OFFSET([2]stages!$A$1,0,0,COUNTA([2]stages!$A:$A),MATCH(H$1,[2]stages!$2:$2,0)-MATCH($G$1,[2]stages!$2:$2,0)+1),MATCH(H$1,[2]stages!$2:$2,0)-MATCH($G$1,[2]stages!$2:$2,0)+1,FALSE)</f>
        <v>【ﾉｰｺﾝ】アザゼル（台）</v>
      </c>
      <c r="I8" s="120">
        <v>1</v>
      </c>
      <c r="J8" s="123">
        <v>60</v>
      </c>
      <c r="K8" s="124">
        <v>60</v>
      </c>
    </row>
    <row r="9" spans="1:11" ht="21" customHeight="1" x14ac:dyDescent="0.15">
      <c r="A9" s="125" t="str">
        <f t="shared" ref="A9:A10" si="4">G9&amp;"-"&amp;I9</f>
        <v>49007_3-2</v>
      </c>
      <c r="B9" s="126" t="str">
        <f>IF(COUNTIF(enemy_habitats!$H:$H,A9),"OK","NG")</f>
        <v>OK</v>
      </c>
      <c r="C9" s="211">
        <v>49007</v>
      </c>
      <c r="D9" s="18" t="str">
        <f ca="1">VLOOKUP($C9,OFFSET([2]quests!$A$1,0,0,COUNTA([2]quests!$A:$A),MATCH(D$1,[2]quests!$1:$1,0)-MATCH($C$1,[2]quests!$1:$1,0)+1),MATCH(D$1,[2]quests!$1:$1,0)-MATCH($C$1,[2]quests!$1:$1,0)+1,FALSE)</f>
        <v>アザゼル（台）</v>
      </c>
      <c r="E9" s="18" t="str">
        <f ca="1">VLOOKUP($C9,OFFSET([2]quests!$A$1,0,0,COUNTA([2]quests!$A:$A),MATCH(E$1,[2]quests!$1:$1,0)-MATCH($C$1,[2]quests!$1:$1,0)+1),MATCH(E$1,[2]quests!$1:$1,0)-MATCH($C$1,[2]quests!$1:$1,0)+1,FALSE)</f>
        <v>コラボ降臨4</v>
      </c>
      <c r="F9" s="128">
        <v>3</v>
      </c>
      <c r="G9" s="21" t="str">
        <f t="shared" ref="G9:G10" si="5">C9&amp;"_"&amp;F9</f>
        <v>49007_3</v>
      </c>
      <c r="H9" s="15" t="str">
        <f ca="1">VLOOKUP($G9,OFFSET([2]stages!$A$1,0,0,COUNTA([2]stages!$A:$A),MATCH(H$1,[2]stages!$2:$2,0)-MATCH($G$1,[2]stages!$2:$2,0)+1),MATCH(H$1,[2]stages!$2:$2,0)-MATCH($G$1,[2]stages!$2:$2,0)+1,FALSE)</f>
        <v>【ﾉｰｺﾝ】アザゼル（台）</v>
      </c>
      <c r="I9" s="128">
        <v>2</v>
      </c>
      <c r="J9" s="36">
        <v>60</v>
      </c>
      <c r="K9" s="129">
        <v>60</v>
      </c>
    </row>
    <row r="10" spans="1:11" ht="21" customHeight="1" thickBot="1" x14ac:dyDescent="0.2">
      <c r="A10" s="130" t="str">
        <f t="shared" si="4"/>
        <v>49007_3-3</v>
      </c>
      <c r="B10" s="131" t="str">
        <f>IF(COUNTIF(enemy_habitats!$H:$H,A10),"OK","NG")</f>
        <v>OK</v>
      </c>
      <c r="C10" s="212">
        <v>49007</v>
      </c>
      <c r="D10" s="133" t="str">
        <f ca="1">VLOOKUP($C10,OFFSET([2]quests!$A$1,0,0,COUNTA([2]quests!$A:$A),MATCH(D$1,[2]quests!$1:$1,0)-MATCH($C$1,[2]quests!$1:$1,0)+1),MATCH(D$1,[2]quests!$1:$1,0)-MATCH($C$1,[2]quests!$1:$1,0)+1,FALSE)</f>
        <v>アザゼル（台）</v>
      </c>
      <c r="E10" s="133" t="str">
        <f ca="1">VLOOKUP($C10,OFFSET([2]quests!$A$1,0,0,COUNTA([2]quests!$A:$A),MATCH(E$1,[2]quests!$1:$1,0)-MATCH($C$1,[2]quests!$1:$1,0)+1),MATCH(E$1,[2]quests!$1:$1,0)-MATCH($C$1,[2]quests!$1:$1,0)+1,FALSE)</f>
        <v>コラボ降臨4</v>
      </c>
      <c r="F10" s="134">
        <v>3</v>
      </c>
      <c r="G10" s="135" t="str">
        <f t="shared" si="5"/>
        <v>49007_3</v>
      </c>
      <c r="H10" s="136" t="str">
        <f ca="1">VLOOKUP($G10,OFFSET([2]stages!$A$1,0,0,COUNTA([2]stages!$A:$A),MATCH(H$1,[2]stages!$2:$2,0)-MATCH($G$1,[2]stages!$2:$2,0)+1),MATCH(H$1,[2]stages!$2:$2,0)-MATCH($G$1,[2]stages!$2:$2,0)+1,FALSE)</f>
        <v>【ﾉｰｺﾝ】アザゼル（台）</v>
      </c>
      <c r="I10" s="134">
        <v>3</v>
      </c>
      <c r="J10" s="137">
        <v>60</v>
      </c>
      <c r="K10" s="138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35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O21" sqref="O21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3" customFormat="1" ht="21" customHeight="1" thickBot="1" x14ac:dyDescent="0.2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53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24" t="s">
        <v>50</v>
      </c>
      <c r="U1" s="24" t="s">
        <v>52</v>
      </c>
      <c r="V1" s="27" t="s">
        <v>31</v>
      </c>
      <c r="W1" s="26" t="s">
        <v>4</v>
      </c>
      <c r="X1" s="26" t="s">
        <v>5</v>
      </c>
      <c r="Y1" s="26" t="s">
        <v>6</v>
      </c>
      <c r="Z1" s="26" t="s">
        <v>7</v>
      </c>
      <c r="AA1" s="26" t="s">
        <v>8</v>
      </c>
      <c r="AB1" s="31" t="s">
        <v>9</v>
      </c>
      <c r="AC1" s="32" t="s">
        <v>16</v>
      </c>
      <c r="AD1" s="32" t="s">
        <v>17</v>
      </c>
      <c r="AE1" s="32" t="s">
        <v>27</v>
      </c>
      <c r="AF1" s="31" t="s">
        <v>10</v>
      </c>
      <c r="AG1" s="26" t="s">
        <v>11</v>
      </c>
      <c r="AH1" s="26" t="s">
        <v>12</v>
      </c>
      <c r="AI1" s="26" t="s">
        <v>38</v>
      </c>
      <c r="AJ1" s="26" t="s">
        <v>40</v>
      </c>
      <c r="AK1" s="26" t="s">
        <v>42</v>
      </c>
      <c r="AL1" s="26" t="s">
        <v>44</v>
      </c>
      <c r="AM1" s="26" t="s">
        <v>46</v>
      </c>
      <c r="AN1" s="34" t="s">
        <v>178</v>
      </c>
    </row>
    <row r="2" spans="1:40" s="155" customFormat="1" ht="21" customHeight="1" x14ac:dyDescent="0.15">
      <c r="A2" s="116" t="str">
        <f>B2&amp;"_"&amp;C2&amp;"-"&amp;G2&amp;"/"&amp;L2&amp;"&lt;lv"&amp;R2&amp;"&gt;s"&amp;AA2</f>
        <v>49007_1-1/8063&lt;lv50&gt;s2</v>
      </c>
      <c r="B2" s="210">
        <v>49007</v>
      </c>
      <c r="C2" s="120">
        <v>1</v>
      </c>
      <c r="D2" s="122" t="str">
        <f>B2&amp;"_"&amp;C2</f>
        <v>49007_1</v>
      </c>
      <c r="E2" s="147" t="str">
        <f ca="1">VLOOKUP($B2,OFFSET([2]quests!$A$1,0,0,COUNTA([2]quests!$A:$A),MATCH(E$1,[2]quests!$1:$1,0)-MATCH($B$1,[2]quests!$1:$1,0)+1),MATCH(E$1,[2]quests!$1:$1,0)-MATCH($B$1,[2]quests!$1:$1,0)+1,FALSE)</f>
        <v>アザゼル（台）</v>
      </c>
      <c r="F2" s="147" t="str">
        <f ca="1">VLOOKUP($D2,OFFSET([2]stages!$A$1,0,0,COUNTA([2]stages!$A:$A),MATCH(F$1,[2]stages!$2:$2,0)-MATCH($D$1,[2]stages!$2:$2,0)+1),MATCH(F$1,[2]stages!$2:$2,0)-MATCH($D$1,[2]stages!$2:$2,0)+1,FALSE)</f>
        <v>【超絶】アザゼル（台）</v>
      </c>
      <c r="G2" s="120">
        <v>1</v>
      </c>
      <c r="H2" s="122" t="str">
        <f>B2&amp;"_"&amp;C2&amp;"-"&amp;G2</f>
        <v>49007_1-1</v>
      </c>
      <c r="I2" s="147">
        <f ca="1">VLOOKUP($H2,OFFSET(floors!$A$1,0,0,COUNTA(floors!$A:$A),MATCH(I$1,floors!$1:$1,0)-MATCH($H$1,floors!$1:$1,0)+1),MATCH(I$1,floors!$1:$1,0)-MATCH($H$1,floors!$1:$1,0)+1,FALSE)</f>
        <v>60</v>
      </c>
      <c r="J2" s="147">
        <f ca="1">VLOOKUP($H2,OFFSET(floors!$A$1,0,0,COUNTA(floors!$A:$A),MATCH(J$1,floors!$1:$1,0)-MATCH($H$1,floors!$1:$1,0)+1),MATCH(J$1,floors!$1:$1,0)-MATCH($H$1,floors!$1:$1,0)+1,FALSE)</f>
        <v>60</v>
      </c>
      <c r="K2" s="123">
        <v>5</v>
      </c>
      <c r="L2" s="213">
        <v>8063</v>
      </c>
      <c r="M2" s="148" t="e">
        <f ca="1">VLOOKUP($L2,OFFSET([3]enemies!$A$1,0,0,COUNTA([3]enemies!$A:$A),MATCH(M$1,[3]enemies!$1:$1,0)-MATCH($L$1,[3]enemies!$1:$1,0)+1),MATCH(M$1,[3]enemies!$1:$1,0)-MATCH($L$1,[3]enemies!$1:$1,0)+1,FALSE)</f>
        <v>#N/A</v>
      </c>
      <c r="N2" s="148" t="e">
        <f ca="1">VLOOKUP($L2,OFFSET([3]enemies!$A$1,0,0,COUNTA([3]enemies!$A:$A),MATCH(N$1,[3]enemies!$1:$1,0)-MATCH($L$1,[3]enemies!$1:$1,0)+1),MATCH(N$1,[3]enemies!$1:$1,0)-MATCH($L$1,[3]enemies!$1:$1,0)+1,FALSE)</f>
        <v>#N/A</v>
      </c>
      <c r="O2" s="148" t="e">
        <f ca="1">VLOOKUP($L2,OFFSET([4]characters!$A$1,0,0,COUNTA([4]characters!$A:$A),MATCH(O$1,[4]characters!$1:$1,0)-MATCH($L$1,[4]characters!$1:$1,0)+1),MATCH(O$1,[4]characters!$1:$1,0)-MATCH($L$1,[4]characters!$1:$1,0)+1,FALSE)</f>
        <v>#N/A</v>
      </c>
      <c r="P2" s="148" t="e">
        <f ca="1">VLOOKUP($L2,OFFSET([3]enemies!$A$1,0,0,COUNTA([3]enemies!$A:$A),MATCH(P$1,[3]enemies!$1:$1,0)-MATCH($L$1,[3]enemies!$1:$1,0)+1),MATCH(P$1,[3]enemies!$1:$1,0)-MATCH($L$1,[3]enemies!$1:$1,0)+1,FALSE)</f>
        <v>#N/A</v>
      </c>
      <c r="Q2" s="148" t="e">
        <f ca="1">VLOOKUP($L2,OFFSET([3]enemies!$A$1,0,0,COUNTA([3]enemies!$A:$A),MATCH(Q$1,[3]enemies!$1:$1,0)-MATCH($L$1,[3]enemies!$1:$1,0)+1),MATCH(Q$1,[3]enemies!$1:$1,0)-MATCH($L$1,[3]enemies!$1:$1,0)+1,FALSE)</f>
        <v>#N/A</v>
      </c>
      <c r="R2" s="149">
        <v>50</v>
      </c>
      <c r="S2" s="150">
        <v>0.8</v>
      </c>
      <c r="T2" s="150">
        <v>0.7</v>
      </c>
      <c r="U2" s="149">
        <v>0</v>
      </c>
      <c r="V2" s="147" t="str">
        <f ca="1">VLOOKUP($W2,OFFSET(enemy_skill_sets!$B$1,0,0,COUNTA(enemy_skill_sets!$B:$B),MATCH(M$1,enemy_skill_sets!$1:$1,0)-MATCH($W$1,enemy_skill_sets!$1:$1,0)+2),MATCH(M$1,enemy_skill_sets!$1:$1,0)-MATCH($W$1,enemy_skill_sets!$1:$1,0)+2,FALSE)</f>
        <v>余裕の笑みを浮かべている</v>
      </c>
      <c r="W2" s="210">
        <v>49007001</v>
      </c>
      <c r="X2" s="151">
        <v>1</v>
      </c>
      <c r="Y2" s="151">
        <v>100</v>
      </c>
      <c r="Z2" s="151">
        <v>1</v>
      </c>
      <c r="AA2" s="148">
        <v>2</v>
      </c>
      <c r="AB2" s="152">
        <f>L2</f>
        <v>8063</v>
      </c>
      <c r="AC2" s="147" t="e">
        <f ca="1">VLOOKUP($AB2,OFFSET([4]characters!$A$1,0,0,COUNTA([4]characters!$A:$A),MATCH(AC$1,[4]characters!$1:$1,0)-MATCH("character_id",[4]characters!$1:$1,0)+1),MATCH(AC$1,[4]characters!$1:$1,0)-MATCH("character_id",[4]characters!$1:$1,0)+1,FALSE)</f>
        <v>#N/A</v>
      </c>
      <c r="AD2" s="147" t="e">
        <f ca="1">VLOOKUP($AB2,OFFSET([4]characters!$A$1,0,0,COUNTA([4]characters!$A:$A),MATCH(AD$1,[4]characters!$1:$1,0)-MATCH("character_id",[4]characters!$1:$1,0)+1),MATCH(AD$1,[4]characters!$1:$1,0)-MATCH("character_id",[4]characters!$1:$1,0)+1,FALSE)</f>
        <v>#N/A</v>
      </c>
      <c r="AE2" s="147" t="e">
        <f ca="1">VLOOKUP($AB2,OFFSET([4]characters!$A$1,0,0,COUNTA([4]characters!$A:$A),MATCH(AE$1,[4]characters!$1:$1,0)-MATCH("character_id",[4]characters!$1:$1,0)+1),MATCH(AE$1,[4]characters!$1:$1,0)-MATCH("character_id",[4]characters!$1:$1,0)+1,FALSE)</f>
        <v>#N/A</v>
      </c>
      <c r="AF2" s="118">
        <v>1</v>
      </c>
      <c r="AG2" s="152" t="e">
        <f ca="1">AD2</f>
        <v>#N/A</v>
      </c>
      <c r="AH2" s="153">
        <v>0</v>
      </c>
      <c r="AI2" s="118">
        <v>0</v>
      </c>
      <c r="AJ2" s="118">
        <v>0</v>
      </c>
      <c r="AK2" s="118">
        <v>0</v>
      </c>
      <c r="AL2" s="118">
        <v>0</v>
      </c>
      <c r="AM2" s="118">
        <v>1</v>
      </c>
      <c r="AN2" s="154">
        <v>1</v>
      </c>
    </row>
    <row r="3" spans="1:40" s="157" customFormat="1" ht="21" customHeight="1" x14ac:dyDescent="0.15">
      <c r="A3" s="125" t="str">
        <f>B3&amp;"_"&amp;C3&amp;"-"&amp;G3&amp;"/"&amp;L3&amp;"&lt;lv"&amp;R3&amp;"&gt;s"&amp;AA3</f>
        <v>49007_1-2/8057&lt;lv55&gt;s2</v>
      </c>
      <c r="B3" s="211">
        <v>49007</v>
      </c>
      <c r="C3" s="128">
        <v>1</v>
      </c>
      <c r="D3" s="15" t="str">
        <f>B3&amp;"_"&amp;C3</f>
        <v>49007_1</v>
      </c>
      <c r="E3" s="4" t="str">
        <f ca="1">VLOOKUP($B3,OFFSET([2]quests!$A$1,0,0,COUNTA([2]quests!$A:$A),MATCH(E$1,[2]quests!$1:$1,0)-MATCH($B$1,[2]quests!$1:$1,0)+1),MATCH(E$1,[2]quests!$1:$1,0)-MATCH($B$1,[2]quests!$1:$1,0)+1,FALSE)</f>
        <v>アザゼル（台）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【超絶】アザゼル（台）</v>
      </c>
      <c r="G3" s="128">
        <v>2</v>
      </c>
      <c r="H3" s="15" t="str">
        <f>B3&amp;"_"&amp;C3&amp;"-"&amp;G3</f>
        <v>49007_1-2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>
        <v>6</v>
      </c>
      <c r="L3" s="214">
        <v>8057</v>
      </c>
      <c r="M3" s="17" t="e">
        <f ca="1">VLOOKUP($L3,OFFSET([3]enemies!$A$1,0,0,COUNTA([3]enemies!$A:$A),MATCH(M$1,[3]enemies!$1:$1,0)-MATCH($L$1,[3]enemies!$1:$1,0)+1),MATCH(M$1,[3]enemies!$1:$1,0)-MATCH($L$1,[3]enemies!$1:$1,0)+1,FALSE)</f>
        <v>#N/A</v>
      </c>
      <c r="N3" s="17" t="e">
        <f ca="1">VLOOKUP($L3,OFFSET([3]enemies!$A$1,0,0,COUNTA([3]enemies!$A:$A),MATCH(N$1,[3]enemies!$1:$1,0)-MATCH($L$1,[3]enemies!$1:$1,0)+1),MATCH(N$1,[3]enemies!$1:$1,0)-MATCH($L$1,[3]enemies!$1:$1,0)+1,FALSE)</f>
        <v>#N/A</v>
      </c>
      <c r="O3" s="17" t="e">
        <f ca="1">VLOOKUP($L3,OFFSET([4]characters!$A$1,0,0,COUNTA([4]characters!$A:$A),MATCH(O$1,[4]characters!$1:$1,0)-MATCH($L$1,[4]characters!$1:$1,0)+1),MATCH(O$1,[4]characters!$1:$1,0)-MATCH($L$1,[4]characters!$1:$1,0)+1,FALSE)</f>
        <v>#N/A</v>
      </c>
      <c r="P3" s="17" t="e">
        <f ca="1">VLOOKUP($L3,OFFSET([3]enemies!$A$1,0,0,COUNTA([3]enemies!$A:$A),MATCH(P$1,[3]enemies!$1:$1,0)-MATCH($L$1,[3]enemies!$1:$1,0)+1),MATCH(P$1,[3]enemies!$1:$1,0)-MATCH($L$1,[3]enemies!$1:$1,0)+1,FALSE)</f>
        <v>#N/A</v>
      </c>
      <c r="Q3" s="17" t="e">
        <f ca="1">VLOOKUP($L3,OFFSET([3]enemies!$A$1,0,0,COUNTA([3]enemies!$A:$A),MATCH(Q$1,[3]enemies!$1:$1,0)-MATCH($L$1,[3]enemies!$1:$1,0)+1),MATCH(Q$1,[3]enemies!$1:$1,0)-MATCH($L$1,[3]enemies!$1:$1,0)+1,FALSE)</f>
        <v>#N/A</v>
      </c>
      <c r="R3" s="5">
        <v>55</v>
      </c>
      <c r="S3" s="23">
        <v>1</v>
      </c>
      <c r="T3" s="23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全体攻撃</v>
      </c>
      <c r="W3" s="211">
        <v>49007005</v>
      </c>
      <c r="X3" s="6">
        <v>1</v>
      </c>
      <c r="Y3" s="6">
        <v>100</v>
      </c>
      <c r="Z3" s="6">
        <v>1</v>
      </c>
      <c r="AA3" s="17">
        <v>2</v>
      </c>
      <c r="AB3" s="156">
        <f t="shared" ref="AB3:AB5" si="0">L3</f>
        <v>8057</v>
      </c>
      <c r="AC3" s="4" t="e">
        <f ca="1">VLOOKUP($AB3,OFFSET([4]characters!$A$1,0,0,COUNTA([4]characters!$A:$A),MATCH(AC$1,[4]characters!$1:$1,0)-MATCH("character_id",[4]characters!$1:$1,0)+1),MATCH(AC$1,[4]characters!$1:$1,0)-MATCH("character_id",[4]characters!$1:$1,0)+1,FALSE)</f>
        <v>#N/A</v>
      </c>
      <c r="AD3" s="4" t="e">
        <f ca="1">VLOOKUP($AB3,OFFSET([4]characters!$A$1,0,0,COUNTA([4]characters!$A:$A),MATCH(AD$1,[4]characters!$1:$1,0)-MATCH("character_id",[4]characters!$1:$1,0)+1),MATCH(AD$1,[4]characters!$1:$1,0)-MATCH("character_id",[4]characters!$1:$1,0)+1,FALSE)</f>
        <v>#N/A</v>
      </c>
      <c r="AE3" s="4" t="e">
        <f ca="1">VLOOKUP($AB3,OFFSET([4]characters!$A$1,0,0,COUNTA([4]characters!$A:$A),MATCH(AE$1,[4]characters!$1:$1,0)-MATCH("character_id",[4]characters!$1:$1,0)+1),MATCH(AE$1,[4]characters!$1:$1,0)-MATCH("character_id",[4]characters!$1:$1,0)+1,FALSE)</f>
        <v>#N/A</v>
      </c>
      <c r="AF3" s="127">
        <v>1</v>
      </c>
      <c r="AG3" s="156" t="e">
        <f t="shared" ref="AG3:AG5" ca="1" si="1">AD3</f>
        <v>#N/A</v>
      </c>
      <c r="AH3" s="8">
        <v>0</v>
      </c>
      <c r="AI3" s="127">
        <v>0</v>
      </c>
      <c r="AJ3" s="127">
        <v>0</v>
      </c>
      <c r="AK3" s="127">
        <v>0</v>
      </c>
      <c r="AL3" s="127">
        <v>0</v>
      </c>
      <c r="AM3" s="127">
        <v>1</v>
      </c>
      <c r="AN3" s="67">
        <v>1</v>
      </c>
    </row>
    <row r="4" spans="1:40" s="157" customFormat="1" ht="21" customHeight="1" x14ac:dyDescent="0.15">
      <c r="A4" s="125" t="str">
        <f t="shared" ref="A4:A5" si="2">B4&amp;"_"&amp;C4&amp;"-"&amp;G4&amp;"/"&amp;L4&amp;"&lt;lv"&amp;R4&amp;"&gt;s"&amp;AA4</f>
        <v>49007_1-2/8059&lt;lv55&gt;s1</v>
      </c>
      <c r="B4" s="211">
        <v>49007</v>
      </c>
      <c r="C4" s="128">
        <v>1</v>
      </c>
      <c r="D4" s="15" t="str">
        <f t="shared" ref="D4:D5" si="3">B4&amp;"_"&amp;C4</f>
        <v>49007_1</v>
      </c>
      <c r="E4" s="4" t="str">
        <f ca="1">VLOOKUP($B4,OFFSET([2]quests!$A$1,0,0,COUNTA([2]quests!$A:$A),MATCH(E$1,[2]quests!$1:$1,0)-MATCH($B$1,[2]quests!$1:$1,0)+1),MATCH(E$1,[2]quests!$1:$1,0)-MATCH($B$1,[2]quests!$1:$1,0)+1,FALSE)</f>
        <v>アザゼル（台）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【超絶】アザゼル（台）</v>
      </c>
      <c r="G4" s="128">
        <v>2</v>
      </c>
      <c r="H4" s="15" t="str">
        <f t="shared" ref="H4:H5" si="4">B4&amp;"_"&amp;C4&amp;"-"&amp;G4</f>
        <v>49007_1-2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>
        <v>7</v>
      </c>
      <c r="L4" s="214">
        <v>8059</v>
      </c>
      <c r="M4" s="17" t="e">
        <f ca="1">VLOOKUP($L4,OFFSET([3]enemies!$A$1,0,0,COUNTA([3]enemies!$A:$A),MATCH(M$1,[3]enemies!$1:$1,0)-MATCH($L$1,[3]enemies!$1:$1,0)+1),MATCH(M$1,[3]enemies!$1:$1,0)-MATCH($L$1,[3]enemies!$1:$1,0)+1,FALSE)</f>
        <v>#N/A</v>
      </c>
      <c r="N4" s="17" t="e">
        <f ca="1">VLOOKUP($L4,OFFSET([3]enemies!$A$1,0,0,COUNTA([3]enemies!$A:$A),MATCH(N$1,[3]enemies!$1:$1,0)-MATCH($L$1,[3]enemies!$1:$1,0)+1),MATCH(N$1,[3]enemies!$1:$1,0)-MATCH($L$1,[3]enemies!$1:$1,0)+1,FALSE)</f>
        <v>#N/A</v>
      </c>
      <c r="O4" s="17" t="e">
        <f ca="1">VLOOKUP($L4,OFFSET([4]characters!$A$1,0,0,COUNTA([4]characters!$A:$A),MATCH(O$1,[4]characters!$1:$1,0)-MATCH($L$1,[4]characters!$1:$1,0)+1),MATCH(O$1,[4]characters!$1:$1,0)-MATCH($L$1,[4]characters!$1:$1,0)+1,FALSE)</f>
        <v>#N/A</v>
      </c>
      <c r="P4" s="17" t="e">
        <f ca="1">VLOOKUP($L4,OFFSET([3]enemies!$A$1,0,0,COUNTA([3]enemies!$A:$A),MATCH(P$1,[3]enemies!$1:$1,0)-MATCH($L$1,[3]enemies!$1:$1,0)+1),MATCH(P$1,[3]enemies!$1:$1,0)-MATCH($L$1,[3]enemies!$1:$1,0)+1,FALSE)</f>
        <v>#N/A</v>
      </c>
      <c r="Q4" s="17" t="e">
        <f ca="1">VLOOKUP($L4,OFFSET([3]enemies!$A$1,0,0,COUNTA([3]enemies!$A:$A),MATCH(Q$1,[3]enemies!$1:$1,0)-MATCH($L$1,[3]enemies!$1:$1,0)+1),MATCH(Q$1,[3]enemies!$1:$1,0)-MATCH($L$1,[3]enemies!$1:$1,0)+1,FALSE)</f>
        <v>#N/A</v>
      </c>
      <c r="R4" s="5">
        <v>55</v>
      </c>
      <c r="S4" s="23">
        <v>1</v>
      </c>
      <c r="T4" s="23">
        <v>1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みんな仲が良さそうだ</v>
      </c>
      <c r="W4" s="211">
        <v>49007004</v>
      </c>
      <c r="X4" s="6">
        <v>1</v>
      </c>
      <c r="Y4" s="6">
        <v>100</v>
      </c>
      <c r="Z4" s="6">
        <v>2</v>
      </c>
      <c r="AA4" s="17">
        <v>1</v>
      </c>
      <c r="AB4" s="156">
        <f t="shared" si="0"/>
        <v>8059</v>
      </c>
      <c r="AC4" s="4" t="e">
        <f ca="1">VLOOKUP($AB4,OFFSET([4]characters!$A$1,0,0,COUNTA([4]characters!$A:$A),MATCH(AC$1,[4]characters!$1:$1,0)-MATCH("character_id",[4]characters!$1:$1,0)+1),MATCH(AC$1,[4]characters!$1:$1,0)-MATCH("character_id",[4]characters!$1:$1,0)+1,FALSE)</f>
        <v>#N/A</v>
      </c>
      <c r="AD4" s="4" t="e">
        <f ca="1">VLOOKUP($AB4,OFFSET([4]characters!$A$1,0,0,COUNTA([4]characters!$A:$A),MATCH(AD$1,[4]characters!$1:$1,0)-MATCH("character_id",[4]characters!$1:$1,0)+1),MATCH(AD$1,[4]characters!$1:$1,0)-MATCH("character_id",[4]characters!$1:$1,0)+1,FALSE)</f>
        <v>#N/A</v>
      </c>
      <c r="AE4" s="4" t="e">
        <f ca="1">VLOOKUP($AB4,OFFSET([4]characters!$A$1,0,0,COUNTA([4]characters!$A:$A),MATCH(AE$1,[4]characters!$1:$1,0)-MATCH("character_id",[4]characters!$1:$1,0)+1),MATCH(AE$1,[4]characters!$1:$1,0)-MATCH("character_id",[4]characters!$1:$1,0)+1,FALSE)</f>
        <v>#N/A</v>
      </c>
      <c r="AF4" s="127">
        <v>1</v>
      </c>
      <c r="AG4" s="156" t="e">
        <f t="shared" ca="1" si="1"/>
        <v>#N/A</v>
      </c>
      <c r="AH4" s="8">
        <v>0</v>
      </c>
      <c r="AI4" s="127">
        <v>0</v>
      </c>
      <c r="AJ4" s="127">
        <v>0</v>
      </c>
      <c r="AK4" s="127">
        <v>0</v>
      </c>
      <c r="AL4" s="127">
        <v>0</v>
      </c>
      <c r="AM4" s="127">
        <v>1</v>
      </c>
      <c r="AN4" s="67">
        <v>1</v>
      </c>
    </row>
    <row r="5" spans="1:40" s="166" customFormat="1" ht="21" customHeight="1" thickBot="1" x14ac:dyDescent="0.2">
      <c r="A5" s="130" t="str">
        <f t="shared" si="2"/>
        <v>49007_1-3/8043&lt;lv65&gt;s3</v>
      </c>
      <c r="B5" s="212">
        <v>49007</v>
      </c>
      <c r="C5" s="134">
        <v>1</v>
      </c>
      <c r="D5" s="136" t="str">
        <f t="shared" si="3"/>
        <v>49007_1</v>
      </c>
      <c r="E5" s="158" t="str">
        <f ca="1">VLOOKUP($B5,OFFSET([2]quests!$A$1,0,0,COUNTA([2]quests!$A:$A),MATCH(E$1,[2]quests!$1:$1,0)-MATCH($B$1,[2]quests!$1:$1,0)+1),MATCH(E$1,[2]quests!$1:$1,0)-MATCH($B$1,[2]quests!$1:$1,0)+1,FALSE)</f>
        <v>アザゼル（台）</v>
      </c>
      <c r="F5" s="158" t="str">
        <f ca="1">VLOOKUP($D5,OFFSET([2]stages!$A$1,0,0,COUNTA([2]stages!$A:$A),MATCH(F$1,[2]stages!$2:$2,0)-MATCH($D$1,[2]stages!$2:$2,0)+1),MATCH(F$1,[2]stages!$2:$2,0)-MATCH($D$1,[2]stages!$2:$2,0)+1,FALSE)</f>
        <v>【超絶】アザゼル（台）</v>
      </c>
      <c r="G5" s="134">
        <v>3</v>
      </c>
      <c r="H5" s="136" t="str">
        <f t="shared" si="4"/>
        <v>49007_1-3</v>
      </c>
      <c r="I5" s="158">
        <f ca="1">VLOOKUP($H5,OFFSET(floors!$A$1,0,0,COUNTA(floors!$A:$A),MATCH(I$1,floors!$1:$1,0)-MATCH($H$1,floors!$1:$1,0)+1),MATCH(I$1,floors!$1:$1,0)-MATCH($H$1,floors!$1:$1,0)+1,FALSE)</f>
        <v>60</v>
      </c>
      <c r="J5" s="158">
        <f ca="1">VLOOKUP($H5,OFFSET(floors!$A$1,0,0,COUNTA(floors!$A:$A),MATCH(J$1,floors!$1:$1,0)-MATCH($H$1,floors!$1:$1,0)+1),MATCH(J$1,floors!$1:$1,0)-MATCH($H$1,floors!$1:$1,0)+1,FALSE)</f>
        <v>60</v>
      </c>
      <c r="K5" s="137">
        <v>8</v>
      </c>
      <c r="L5" s="215">
        <v>8043</v>
      </c>
      <c r="M5" s="159" t="e">
        <f ca="1">VLOOKUP($L5,OFFSET([3]enemies!$A$1,0,0,COUNTA([3]enemies!$A:$A),MATCH(M$1,[3]enemies!$1:$1,0)-MATCH($L$1,[3]enemies!$1:$1,0)+1),MATCH(M$1,[3]enemies!$1:$1,0)-MATCH($L$1,[3]enemies!$1:$1,0)+1,FALSE)</f>
        <v>#N/A</v>
      </c>
      <c r="N5" s="159" t="e">
        <f ca="1">VLOOKUP($L5,OFFSET([3]enemies!$A$1,0,0,COUNTA([3]enemies!$A:$A),MATCH(N$1,[3]enemies!$1:$1,0)-MATCH($L$1,[3]enemies!$1:$1,0)+1),MATCH(N$1,[3]enemies!$1:$1,0)-MATCH($L$1,[3]enemies!$1:$1,0)+1,FALSE)</f>
        <v>#N/A</v>
      </c>
      <c r="O5" s="159" t="e">
        <f ca="1">VLOOKUP($L5,OFFSET([4]characters!$A$1,0,0,COUNTA([4]characters!$A:$A),MATCH(O$1,[4]characters!$1:$1,0)-MATCH($L$1,[4]characters!$1:$1,0)+1),MATCH(O$1,[4]characters!$1:$1,0)-MATCH($L$1,[4]characters!$1:$1,0)+1,FALSE)</f>
        <v>#N/A</v>
      </c>
      <c r="P5" s="159" t="e">
        <f ca="1">VLOOKUP($L5,OFFSET([3]enemies!$A$1,0,0,COUNTA([3]enemies!$A:$A),MATCH(P$1,[3]enemies!$1:$1,0)-MATCH($L$1,[3]enemies!$1:$1,0)+1),MATCH(P$1,[3]enemies!$1:$1,0)-MATCH($L$1,[3]enemies!$1:$1,0)+1,FALSE)</f>
        <v>#N/A</v>
      </c>
      <c r="Q5" s="159" t="e">
        <f ca="1">VLOOKUP($L5,OFFSET([3]enemies!$A$1,0,0,COUNTA([3]enemies!$A:$A),MATCH(Q$1,[3]enemies!$1:$1,0)-MATCH($L$1,[3]enemies!$1:$1,0)+1),MATCH(Q$1,[3]enemies!$1:$1,0)-MATCH($L$1,[3]enemies!$1:$1,0)+1,FALSE)</f>
        <v>#N/A</v>
      </c>
      <c r="R5" s="160">
        <v>65</v>
      </c>
      <c r="S5" s="161">
        <v>2</v>
      </c>
      <c r="T5" s="161">
        <v>1.3</v>
      </c>
      <c r="U5" s="160">
        <v>0</v>
      </c>
      <c r="V5" s="158" t="str">
        <f ca="1">VLOOKUP($W5,OFFSET(enemy_skill_sets!$B$1,0,0,COUNTA(enemy_skill_sets!$B:$B),MATCH(M$1,enemy_skill_sets!$1:$1,0)-MATCH($W$1,enemy_skill_sets!$1:$1,0)+2),MATCH(M$1,enemy_skill_sets!$1:$1,0)-MATCH($W$1,enemy_skill_sets!$1:$1,0)+2,FALSE)</f>
        <v>なにやらテンションがおかしい！</v>
      </c>
      <c r="W5" s="212">
        <v>49007011</v>
      </c>
      <c r="X5" s="162">
        <v>1</v>
      </c>
      <c r="Y5" s="162">
        <v>100</v>
      </c>
      <c r="Z5" s="162">
        <v>1</v>
      </c>
      <c r="AA5" s="159">
        <v>3</v>
      </c>
      <c r="AB5" s="163">
        <f t="shared" si="0"/>
        <v>8043</v>
      </c>
      <c r="AC5" s="158" t="e">
        <f ca="1">VLOOKUP($AB5,OFFSET([4]characters!$A$1,0,0,COUNTA([4]characters!$A:$A),MATCH(AC$1,[4]characters!$1:$1,0)-MATCH("character_id",[4]characters!$1:$1,0)+1),MATCH(AC$1,[4]characters!$1:$1,0)-MATCH("character_id",[4]characters!$1:$1,0)+1,FALSE)</f>
        <v>#N/A</v>
      </c>
      <c r="AD5" s="158" t="e">
        <f ca="1">VLOOKUP($AB5,OFFSET([4]characters!$A$1,0,0,COUNTA([4]characters!$A:$A),MATCH(AD$1,[4]characters!$1:$1,0)-MATCH("character_id",[4]characters!$1:$1,0)+1),MATCH(AD$1,[4]characters!$1:$1,0)-MATCH("character_id",[4]characters!$1:$1,0)+1,FALSE)</f>
        <v>#N/A</v>
      </c>
      <c r="AE5" s="158" t="e">
        <f ca="1">VLOOKUP($AB5,OFFSET([4]characters!$A$1,0,0,COUNTA([4]characters!$A:$A),MATCH(AE$1,[4]characters!$1:$1,0)-MATCH("character_id",[4]characters!$1:$1,0)+1),MATCH(AE$1,[4]characters!$1:$1,0)-MATCH("character_id",[4]characters!$1:$1,0)+1,FALSE)</f>
        <v>#N/A</v>
      </c>
      <c r="AF5" s="132">
        <v>1</v>
      </c>
      <c r="AG5" s="163" t="e">
        <f t="shared" ca="1" si="1"/>
        <v>#N/A</v>
      </c>
      <c r="AH5" s="164">
        <v>15</v>
      </c>
      <c r="AI5" s="132">
        <v>0</v>
      </c>
      <c r="AJ5" s="132">
        <v>0</v>
      </c>
      <c r="AK5" s="132">
        <v>0</v>
      </c>
      <c r="AL5" s="132">
        <v>0</v>
      </c>
      <c r="AM5" s="132">
        <v>1</v>
      </c>
      <c r="AN5" s="165">
        <v>1</v>
      </c>
    </row>
    <row r="6" spans="1:40" ht="21" customHeight="1" x14ac:dyDescent="0.15">
      <c r="A6" s="16" t="str">
        <f>B6&amp;"_"&amp;C6&amp;"-"&amp;G6&amp;"/"&amp;L6&amp;"&lt;lv"&amp;R6&amp;"&gt;s"&amp;AA6</f>
        <v>49007_2-1/8063&lt;lv80&gt;s2</v>
      </c>
      <c r="B6" s="208">
        <v>49007</v>
      </c>
      <c r="C6" s="20">
        <v>2</v>
      </c>
      <c r="D6" s="2" t="str">
        <f>B6&amp;"_"&amp;C6</f>
        <v>49007_2</v>
      </c>
      <c r="E6" s="4" t="str">
        <f ca="1">VLOOKUP($B6,OFFSET([2]quests!$A$1,0,0,COUNTA([2]quests!$A:$A),MATCH(E$1,[2]quests!$1:$1,0)-MATCH($B$1,[2]quests!$1:$1,0)+1),MATCH(E$1,[2]quests!$1:$1,0)-MATCH($B$1,[2]quests!$1:$1,0)+1,FALSE)</f>
        <v>アザゼル（台）</v>
      </c>
      <c r="F6" s="4" t="str">
        <f ca="1">VLOOKUP($D6,OFFSET([2]stages!$A$1,0,0,COUNTA([2]stages!$A:$A),MATCH(F$1,[2]stages!$2:$2,0)-MATCH($D$1,[2]stages!$2:$2,0)+1),MATCH(F$1,[2]stages!$2:$2,0)-MATCH($D$1,[2]stages!$2:$2,0)+1,FALSE)</f>
        <v>【ｳｨｻﾞ】アザゼル（台）</v>
      </c>
      <c r="G6" s="20">
        <v>1</v>
      </c>
      <c r="H6" s="15" t="str">
        <f>B6&amp;"_"&amp;C6&amp;"-"&amp;G6</f>
        <v>49007_2-1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6">
        <v>1</v>
      </c>
      <c r="L6" s="216">
        <v>8063</v>
      </c>
      <c r="M6" s="17" t="e">
        <f ca="1">VLOOKUP($L6,OFFSET([3]enemies!$A$1,0,0,COUNTA([3]enemies!$A:$A),MATCH(M$1,[3]enemies!$1:$1,0)-MATCH($L$1,[3]enemies!$1:$1,0)+1),MATCH(M$1,[3]enemies!$1:$1,0)-MATCH($L$1,[3]enemies!$1:$1,0)+1,FALSE)</f>
        <v>#N/A</v>
      </c>
      <c r="N6" s="17" t="e">
        <f ca="1">VLOOKUP($L6,OFFSET([3]enemies!$A$1,0,0,COUNTA([3]enemies!$A:$A),MATCH(N$1,[3]enemies!$1:$1,0)-MATCH($L$1,[3]enemies!$1:$1,0)+1),MATCH(N$1,[3]enemies!$1:$1,0)-MATCH($L$1,[3]enemies!$1:$1,0)+1,FALSE)</f>
        <v>#N/A</v>
      </c>
      <c r="O6" s="17" t="e">
        <f ca="1">VLOOKUP($L6,OFFSET([4]characters!$A$1,0,0,COUNTA([4]characters!$A:$A),MATCH(O$1,[4]characters!$1:$1,0)-MATCH($L$1,[4]characters!$1:$1,0)+1),MATCH(O$1,[4]characters!$1:$1,0)-MATCH($L$1,[4]characters!$1:$1,0)+1,FALSE)</f>
        <v>#N/A</v>
      </c>
      <c r="P6" s="17" t="e">
        <f ca="1">VLOOKUP($L6,OFFSET([3]enemies!$A$1,0,0,COUNTA([3]enemies!$A:$A),MATCH(P$1,[3]enemies!$1:$1,0)-MATCH($L$1,[3]enemies!$1:$1,0)+1),MATCH(P$1,[3]enemies!$1:$1,0)-MATCH($L$1,[3]enemies!$1:$1,0)+1,FALSE)</f>
        <v>#N/A</v>
      </c>
      <c r="Q6" s="17" t="e">
        <f ca="1">VLOOKUP($L6,OFFSET([3]enemies!$A$1,0,0,COUNTA([3]enemies!$A:$A),MATCH(Q$1,[3]enemies!$1:$1,0)-MATCH($L$1,[3]enemies!$1:$1,0)+1),MATCH(Q$1,[3]enemies!$1:$1,0)-MATCH($L$1,[3]enemies!$1:$1,0)+1,FALSE)</f>
        <v>#N/A</v>
      </c>
      <c r="R6" s="5">
        <v>80</v>
      </c>
      <c r="S6" s="23">
        <v>1.3</v>
      </c>
      <c r="T6" s="23">
        <v>0.8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余裕の笑みを浮かべている</v>
      </c>
      <c r="W6" s="208">
        <v>49007001</v>
      </c>
      <c r="X6" s="6">
        <v>1</v>
      </c>
      <c r="Y6" s="6">
        <v>100</v>
      </c>
      <c r="Z6" s="6">
        <v>1</v>
      </c>
      <c r="AA6" s="17">
        <v>2</v>
      </c>
      <c r="AB6" s="22">
        <f>L6</f>
        <v>8063</v>
      </c>
      <c r="AC6" s="4" t="e">
        <f ca="1">VLOOKUP($AB6,OFFSET([4]characters!$A$1,0,0,COUNTA([4]characters!$A:$A),MATCH(AC$1,[4]characters!$1:$1,0)-MATCH("character_id",[4]characters!$1:$1,0)+1),MATCH(AC$1,[4]characters!$1:$1,0)-MATCH("character_id",[4]characters!$1:$1,0)+1,FALSE)</f>
        <v>#N/A</v>
      </c>
      <c r="AD6" s="4" t="e">
        <f ca="1">VLOOKUP($AB6,OFFSET([4]characters!$A$1,0,0,COUNTA([4]characters!$A:$A),MATCH(AD$1,[4]characters!$1:$1,0)-MATCH("character_id",[4]characters!$1:$1,0)+1),MATCH(AD$1,[4]characters!$1:$1,0)-MATCH("character_id",[4]characters!$1:$1,0)+1,FALSE)</f>
        <v>#N/A</v>
      </c>
      <c r="AE6" s="4" t="e">
        <f ca="1">VLOOKUP($AB6,OFFSET([4]characters!$A$1,0,0,COUNTA([4]characters!$A:$A),MATCH(AE$1,[4]characters!$1:$1,0)-MATCH("character_id",[4]characters!$1:$1,0)+1),MATCH(AE$1,[4]characters!$1:$1,0)-MATCH("character_id",[4]characters!$1:$1,0)+1,FALSE)</f>
        <v>#N/A</v>
      </c>
      <c r="AF6" s="7">
        <v>1</v>
      </c>
      <c r="AG6" s="22" t="e">
        <f ca="1">AD6</f>
        <v>#N/A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7">
        <v>1</v>
      </c>
    </row>
    <row r="7" spans="1:40" ht="21" customHeight="1" x14ac:dyDescent="0.15">
      <c r="A7" s="16" t="str">
        <f>B7&amp;"_"&amp;C7&amp;"-"&amp;G7&amp;"/"&amp;L7&amp;"&lt;lv"&amp;R7&amp;"&gt;s"&amp;AA7</f>
        <v>49007_2-2/8057&lt;lv80&gt;s2</v>
      </c>
      <c r="B7" s="208">
        <v>49007</v>
      </c>
      <c r="C7" s="20">
        <v>2</v>
      </c>
      <c r="D7" s="2" t="str">
        <f>B7&amp;"_"&amp;C7</f>
        <v>49007_2</v>
      </c>
      <c r="E7" s="4" t="str">
        <f ca="1">VLOOKUP($B7,OFFSET([2]quests!$A$1,0,0,COUNTA([2]quests!$A:$A),MATCH(E$1,[2]quests!$1:$1,0)-MATCH($B$1,[2]quests!$1:$1,0)+1),MATCH(E$1,[2]quests!$1:$1,0)-MATCH($B$1,[2]quests!$1:$1,0)+1,FALSE)</f>
        <v>アザゼル（台）</v>
      </c>
      <c r="F7" s="4" t="str">
        <f ca="1">VLOOKUP($D7,OFFSET([2]stages!$A$1,0,0,COUNTA([2]stages!$A:$A),MATCH(F$1,[2]stages!$2:$2,0)-MATCH($D$1,[2]stages!$2:$2,0)+1),MATCH(F$1,[2]stages!$2:$2,0)-MATCH($D$1,[2]stages!$2:$2,0)+1,FALSE)</f>
        <v>【ｳｨｻﾞ】アザゼル（台）</v>
      </c>
      <c r="G7" s="20">
        <v>2</v>
      </c>
      <c r="H7" s="15" t="str">
        <f>B7&amp;"_"&amp;C7&amp;"-"&amp;G7</f>
        <v>49007_2-2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6">
        <v>2</v>
      </c>
      <c r="L7" s="216">
        <v>8057</v>
      </c>
      <c r="M7" s="17" t="e">
        <f ca="1">VLOOKUP($L7,OFFSET([3]enemies!$A$1,0,0,COUNTA([3]enemies!$A:$A),MATCH(M$1,[3]enemies!$1:$1,0)-MATCH($L$1,[3]enemies!$1:$1,0)+1),MATCH(M$1,[3]enemies!$1:$1,0)-MATCH($L$1,[3]enemies!$1:$1,0)+1,FALSE)</f>
        <v>#N/A</v>
      </c>
      <c r="N7" s="17" t="e">
        <f ca="1">VLOOKUP($L7,OFFSET([3]enemies!$A$1,0,0,COUNTA([3]enemies!$A:$A),MATCH(N$1,[3]enemies!$1:$1,0)-MATCH($L$1,[3]enemies!$1:$1,0)+1),MATCH(N$1,[3]enemies!$1:$1,0)-MATCH($L$1,[3]enemies!$1:$1,0)+1,FALSE)</f>
        <v>#N/A</v>
      </c>
      <c r="O7" s="17" t="e">
        <f ca="1">VLOOKUP($L7,OFFSET([4]characters!$A$1,0,0,COUNTA([4]characters!$A:$A),MATCH(O$1,[4]characters!$1:$1,0)-MATCH($L$1,[4]characters!$1:$1,0)+1),MATCH(O$1,[4]characters!$1:$1,0)-MATCH($L$1,[4]characters!$1:$1,0)+1,FALSE)</f>
        <v>#N/A</v>
      </c>
      <c r="P7" s="17" t="e">
        <f ca="1">VLOOKUP($L7,OFFSET([3]enemies!$A$1,0,0,COUNTA([3]enemies!$A:$A),MATCH(P$1,[3]enemies!$1:$1,0)-MATCH($L$1,[3]enemies!$1:$1,0)+1),MATCH(P$1,[3]enemies!$1:$1,0)-MATCH($L$1,[3]enemies!$1:$1,0)+1,FALSE)</f>
        <v>#N/A</v>
      </c>
      <c r="Q7" s="17" t="e">
        <f ca="1">VLOOKUP($L7,OFFSET([3]enemies!$A$1,0,0,COUNTA([3]enemies!$A:$A),MATCH(Q$1,[3]enemies!$1:$1,0)-MATCH($L$1,[3]enemies!$1:$1,0)+1),MATCH(Q$1,[3]enemies!$1:$1,0)-MATCH($L$1,[3]enemies!$1:$1,0)+1,FALSE)</f>
        <v>#N/A</v>
      </c>
      <c r="R7" s="5">
        <v>80</v>
      </c>
      <c r="S7" s="23">
        <v>2.2999999999999998</v>
      </c>
      <c r="T7" s="23">
        <v>1.2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全体攻撃</v>
      </c>
      <c r="W7" s="208">
        <v>49007005</v>
      </c>
      <c r="X7" s="6">
        <v>1</v>
      </c>
      <c r="Y7" s="6">
        <v>100</v>
      </c>
      <c r="Z7" s="6">
        <v>1</v>
      </c>
      <c r="AA7" s="17">
        <v>2</v>
      </c>
      <c r="AB7" s="22">
        <f t="shared" ref="AB7:AB9" si="5">L7</f>
        <v>8057</v>
      </c>
      <c r="AC7" s="4" t="e">
        <f ca="1">VLOOKUP($AB7,OFFSET([4]characters!$A$1,0,0,COUNTA([4]characters!$A:$A),MATCH(AC$1,[4]characters!$1:$1,0)-MATCH("character_id",[4]characters!$1:$1,0)+1),MATCH(AC$1,[4]characters!$1:$1,0)-MATCH("character_id",[4]characters!$1:$1,0)+1,FALSE)</f>
        <v>#N/A</v>
      </c>
      <c r="AD7" s="4" t="e">
        <f ca="1">VLOOKUP($AB7,OFFSET([4]characters!$A$1,0,0,COUNTA([4]characters!$A:$A),MATCH(AD$1,[4]characters!$1:$1,0)-MATCH("character_id",[4]characters!$1:$1,0)+1),MATCH(AD$1,[4]characters!$1:$1,0)-MATCH("character_id",[4]characters!$1:$1,0)+1,FALSE)</f>
        <v>#N/A</v>
      </c>
      <c r="AE7" s="4" t="e">
        <f ca="1">VLOOKUP($AB7,OFFSET([4]characters!$A$1,0,0,COUNTA([4]characters!$A:$A),MATCH(AE$1,[4]characters!$1:$1,0)-MATCH("character_id",[4]characters!$1:$1,0)+1),MATCH(AE$1,[4]characters!$1:$1,0)-MATCH("character_id",[4]characters!$1:$1,0)+1,FALSE)</f>
        <v>#N/A</v>
      </c>
      <c r="AF7" s="7">
        <v>1</v>
      </c>
      <c r="AG7" s="22" t="e">
        <f t="shared" ref="AG7:AG9" ca="1" si="6">AD7</f>
        <v>#N/A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7">
        <v>1</v>
      </c>
    </row>
    <row r="8" spans="1:40" ht="21" customHeight="1" x14ac:dyDescent="0.15">
      <c r="A8" s="16" t="str">
        <f t="shared" ref="A8:A9" si="7">B8&amp;"_"&amp;C8&amp;"-"&amp;G8&amp;"/"&amp;L8&amp;"&lt;lv"&amp;R8&amp;"&gt;s"&amp;AA8</f>
        <v>49007_2-2/8059&lt;lv80&gt;s1</v>
      </c>
      <c r="B8" s="208">
        <v>49007</v>
      </c>
      <c r="C8" s="20">
        <v>2</v>
      </c>
      <c r="D8" s="2" t="str">
        <f t="shared" ref="D8:D9" si="8">B8&amp;"_"&amp;C8</f>
        <v>49007_2</v>
      </c>
      <c r="E8" s="4" t="str">
        <f ca="1">VLOOKUP($B8,OFFSET([2]quests!$A$1,0,0,COUNTA([2]quests!$A:$A),MATCH(E$1,[2]quests!$1:$1,0)-MATCH($B$1,[2]quests!$1:$1,0)+1),MATCH(E$1,[2]quests!$1:$1,0)-MATCH($B$1,[2]quests!$1:$1,0)+1,FALSE)</f>
        <v>アザゼル（台）</v>
      </c>
      <c r="F8" s="4" t="str">
        <f ca="1">VLOOKUP($D8,OFFSET([2]stages!$A$1,0,0,COUNTA([2]stages!$A:$A),MATCH(F$1,[2]stages!$2:$2,0)-MATCH($D$1,[2]stages!$2:$2,0)+1),MATCH(F$1,[2]stages!$2:$2,0)-MATCH($D$1,[2]stages!$2:$2,0)+1,FALSE)</f>
        <v>【ｳｨｻﾞ】アザゼル（台）</v>
      </c>
      <c r="G8" s="20">
        <v>2</v>
      </c>
      <c r="H8" s="15" t="str">
        <f t="shared" ref="H8:H9" si="9">B8&amp;"_"&amp;C8&amp;"-"&amp;G8</f>
        <v>49007_2-2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6">
        <v>3</v>
      </c>
      <c r="L8" s="216">
        <v>8059</v>
      </c>
      <c r="M8" s="17" t="e">
        <f ca="1">VLOOKUP($L8,OFFSET([3]enemies!$A$1,0,0,COUNTA([3]enemies!$A:$A),MATCH(M$1,[3]enemies!$1:$1,0)-MATCH($L$1,[3]enemies!$1:$1,0)+1),MATCH(M$1,[3]enemies!$1:$1,0)-MATCH($L$1,[3]enemies!$1:$1,0)+1,FALSE)</f>
        <v>#N/A</v>
      </c>
      <c r="N8" s="17" t="e">
        <f ca="1">VLOOKUP($L8,OFFSET([3]enemies!$A$1,0,0,COUNTA([3]enemies!$A:$A),MATCH(N$1,[3]enemies!$1:$1,0)-MATCH($L$1,[3]enemies!$1:$1,0)+1),MATCH(N$1,[3]enemies!$1:$1,0)-MATCH($L$1,[3]enemies!$1:$1,0)+1,FALSE)</f>
        <v>#N/A</v>
      </c>
      <c r="O8" s="17" t="e">
        <f ca="1">VLOOKUP($L8,OFFSET([4]characters!$A$1,0,0,COUNTA([4]characters!$A:$A),MATCH(O$1,[4]characters!$1:$1,0)-MATCH($L$1,[4]characters!$1:$1,0)+1),MATCH(O$1,[4]characters!$1:$1,0)-MATCH($L$1,[4]characters!$1:$1,0)+1,FALSE)</f>
        <v>#N/A</v>
      </c>
      <c r="P8" s="17" t="e">
        <f ca="1">VLOOKUP($L8,OFFSET([3]enemies!$A$1,0,0,COUNTA([3]enemies!$A:$A),MATCH(P$1,[3]enemies!$1:$1,0)-MATCH($L$1,[3]enemies!$1:$1,0)+1),MATCH(P$1,[3]enemies!$1:$1,0)-MATCH($L$1,[3]enemies!$1:$1,0)+1,FALSE)</f>
        <v>#N/A</v>
      </c>
      <c r="Q8" s="17" t="e">
        <f ca="1">VLOOKUP($L8,OFFSET([3]enemies!$A$1,0,0,COUNTA([3]enemies!$A:$A),MATCH(Q$1,[3]enemies!$1:$1,0)-MATCH($L$1,[3]enemies!$1:$1,0)+1),MATCH(Q$1,[3]enemies!$1:$1,0)-MATCH($L$1,[3]enemies!$1:$1,0)+1,FALSE)</f>
        <v>#N/A</v>
      </c>
      <c r="R8" s="5">
        <v>80</v>
      </c>
      <c r="S8" s="23">
        <v>2.2999999999999998</v>
      </c>
      <c r="T8" s="23">
        <v>1.2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みんな仲が良さそうだ</v>
      </c>
      <c r="W8" s="208">
        <v>49007004</v>
      </c>
      <c r="X8" s="6">
        <v>1</v>
      </c>
      <c r="Y8" s="6">
        <v>100</v>
      </c>
      <c r="Z8" s="6">
        <v>2</v>
      </c>
      <c r="AA8" s="17">
        <v>1</v>
      </c>
      <c r="AB8" s="22">
        <f t="shared" si="5"/>
        <v>8059</v>
      </c>
      <c r="AC8" s="4" t="e">
        <f ca="1">VLOOKUP($AB8,OFFSET([4]characters!$A$1,0,0,COUNTA([4]characters!$A:$A),MATCH(AC$1,[4]characters!$1:$1,0)-MATCH("character_id",[4]characters!$1:$1,0)+1),MATCH(AC$1,[4]characters!$1:$1,0)-MATCH("character_id",[4]characters!$1:$1,0)+1,FALSE)</f>
        <v>#N/A</v>
      </c>
      <c r="AD8" s="4" t="e">
        <f ca="1">VLOOKUP($AB8,OFFSET([4]characters!$A$1,0,0,COUNTA([4]characters!$A:$A),MATCH(AD$1,[4]characters!$1:$1,0)-MATCH("character_id",[4]characters!$1:$1,0)+1),MATCH(AD$1,[4]characters!$1:$1,0)-MATCH("character_id",[4]characters!$1:$1,0)+1,FALSE)</f>
        <v>#N/A</v>
      </c>
      <c r="AE8" s="4" t="e">
        <f ca="1">VLOOKUP($AB8,OFFSET([4]characters!$A$1,0,0,COUNTA([4]characters!$A:$A),MATCH(AE$1,[4]characters!$1:$1,0)-MATCH("character_id",[4]characters!$1:$1,0)+1),MATCH(AE$1,[4]characters!$1:$1,0)-MATCH("character_id",[4]characters!$1:$1,0)+1,FALSE)</f>
        <v>#N/A</v>
      </c>
      <c r="AF8" s="7">
        <v>1</v>
      </c>
      <c r="AG8" s="22" t="e">
        <f t="shared" ca="1" si="6"/>
        <v>#N/A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7">
        <v>1</v>
      </c>
    </row>
    <row r="9" spans="1:40" ht="21" customHeight="1" thickBot="1" x14ac:dyDescent="0.2">
      <c r="A9" s="16" t="str">
        <f t="shared" si="7"/>
        <v>49007_2-3/8043&lt;lv80&gt;s3</v>
      </c>
      <c r="B9" s="209">
        <v>49007</v>
      </c>
      <c r="C9" s="112">
        <v>2</v>
      </c>
      <c r="D9" s="114" t="str">
        <f t="shared" si="8"/>
        <v>49007_2</v>
      </c>
      <c r="E9" s="139" t="str">
        <f ca="1">VLOOKUP($B9,OFFSET([2]quests!$A$1,0,0,COUNTA([2]quests!$A:$A),MATCH(E$1,[2]quests!$1:$1,0)-MATCH($B$1,[2]quests!$1:$1,0)+1),MATCH(E$1,[2]quests!$1:$1,0)-MATCH($B$1,[2]quests!$1:$1,0)+1,FALSE)</f>
        <v>アザゼル（台）</v>
      </c>
      <c r="F9" s="139" t="str">
        <f ca="1">VLOOKUP($D9,OFFSET([2]stages!$A$1,0,0,COUNTA([2]stages!$A:$A),MATCH(F$1,[2]stages!$2:$2,0)-MATCH($D$1,[2]stages!$2:$2,0)+1),MATCH(F$1,[2]stages!$2:$2,0)-MATCH($D$1,[2]stages!$2:$2,0)+1,FALSE)</f>
        <v>【ｳｨｻﾞ】アザゼル（台）</v>
      </c>
      <c r="G9" s="112">
        <v>3</v>
      </c>
      <c r="H9" s="114" t="str">
        <f t="shared" si="9"/>
        <v>49007_2-3</v>
      </c>
      <c r="I9" s="139">
        <f ca="1">VLOOKUP($H9,OFFSET(floors!$A$1,0,0,COUNTA(floors!$A:$A),MATCH(I$1,floors!$1:$1,0)-MATCH($H$1,floors!$1:$1,0)+1),MATCH(I$1,floors!$1:$1,0)-MATCH($H$1,floors!$1:$1,0)+1,FALSE)</f>
        <v>60</v>
      </c>
      <c r="J9" s="139">
        <f ca="1">VLOOKUP($H9,OFFSET(floors!$A$1,0,0,COUNTA(floors!$A:$A),MATCH(J$1,floors!$1:$1,0)-MATCH($H$1,floors!$1:$1,0)+1),MATCH(J$1,floors!$1:$1,0)-MATCH($H$1,floors!$1:$1,0)+1,FALSE)</f>
        <v>60</v>
      </c>
      <c r="K9" s="115">
        <v>4</v>
      </c>
      <c r="L9" s="217">
        <v>8043</v>
      </c>
      <c r="M9" s="140" t="e">
        <f ca="1">VLOOKUP($L9,OFFSET([3]enemies!$A$1,0,0,COUNTA([3]enemies!$A:$A),MATCH(M$1,[3]enemies!$1:$1,0)-MATCH($L$1,[3]enemies!$1:$1,0)+1),MATCH(M$1,[3]enemies!$1:$1,0)-MATCH($L$1,[3]enemies!$1:$1,0)+1,FALSE)</f>
        <v>#N/A</v>
      </c>
      <c r="N9" s="140" t="e">
        <f ca="1">VLOOKUP($L9,OFFSET([3]enemies!$A$1,0,0,COUNTA([3]enemies!$A:$A),MATCH(N$1,[3]enemies!$1:$1,0)-MATCH($L$1,[3]enemies!$1:$1,0)+1),MATCH(N$1,[3]enemies!$1:$1,0)-MATCH($L$1,[3]enemies!$1:$1,0)+1,FALSE)</f>
        <v>#N/A</v>
      </c>
      <c r="O9" s="140" t="e">
        <f ca="1">VLOOKUP($L9,OFFSET([4]characters!$A$1,0,0,COUNTA([4]characters!$A:$A),MATCH(O$1,[4]characters!$1:$1,0)-MATCH($L$1,[4]characters!$1:$1,0)+1),MATCH(O$1,[4]characters!$1:$1,0)-MATCH($L$1,[4]characters!$1:$1,0)+1,FALSE)</f>
        <v>#N/A</v>
      </c>
      <c r="P9" s="140" t="e">
        <f ca="1">VLOOKUP($L9,OFFSET([3]enemies!$A$1,0,0,COUNTA([3]enemies!$A:$A),MATCH(P$1,[3]enemies!$1:$1,0)-MATCH($L$1,[3]enemies!$1:$1,0)+1),MATCH(P$1,[3]enemies!$1:$1,0)-MATCH($L$1,[3]enemies!$1:$1,0)+1,FALSE)</f>
        <v>#N/A</v>
      </c>
      <c r="Q9" s="140" t="e">
        <f ca="1">VLOOKUP($L9,OFFSET([3]enemies!$A$1,0,0,COUNTA([3]enemies!$A:$A),MATCH(Q$1,[3]enemies!$1:$1,0)-MATCH($L$1,[3]enemies!$1:$1,0)+1),MATCH(Q$1,[3]enemies!$1:$1,0)-MATCH($L$1,[3]enemies!$1:$1,0)+1,FALSE)</f>
        <v>#N/A</v>
      </c>
      <c r="R9" s="141">
        <v>80</v>
      </c>
      <c r="S9" s="142">
        <v>3</v>
      </c>
      <c r="T9" s="142">
        <v>1.8</v>
      </c>
      <c r="U9" s="141">
        <v>0</v>
      </c>
      <c r="V9" s="139" t="str">
        <f ca="1">VLOOKUP($W9,OFFSET(enemy_skill_sets!$B$1,0,0,COUNTA(enemy_skill_sets!$B:$B),MATCH(M$1,enemy_skill_sets!$1:$1,0)-MATCH($W$1,enemy_skill_sets!$1:$1,0)+2),MATCH(M$1,enemy_skill_sets!$1:$1,0)-MATCH($W$1,enemy_skill_sets!$1:$1,0)+2,FALSE)</f>
        <v>なにやらテンションがおかしい！</v>
      </c>
      <c r="W9" s="209">
        <v>49007008</v>
      </c>
      <c r="X9" s="143">
        <v>1</v>
      </c>
      <c r="Y9" s="143">
        <v>100</v>
      </c>
      <c r="Z9" s="143">
        <v>1</v>
      </c>
      <c r="AA9" s="140">
        <v>3</v>
      </c>
      <c r="AB9" s="144">
        <f t="shared" si="5"/>
        <v>8043</v>
      </c>
      <c r="AC9" s="139" t="e">
        <f ca="1">VLOOKUP($AB9,OFFSET([4]characters!$A$1,0,0,COUNTA([4]characters!$A:$A),MATCH(AC$1,[4]characters!$1:$1,0)-MATCH("character_id",[4]characters!$1:$1,0)+1),MATCH(AC$1,[4]characters!$1:$1,0)-MATCH("character_id",[4]characters!$1:$1,0)+1,FALSE)</f>
        <v>#N/A</v>
      </c>
      <c r="AD9" s="139" t="e">
        <f ca="1">VLOOKUP($AB9,OFFSET([4]characters!$A$1,0,0,COUNTA([4]characters!$A:$A),MATCH(AD$1,[4]characters!$1:$1,0)-MATCH("character_id",[4]characters!$1:$1,0)+1),MATCH(AD$1,[4]characters!$1:$1,0)-MATCH("character_id",[4]characters!$1:$1,0)+1,FALSE)</f>
        <v>#N/A</v>
      </c>
      <c r="AE9" s="139" t="e">
        <f ca="1">VLOOKUP($AB9,OFFSET([4]characters!$A$1,0,0,COUNTA([4]characters!$A:$A),MATCH(AE$1,[4]characters!$1:$1,0)-MATCH("character_id",[4]characters!$1:$1,0)+1),MATCH(AE$1,[4]characters!$1:$1,0)-MATCH("character_id",[4]characters!$1:$1,0)+1,FALSE)</f>
        <v>#N/A</v>
      </c>
      <c r="AF9" s="110">
        <v>1</v>
      </c>
      <c r="AG9" s="144" t="e">
        <f t="shared" ca="1" si="6"/>
        <v>#N/A</v>
      </c>
      <c r="AH9" s="145">
        <v>30</v>
      </c>
      <c r="AI9" s="110">
        <v>0</v>
      </c>
      <c r="AJ9" s="110">
        <v>0</v>
      </c>
      <c r="AK9" s="110">
        <v>0</v>
      </c>
      <c r="AL9" s="110">
        <v>0</v>
      </c>
      <c r="AM9" s="110">
        <v>1</v>
      </c>
      <c r="AN9" s="146">
        <v>1</v>
      </c>
    </row>
    <row r="10" spans="1:40" s="155" customFormat="1" ht="21" customHeight="1" x14ac:dyDescent="0.15">
      <c r="A10" s="116" t="str">
        <f>B10&amp;"_"&amp;C10&amp;"-"&amp;G10&amp;"/"&amp;L10&amp;"&lt;lv"&amp;R10&amp;"&gt;s"&amp;AA10</f>
        <v>49007_3-1/8063&lt;lv80&gt;s2</v>
      </c>
      <c r="B10" s="210">
        <v>49007</v>
      </c>
      <c r="C10" s="120">
        <v>3</v>
      </c>
      <c r="D10" s="122" t="str">
        <f>B10&amp;"_"&amp;C10</f>
        <v>49007_3</v>
      </c>
      <c r="E10" s="147" t="str">
        <f ca="1">VLOOKUP($B10,OFFSET([2]quests!$A$1,0,0,COUNTA([2]quests!$A:$A),MATCH(E$1,[2]quests!$1:$1,0)-MATCH($B$1,[2]quests!$1:$1,0)+1),MATCH(E$1,[2]quests!$1:$1,0)-MATCH($B$1,[2]quests!$1:$1,0)+1,FALSE)</f>
        <v>アザゼル（台）</v>
      </c>
      <c r="F10" s="147" t="str">
        <f ca="1">VLOOKUP($D10,OFFSET([2]stages!$A$1,0,0,COUNTA([2]stages!$A:$A),MATCH(F$1,[2]stages!$2:$2,0)-MATCH($D$1,[2]stages!$2:$2,0)+1),MATCH(F$1,[2]stages!$2:$2,0)-MATCH($D$1,[2]stages!$2:$2,0)+1,FALSE)</f>
        <v>【ﾉｰｺﾝ】アザゼル（台）</v>
      </c>
      <c r="G10" s="120">
        <v>1</v>
      </c>
      <c r="H10" s="122" t="str">
        <f>B10&amp;"_"&amp;C10&amp;"-"&amp;G10</f>
        <v>49007_3-1</v>
      </c>
      <c r="I10" s="147">
        <f ca="1">VLOOKUP($H10,OFFSET(floors!$A$1,0,0,COUNTA(floors!$A:$A),MATCH(I$1,floors!$1:$1,0)-MATCH($H$1,floors!$1:$1,0)+1),MATCH(I$1,floors!$1:$1,0)-MATCH($H$1,floors!$1:$1,0)+1,FALSE)</f>
        <v>60</v>
      </c>
      <c r="J10" s="147">
        <f ca="1">VLOOKUP($H10,OFFSET(floors!$A$1,0,0,COUNTA(floors!$A:$A),MATCH(J$1,floors!$1:$1,0)-MATCH($H$1,floors!$1:$1,0)+1),MATCH(J$1,floors!$1:$1,0)-MATCH($H$1,floors!$1:$1,0)+1,FALSE)</f>
        <v>60</v>
      </c>
      <c r="K10" s="123">
        <v>9</v>
      </c>
      <c r="L10" s="213">
        <v>8063</v>
      </c>
      <c r="M10" s="148" t="e">
        <f ca="1">VLOOKUP($L10,OFFSET([3]enemies!$A$1,0,0,COUNTA([3]enemies!$A:$A),MATCH(M$1,[3]enemies!$1:$1,0)-MATCH($L$1,[3]enemies!$1:$1,0)+1),MATCH(M$1,[3]enemies!$1:$1,0)-MATCH($L$1,[3]enemies!$1:$1,0)+1,FALSE)</f>
        <v>#N/A</v>
      </c>
      <c r="N10" s="148" t="e">
        <f ca="1">VLOOKUP($L10,OFFSET([3]enemies!$A$1,0,0,COUNTA([3]enemies!$A:$A),MATCH(N$1,[3]enemies!$1:$1,0)-MATCH($L$1,[3]enemies!$1:$1,0)+1),MATCH(N$1,[3]enemies!$1:$1,0)-MATCH($L$1,[3]enemies!$1:$1,0)+1,FALSE)</f>
        <v>#N/A</v>
      </c>
      <c r="O10" s="148" t="e">
        <f ca="1">VLOOKUP($L10,OFFSET([4]characters!$A$1,0,0,COUNTA([4]characters!$A:$A),MATCH(O$1,[4]characters!$1:$1,0)-MATCH($L$1,[4]characters!$1:$1,0)+1),MATCH(O$1,[4]characters!$1:$1,0)-MATCH($L$1,[4]characters!$1:$1,0)+1,FALSE)</f>
        <v>#N/A</v>
      </c>
      <c r="P10" s="148" t="e">
        <f ca="1">VLOOKUP($L10,OFFSET([3]enemies!$A$1,0,0,COUNTA([3]enemies!$A:$A),MATCH(P$1,[3]enemies!$1:$1,0)-MATCH($L$1,[3]enemies!$1:$1,0)+1),MATCH(P$1,[3]enemies!$1:$1,0)-MATCH($L$1,[3]enemies!$1:$1,0)+1,FALSE)</f>
        <v>#N/A</v>
      </c>
      <c r="Q10" s="148" t="e">
        <f ca="1">VLOOKUP($L10,OFFSET([3]enemies!$A$1,0,0,COUNTA([3]enemies!$A:$A),MATCH(Q$1,[3]enemies!$1:$1,0)-MATCH($L$1,[3]enemies!$1:$1,0)+1),MATCH(Q$1,[3]enemies!$1:$1,0)-MATCH($L$1,[3]enemies!$1:$1,0)+1,FALSE)</f>
        <v>#N/A</v>
      </c>
      <c r="R10" s="149">
        <v>80</v>
      </c>
      <c r="S10" s="150">
        <v>1.3</v>
      </c>
      <c r="T10" s="150">
        <v>0.8</v>
      </c>
      <c r="U10" s="149">
        <v>0</v>
      </c>
      <c r="V10" s="147" t="str">
        <f ca="1">VLOOKUP($W10,OFFSET(enemy_skill_sets!$B$1,0,0,COUNTA(enemy_skill_sets!$B:$B),MATCH(M$1,enemy_skill_sets!$1:$1,0)-MATCH($W$1,enemy_skill_sets!$1:$1,0)+2),MATCH(M$1,enemy_skill_sets!$1:$1,0)-MATCH($W$1,enemy_skill_sets!$1:$1,0)+2,FALSE)</f>
        <v>余裕の笑みを浮かべている</v>
      </c>
      <c r="W10" s="210">
        <v>49007001</v>
      </c>
      <c r="X10" s="151">
        <v>1</v>
      </c>
      <c r="Y10" s="151">
        <v>100</v>
      </c>
      <c r="Z10" s="151">
        <v>1</v>
      </c>
      <c r="AA10" s="148">
        <v>2</v>
      </c>
      <c r="AB10" s="152">
        <f>L10</f>
        <v>8063</v>
      </c>
      <c r="AC10" s="147" t="e">
        <f ca="1">VLOOKUP($AB10,OFFSET([4]characters!$A$1,0,0,COUNTA([4]characters!$A:$A),MATCH(AC$1,[4]characters!$1:$1,0)-MATCH("character_id",[4]characters!$1:$1,0)+1),MATCH(AC$1,[4]characters!$1:$1,0)-MATCH("character_id",[4]characters!$1:$1,0)+1,FALSE)</f>
        <v>#N/A</v>
      </c>
      <c r="AD10" s="147" t="e">
        <f ca="1">VLOOKUP($AB10,OFFSET([4]characters!$A$1,0,0,COUNTA([4]characters!$A:$A),MATCH(AD$1,[4]characters!$1:$1,0)-MATCH("character_id",[4]characters!$1:$1,0)+1),MATCH(AD$1,[4]characters!$1:$1,0)-MATCH("character_id",[4]characters!$1:$1,0)+1,FALSE)</f>
        <v>#N/A</v>
      </c>
      <c r="AE10" s="147" t="e">
        <f ca="1">VLOOKUP($AB10,OFFSET([4]characters!$A$1,0,0,COUNTA([4]characters!$A:$A),MATCH(AE$1,[4]characters!$1:$1,0)-MATCH("character_id",[4]characters!$1:$1,0)+1),MATCH(AE$1,[4]characters!$1:$1,0)-MATCH("character_id",[4]characters!$1:$1,0)+1,FALSE)</f>
        <v>#N/A</v>
      </c>
      <c r="AF10" s="118">
        <v>1</v>
      </c>
      <c r="AG10" s="152" t="e">
        <f ca="1">AD10</f>
        <v>#N/A</v>
      </c>
      <c r="AH10" s="153">
        <v>0</v>
      </c>
      <c r="AI10" s="118">
        <v>0</v>
      </c>
      <c r="AJ10" s="118">
        <v>0</v>
      </c>
      <c r="AK10" s="118">
        <v>0</v>
      </c>
      <c r="AL10" s="118">
        <v>0</v>
      </c>
      <c r="AM10" s="118">
        <v>1</v>
      </c>
      <c r="AN10" s="154">
        <v>1</v>
      </c>
    </row>
    <row r="11" spans="1:40" s="157" customFormat="1" ht="21" customHeight="1" x14ac:dyDescent="0.15">
      <c r="A11" s="125" t="str">
        <f>B11&amp;"_"&amp;C11&amp;"-"&amp;G11&amp;"/"&amp;L11&amp;"&lt;lv"&amp;R11&amp;"&gt;s"&amp;AA11</f>
        <v>49007_3-2/8057&lt;lv80&gt;s2</v>
      </c>
      <c r="B11" s="211">
        <v>49007</v>
      </c>
      <c r="C11" s="128">
        <v>3</v>
      </c>
      <c r="D11" s="15" t="str">
        <f>B11&amp;"_"&amp;C11</f>
        <v>49007_3</v>
      </c>
      <c r="E11" s="4" t="str">
        <f ca="1">VLOOKUP($B11,OFFSET([2]quests!$A$1,0,0,COUNTA([2]quests!$A:$A),MATCH(E$1,[2]quests!$1:$1,0)-MATCH($B$1,[2]quests!$1:$1,0)+1),MATCH(E$1,[2]quests!$1:$1,0)-MATCH($B$1,[2]quests!$1:$1,0)+1,FALSE)</f>
        <v>アザゼル（台）</v>
      </c>
      <c r="F11" s="4" t="str">
        <f ca="1">VLOOKUP($D11,OFFSET([2]stages!$A$1,0,0,COUNTA([2]stages!$A:$A),MATCH(F$1,[2]stages!$2:$2,0)-MATCH($D$1,[2]stages!$2:$2,0)+1),MATCH(F$1,[2]stages!$2:$2,0)-MATCH($D$1,[2]stages!$2:$2,0)+1,FALSE)</f>
        <v>【ﾉｰｺﾝ】アザゼル（台）</v>
      </c>
      <c r="G11" s="128">
        <v>2</v>
      </c>
      <c r="H11" s="15" t="str">
        <f>B11&amp;"_"&amp;C11&amp;"-"&amp;G11</f>
        <v>49007_3-2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6">
        <v>10</v>
      </c>
      <c r="L11" s="214">
        <v>8057</v>
      </c>
      <c r="M11" s="17" t="e">
        <f ca="1">VLOOKUP($L11,OFFSET([3]enemies!$A$1,0,0,COUNTA([3]enemies!$A:$A),MATCH(M$1,[3]enemies!$1:$1,0)-MATCH($L$1,[3]enemies!$1:$1,0)+1),MATCH(M$1,[3]enemies!$1:$1,0)-MATCH($L$1,[3]enemies!$1:$1,0)+1,FALSE)</f>
        <v>#N/A</v>
      </c>
      <c r="N11" s="17" t="e">
        <f ca="1">VLOOKUP($L11,OFFSET([3]enemies!$A$1,0,0,COUNTA([3]enemies!$A:$A),MATCH(N$1,[3]enemies!$1:$1,0)-MATCH($L$1,[3]enemies!$1:$1,0)+1),MATCH(N$1,[3]enemies!$1:$1,0)-MATCH($L$1,[3]enemies!$1:$1,0)+1,FALSE)</f>
        <v>#N/A</v>
      </c>
      <c r="O11" s="17" t="e">
        <f ca="1">VLOOKUP($L11,OFFSET([4]characters!$A$1,0,0,COUNTA([4]characters!$A:$A),MATCH(O$1,[4]characters!$1:$1,0)-MATCH($L$1,[4]characters!$1:$1,0)+1),MATCH(O$1,[4]characters!$1:$1,0)-MATCH($L$1,[4]characters!$1:$1,0)+1,FALSE)</f>
        <v>#N/A</v>
      </c>
      <c r="P11" s="17" t="e">
        <f ca="1">VLOOKUP($L11,OFFSET([3]enemies!$A$1,0,0,COUNTA([3]enemies!$A:$A),MATCH(P$1,[3]enemies!$1:$1,0)-MATCH($L$1,[3]enemies!$1:$1,0)+1),MATCH(P$1,[3]enemies!$1:$1,0)-MATCH($L$1,[3]enemies!$1:$1,0)+1,FALSE)</f>
        <v>#N/A</v>
      </c>
      <c r="Q11" s="17" t="e">
        <f ca="1">VLOOKUP($L11,OFFSET([3]enemies!$A$1,0,0,COUNTA([3]enemies!$A:$A),MATCH(Q$1,[3]enemies!$1:$1,0)-MATCH($L$1,[3]enemies!$1:$1,0)+1),MATCH(Q$1,[3]enemies!$1:$1,0)-MATCH($L$1,[3]enemies!$1:$1,0)+1,FALSE)</f>
        <v>#N/A</v>
      </c>
      <c r="R11" s="5">
        <v>80</v>
      </c>
      <c r="S11" s="23">
        <v>2.2999999999999998</v>
      </c>
      <c r="T11" s="23">
        <v>1.2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1" s="211">
        <v>49007005</v>
      </c>
      <c r="X11" s="6">
        <v>1</v>
      </c>
      <c r="Y11" s="6">
        <v>100</v>
      </c>
      <c r="Z11" s="6">
        <v>1</v>
      </c>
      <c r="AA11" s="17">
        <v>2</v>
      </c>
      <c r="AB11" s="156">
        <f t="shared" ref="AB11:AB13" si="10">L11</f>
        <v>8057</v>
      </c>
      <c r="AC11" s="4" t="e">
        <f ca="1">VLOOKUP($AB11,OFFSET([4]characters!$A$1,0,0,COUNTA([4]characters!$A:$A),MATCH(AC$1,[4]characters!$1:$1,0)-MATCH("character_id",[4]characters!$1:$1,0)+1),MATCH(AC$1,[4]characters!$1:$1,0)-MATCH("character_id",[4]characters!$1:$1,0)+1,FALSE)</f>
        <v>#N/A</v>
      </c>
      <c r="AD11" s="4" t="e">
        <f ca="1">VLOOKUP($AB11,OFFSET([4]characters!$A$1,0,0,COUNTA([4]characters!$A:$A),MATCH(AD$1,[4]characters!$1:$1,0)-MATCH("character_id",[4]characters!$1:$1,0)+1),MATCH(AD$1,[4]characters!$1:$1,0)-MATCH("character_id",[4]characters!$1:$1,0)+1,FALSE)</f>
        <v>#N/A</v>
      </c>
      <c r="AE11" s="4" t="e">
        <f ca="1">VLOOKUP($AB11,OFFSET([4]characters!$A$1,0,0,COUNTA([4]characters!$A:$A),MATCH(AE$1,[4]characters!$1:$1,0)-MATCH("character_id",[4]characters!$1:$1,0)+1),MATCH(AE$1,[4]characters!$1:$1,0)-MATCH("character_id",[4]characters!$1:$1,0)+1,FALSE)</f>
        <v>#N/A</v>
      </c>
      <c r="AF11" s="127">
        <v>1</v>
      </c>
      <c r="AG11" s="156" t="e">
        <f t="shared" ref="AG11:AG13" ca="1" si="11">AD11</f>
        <v>#N/A</v>
      </c>
      <c r="AH11" s="8">
        <v>0</v>
      </c>
      <c r="AI11" s="127">
        <v>0</v>
      </c>
      <c r="AJ11" s="127">
        <v>0</v>
      </c>
      <c r="AK11" s="127">
        <v>0</v>
      </c>
      <c r="AL11" s="127">
        <v>0</v>
      </c>
      <c r="AM11" s="127">
        <v>1</v>
      </c>
      <c r="AN11" s="67">
        <v>1</v>
      </c>
    </row>
    <row r="12" spans="1:40" s="157" customFormat="1" ht="21" customHeight="1" x14ac:dyDescent="0.15">
      <c r="A12" s="125" t="str">
        <f t="shared" ref="A12:A13" si="12">B12&amp;"_"&amp;C12&amp;"-"&amp;G12&amp;"/"&amp;L12&amp;"&lt;lv"&amp;R12&amp;"&gt;s"&amp;AA12</f>
        <v>49007_3-2/8059&lt;lv80&gt;s1</v>
      </c>
      <c r="B12" s="211">
        <v>49007</v>
      </c>
      <c r="C12" s="128">
        <v>3</v>
      </c>
      <c r="D12" s="15" t="str">
        <f t="shared" ref="D12:D13" si="13">B12&amp;"_"&amp;C12</f>
        <v>49007_3</v>
      </c>
      <c r="E12" s="4" t="str">
        <f ca="1">VLOOKUP($B12,OFFSET([2]quests!$A$1,0,0,COUNTA([2]quests!$A:$A),MATCH(E$1,[2]quests!$1:$1,0)-MATCH($B$1,[2]quests!$1:$1,0)+1),MATCH(E$1,[2]quests!$1:$1,0)-MATCH($B$1,[2]quests!$1:$1,0)+1,FALSE)</f>
        <v>アザゼル（台）</v>
      </c>
      <c r="F12" s="4" t="str">
        <f ca="1">VLOOKUP($D12,OFFSET([2]stages!$A$1,0,0,COUNTA([2]stages!$A:$A),MATCH(F$1,[2]stages!$2:$2,0)-MATCH($D$1,[2]stages!$2:$2,0)+1),MATCH(F$1,[2]stages!$2:$2,0)-MATCH($D$1,[2]stages!$2:$2,0)+1,FALSE)</f>
        <v>【ﾉｰｺﾝ】アザゼル（台）</v>
      </c>
      <c r="G12" s="128">
        <v>2</v>
      </c>
      <c r="H12" s="15" t="str">
        <f t="shared" ref="H12:H13" si="14">B12&amp;"_"&amp;C12&amp;"-"&amp;G12</f>
        <v>49007_3-2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6">
        <v>11</v>
      </c>
      <c r="L12" s="214">
        <v>8059</v>
      </c>
      <c r="M12" s="17" t="e">
        <f ca="1">VLOOKUP($L12,OFFSET([3]enemies!$A$1,0,0,COUNTA([3]enemies!$A:$A),MATCH(M$1,[3]enemies!$1:$1,0)-MATCH($L$1,[3]enemies!$1:$1,0)+1),MATCH(M$1,[3]enemies!$1:$1,0)-MATCH($L$1,[3]enemies!$1:$1,0)+1,FALSE)</f>
        <v>#N/A</v>
      </c>
      <c r="N12" s="17" t="e">
        <f ca="1">VLOOKUP($L12,OFFSET([3]enemies!$A$1,0,0,COUNTA([3]enemies!$A:$A),MATCH(N$1,[3]enemies!$1:$1,0)-MATCH($L$1,[3]enemies!$1:$1,0)+1),MATCH(N$1,[3]enemies!$1:$1,0)-MATCH($L$1,[3]enemies!$1:$1,0)+1,FALSE)</f>
        <v>#N/A</v>
      </c>
      <c r="O12" s="17" t="e">
        <f ca="1">VLOOKUP($L12,OFFSET([4]characters!$A$1,0,0,COUNTA([4]characters!$A:$A),MATCH(O$1,[4]characters!$1:$1,0)-MATCH($L$1,[4]characters!$1:$1,0)+1),MATCH(O$1,[4]characters!$1:$1,0)-MATCH($L$1,[4]characters!$1:$1,0)+1,FALSE)</f>
        <v>#N/A</v>
      </c>
      <c r="P12" s="17" t="e">
        <f ca="1">VLOOKUP($L12,OFFSET([3]enemies!$A$1,0,0,COUNTA([3]enemies!$A:$A),MATCH(P$1,[3]enemies!$1:$1,0)-MATCH($L$1,[3]enemies!$1:$1,0)+1),MATCH(P$1,[3]enemies!$1:$1,0)-MATCH($L$1,[3]enemies!$1:$1,0)+1,FALSE)</f>
        <v>#N/A</v>
      </c>
      <c r="Q12" s="17" t="e">
        <f ca="1">VLOOKUP($L12,OFFSET([3]enemies!$A$1,0,0,COUNTA([3]enemies!$A:$A),MATCH(Q$1,[3]enemies!$1:$1,0)-MATCH($L$1,[3]enemies!$1:$1,0)+1),MATCH(Q$1,[3]enemies!$1:$1,0)-MATCH($L$1,[3]enemies!$1:$1,0)+1,FALSE)</f>
        <v>#N/A</v>
      </c>
      <c r="R12" s="5">
        <v>80</v>
      </c>
      <c r="S12" s="23">
        <v>2.2999999999999998</v>
      </c>
      <c r="T12" s="23">
        <v>1.2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みんな仲が良さそうだ</v>
      </c>
      <c r="W12" s="211">
        <v>49007004</v>
      </c>
      <c r="X12" s="6">
        <v>1</v>
      </c>
      <c r="Y12" s="6">
        <v>100</v>
      </c>
      <c r="Z12" s="6">
        <v>2</v>
      </c>
      <c r="AA12" s="17">
        <v>1</v>
      </c>
      <c r="AB12" s="156">
        <f t="shared" si="10"/>
        <v>8059</v>
      </c>
      <c r="AC12" s="4" t="e">
        <f ca="1">VLOOKUP($AB12,OFFSET([4]characters!$A$1,0,0,COUNTA([4]characters!$A:$A),MATCH(AC$1,[4]characters!$1:$1,0)-MATCH("character_id",[4]characters!$1:$1,0)+1),MATCH(AC$1,[4]characters!$1:$1,0)-MATCH("character_id",[4]characters!$1:$1,0)+1,FALSE)</f>
        <v>#N/A</v>
      </c>
      <c r="AD12" s="4" t="e">
        <f ca="1">VLOOKUP($AB12,OFFSET([4]characters!$A$1,0,0,COUNTA([4]characters!$A:$A),MATCH(AD$1,[4]characters!$1:$1,0)-MATCH("character_id",[4]characters!$1:$1,0)+1),MATCH(AD$1,[4]characters!$1:$1,0)-MATCH("character_id",[4]characters!$1:$1,0)+1,FALSE)</f>
        <v>#N/A</v>
      </c>
      <c r="AE12" s="4" t="e">
        <f ca="1">VLOOKUP($AB12,OFFSET([4]characters!$A$1,0,0,COUNTA([4]characters!$A:$A),MATCH(AE$1,[4]characters!$1:$1,0)-MATCH("character_id",[4]characters!$1:$1,0)+1),MATCH(AE$1,[4]characters!$1:$1,0)-MATCH("character_id",[4]characters!$1:$1,0)+1,FALSE)</f>
        <v>#N/A</v>
      </c>
      <c r="AF12" s="127">
        <v>1</v>
      </c>
      <c r="AG12" s="156" t="e">
        <f t="shared" ca="1" si="11"/>
        <v>#N/A</v>
      </c>
      <c r="AH12" s="8">
        <v>0</v>
      </c>
      <c r="AI12" s="127">
        <v>0</v>
      </c>
      <c r="AJ12" s="127">
        <v>0</v>
      </c>
      <c r="AK12" s="127">
        <v>0</v>
      </c>
      <c r="AL12" s="127">
        <v>0</v>
      </c>
      <c r="AM12" s="127">
        <v>1</v>
      </c>
      <c r="AN12" s="67">
        <v>1</v>
      </c>
    </row>
    <row r="13" spans="1:40" s="166" customFormat="1" ht="21" customHeight="1" thickBot="1" x14ac:dyDescent="0.2">
      <c r="A13" s="130" t="str">
        <f t="shared" si="12"/>
        <v>49007_3-3/8043&lt;lv80&gt;s3</v>
      </c>
      <c r="B13" s="212">
        <v>49007</v>
      </c>
      <c r="C13" s="134">
        <v>3</v>
      </c>
      <c r="D13" s="136" t="str">
        <f t="shared" si="13"/>
        <v>49007_3</v>
      </c>
      <c r="E13" s="158" t="str">
        <f ca="1">VLOOKUP($B13,OFFSET([2]quests!$A$1,0,0,COUNTA([2]quests!$A:$A),MATCH(E$1,[2]quests!$1:$1,0)-MATCH($B$1,[2]quests!$1:$1,0)+1),MATCH(E$1,[2]quests!$1:$1,0)-MATCH($B$1,[2]quests!$1:$1,0)+1,FALSE)</f>
        <v>アザゼル（台）</v>
      </c>
      <c r="F13" s="158" t="str">
        <f ca="1">VLOOKUP($D13,OFFSET([2]stages!$A$1,0,0,COUNTA([2]stages!$A:$A),MATCH(F$1,[2]stages!$2:$2,0)-MATCH($D$1,[2]stages!$2:$2,0)+1),MATCH(F$1,[2]stages!$2:$2,0)-MATCH($D$1,[2]stages!$2:$2,0)+1,FALSE)</f>
        <v>【ﾉｰｺﾝ】アザゼル（台）</v>
      </c>
      <c r="G13" s="134">
        <v>3</v>
      </c>
      <c r="H13" s="136" t="str">
        <f t="shared" si="14"/>
        <v>49007_3-3</v>
      </c>
      <c r="I13" s="158">
        <f ca="1">VLOOKUP($H13,OFFSET(floors!$A$1,0,0,COUNTA(floors!$A:$A),MATCH(I$1,floors!$1:$1,0)-MATCH($H$1,floors!$1:$1,0)+1),MATCH(I$1,floors!$1:$1,0)-MATCH($H$1,floors!$1:$1,0)+1,FALSE)</f>
        <v>60</v>
      </c>
      <c r="J13" s="158">
        <f ca="1">VLOOKUP($H13,OFFSET(floors!$A$1,0,0,COUNTA(floors!$A:$A),MATCH(J$1,floors!$1:$1,0)-MATCH($H$1,floors!$1:$1,0)+1),MATCH(J$1,floors!$1:$1,0)-MATCH($H$1,floors!$1:$1,0)+1,FALSE)</f>
        <v>60</v>
      </c>
      <c r="K13" s="137">
        <v>12</v>
      </c>
      <c r="L13" s="215">
        <v>8043</v>
      </c>
      <c r="M13" s="159" t="e">
        <f ca="1">VLOOKUP($L13,OFFSET([3]enemies!$A$1,0,0,COUNTA([3]enemies!$A:$A),MATCH(M$1,[3]enemies!$1:$1,0)-MATCH($L$1,[3]enemies!$1:$1,0)+1),MATCH(M$1,[3]enemies!$1:$1,0)-MATCH($L$1,[3]enemies!$1:$1,0)+1,FALSE)</f>
        <v>#N/A</v>
      </c>
      <c r="N13" s="159" t="e">
        <f ca="1">VLOOKUP($L13,OFFSET([3]enemies!$A$1,0,0,COUNTA([3]enemies!$A:$A),MATCH(N$1,[3]enemies!$1:$1,0)-MATCH($L$1,[3]enemies!$1:$1,0)+1),MATCH(N$1,[3]enemies!$1:$1,0)-MATCH($L$1,[3]enemies!$1:$1,0)+1,FALSE)</f>
        <v>#N/A</v>
      </c>
      <c r="O13" s="159" t="e">
        <f ca="1">VLOOKUP($L13,OFFSET([4]characters!$A$1,0,0,COUNTA([4]characters!$A:$A),MATCH(O$1,[4]characters!$1:$1,0)-MATCH($L$1,[4]characters!$1:$1,0)+1),MATCH(O$1,[4]characters!$1:$1,0)-MATCH($L$1,[4]characters!$1:$1,0)+1,FALSE)</f>
        <v>#N/A</v>
      </c>
      <c r="P13" s="159" t="e">
        <f ca="1">VLOOKUP($L13,OFFSET([3]enemies!$A$1,0,0,COUNTA([3]enemies!$A:$A),MATCH(P$1,[3]enemies!$1:$1,0)-MATCH($L$1,[3]enemies!$1:$1,0)+1),MATCH(P$1,[3]enemies!$1:$1,0)-MATCH($L$1,[3]enemies!$1:$1,0)+1,FALSE)</f>
        <v>#N/A</v>
      </c>
      <c r="Q13" s="159" t="e">
        <f ca="1">VLOOKUP($L13,OFFSET([3]enemies!$A$1,0,0,COUNTA([3]enemies!$A:$A),MATCH(Q$1,[3]enemies!$1:$1,0)-MATCH($L$1,[3]enemies!$1:$1,0)+1),MATCH(Q$1,[3]enemies!$1:$1,0)-MATCH($L$1,[3]enemies!$1:$1,0)+1,FALSE)</f>
        <v>#N/A</v>
      </c>
      <c r="R13" s="160">
        <v>80</v>
      </c>
      <c r="S13" s="161">
        <v>3</v>
      </c>
      <c r="T13" s="161">
        <v>1.8</v>
      </c>
      <c r="U13" s="160">
        <v>0</v>
      </c>
      <c r="V13" s="158" t="str">
        <f ca="1">VLOOKUP($W13,OFFSET(enemy_skill_sets!$B$1,0,0,COUNTA(enemy_skill_sets!$B:$B),MATCH(M$1,enemy_skill_sets!$1:$1,0)-MATCH($W$1,enemy_skill_sets!$1:$1,0)+2),MATCH(M$1,enemy_skill_sets!$1:$1,0)-MATCH($W$1,enemy_skill_sets!$1:$1,0)+2,FALSE)</f>
        <v>なにやらテンションがおかしい！</v>
      </c>
      <c r="W13" s="212">
        <v>49007008</v>
      </c>
      <c r="X13" s="162">
        <v>1</v>
      </c>
      <c r="Y13" s="162">
        <v>100</v>
      </c>
      <c r="Z13" s="162">
        <v>1</v>
      </c>
      <c r="AA13" s="159">
        <v>3</v>
      </c>
      <c r="AB13" s="163">
        <f t="shared" si="10"/>
        <v>8043</v>
      </c>
      <c r="AC13" s="158" t="e">
        <f ca="1">VLOOKUP($AB13,OFFSET([4]characters!$A$1,0,0,COUNTA([4]characters!$A:$A),MATCH(AC$1,[4]characters!$1:$1,0)-MATCH("character_id",[4]characters!$1:$1,0)+1),MATCH(AC$1,[4]characters!$1:$1,0)-MATCH("character_id",[4]characters!$1:$1,0)+1,FALSE)</f>
        <v>#N/A</v>
      </c>
      <c r="AD13" s="158" t="e">
        <f ca="1">VLOOKUP($AB13,OFFSET([4]characters!$A$1,0,0,COUNTA([4]characters!$A:$A),MATCH(AD$1,[4]characters!$1:$1,0)-MATCH("character_id",[4]characters!$1:$1,0)+1),MATCH(AD$1,[4]characters!$1:$1,0)-MATCH("character_id",[4]characters!$1:$1,0)+1,FALSE)</f>
        <v>#N/A</v>
      </c>
      <c r="AE13" s="158" t="e">
        <f ca="1">VLOOKUP($AB13,OFFSET([4]characters!$A$1,0,0,COUNTA([4]characters!$A:$A),MATCH(AE$1,[4]characters!$1:$1,0)-MATCH("character_id",[4]characters!$1:$1,0)+1),MATCH(AE$1,[4]characters!$1:$1,0)-MATCH("character_id",[4]characters!$1:$1,0)+1,FALSE)</f>
        <v>#N/A</v>
      </c>
      <c r="AF13" s="132">
        <v>1</v>
      </c>
      <c r="AG13" s="163" t="e">
        <f t="shared" ca="1" si="11"/>
        <v>#N/A</v>
      </c>
      <c r="AH13" s="164">
        <v>100</v>
      </c>
      <c r="AI13" s="132">
        <v>0</v>
      </c>
      <c r="AJ13" s="132">
        <v>0</v>
      </c>
      <c r="AK13" s="132">
        <v>0</v>
      </c>
      <c r="AL13" s="132">
        <v>0</v>
      </c>
      <c r="AM13" s="132">
        <v>1</v>
      </c>
      <c r="AN13" s="165">
        <v>1</v>
      </c>
    </row>
    <row r="35" spans="12:12" ht="21" customHeight="1" x14ac:dyDescent="0.15">
      <c r="L35" s="3"/>
    </row>
  </sheetData>
  <sheetProtection selectLockedCells="1" selectUnlockedCells="1"/>
  <autoFilter ref="B1:AH6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19"/>
  <sheetViews>
    <sheetView showGridLines="0" zoomScale="95" zoomScaleNormal="95" zoomScalePageLayoutView="95" workbookViewId="0">
      <pane xSplit="18" ySplit="1" topLeftCell="W2" activePane="bottomRight" state="frozen"/>
      <selection activeCell="E25" sqref="E25"/>
      <selection pane="topRight" activeCell="E25" sqref="E25"/>
      <selection pane="bottomLeft" activeCell="E25" sqref="E25"/>
      <selection pane="bottomRight" activeCell="A12" sqref="A1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3" customFormat="1" ht="21" customHeight="1" thickBot="1" x14ac:dyDescent="0.2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53</v>
      </c>
      <c r="L1" s="34" t="s">
        <v>54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24" t="s">
        <v>50</v>
      </c>
      <c r="V1" s="24" t="s">
        <v>52</v>
      </c>
      <c r="W1" s="26" t="s">
        <v>127</v>
      </c>
      <c r="X1" s="27" t="s">
        <v>126</v>
      </c>
      <c r="Y1" s="26" t="s">
        <v>8</v>
      </c>
    </row>
    <row r="2" spans="1:25" s="155" customFormat="1" ht="21" customHeight="1" x14ac:dyDescent="0.15">
      <c r="A2" s="116" t="str">
        <f>B2&amp;"_"&amp;C2&amp;"-"&amp;G2&amp;"/"&amp;M2&amp;"&lt;lv"&amp;S2&amp;"&gt;sq"&amp;K2&amp;"st"&amp;L2</f>
        <v>49007_1-1/8063&lt;lv60&gt;sq5st2</v>
      </c>
      <c r="B2" s="218">
        <v>49007</v>
      </c>
      <c r="C2" s="189">
        <v>1</v>
      </c>
      <c r="D2" s="122" t="str">
        <f>B2&amp;"_"&amp;C2</f>
        <v>49007_1</v>
      </c>
      <c r="E2" s="147" t="str">
        <f ca="1">VLOOKUP($B2,OFFSET([2]quests!$A$1,0,0,COUNTA([2]quests!$A:$A),MATCH(E$1,[2]quests!$1:$1,0)-MATCH($B$1,[2]quests!$1:$1,0)+1),MATCH(E$1,[2]quests!$1:$1,0)-MATCH($B$1,[2]quests!$1:$1,0)+1,FALSE)</f>
        <v>アザゼル（台）</v>
      </c>
      <c r="F2" s="147" t="str">
        <f ca="1">VLOOKUP($D2,OFFSET([2]stages!$A$1,0,0,COUNTA([2]stages!$A:$A),MATCH(F$1,[2]stages!$2:$2,0)-MATCH($D$1,[2]stages!$2:$2,0)+1),MATCH(F$1,[2]stages!$2:$2,0)-MATCH($D$1,[2]stages!$2:$2,0)+1,FALSE)</f>
        <v>【超絶】アザゼル（台）</v>
      </c>
      <c r="G2" s="120">
        <v>1</v>
      </c>
      <c r="H2" s="122" t="str">
        <f>B2&amp;"_"&amp;C2&amp;"-"&amp;G2</f>
        <v>49007_1-1</v>
      </c>
      <c r="I2" s="147">
        <f ca="1">VLOOKUP($H2,OFFSET(floors!$A$1,0,0,COUNTA(floors!$A:$A),MATCH(I$1,floors!$1:$1,0)-MATCH($H$1,floors!$1:$1,0)+1),MATCH(I$1,floors!$1:$1,0)-MATCH($H$1,floors!$1:$1,0)+1,FALSE)</f>
        <v>60</v>
      </c>
      <c r="J2" s="147">
        <f ca="1">VLOOKUP($H2,OFFSET(floors!$A$1,0,0,COUNTA(floors!$A:$A),MATCH(J$1,floors!$1:$1,0)-MATCH($H$1,floors!$1:$1,0)+1),MATCH(J$1,floors!$1:$1,0)-MATCH($H$1,floors!$1:$1,0)+1,FALSE)</f>
        <v>60</v>
      </c>
      <c r="K2" s="123">
        <v>5</v>
      </c>
      <c r="L2" s="123">
        <v>2</v>
      </c>
      <c r="M2" s="213">
        <v>8063</v>
      </c>
      <c r="N2" s="148" t="e">
        <f ca="1">VLOOKUP($M2,OFFSET([3]enemies!$A$1,0,0,COUNTA([3]enemies!$A:$A),MATCH(N$1,[3]enemies!$1:$1,0)-MATCH($M$1,[3]enemies!$1:$1,0)+1),MATCH(N$1,[3]enemies!$1:$1,0)-MATCH($M$1,[3]enemies!$1:$1,0)+1,FALSE)</f>
        <v>#N/A</v>
      </c>
      <c r="O2" s="148" t="e">
        <f ca="1">VLOOKUP($M2,OFFSET([3]enemies!$A$1,0,0,COUNTA([3]enemies!$A:$A),MATCH(O$1,[3]enemies!$1:$1,0)-MATCH($M$1,[3]enemies!$1:$1,0)+1),MATCH(O$1,[3]enemies!$1:$1,0)-MATCH($M$1,[3]enemies!$1:$1,0)+1,FALSE)</f>
        <v>#N/A</v>
      </c>
      <c r="P2" s="148" t="e">
        <f ca="1">VLOOKUP($M2,OFFSET([4]characters!$A$1,0,0,COUNTA([4]characters!$A:$A),MATCH(P$1,[4]characters!$1:$1,0)-MATCH($M$1,[4]characters!$1:$1,0)+1),MATCH(P$1,[4]characters!$1:$1,0)-MATCH($M$1,[4]characters!$1:$1,0)+1,FALSE)</f>
        <v>#N/A</v>
      </c>
      <c r="Q2" s="148" t="e">
        <f ca="1">VLOOKUP($M2,OFFSET([3]enemies!$A$1,0,0,COUNTA([3]enemies!$A:$A),MATCH(Q$1,[3]enemies!$1:$1,0)-MATCH($M$1,[3]enemies!$1:$1,0)+1),MATCH(Q$1,[3]enemies!$1:$1,0)-MATCH($M$1,[3]enemies!$1:$1,0)+1,FALSE)</f>
        <v>#N/A</v>
      </c>
      <c r="R2" s="148" t="e">
        <f ca="1">VLOOKUP($M2,OFFSET([3]enemies!$A$1,0,0,COUNTA([3]enemies!$A:$A),MATCH(R$1,[3]enemies!$1:$1,0)-MATCH($M$1,[3]enemies!$1:$1,0)+1),MATCH(R$1,[3]enemies!$1:$1,0)-MATCH($M$1,[3]enemies!$1:$1,0)+1,FALSE)</f>
        <v>#N/A</v>
      </c>
      <c r="S2" s="149">
        <v>60</v>
      </c>
      <c r="T2" s="150">
        <v>1.2</v>
      </c>
      <c r="U2" s="150">
        <v>0.6</v>
      </c>
      <c r="V2" s="149">
        <v>0</v>
      </c>
      <c r="W2" s="147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218">
        <v>49007002</v>
      </c>
      <c r="Y2" s="169">
        <v>2</v>
      </c>
    </row>
    <row r="3" spans="1:25" s="157" customFormat="1" ht="21" customHeight="1" x14ac:dyDescent="0.15">
      <c r="A3" s="125" t="str">
        <f t="shared" ref="A3:A7" si="0">B3&amp;"_"&amp;C3&amp;"-"&amp;G3&amp;"/"&amp;M3&amp;"&lt;lv"&amp;S3&amp;"&gt;sq"&amp;K3&amp;"st"&amp;L3</f>
        <v>49007_1-1/8064&lt;lv1&gt;sq5st3</v>
      </c>
      <c r="B3" s="219">
        <v>49007</v>
      </c>
      <c r="C3" s="128">
        <v>1</v>
      </c>
      <c r="D3" s="15" t="str">
        <f t="shared" ref="D3:D7" si="1">B3&amp;"_"&amp;C3</f>
        <v>49007_1</v>
      </c>
      <c r="E3" s="4" t="str">
        <f ca="1">VLOOKUP($B3,OFFSET([2]quests!$A$1,0,0,COUNTA([2]quests!$A:$A),MATCH(E$1,[2]quests!$1:$1,0)-MATCH($B$1,[2]quests!$1:$1,0)+1),MATCH(E$1,[2]quests!$1:$1,0)-MATCH($B$1,[2]quests!$1:$1,0)+1,FALSE)</f>
        <v>アザゼル（台）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【超絶】アザゼル（台）</v>
      </c>
      <c r="G3" s="128">
        <v>1</v>
      </c>
      <c r="H3" s="15" t="str">
        <f t="shared" ref="H3:H7" si="2">B3&amp;"_"&amp;C3&amp;"-"&amp;G3</f>
        <v>49007_1-1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>
        <v>5</v>
      </c>
      <c r="L3" s="36">
        <v>3</v>
      </c>
      <c r="M3" s="214">
        <v>8064</v>
      </c>
      <c r="N3" s="17" t="e">
        <f ca="1">VLOOKUP($M3,OFFSET([3]enemies!$A$1,0,0,COUNTA([3]enemies!$A:$A),MATCH(N$1,[3]enemies!$1:$1,0)-MATCH($M$1,[3]enemies!$1:$1,0)+1),MATCH(N$1,[3]enemies!$1:$1,0)-MATCH($M$1,[3]enemies!$1:$1,0)+1,FALSE)</f>
        <v>#N/A</v>
      </c>
      <c r="O3" s="17" t="e">
        <f ca="1">VLOOKUP($M3,OFFSET([3]enemies!$A$1,0,0,COUNTA([3]enemies!$A:$A),MATCH(O$1,[3]enemies!$1:$1,0)-MATCH($M$1,[3]enemies!$1:$1,0)+1),MATCH(O$1,[3]enemies!$1:$1,0)-MATCH($M$1,[3]enemies!$1:$1,0)+1,FALSE)</f>
        <v>#N/A</v>
      </c>
      <c r="P3" s="17" t="e">
        <f ca="1">VLOOKUP($M3,OFFSET([4]characters!$A$1,0,0,COUNTA([4]characters!$A:$A),MATCH(P$1,[4]characters!$1:$1,0)-MATCH($M$1,[4]characters!$1:$1,0)+1),MATCH(P$1,[4]characters!$1:$1,0)-MATCH($M$1,[4]characters!$1:$1,0)+1,FALSE)</f>
        <v>#N/A</v>
      </c>
      <c r="Q3" s="17" t="e">
        <f ca="1">VLOOKUP($M3,OFFSET([3]enemies!$A$1,0,0,COUNTA([3]enemies!$A:$A),MATCH(Q$1,[3]enemies!$1:$1,0)-MATCH($M$1,[3]enemies!$1:$1,0)+1),MATCH(Q$1,[3]enemies!$1:$1,0)-MATCH($M$1,[3]enemies!$1:$1,0)+1,FALSE)</f>
        <v>#N/A</v>
      </c>
      <c r="R3" s="17" t="e">
        <f ca="1">VLOOKUP($M3,OFFSET([3]enemies!$A$1,0,0,COUNTA([3]enemies!$A:$A),MATCH(R$1,[3]enemies!$1:$1,0)-MATCH($M$1,[3]enemies!$1:$1,0)+1),MATCH(R$1,[3]enemies!$1:$1,0)-MATCH($M$1,[3]enemies!$1:$1,0)+1,FALSE)</f>
        <v>#N/A</v>
      </c>
      <c r="S3" s="5">
        <v>1</v>
      </c>
      <c r="T3" s="23">
        <v>0.1</v>
      </c>
      <c r="U3" s="23">
        <v>0.1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221">
        <v>49007003</v>
      </c>
      <c r="Y3" s="68">
        <v>1</v>
      </c>
    </row>
    <row r="4" spans="1:25" s="157" customFormat="1" ht="21" customHeight="1" x14ac:dyDescent="0.15">
      <c r="A4" s="125" t="str">
        <f t="shared" si="0"/>
        <v>49007_1-2/8057&lt;lv55&gt;sq6st2</v>
      </c>
      <c r="B4" s="219">
        <v>49007</v>
      </c>
      <c r="C4" s="128">
        <v>1</v>
      </c>
      <c r="D4" s="15" t="str">
        <f t="shared" si="1"/>
        <v>49007_1</v>
      </c>
      <c r="E4" s="4" t="str">
        <f ca="1">VLOOKUP($B4,OFFSET([2]quests!$A$1,0,0,COUNTA([2]quests!$A:$A),MATCH(E$1,[2]quests!$1:$1,0)-MATCH($B$1,[2]quests!$1:$1,0)+1),MATCH(E$1,[2]quests!$1:$1,0)-MATCH($B$1,[2]quests!$1:$1,0)+1,FALSE)</f>
        <v>アザゼル（台）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【超絶】アザゼル（台）</v>
      </c>
      <c r="G4" s="128">
        <v>2</v>
      </c>
      <c r="H4" s="15" t="str">
        <f t="shared" si="2"/>
        <v>49007_1-2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>
        <v>6</v>
      </c>
      <c r="L4" s="36">
        <v>2</v>
      </c>
      <c r="M4" s="214">
        <v>8057</v>
      </c>
      <c r="N4" s="17" t="e">
        <f ca="1">VLOOKUP($M4,OFFSET([3]enemies!$A$1,0,0,COUNTA([3]enemies!$A:$A),MATCH(N$1,[3]enemies!$1:$1,0)-MATCH($M$1,[3]enemies!$1:$1,0)+1),MATCH(N$1,[3]enemies!$1:$1,0)-MATCH($M$1,[3]enemies!$1:$1,0)+1,FALSE)</f>
        <v>#N/A</v>
      </c>
      <c r="O4" s="17" t="e">
        <f ca="1">VLOOKUP($M4,OFFSET([3]enemies!$A$1,0,0,COUNTA([3]enemies!$A:$A),MATCH(O$1,[3]enemies!$1:$1,0)-MATCH($M$1,[3]enemies!$1:$1,0)+1),MATCH(O$1,[3]enemies!$1:$1,0)-MATCH($M$1,[3]enemies!$1:$1,0)+1,FALSE)</f>
        <v>#N/A</v>
      </c>
      <c r="P4" s="17" t="e">
        <f ca="1">VLOOKUP($M4,OFFSET([4]characters!$A$1,0,0,COUNTA([4]characters!$A:$A),MATCH(P$1,[4]characters!$1:$1,0)-MATCH($M$1,[4]characters!$1:$1,0)+1),MATCH(P$1,[4]characters!$1:$1,0)-MATCH($M$1,[4]characters!$1:$1,0)+1,FALSE)</f>
        <v>#N/A</v>
      </c>
      <c r="Q4" s="17" t="e">
        <f ca="1">VLOOKUP($M4,OFFSET([3]enemies!$A$1,0,0,COUNTA([3]enemies!$A:$A),MATCH(Q$1,[3]enemies!$1:$1,0)-MATCH($M$1,[3]enemies!$1:$1,0)+1),MATCH(Q$1,[3]enemies!$1:$1,0)-MATCH($M$1,[3]enemies!$1:$1,0)+1,FALSE)</f>
        <v>#N/A</v>
      </c>
      <c r="R4" s="17" t="e">
        <f ca="1">VLOOKUP($M4,OFFSET([3]enemies!$A$1,0,0,COUNTA([3]enemies!$A:$A),MATCH(R$1,[3]enemies!$1:$1,0)-MATCH($M$1,[3]enemies!$1:$1,0)+1),MATCH(R$1,[3]enemies!$1:$1,0)-MATCH($M$1,[3]enemies!$1:$1,0)+1,FALSE)</f>
        <v>#N/A</v>
      </c>
      <c r="S4" s="5">
        <v>55</v>
      </c>
      <c r="T4" s="23">
        <v>1</v>
      </c>
      <c r="U4" s="23">
        <v>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105">
        <v>49007007</v>
      </c>
      <c r="Y4" s="68">
        <v>2</v>
      </c>
    </row>
    <row r="5" spans="1:25" s="157" customFormat="1" ht="21" customHeight="1" x14ac:dyDescent="0.15">
      <c r="A5" s="125" t="str">
        <f t="shared" si="0"/>
        <v>49007_1-2/8059&lt;lv55&gt;sq7st2</v>
      </c>
      <c r="B5" s="219">
        <v>49007</v>
      </c>
      <c r="C5" s="128">
        <v>1</v>
      </c>
      <c r="D5" s="15" t="str">
        <f t="shared" si="1"/>
        <v>49007_1</v>
      </c>
      <c r="E5" s="4" t="str">
        <f ca="1">VLOOKUP($B5,OFFSET([2]quests!$A$1,0,0,COUNTA([2]quests!$A:$A),MATCH(E$1,[2]quests!$1:$1,0)-MATCH($B$1,[2]quests!$1:$1,0)+1),MATCH(E$1,[2]quests!$1:$1,0)-MATCH($B$1,[2]quests!$1:$1,0)+1,FALSE)</f>
        <v>アザゼル（台）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【超絶】アザゼル（台）</v>
      </c>
      <c r="G5" s="128">
        <v>2</v>
      </c>
      <c r="H5" s="15" t="str">
        <f t="shared" si="2"/>
        <v>49007_1-2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>
        <v>7</v>
      </c>
      <c r="L5" s="36">
        <v>2</v>
      </c>
      <c r="M5" s="214">
        <v>8059</v>
      </c>
      <c r="N5" s="17" t="e">
        <f ca="1">VLOOKUP($M5,OFFSET([3]enemies!$A$1,0,0,COUNTA([3]enemies!$A:$A),MATCH(N$1,[3]enemies!$1:$1,0)-MATCH($M$1,[3]enemies!$1:$1,0)+1),MATCH(N$1,[3]enemies!$1:$1,0)-MATCH($M$1,[3]enemies!$1:$1,0)+1,FALSE)</f>
        <v>#N/A</v>
      </c>
      <c r="O5" s="17" t="e">
        <f ca="1">VLOOKUP($M5,OFFSET([3]enemies!$A$1,0,0,COUNTA([3]enemies!$A:$A),MATCH(O$1,[3]enemies!$1:$1,0)-MATCH($M$1,[3]enemies!$1:$1,0)+1),MATCH(O$1,[3]enemies!$1:$1,0)-MATCH($M$1,[3]enemies!$1:$1,0)+1,FALSE)</f>
        <v>#N/A</v>
      </c>
      <c r="P5" s="17" t="e">
        <f ca="1">VLOOKUP($M5,OFFSET([4]characters!$A$1,0,0,COUNTA([4]characters!$A:$A),MATCH(P$1,[4]characters!$1:$1,0)-MATCH($M$1,[4]characters!$1:$1,0)+1),MATCH(P$1,[4]characters!$1:$1,0)-MATCH($M$1,[4]characters!$1:$1,0)+1,FALSE)</f>
        <v>#N/A</v>
      </c>
      <c r="Q5" s="17" t="e">
        <f ca="1">VLOOKUP($M5,OFFSET([3]enemies!$A$1,0,0,COUNTA([3]enemies!$A:$A),MATCH(Q$1,[3]enemies!$1:$1,0)-MATCH($M$1,[3]enemies!$1:$1,0)+1),MATCH(Q$1,[3]enemies!$1:$1,0)-MATCH($M$1,[3]enemies!$1:$1,0)+1,FALSE)</f>
        <v>#N/A</v>
      </c>
      <c r="R5" s="17" t="e">
        <f ca="1">VLOOKUP($M5,OFFSET([3]enemies!$A$1,0,0,COUNTA([3]enemies!$A:$A),MATCH(R$1,[3]enemies!$1:$1,0)-MATCH($M$1,[3]enemies!$1:$1,0)+1),MATCH(R$1,[3]enemies!$1:$1,0)-MATCH($M$1,[3]enemies!$1:$1,0)+1,FALSE)</f>
        <v>#N/A</v>
      </c>
      <c r="S5" s="5">
        <v>55</v>
      </c>
      <c r="T5" s="23">
        <v>1</v>
      </c>
      <c r="U5" s="23">
        <v>1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221">
        <v>49007006</v>
      </c>
      <c r="Y5" s="68">
        <v>1</v>
      </c>
    </row>
    <row r="6" spans="1:25" s="157" customFormat="1" ht="21" customHeight="1" x14ac:dyDescent="0.15">
      <c r="A6" s="125" t="str">
        <f t="shared" si="0"/>
        <v>49007_1-3/8043&lt;lv65&gt;sq8st2</v>
      </c>
      <c r="B6" s="219">
        <v>49007</v>
      </c>
      <c r="C6" s="128">
        <v>1</v>
      </c>
      <c r="D6" s="15" t="str">
        <f t="shared" si="1"/>
        <v>49007_1</v>
      </c>
      <c r="E6" s="4" t="str">
        <f ca="1">VLOOKUP($B6,OFFSET([2]quests!$A$1,0,0,COUNTA([2]quests!$A:$A),MATCH(E$1,[2]quests!$1:$1,0)-MATCH($B$1,[2]quests!$1:$1,0)+1),MATCH(E$1,[2]quests!$1:$1,0)-MATCH($B$1,[2]quests!$1:$1,0)+1,FALSE)</f>
        <v>アザゼル（台）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【超絶】アザゼル（台）</v>
      </c>
      <c r="G6" s="128">
        <v>3</v>
      </c>
      <c r="H6" s="15" t="str">
        <f t="shared" si="2"/>
        <v>49007_1-3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6">
        <v>8</v>
      </c>
      <c r="L6" s="36">
        <v>2</v>
      </c>
      <c r="M6" s="214">
        <v>8043</v>
      </c>
      <c r="N6" s="17" t="e">
        <f ca="1">VLOOKUP($M6,OFFSET([3]enemies!$A$1,0,0,COUNTA([3]enemies!$A:$A),MATCH(N$1,[3]enemies!$1:$1,0)-MATCH($M$1,[3]enemies!$1:$1,0)+1),MATCH(N$1,[3]enemies!$1:$1,0)-MATCH($M$1,[3]enemies!$1:$1,0)+1,FALSE)</f>
        <v>#N/A</v>
      </c>
      <c r="O6" s="17" t="e">
        <f ca="1">VLOOKUP($M6,OFFSET([3]enemies!$A$1,0,0,COUNTA([3]enemies!$A:$A),MATCH(O$1,[3]enemies!$1:$1,0)-MATCH($M$1,[3]enemies!$1:$1,0)+1),MATCH(O$1,[3]enemies!$1:$1,0)-MATCH($M$1,[3]enemies!$1:$1,0)+1,FALSE)</f>
        <v>#N/A</v>
      </c>
      <c r="P6" s="17" t="e">
        <f ca="1">VLOOKUP($M6,OFFSET([4]characters!$A$1,0,0,COUNTA([4]characters!$A:$A),MATCH(P$1,[4]characters!$1:$1,0)-MATCH($M$1,[4]characters!$1:$1,0)+1),MATCH(P$1,[4]characters!$1:$1,0)-MATCH($M$1,[4]characters!$1:$1,0)+1,FALSE)</f>
        <v>#N/A</v>
      </c>
      <c r="Q6" s="17" t="e">
        <f ca="1">VLOOKUP($M6,OFFSET([3]enemies!$A$1,0,0,COUNTA([3]enemies!$A:$A),MATCH(Q$1,[3]enemies!$1:$1,0)-MATCH($M$1,[3]enemies!$1:$1,0)+1),MATCH(Q$1,[3]enemies!$1:$1,0)-MATCH($M$1,[3]enemies!$1:$1,0)+1,FALSE)</f>
        <v>#N/A</v>
      </c>
      <c r="R6" s="17" t="e">
        <f ca="1">VLOOKUP($M6,OFFSET([3]enemies!$A$1,0,0,COUNTA([3]enemies!$A:$A),MATCH(R$1,[3]enemies!$1:$1,0)-MATCH($M$1,[3]enemies!$1:$1,0)+1),MATCH(R$1,[3]enemies!$1:$1,0)-MATCH($M$1,[3]enemies!$1:$1,0)+1,FALSE)</f>
        <v>#N/A</v>
      </c>
      <c r="S6" s="187">
        <v>65</v>
      </c>
      <c r="T6" s="188">
        <v>1.8</v>
      </c>
      <c r="U6" s="188">
        <v>1.2</v>
      </c>
      <c r="V6" s="185">
        <v>0</v>
      </c>
      <c r="W6" s="4" t="e">
        <f ca="1">VLOOKUP($X6,OFFSET([5]enemy_skill_sets!$B$1,0,0,COUNTA([5]enemy_skill_sets!$B:$B),MATCH(N$1,[5]enemy_skill_sets!$1:$1,0)-MATCH($X$1,[5]enemy_skill_sets!$1:$1,0)+2),MATCH(N$1,[5]enemy_skill_sets!$1:$1,0)-MATCH($X$1,[5]enemy_skill_sets!$1:$1,0)+2,FALSE)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6" s="105">
        <v>49007012</v>
      </c>
      <c r="Y6" s="68">
        <v>2</v>
      </c>
    </row>
    <row r="7" spans="1:25" s="166" customFormat="1" ht="21" customHeight="1" thickBot="1" x14ac:dyDescent="0.2">
      <c r="A7" s="130" t="str">
        <f t="shared" si="0"/>
        <v>49007_1-3/8044&lt;lv65&gt;sq8st3</v>
      </c>
      <c r="B7" s="220">
        <v>49007</v>
      </c>
      <c r="C7" s="196">
        <v>1</v>
      </c>
      <c r="D7" s="136" t="str">
        <f t="shared" si="1"/>
        <v>49007_1</v>
      </c>
      <c r="E7" s="158" t="str">
        <f ca="1">VLOOKUP($B7,OFFSET([2]quests!$A$1,0,0,COUNTA([2]quests!$A:$A),MATCH(E$1,[2]quests!$1:$1,0)-MATCH($B$1,[2]quests!$1:$1,0)+1),MATCH(E$1,[2]quests!$1:$1,0)-MATCH($B$1,[2]quests!$1:$1,0)+1,FALSE)</f>
        <v>アザゼル（台）</v>
      </c>
      <c r="F7" s="158" t="str">
        <f ca="1">VLOOKUP($D7,OFFSET([2]stages!$A$1,0,0,COUNTA([2]stages!$A:$A),MATCH(F$1,[2]stages!$2:$2,0)-MATCH($D$1,[2]stages!$2:$2,0)+1),MATCH(F$1,[2]stages!$2:$2,0)-MATCH($D$1,[2]stages!$2:$2,0)+1,FALSE)</f>
        <v>【超絶】アザゼル（台）</v>
      </c>
      <c r="G7" s="134">
        <v>3</v>
      </c>
      <c r="H7" s="136" t="str">
        <f t="shared" si="2"/>
        <v>49007_1-3</v>
      </c>
      <c r="I7" s="158">
        <f ca="1">VLOOKUP($H7,OFFSET(floors!$A$1,0,0,COUNTA(floors!$A:$A),MATCH(I$1,floors!$1:$1,0)-MATCH($H$1,floors!$1:$1,0)+1),MATCH(I$1,floors!$1:$1,0)-MATCH($H$1,floors!$1:$1,0)+1,FALSE)</f>
        <v>60</v>
      </c>
      <c r="J7" s="158">
        <f ca="1">VLOOKUP($H7,OFFSET(floors!$A$1,0,0,COUNTA(floors!$A:$A),MATCH(J$1,floors!$1:$1,0)-MATCH($H$1,floors!$1:$1,0)+1),MATCH(J$1,floors!$1:$1,0)-MATCH($H$1,floors!$1:$1,0)+1,FALSE)</f>
        <v>60</v>
      </c>
      <c r="K7" s="137">
        <v>8</v>
      </c>
      <c r="L7" s="137">
        <v>3</v>
      </c>
      <c r="M7" s="215">
        <v>8044</v>
      </c>
      <c r="N7" s="159" t="e">
        <f ca="1">VLOOKUP($M7,OFFSET([3]enemies!$A$1,0,0,COUNTA([3]enemies!$A:$A),MATCH(N$1,[3]enemies!$1:$1,0)-MATCH($M$1,[3]enemies!$1:$1,0)+1),MATCH(N$1,[3]enemies!$1:$1,0)-MATCH($M$1,[3]enemies!$1:$1,0)+1,FALSE)</f>
        <v>#N/A</v>
      </c>
      <c r="O7" s="159" t="e">
        <f ca="1">VLOOKUP($M7,OFFSET([3]enemies!$A$1,0,0,COUNTA([3]enemies!$A:$A),MATCH(O$1,[3]enemies!$1:$1,0)-MATCH($M$1,[3]enemies!$1:$1,0)+1),MATCH(O$1,[3]enemies!$1:$1,0)-MATCH($M$1,[3]enemies!$1:$1,0)+1,FALSE)</f>
        <v>#N/A</v>
      </c>
      <c r="P7" s="159" t="e">
        <f ca="1">VLOOKUP($M7,OFFSET([4]characters!$A$1,0,0,COUNTA([4]characters!$A:$A),MATCH(P$1,[4]characters!$1:$1,0)-MATCH($M$1,[4]characters!$1:$1,0)+1),MATCH(P$1,[4]characters!$1:$1,0)-MATCH($M$1,[4]characters!$1:$1,0)+1,FALSE)</f>
        <v>#N/A</v>
      </c>
      <c r="Q7" s="159" t="e">
        <f ca="1">VLOOKUP($M7,OFFSET([3]enemies!$A$1,0,0,COUNTA([3]enemies!$A:$A),MATCH(Q$1,[3]enemies!$1:$1,0)-MATCH($M$1,[3]enemies!$1:$1,0)+1),MATCH(Q$1,[3]enemies!$1:$1,0)-MATCH($M$1,[3]enemies!$1:$1,0)+1,FALSE)</f>
        <v>#N/A</v>
      </c>
      <c r="R7" s="159" t="e">
        <f ca="1">VLOOKUP($M7,OFFSET([3]enemies!$A$1,0,0,COUNTA([3]enemies!$A:$A),MATCH(R$1,[3]enemies!$1:$1,0)-MATCH($M$1,[3]enemies!$1:$1,0)+1),MATCH(R$1,[3]enemies!$1:$1,0)-MATCH($M$1,[3]enemies!$1:$1,0)+1,FALSE)</f>
        <v>#N/A</v>
      </c>
      <c r="S7" s="197">
        <v>65</v>
      </c>
      <c r="T7" s="198">
        <v>1.8</v>
      </c>
      <c r="U7" s="198">
        <v>1.2</v>
      </c>
      <c r="V7" s="186">
        <v>0</v>
      </c>
      <c r="W7" s="158" t="e">
        <f ca="1">VLOOKUP($X7,OFFSET([5]enemy_skill_sets!$B$1,0,0,COUNTA([5]enemy_skill_sets!$B:$B),MATCH(N$1,[5]enemy_skill_sets!$1:$1,0)-MATCH($X$1,[5]enemy_skill_sets!$1:$1,0)+2),MATCH(N$1,[5]enemy_skill_sets!$1:$1,0)-MATCH($X$1,[5]enemy_skill_sets!$1:$1,0)+2,FALSE)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7" s="224">
        <v>49007010</v>
      </c>
      <c r="Y7" s="171">
        <v>1</v>
      </c>
    </row>
    <row r="8" spans="1:25" ht="21" customHeight="1" x14ac:dyDescent="0.15">
      <c r="A8" s="16" t="str">
        <f>B8&amp;"_"&amp;C8&amp;"-"&amp;G8&amp;"/"&amp;M8&amp;"&lt;lv"&amp;S8&amp;"&gt;sq"&amp;K8&amp;"st"&amp;L8</f>
        <v>49007_2-1/8063&lt;lv80&gt;sq1st2</v>
      </c>
      <c r="B8" s="221">
        <v>49007</v>
      </c>
      <c r="C8" s="190">
        <v>2</v>
      </c>
      <c r="D8" s="191" t="str">
        <f>B8&amp;"_"&amp;C8</f>
        <v>49007_2</v>
      </c>
      <c r="E8" s="4" t="str">
        <f ca="1">VLOOKUP($B8,OFFSET([2]quests!$A$1,0,0,COUNTA([2]quests!$A:$A),MATCH(E$1,[2]quests!$1:$1,0)-MATCH($B$1,[2]quests!$1:$1,0)+1),MATCH(E$1,[2]quests!$1:$1,0)-MATCH($B$1,[2]quests!$1:$1,0)+1,FALSE)</f>
        <v>アザゼル（台）</v>
      </c>
      <c r="F8" s="4" t="str">
        <f ca="1">VLOOKUP($D8,OFFSET([2]stages!$A$1,0,0,COUNTA([2]stages!$A:$A),MATCH(F$1,[2]stages!$2:$2,0)-MATCH($D$1,[2]stages!$2:$2,0)+1),MATCH(F$1,[2]stages!$2:$2,0)-MATCH($D$1,[2]stages!$2:$2,0)+1,FALSE)</f>
        <v>【ｳｨｻﾞ】アザゼル（台）</v>
      </c>
      <c r="G8" s="190">
        <v>1</v>
      </c>
      <c r="H8" s="191" t="str">
        <f>B8&amp;"_"&amp;C8&amp;"-"&amp;G8</f>
        <v>49007_2-1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192">
        <v>1</v>
      </c>
      <c r="L8" s="192">
        <v>2</v>
      </c>
      <c r="M8" s="223">
        <v>8063</v>
      </c>
      <c r="N8" s="17" t="e">
        <f ca="1">VLOOKUP($M8,OFFSET([3]enemies!$A$1,0,0,COUNTA([3]enemies!$A:$A),MATCH(N$1,[3]enemies!$1:$1,0)-MATCH($M$1,[3]enemies!$1:$1,0)+1),MATCH(N$1,[3]enemies!$1:$1,0)-MATCH($M$1,[3]enemies!$1:$1,0)+1,FALSE)</f>
        <v>#N/A</v>
      </c>
      <c r="O8" s="17" t="e">
        <f ca="1">VLOOKUP($M8,OFFSET([3]enemies!$A$1,0,0,COUNTA([3]enemies!$A:$A),MATCH(O$1,[3]enemies!$1:$1,0)-MATCH($M$1,[3]enemies!$1:$1,0)+1),MATCH(O$1,[3]enemies!$1:$1,0)-MATCH($M$1,[3]enemies!$1:$1,0)+1,FALSE)</f>
        <v>#N/A</v>
      </c>
      <c r="P8" s="17" t="e">
        <f ca="1">VLOOKUP($M8,OFFSET([4]characters!$A$1,0,0,COUNTA([4]characters!$A:$A),MATCH(P$1,[4]characters!$1:$1,0)-MATCH($M$1,[4]characters!$1:$1,0)+1),MATCH(P$1,[4]characters!$1:$1,0)-MATCH($M$1,[4]characters!$1:$1,0)+1,FALSE)</f>
        <v>#N/A</v>
      </c>
      <c r="Q8" s="17" t="e">
        <f ca="1">VLOOKUP($M8,OFFSET([3]enemies!$A$1,0,0,COUNTA([3]enemies!$A:$A),MATCH(Q$1,[3]enemies!$1:$1,0)-MATCH($M$1,[3]enemies!$1:$1,0)+1),MATCH(Q$1,[3]enemies!$1:$1,0)-MATCH($M$1,[3]enemies!$1:$1,0)+1,FALSE)</f>
        <v>#N/A</v>
      </c>
      <c r="R8" s="17" t="e">
        <f ca="1">VLOOKUP($M8,OFFSET([3]enemies!$A$1,0,0,COUNTA([3]enemies!$A:$A),MATCH(R$1,[3]enemies!$1:$1,0)-MATCH($M$1,[3]enemies!$1:$1,0)+1),MATCH(R$1,[3]enemies!$1:$1,0)-MATCH($M$1,[3]enemies!$1:$1,0)+1,FALSE)</f>
        <v>#N/A</v>
      </c>
      <c r="S8" s="193">
        <v>80</v>
      </c>
      <c r="T8" s="194">
        <v>2.2999999999999998</v>
      </c>
      <c r="U8" s="194">
        <v>0.7</v>
      </c>
      <c r="V8" s="193">
        <v>0</v>
      </c>
      <c r="W8" s="4" t="e">
        <f ca="1">VLOOKUP($X8,OFFSET([5]enemy_skill_sets!$B$1,0,0,COUNTA([5]enemy_skill_sets!$B:$B),MATCH(N$1,[5]enemy_skill_sets!$1:$1,0)-MATCH($X$1,[5]enemy_skill_sets!$1:$1,0)+2),MATCH(N$1,[5]enemy_skill_sets!$1:$1,0)-MATCH($X$1,[5]enemy_skill_sets!$1:$1,0)+2,FALSE)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8" s="221">
        <v>49007002</v>
      </c>
      <c r="Y8" s="195">
        <v>2</v>
      </c>
    </row>
    <row r="9" spans="1:25" ht="21" customHeight="1" x14ac:dyDescent="0.15">
      <c r="A9" s="16" t="str">
        <f t="shared" ref="A9:A13" si="3">B9&amp;"_"&amp;C9&amp;"-"&amp;G9&amp;"/"&amp;M9&amp;"&lt;lv"&amp;S9&amp;"&gt;sq"&amp;K9&amp;"st"&amp;L9</f>
        <v>49007_2-1/8064&lt;lv1&gt;sq1st3</v>
      </c>
      <c r="B9" s="221">
        <v>49007</v>
      </c>
      <c r="C9" s="20">
        <v>2</v>
      </c>
      <c r="D9" s="2" t="str">
        <f t="shared" ref="D9:D13" si="4">B9&amp;"_"&amp;C9</f>
        <v>49007_2</v>
      </c>
      <c r="E9" s="4" t="str">
        <f ca="1">VLOOKUP($B9,OFFSET([2]quests!$A$1,0,0,COUNTA([2]quests!$A:$A),MATCH(E$1,[2]quests!$1:$1,0)-MATCH($B$1,[2]quests!$1:$1,0)+1),MATCH(E$1,[2]quests!$1:$1,0)-MATCH($B$1,[2]quests!$1:$1,0)+1,FALSE)</f>
        <v>アザゼル（台）</v>
      </c>
      <c r="F9" s="4" t="str">
        <f ca="1">VLOOKUP($D9,OFFSET([2]stages!$A$1,0,0,COUNTA([2]stages!$A:$A),MATCH(F$1,[2]stages!$2:$2,0)-MATCH($D$1,[2]stages!$2:$2,0)+1),MATCH(F$1,[2]stages!$2:$2,0)-MATCH($D$1,[2]stages!$2:$2,0)+1,FALSE)</f>
        <v>【ｳｨｻﾞ】アザゼル（台）</v>
      </c>
      <c r="G9" s="20">
        <v>1</v>
      </c>
      <c r="H9" s="15" t="str">
        <f t="shared" ref="H9:H13" si="5">B9&amp;"_"&amp;C9&amp;"-"&amp;G9</f>
        <v>49007_2-1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6">
        <v>1</v>
      </c>
      <c r="L9" s="36">
        <v>3</v>
      </c>
      <c r="M9" s="216">
        <v>8064</v>
      </c>
      <c r="N9" s="17" t="e">
        <f ca="1">VLOOKUP($M9,OFFSET([3]enemies!$A$1,0,0,COUNTA([3]enemies!$A:$A),MATCH(N$1,[3]enemies!$1:$1,0)-MATCH($M$1,[3]enemies!$1:$1,0)+1),MATCH(N$1,[3]enemies!$1:$1,0)-MATCH($M$1,[3]enemies!$1:$1,0)+1,FALSE)</f>
        <v>#N/A</v>
      </c>
      <c r="O9" s="17" t="e">
        <f ca="1">VLOOKUP($M9,OFFSET([3]enemies!$A$1,0,0,COUNTA([3]enemies!$A:$A),MATCH(O$1,[3]enemies!$1:$1,0)-MATCH($M$1,[3]enemies!$1:$1,0)+1),MATCH(O$1,[3]enemies!$1:$1,0)-MATCH($M$1,[3]enemies!$1:$1,0)+1,FALSE)</f>
        <v>#N/A</v>
      </c>
      <c r="P9" s="17" t="e">
        <f ca="1">VLOOKUP($M9,OFFSET([4]characters!$A$1,0,0,COUNTA([4]characters!$A:$A),MATCH(P$1,[4]characters!$1:$1,0)-MATCH($M$1,[4]characters!$1:$1,0)+1),MATCH(P$1,[4]characters!$1:$1,0)-MATCH($M$1,[4]characters!$1:$1,0)+1,FALSE)</f>
        <v>#N/A</v>
      </c>
      <c r="Q9" s="17" t="e">
        <f ca="1">VLOOKUP($M9,OFFSET([3]enemies!$A$1,0,0,COUNTA([3]enemies!$A:$A),MATCH(Q$1,[3]enemies!$1:$1,0)-MATCH($M$1,[3]enemies!$1:$1,0)+1),MATCH(Q$1,[3]enemies!$1:$1,0)-MATCH($M$1,[3]enemies!$1:$1,0)+1,FALSE)</f>
        <v>#N/A</v>
      </c>
      <c r="R9" s="17" t="e">
        <f ca="1">VLOOKUP($M9,OFFSET([3]enemies!$A$1,0,0,COUNTA([3]enemies!$A:$A),MATCH(R$1,[3]enemies!$1:$1,0)-MATCH($M$1,[3]enemies!$1:$1,0)+1),MATCH(R$1,[3]enemies!$1:$1,0)-MATCH($M$1,[3]enemies!$1:$1,0)+1,FALSE)</f>
        <v>#N/A</v>
      </c>
      <c r="S9" s="5">
        <v>1</v>
      </c>
      <c r="T9" s="23">
        <v>0.1</v>
      </c>
      <c r="U9" s="23">
        <v>0.1</v>
      </c>
      <c r="V9" s="5">
        <v>0</v>
      </c>
      <c r="W9" s="4" t="e">
        <f ca="1">VLOOKUP($X9,OFFSET([5]enemy_skill_sets!$B$1,0,0,COUNTA([5]enemy_skill_sets!$B:$B),MATCH(N$1,[5]enemy_skill_sets!$1:$1,0)-MATCH($X$1,[5]enemy_skill_sets!$1:$1,0)+2),MATCH(N$1,[5]enemy_skill_sets!$1:$1,0)-MATCH($X$1,[5]enemy_skill_sets!$1:$1,0)+2,FALSE)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9" s="221">
        <v>49007003</v>
      </c>
      <c r="Y9" s="68">
        <v>1</v>
      </c>
    </row>
    <row r="10" spans="1:25" ht="21" customHeight="1" x14ac:dyDescent="0.15">
      <c r="A10" s="16" t="str">
        <f t="shared" si="3"/>
        <v>49007_2-2/8057&lt;lv80&gt;sq2st2</v>
      </c>
      <c r="B10" s="221">
        <v>49007</v>
      </c>
      <c r="C10" s="20">
        <v>2</v>
      </c>
      <c r="D10" s="2" t="str">
        <f t="shared" si="4"/>
        <v>49007_2</v>
      </c>
      <c r="E10" s="4" t="str">
        <f ca="1">VLOOKUP($B10,OFFSET([2]quests!$A$1,0,0,COUNTA([2]quests!$A:$A),MATCH(E$1,[2]quests!$1:$1,0)-MATCH($B$1,[2]quests!$1:$1,0)+1),MATCH(E$1,[2]quests!$1:$1,0)-MATCH($B$1,[2]quests!$1:$1,0)+1,FALSE)</f>
        <v>アザゼル（台）</v>
      </c>
      <c r="F10" s="4" t="str">
        <f ca="1">VLOOKUP($D10,OFFSET([2]stages!$A$1,0,0,COUNTA([2]stages!$A:$A),MATCH(F$1,[2]stages!$2:$2,0)-MATCH($D$1,[2]stages!$2:$2,0)+1),MATCH(F$1,[2]stages!$2:$2,0)-MATCH($D$1,[2]stages!$2:$2,0)+1,FALSE)</f>
        <v>【ｳｨｻﾞ】アザゼル（台）</v>
      </c>
      <c r="G10" s="20">
        <v>2</v>
      </c>
      <c r="H10" s="15" t="str">
        <f t="shared" si="5"/>
        <v>49007_2-2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6">
        <v>2</v>
      </c>
      <c r="L10" s="36">
        <v>2</v>
      </c>
      <c r="M10" s="216">
        <v>8057</v>
      </c>
      <c r="N10" s="17" t="e">
        <f ca="1">VLOOKUP($M10,OFFSET([3]enemies!$A$1,0,0,COUNTA([3]enemies!$A:$A),MATCH(N$1,[3]enemies!$1:$1,0)-MATCH($M$1,[3]enemies!$1:$1,0)+1),MATCH(N$1,[3]enemies!$1:$1,0)-MATCH($M$1,[3]enemies!$1:$1,0)+1,FALSE)</f>
        <v>#N/A</v>
      </c>
      <c r="O10" s="17" t="e">
        <f ca="1">VLOOKUP($M10,OFFSET([3]enemies!$A$1,0,0,COUNTA([3]enemies!$A:$A),MATCH(O$1,[3]enemies!$1:$1,0)-MATCH($M$1,[3]enemies!$1:$1,0)+1),MATCH(O$1,[3]enemies!$1:$1,0)-MATCH($M$1,[3]enemies!$1:$1,0)+1,FALSE)</f>
        <v>#N/A</v>
      </c>
      <c r="P10" s="17" t="e">
        <f ca="1">VLOOKUP($M10,OFFSET([4]characters!$A$1,0,0,COUNTA([4]characters!$A:$A),MATCH(P$1,[4]characters!$1:$1,0)-MATCH($M$1,[4]characters!$1:$1,0)+1),MATCH(P$1,[4]characters!$1:$1,0)-MATCH($M$1,[4]characters!$1:$1,0)+1,FALSE)</f>
        <v>#N/A</v>
      </c>
      <c r="Q10" s="17" t="e">
        <f ca="1">VLOOKUP($M10,OFFSET([3]enemies!$A$1,0,0,COUNTA([3]enemies!$A:$A),MATCH(Q$1,[3]enemies!$1:$1,0)-MATCH($M$1,[3]enemies!$1:$1,0)+1),MATCH(Q$1,[3]enemies!$1:$1,0)-MATCH($M$1,[3]enemies!$1:$1,0)+1,FALSE)</f>
        <v>#N/A</v>
      </c>
      <c r="R10" s="17" t="e">
        <f ca="1">VLOOKUP($M10,OFFSET([3]enemies!$A$1,0,0,COUNTA([3]enemies!$A:$A),MATCH(R$1,[3]enemies!$1:$1,0)-MATCH($M$1,[3]enemies!$1:$1,0)+1),MATCH(R$1,[3]enemies!$1:$1,0)-MATCH($M$1,[3]enemies!$1:$1,0)+1,FALSE)</f>
        <v>#N/A</v>
      </c>
      <c r="S10" s="5">
        <v>80</v>
      </c>
      <c r="T10" s="23">
        <v>2.2999999999999998</v>
      </c>
      <c r="U10" s="23">
        <v>1.2</v>
      </c>
      <c r="V10" s="5">
        <v>0</v>
      </c>
      <c r="W10" s="4" t="e">
        <f ca="1">VLOOKUP($X10,OFFSET([5]enemy_skill_sets!$B$1,0,0,COUNTA([5]enemy_skill_sets!$B:$B),MATCH(N$1,[5]enemy_skill_sets!$1:$1,0)-MATCH($X$1,[5]enemy_skill_sets!$1:$1,0)+2),MATCH(N$1,[5]enemy_skill_sets!$1:$1,0)-MATCH($X$1,[5]enemy_skill_sets!$1:$1,0)+2,FALSE)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0" s="105">
        <v>49007007</v>
      </c>
      <c r="Y10" s="68">
        <v>2</v>
      </c>
    </row>
    <row r="11" spans="1:25" ht="21" customHeight="1" x14ac:dyDescent="0.15">
      <c r="A11" s="16" t="str">
        <f t="shared" si="3"/>
        <v>49007_2-2/8059&lt;lv80&gt;sq3st2</v>
      </c>
      <c r="B11" s="221">
        <v>49007</v>
      </c>
      <c r="C11" s="20">
        <v>2</v>
      </c>
      <c r="D11" s="2" t="str">
        <f t="shared" si="4"/>
        <v>49007_2</v>
      </c>
      <c r="E11" s="4" t="str">
        <f ca="1">VLOOKUP($B11,OFFSET([2]quests!$A$1,0,0,COUNTA([2]quests!$A:$A),MATCH(E$1,[2]quests!$1:$1,0)-MATCH($B$1,[2]quests!$1:$1,0)+1),MATCH(E$1,[2]quests!$1:$1,0)-MATCH($B$1,[2]quests!$1:$1,0)+1,FALSE)</f>
        <v>アザゼル（台）</v>
      </c>
      <c r="F11" s="4" t="str">
        <f ca="1">VLOOKUP($D11,OFFSET([2]stages!$A$1,0,0,COUNTA([2]stages!$A:$A),MATCH(F$1,[2]stages!$2:$2,0)-MATCH($D$1,[2]stages!$2:$2,0)+1),MATCH(F$1,[2]stages!$2:$2,0)-MATCH($D$1,[2]stages!$2:$2,0)+1,FALSE)</f>
        <v>【ｳｨｻﾞ】アザゼル（台）</v>
      </c>
      <c r="G11" s="20">
        <v>2</v>
      </c>
      <c r="H11" s="15" t="str">
        <f t="shared" si="5"/>
        <v>49007_2-2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6">
        <v>3</v>
      </c>
      <c r="L11" s="36">
        <v>2</v>
      </c>
      <c r="M11" s="216">
        <v>8059</v>
      </c>
      <c r="N11" s="17" t="e">
        <f ca="1">VLOOKUP($M11,OFFSET([3]enemies!$A$1,0,0,COUNTA([3]enemies!$A:$A),MATCH(N$1,[3]enemies!$1:$1,0)-MATCH($M$1,[3]enemies!$1:$1,0)+1),MATCH(N$1,[3]enemies!$1:$1,0)-MATCH($M$1,[3]enemies!$1:$1,0)+1,FALSE)</f>
        <v>#N/A</v>
      </c>
      <c r="O11" s="17" t="e">
        <f ca="1">VLOOKUP($M11,OFFSET([3]enemies!$A$1,0,0,COUNTA([3]enemies!$A:$A),MATCH(O$1,[3]enemies!$1:$1,0)-MATCH($M$1,[3]enemies!$1:$1,0)+1),MATCH(O$1,[3]enemies!$1:$1,0)-MATCH($M$1,[3]enemies!$1:$1,0)+1,FALSE)</f>
        <v>#N/A</v>
      </c>
      <c r="P11" s="17" t="e">
        <f ca="1">VLOOKUP($M11,OFFSET([4]characters!$A$1,0,0,COUNTA([4]characters!$A:$A),MATCH(P$1,[4]characters!$1:$1,0)-MATCH($M$1,[4]characters!$1:$1,0)+1),MATCH(P$1,[4]characters!$1:$1,0)-MATCH($M$1,[4]characters!$1:$1,0)+1,FALSE)</f>
        <v>#N/A</v>
      </c>
      <c r="Q11" s="17" t="e">
        <f ca="1">VLOOKUP($M11,OFFSET([3]enemies!$A$1,0,0,COUNTA([3]enemies!$A:$A),MATCH(Q$1,[3]enemies!$1:$1,0)-MATCH($M$1,[3]enemies!$1:$1,0)+1),MATCH(Q$1,[3]enemies!$1:$1,0)-MATCH($M$1,[3]enemies!$1:$1,0)+1,FALSE)</f>
        <v>#N/A</v>
      </c>
      <c r="R11" s="17" t="e">
        <f ca="1">VLOOKUP($M11,OFFSET([3]enemies!$A$1,0,0,COUNTA([3]enemies!$A:$A),MATCH(R$1,[3]enemies!$1:$1,0)-MATCH($M$1,[3]enemies!$1:$1,0)+1),MATCH(R$1,[3]enemies!$1:$1,0)-MATCH($M$1,[3]enemies!$1:$1,0)+1,FALSE)</f>
        <v>#N/A</v>
      </c>
      <c r="S11" s="5">
        <v>80</v>
      </c>
      <c r="T11" s="23">
        <v>2.2999999999999998</v>
      </c>
      <c r="U11" s="23">
        <v>1.2</v>
      </c>
      <c r="V11" s="5">
        <v>0</v>
      </c>
      <c r="W11" s="4" t="e">
        <f ca="1">VLOOKUP($X11,OFFSET([5]enemy_skill_sets!$B$1,0,0,COUNTA([5]enemy_skill_sets!$B:$B),MATCH(N$1,[5]enemy_skill_sets!$1:$1,0)-MATCH($X$1,[5]enemy_skill_sets!$1:$1,0)+2),MATCH(N$1,[5]enemy_skill_sets!$1:$1,0)-MATCH($X$1,[5]enemy_skill_sets!$1:$1,0)+2,FALSE)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1" s="221">
        <v>49007006</v>
      </c>
      <c r="Y11" s="68">
        <v>1</v>
      </c>
    </row>
    <row r="12" spans="1:25" ht="21" customHeight="1" x14ac:dyDescent="0.15">
      <c r="A12" s="16" t="str">
        <f t="shared" si="3"/>
        <v>49007_2-3/8043&lt;lv80&gt;sq4st2</v>
      </c>
      <c r="B12" s="221">
        <v>49007</v>
      </c>
      <c r="C12" s="20">
        <v>2</v>
      </c>
      <c r="D12" s="2" t="str">
        <f t="shared" si="4"/>
        <v>49007_2</v>
      </c>
      <c r="E12" s="4" t="str">
        <f ca="1">VLOOKUP($B12,OFFSET([2]quests!$A$1,0,0,COUNTA([2]quests!$A:$A),MATCH(E$1,[2]quests!$1:$1,0)-MATCH($B$1,[2]quests!$1:$1,0)+1),MATCH(E$1,[2]quests!$1:$1,0)-MATCH($B$1,[2]quests!$1:$1,0)+1,FALSE)</f>
        <v>アザゼル（台）</v>
      </c>
      <c r="F12" s="4" t="str">
        <f ca="1">VLOOKUP($D12,OFFSET([2]stages!$A$1,0,0,COUNTA([2]stages!$A:$A),MATCH(F$1,[2]stages!$2:$2,0)-MATCH($D$1,[2]stages!$2:$2,0)+1),MATCH(F$1,[2]stages!$2:$2,0)-MATCH($D$1,[2]stages!$2:$2,0)+1,FALSE)</f>
        <v>【ｳｨｻﾞ】アザゼル（台）</v>
      </c>
      <c r="G12" s="20">
        <v>3</v>
      </c>
      <c r="H12" s="15" t="str">
        <f t="shared" si="5"/>
        <v>49007_2-3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6">
        <v>4</v>
      </c>
      <c r="L12" s="36">
        <v>2</v>
      </c>
      <c r="M12" s="216">
        <v>8043</v>
      </c>
      <c r="N12" s="17" t="e">
        <f ca="1">VLOOKUP($M12,OFFSET([3]enemies!$A$1,0,0,COUNTA([3]enemies!$A:$A),MATCH(N$1,[3]enemies!$1:$1,0)-MATCH($M$1,[3]enemies!$1:$1,0)+1),MATCH(N$1,[3]enemies!$1:$1,0)-MATCH($M$1,[3]enemies!$1:$1,0)+1,FALSE)</f>
        <v>#N/A</v>
      </c>
      <c r="O12" s="17" t="e">
        <f ca="1">VLOOKUP($M12,OFFSET([3]enemies!$A$1,0,0,COUNTA([3]enemies!$A:$A),MATCH(O$1,[3]enemies!$1:$1,0)-MATCH($M$1,[3]enemies!$1:$1,0)+1),MATCH(O$1,[3]enemies!$1:$1,0)-MATCH($M$1,[3]enemies!$1:$1,0)+1,FALSE)</f>
        <v>#N/A</v>
      </c>
      <c r="P12" s="17" t="e">
        <f ca="1">VLOOKUP($M12,OFFSET([4]characters!$A$1,0,0,COUNTA([4]characters!$A:$A),MATCH(P$1,[4]characters!$1:$1,0)-MATCH($M$1,[4]characters!$1:$1,0)+1),MATCH(P$1,[4]characters!$1:$1,0)-MATCH($M$1,[4]characters!$1:$1,0)+1,FALSE)</f>
        <v>#N/A</v>
      </c>
      <c r="Q12" s="17" t="e">
        <f ca="1">VLOOKUP($M12,OFFSET([3]enemies!$A$1,0,0,COUNTA([3]enemies!$A:$A),MATCH(Q$1,[3]enemies!$1:$1,0)-MATCH($M$1,[3]enemies!$1:$1,0)+1),MATCH(Q$1,[3]enemies!$1:$1,0)-MATCH($M$1,[3]enemies!$1:$1,0)+1,FALSE)</f>
        <v>#N/A</v>
      </c>
      <c r="R12" s="17" t="e">
        <f ca="1">VLOOKUP($M12,OFFSET([3]enemies!$A$1,0,0,COUNTA([3]enemies!$A:$A),MATCH(R$1,[3]enemies!$1:$1,0)-MATCH($M$1,[3]enemies!$1:$1,0)+1),MATCH(R$1,[3]enemies!$1:$1,0)-MATCH($M$1,[3]enemies!$1:$1,0)+1,FALSE)</f>
        <v>#N/A</v>
      </c>
      <c r="S12" s="5">
        <v>80</v>
      </c>
      <c r="T12" s="23">
        <v>3</v>
      </c>
      <c r="U12" s="23">
        <v>1.8</v>
      </c>
      <c r="V12" s="5">
        <v>0</v>
      </c>
      <c r="W12" s="4" t="e">
        <f ca="1">VLOOKUP($X12,OFFSET([5]enemy_skill_sets!$B$1,0,0,COUNTA([5]enemy_skill_sets!$B:$B),MATCH(N$1,[5]enemy_skill_sets!$1:$1,0)-MATCH($X$1,[5]enemy_skill_sets!$1:$1,0)+2),MATCH(N$1,[5]enemy_skill_sets!$1:$1,0)-MATCH($X$1,[5]enemy_skill_sets!$1:$1,0)+2,FALSE)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2" s="105">
        <v>49007009</v>
      </c>
      <c r="Y12" s="68">
        <v>2</v>
      </c>
    </row>
    <row r="13" spans="1:25" ht="21" customHeight="1" thickBot="1" x14ac:dyDescent="0.2">
      <c r="A13" s="16" t="str">
        <f t="shared" si="3"/>
        <v>49007_2-3/8044&lt;lv80&gt;sq4st3</v>
      </c>
      <c r="B13" s="222">
        <v>49007</v>
      </c>
      <c r="C13" s="112">
        <v>2</v>
      </c>
      <c r="D13" s="114" t="str">
        <f t="shared" si="4"/>
        <v>49007_2</v>
      </c>
      <c r="E13" s="139" t="str">
        <f ca="1">VLOOKUP($B13,OFFSET([2]quests!$A$1,0,0,COUNTA([2]quests!$A:$A),MATCH(E$1,[2]quests!$1:$1,0)-MATCH($B$1,[2]quests!$1:$1,0)+1),MATCH(E$1,[2]quests!$1:$1,0)-MATCH($B$1,[2]quests!$1:$1,0)+1,FALSE)</f>
        <v>アザゼル（台）</v>
      </c>
      <c r="F13" s="139" t="str">
        <f ca="1">VLOOKUP($D13,OFFSET([2]stages!$A$1,0,0,COUNTA([2]stages!$A:$A),MATCH(F$1,[2]stages!$2:$2,0)-MATCH($D$1,[2]stages!$2:$2,0)+1),MATCH(F$1,[2]stages!$2:$2,0)-MATCH($D$1,[2]stages!$2:$2,0)+1,FALSE)</f>
        <v>【ｳｨｻﾞ】アザゼル（台）</v>
      </c>
      <c r="G13" s="112">
        <v>3</v>
      </c>
      <c r="H13" s="114" t="str">
        <f t="shared" si="5"/>
        <v>49007_2-3</v>
      </c>
      <c r="I13" s="139">
        <f ca="1">VLOOKUP($H13,OFFSET(floors!$A$1,0,0,COUNTA(floors!$A:$A),MATCH(I$1,floors!$1:$1,0)-MATCH($H$1,floors!$1:$1,0)+1),MATCH(I$1,floors!$1:$1,0)-MATCH($H$1,floors!$1:$1,0)+1,FALSE)</f>
        <v>60</v>
      </c>
      <c r="J13" s="139">
        <f ca="1">VLOOKUP($H13,OFFSET(floors!$A$1,0,0,COUNTA(floors!$A:$A),MATCH(J$1,floors!$1:$1,0)-MATCH($H$1,floors!$1:$1,0)+1),MATCH(J$1,floors!$1:$1,0)-MATCH($H$1,floors!$1:$1,0)+1,FALSE)</f>
        <v>60</v>
      </c>
      <c r="K13" s="115">
        <v>4</v>
      </c>
      <c r="L13" s="115">
        <v>3</v>
      </c>
      <c r="M13" s="217">
        <v>8044</v>
      </c>
      <c r="N13" s="140" t="e">
        <f ca="1">VLOOKUP($M13,OFFSET([3]enemies!$A$1,0,0,COUNTA([3]enemies!$A:$A),MATCH(N$1,[3]enemies!$1:$1,0)-MATCH($M$1,[3]enemies!$1:$1,0)+1),MATCH(N$1,[3]enemies!$1:$1,0)-MATCH($M$1,[3]enemies!$1:$1,0)+1,FALSE)</f>
        <v>#N/A</v>
      </c>
      <c r="O13" s="140" t="e">
        <f ca="1">VLOOKUP($M13,OFFSET([3]enemies!$A$1,0,0,COUNTA([3]enemies!$A:$A),MATCH(O$1,[3]enemies!$1:$1,0)-MATCH($M$1,[3]enemies!$1:$1,0)+1),MATCH(O$1,[3]enemies!$1:$1,0)-MATCH($M$1,[3]enemies!$1:$1,0)+1,FALSE)</f>
        <v>#N/A</v>
      </c>
      <c r="P13" s="140" t="e">
        <f ca="1">VLOOKUP($M13,OFFSET([4]characters!$A$1,0,0,COUNTA([4]characters!$A:$A),MATCH(P$1,[4]characters!$1:$1,0)-MATCH($M$1,[4]characters!$1:$1,0)+1),MATCH(P$1,[4]characters!$1:$1,0)-MATCH($M$1,[4]characters!$1:$1,0)+1,FALSE)</f>
        <v>#N/A</v>
      </c>
      <c r="Q13" s="140" t="e">
        <f ca="1">VLOOKUP($M13,OFFSET([3]enemies!$A$1,0,0,COUNTA([3]enemies!$A:$A),MATCH(Q$1,[3]enemies!$1:$1,0)-MATCH($M$1,[3]enemies!$1:$1,0)+1),MATCH(Q$1,[3]enemies!$1:$1,0)-MATCH($M$1,[3]enemies!$1:$1,0)+1,FALSE)</f>
        <v>#N/A</v>
      </c>
      <c r="R13" s="140" t="e">
        <f ca="1">VLOOKUP($M13,OFFSET([3]enemies!$A$1,0,0,COUNTA([3]enemies!$A:$A),MATCH(R$1,[3]enemies!$1:$1,0)-MATCH($M$1,[3]enemies!$1:$1,0)+1),MATCH(R$1,[3]enemies!$1:$1,0)-MATCH($M$1,[3]enemies!$1:$1,0)+1,FALSE)</f>
        <v>#N/A</v>
      </c>
      <c r="S13" s="141">
        <v>80</v>
      </c>
      <c r="T13" s="142">
        <v>3</v>
      </c>
      <c r="U13" s="142">
        <v>1.8</v>
      </c>
      <c r="V13" s="141">
        <v>0</v>
      </c>
      <c r="W13" s="139" t="e">
        <f ca="1">VLOOKUP($X13,OFFSET([5]enemy_skill_sets!$B$1,0,0,COUNTA([5]enemy_skill_sets!$B:$B),MATCH(N$1,[5]enemy_skill_sets!$1:$1,0)-MATCH($X$1,[5]enemy_skill_sets!$1:$1,0)+2),MATCH(N$1,[5]enemy_skill_sets!$1:$1,0)-MATCH($X$1,[5]enemy_skill_sets!$1:$1,0)+2,FALSE)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3" s="225">
        <v>49007010</v>
      </c>
      <c r="Y13" s="168">
        <v>1</v>
      </c>
    </row>
    <row r="14" spans="1:25" s="155" customFormat="1" ht="21" customHeight="1" x14ac:dyDescent="0.15">
      <c r="A14" s="116" t="str">
        <f>B14&amp;"_"&amp;C14&amp;"-"&amp;G14&amp;"/"&amp;M14&amp;"&lt;lv"&amp;S14&amp;"&gt;sq"&amp;K14&amp;"st"&amp;L14</f>
        <v>49007_3-1/8063&lt;lv80&gt;sq9st2</v>
      </c>
      <c r="B14" s="218">
        <v>49007</v>
      </c>
      <c r="C14" s="120">
        <v>3</v>
      </c>
      <c r="D14" s="122" t="str">
        <f>B14&amp;"_"&amp;C14</f>
        <v>49007_3</v>
      </c>
      <c r="E14" s="147" t="str">
        <f ca="1">VLOOKUP($B14,OFFSET([2]quests!$A$1,0,0,COUNTA([2]quests!$A:$A),MATCH(E$1,[2]quests!$1:$1,0)-MATCH($B$1,[2]quests!$1:$1,0)+1),MATCH(E$1,[2]quests!$1:$1,0)-MATCH($B$1,[2]quests!$1:$1,0)+1,FALSE)</f>
        <v>アザゼル（台）</v>
      </c>
      <c r="F14" s="147" t="str">
        <f ca="1">VLOOKUP($D14,OFFSET([2]stages!$A$1,0,0,COUNTA([2]stages!$A:$A),MATCH(F$1,[2]stages!$2:$2,0)-MATCH($D$1,[2]stages!$2:$2,0)+1),MATCH(F$1,[2]stages!$2:$2,0)-MATCH($D$1,[2]stages!$2:$2,0)+1,FALSE)</f>
        <v>【ﾉｰｺﾝ】アザゼル（台）</v>
      </c>
      <c r="G14" s="120">
        <v>1</v>
      </c>
      <c r="H14" s="122" t="str">
        <f>B14&amp;"_"&amp;C14&amp;"-"&amp;G14</f>
        <v>49007_3-1</v>
      </c>
      <c r="I14" s="147">
        <f ca="1">VLOOKUP($H14,OFFSET(floors!$A$1,0,0,COUNTA(floors!$A:$A),MATCH(I$1,floors!$1:$1,0)-MATCH($H$1,floors!$1:$1,0)+1),MATCH(I$1,floors!$1:$1,0)-MATCH($H$1,floors!$1:$1,0)+1,FALSE)</f>
        <v>60</v>
      </c>
      <c r="J14" s="147">
        <f ca="1">VLOOKUP($H14,OFFSET(floors!$A$1,0,0,COUNTA(floors!$A:$A),MATCH(J$1,floors!$1:$1,0)-MATCH($H$1,floors!$1:$1,0)+1),MATCH(J$1,floors!$1:$1,0)-MATCH($H$1,floors!$1:$1,0)+1,FALSE)</f>
        <v>60</v>
      </c>
      <c r="K14" s="123">
        <v>9</v>
      </c>
      <c r="L14" s="123">
        <v>2</v>
      </c>
      <c r="M14" s="213">
        <v>8063</v>
      </c>
      <c r="N14" s="148" t="e">
        <f ca="1">VLOOKUP($M14,OFFSET([3]enemies!$A$1,0,0,COUNTA([3]enemies!$A:$A),MATCH(N$1,[3]enemies!$1:$1,0)-MATCH($M$1,[3]enemies!$1:$1,0)+1),MATCH(N$1,[3]enemies!$1:$1,0)-MATCH($M$1,[3]enemies!$1:$1,0)+1,FALSE)</f>
        <v>#N/A</v>
      </c>
      <c r="O14" s="148" t="e">
        <f ca="1">VLOOKUP($M14,OFFSET([3]enemies!$A$1,0,0,COUNTA([3]enemies!$A:$A),MATCH(O$1,[3]enemies!$1:$1,0)-MATCH($M$1,[3]enemies!$1:$1,0)+1),MATCH(O$1,[3]enemies!$1:$1,0)-MATCH($M$1,[3]enemies!$1:$1,0)+1,FALSE)</f>
        <v>#N/A</v>
      </c>
      <c r="P14" s="148" t="e">
        <f ca="1">VLOOKUP($M14,OFFSET([4]characters!$A$1,0,0,COUNTA([4]characters!$A:$A),MATCH(P$1,[4]characters!$1:$1,0)-MATCH($M$1,[4]characters!$1:$1,0)+1),MATCH(P$1,[4]characters!$1:$1,0)-MATCH($M$1,[4]characters!$1:$1,0)+1,FALSE)</f>
        <v>#N/A</v>
      </c>
      <c r="Q14" s="148" t="e">
        <f ca="1">VLOOKUP($M14,OFFSET([3]enemies!$A$1,0,0,COUNTA([3]enemies!$A:$A),MATCH(Q$1,[3]enemies!$1:$1,0)-MATCH($M$1,[3]enemies!$1:$1,0)+1),MATCH(Q$1,[3]enemies!$1:$1,0)-MATCH($M$1,[3]enemies!$1:$1,0)+1,FALSE)</f>
        <v>#N/A</v>
      </c>
      <c r="R14" s="148" t="e">
        <f ca="1">VLOOKUP($M14,OFFSET([3]enemies!$A$1,0,0,COUNTA([3]enemies!$A:$A),MATCH(R$1,[3]enemies!$1:$1,0)-MATCH($M$1,[3]enemies!$1:$1,0)+1),MATCH(R$1,[3]enemies!$1:$1,0)-MATCH($M$1,[3]enemies!$1:$1,0)+1,FALSE)</f>
        <v>#N/A</v>
      </c>
      <c r="S14" s="149">
        <v>80</v>
      </c>
      <c r="T14" s="150">
        <v>2.2999999999999998</v>
      </c>
      <c r="U14" s="150">
        <v>0.7</v>
      </c>
      <c r="V14" s="149">
        <v>0</v>
      </c>
      <c r="W14" s="147" t="e">
        <f ca="1">VLOOKUP($X14,OFFSET([5]enemy_skill_sets!$B$1,0,0,COUNTA([5]enemy_skill_sets!$B:$B),MATCH(N$1,[5]enemy_skill_sets!$1:$1,0)-MATCH($X$1,[5]enemy_skill_sets!$1:$1,0)+2),MATCH(N$1,[5]enemy_skill_sets!$1:$1,0)-MATCH($X$1,[5]enemy_skill_sets!$1:$1,0)+2,FALSE)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4" s="218">
        <v>49007002</v>
      </c>
      <c r="Y14" s="169">
        <v>2</v>
      </c>
    </row>
    <row r="15" spans="1:25" s="157" customFormat="1" ht="21" customHeight="1" x14ac:dyDescent="0.15">
      <c r="A15" s="125" t="str">
        <f t="shared" ref="A15:A19" si="6">B15&amp;"_"&amp;C15&amp;"-"&amp;G15&amp;"/"&amp;M15&amp;"&lt;lv"&amp;S15&amp;"&gt;sq"&amp;K15&amp;"st"&amp;L15</f>
        <v>49007_3-1/8064&lt;lv1&gt;sq9st3</v>
      </c>
      <c r="B15" s="221">
        <v>49007</v>
      </c>
      <c r="C15" s="128">
        <v>3</v>
      </c>
      <c r="D15" s="15" t="str">
        <f t="shared" ref="D15:D19" si="7">B15&amp;"_"&amp;C15</f>
        <v>49007_3</v>
      </c>
      <c r="E15" s="4" t="str">
        <f ca="1">VLOOKUP($B15,OFFSET([2]quests!$A$1,0,0,COUNTA([2]quests!$A:$A),MATCH(E$1,[2]quests!$1:$1,0)-MATCH($B$1,[2]quests!$1:$1,0)+1),MATCH(E$1,[2]quests!$1:$1,0)-MATCH($B$1,[2]quests!$1:$1,0)+1,FALSE)</f>
        <v>アザゼル（台）</v>
      </c>
      <c r="F15" s="4" t="str">
        <f ca="1">VLOOKUP($D15,OFFSET([2]stages!$A$1,0,0,COUNTA([2]stages!$A:$A),MATCH(F$1,[2]stages!$2:$2,0)-MATCH($D$1,[2]stages!$2:$2,0)+1),MATCH(F$1,[2]stages!$2:$2,0)-MATCH($D$1,[2]stages!$2:$2,0)+1,FALSE)</f>
        <v>【ﾉｰｺﾝ】アザゼル（台）</v>
      </c>
      <c r="G15" s="128">
        <v>1</v>
      </c>
      <c r="H15" s="15" t="str">
        <f t="shared" ref="H15:H19" si="8">B15&amp;"_"&amp;C15&amp;"-"&amp;G15</f>
        <v>49007_3-1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6">
        <v>9</v>
      </c>
      <c r="L15" s="36">
        <v>3</v>
      </c>
      <c r="M15" s="214">
        <v>8064</v>
      </c>
      <c r="N15" s="17" t="e">
        <f ca="1">VLOOKUP($M15,OFFSET([3]enemies!$A$1,0,0,COUNTA([3]enemies!$A:$A),MATCH(N$1,[3]enemies!$1:$1,0)-MATCH($M$1,[3]enemies!$1:$1,0)+1),MATCH(N$1,[3]enemies!$1:$1,0)-MATCH($M$1,[3]enemies!$1:$1,0)+1,FALSE)</f>
        <v>#N/A</v>
      </c>
      <c r="O15" s="17" t="e">
        <f ca="1">VLOOKUP($M15,OFFSET([3]enemies!$A$1,0,0,COUNTA([3]enemies!$A:$A),MATCH(O$1,[3]enemies!$1:$1,0)-MATCH($M$1,[3]enemies!$1:$1,0)+1),MATCH(O$1,[3]enemies!$1:$1,0)-MATCH($M$1,[3]enemies!$1:$1,0)+1,FALSE)</f>
        <v>#N/A</v>
      </c>
      <c r="P15" s="17" t="e">
        <f ca="1">VLOOKUP($M15,OFFSET([4]characters!$A$1,0,0,COUNTA([4]characters!$A:$A),MATCH(P$1,[4]characters!$1:$1,0)-MATCH($M$1,[4]characters!$1:$1,0)+1),MATCH(P$1,[4]characters!$1:$1,0)-MATCH($M$1,[4]characters!$1:$1,0)+1,FALSE)</f>
        <v>#N/A</v>
      </c>
      <c r="Q15" s="17" t="e">
        <f ca="1">VLOOKUP($M15,OFFSET([3]enemies!$A$1,0,0,COUNTA([3]enemies!$A:$A),MATCH(Q$1,[3]enemies!$1:$1,0)-MATCH($M$1,[3]enemies!$1:$1,0)+1),MATCH(Q$1,[3]enemies!$1:$1,0)-MATCH($M$1,[3]enemies!$1:$1,0)+1,FALSE)</f>
        <v>#N/A</v>
      </c>
      <c r="R15" s="17" t="e">
        <f ca="1">VLOOKUP($M15,OFFSET([3]enemies!$A$1,0,0,COUNTA([3]enemies!$A:$A),MATCH(R$1,[3]enemies!$1:$1,0)-MATCH($M$1,[3]enemies!$1:$1,0)+1),MATCH(R$1,[3]enemies!$1:$1,0)-MATCH($M$1,[3]enemies!$1:$1,0)+1,FALSE)</f>
        <v>#N/A</v>
      </c>
      <c r="S15" s="5">
        <v>1</v>
      </c>
      <c r="T15" s="23">
        <v>0.1</v>
      </c>
      <c r="U15" s="23">
        <v>0.1</v>
      </c>
      <c r="V15" s="5">
        <v>0</v>
      </c>
      <c r="W15" s="4" t="e">
        <f ca="1">VLOOKUP($X15,OFFSET([5]enemy_skill_sets!$B$1,0,0,COUNTA([5]enemy_skill_sets!$B:$B),MATCH(N$1,[5]enemy_skill_sets!$1:$1,0)-MATCH($X$1,[5]enemy_skill_sets!$1:$1,0)+2),MATCH(N$1,[5]enemy_skill_sets!$1:$1,0)-MATCH($X$1,[5]enemy_skill_sets!$1:$1,0)+2,FALSE)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5" s="221">
        <v>49007003</v>
      </c>
      <c r="Y15" s="68">
        <v>1</v>
      </c>
    </row>
    <row r="16" spans="1:25" s="157" customFormat="1" ht="21" customHeight="1" x14ac:dyDescent="0.15">
      <c r="A16" s="125" t="str">
        <f t="shared" si="6"/>
        <v>49007_3-2/8057&lt;lv80&gt;sq10st2</v>
      </c>
      <c r="B16" s="221">
        <v>49007</v>
      </c>
      <c r="C16" s="128">
        <v>3</v>
      </c>
      <c r="D16" s="15" t="str">
        <f t="shared" si="7"/>
        <v>49007_3</v>
      </c>
      <c r="E16" s="4" t="str">
        <f ca="1">VLOOKUP($B16,OFFSET([2]quests!$A$1,0,0,COUNTA([2]quests!$A:$A),MATCH(E$1,[2]quests!$1:$1,0)-MATCH($B$1,[2]quests!$1:$1,0)+1),MATCH(E$1,[2]quests!$1:$1,0)-MATCH($B$1,[2]quests!$1:$1,0)+1,FALSE)</f>
        <v>アザゼル（台）</v>
      </c>
      <c r="F16" s="4" t="str">
        <f ca="1">VLOOKUP($D16,OFFSET([2]stages!$A$1,0,0,COUNTA([2]stages!$A:$A),MATCH(F$1,[2]stages!$2:$2,0)-MATCH($D$1,[2]stages!$2:$2,0)+1),MATCH(F$1,[2]stages!$2:$2,0)-MATCH($D$1,[2]stages!$2:$2,0)+1,FALSE)</f>
        <v>【ﾉｰｺﾝ】アザゼル（台）</v>
      </c>
      <c r="G16" s="128">
        <v>2</v>
      </c>
      <c r="H16" s="15" t="str">
        <f t="shared" si="8"/>
        <v>49007_3-2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6">
        <v>10</v>
      </c>
      <c r="L16" s="36">
        <v>2</v>
      </c>
      <c r="M16" s="214">
        <v>8057</v>
      </c>
      <c r="N16" s="17" t="e">
        <f ca="1">VLOOKUP($M16,OFFSET([3]enemies!$A$1,0,0,COUNTA([3]enemies!$A:$A),MATCH(N$1,[3]enemies!$1:$1,0)-MATCH($M$1,[3]enemies!$1:$1,0)+1),MATCH(N$1,[3]enemies!$1:$1,0)-MATCH($M$1,[3]enemies!$1:$1,0)+1,FALSE)</f>
        <v>#N/A</v>
      </c>
      <c r="O16" s="17" t="e">
        <f ca="1">VLOOKUP($M16,OFFSET([3]enemies!$A$1,0,0,COUNTA([3]enemies!$A:$A),MATCH(O$1,[3]enemies!$1:$1,0)-MATCH($M$1,[3]enemies!$1:$1,0)+1),MATCH(O$1,[3]enemies!$1:$1,0)-MATCH($M$1,[3]enemies!$1:$1,0)+1,FALSE)</f>
        <v>#N/A</v>
      </c>
      <c r="P16" s="17" t="e">
        <f ca="1">VLOOKUP($M16,OFFSET([4]characters!$A$1,0,0,COUNTA([4]characters!$A:$A),MATCH(P$1,[4]characters!$1:$1,0)-MATCH($M$1,[4]characters!$1:$1,0)+1),MATCH(P$1,[4]characters!$1:$1,0)-MATCH($M$1,[4]characters!$1:$1,0)+1,FALSE)</f>
        <v>#N/A</v>
      </c>
      <c r="Q16" s="17" t="e">
        <f ca="1">VLOOKUP($M16,OFFSET([3]enemies!$A$1,0,0,COUNTA([3]enemies!$A:$A),MATCH(Q$1,[3]enemies!$1:$1,0)-MATCH($M$1,[3]enemies!$1:$1,0)+1),MATCH(Q$1,[3]enemies!$1:$1,0)-MATCH($M$1,[3]enemies!$1:$1,0)+1,FALSE)</f>
        <v>#N/A</v>
      </c>
      <c r="R16" s="17" t="e">
        <f ca="1">VLOOKUP($M16,OFFSET([3]enemies!$A$1,0,0,COUNTA([3]enemies!$A:$A),MATCH(R$1,[3]enemies!$1:$1,0)-MATCH($M$1,[3]enemies!$1:$1,0)+1),MATCH(R$1,[3]enemies!$1:$1,0)-MATCH($M$1,[3]enemies!$1:$1,0)+1,FALSE)</f>
        <v>#N/A</v>
      </c>
      <c r="S16" s="5">
        <v>80</v>
      </c>
      <c r="T16" s="23">
        <v>2.2999999999999998</v>
      </c>
      <c r="U16" s="23">
        <v>1.2</v>
      </c>
      <c r="V16" s="5">
        <v>0</v>
      </c>
      <c r="W16" s="4" t="e">
        <f ca="1">VLOOKUP($X16,OFFSET([5]enemy_skill_sets!$B$1,0,0,COUNTA([5]enemy_skill_sets!$B:$B),MATCH(N$1,[5]enemy_skill_sets!$1:$1,0)-MATCH($X$1,[5]enemy_skill_sets!$1:$1,0)+2),MATCH(N$1,[5]enemy_skill_sets!$1:$1,0)-MATCH($X$1,[5]enemy_skill_sets!$1:$1,0)+2,FALSE)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6" s="105">
        <v>49007007</v>
      </c>
      <c r="Y16" s="68">
        <v>2</v>
      </c>
    </row>
    <row r="17" spans="1:25" s="157" customFormat="1" ht="21" customHeight="1" x14ac:dyDescent="0.15">
      <c r="A17" s="125" t="str">
        <f t="shared" si="6"/>
        <v>49007_3-2/8059&lt;lv80&gt;sq11st2</v>
      </c>
      <c r="B17" s="221">
        <v>49007</v>
      </c>
      <c r="C17" s="128">
        <v>3</v>
      </c>
      <c r="D17" s="15" t="str">
        <f t="shared" si="7"/>
        <v>49007_3</v>
      </c>
      <c r="E17" s="4" t="str">
        <f ca="1">VLOOKUP($B17,OFFSET([2]quests!$A$1,0,0,COUNTA([2]quests!$A:$A),MATCH(E$1,[2]quests!$1:$1,0)-MATCH($B$1,[2]quests!$1:$1,0)+1),MATCH(E$1,[2]quests!$1:$1,0)-MATCH($B$1,[2]quests!$1:$1,0)+1,FALSE)</f>
        <v>アザゼル（台）</v>
      </c>
      <c r="F17" s="4" t="str">
        <f ca="1">VLOOKUP($D17,OFFSET([2]stages!$A$1,0,0,COUNTA([2]stages!$A:$A),MATCH(F$1,[2]stages!$2:$2,0)-MATCH($D$1,[2]stages!$2:$2,0)+1),MATCH(F$1,[2]stages!$2:$2,0)-MATCH($D$1,[2]stages!$2:$2,0)+1,FALSE)</f>
        <v>【ﾉｰｺﾝ】アザゼル（台）</v>
      </c>
      <c r="G17" s="128">
        <v>2</v>
      </c>
      <c r="H17" s="15" t="str">
        <f t="shared" si="8"/>
        <v>49007_3-2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6">
        <v>11</v>
      </c>
      <c r="L17" s="36">
        <v>2</v>
      </c>
      <c r="M17" s="214">
        <v>8059</v>
      </c>
      <c r="N17" s="17" t="e">
        <f ca="1">VLOOKUP($M17,OFFSET([3]enemies!$A$1,0,0,COUNTA([3]enemies!$A:$A),MATCH(N$1,[3]enemies!$1:$1,0)-MATCH($M$1,[3]enemies!$1:$1,0)+1),MATCH(N$1,[3]enemies!$1:$1,0)-MATCH($M$1,[3]enemies!$1:$1,0)+1,FALSE)</f>
        <v>#N/A</v>
      </c>
      <c r="O17" s="17" t="e">
        <f ca="1">VLOOKUP($M17,OFFSET([3]enemies!$A$1,0,0,COUNTA([3]enemies!$A:$A),MATCH(O$1,[3]enemies!$1:$1,0)-MATCH($M$1,[3]enemies!$1:$1,0)+1),MATCH(O$1,[3]enemies!$1:$1,0)-MATCH($M$1,[3]enemies!$1:$1,0)+1,FALSE)</f>
        <v>#N/A</v>
      </c>
      <c r="P17" s="17" t="e">
        <f ca="1">VLOOKUP($M17,OFFSET([4]characters!$A$1,0,0,COUNTA([4]characters!$A:$A),MATCH(P$1,[4]characters!$1:$1,0)-MATCH($M$1,[4]characters!$1:$1,0)+1),MATCH(P$1,[4]characters!$1:$1,0)-MATCH($M$1,[4]characters!$1:$1,0)+1,FALSE)</f>
        <v>#N/A</v>
      </c>
      <c r="Q17" s="17" t="e">
        <f ca="1">VLOOKUP($M17,OFFSET([3]enemies!$A$1,0,0,COUNTA([3]enemies!$A:$A),MATCH(Q$1,[3]enemies!$1:$1,0)-MATCH($M$1,[3]enemies!$1:$1,0)+1),MATCH(Q$1,[3]enemies!$1:$1,0)-MATCH($M$1,[3]enemies!$1:$1,0)+1,FALSE)</f>
        <v>#N/A</v>
      </c>
      <c r="R17" s="17" t="e">
        <f ca="1">VLOOKUP($M17,OFFSET([3]enemies!$A$1,0,0,COUNTA([3]enemies!$A:$A),MATCH(R$1,[3]enemies!$1:$1,0)-MATCH($M$1,[3]enemies!$1:$1,0)+1),MATCH(R$1,[3]enemies!$1:$1,0)-MATCH($M$1,[3]enemies!$1:$1,0)+1,FALSE)</f>
        <v>#N/A</v>
      </c>
      <c r="S17" s="5">
        <v>80</v>
      </c>
      <c r="T17" s="23">
        <v>2.2999999999999998</v>
      </c>
      <c r="U17" s="23">
        <v>1.2</v>
      </c>
      <c r="V17" s="5">
        <v>0</v>
      </c>
      <c r="W17" s="4" t="e">
        <f ca="1">VLOOKUP($X17,OFFSET([5]enemy_skill_sets!$B$1,0,0,COUNTA([5]enemy_skill_sets!$B:$B),MATCH(N$1,[5]enemy_skill_sets!$1:$1,0)-MATCH($X$1,[5]enemy_skill_sets!$1:$1,0)+2),MATCH(N$1,[5]enemy_skill_sets!$1:$1,0)-MATCH($X$1,[5]enemy_skill_sets!$1:$1,0)+2,FALSE)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7" s="221">
        <v>49007006</v>
      </c>
      <c r="Y17" s="68">
        <v>1</v>
      </c>
    </row>
    <row r="18" spans="1:25" s="157" customFormat="1" ht="21" customHeight="1" x14ac:dyDescent="0.15">
      <c r="A18" s="125" t="str">
        <f t="shared" si="6"/>
        <v>49007_3-3/8043&lt;lv80&gt;sq12st2</v>
      </c>
      <c r="B18" s="221">
        <v>49007</v>
      </c>
      <c r="C18" s="128">
        <v>3</v>
      </c>
      <c r="D18" s="15" t="str">
        <f t="shared" si="7"/>
        <v>49007_3</v>
      </c>
      <c r="E18" s="4" t="str">
        <f ca="1">VLOOKUP($B18,OFFSET([2]quests!$A$1,0,0,COUNTA([2]quests!$A:$A),MATCH(E$1,[2]quests!$1:$1,0)-MATCH($B$1,[2]quests!$1:$1,0)+1),MATCH(E$1,[2]quests!$1:$1,0)-MATCH($B$1,[2]quests!$1:$1,0)+1,FALSE)</f>
        <v>アザゼル（台）</v>
      </c>
      <c r="F18" s="4" t="str">
        <f ca="1">VLOOKUP($D18,OFFSET([2]stages!$A$1,0,0,COUNTA([2]stages!$A:$A),MATCH(F$1,[2]stages!$2:$2,0)-MATCH($D$1,[2]stages!$2:$2,0)+1),MATCH(F$1,[2]stages!$2:$2,0)-MATCH($D$1,[2]stages!$2:$2,0)+1,FALSE)</f>
        <v>【ﾉｰｺﾝ】アザゼル（台）</v>
      </c>
      <c r="G18" s="128">
        <v>3</v>
      </c>
      <c r="H18" s="15" t="str">
        <f t="shared" si="8"/>
        <v>49007_3-3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6">
        <v>12</v>
      </c>
      <c r="L18" s="36">
        <v>2</v>
      </c>
      <c r="M18" s="214">
        <v>8043</v>
      </c>
      <c r="N18" s="17" t="e">
        <f ca="1">VLOOKUP($M18,OFFSET([3]enemies!$A$1,0,0,COUNTA([3]enemies!$A:$A),MATCH(N$1,[3]enemies!$1:$1,0)-MATCH($M$1,[3]enemies!$1:$1,0)+1),MATCH(N$1,[3]enemies!$1:$1,0)-MATCH($M$1,[3]enemies!$1:$1,0)+1,FALSE)</f>
        <v>#N/A</v>
      </c>
      <c r="O18" s="17" t="e">
        <f ca="1">VLOOKUP($M18,OFFSET([3]enemies!$A$1,0,0,COUNTA([3]enemies!$A:$A),MATCH(O$1,[3]enemies!$1:$1,0)-MATCH($M$1,[3]enemies!$1:$1,0)+1),MATCH(O$1,[3]enemies!$1:$1,0)-MATCH($M$1,[3]enemies!$1:$1,0)+1,FALSE)</f>
        <v>#N/A</v>
      </c>
      <c r="P18" s="17" t="e">
        <f ca="1">VLOOKUP($M18,OFFSET([4]characters!$A$1,0,0,COUNTA([4]characters!$A:$A),MATCH(P$1,[4]characters!$1:$1,0)-MATCH($M$1,[4]characters!$1:$1,0)+1),MATCH(P$1,[4]characters!$1:$1,0)-MATCH($M$1,[4]characters!$1:$1,0)+1,FALSE)</f>
        <v>#N/A</v>
      </c>
      <c r="Q18" s="17" t="e">
        <f ca="1">VLOOKUP($M18,OFFSET([3]enemies!$A$1,0,0,COUNTA([3]enemies!$A:$A),MATCH(Q$1,[3]enemies!$1:$1,0)-MATCH($M$1,[3]enemies!$1:$1,0)+1),MATCH(Q$1,[3]enemies!$1:$1,0)-MATCH($M$1,[3]enemies!$1:$1,0)+1,FALSE)</f>
        <v>#N/A</v>
      </c>
      <c r="R18" s="17" t="e">
        <f ca="1">VLOOKUP($M18,OFFSET([3]enemies!$A$1,0,0,COUNTA([3]enemies!$A:$A),MATCH(R$1,[3]enemies!$1:$1,0)-MATCH($M$1,[3]enemies!$1:$1,0)+1),MATCH(R$1,[3]enemies!$1:$1,0)-MATCH($M$1,[3]enemies!$1:$1,0)+1,FALSE)</f>
        <v>#N/A</v>
      </c>
      <c r="S18" s="5">
        <v>80</v>
      </c>
      <c r="T18" s="23">
        <v>3</v>
      </c>
      <c r="U18" s="23">
        <v>1.8</v>
      </c>
      <c r="V18" s="5">
        <v>0</v>
      </c>
      <c r="W18" s="4" t="e">
        <f ca="1">VLOOKUP($X18,OFFSET([5]enemy_skill_sets!$B$1,0,0,COUNTA([5]enemy_skill_sets!$B:$B),MATCH(N$1,[5]enemy_skill_sets!$1:$1,0)-MATCH($X$1,[5]enemy_skill_sets!$1:$1,0)+2),MATCH(N$1,[5]enemy_skill_sets!$1:$1,0)-MATCH($X$1,[5]enemy_skill_sets!$1:$1,0)+2,FALSE)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8" s="105">
        <v>49007009</v>
      </c>
      <c r="Y18" s="68">
        <v>2</v>
      </c>
    </row>
    <row r="19" spans="1:25" s="166" customFormat="1" ht="21" customHeight="1" thickBot="1" x14ac:dyDescent="0.2">
      <c r="A19" s="130" t="str">
        <f t="shared" si="6"/>
        <v>49007_3-3/8044&lt;lv80&gt;sq12st3</v>
      </c>
      <c r="B19" s="220">
        <v>49007</v>
      </c>
      <c r="C19" s="134">
        <v>3</v>
      </c>
      <c r="D19" s="136" t="str">
        <f t="shared" si="7"/>
        <v>49007_3</v>
      </c>
      <c r="E19" s="158" t="str">
        <f ca="1">VLOOKUP($B19,OFFSET([2]quests!$A$1,0,0,COUNTA([2]quests!$A:$A),MATCH(E$1,[2]quests!$1:$1,0)-MATCH($B$1,[2]quests!$1:$1,0)+1),MATCH(E$1,[2]quests!$1:$1,0)-MATCH($B$1,[2]quests!$1:$1,0)+1,FALSE)</f>
        <v>アザゼル（台）</v>
      </c>
      <c r="F19" s="158" t="str">
        <f ca="1">VLOOKUP($D19,OFFSET([2]stages!$A$1,0,0,COUNTA([2]stages!$A:$A),MATCH(F$1,[2]stages!$2:$2,0)-MATCH($D$1,[2]stages!$2:$2,0)+1),MATCH(F$1,[2]stages!$2:$2,0)-MATCH($D$1,[2]stages!$2:$2,0)+1,FALSE)</f>
        <v>【ﾉｰｺﾝ】アザゼル（台）</v>
      </c>
      <c r="G19" s="134">
        <v>3</v>
      </c>
      <c r="H19" s="136" t="str">
        <f t="shared" si="8"/>
        <v>49007_3-3</v>
      </c>
      <c r="I19" s="158">
        <f ca="1">VLOOKUP($H19,OFFSET(floors!$A$1,0,0,COUNTA(floors!$A:$A),MATCH(I$1,floors!$1:$1,0)-MATCH($H$1,floors!$1:$1,0)+1),MATCH(I$1,floors!$1:$1,0)-MATCH($H$1,floors!$1:$1,0)+1,FALSE)</f>
        <v>60</v>
      </c>
      <c r="J19" s="158">
        <f ca="1">VLOOKUP($H19,OFFSET(floors!$A$1,0,0,COUNTA(floors!$A:$A),MATCH(J$1,floors!$1:$1,0)-MATCH($H$1,floors!$1:$1,0)+1),MATCH(J$1,floors!$1:$1,0)-MATCH($H$1,floors!$1:$1,0)+1,FALSE)</f>
        <v>60</v>
      </c>
      <c r="K19" s="137">
        <v>12</v>
      </c>
      <c r="L19" s="137">
        <v>3</v>
      </c>
      <c r="M19" s="215">
        <v>8044</v>
      </c>
      <c r="N19" s="159" t="e">
        <f ca="1">VLOOKUP($M19,OFFSET([3]enemies!$A$1,0,0,COUNTA([3]enemies!$A:$A),MATCH(N$1,[3]enemies!$1:$1,0)-MATCH($M$1,[3]enemies!$1:$1,0)+1),MATCH(N$1,[3]enemies!$1:$1,0)-MATCH($M$1,[3]enemies!$1:$1,0)+1,FALSE)</f>
        <v>#N/A</v>
      </c>
      <c r="O19" s="159" t="e">
        <f ca="1">VLOOKUP($M19,OFFSET([3]enemies!$A$1,0,0,COUNTA([3]enemies!$A:$A),MATCH(O$1,[3]enemies!$1:$1,0)-MATCH($M$1,[3]enemies!$1:$1,0)+1),MATCH(O$1,[3]enemies!$1:$1,0)-MATCH($M$1,[3]enemies!$1:$1,0)+1,FALSE)</f>
        <v>#N/A</v>
      </c>
      <c r="P19" s="159" t="e">
        <f ca="1">VLOOKUP($M19,OFFSET([4]characters!$A$1,0,0,COUNTA([4]characters!$A:$A),MATCH(P$1,[4]characters!$1:$1,0)-MATCH($M$1,[4]characters!$1:$1,0)+1),MATCH(P$1,[4]characters!$1:$1,0)-MATCH($M$1,[4]characters!$1:$1,0)+1,FALSE)</f>
        <v>#N/A</v>
      </c>
      <c r="Q19" s="159" t="e">
        <f ca="1">VLOOKUP($M19,OFFSET([3]enemies!$A$1,0,0,COUNTA([3]enemies!$A:$A),MATCH(Q$1,[3]enemies!$1:$1,0)-MATCH($M$1,[3]enemies!$1:$1,0)+1),MATCH(Q$1,[3]enemies!$1:$1,0)-MATCH($M$1,[3]enemies!$1:$1,0)+1,FALSE)</f>
        <v>#N/A</v>
      </c>
      <c r="R19" s="159" t="e">
        <f ca="1">VLOOKUP($M19,OFFSET([3]enemies!$A$1,0,0,COUNTA([3]enemies!$A:$A),MATCH(R$1,[3]enemies!$1:$1,0)-MATCH($M$1,[3]enemies!$1:$1,0)+1),MATCH(R$1,[3]enemies!$1:$1,0)-MATCH($M$1,[3]enemies!$1:$1,0)+1,FALSE)</f>
        <v>#N/A</v>
      </c>
      <c r="S19" s="160">
        <v>80</v>
      </c>
      <c r="T19" s="161">
        <v>3</v>
      </c>
      <c r="U19" s="161">
        <v>1.8</v>
      </c>
      <c r="V19" s="160">
        <v>0</v>
      </c>
      <c r="W19" s="158" t="e">
        <f ca="1">VLOOKUP($X19,OFFSET([5]enemy_skill_sets!$B$1,0,0,COUNTA([5]enemy_skill_sets!$B:$B),MATCH(N$1,[5]enemy_skill_sets!$1:$1,0)-MATCH($X$1,[5]enemy_skill_sets!$1:$1,0)+2),MATCH(N$1,[5]enemy_skill_sets!$1:$1,0)-MATCH($X$1,[5]enemy_skill_sets!$1:$1,0)+2,FALSE)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9" s="224">
        <v>49007010</v>
      </c>
      <c r="Y19" s="171">
        <v>1</v>
      </c>
    </row>
  </sheetData>
  <sheetProtection selectLockedCells="1" selectUnlockedCells="1"/>
  <autoFilter ref="B1:Y8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88"/>
  <sheetViews>
    <sheetView showGridLines="0" zoomScale="122" zoomScaleNormal="122" zoomScalePageLayoutView="122" workbookViewId="0">
      <pane xSplit="5" ySplit="1" topLeftCell="F2" activePane="bottomRight" state="frozen"/>
      <selection pane="topRight"/>
      <selection pane="bottomLeft"/>
      <selection pane="bottomRight" activeCell="C11" sqref="C11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59</v>
      </c>
      <c r="B1" s="38" t="s">
        <v>60</v>
      </c>
      <c r="C1" s="38" t="s">
        <v>61</v>
      </c>
      <c r="D1" s="39" t="s">
        <v>62</v>
      </c>
      <c r="E1" s="39" t="s">
        <v>63</v>
      </c>
      <c r="F1" s="40" t="s">
        <v>64</v>
      </c>
      <c r="G1" s="41" t="s">
        <v>65</v>
      </c>
      <c r="H1" s="41" t="s">
        <v>67</v>
      </c>
      <c r="I1" s="41" t="s">
        <v>68</v>
      </c>
      <c r="J1" s="41" t="s">
        <v>69</v>
      </c>
      <c r="K1" s="42" t="s">
        <v>70</v>
      </c>
      <c r="L1" s="42" t="s">
        <v>71</v>
      </c>
      <c r="M1" s="41" t="s">
        <v>72</v>
      </c>
      <c r="N1" s="41" t="s">
        <v>73</v>
      </c>
      <c r="O1" s="41" t="s">
        <v>74</v>
      </c>
      <c r="P1" s="39" t="s">
        <v>75</v>
      </c>
      <c r="Q1" s="39" t="s">
        <v>76</v>
      </c>
      <c r="R1" s="39" t="s">
        <v>77</v>
      </c>
    </row>
    <row r="2" spans="1:18" ht="21" customHeight="1" x14ac:dyDescent="0.15">
      <c r="A2" s="37" t="str">
        <f t="shared" ref="A2:A25" si="0">B2&amp;"_"&amp;C2</f>
        <v>49007001_49007001</v>
      </c>
      <c r="B2" s="105">
        <v>49007001</v>
      </c>
      <c r="C2" s="105">
        <v>49007001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あら？あなたも食べたいの？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余裕の笑みを浮かべている</v>
      </c>
      <c r="F2" s="105">
        <v>49007001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6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x14ac:dyDescent="0.15">
      <c r="A3" s="37" t="str">
        <f t="shared" si="0"/>
        <v>49007001_49007002</v>
      </c>
      <c r="B3" s="105">
        <v>49007001</v>
      </c>
      <c r="C3" s="105">
        <v>49007002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残念、あげないわよ♪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3ターンハートパネルをドロップしない</v>
      </c>
      <c r="F3" s="105">
        <v>49007002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6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5"/>
      <c r="Q3" s="45"/>
      <c r="R3" s="45"/>
    </row>
    <row r="4" spans="1:18" ht="21" customHeight="1" x14ac:dyDescent="0.15">
      <c r="A4" s="37" t="str">
        <f t="shared" si="0"/>
        <v>49007001_49007003</v>
      </c>
      <c r="B4" s="105">
        <v>49007001</v>
      </c>
      <c r="C4" s="105">
        <v>49007003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ベリーベリーアタック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4" s="105">
        <v>49007003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6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4" s="45"/>
      <c r="Q4" s="45"/>
      <c r="R4" s="45"/>
    </row>
    <row r="5" spans="1:18" ht="21" customHeight="1" x14ac:dyDescent="0.15">
      <c r="A5" s="37" t="str">
        <f t="shared" si="0"/>
        <v>49007002_49007004</v>
      </c>
      <c r="B5" s="105">
        <v>49007002</v>
      </c>
      <c r="C5" s="105">
        <v>49007004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いつもと違う私、どう？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赤属性に変化した</v>
      </c>
      <c r="F5" s="105">
        <v>49007004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6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37" t="str">
        <f t="shared" si="0"/>
        <v>49007002_49007005</v>
      </c>
      <c r="B6" s="105">
        <v>49007002</v>
      </c>
      <c r="C6" s="105">
        <v>49007005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スイートティラミス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" s="105">
        <v>49007005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6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ht="21" customHeight="1" x14ac:dyDescent="0.15">
      <c r="A7" s="37" t="str">
        <f t="shared" si="0"/>
        <v>49007002_49007006</v>
      </c>
      <c r="B7" s="105">
        <v>49007002</v>
      </c>
      <c r="C7" s="105">
        <v>49007006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クッキーラッシュ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7" s="105">
        <v>49007006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6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ht="21" customHeight="1" x14ac:dyDescent="0.15">
      <c r="A8" s="37" t="str">
        <f t="shared" si="0"/>
        <v>49007002_49007007</v>
      </c>
      <c r="B8" s="105">
        <v>49007002</v>
      </c>
      <c r="C8" s="105">
        <v>49007007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スプラッシュミント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8" s="105">
        <v>49007007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6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" s="45"/>
      <c r="Q8" s="45"/>
      <c r="R8" s="45"/>
    </row>
    <row r="9" spans="1:18" ht="21" customHeight="1" x14ac:dyDescent="0.15">
      <c r="A9" s="37" t="str">
        <f t="shared" si="0"/>
        <v>49007002_49007008</v>
      </c>
      <c r="B9" s="105">
        <v>49007002</v>
      </c>
      <c r="C9" s="105">
        <v>49007008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ミラクルシロップ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4ターン攻撃力UP＋味方の回復力UP</v>
      </c>
      <c r="F9" s="105">
        <v>49007008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6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  <row r="10" spans="1:18" ht="21" customHeight="1" x14ac:dyDescent="0.15">
      <c r="A10" s="37" t="str">
        <f t="shared" si="0"/>
        <v>49007003_49007009</v>
      </c>
      <c r="B10" s="105">
        <v>49007003</v>
      </c>
      <c r="C10" s="105">
        <v>49007009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あ！ちょっと！私のパフェ…！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ポムポムプリンを追っていった…</v>
      </c>
      <c r="F10" s="105">
        <v>49007009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6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6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37" t="str">
        <f t="shared" si="0"/>
        <v>49007004_49007010</v>
      </c>
      <c r="B11" s="105">
        <v>49007004</v>
      </c>
      <c r="C11" s="105">
        <v>49007010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一緒にがんばろうゼ！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みんな仲が良さそうだ</v>
      </c>
      <c r="F11" s="105">
        <v>49007010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6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ht="21" customHeight="1" x14ac:dyDescent="0.15">
      <c r="A12" s="37" t="str">
        <f t="shared" si="0"/>
        <v>49007004_49007011</v>
      </c>
      <c r="B12" s="105">
        <v>49007004</v>
      </c>
      <c r="C12" s="105">
        <v>49007011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ハートスポイル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1ターンハートパネル無効</v>
      </c>
      <c r="F12" s="105">
        <v>49007011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6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5"/>
      <c r="Q12" s="45"/>
      <c r="R12" s="45"/>
    </row>
    <row r="13" spans="1:18" ht="21" customHeight="1" x14ac:dyDescent="0.15">
      <c r="A13" s="37" t="str">
        <f t="shared" si="0"/>
        <v>49007004_49007012</v>
      </c>
      <c r="B13" s="105">
        <v>49007004</v>
      </c>
      <c r="C13" s="105">
        <v>49007012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HPチャージ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敵全体回復</v>
      </c>
      <c r="F13" s="105">
        <v>49007012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55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55</v>
      </c>
      <c r="P13" s="45"/>
      <c r="Q13" s="45"/>
      <c r="R13" s="45"/>
    </row>
    <row r="14" spans="1:18" ht="21" customHeight="1" x14ac:dyDescent="0.15">
      <c r="A14" s="37" t="str">
        <f t="shared" si="0"/>
        <v>49007005_49007013</v>
      </c>
      <c r="B14" s="105">
        <v>49007005</v>
      </c>
      <c r="C14" s="105">
        <v>49007013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フラワーリング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4" s="105">
        <v>49007013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6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4" s="45"/>
      <c r="Q14" s="45"/>
      <c r="R14" s="45"/>
    </row>
    <row r="15" spans="1:18" ht="21" customHeight="1" x14ac:dyDescent="0.15">
      <c r="A15" s="37" t="str">
        <f t="shared" si="0"/>
        <v>49007005_49007014</v>
      </c>
      <c r="B15" s="105">
        <v>49007005</v>
      </c>
      <c r="C15" s="105">
        <v>49007014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ブロッサムリング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ランダムで時限式ダメージパネルに変換</v>
      </c>
      <c r="F15" s="105">
        <v>49007015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ht="21" customHeight="1" x14ac:dyDescent="0.15">
      <c r="A16" s="37" t="str">
        <f t="shared" si="0"/>
        <v>49007005_49007015</v>
      </c>
      <c r="B16" s="105">
        <v>49007005</v>
      </c>
      <c r="C16" s="105">
        <v>49007015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ミスフォーチュンリング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16" s="105">
        <v>49007014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6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5"/>
      <c r="Q16" s="45"/>
      <c r="R16" s="45"/>
    </row>
    <row r="17" spans="1:18" ht="21" customHeight="1" x14ac:dyDescent="0.15">
      <c r="A17" s="37" t="str">
        <f t="shared" si="0"/>
        <v>49007006_49007016</v>
      </c>
      <c r="B17" s="105">
        <v>49007006</v>
      </c>
      <c r="C17" s="105">
        <v>49007016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イエローレイド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黄属性に大ダメージ</v>
      </c>
      <c r="F17" s="105">
        <v>49007016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7" s="4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7" s="45"/>
      <c r="Q17" s="45"/>
      <c r="R17" s="45"/>
    </row>
    <row r="18" spans="1:18" ht="21" customHeight="1" x14ac:dyDescent="0.15">
      <c r="A18" s="37" t="str">
        <f t="shared" si="0"/>
        <v>49007006_49007017</v>
      </c>
      <c r="B18" s="105">
        <v>49007006</v>
      </c>
      <c r="C18" s="105">
        <v>49007017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ダブルフラッシュ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8" s="105">
        <v>49007017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8" s="4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8" s="45"/>
      <c r="Q18" s="45"/>
      <c r="R18" s="45"/>
    </row>
    <row r="19" spans="1:18" ht="21" customHeight="1" x14ac:dyDescent="0.15">
      <c r="A19" s="37" t="str">
        <f t="shared" si="0"/>
        <v>49007006_49007018</v>
      </c>
      <c r="B19" s="105">
        <v>49007006</v>
      </c>
      <c r="C19" s="105">
        <v>49007018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セーフモード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防御力UP</v>
      </c>
      <c r="F19" s="105">
        <v>49007018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6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  <row r="20" spans="1:18" ht="21" customHeight="1" x14ac:dyDescent="0.15">
      <c r="A20" s="37" t="str">
        <f t="shared" si="0"/>
        <v>49007006_49007019</v>
      </c>
      <c r="B20" s="105">
        <v>49007006</v>
      </c>
      <c r="C20" s="105">
        <v>49007019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グリーンフラッシュ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20" s="105">
        <v>49007019</v>
      </c>
      <c r="G20" s="4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6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0" s="4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6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6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5"/>
      <c r="Q20" s="45"/>
      <c r="R20" s="45"/>
    </row>
    <row r="21" spans="1:18" ht="21" customHeight="1" x14ac:dyDescent="0.15">
      <c r="A21" s="37" t="str">
        <f t="shared" si="0"/>
        <v>49007007_49007020</v>
      </c>
      <c r="B21" s="105">
        <v>49007007</v>
      </c>
      <c r="C21" s="105">
        <v>49007020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アンラッキードリーム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3ターン攻撃力50％ダウン</v>
      </c>
      <c r="F21" s="105">
        <v>49007020</v>
      </c>
      <c r="G21" s="4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6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6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5"/>
      <c r="Q21" s="45"/>
      <c r="R21" s="45"/>
    </row>
    <row r="22" spans="1:18" ht="21" customHeight="1" x14ac:dyDescent="0.15">
      <c r="A22" s="37" t="str">
        <f t="shared" si="0"/>
        <v>49007007_49007021</v>
      </c>
      <c r="B22" s="105">
        <v>49007007</v>
      </c>
      <c r="C22" s="105">
        <v>49007021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アンハッピードリーム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3ターン回復力50％ダウン</v>
      </c>
      <c r="F22" s="105">
        <v>49007021</v>
      </c>
      <c r="G22" s="4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6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6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5"/>
      <c r="Q22" s="45"/>
      <c r="R22" s="45"/>
    </row>
    <row r="23" spans="1:18" ht="21" customHeight="1" x14ac:dyDescent="0.15">
      <c r="A23" s="37" t="str">
        <f t="shared" si="0"/>
        <v>49007007_49007022</v>
      </c>
      <c r="B23" s="105">
        <v>49007007</v>
      </c>
      <c r="C23" s="105">
        <v>49007022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カレイドスコープ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3" s="105">
        <v>49007022</v>
      </c>
      <c r="G23" s="4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6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3" s="46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6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6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3" s="45"/>
      <c r="Q23" s="45"/>
      <c r="R23" s="45"/>
    </row>
    <row r="24" spans="1:18" ht="21" customHeight="1" x14ac:dyDescent="0.15">
      <c r="A24" s="37" t="str">
        <f t="shared" si="0"/>
        <v>49007007_49007023</v>
      </c>
      <c r="B24" s="105">
        <v>49007007</v>
      </c>
      <c r="C24" s="105">
        <v>49007023</v>
      </c>
      <c r="D24" s="4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ふふふ…いくわよ</v>
      </c>
      <c r="E24" s="4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次のターンに青パネルを吸収して全体攻撃</v>
      </c>
      <c r="F24" s="105">
        <v>49007023</v>
      </c>
      <c r="G24" s="4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6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4" s="4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6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6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6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5"/>
      <c r="Q24" s="45"/>
      <c r="R24" s="45"/>
    </row>
    <row r="25" spans="1:18" ht="21" customHeight="1" x14ac:dyDescent="0.15">
      <c r="A25" s="37" t="str">
        <f t="shared" si="0"/>
        <v>49007007_49007024</v>
      </c>
      <c r="B25" s="105">
        <v>49007007</v>
      </c>
      <c r="C25" s="105">
        <v>49007024</v>
      </c>
      <c r="D25" s="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フル・ブロッサム</v>
      </c>
      <c r="E25" s="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25" s="105">
        <v>49007024</v>
      </c>
      <c r="G25" s="4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6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5" s="4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6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5" s="4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6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6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5"/>
      <c r="Q25" s="45"/>
      <c r="R25" s="45"/>
    </row>
    <row r="26" spans="1:18" ht="21" customHeight="1" x14ac:dyDescent="0.15">
      <c r="A26" s="37" t="str">
        <f t="shared" ref="A26" si="1">B26&amp;"_"&amp;C26</f>
        <v>49007008_49007025</v>
      </c>
      <c r="B26" s="105">
        <v>49007008</v>
      </c>
      <c r="C26" s="105">
        <v>49007025</v>
      </c>
      <c r="D26" s="4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さあ帰ってきたぞ！楽園から！！</v>
      </c>
      <c r="E26" s="4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なにやらテンションがおかしい！</v>
      </c>
      <c r="F26" s="105">
        <v>49007025</v>
      </c>
      <c r="G26" s="4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6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6" s="4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6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6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6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5"/>
      <c r="Q26" s="45"/>
      <c r="R26" s="45"/>
    </row>
    <row r="27" spans="1:18" ht="21" customHeight="1" x14ac:dyDescent="0.15">
      <c r="A27" s="37" t="str">
        <f t="shared" ref="A27:A43" si="2">B27&amp;"_"&amp;C27</f>
        <v>49007008_49007026</v>
      </c>
      <c r="B27" s="105">
        <v>49007008</v>
      </c>
      <c r="C27" s="105">
        <v>49007026</v>
      </c>
      <c r="D27" s="4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オレの仲間たちの力を見せてやろう</v>
      </c>
      <c r="E27" s="4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お邪魔パネル出現＋クリティカル</v>
      </c>
      <c r="F27" s="105">
        <v>49007026</v>
      </c>
      <c r="G27" s="4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6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7" s="4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6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27" s="4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6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6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5"/>
      <c r="Q27" s="45"/>
      <c r="R27" s="45"/>
    </row>
    <row r="28" spans="1:18" ht="21" customHeight="1" x14ac:dyDescent="0.15">
      <c r="A28" s="37" t="str">
        <f t="shared" si="2"/>
        <v>49007008_49007027</v>
      </c>
      <c r="B28" s="105">
        <v>49007008</v>
      </c>
      <c r="C28" s="105">
        <v>49007027</v>
      </c>
      <c r="D28" s="4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貴様にこの幸せを壊しはさせんぞ！</v>
      </c>
      <c r="E28" s="4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8" s="105">
        <v>49007027</v>
      </c>
      <c r="G28" s="4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6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8" s="4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8" s="46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6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6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6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8" s="45"/>
      <c r="Q28" s="45"/>
      <c r="R28" s="45"/>
    </row>
    <row r="29" spans="1:18" ht="21" customHeight="1" x14ac:dyDescent="0.15">
      <c r="A29" s="37" t="str">
        <f t="shared" si="2"/>
        <v>49007008_49007028</v>
      </c>
      <c r="B29" s="105">
        <v>49007008</v>
      </c>
      <c r="C29" s="105">
        <v>49007028</v>
      </c>
      <c r="D29" s="4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踊れ！パレードのように！</v>
      </c>
      <c r="E29" s="4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9" s="105">
        <v>49007028</v>
      </c>
      <c r="G29" s="4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6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29" s="4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29" s="46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6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6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6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6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29" s="45"/>
      <c r="Q29" s="45"/>
      <c r="R29" s="45"/>
    </row>
    <row r="30" spans="1:18" ht="21" customHeight="1" x14ac:dyDescent="0.15">
      <c r="A30" s="37" t="str">
        <f t="shared" si="2"/>
        <v>49007008_49007029</v>
      </c>
      <c r="B30" s="105">
        <v>49007008</v>
      </c>
      <c r="C30" s="105">
        <v>49007029</v>
      </c>
      <c r="D30" s="4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愛い奴め…仕方ないな！！！</v>
      </c>
      <c r="E30" s="4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2ターン全てのユニットの攻撃力UP _x000D_種族サンリオキャラクターズに効果大</v>
      </c>
      <c r="F30" s="105">
        <v>49007029</v>
      </c>
      <c r="G30" s="4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6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26</v>
      </c>
      <c r="I30" s="4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0" s="46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30" s="46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6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6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6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0" s="45"/>
      <c r="Q30" s="45"/>
      <c r="R30" s="45"/>
    </row>
    <row r="31" spans="1:18" ht="21" customHeight="1" x14ac:dyDescent="0.15">
      <c r="A31" s="37" t="str">
        <f t="shared" si="2"/>
        <v>49007009_49007030</v>
      </c>
      <c r="B31" s="105">
        <v>49007009</v>
      </c>
      <c r="C31" s="105">
        <v>49007030</v>
      </c>
      <c r="D31" s="4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力がみなぎってくるようだ…！</v>
      </c>
      <c r="E31" s="4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3ターンの間スピードアップ</v>
      </c>
      <c r="F31" s="105">
        <v>49007030</v>
      </c>
      <c r="G31" s="46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6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1" s="46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6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6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6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6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6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6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5"/>
      <c r="Q31" s="45"/>
      <c r="R31" s="45"/>
    </row>
    <row r="32" spans="1:18" ht="21" customHeight="1" x14ac:dyDescent="0.15">
      <c r="A32" s="37" t="str">
        <f t="shared" si="2"/>
        <v>49007009_49007031</v>
      </c>
      <c r="B32" s="105">
        <v>49007009</v>
      </c>
      <c r="C32" s="105">
        <v>49007031</v>
      </c>
      <c r="D32" s="44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ハハハ…笑いが止まらんぞ…？！</v>
      </c>
      <c r="E32" s="44" t="str">
        <f ca="1">VLOOKUP($C32,OFFSET(enemy_skills!$A$1,0,0,COUNTA(enemy_skills!$A:$A),MATCH(E$1,enemy_skills!$1:$1,0)-MATCH("enemy_skill_id",enemy_skills!$1:$1,0)+1),MATCH(E$1,enemy_skills!$1:$1,0)-MATCH("enemy_skill_id",enemy_skills!$1:$1,0)+1,FALSE)</f>
        <v>3ターン暗闇＋全体攻撃</v>
      </c>
      <c r="F32" s="105">
        <v>49007031</v>
      </c>
      <c r="G32" s="46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6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2" s="46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6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6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6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6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6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6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5"/>
      <c r="Q32" s="45"/>
      <c r="R32" s="45"/>
    </row>
    <row r="33" spans="1:18" ht="21" customHeight="1" x14ac:dyDescent="0.15">
      <c r="A33" s="37" t="str">
        <f t="shared" si="2"/>
        <v>49007009_49007032</v>
      </c>
      <c r="B33" s="105">
        <v>49007009</v>
      </c>
      <c r="C33" s="105">
        <v>49007032</v>
      </c>
      <c r="D33" s="44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どうだ似合っているだろう？</v>
      </c>
      <c r="E33" s="44" t="str">
        <f ca="1">VLOOKUP($C33,OFFSET(enemy_skills!$A$1,0,0,COUNTA(enemy_skills!$A:$A),MATCH(E$1,enemy_skills!$1:$1,0)-MATCH("enemy_skill_id",enemy_skills!$1:$1,0)+1),MATCH(E$1,enemy_skills!$1:$1,0)-MATCH("enemy_skill_id",enemy_skills!$1:$1,0)+1,FALSE)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33" s="105">
        <v>49007032</v>
      </c>
      <c r="G33" s="46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6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3" s="46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3" s="46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6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6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6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6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6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3" s="45"/>
      <c r="Q33" s="45"/>
      <c r="R33" s="45"/>
    </row>
    <row r="34" spans="1:18" ht="21" customHeight="1" x14ac:dyDescent="0.15">
      <c r="A34" s="37" t="str">
        <f t="shared" si="2"/>
        <v>49007009_49007033</v>
      </c>
      <c r="B34" s="105">
        <v>49007009</v>
      </c>
      <c r="C34" s="105">
        <v>49007033</v>
      </c>
      <c r="D34" s="44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出でよ！愉快な仲間たち！！！</v>
      </c>
      <c r="E34" s="44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4" s="105">
        <v>49007033</v>
      </c>
      <c r="G34" s="46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6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34" s="46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4" s="46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6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6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6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6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6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4" s="45"/>
      <c r="Q34" s="45"/>
      <c r="R34" s="45"/>
    </row>
    <row r="35" spans="1:18" ht="21" customHeight="1" x14ac:dyDescent="0.15">
      <c r="A35" s="37" t="str">
        <f>B35&amp;"_"&amp;C35</f>
        <v>49007009_49007034</v>
      </c>
      <c r="B35" s="105">
        <v>49007009</v>
      </c>
      <c r="C35" s="105">
        <v>49007034</v>
      </c>
      <c r="D35" s="44" t="str">
        <f ca="1">VLOOKUP($C35,OFFSET(enemy_skills!$A$1,0,0,COUNTA(enemy_skills!$A:$A),MATCH(D$1,enemy_skills!$1:$1,0)-MATCH("enemy_skill_id",enemy_skills!$1:$1,0)+1),MATCH(D$1,enemy_skills!$1:$1,0)-MATCH("enemy_skill_id",enemy_skills!$1:$1,0)+1,FALSE)</f>
        <v>貴様も味わうが良い…このもふもふを！</v>
      </c>
      <c r="E35" s="44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お邪魔パネル出現＋クリティカル</v>
      </c>
      <c r="F35" s="105">
        <v>49007034</v>
      </c>
      <c r="G35" s="4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6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35" s="4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6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46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6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6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6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6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5"/>
      <c r="Q35" s="45"/>
      <c r="R35" s="45"/>
    </row>
    <row r="36" spans="1:18" ht="21" customHeight="1" x14ac:dyDescent="0.15">
      <c r="A36" s="37" t="str">
        <f t="shared" si="2"/>
        <v>49007009_49007035</v>
      </c>
      <c r="B36" s="105">
        <v>49007009</v>
      </c>
      <c r="C36" s="105">
        <v>49007035</v>
      </c>
      <c r="D36" s="44" t="str">
        <f ca="1">VLOOKUP($C36,OFFSET(enemy_skills!$A$1,0,0,COUNTA(enemy_skills!$A:$A),MATCH(D$1,enemy_skills!$1:$1,0)-MATCH("enemy_skill_id",enemy_skills!$1:$1,0)+1),MATCH(D$1,enemy_skills!$1:$1,0)-MATCH("enemy_skill_id",enemy_skills!$1:$1,0)+1,FALSE)</f>
        <v>仲間達を愚弄するとは…許さんぞ！</v>
      </c>
      <c r="E36" s="44" t="str">
        <f ca="1">VLOOKUP($C36,OFFSET(enemy_skills!$A$1,0,0,COUNTA(enemy_skills!$A:$A),MATCH(E$1,enemy_skills!$1:$1,0)-MATCH("enemy_skill_id",enemy_skills!$1:$1,0)+1),MATCH(E$1,enemy_skills!$1:$1,0)-MATCH("enemy_skill_id",enemy_skills!$1:$1,0)+1,FALSE)</f>
        <v>次のターン緑パネルをハートに変換 _x000D_＋次のターンに強力な攻撃</v>
      </c>
      <c r="F36" s="105">
        <v>49007035</v>
      </c>
      <c r="G36" s="4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6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36" s="4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6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6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6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6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6" s="46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6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5"/>
      <c r="Q36" s="45"/>
      <c r="R36" s="45"/>
    </row>
    <row r="37" spans="1:18" ht="21" customHeight="1" x14ac:dyDescent="0.15">
      <c r="A37" s="37" t="str">
        <f t="shared" si="2"/>
        <v>49007009_49007036</v>
      </c>
      <c r="B37" s="105">
        <v>49007009</v>
      </c>
      <c r="C37" s="105">
        <v>49007036</v>
      </c>
      <c r="D37" s="44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そら、受け取れ！！土産だ！</v>
      </c>
      <c r="E37" s="44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緑パネルをハートに変換＋全体攻撃</v>
      </c>
      <c r="F37" s="105">
        <v>49007036</v>
      </c>
      <c r="G37" s="46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6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44</v>
      </c>
      <c r="I37" s="46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6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6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6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6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7" s="46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6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5"/>
      <c r="Q37" s="45"/>
      <c r="R37" s="45"/>
    </row>
    <row r="38" spans="1:18" ht="21" customHeight="1" x14ac:dyDescent="0.15">
      <c r="A38" s="37" t="str">
        <f t="shared" si="2"/>
        <v>49007010_49007037</v>
      </c>
      <c r="B38" s="105">
        <v>49007010</v>
      </c>
      <c r="C38" s="105">
        <v>49007037</v>
      </c>
      <c r="D38" s="44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38" s="44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38" s="105">
        <v>49007037</v>
      </c>
      <c r="G38" s="46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6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8" s="46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6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6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6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6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6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6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5"/>
      <c r="Q38" s="45"/>
      <c r="R38" s="45"/>
    </row>
    <row r="39" spans="1:18" ht="21" customHeight="1" x14ac:dyDescent="0.15">
      <c r="A39" s="37" t="str">
        <f t="shared" si="2"/>
        <v>49007010_49007038</v>
      </c>
      <c r="B39" s="105">
        <v>49007010</v>
      </c>
      <c r="C39" s="105">
        <v>49007038</v>
      </c>
      <c r="D39" s="44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出でよ！愉快な仲間たち！！！</v>
      </c>
      <c r="E39" s="44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9" s="105">
        <v>49007038</v>
      </c>
      <c r="G39" s="46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6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9" s="46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9" s="46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6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6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6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6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6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9" s="45"/>
      <c r="Q39" s="45"/>
      <c r="R39" s="45"/>
    </row>
    <row r="40" spans="1:18" ht="21" customHeight="1" x14ac:dyDescent="0.15">
      <c r="A40" s="37" t="str">
        <f>B40&amp;"_"&amp;C40</f>
        <v>49007010_49007039</v>
      </c>
      <c r="B40" s="105">
        <v>49007010</v>
      </c>
      <c r="C40" s="105">
        <v>49007039</v>
      </c>
      <c r="D40" s="44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ゆけ！親愛なる仲間達よ！</v>
      </c>
      <c r="E40" s="44" t="str">
        <f ca="1">VLOOKUP($C40,OFFSET(enemy_skills!$A$1,0,0,COUNTA(enemy_skills!$A:$A),MATCH(E$1,enemy_skills!$1:$1,0)-MATCH("enemy_skill_id",enemy_skills!$1:$1,0)+1),MATCH(E$1,enemy_skills!$1:$1,0)-MATCH("enemy_skill_id",enemy_skills!$1:$1,0)+1,FALSE)</f>
        <v>仲間達の力を合わせた攻撃！</v>
      </c>
      <c r="F40" s="105">
        <v>49007039</v>
      </c>
      <c r="G40" s="46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6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40" s="46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6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6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6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6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0" s="46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6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5"/>
      <c r="Q40" s="45"/>
      <c r="R40" s="45"/>
    </row>
    <row r="41" spans="1:18" ht="21" customHeight="1" x14ac:dyDescent="0.15">
      <c r="A41" s="37" t="str">
        <f t="shared" si="2"/>
        <v>49007010_49007040</v>
      </c>
      <c r="B41" s="105">
        <v>49007010</v>
      </c>
      <c r="C41" s="105">
        <v>49007040</v>
      </c>
      <c r="D41" s="44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このオレがっ！愛でてやるっ！</v>
      </c>
      <c r="E41" s="44" t="str">
        <f ca="1">VLOOKUP($C41,OFFSET(enemy_skills!$A$1,0,0,COUNTA(enemy_skills!$A:$A),MATCH(E$1,enemy_skills!$1:$1,0)-MATCH("enemy_skill_id",enemy_skills!$1:$1,0)+1),MATCH(E$1,enemy_skills!$1:$1,0)-MATCH("enemy_skill_id",enemy_skills!$1:$1,0)+1,FALSE)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41" s="105">
        <v>49007040</v>
      </c>
      <c r="G41" s="46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6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1" s="46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6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41" s="46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6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6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6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6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5"/>
      <c r="Q41" s="45"/>
      <c r="R41" s="45"/>
    </row>
    <row r="42" spans="1:18" ht="21" customHeight="1" x14ac:dyDescent="0.15">
      <c r="A42" s="37" t="str">
        <f t="shared" si="2"/>
        <v>49007010_49007041</v>
      </c>
      <c r="B42" s="105">
        <v>49007010</v>
      </c>
      <c r="C42" s="105">
        <v>49007041</v>
      </c>
      <c r="D42" s="44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オレと仲間達との絆の力…_x000D_受け取るがいい…</v>
      </c>
      <c r="E42" s="44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アザゼルのテンションが最高潮に達し…</v>
      </c>
      <c r="F42" s="105">
        <v>49007041</v>
      </c>
      <c r="G42" s="46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6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2" s="46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6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42" s="46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6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6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6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6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5"/>
      <c r="Q42" s="45"/>
      <c r="R42" s="45"/>
    </row>
    <row r="43" spans="1:18" ht="21" customHeight="1" x14ac:dyDescent="0.15">
      <c r="A43" s="37" t="str">
        <f t="shared" si="2"/>
        <v>49007010_49007042</v>
      </c>
      <c r="B43" s="105">
        <v>49007010</v>
      </c>
      <c r="C43" s="105">
        <v>49007042</v>
      </c>
      <c r="D43" s="44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さあカーニバルだ！！</v>
      </c>
      <c r="E43" s="44" t="str">
        <f ca="1">VLOOKUP($C43,OFFSET(enemy_skills!$A$1,0,0,COUNTA(enemy_skills!$A:$A),MATCH(E$1,enemy_skills!$1:$1,0)-MATCH("enemy_skill_id",enemy_skills!$1:$1,0)+1),MATCH(E$1,enemy_skills!$1:$1,0)-MATCH("enemy_skill_id",enemy_skills!$1:$1,0)+1,FALSE)</f>
        <v>超強力な一撃！</v>
      </c>
      <c r="F43" s="105">
        <v>49007042</v>
      </c>
      <c r="G43" s="46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6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43" s="46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6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43" s="46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6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6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6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6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5"/>
      <c r="Q43" s="45"/>
      <c r="R43" s="45"/>
    </row>
    <row r="44" spans="1:18" ht="21" customHeight="1" x14ac:dyDescent="0.15">
      <c r="A44" s="37" t="str">
        <f t="shared" ref="A44" si="3">B44&amp;"_"&amp;C44</f>
        <v>49007010_49007045</v>
      </c>
      <c r="B44" s="105">
        <v>49007010</v>
      </c>
      <c r="C44" s="105">
        <v>49007045</v>
      </c>
      <c r="D44" s="44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フン…悪くない遊戯だったな…</v>
      </c>
      <c r="E44" s="44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またいずれ相手をしてやろう！</v>
      </c>
      <c r="F44" s="105">
        <v>49007045</v>
      </c>
      <c r="G44" s="46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6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6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6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4" s="46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6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" s="46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6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4" s="46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5"/>
      <c r="Q44" s="45"/>
      <c r="R44" s="45"/>
    </row>
    <row r="45" spans="1:18" ht="21" customHeight="1" x14ac:dyDescent="0.15">
      <c r="A45" s="37" t="str">
        <f t="shared" ref="A45:A46" si="4">B45&amp;"_"&amp;C45</f>
        <v>49007006_49007043</v>
      </c>
      <c r="B45" s="105">
        <v>49007006</v>
      </c>
      <c r="C45" s="105">
        <v>49007043</v>
      </c>
      <c r="D45" s="44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なかなかやるな！</v>
      </c>
      <c r="E45" s="44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また遊んでやるゼ！</v>
      </c>
      <c r="F45" s="105">
        <v>49007045</v>
      </c>
      <c r="G45" s="46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6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46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6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5" s="46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6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" s="46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6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5" s="46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5"/>
      <c r="Q45" s="45"/>
      <c r="R45" s="45"/>
    </row>
    <row r="46" spans="1:18" ht="21" customHeight="1" x14ac:dyDescent="0.15">
      <c r="A46" s="37" t="str">
        <f t="shared" si="4"/>
        <v>49007007_49007044</v>
      </c>
      <c r="B46" s="105">
        <v>49007007</v>
      </c>
      <c r="C46" s="105">
        <v>49007044</v>
      </c>
      <c r="D46" s="44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あらあら…お強いのね</v>
      </c>
      <c r="E46" s="44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つぎは負けないわよ…</v>
      </c>
      <c r="F46" s="105">
        <v>49007045</v>
      </c>
      <c r="G46" s="46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6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46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6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6" s="46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6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" s="46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6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6" s="46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5"/>
      <c r="Q46" s="45"/>
      <c r="R46" s="45"/>
    </row>
    <row r="47" spans="1:18" ht="21" customHeight="1" x14ac:dyDescent="0.15">
      <c r="A47" s="37" t="str">
        <f t="shared" ref="A47" si="5">B47&amp;"_"&amp;C47</f>
        <v>49007010_49007046</v>
      </c>
      <c r="B47" s="105">
        <v>49007010</v>
      </c>
      <c r="C47" s="105">
        <v>49007046</v>
      </c>
      <c r="D47" s="44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47" s="44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47" s="105">
        <v>49007046</v>
      </c>
      <c r="G47" s="46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6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7" s="46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6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6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6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6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6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8043</v>
      </c>
      <c r="O47" s="46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5"/>
      <c r="Q47" s="45"/>
      <c r="R47" s="45"/>
    </row>
    <row r="48" spans="1:18" ht="21" customHeight="1" x14ac:dyDescent="0.15">
      <c r="A48" s="37" t="str">
        <f t="shared" ref="A48:A56" si="6">B48&amp;"_"&amp;C48</f>
        <v>49007010_49007046</v>
      </c>
      <c r="B48" s="105">
        <v>49007010</v>
      </c>
      <c r="C48" s="105">
        <v>49007046</v>
      </c>
      <c r="D48" s="44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48" s="44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48" s="105">
        <v>49007047</v>
      </c>
      <c r="G48" s="46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6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8" s="46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6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6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6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6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6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8044</v>
      </c>
      <c r="O48" s="46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5"/>
      <c r="Q48" s="45"/>
      <c r="R48" s="45"/>
    </row>
    <row r="49" spans="1:18" ht="21" customHeight="1" x14ac:dyDescent="0.15">
      <c r="A49" s="37" t="str">
        <f t="shared" si="6"/>
        <v>49007010_49007046</v>
      </c>
      <c r="B49" s="105">
        <v>49007010</v>
      </c>
      <c r="C49" s="105">
        <v>49007046</v>
      </c>
      <c r="D49" s="44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49" s="44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49" s="105">
        <v>49007048</v>
      </c>
      <c r="G49" s="46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6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49" s="46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6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6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6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6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6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8045</v>
      </c>
      <c r="O49" s="46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5"/>
      <c r="Q49" s="45"/>
      <c r="R49" s="45"/>
    </row>
    <row r="50" spans="1:18" ht="21" customHeight="1" x14ac:dyDescent="0.15">
      <c r="A50" s="37" t="str">
        <f t="shared" si="6"/>
        <v>49007010_49007046</v>
      </c>
      <c r="B50" s="105">
        <v>49007010</v>
      </c>
      <c r="C50" s="105">
        <v>49007046</v>
      </c>
      <c r="D50" s="44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0" s="44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0" s="105">
        <v>49007049</v>
      </c>
      <c r="G50" s="46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6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50" s="46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6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6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6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6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6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8046</v>
      </c>
      <c r="O50" s="46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5"/>
      <c r="Q50" s="45"/>
      <c r="R50" s="45"/>
    </row>
    <row r="51" spans="1:18" ht="21" customHeight="1" x14ac:dyDescent="0.15">
      <c r="A51" s="37" t="str">
        <f t="shared" si="6"/>
        <v>49007010_49007046</v>
      </c>
      <c r="B51" s="105">
        <v>49007010</v>
      </c>
      <c r="C51" s="105">
        <v>49007046</v>
      </c>
      <c r="D51" s="44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1" s="44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1" s="105">
        <v>49007050</v>
      </c>
      <c r="G51" s="46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6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51" s="46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6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6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6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6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6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8047</v>
      </c>
      <c r="O51" s="46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5"/>
      <c r="Q51" s="45"/>
      <c r="R51" s="45"/>
    </row>
    <row r="52" spans="1:18" ht="21" customHeight="1" x14ac:dyDescent="0.15">
      <c r="A52" s="37" t="str">
        <f t="shared" si="6"/>
        <v>49007010_49007046</v>
      </c>
      <c r="B52" s="105">
        <v>49007010</v>
      </c>
      <c r="C52" s="105">
        <v>49007046</v>
      </c>
      <c r="D52" s="44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2" s="44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2" s="105">
        <v>49007051</v>
      </c>
      <c r="G52" s="46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6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52" s="46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6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6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6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6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6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8048</v>
      </c>
      <c r="O52" s="46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5"/>
      <c r="Q52" s="45"/>
      <c r="R52" s="45"/>
    </row>
    <row r="53" spans="1:18" ht="21" customHeight="1" x14ac:dyDescent="0.15">
      <c r="A53" s="37" t="str">
        <f t="shared" si="6"/>
        <v>49007010_49007046</v>
      </c>
      <c r="B53" s="105">
        <v>49007010</v>
      </c>
      <c r="C53" s="105">
        <v>49007046</v>
      </c>
      <c r="D53" s="44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3" s="44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3" s="105">
        <v>49007052</v>
      </c>
      <c r="G53" s="46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6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53" s="46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6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6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6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6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6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8049</v>
      </c>
      <c r="O53" s="46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5"/>
      <c r="Q53" s="45"/>
      <c r="R53" s="45"/>
    </row>
    <row r="54" spans="1:18" ht="21" customHeight="1" x14ac:dyDescent="0.15">
      <c r="A54" s="37" t="str">
        <f t="shared" si="6"/>
        <v>49007010_49007046</v>
      </c>
      <c r="B54" s="105">
        <v>49007010</v>
      </c>
      <c r="C54" s="105">
        <v>49007046</v>
      </c>
      <c r="D54" s="44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4" s="44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4" s="105">
        <v>49007053</v>
      </c>
      <c r="G54" s="46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6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54" s="46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6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6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6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6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6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8050</v>
      </c>
      <c r="O54" s="46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5"/>
      <c r="Q54" s="45"/>
      <c r="R54" s="45"/>
    </row>
    <row r="55" spans="1:18" ht="21" customHeight="1" x14ac:dyDescent="0.15">
      <c r="A55" s="37" t="str">
        <f t="shared" si="6"/>
        <v>49007010_49007046</v>
      </c>
      <c r="B55" s="105">
        <v>49007010</v>
      </c>
      <c r="C55" s="105">
        <v>49007046</v>
      </c>
      <c r="D55" s="44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5" s="44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5" s="105">
        <v>49007054</v>
      </c>
      <c r="G55" s="46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6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55" s="46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6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6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6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6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6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8051</v>
      </c>
      <c r="O55" s="46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5"/>
      <c r="Q55" s="45"/>
      <c r="R55" s="45"/>
    </row>
    <row r="56" spans="1:18" ht="21" customHeight="1" x14ac:dyDescent="0.15">
      <c r="A56" s="37" t="str">
        <f t="shared" si="6"/>
        <v>49007010_49007046</v>
      </c>
      <c r="B56" s="105">
        <v>49007010</v>
      </c>
      <c r="C56" s="105">
        <v>49007046</v>
      </c>
      <c r="D56" s="44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6" s="44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6" s="105">
        <v>49007055</v>
      </c>
      <c r="G56" s="46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6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56" s="46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6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6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6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6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6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8052</v>
      </c>
      <c r="O56" s="46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5"/>
      <c r="Q56" s="45"/>
      <c r="R56" s="45"/>
    </row>
    <row r="57" spans="1:18" ht="21" customHeight="1" x14ac:dyDescent="0.15">
      <c r="A57" s="37" t="str">
        <f t="shared" ref="A57:A69" si="7">B57&amp;"_"&amp;C57</f>
        <v>49007010_49007046</v>
      </c>
      <c r="B57" s="105">
        <v>49007010</v>
      </c>
      <c r="C57" s="105">
        <v>49007046</v>
      </c>
      <c r="D57" s="44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7" s="44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7" s="105">
        <v>49007056</v>
      </c>
      <c r="G57" s="46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6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7" s="46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6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6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6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6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6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8053</v>
      </c>
      <c r="O57" s="46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5"/>
      <c r="Q57" s="45"/>
      <c r="R57" s="45"/>
    </row>
    <row r="58" spans="1:18" ht="21" customHeight="1" x14ac:dyDescent="0.15">
      <c r="A58" s="37" t="str">
        <f t="shared" si="7"/>
        <v>49007010_49007046</v>
      </c>
      <c r="B58" s="105">
        <v>49007010</v>
      </c>
      <c r="C58" s="105">
        <v>49007046</v>
      </c>
      <c r="D58" s="44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8" s="44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8" s="105">
        <v>49007057</v>
      </c>
      <c r="G58" s="46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6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58" s="46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6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6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6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6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6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8054</v>
      </c>
      <c r="O58" s="46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5"/>
      <c r="Q58" s="45"/>
      <c r="R58" s="45"/>
    </row>
    <row r="59" spans="1:18" ht="21" customHeight="1" x14ac:dyDescent="0.15">
      <c r="A59" s="37" t="str">
        <f t="shared" si="7"/>
        <v>49007010_49007046</v>
      </c>
      <c r="B59" s="105">
        <v>49007010</v>
      </c>
      <c r="C59" s="105">
        <v>49007046</v>
      </c>
      <c r="D59" s="44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9" s="44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9" s="105">
        <v>49007058</v>
      </c>
      <c r="G59" s="46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6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88</v>
      </c>
      <c r="I59" s="46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6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6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6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6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6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8055</v>
      </c>
      <c r="O59" s="46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5"/>
      <c r="Q59" s="45"/>
      <c r="R59" s="45"/>
    </row>
    <row r="60" spans="1:18" ht="21" customHeight="1" x14ac:dyDescent="0.15">
      <c r="A60" s="37" t="str">
        <f t="shared" si="7"/>
        <v>49007010_49007046</v>
      </c>
      <c r="B60" s="105">
        <v>49007010</v>
      </c>
      <c r="C60" s="105">
        <v>49007046</v>
      </c>
      <c r="D60" s="44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0" s="44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0" s="105">
        <v>49007059</v>
      </c>
      <c r="G60" s="46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6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87</v>
      </c>
      <c r="I60" s="46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6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6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6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6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6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8056</v>
      </c>
      <c r="O60" s="46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5"/>
      <c r="Q60" s="45"/>
      <c r="R60" s="45"/>
    </row>
    <row r="61" spans="1:18" ht="21" customHeight="1" x14ac:dyDescent="0.15">
      <c r="A61" s="37" t="str">
        <f t="shared" si="7"/>
        <v>49007010_49007046</v>
      </c>
      <c r="B61" s="105">
        <v>49007010</v>
      </c>
      <c r="C61" s="105">
        <v>49007046</v>
      </c>
      <c r="D61" s="44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1" s="44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1" s="105">
        <v>49007060</v>
      </c>
      <c r="G61" s="46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6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86</v>
      </c>
      <c r="I61" s="46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6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6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6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6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6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8057</v>
      </c>
      <c r="O61" s="46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5"/>
      <c r="Q61" s="45"/>
      <c r="R61" s="45"/>
    </row>
    <row r="62" spans="1:18" ht="21" customHeight="1" x14ac:dyDescent="0.15">
      <c r="A62" s="37" t="str">
        <f t="shared" si="7"/>
        <v>49007010_49007046</v>
      </c>
      <c r="B62" s="105">
        <v>49007010</v>
      </c>
      <c r="C62" s="105">
        <v>49007046</v>
      </c>
      <c r="D62" s="44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2" s="44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2" s="105">
        <v>49007061</v>
      </c>
      <c r="G62" s="46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6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62" s="46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6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6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6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6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6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8058</v>
      </c>
      <c r="O62" s="46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5"/>
      <c r="Q62" s="45"/>
      <c r="R62" s="45"/>
    </row>
    <row r="63" spans="1:18" ht="21" customHeight="1" x14ac:dyDescent="0.15">
      <c r="A63" s="37" t="str">
        <f t="shared" si="7"/>
        <v>49007010_49007046</v>
      </c>
      <c r="B63" s="105">
        <v>49007010</v>
      </c>
      <c r="C63" s="105">
        <v>49007046</v>
      </c>
      <c r="D63" s="44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3" s="44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3" s="105">
        <v>49007062</v>
      </c>
      <c r="G63" s="46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6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84</v>
      </c>
      <c r="I63" s="46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6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6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6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6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6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8059</v>
      </c>
      <c r="O63" s="46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5"/>
      <c r="Q63" s="45"/>
      <c r="R63" s="45"/>
    </row>
    <row r="64" spans="1:18" ht="21" customHeight="1" x14ac:dyDescent="0.15">
      <c r="A64" s="37" t="str">
        <f t="shared" si="7"/>
        <v>49007010_49007046</v>
      </c>
      <c r="B64" s="105">
        <v>49007010</v>
      </c>
      <c r="C64" s="105">
        <v>49007046</v>
      </c>
      <c r="D64" s="44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4" s="44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4" s="105">
        <v>49007063</v>
      </c>
      <c r="G64" s="46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6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83</v>
      </c>
      <c r="I64" s="46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6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6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6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6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6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8060</v>
      </c>
      <c r="O64" s="46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5"/>
      <c r="Q64" s="45"/>
      <c r="R64" s="45"/>
    </row>
    <row r="65" spans="1:18" ht="21" customHeight="1" x14ac:dyDescent="0.15">
      <c r="A65" s="37" t="str">
        <f t="shared" si="7"/>
        <v>49007010_49007046</v>
      </c>
      <c r="B65" s="105">
        <v>49007010</v>
      </c>
      <c r="C65" s="105">
        <v>49007046</v>
      </c>
      <c r="D65" s="44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5" s="44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5" s="105">
        <v>49007064</v>
      </c>
      <c r="G65" s="46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6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82</v>
      </c>
      <c r="I65" s="46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6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6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6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6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6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8061</v>
      </c>
      <c r="O65" s="46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5"/>
      <c r="Q65" s="45"/>
      <c r="R65" s="45"/>
    </row>
    <row r="66" spans="1:18" ht="21" customHeight="1" x14ac:dyDescent="0.15">
      <c r="A66" s="37" t="str">
        <f t="shared" si="7"/>
        <v>49007010_49007046</v>
      </c>
      <c r="B66" s="105">
        <v>49007010</v>
      </c>
      <c r="C66" s="105">
        <v>49007046</v>
      </c>
      <c r="D66" s="44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6" s="44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6" s="105">
        <v>49007065</v>
      </c>
      <c r="G66" s="46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6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66" s="46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6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6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6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6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6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8062</v>
      </c>
      <c r="O66" s="46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5"/>
      <c r="Q66" s="45"/>
      <c r="R66" s="45"/>
    </row>
    <row r="67" spans="1:18" ht="21" customHeight="1" x14ac:dyDescent="0.15">
      <c r="A67" s="37" t="str">
        <f t="shared" si="7"/>
        <v>49007010_49007046</v>
      </c>
      <c r="B67" s="105">
        <v>49007010</v>
      </c>
      <c r="C67" s="105">
        <v>49007046</v>
      </c>
      <c r="D67" s="44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7" s="44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7" s="105">
        <v>49007066</v>
      </c>
      <c r="G67" s="46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6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7" s="46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6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6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6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6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6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8063</v>
      </c>
      <c r="O67" s="46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5"/>
      <c r="Q67" s="45"/>
      <c r="R67" s="45"/>
    </row>
    <row r="68" spans="1:18" ht="21" customHeight="1" x14ac:dyDescent="0.15">
      <c r="A68" s="37" t="str">
        <f t="shared" si="7"/>
        <v>49007010_49007046</v>
      </c>
      <c r="B68" s="105">
        <v>49007010</v>
      </c>
      <c r="C68" s="105">
        <v>49007046</v>
      </c>
      <c r="D68" s="44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8" s="44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8" s="105">
        <v>49007067</v>
      </c>
      <c r="G68" s="46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6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79</v>
      </c>
      <c r="I68" s="46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6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6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6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6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6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8064</v>
      </c>
      <c r="O68" s="46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5"/>
      <c r="Q68" s="45"/>
      <c r="R68" s="45"/>
    </row>
    <row r="69" spans="1:18" ht="21" customHeight="1" x14ac:dyDescent="0.15">
      <c r="A69" s="37" t="str">
        <f t="shared" si="7"/>
        <v>49007010_49007046</v>
      </c>
      <c r="B69" s="105">
        <v>49007010</v>
      </c>
      <c r="C69" s="105">
        <v>49007046</v>
      </c>
      <c r="D69" s="44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9" s="44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9" s="105">
        <v>49007068</v>
      </c>
      <c r="G69" s="46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6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78</v>
      </c>
      <c r="I69" s="46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6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6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6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6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6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8065</v>
      </c>
      <c r="O69" s="46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5"/>
      <c r="Q69" s="45"/>
      <c r="R69" s="45"/>
    </row>
    <row r="70" spans="1:18" ht="21" customHeight="1" x14ac:dyDescent="0.15">
      <c r="A70" s="37" t="str">
        <f t="shared" ref="A70:A85" si="8">B70&amp;"_"&amp;C70</f>
        <v>49007010_49007046</v>
      </c>
      <c r="B70" s="105">
        <v>49007010</v>
      </c>
      <c r="C70" s="105">
        <v>49007046</v>
      </c>
      <c r="D70" s="44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0" s="44" t="str">
        <f ca="1">VLOOKUP($C70,OFFSET(enemy_skills!$A$1,0,0,COUNTA(enemy_skills!$A:$A),MATCH(E$1,enemy_skills!$1:$1,0)-MATCH("enemy_skill_id",enemy_skills!$1:$1,0)+1),MATCH(E$1,enemy_skills!$1:$1,0)-MATCH("enemy_skill_id",enemy_skills!$1:$1,0)+1,FALSE)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0" s="105">
        <v>49007069</v>
      </c>
      <c r="G70" s="46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6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77</v>
      </c>
      <c r="I70" s="46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6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6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6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6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6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8066</v>
      </c>
      <c r="O70" s="46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5"/>
      <c r="Q70" s="45"/>
      <c r="R70" s="45"/>
    </row>
    <row r="71" spans="1:18" ht="21" customHeight="1" x14ac:dyDescent="0.15">
      <c r="A71" s="37" t="str">
        <f t="shared" si="8"/>
        <v>49007010_49007046</v>
      </c>
      <c r="B71" s="105">
        <v>49007010</v>
      </c>
      <c r="C71" s="105">
        <v>49007046</v>
      </c>
      <c r="D71" s="44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1" s="44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1" s="105">
        <v>49007070</v>
      </c>
      <c r="G71" s="46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6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76</v>
      </c>
      <c r="I71" s="46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6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6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6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6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6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8067</v>
      </c>
      <c r="O71" s="46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5"/>
      <c r="Q71" s="45"/>
      <c r="R71" s="45"/>
    </row>
    <row r="72" spans="1:18" ht="21" customHeight="1" x14ac:dyDescent="0.15">
      <c r="A72" s="37" t="str">
        <f t="shared" si="8"/>
        <v>49007010_49007046</v>
      </c>
      <c r="B72" s="105">
        <v>49007010</v>
      </c>
      <c r="C72" s="105">
        <v>49007046</v>
      </c>
      <c r="D72" s="44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2" s="44" t="str">
        <f ca="1">VLOOKUP($C72,OFFSET(enemy_skills!$A$1,0,0,COUNTA(enemy_skills!$A:$A),MATCH(E$1,enemy_skills!$1:$1,0)-MATCH("enemy_skill_id",enemy_skills!$1:$1,0)+1),MATCH(E$1,enemy_skills!$1:$1,0)-MATCH("enemy_skill_id",enemy_skills!$1:$1,0)+1,FALSE)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2" s="105">
        <v>49007071</v>
      </c>
      <c r="G72" s="46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6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75</v>
      </c>
      <c r="I72" s="46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6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6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6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6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6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8068</v>
      </c>
      <c r="O72" s="46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5"/>
      <c r="Q72" s="45"/>
      <c r="R72" s="45"/>
    </row>
    <row r="73" spans="1:18" ht="21" customHeight="1" x14ac:dyDescent="0.15">
      <c r="A73" s="37" t="str">
        <f t="shared" si="8"/>
        <v>49007010_49007046</v>
      </c>
      <c r="B73" s="105">
        <v>49007010</v>
      </c>
      <c r="C73" s="105">
        <v>49007046</v>
      </c>
      <c r="D73" s="44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3" s="44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3" s="105">
        <v>49007072</v>
      </c>
      <c r="G73" s="46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6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74</v>
      </c>
      <c r="I73" s="46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6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6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6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6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6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8069</v>
      </c>
      <c r="O73" s="46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5"/>
      <c r="Q73" s="45"/>
      <c r="R73" s="45"/>
    </row>
    <row r="74" spans="1:18" ht="21" customHeight="1" x14ac:dyDescent="0.15">
      <c r="A74" s="37" t="str">
        <f t="shared" si="8"/>
        <v>49007010_49007046</v>
      </c>
      <c r="B74" s="105">
        <v>49007010</v>
      </c>
      <c r="C74" s="105">
        <v>49007046</v>
      </c>
      <c r="D74" s="44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4" s="44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4" s="105">
        <v>49007073</v>
      </c>
      <c r="G74" s="46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6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73</v>
      </c>
      <c r="I74" s="46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6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6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6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6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6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8070</v>
      </c>
      <c r="O74" s="46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5"/>
      <c r="Q74" s="45"/>
      <c r="R74" s="45"/>
    </row>
    <row r="75" spans="1:18" ht="21" customHeight="1" x14ac:dyDescent="0.15">
      <c r="A75" s="37" t="str">
        <f t="shared" si="8"/>
        <v>49007010_49007046</v>
      </c>
      <c r="B75" s="105">
        <v>49007010</v>
      </c>
      <c r="C75" s="105">
        <v>49007046</v>
      </c>
      <c r="D75" s="44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5" s="44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5" s="105">
        <v>49007074</v>
      </c>
      <c r="G75" s="46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6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72</v>
      </c>
      <c r="I75" s="46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6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6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6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6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6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8071</v>
      </c>
      <c r="O75" s="46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5"/>
      <c r="Q75" s="45"/>
      <c r="R75" s="45"/>
    </row>
    <row r="76" spans="1:18" ht="21" customHeight="1" thickBot="1" x14ac:dyDescent="0.2">
      <c r="A76" s="37" t="str">
        <f t="shared" si="8"/>
        <v>49007010_49007046</v>
      </c>
      <c r="B76" s="225">
        <v>49007010</v>
      </c>
      <c r="C76" s="225">
        <v>49007046</v>
      </c>
      <c r="D76" s="172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6" s="172" t="str">
        <f ca="1">VLOOKUP($C76,OFFSET(enemy_skills!$A$1,0,0,COUNTA(enemy_skills!$A:$A),MATCH(E$1,enemy_skills!$1:$1,0)-MATCH("enemy_skill_id",enemy_skills!$1:$1,0)+1),MATCH(E$1,enemy_skills!$1:$1,0)-MATCH("enemy_skill_id",enemy_skills!$1:$1,0)+1,FALSE)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6" s="225">
        <v>49007075</v>
      </c>
      <c r="G76" s="173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173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76" s="173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173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173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173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173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173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8072</v>
      </c>
      <c r="O76" s="173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167"/>
      <c r="Q76" s="167"/>
      <c r="R76" s="167"/>
    </row>
    <row r="77" spans="1:18" s="178" customFormat="1" ht="21" customHeight="1" x14ac:dyDescent="0.15">
      <c r="A77" s="174" t="str">
        <f t="shared" si="8"/>
        <v>49007011_49007025</v>
      </c>
      <c r="B77" s="226">
        <v>49007011</v>
      </c>
      <c r="C77" s="226">
        <v>49007025</v>
      </c>
      <c r="D77" s="17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さあ帰ってきたぞ！楽園から！！</v>
      </c>
      <c r="E77" s="17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なにやらテンションがおかしい！</v>
      </c>
      <c r="F77" s="226">
        <v>49007025</v>
      </c>
      <c r="G77" s="177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177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7" s="177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177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177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177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177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177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177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175"/>
      <c r="Q77" s="175"/>
      <c r="R77" s="175" t="s">
        <v>329</v>
      </c>
    </row>
    <row r="78" spans="1:18" s="180" customFormat="1" ht="21" customHeight="1" x14ac:dyDescent="0.15">
      <c r="A78" s="179" t="str">
        <f t="shared" si="8"/>
        <v>49007011_49007047</v>
      </c>
      <c r="B78" s="105">
        <v>49007011</v>
      </c>
      <c r="C78" s="105">
        <v>49007047</v>
      </c>
      <c r="D78" s="44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オレの仲間たちの力を見せてやろう</v>
      </c>
      <c r="E78" s="44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お邪魔パネル出現＋クリティカル</v>
      </c>
      <c r="F78" s="105">
        <v>49007026</v>
      </c>
      <c r="G78" s="46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6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8" s="46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6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78" s="46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6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6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6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6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5"/>
      <c r="Q78" s="45"/>
      <c r="R78" s="45" t="s">
        <v>329</v>
      </c>
    </row>
    <row r="79" spans="1:18" s="180" customFormat="1" ht="21" customHeight="1" x14ac:dyDescent="0.15">
      <c r="A79" s="179" t="str">
        <f t="shared" si="8"/>
        <v>49007011_49007027</v>
      </c>
      <c r="B79" s="105">
        <v>49007011</v>
      </c>
      <c r="C79" s="105">
        <v>49007027</v>
      </c>
      <c r="D79" s="44" t="str">
        <f ca="1">VLOOKUP($C79,OFFSET(enemy_skills!$A$1,0,0,COUNTA(enemy_skills!$A:$A),MATCH(D$1,enemy_skills!$1:$1,0)-MATCH("enemy_skill_id",enemy_skills!$1:$1,0)+1),MATCH(D$1,enemy_skills!$1:$1,0)-MATCH("enemy_skill_id",enemy_skills!$1:$1,0)+1,FALSE)</f>
        <v>貴様にこの幸せを壊しはさせんぞ！</v>
      </c>
      <c r="E79" s="44" t="str">
        <f ca="1">VLOOKUP($C79,OFFSET(enemy_skills!$A$1,0,0,COUNTA(enemy_skills!$A:$A),MATCH(E$1,enemy_skills!$1:$1,0)-MATCH("enemy_skill_id",enemy_skills!$1:$1,0)+1),MATCH(E$1,enemy_skills!$1:$1,0)-MATCH("enemy_skill_id",enemy_skills!$1:$1,0)+1,FALSE)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79" s="105">
        <v>49007027</v>
      </c>
      <c r="G79" s="46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6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79" s="46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79" s="46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6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6" t="str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9" s="46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6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6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79" s="45"/>
      <c r="Q79" s="45"/>
      <c r="R79" s="45" t="s">
        <v>329</v>
      </c>
    </row>
    <row r="80" spans="1:18" s="180" customFormat="1" ht="21" customHeight="1" x14ac:dyDescent="0.15">
      <c r="A80" s="179" t="str">
        <f t="shared" si="8"/>
        <v>49007011_49007028</v>
      </c>
      <c r="B80" s="105">
        <v>49007011</v>
      </c>
      <c r="C80" s="105">
        <v>49007028</v>
      </c>
      <c r="D80" s="44" t="str">
        <f ca="1">VLOOKUP($C80,OFFSET(enemy_skills!$A$1,0,0,COUNTA(enemy_skills!$A:$A),MATCH(D$1,enemy_skills!$1:$1,0)-MATCH("enemy_skill_id",enemy_skills!$1:$1,0)+1),MATCH(D$1,enemy_skills!$1:$1,0)-MATCH("enemy_skill_id",enemy_skills!$1:$1,0)+1,FALSE)</f>
        <v>踊れ！パレードのように！</v>
      </c>
      <c r="E80" s="44" t="str">
        <f ca="1">VLOOKUP($C80,OFFSET(enemy_skills!$A$1,0,0,COUNTA(enemy_skills!$A:$A),MATCH(E$1,enemy_skills!$1:$1,0)-MATCH("enemy_skill_id",enemy_skills!$1:$1,0)+1),MATCH(E$1,enemy_skills!$1:$1,0)-MATCH("enemy_skill_id",enemy_skills!$1:$1,0)+1,FALSE)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0" s="105">
        <v>49007028</v>
      </c>
      <c r="G80" s="46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6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80" s="46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80" s="46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6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6" t="str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0" s="46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6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6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80" s="45"/>
      <c r="Q80" s="45"/>
      <c r="R80" s="45" t="s">
        <v>329</v>
      </c>
    </row>
    <row r="81" spans="1:18" s="180" customFormat="1" ht="21" customHeight="1" x14ac:dyDescent="0.15">
      <c r="A81" s="179" t="str">
        <f t="shared" si="8"/>
        <v>49007011_49007029</v>
      </c>
      <c r="B81" s="105">
        <v>49007011</v>
      </c>
      <c r="C81" s="105">
        <v>49007029</v>
      </c>
      <c r="D81" s="44" t="str">
        <f ca="1">VLOOKUP($C81,OFFSET(enemy_skills!$A$1,0,0,COUNTA(enemy_skills!$A:$A),MATCH(D$1,enemy_skills!$1:$1,0)-MATCH("enemy_skill_id",enemy_skills!$1:$1,0)+1),MATCH(D$1,enemy_skills!$1:$1,0)-MATCH("enemy_skill_id",enemy_skills!$1:$1,0)+1,FALSE)</f>
        <v>愛い奴め…仕方ないな！！！</v>
      </c>
      <c r="E81" s="44" t="str">
        <f ca="1">VLOOKUP($C81,OFFSET(enemy_skills!$A$1,0,0,COUNTA(enemy_skills!$A:$A),MATCH(E$1,enemy_skills!$1:$1,0)-MATCH("enemy_skill_id",enemy_skills!$1:$1,0)+1),MATCH(E$1,enemy_skills!$1:$1,0)-MATCH("enemy_skill_id",enemy_skills!$1:$1,0)+1,FALSE)</f>
        <v>2ターン全てのユニットの攻撃力UP _x000D_種族サンリオキャラクターズに効果大</v>
      </c>
      <c r="F81" s="105">
        <v>49007029</v>
      </c>
      <c r="G81" s="46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6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26</v>
      </c>
      <c r="I81" s="46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81" s="46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81" s="46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6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6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6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6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81" s="45"/>
      <c r="Q81" s="45"/>
      <c r="R81" s="45" t="s">
        <v>329</v>
      </c>
    </row>
    <row r="82" spans="1:18" s="180" customFormat="1" ht="21" customHeight="1" x14ac:dyDescent="0.15">
      <c r="A82" s="179" t="str">
        <f t="shared" si="8"/>
        <v>49007012_49007030</v>
      </c>
      <c r="B82" s="105">
        <v>49007012</v>
      </c>
      <c r="C82" s="105">
        <v>49007030</v>
      </c>
      <c r="D82" s="44" t="str">
        <f ca="1">VLOOKUP($C82,OFFSET(enemy_skills!$A$1,0,0,COUNTA(enemy_skills!$A:$A),MATCH(D$1,enemy_skills!$1:$1,0)-MATCH("enemy_skill_id",enemy_skills!$1:$1,0)+1),MATCH(D$1,enemy_skills!$1:$1,0)-MATCH("enemy_skill_id",enemy_skills!$1:$1,0)+1,FALSE)</f>
        <v>力がみなぎってくるようだ…！</v>
      </c>
      <c r="E82" s="44" t="str">
        <f ca="1">VLOOKUP($C82,OFFSET(enemy_skills!$A$1,0,0,COUNTA(enemy_skills!$A:$A),MATCH(E$1,enemy_skills!$1:$1,0)-MATCH("enemy_skill_id",enemy_skills!$1:$1,0)+1),MATCH(E$1,enemy_skills!$1:$1,0)-MATCH("enemy_skill_id",enemy_skills!$1:$1,0)+1,FALSE)</f>
        <v>3ターンの間スピードアップ</v>
      </c>
      <c r="F82" s="105">
        <v>49007030</v>
      </c>
      <c r="G82" s="46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46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2" s="46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6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6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6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6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6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6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5"/>
      <c r="Q82" s="45"/>
      <c r="R82" s="45" t="s">
        <v>329</v>
      </c>
    </row>
    <row r="83" spans="1:18" s="180" customFormat="1" ht="21" customHeight="1" x14ac:dyDescent="0.15">
      <c r="A83" s="179" t="str">
        <f t="shared" si="8"/>
        <v>49007012_49007031</v>
      </c>
      <c r="B83" s="105">
        <v>49007012</v>
      </c>
      <c r="C83" s="105">
        <v>49007031</v>
      </c>
      <c r="D83" s="44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ハハハ…笑いが止まらんぞ…？！</v>
      </c>
      <c r="E83" s="44" t="str">
        <f ca="1">VLOOKUP($C83,OFFSET(enemy_skills!$A$1,0,0,COUNTA(enemy_skills!$A:$A),MATCH(E$1,enemy_skills!$1:$1,0)-MATCH("enemy_skill_id",enemy_skills!$1:$1,0)+1),MATCH(E$1,enemy_skills!$1:$1,0)-MATCH("enemy_skill_id",enemy_skills!$1:$1,0)+1,FALSE)</f>
        <v>3ターン暗闇＋全体攻撃</v>
      </c>
      <c r="F83" s="105">
        <v>49007031</v>
      </c>
      <c r="G83" s="46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6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83" s="46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6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3" s="46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6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6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6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6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5"/>
      <c r="Q83" s="45"/>
      <c r="R83" s="45" t="s">
        <v>329</v>
      </c>
    </row>
    <row r="84" spans="1:18" s="180" customFormat="1" ht="21" customHeight="1" x14ac:dyDescent="0.15">
      <c r="A84" s="179" t="str">
        <f t="shared" si="8"/>
        <v>49007012_49007032</v>
      </c>
      <c r="B84" s="105">
        <v>49007012</v>
      </c>
      <c r="C84" s="105">
        <v>49007032</v>
      </c>
      <c r="D84" s="44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どうだ似合っているだろう？</v>
      </c>
      <c r="E84" s="44" t="str">
        <f ca="1">VLOOKUP($C84,OFFSET(enemy_skills!$A$1,0,0,COUNTA(enemy_skills!$A:$A),MATCH(E$1,enemy_skills!$1:$1,0)-MATCH("enemy_skill_id",enemy_skills!$1:$1,0)+1),MATCH(E$1,enemy_skills!$1:$1,0)-MATCH("enemy_skill_id",enemy_skills!$1:$1,0)+1,FALSE)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84" s="105">
        <v>49007032</v>
      </c>
      <c r="G84" s="46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6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84" s="46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4" s="46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6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6" t="str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4" s="46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6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6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4" s="45"/>
      <c r="Q84" s="45"/>
      <c r="R84" s="45" t="s">
        <v>329</v>
      </c>
    </row>
    <row r="85" spans="1:18" s="180" customFormat="1" ht="21" customHeight="1" x14ac:dyDescent="0.15">
      <c r="A85" s="179" t="str">
        <f t="shared" si="8"/>
        <v>49007012_49007033</v>
      </c>
      <c r="B85" s="105">
        <v>49007012</v>
      </c>
      <c r="C85" s="105">
        <v>49007033</v>
      </c>
      <c r="D85" s="44" t="str">
        <f ca="1">VLOOKUP($C85,OFFSET(enemy_skills!$A$1,0,0,COUNTA(enemy_skills!$A:$A),MATCH(D$1,enemy_skills!$1:$1,0)-MATCH("enemy_skill_id",enemy_skills!$1:$1,0)+1),MATCH(D$1,enemy_skills!$1:$1,0)-MATCH("enemy_skill_id",enemy_skills!$1:$1,0)+1,FALSE)</f>
        <v>出でよ！愉快な仲間たち！！！</v>
      </c>
      <c r="E85" s="44" t="str">
        <f ca="1">VLOOKUP($C85,OFFSET(enemy_skills!$A$1,0,0,COUNTA(enemy_skills!$A:$A),MATCH(E$1,enemy_skills!$1:$1,0)-MATCH("enemy_skill_id",enemy_skills!$1:$1,0)+1),MATCH(E$1,enemy_skills!$1:$1,0)-MATCH("enemy_skill_id",enemy_skills!$1:$1,0)+1,FALSE)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5" s="105">
        <v>49007033</v>
      </c>
      <c r="G85" s="46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6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85" s="46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5" s="46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6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6" t="str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5" s="46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6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6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5" s="45"/>
      <c r="Q85" s="45"/>
      <c r="R85" s="45" t="s">
        <v>329</v>
      </c>
    </row>
    <row r="86" spans="1:18" s="180" customFormat="1" ht="21" customHeight="1" x14ac:dyDescent="0.15">
      <c r="A86" s="179" t="str">
        <f>B86&amp;"_"&amp;C86</f>
        <v>49007012_49007048</v>
      </c>
      <c r="B86" s="105">
        <v>49007012</v>
      </c>
      <c r="C86" s="105">
        <v>49007048</v>
      </c>
      <c r="D86" s="44" t="str">
        <f ca="1">VLOOKUP($C86,OFFSET(enemy_skills!$A$1,0,0,COUNTA(enemy_skills!$A:$A),MATCH(D$1,enemy_skills!$1:$1,0)-MATCH("enemy_skill_id",enemy_skills!$1:$1,0)+1),MATCH(D$1,enemy_skills!$1:$1,0)-MATCH("enemy_skill_id",enemy_skills!$1:$1,0)+1,FALSE)</f>
        <v>貴様も味わうが良い…このもふもふを！</v>
      </c>
      <c r="E86" s="44" t="str">
        <f ca="1">VLOOKUP($C86,OFFSET(enemy_skills!$A$1,0,0,COUNTA(enemy_skills!$A:$A),MATCH(E$1,enemy_skills!$1:$1,0)-MATCH("enemy_skill_id",enemy_skills!$1:$1,0)+1),MATCH(E$1,enemy_skills!$1:$1,0)-MATCH("enemy_skill_id",enemy_skills!$1:$1,0)+1,FALSE)</f>
        <v>お邪魔パネル出現＋クリティカル</v>
      </c>
      <c r="F86" s="105">
        <v>49007034</v>
      </c>
      <c r="G86" s="46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6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86" s="46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6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6" s="46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6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6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6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6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5"/>
      <c r="Q86" s="45"/>
      <c r="R86" s="45" t="s">
        <v>329</v>
      </c>
    </row>
    <row r="87" spans="1:18" s="180" customFormat="1" ht="21" customHeight="1" x14ac:dyDescent="0.15">
      <c r="A87" s="179" t="str">
        <f t="shared" ref="A87:A88" si="9">B87&amp;"_"&amp;C87</f>
        <v>49007012_49007035</v>
      </c>
      <c r="B87" s="105">
        <v>49007012</v>
      </c>
      <c r="C87" s="105">
        <v>49007035</v>
      </c>
      <c r="D87" s="44" t="str">
        <f ca="1">VLOOKUP($C87,OFFSET(enemy_skills!$A$1,0,0,COUNTA(enemy_skills!$A:$A),MATCH(D$1,enemy_skills!$1:$1,0)-MATCH("enemy_skill_id",enemy_skills!$1:$1,0)+1),MATCH(D$1,enemy_skills!$1:$1,0)-MATCH("enemy_skill_id",enemy_skills!$1:$1,0)+1,FALSE)</f>
        <v>仲間達を愚弄するとは…許さんぞ！</v>
      </c>
      <c r="E87" s="44" t="str">
        <f ca="1">VLOOKUP($C87,OFFSET(enemy_skills!$A$1,0,0,COUNTA(enemy_skills!$A:$A),MATCH(E$1,enemy_skills!$1:$1,0)-MATCH("enemy_skill_id",enemy_skills!$1:$1,0)+1),MATCH(E$1,enemy_skills!$1:$1,0)-MATCH("enemy_skill_id",enemy_skills!$1:$1,0)+1,FALSE)</f>
        <v>次のターン緑パネルをハートに変換 _x000D_＋次のターンに強力な攻撃</v>
      </c>
      <c r="F87" s="105">
        <v>49007035</v>
      </c>
      <c r="G87" s="46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6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87" s="46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6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6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6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6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7" s="46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6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5"/>
      <c r="Q87" s="45"/>
      <c r="R87" s="45" t="s">
        <v>329</v>
      </c>
    </row>
    <row r="88" spans="1:18" s="184" customFormat="1" ht="21" customHeight="1" thickBot="1" x14ac:dyDescent="0.2">
      <c r="A88" s="181" t="str">
        <f t="shared" si="9"/>
        <v>49007012_49007036</v>
      </c>
      <c r="B88" s="224">
        <v>49007012</v>
      </c>
      <c r="C88" s="224">
        <v>49007036</v>
      </c>
      <c r="D88" s="182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そら、受け取れ！！土産だ！</v>
      </c>
      <c r="E88" s="182" t="str">
        <f ca="1">VLOOKUP($C88,OFFSET(enemy_skills!$A$1,0,0,COUNTA(enemy_skills!$A:$A),MATCH(E$1,enemy_skills!$1:$1,0)-MATCH("enemy_skill_id",enemy_skills!$1:$1,0)+1),MATCH(E$1,enemy_skills!$1:$1,0)-MATCH("enemy_skill_id",enemy_skills!$1:$1,0)+1,FALSE)</f>
        <v>緑パネルをハートに変換＋全体攻撃</v>
      </c>
      <c r="F88" s="224">
        <v>49007036</v>
      </c>
      <c r="G88" s="183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183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44</v>
      </c>
      <c r="I88" s="183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183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183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183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183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8" s="183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183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170"/>
      <c r="Q88" s="170"/>
      <c r="R88" s="45" t="s">
        <v>329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9"/>
  <sheetViews>
    <sheetView showGridLines="0" zoomScale="120" zoomScaleNormal="120" zoomScalePageLayoutView="120" workbookViewId="0">
      <pane ySplit="1" topLeftCell="A2" activePane="bottomLeft" state="frozenSplit"/>
      <selection pane="bottomLeft" activeCell="A12" sqref="A12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67.1640625" style="47" customWidth="1"/>
    <col min="3" max="4" width="12.83203125" style="47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23.6640625" style="47" customWidth="1" collapsed="1"/>
    <col min="13" max="18" width="23.6640625" style="47" hidden="1" customWidth="1" outlineLevel="1"/>
    <col min="19" max="19" width="23.6640625" style="47" customWidth="1" collapsed="1"/>
    <col min="20" max="24" width="23.6640625" style="47" hidden="1" customWidth="1" outlineLevel="1"/>
    <col min="25" max="25" width="23.6640625" style="47" customWidth="1" collapsed="1"/>
    <col min="26" max="27" width="12.83203125" style="47"/>
    <col min="28" max="28" width="44.5" style="47" customWidth="1"/>
    <col min="29" max="16384" width="12.83203125" style="47"/>
  </cols>
  <sheetData>
    <row r="1" spans="1:28" ht="21" customHeight="1" x14ac:dyDescent="0.15">
      <c r="A1" s="38" t="s">
        <v>78</v>
      </c>
      <c r="B1" s="38" t="s">
        <v>79</v>
      </c>
      <c r="C1" s="38" t="s">
        <v>80</v>
      </c>
      <c r="D1" s="38" t="s">
        <v>124</v>
      </c>
      <c r="E1" s="38" t="s">
        <v>81</v>
      </c>
      <c r="F1" s="38" t="s">
        <v>82</v>
      </c>
      <c r="G1" s="39" t="s">
        <v>130</v>
      </c>
      <c r="H1" s="39" t="s">
        <v>136</v>
      </c>
      <c r="I1" s="39" t="s">
        <v>138</v>
      </c>
      <c r="J1" s="39" t="s">
        <v>137</v>
      </c>
      <c r="K1" s="39" t="s">
        <v>139</v>
      </c>
      <c r="L1" s="39" t="s">
        <v>131</v>
      </c>
      <c r="M1" s="39" t="s">
        <v>129</v>
      </c>
      <c r="N1" s="39" t="s">
        <v>132</v>
      </c>
      <c r="O1" s="39" t="s">
        <v>140</v>
      </c>
      <c r="P1" s="39" t="s">
        <v>141</v>
      </c>
      <c r="Q1" s="39" t="s">
        <v>142</v>
      </c>
      <c r="R1" s="39" t="s">
        <v>143</v>
      </c>
      <c r="S1" s="39" t="s">
        <v>133</v>
      </c>
      <c r="T1" s="39" t="s">
        <v>134</v>
      </c>
      <c r="U1" s="39" t="s">
        <v>144</v>
      </c>
      <c r="V1" s="39" t="s">
        <v>145</v>
      </c>
      <c r="W1" s="39" t="s">
        <v>146</v>
      </c>
      <c r="X1" s="39" t="s">
        <v>147</v>
      </c>
      <c r="Y1" s="39" t="s">
        <v>135</v>
      </c>
      <c r="Z1" s="39" t="s">
        <v>75</v>
      </c>
      <c r="AA1" s="39" t="s">
        <v>76</v>
      </c>
      <c r="AB1" s="39" t="s">
        <v>77</v>
      </c>
    </row>
    <row r="2" spans="1:28" ht="21" customHeight="1" x14ac:dyDescent="0.15">
      <c r="A2" s="105">
        <v>49007001</v>
      </c>
      <c r="B2" s="45" t="s">
        <v>248</v>
      </c>
      <c r="C2" s="48">
        <v>3</v>
      </c>
      <c r="D2" s="48" t="s">
        <v>125</v>
      </c>
      <c r="E2" s="49" t="s">
        <v>257</v>
      </c>
      <c r="F2" s="49" t="s">
        <v>253</v>
      </c>
      <c r="G2" s="61" t="str">
        <f>IFERROR(LEFT(B2,FIND("],",B2)),B2)</f>
        <v xml:space="preserve">[effect:fix_speed, target:myself, turn:2]    </v>
      </c>
      <c r="H2" s="61">
        <f>FIND("effect:",G2)+7</f>
        <v>9</v>
      </c>
      <c r="I2" s="61">
        <f>IFERROR(FIND(",",G2),LEN(G2))</f>
        <v>18</v>
      </c>
      <c r="J2" s="61">
        <f>FIND("target:",G2)+7</f>
        <v>27</v>
      </c>
      <c r="K2" s="61">
        <f>FIND(",",G2,I2+1)</f>
        <v>33</v>
      </c>
      <c r="L2" s="61" t="str">
        <f>IFERROR(VLOOKUP(MID(G2,J2,K2-J2),[6]skilldef!$C:$D,2,FALSE),"-") &amp; " / " &amp; IFERROR(VLOOKUP(MID(G2,H2,I2-H2),[6]skilldef!$A:$B,2,FALSE),"-")</f>
        <v>自分自身に / 行動値設定</v>
      </c>
      <c r="M2" s="61" t="str">
        <f>IFERROR(RIGHT(B2,LEN(B2)-FIND("],",B2)-1),"none")</f>
        <v>none</v>
      </c>
      <c r="N2" s="46" t="str">
        <f>IFERROR(LEFT(M2,FIND("],",M2)+S10),M2)</f>
        <v>none</v>
      </c>
      <c r="O2" s="61" t="e">
        <f>FIND("effect:",N2)+7</f>
        <v>#VALUE!</v>
      </c>
      <c r="P2" s="61">
        <f>IFERROR(FIND(",",N2),LEN(N2))</f>
        <v>4</v>
      </c>
      <c r="Q2" s="61" t="e">
        <f>FIND("target:",N2)+7</f>
        <v>#VALUE!</v>
      </c>
      <c r="R2" s="61" t="e">
        <f>FIND(",",N2,P2+1)</f>
        <v>#VALUE!</v>
      </c>
      <c r="S2" s="61" t="str">
        <f>IFERROR(VLOOKUP(MID(N2,Q2,R2-Q2),[6]skilldef!$C:$D,2,FALSE),"-") &amp; " / " &amp; IFERROR(VLOOKUP(MID(N2,O2,P2-O2),[6]skilldef!$A:$B,2,FALSE),"-")</f>
        <v>- / -</v>
      </c>
      <c r="T2" s="46" t="str">
        <f>IFERROR(RIGHT(M2,LEN(M2)-FIND("],",M2)-1),"none")</f>
        <v>none</v>
      </c>
      <c r="U2" s="61" t="e">
        <f>FIND("effect:",T2)+7</f>
        <v>#VALUE!</v>
      </c>
      <c r="V2" s="61">
        <f>IFERROR(FIND(",",T2),LEN(T2))</f>
        <v>4</v>
      </c>
      <c r="W2" s="61" t="e">
        <f>FIND("target:",T2)+7</f>
        <v>#VALUE!</v>
      </c>
      <c r="X2" s="61" t="e">
        <f>FIND(",",T2,V2+1)</f>
        <v>#VALUE!</v>
      </c>
      <c r="Y2" s="61" t="str">
        <f>IFERROR(VLOOKUP(MID(T2,W2,X2-W2),[6]skilldef!$C:$D,2,FALSE),"-") &amp; " / " &amp; IFERROR(VLOOKUP(MID(T2,U2,V2-U2),[6]skilldef!$A:$B,2,FALSE),"-")</f>
        <v>- / -</v>
      </c>
      <c r="Z2" s="48"/>
      <c r="AA2" s="50"/>
      <c r="AB2" s="48"/>
    </row>
    <row r="3" spans="1:28" ht="21" customHeight="1" x14ac:dyDescent="0.15">
      <c r="A3" s="105">
        <v>49007002</v>
      </c>
      <c r="B3" s="45" t="s">
        <v>245</v>
      </c>
      <c r="C3" s="48">
        <v>3</v>
      </c>
      <c r="D3" s="48" t="s">
        <v>125</v>
      </c>
      <c r="E3" s="49" t="s">
        <v>258</v>
      </c>
      <c r="F3" s="49" t="s">
        <v>280</v>
      </c>
      <c r="G3" s="61" t="str">
        <f t="shared" ref="G3:G15" si="0">IFERROR(LEFT(B3,FIND("],",B3)),B3)</f>
        <v xml:space="preserve">[effect:change_panel_ratio, turn:3, block_type:heal, val:0, animation:block_incidence04]    </v>
      </c>
      <c r="H3" s="61">
        <f t="shared" ref="H3:H43" si="1">FIND("effect:",G3)+7</f>
        <v>9</v>
      </c>
      <c r="I3" s="61">
        <f t="shared" ref="I3:I15" si="2">IFERROR(FIND(",",G3),LEN(G3))</f>
        <v>27</v>
      </c>
      <c r="J3" s="61" t="e">
        <f t="shared" ref="J3:J15" si="3">FIND("target:",G3)+7</f>
        <v>#VALUE!</v>
      </c>
      <c r="K3" s="61">
        <f t="shared" ref="K3:K15" si="4">FIND(",",G3,I3+1)</f>
        <v>35</v>
      </c>
      <c r="L3" s="61" t="str">
        <f>IFERROR(VLOOKUP(MID(G3,J3,K3-J3),[6]skilldef!$C:$D,2,FALSE),"-") &amp; " / " &amp; IFERROR(VLOOKUP(MID(G3,H3,I3-H3),[6]skilldef!$A:$B,2,FALSE),"-")</f>
        <v>- / -</v>
      </c>
      <c r="M3" s="61" t="str">
        <f t="shared" ref="M3:M15" si="5">IFERROR(RIGHT(B3,LEN(B3)-FIND("],",B3)-1),"none")</f>
        <v>none</v>
      </c>
      <c r="N3" s="46" t="str">
        <f>IFERROR(LEFT(M3,FIND("],",M3)+#REF!),M3)</f>
        <v>none</v>
      </c>
      <c r="O3" s="61" t="e">
        <f t="shared" ref="O3:O43" si="6">FIND("effect:",N3)+7</f>
        <v>#VALUE!</v>
      </c>
      <c r="P3" s="61">
        <f t="shared" ref="P3:P15" si="7">IFERROR(FIND(",",N3),LEN(N3))</f>
        <v>4</v>
      </c>
      <c r="Q3" s="61" t="e">
        <f t="shared" ref="Q3:Q15" si="8">FIND("target:",N3)+7</f>
        <v>#VALUE!</v>
      </c>
      <c r="R3" s="61" t="e">
        <f t="shared" ref="R3:R15" si="9">FIND(",",N3,P3+1)</f>
        <v>#VALUE!</v>
      </c>
      <c r="S3" s="61" t="str">
        <f>IFERROR(VLOOKUP(MID(N3,Q3,R3-Q3),[6]skilldef!$C:$D,2,FALSE),"-") &amp; " / " &amp; IFERROR(VLOOKUP(MID(N3,O3,P3-O3),[6]skilldef!$A:$B,2,FALSE),"-")</f>
        <v>- / -</v>
      </c>
      <c r="T3" s="46" t="str">
        <f t="shared" ref="T3:T15" si="10">IFERROR(RIGHT(M3,LEN(M3)-FIND("],",M3)-1),"none")</f>
        <v>none</v>
      </c>
      <c r="U3" s="61" t="e">
        <f t="shared" ref="U3:U43" si="11">FIND("effect:",T3)+7</f>
        <v>#VALUE!</v>
      </c>
      <c r="V3" s="61">
        <f t="shared" ref="V3:V15" si="12">IFERROR(FIND(",",T3),LEN(T3))</f>
        <v>4</v>
      </c>
      <c r="W3" s="61" t="e">
        <f t="shared" ref="W3:W15" si="13">FIND("target:",T3)+7</f>
        <v>#VALUE!</v>
      </c>
      <c r="X3" s="61" t="e">
        <f t="shared" ref="X3:X15" si="14">FIND(",",T3,V3+1)</f>
        <v>#VALUE!</v>
      </c>
      <c r="Y3" s="61" t="str">
        <f>IFERROR(VLOOKUP(MID(T3,W3,X3-W3),[6]skilldef!$C:$D,2,FALSE),"-") &amp; " / " &amp; IFERROR(VLOOKUP(MID(T3,U3,V3-U3),[6]skilldef!$A:$B,2,FALSE),"-")</f>
        <v>- / -</v>
      </c>
      <c r="Z3" s="48"/>
      <c r="AA3" s="50"/>
      <c r="AB3" s="48"/>
    </row>
    <row r="4" spans="1:28" ht="21" customHeight="1" x14ac:dyDescent="0.15">
      <c r="A4" s="105">
        <v>49007003</v>
      </c>
      <c r="B4" s="45" t="s">
        <v>251</v>
      </c>
      <c r="C4" s="48">
        <v>3</v>
      </c>
      <c r="D4" s="48" t="s">
        <v>125</v>
      </c>
      <c r="E4" s="49" t="s">
        <v>259</v>
      </c>
      <c r="F4" s="49" t="s">
        <v>340</v>
      </c>
      <c r="G4" s="61" t="str">
        <f t="shared" si="0"/>
        <v xml:space="preserve">[effect:rush, count:2, val:0.55]    </v>
      </c>
      <c r="H4" s="61">
        <f t="shared" si="1"/>
        <v>9</v>
      </c>
      <c r="I4" s="61">
        <f t="shared" si="2"/>
        <v>13</v>
      </c>
      <c r="J4" s="61" t="e">
        <f t="shared" si="3"/>
        <v>#VALUE!</v>
      </c>
      <c r="K4" s="61">
        <f t="shared" si="4"/>
        <v>22</v>
      </c>
      <c r="L4" s="61" t="str">
        <f>IFERROR(VLOOKUP(MID(G4,J4,K4-J4),[6]skilldef!$C:$D,2,FALSE),"-") &amp; " / " &amp; IFERROR(VLOOKUP(MID(G4,H4,I4-H4),[6]skilldef!$A:$B,2,FALSE),"-")</f>
        <v>- / 連続攻撃</v>
      </c>
      <c r="M4" s="61" t="str">
        <f t="shared" si="5"/>
        <v>none</v>
      </c>
      <c r="N4" s="46" t="str">
        <f>IFERROR(LEFT(M4,FIND("],",M4)+#REF!),M4)</f>
        <v>none</v>
      </c>
      <c r="O4" s="61" t="e">
        <f t="shared" si="6"/>
        <v>#VALUE!</v>
      </c>
      <c r="P4" s="61">
        <f t="shared" si="7"/>
        <v>4</v>
      </c>
      <c r="Q4" s="61" t="e">
        <f t="shared" si="8"/>
        <v>#VALUE!</v>
      </c>
      <c r="R4" s="61" t="e">
        <f t="shared" si="9"/>
        <v>#VALUE!</v>
      </c>
      <c r="S4" s="61" t="str">
        <f>IFERROR(VLOOKUP(MID(N4,Q4,R4-Q4),[6]skilldef!$C:$D,2,FALSE),"-") &amp; " / " &amp; IFERROR(VLOOKUP(MID(N4,O4,P4-O4),[6]skilldef!$A:$B,2,FALSE),"-")</f>
        <v>- / -</v>
      </c>
      <c r="T4" s="46" t="str">
        <f t="shared" si="10"/>
        <v>none</v>
      </c>
      <c r="U4" s="61" t="e">
        <f t="shared" si="11"/>
        <v>#VALUE!</v>
      </c>
      <c r="V4" s="61">
        <f t="shared" si="12"/>
        <v>4</v>
      </c>
      <c r="W4" s="61" t="e">
        <f t="shared" si="13"/>
        <v>#VALUE!</v>
      </c>
      <c r="X4" s="61" t="e">
        <f t="shared" si="14"/>
        <v>#VALUE!</v>
      </c>
      <c r="Y4" s="61" t="str">
        <f>IFERROR(VLOOKUP(MID(T4,W4,X4-W4),[6]skilldef!$C:$D,2,FALSE),"-") &amp; " / " &amp; IFERROR(VLOOKUP(MID(T4,U4,V4-U4),[6]skilldef!$A:$B,2,FALSE),"-")</f>
        <v>- / -</v>
      </c>
      <c r="Z4" s="48"/>
      <c r="AA4" s="50"/>
      <c r="AB4" s="48"/>
    </row>
    <row r="5" spans="1:28" ht="21" customHeight="1" x14ac:dyDescent="0.15">
      <c r="A5" s="105">
        <v>49007004</v>
      </c>
      <c r="B5" s="45" t="s">
        <v>249</v>
      </c>
      <c r="C5" s="48">
        <v>3</v>
      </c>
      <c r="D5" s="48" t="s">
        <v>125</v>
      </c>
      <c r="E5" s="49" t="s">
        <v>260</v>
      </c>
      <c r="F5" s="49" t="s">
        <v>255</v>
      </c>
      <c r="G5" s="61" t="str">
        <f t="shared" si="0"/>
        <v>[effect:change_attribute, target:myself, color:red, turn:-1, animation:change_attribute_red]</v>
      </c>
      <c r="H5" s="61">
        <f t="shared" si="1"/>
        <v>9</v>
      </c>
      <c r="I5" s="61">
        <f t="shared" si="2"/>
        <v>25</v>
      </c>
      <c r="J5" s="61">
        <f t="shared" si="3"/>
        <v>34</v>
      </c>
      <c r="K5" s="61">
        <f t="shared" si="4"/>
        <v>40</v>
      </c>
      <c r="L5" s="61" t="str">
        <f>IFERROR(VLOOKUP(MID(G5,J5,K5-J5),[6]skilldef!$C:$D,2,FALSE),"-") &amp; " / " &amp; IFERROR(VLOOKUP(MID(G5,H5,I5-H5),[6]skilldef!$A:$B,2,FALSE),"-")</f>
        <v>自分自身に / -</v>
      </c>
      <c r="M5" s="61" t="str">
        <f t="shared" si="5"/>
        <v xml:space="preserve">[effect:fix_speed, target:myself, turn:2]    </v>
      </c>
      <c r="N5" s="46" t="str">
        <f>IFERROR(LEFT(M5,FIND("],",M5)+#REF!),M5)</f>
        <v xml:space="preserve">[effect:fix_speed, target:myself, turn:2]    </v>
      </c>
      <c r="O5" s="61">
        <f t="shared" si="6"/>
        <v>9</v>
      </c>
      <c r="P5" s="61">
        <f t="shared" si="7"/>
        <v>18</v>
      </c>
      <c r="Q5" s="61">
        <f t="shared" si="8"/>
        <v>27</v>
      </c>
      <c r="R5" s="61">
        <f t="shared" si="9"/>
        <v>33</v>
      </c>
      <c r="S5" s="61" t="str">
        <f>IFERROR(VLOOKUP(MID(N5,Q5,R5-Q5),[6]skilldef!$C:$D,2,FALSE),"-") &amp; " / " &amp; IFERROR(VLOOKUP(MID(N5,O5,P5-O5),[6]skilldef!$A:$B,2,FALSE),"-")</f>
        <v>自分自身に / 行動値設定</v>
      </c>
      <c r="T5" s="46" t="str">
        <f t="shared" si="10"/>
        <v>none</v>
      </c>
      <c r="U5" s="61" t="e">
        <f t="shared" si="11"/>
        <v>#VALUE!</v>
      </c>
      <c r="V5" s="61">
        <f t="shared" si="12"/>
        <v>4</v>
      </c>
      <c r="W5" s="61" t="e">
        <f t="shared" si="13"/>
        <v>#VALUE!</v>
      </c>
      <c r="X5" s="61" t="e">
        <f t="shared" si="14"/>
        <v>#VALUE!</v>
      </c>
      <c r="Y5" s="61" t="str">
        <f>IFERROR(VLOOKUP(MID(T5,W5,X5-W5),[6]skilldef!$C:$D,2,FALSE),"-") &amp; " / " &amp; IFERROR(VLOOKUP(MID(T5,U5,V5-U5),[6]skilldef!$A:$B,2,FALSE),"-")</f>
        <v>- / -</v>
      </c>
      <c r="Z5" s="48"/>
      <c r="AA5" s="50"/>
      <c r="AB5" s="48"/>
    </row>
    <row r="6" spans="1:28" ht="21" customHeight="1" x14ac:dyDescent="0.15">
      <c r="A6" s="105">
        <v>49007005</v>
      </c>
      <c r="B6" s="45" t="s">
        <v>250</v>
      </c>
      <c r="C6" s="48">
        <v>3</v>
      </c>
      <c r="D6" s="48" t="s">
        <v>125</v>
      </c>
      <c r="E6" s="49" t="s">
        <v>261</v>
      </c>
      <c r="F6" s="49" t="s">
        <v>215</v>
      </c>
      <c r="G6" s="61" t="str">
        <f t="shared" si="0"/>
        <v xml:space="preserve">[effect:spread, val:0.31]    </v>
      </c>
      <c r="H6" s="61">
        <f t="shared" si="1"/>
        <v>9</v>
      </c>
      <c r="I6" s="61">
        <f t="shared" si="2"/>
        <v>15</v>
      </c>
      <c r="J6" s="61" t="e">
        <f t="shared" si="3"/>
        <v>#VALUE!</v>
      </c>
      <c r="K6" s="61" t="e">
        <f t="shared" si="4"/>
        <v>#VALUE!</v>
      </c>
      <c r="L6" s="61" t="str">
        <f>IFERROR(VLOOKUP(MID(G6,J6,K6-J6),[6]skilldef!$C:$D,2,FALSE),"-") &amp; " / " &amp; IFERROR(VLOOKUP(MID(G6,H6,I6-H6),[6]skilldef!$A:$B,2,FALSE),"-")</f>
        <v>- / 全体攻撃</v>
      </c>
      <c r="M6" s="61" t="str">
        <f t="shared" si="5"/>
        <v>none</v>
      </c>
      <c r="N6" s="46" t="str">
        <f>IFERROR(LEFT(M6,FIND("],",M6)+S11),M6)</f>
        <v>none</v>
      </c>
      <c r="O6" s="61" t="e">
        <f t="shared" si="6"/>
        <v>#VALUE!</v>
      </c>
      <c r="P6" s="61">
        <f t="shared" si="7"/>
        <v>4</v>
      </c>
      <c r="Q6" s="61" t="e">
        <f t="shared" si="8"/>
        <v>#VALUE!</v>
      </c>
      <c r="R6" s="61" t="e">
        <f t="shared" si="9"/>
        <v>#VALUE!</v>
      </c>
      <c r="S6" s="61" t="str">
        <f>IFERROR(VLOOKUP(MID(N6,Q6,R6-Q6),[6]skilldef!$C:$D,2,FALSE),"-") &amp; " / " &amp; IFERROR(VLOOKUP(MID(N6,O6,P6-O6),[6]skilldef!$A:$B,2,FALSE),"-")</f>
        <v>- / -</v>
      </c>
      <c r="T6" s="46" t="str">
        <f t="shared" si="10"/>
        <v>none</v>
      </c>
      <c r="U6" s="61" t="e">
        <f t="shared" si="11"/>
        <v>#VALUE!</v>
      </c>
      <c r="V6" s="61">
        <f t="shared" si="12"/>
        <v>4</v>
      </c>
      <c r="W6" s="61" t="e">
        <f t="shared" si="13"/>
        <v>#VALUE!</v>
      </c>
      <c r="X6" s="61" t="e">
        <f t="shared" si="14"/>
        <v>#VALUE!</v>
      </c>
      <c r="Y6" s="61" t="str">
        <f>IFERROR(VLOOKUP(MID(T6,W6,X6-W6),[6]skilldef!$C:$D,2,FALSE),"-") &amp; " / " &amp; IFERROR(VLOOKUP(MID(T6,U6,V6-U6),[6]skilldef!$A:$B,2,FALSE),"-")</f>
        <v>- / -</v>
      </c>
      <c r="Z6" s="48"/>
      <c r="AA6" s="50"/>
      <c r="AB6" s="48"/>
    </row>
    <row r="7" spans="1:28" ht="21" customHeight="1" x14ac:dyDescent="0.15">
      <c r="A7" s="105">
        <v>49007006</v>
      </c>
      <c r="B7" s="45" t="s">
        <v>235</v>
      </c>
      <c r="C7" s="48">
        <v>3</v>
      </c>
      <c r="D7" s="48" t="s">
        <v>125</v>
      </c>
      <c r="E7" s="49" t="s">
        <v>262</v>
      </c>
      <c r="F7" s="49" t="s">
        <v>339</v>
      </c>
      <c r="G7" s="61" t="str">
        <f t="shared" si="0"/>
        <v>[effect:rush, count:3, val:0.4]</v>
      </c>
      <c r="H7" s="61">
        <f t="shared" si="1"/>
        <v>9</v>
      </c>
      <c r="I7" s="61">
        <f t="shared" si="2"/>
        <v>13</v>
      </c>
      <c r="J7" s="61" t="e">
        <f t="shared" si="3"/>
        <v>#VALUE!</v>
      </c>
      <c r="K7" s="61">
        <f t="shared" si="4"/>
        <v>22</v>
      </c>
      <c r="L7" s="61" t="str">
        <f>IFERROR(VLOOKUP(MID(G7,J7,K7-J7),[6]skilldef!$C:$D,2,FALSE),"-") &amp; " / " &amp; IFERROR(VLOOKUP(MID(G7,H7,I7-H7),[6]skilldef!$A:$B,2,FALSE),"-")</f>
        <v>- / 連続攻撃</v>
      </c>
      <c r="M7" s="61" t="str">
        <f t="shared" si="5"/>
        <v>none</v>
      </c>
      <c r="N7" s="46" t="str">
        <f>IFERROR(LEFT(M7,FIND("],",M7)+S12),M7)</f>
        <v>none</v>
      </c>
      <c r="O7" s="61" t="e">
        <f t="shared" si="6"/>
        <v>#VALUE!</v>
      </c>
      <c r="P7" s="61">
        <f t="shared" si="7"/>
        <v>4</v>
      </c>
      <c r="Q7" s="61" t="e">
        <f t="shared" si="8"/>
        <v>#VALUE!</v>
      </c>
      <c r="R7" s="61" t="e">
        <f t="shared" si="9"/>
        <v>#VALUE!</v>
      </c>
      <c r="S7" s="61" t="str">
        <f>IFERROR(VLOOKUP(MID(N7,Q7,R7-Q7),[6]skilldef!$C:$D,2,FALSE),"-") &amp; " / " &amp; IFERROR(VLOOKUP(MID(N7,O7,P7-O7),[6]skilldef!$A:$B,2,FALSE),"-")</f>
        <v>- / -</v>
      </c>
      <c r="T7" s="46" t="str">
        <f t="shared" si="10"/>
        <v>none</v>
      </c>
      <c r="U7" s="61" t="e">
        <f t="shared" si="11"/>
        <v>#VALUE!</v>
      </c>
      <c r="V7" s="61">
        <f t="shared" si="12"/>
        <v>4</v>
      </c>
      <c r="W7" s="61" t="e">
        <f t="shared" si="13"/>
        <v>#VALUE!</v>
      </c>
      <c r="X7" s="61" t="e">
        <f t="shared" si="14"/>
        <v>#VALUE!</v>
      </c>
      <c r="Y7" s="61" t="str">
        <f>IFERROR(VLOOKUP(MID(T7,W7,X7-W7),[6]skilldef!$C:$D,2,FALSE),"-") &amp; " / " &amp; IFERROR(VLOOKUP(MID(T7,U7,V7-U7),[6]skilldef!$A:$B,2,FALSE),"-")</f>
        <v>- / -</v>
      </c>
      <c r="Z7" s="48"/>
      <c r="AA7" s="50"/>
      <c r="AB7" s="48"/>
    </row>
    <row r="8" spans="1:28" ht="21" customHeight="1" x14ac:dyDescent="0.15">
      <c r="A8" s="105">
        <v>49007007</v>
      </c>
      <c r="B8" s="45" t="s">
        <v>252</v>
      </c>
      <c r="C8" s="48">
        <v>3</v>
      </c>
      <c r="D8" s="48" t="s">
        <v>125</v>
      </c>
      <c r="E8" s="49" t="s">
        <v>263</v>
      </c>
      <c r="F8" s="49" t="s">
        <v>281</v>
      </c>
      <c r="G8" s="61" t="str">
        <f t="shared" si="0"/>
        <v xml:space="preserve">[effect:critical, val:1.4]    </v>
      </c>
      <c r="H8" s="61">
        <f t="shared" si="1"/>
        <v>9</v>
      </c>
      <c r="I8" s="61">
        <f t="shared" si="2"/>
        <v>17</v>
      </c>
      <c r="J8" s="61" t="e">
        <f t="shared" si="3"/>
        <v>#VALUE!</v>
      </c>
      <c r="K8" s="61" t="e">
        <f t="shared" si="4"/>
        <v>#VALUE!</v>
      </c>
      <c r="L8" s="61" t="str">
        <f>IFERROR(VLOOKUP(MID(G8,J8,K8-J8),[6]skilldef!$C:$D,2,FALSE),"-") &amp; " / " &amp; IFERROR(VLOOKUP(MID(G8,H8,I8-H8),[6]skilldef!$A:$B,2,FALSE),"-")</f>
        <v>- / 大攻撃</v>
      </c>
      <c r="M8" s="61" t="str">
        <f t="shared" si="5"/>
        <v>none</v>
      </c>
      <c r="N8" s="46" t="str">
        <f>IFERROR(LEFT(M8,FIND("],",M8)+S13),M8)</f>
        <v>none</v>
      </c>
      <c r="O8" s="61" t="e">
        <f t="shared" si="6"/>
        <v>#VALUE!</v>
      </c>
      <c r="P8" s="61">
        <f t="shared" si="7"/>
        <v>4</v>
      </c>
      <c r="Q8" s="61" t="e">
        <f t="shared" si="8"/>
        <v>#VALUE!</v>
      </c>
      <c r="R8" s="61" t="e">
        <f t="shared" si="9"/>
        <v>#VALUE!</v>
      </c>
      <c r="S8" s="61" t="str">
        <f>IFERROR(VLOOKUP(MID(N8,Q8,R8-Q8),[6]skilldef!$C:$D,2,FALSE),"-") &amp; " / " &amp; IFERROR(VLOOKUP(MID(N8,O8,P8-O8),[6]skilldef!$A:$B,2,FALSE),"-")</f>
        <v>- / -</v>
      </c>
      <c r="T8" s="46" t="str">
        <f t="shared" si="10"/>
        <v>none</v>
      </c>
      <c r="U8" s="61" t="e">
        <f t="shared" si="11"/>
        <v>#VALUE!</v>
      </c>
      <c r="V8" s="61">
        <f t="shared" si="12"/>
        <v>4</v>
      </c>
      <c r="W8" s="61" t="e">
        <f t="shared" si="13"/>
        <v>#VALUE!</v>
      </c>
      <c r="X8" s="61" t="e">
        <f t="shared" si="14"/>
        <v>#VALUE!</v>
      </c>
      <c r="Y8" s="61" t="str">
        <f>IFERROR(VLOOKUP(MID(T8,W8,X8-W8),[6]skilldef!$C:$D,2,FALSE),"-") &amp; " / " &amp; IFERROR(VLOOKUP(MID(T8,U8,V8-U8),[6]skilldef!$A:$B,2,FALSE),"-")</f>
        <v>- / -</v>
      </c>
      <c r="Z8" s="48"/>
      <c r="AA8" s="50"/>
      <c r="AB8" s="48"/>
    </row>
    <row r="9" spans="1:28" ht="21" customHeight="1" x14ac:dyDescent="0.15">
      <c r="A9" s="105">
        <v>49007008</v>
      </c>
      <c r="B9" s="45" t="s">
        <v>256</v>
      </c>
      <c r="C9" s="48">
        <v>3</v>
      </c>
      <c r="D9" s="48" t="s">
        <v>125</v>
      </c>
      <c r="E9" s="49" t="s">
        <v>264</v>
      </c>
      <c r="F9" s="49" t="s">
        <v>282</v>
      </c>
      <c r="G9" s="61" t="str">
        <f t="shared" si="0"/>
        <v>[effect:enhance_enemy, target:myself, turn:4, status:attack, val:1.1, calc:mul, animation:enemy_enhance_attack]</v>
      </c>
      <c r="H9" s="61">
        <f t="shared" si="1"/>
        <v>9</v>
      </c>
      <c r="I9" s="61">
        <f t="shared" si="2"/>
        <v>22</v>
      </c>
      <c r="J9" s="61">
        <f t="shared" si="3"/>
        <v>31</v>
      </c>
      <c r="K9" s="61">
        <f t="shared" si="4"/>
        <v>37</v>
      </c>
      <c r="L9" s="61" t="str">
        <f>IFERROR(VLOOKUP(MID(G9,J9,K9-J9),[6]skilldef!$C:$D,2,FALSE),"-") &amp; " / " &amp; IFERROR(VLOOKUP(MID(G9,H9,I9-H9),[6]skilldef!$A:$B,2,FALSE),"-")</f>
        <v>自分自身に / ステータス強化</v>
      </c>
      <c r="M9" s="61" t="str">
        <f t="shared" si="5"/>
        <v xml:space="preserve">[effect:enhance_unit, target:unit_all, turn:4, status:heal, val:1.5, calc:mul]    </v>
      </c>
      <c r="N9" s="46" t="str">
        <f>IFERROR(LEFT(M9,FIND("],",M9)+#REF!),M9)</f>
        <v xml:space="preserve">[effect:enhance_unit, target:unit_all, turn:4, status:heal, val:1.5, calc:mul]    </v>
      </c>
      <c r="O9" s="61">
        <f t="shared" si="6"/>
        <v>9</v>
      </c>
      <c r="P9" s="61">
        <f t="shared" si="7"/>
        <v>21</v>
      </c>
      <c r="Q9" s="61">
        <f t="shared" si="8"/>
        <v>30</v>
      </c>
      <c r="R9" s="61">
        <f t="shared" si="9"/>
        <v>38</v>
      </c>
      <c r="S9" s="61" t="str">
        <f>IFERROR(VLOOKUP(MID(N9,Q9,R9-Q9),[6]skilldef!$C:$D,2,FALSE),"-") &amp; " / " &amp; IFERROR(VLOOKUP(MID(N9,O9,P9-O9),[6]skilldef!$A:$B,2,FALSE),"-")</f>
        <v>味方全体に / -</v>
      </c>
      <c r="T9" s="46" t="str">
        <f t="shared" si="10"/>
        <v>none</v>
      </c>
      <c r="U9" s="61" t="e">
        <f t="shared" si="11"/>
        <v>#VALUE!</v>
      </c>
      <c r="V9" s="61">
        <f t="shared" si="12"/>
        <v>4</v>
      </c>
      <c r="W9" s="61" t="e">
        <f t="shared" si="13"/>
        <v>#VALUE!</v>
      </c>
      <c r="X9" s="61" t="e">
        <f t="shared" si="14"/>
        <v>#VALUE!</v>
      </c>
      <c r="Y9" s="61" t="str">
        <f>IFERROR(VLOOKUP(MID(T9,W9,X9-W9),[6]skilldef!$C:$D,2,FALSE),"-") &amp; " / " &amp; IFERROR(VLOOKUP(MID(T9,U9,V9-U9),[6]skilldef!$A:$B,2,FALSE),"-")</f>
        <v>- / -</v>
      </c>
      <c r="Z9" s="48"/>
      <c r="AA9" s="50"/>
      <c r="AB9" s="48"/>
    </row>
    <row r="10" spans="1:28" ht="21" customHeight="1" x14ac:dyDescent="0.15">
      <c r="A10" s="105">
        <v>49007009</v>
      </c>
      <c r="B10" s="45" t="s">
        <v>332</v>
      </c>
      <c r="C10" s="48">
        <v>3</v>
      </c>
      <c r="D10" s="48" t="s">
        <v>125</v>
      </c>
      <c r="E10" s="49" t="s">
        <v>265</v>
      </c>
      <c r="F10" s="49" t="s">
        <v>254</v>
      </c>
      <c r="G10" s="61" t="str">
        <f t="shared" si="0"/>
        <v>[effect:enemy_message, val1:2, val2:2, dead_type:escape]</v>
      </c>
      <c r="H10" s="61">
        <f t="shared" si="1"/>
        <v>9</v>
      </c>
      <c r="I10" s="61">
        <f t="shared" si="2"/>
        <v>22</v>
      </c>
      <c r="J10" s="61" t="e">
        <f t="shared" si="3"/>
        <v>#VALUE!</v>
      </c>
      <c r="K10" s="61">
        <f t="shared" si="4"/>
        <v>30</v>
      </c>
      <c r="L10" s="61" t="str">
        <f>IFERROR(VLOOKUP(MID(G10,J10,K10-J10),[6]skilldef!$C:$D,2,FALSE),"-") &amp; " / " &amp; IFERROR(VLOOKUP(MID(G10,H10,I10-H10),[6]skilldef!$A:$B,2,FALSE),"-")</f>
        <v>- / -</v>
      </c>
      <c r="M10" s="61" t="str">
        <f t="shared" si="5"/>
        <v>[effect:suicide, val:1, dead_type:escape]</v>
      </c>
      <c r="N10" s="46" t="str">
        <f>IFERROR(LEFT(M10,FIND("],",M10)+#REF!),M10)</f>
        <v>[effect:suicide, val:1, dead_type:escape]</v>
      </c>
      <c r="O10" s="61">
        <f t="shared" si="6"/>
        <v>9</v>
      </c>
      <c r="P10" s="61">
        <f t="shared" si="7"/>
        <v>16</v>
      </c>
      <c r="Q10" s="61" t="e">
        <f t="shared" si="8"/>
        <v>#VALUE!</v>
      </c>
      <c r="R10" s="61">
        <f t="shared" si="9"/>
        <v>23</v>
      </c>
      <c r="S10" s="61" t="str">
        <f>IFERROR(VLOOKUP(MID(N10,Q10,R10-Q10),[6]skilldef!$C:$D,2,FALSE),"-") &amp; " / " &amp; IFERROR(VLOOKUP(MID(N10,O10,P10-O10),[6]skilldef!$A:$B,2,FALSE),"-")</f>
        <v>- / -</v>
      </c>
      <c r="T10" s="46" t="str">
        <f t="shared" si="10"/>
        <v>none</v>
      </c>
      <c r="U10" s="61" t="e">
        <f t="shared" si="11"/>
        <v>#VALUE!</v>
      </c>
      <c r="V10" s="61">
        <f t="shared" si="12"/>
        <v>4</v>
      </c>
      <c r="W10" s="61" t="e">
        <f t="shared" si="13"/>
        <v>#VALUE!</v>
      </c>
      <c r="X10" s="61" t="e">
        <f t="shared" si="14"/>
        <v>#VALUE!</v>
      </c>
      <c r="Y10" s="61" t="str">
        <f>IFERROR(VLOOKUP(MID(T10,W10,X10-W10),[6]skilldef!$C:$D,2,FALSE),"-") &amp; " / " &amp; IFERROR(VLOOKUP(MID(T10,U10,V10-U10),[6]skilldef!$A:$B,2,FALSE),"-")</f>
        <v>- / -</v>
      </c>
      <c r="Z10" s="48"/>
      <c r="AA10" s="50"/>
      <c r="AB10" s="48"/>
    </row>
    <row r="11" spans="1:28" ht="21" customHeight="1" x14ac:dyDescent="0.15">
      <c r="A11" s="105">
        <v>49007010</v>
      </c>
      <c r="B11" s="45" t="s">
        <v>238</v>
      </c>
      <c r="C11" s="48">
        <v>3</v>
      </c>
      <c r="D11" s="48" t="s">
        <v>125</v>
      </c>
      <c r="E11" s="49" t="s">
        <v>296</v>
      </c>
      <c r="F11" s="49" t="s">
        <v>303</v>
      </c>
      <c r="G11" s="61" t="str">
        <f t="shared" si="0"/>
        <v>[effect:fix_speed, target:myself, turn:1]</v>
      </c>
      <c r="H11" s="61">
        <f t="shared" si="1"/>
        <v>9</v>
      </c>
      <c r="I11" s="61">
        <f t="shared" si="2"/>
        <v>18</v>
      </c>
      <c r="J11" s="61">
        <f t="shared" si="3"/>
        <v>27</v>
      </c>
      <c r="K11" s="61">
        <f t="shared" si="4"/>
        <v>33</v>
      </c>
      <c r="L11" s="61" t="str">
        <f>IFERROR(VLOOKUP(MID(G11,J11,K11-J11),[6]skilldef!$C:$D,2,FALSE),"-") &amp; " / " &amp; IFERROR(VLOOKUP(MID(G11,H11,I11-H11),[6]skilldef!$A:$B,2,FALSE),"-")</f>
        <v>自分自身に / 行動値設定</v>
      </c>
      <c r="M11" s="61" t="str">
        <f t="shared" si="5"/>
        <v xml:space="preserve">[effect:fix_speed, target:enemy_unknown, turn:2]    </v>
      </c>
      <c r="N11" s="46" t="str">
        <f>IFERROR(LEFT(M11,FIND("],",M11)+S15),M11)</f>
        <v xml:space="preserve">[effect:fix_speed, target:enemy_unknown, turn:2]    </v>
      </c>
      <c r="O11" s="61">
        <f t="shared" si="6"/>
        <v>9</v>
      </c>
      <c r="P11" s="61">
        <f t="shared" si="7"/>
        <v>18</v>
      </c>
      <c r="Q11" s="61">
        <f t="shared" si="8"/>
        <v>27</v>
      </c>
      <c r="R11" s="61">
        <f t="shared" si="9"/>
        <v>40</v>
      </c>
      <c r="S11" s="61" t="str">
        <f>IFERROR(VLOOKUP(MID(N11,Q11,R11-Q11),[6]skilldef!$C:$D,2,FALSE),"-") &amp; " / " &amp; IFERROR(VLOOKUP(MID(N11,O11,P11-O11),[6]skilldef!$A:$B,2,FALSE),"-")</f>
        <v>- / 行動値設定</v>
      </c>
      <c r="T11" s="46" t="str">
        <f t="shared" si="10"/>
        <v>none</v>
      </c>
      <c r="U11" s="61" t="e">
        <f t="shared" si="11"/>
        <v>#VALUE!</v>
      </c>
      <c r="V11" s="61">
        <f t="shared" si="12"/>
        <v>4</v>
      </c>
      <c r="W11" s="61" t="e">
        <f t="shared" si="13"/>
        <v>#VALUE!</v>
      </c>
      <c r="X11" s="61" t="e">
        <f t="shared" si="14"/>
        <v>#VALUE!</v>
      </c>
      <c r="Y11" s="61" t="str">
        <f>IFERROR(VLOOKUP(MID(T11,W11,X11-W11),[6]skilldef!$C:$D,2,FALSE),"-") &amp; " / " &amp; IFERROR(VLOOKUP(MID(T11,U11,V11-U11),[6]skilldef!$A:$B,2,FALSE),"-")</f>
        <v>- / -</v>
      </c>
      <c r="Z11" s="48"/>
      <c r="AA11" s="50"/>
      <c r="AB11" s="48"/>
    </row>
    <row r="12" spans="1:28" ht="21" customHeight="1" x14ac:dyDescent="0.15">
      <c r="A12" s="105">
        <v>49007011</v>
      </c>
      <c r="B12" s="45" t="s">
        <v>242</v>
      </c>
      <c r="C12" s="48">
        <v>3</v>
      </c>
      <c r="D12" s="48" t="s">
        <v>125</v>
      </c>
      <c r="E12" s="49" t="s">
        <v>293</v>
      </c>
      <c r="F12" s="49" t="s">
        <v>268</v>
      </c>
      <c r="G12" s="61" t="str">
        <f t="shared" si="0"/>
        <v xml:space="preserve">[effect:dis_heart, turn:1, animation:enemy_dis_heart]    </v>
      </c>
      <c r="H12" s="61">
        <f t="shared" si="1"/>
        <v>9</v>
      </c>
      <c r="I12" s="61">
        <f t="shared" si="2"/>
        <v>18</v>
      </c>
      <c r="J12" s="61" t="e">
        <f t="shared" si="3"/>
        <v>#VALUE!</v>
      </c>
      <c r="K12" s="61">
        <f t="shared" si="4"/>
        <v>26</v>
      </c>
      <c r="L12" s="61" t="str">
        <f>IFERROR(VLOOKUP(MID(G12,J12,K12-J12),[6]skilldef!$C:$D,2,FALSE),"-") &amp; " / " &amp; IFERROR(VLOOKUP(MID(G12,H12,I12-H12),[6]skilldef!$A:$B,2,FALSE),"-")</f>
        <v>- / ディスハート</v>
      </c>
      <c r="M12" s="61" t="str">
        <f t="shared" si="5"/>
        <v>none</v>
      </c>
      <c r="N12" s="46" t="str">
        <f>IFERROR(LEFT(M12,FIND("],",M12)+S16),M12)</f>
        <v>none</v>
      </c>
      <c r="O12" s="61" t="e">
        <f t="shared" si="6"/>
        <v>#VALUE!</v>
      </c>
      <c r="P12" s="61">
        <f t="shared" si="7"/>
        <v>4</v>
      </c>
      <c r="Q12" s="61" t="e">
        <f t="shared" si="8"/>
        <v>#VALUE!</v>
      </c>
      <c r="R12" s="61" t="e">
        <f t="shared" si="9"/>
        <v>#VALUE!</v>
      </c>
      <c r="S12" s="61" t="str">
        <f>IFERROR(VLOOKUP(MID(N12,Q12,R12-Q12),[6]skilldef!$C:$D,2,FALSE),"-") &amp; " / " &amp; IFERROR(VLOOKUP(MID(N12,O12,P12-O12),[6]skilldef!$A:$B,2,FALSE),"-")</f>
        <v>- / -</v>
      </c>
      <c r="T12" s="46" t="str">
        <f t="shared" si="10"/>
        <v>none</v>
      </c>
      <c r="U12" s="61" t="e">
        <f t="shared" si="11"/>
        <v>#VALUE!</v>
      </c>
      <c r="V12" s="61">
        <f t="shared" si="12"/>
        <v>4</v>
      </c>
      <c r="W12" s="61" t="e">
        <f t="shared" si="13"/>
        <v>#VALUE!</v>
      </c>
      <c r="X12" s="61" t="e">
        <f t="shared" si="14"/>
        <v>#VALUE!</v>
      </c>
      <c r="Y12" s="61" t="str">
        <f>IFERROR(VLOOKUP(MID(T12,W12,X12-W12),[6]skilldef!$C:$D,2,FALSE),"-") &amp; " / " &amp; IFERROR(VLOOKUP(MID(T12,U12,V12-U12),[6]skilldef!$A:$B,2,FALSE),"-")</f>
        <v>- / -</v>
      </c>
      <c r="Z12" s="48"/>
      <c r="AA12" s="50"/>
      <c r="AB12" s="48"/>
    </row>
    <row r="13" spans="1:28" ht="21" customHeight="1" x14ac:dyDescent="0.15">
      <c r="A13" s="105">
        <v>49007012</v>
      </c>
      <c r="B13" s="45" t="s">
        <v>243</v>
      </c>
      <c r="C13" s="48">
        <v>3</v>
      </c>
      <c r="D13" s="48" t="s">
        <v>125</v>
      </c>
      <c r="E13" s="49" t="s">
        <v>295</v>
      </c>
      <c r="F13" s="49" t="s">
        <v>336</v>
      </c>
      <c r="G13" s="61" t="str">
        <f t="shared" si="0"/>
        <v>[effect:heal, target:enemy_all, val:0.1, animation:enemy_heal]</v>
      </c>
      <c r="H13" s="61">
        <f t="shared" si="1"/>
        <v>9</v>
      </c>
      <c r="I13" s="61">
        <f t="shared" si="2"/>
        <v>13</v>
      </c>
      <c r="J13" s="61">
        <f t="shared" si="3"/>
        <v>22</v>
      </c>
      <c r="K13" s="61">
        <f t="shared" si="4"/>
        <v>31</v>
      </c>
      <c r="L13" s="61" t="str">
        <f>IFERROR(VLOOKUP(MID(G13,J13,K13-J13),[6]skilldef!$C:$D,2,FALSE),"-") &amp; " / " &amp; IFERROR(VLOOKUP(MID(G13,H13,I13-H13),[6]skilldef!$A:$B,2,FALSE),"-")</f>
        <v>敵全体に / 回復</v>
      </c>
      <c r="M13" s="61" t="str">
        <f t="shared" si="5"/>
        <v>none</v>
      </c>
      <c r="N13" s="46" t="str">
        <f>IFERROR(LEFT(M13,FIND("],",M13)+S17),M13)</f>
        <v>none</v>
      </c>
      <c r="O13" s="61" t="e">
        <f t="shared" si="6"/>
        <v>#VALUE!</v>
      </c>
      <c r="P13" s="61">
        <f t="shared" si="7"/>
        <v>4</v>
      </c>
      <c r="Q13" s="61" t="e">
        <f t="shared" si="8"/>
        <v>#VALUE!</v>
      </c>
      <c r="R13" s="61" t="e">
        <f t="shared" si="9"/>
        <v>#VALUE!</v>
      </c>
      <c r="S13" s="61" t="str">
        <f>IFERROR(VLOOKUP(MID(N13,Q13,R13-Q13),[6]skilldef!$C:$D,2,FALSE),"-") &amp; " / " &amp; IFERROR(VLOOKUP(MID(N13,O13,P13-O13),[6]skilldef!$A:$B,2,FALSE),"-")</f>
        <v>- / -</v>
      </c>
      <c r="T13" s="46" t="str">
        <f t="shared" si="10"/>
        <v>none</v>
      </c>
      <c r="U13" s="61" t="e">
        <f t="shared" si="11"/>
        <v>#VALUE!</v>
      </c>
      <c r="V13" s="61">
        <f t="shared" si="12"/>
        <v>4</v>
      </c>
      <c r="W13" s="61" t="e">
        <f t="shared" si="13"/>
        <v>#VALUE!</v>
      </c>
      <c r="X13" s="61" t="e">
        <f t="shared" si="14"/>
        <v>#VALUE!</v>
      </c>
      <c r="Y13" s="61" t="str">
        <f>IFERROR(VLOOKUP(MID(T13,W13,X13-W13),[6]skilldef!$C:$D,2,FALSE),"-") &amp; " / " &amp; IFERROR(VLOOKUP(MID(T13,U13,V13-U13),[6]skilldef!$A:$B,2,FALSE),"-")</f>
        <v>- / -</v>
      </c>
      <c r="Z13" s="48"/>
      <c r="AA13" s="50"/>
      <c r="AB13" s="48"/>
    </row>
    <row r="14" spans="1:28" ht="21" customHeight="1" x14ac:dyDescent="0.15">
      <c r="A14" s="105">
        <v>49007013</v>
      </c>
      <c r="B14" s="45" t="s">
        <v>241</v>
      </c>
      <c r="C14" s="48">
        <v>3</v>
      </c>
      <c r="D14" s="48" t="s">
        <v>125</v>
      </c>
      <c r="E14" s="49" t="s">
        <v>283</v>
      </c>
      <c r="F14" s="49" t="s">
        <v>215</v>
      </c>
      <c r="G14" s="61" t="str">
        <f t="shared" si="0"/>
        <v xml:space="preserve">[effect:spread, val:0.32]    </v>
      </c>
      <c r="H14" s="61">
        <f t="shared" si="1"/>
        <v>9</v>
      </c>
      <c r="I14" s="61">
        <f t="shared" si="2"/>
        <v>15</v>
      </c>
      <c r="J14" s="61" t="e">
        <f t="shared" si="3"/>
        <v>#VALUE!</v>
      </c>
      <c r="K14" s="61" t="e">
        <f t="shared" si="4"/>
        <v>#VALUE!</v>
      </c>
      <c r="L14" s="61" t="str">
        <f>IFERROR(VLOOKUP(MID(G14,J14,K14-J14),[6]skilldef!$C:$D,2,FALSE),"-") &amp; " / " &amp; IFERROR(VLOOKUP(MID(G14,H14,I14-H14),[6]skilldef!$A:$B,2,FALSE),"-")</f>
        <v>- / 全体攻撃</v>
      </c>
      <c r="M14" s="61" t="str">
        <f t="shared" si="5"/>
        <v>none</v>
      </c>
      <c r="N14" s="46" t="str">
        <f t="shared" ref="N14" si="15">IFERROR(LEFT(M14,FIND("],",M14)+S23),M14)</f>
        <v>none</v>
      </c>
      <c r="O14" s="61" t="e">
        <f t="shared" si="6"/>
        <v>#VALUE!</v>
      </c>
      <c r="P14" s="61">
        <f t="shared" si="7"/>
        <v>4</v>
      </c>
      <c r="Q14" s="61" t="e">
        <f t="shared" si="8"/>
        <v>#VALUE!</v>
      </c>
      <c r="R14" s="61" t="e">
        <f t="shared" si="9"/>
        <v>#VALUE!</v>
      </c>
      <c r="S14" s="61" t="str">
        <f>IFERROR(VLOOKUP(MID(N14,Q14,R14-Q14),[6]skilldef!$C:$D,2,FALSE),"-") &amp; " / " &amp; IFERROR(VLOOKUP(MID(N14,O14,P14-O14),[6]skilldef!$A:$B,2,FALSE),"-")</f>
        <v>- / -</v>
      </c>
      <c r="T14" s="46" t="str">
        <f t="shared" si="10"/>
        <v>none</v>
      </c>
      <c r="U14" s="61" t="e">
        <f t="shared" si="11"/>
        <v>#VALUE!</v>
      </c>
      <c r="V14" s="61">
        <f t="shared" si="12"/>
        <v>4</v>
      </c>
      <c r="W14" s="61" t="e">
        <f t="shared" si="13"/>
        <v>#VALUE!</v>
      </c>
      <c r="X14" s="61" t="e">
        <f t="shared" si="14"/>
        <v>#VALUE!</v>
      </c>
      <c r="Y14" s="61" t="str">
        <f>IFERROR(VLOOKUP(MID(T14,W14,X14-W14),[6]skilldef!$C:$D,2,FALSE),"-") &amp; " / " &amp; IFERROR(VLOOKUP(MID(T14,U14,V14-U14),[6]skilldef!$A:$B,2,FALSE),"-")</f>
        <v>- / -</v>
      </c>
      <c r="Z14" s="48"/>
      <c r="AA14" s="50"/>
      <c r="AB14" s="48"/>
    </row>
    <row r="15" spans="1:28" ht="21" customHeight="1" x14ac:dyDescent="0.15">
      <c r="A15" s="105">
        <v>49007014</v>
      </c>
      <c r="B15" s="45" t="s">
        <v>308</v>
      </c>
      <c r="C15" s="48">
        <v>3</v>
      </c>
      <c r="D15" s="48" t="s">
        <v>125</v>
      </c>
      <c r="E15" s="49" t="s">
        <v>284</v>
      </c>
      <c r="F15" s="49" t="s">
        <v>269</v>
      </c>
      <c r="G15" s="61" t="str">
        <f t="shared" si="0"/>
        <v>[effect:force_change_block, new_block:time_bomb, target:block_all, count:15, val:0.2, min_time_count:2, max_time_count:3, animation:change_block]</v>
      </c>
      <c r="H15" s="61">
        <f t="shared" si="1"/>
        <v>9</v>
      </c>
      <c r="I15" s="61">
        <f t="shared" si="2"/>
        <v>27</v>
      </c>
      <c r="J15" s="61">
        <f t="shared" si="3"/>
        <v>57</v>
      </c>
      <c r="K15" s="61">
        <f t="shared" si="4"/>
        <v>48</v>
      </c>
      <c r="L15" s="61" t="str">
        <f>IFERROR(VLOOKUP(MID(G15,J15,K15-J15),[6]skilldef!$C:$D,2,FALSE),"-") &amp; " / " &amp; IFERROR(VLOOKUP(MID(G15,H15,I15-H15),[6]skilldef!$A:$B,2,FALSE),"-")</f>
        <v>- / -</v>
      </c>
      <c r="M15" s="61" t="str">
        <f t="shared" si="5"/>
        <v>none</v>
      </c>
      <c r="N15" s="46" t="str">
        <f t="shared" ref="N15" si="16">IFERROR(LEFT(M15,FIND("],",M15)+S25),M15)</f>
        <v>none</v>
      </c>
      <c r="O15" s="61" t="e">
        <f t="shared" si="6"/>
        <v>#VALUE!</v>
      </c>
      <c r="P15" s="61">
        <f t="shared" si="7"/>
        <v>4</v>
      </c>
      <c r="Q15" s="61" t="e">
        <f t="shared" si="8"/>
        <v>#VALUE!</v>
      </c>
      <c r="R15" s="61" t="e">
        <f t="shared" si="9"/>
        <v>#VALUE!</v>
      </c>
      <c r="S15" s="61" t="str">
        <f>IFERROR(VLOOKUP(MID(N15,Q15,R15-Q15),[6]skilldef!$C:$D,2,FALSE),"-") &amp; " / " &amp; IFERROR(VLOOKUP(MID(N15,O15,P15-O15),[6]skilldef!$A:$B,2,FALSE),"-")</f>
        <v>- / -</v>
      </c>
      <c r="T15" s="46" t="str">
        <f t="shared" si="10"/>
        <v>none</v>
      </c>
      <c r="U15" s="61" t="e">
        <f t="shared" si="11"/>
        <v>#VALUE!</v>
      </c>
      <c r="V15" s="61">
        <f t="shared" si="12"/>
        <v>4</v>
      </c>
      <c r="W15" s="61" t="e">
        <f t="shared" si="13"/>
        <v>#VALUE!</v>
      </c>
      <c r="X15" s="61" t="e">
        <f t="shared" si="14"/>
        <v>#VALUE!</v>
      </c>
      <c r="Y15" s="61" t="str">
        <f>IFERROR(VLOOKUP(MID(T15,W15,X15-W15),[6]skilldef!$C:$D,2,FALSE),"-") &amp; " / " &amp; IFERROR(VLOOKUP(MID(T15,U15,V15-U15),[6]skilldef!$A:$B,2,FALSE),"-")</f>
        <v>- / -</v>
      </c>
      <c r="Z15" s="48"/>
      <c r="AA15" s="50"/>
      <c r="AB15" s="48"/>
    </row>
    <row r="16" spans="1:28" ht="21" customHeight="1" x14ac:dyDescent="0.15">
      <c r="A16" s="105">
        <v>49007015</v>
      </c>
      <c r="B16" s="45" t="s">
        <v>276</v>
      </c>
      <c r="C16" s="48">
        <v>3</v>
      </c>
      <c r="D16" s="48" t="s">
        <v>125</v>
      </c>
      <c r="E16" s="49" t="s">
        <v>331</v>
      </c>
      <c r="F16" s="49" t="s">
        <v>294</v>
      </c>
      <c r="G16" s="61" t="str">
        <f t="shared" ref="G16:G21" si="17">IFERROR(LEFT(B16,FIND("],",B16)),B16)</f>
        <v xml:space="preserve">[effect:critical, val:1.5]    </v>
      </c>
      <c r="H16" s="61">
        <f t="shared" si="1"/>
        <v>9</v>
      </c>
      <c r="I16" s="61">
        <f t="shared" ref="I16:I21" si="18">IFERROR(FIND(",",G16),LEN(G16))</f>
        <v>17</v>
      </c>
      <c r="J16" s="61" t="e">
        <f t="shared" ref="J16:J21" si="19">FIND("target:",G16)+7</f>
        <v>#VALUE!</v>
      </c>
      <c r="K16" s="61" t="e">
        <f t="shared" ref="K16:K21" si="20">FIND(",",G16,I16+1)</f>
        <v>#VALUE!</v>
      </c>
      <c r="L16" s="61" t="str">
        <f>IFERROR(VLOOKUP(MID(G16,J16,K16-J16),[6]skilldef!$C:$D,2,FALSE),"-") &amp; " / " &amp; IFERROR(VLOOKUP(MID(G16,H16,I16-H16),[6]skilldef!$A:$B,2,FALSE),"-")</f>
        <v>- / 大攻撃</v>
      </c>
      <c r="M16" s="61" t="str">
        <f t="shared" ref="M16:M21" si="21">IFERROR(RIGHT(B16,LEN(B16)-FIND("],",B16)-1),"none")</f>
        <v>none</v>
      </c>
      <c r="N16" s="46" t="str">
        <f>IFERROR(LEFT(M16,FIND("],",M16)+#REF!),M16)</f>
        <v>none</v>
      </c>
      <c r="O16" s="61" t="e">
        <f t="shared" si="6"/>
        <v>#VALUE!</v>
      </c>
      <c r="P16" s="61">
        <f t="shared" ref="P16:P21" si="22">IFERROR(FIND(",",N16),LEN(N16))</f>
        <v>4</v>
      </c>
      <c r="Q16" s="61" t="e">
        <f t="shared" ref="Q16:Q21" si="23">FIND("target:",N16)+7</f>
        <v>#VALUE!</v>
      </c>
      <c r="R16" s="61" t="e">
        <f t="shared" ref="R16:R21" si="24">FIND(",",N16,P16+1)</f>
        <v>#VALUE!</v>
      </c>
      <c r="S16" s="61" t="str">
        <f>IFERROR(VLOOKUP(MID(N16,Q16,R16-Q16),[6]skilldef!$C:$D,2,FALSE),"-") &amp; " / " &amp; IFERROR(VLOOKUP(MID(N16,O16,P16-O16),[6]skilldef!$A:$B,2,FALSE),"-")</f>
        <v>- / -</v>
      </c>
      <c r="T16" s="46" t="str">
        <f t="shared" ref="T16:T21" si="25">IFERROR(RIGHT(M16,LEN(M16)-FIND("],",M16)-1),"none")</f>
        <v>none</v>
      </c>
      <c r="U16" s="61" t="e">
        <f t="shared" si="11"/>
        <v>#VALUE!</v>
      </c>
      <c r="V16" s="61">
        <f t="shared" ref="V16:V21" si="26">IFERROR(FIND(",",T16),LEN(T16))</f>
        <v>4</v>
      </c>
      <c r="W16" s="61" t="e">
        <f t="shared" ref="W16:W21" si="27">FIND("target:",T16)+7</f>
        <v>#VALUE!</v>
      </c>
      <c r="X16" s="61" t="e">
        <f t="shared" ref="X16:X21" si="28">FIND(",",T16,V16+1)</f>
        <v>#VALUE!</v>
      </c>
      <c r="Y16" s="61" t="str">
        <f>IFERROR(VLOOKUP(MID(T16,W16,X16-W16),[6]skilldef!$C:$D,2,FALSE),"-") &amp; " / " &amp; IFERROR(VLOOKUP(MID(T16,U16,V16-U16),[6]skilldef!$A:$B,2,FALSE),"-")</f>
        <v>- / -</v>
      </c>
      <c r="Z16" s="48"/>
      <c r="AA16" s="50"/>
      <c r="AB16" s="48"/>
    </row>
    <row r="17" spans="1:28" ht="21" customHeight="1" x14ac:dyDescent="0.15">
      <c r="A17" s="105">
        <v>49007016</v>
      </c>
      <c r="B17" s="45" t="s">
        <v>274</v>
      </c>
      <c r="C17" s="48">
        <v>3</v>
      </c>
      <c r="D17" s="48" t="s">
        <v>125</v>
      </c>
      <c r="E17" s="49" t="s">
        <v>285</v>
      </c>
      <c r="F17" s="49" t="s">
        <v>270</v>
      </c>
      <c r="G17" s="61" t="str">
        <f t="shared" si="17"/>
        <v xml:space="preserve">[effect:damage_anti_color, target:unit_all, color:yellow, val1:1.5, val2:0.4]    </v>
      </c>
      <c r="H17" s="61">
        <f t="shared" si="1"/>
        <v>9</v>
      </c>
      <c r="I17" s="61">
        <f t="shared" si="18"/>
        <v>26</v>
      </c>
      <c r="J17" s="61">
        <f t="shared" si="19"/>
        <v>35</v>
      </c>
      <c r="K17" s="61">
        <f t="shared" si="20"/>
        <v>43</v>
      </c>
      <c r="L17" s="61" t="str">
        <f>IFERROR(VLOOKUP(MID(G17,J17,K17-J17),[6]skilldef!$C:$D,2,FALSE),"-") &amp; " / " &amp; IFERROR(VLOOKUP(MID(G17,H17,I17-H17),[6]skilldef!$A:$B,2,FALSE),"-")</f>
        <v>味方全体に / 属性キラー</v>
      </c>
      <c r="M17" s="61" t="str">
        <f t="shared" si="21"/>
        <v>none</v>
      </c>
      <c r="N17" s="46" t="str">
        <f t="shared" ref="N17:N25" si="29">IFERROR(LEFT(M17,FIND("],",M17)+S26),M17)</f>
        <v>none</v>
      </c>
      <c r="O17" s="61" t="e">
        <f t="shared" si="6"/>
        <v>#VALUE!</v>
      </c>
      <c r="P17" s="61">
        <f t="shared" si="22"/>
        <v>4</v>
      </c>
      <c r="Q17" s="61" t="e">
        <f t="shared" si="23"/>
        <v>#VALUE!</v>
      </c>
      <c r="R17" s="61" t="e">
        <f t="shared" si="24"/>
        <v>#VALUE!</v>
      </c>
      <c r="S17" s="61" t="str">
        <f>IFERROR(VLOOKUP(MID(N17,Q17,R17-Q17),[6]skilldef!$C:$D,2,FALSE),"-") &amp; " / " &amp; IFERROR(VLOOKUP(MID(N17,O17,P17-O17),[6]skilldef!$A:$B,2,FALSE),"-")</f>
        <v>- / -</v>
      </c>
      <c r="T17" s="46" t="str">
        <f t="shared" si="25"/>
        <v>none</v>
      </c>
      <c r="U17" s="61" t="e">
        <f t="shared" si="11"/>
        <v>#VALUE!</v>
      </c>
      <c r="V17" s="61">
        <f t="shared" si="26"/>
        <v>4</v>
      </c>
      <c r="W17" s="61" t="e">
        <f t="shared" si="27"/>
        <v>#VALUE!</v>
      </c>
      <c r="X17" s="61" t="e">
        <f t="shared" si="28"/>
        <v>#VALUE!</v>
      </c>
      <c r="Y17" s="61" t="str">
        <f>IFERROR(VLOOKUP(MID(T17,W17,X17-W17),[6]skilldef!$C:$D,2,FALSE),"-") &amp; " / " &amp; IFERROR(VLOOKUP(MID(T17,U17,V17-U17),[6]skilldef!$A:$B,2,FALSE),"-")</f>
        <v>- / -</v>
      </c>
      <c r="Z17" s="48"/>
      <c r="AA17" s="50"/>
      <c r="AB17" s="48"/>
    </row>
    <row r="18" spans="1:28" ht="21" customHeight="1" x14ac:dyDescent="0.15">
      <c r="A18" s="105">
        <v>49007017</v>
      </c>
      <c r="B18" s="45" t="s">
        <v>240</v>
      </c>
      <c r="C18" s="48">
        <v>3</v>
      </c>
      <c r="D18" s="48" t="s">
        <v>125</v>
      </c>
      <c r="E18" s="49" t="s">
        <v>286</v>
      </c>
      <c r="F18" s="49" t="s">
        <v>341</v>
      </c>
      <c r="G18" s="61" t="str">
        <f t="shared" si="17"/>
        <v xml:space="preserve">[effect:rush, count:2, val:0.6]    </v>
      </c>
      <c r="H18" s="61">
        <f t="shared" si="1"/>
        <v>9</v>
      </c>
      <c r="I18" s="61">
        <f t="shared" si="18"/>
        <v>13</v>
      </c>
      <c r="J18" s="61" t="e">
        <f t="shared" si="19"/>
        <v>#VALUE!</v>
      </c>
      <c r="K18" s="61">
        <f t="shared" si="20"/>
        <v>22</v>
      </c>
      <c r="L18" s="61" t="str">
        <f>IFERROR(VLOOKUP(MID(G18,J18,K18-J18),[6]skilldef!$C:$D,2,FALSE),"-") &amp; " / " &amp; IFERROR(VLOOKUP(MID(G18,H18,I18-H18),[6]skilldef!$A:$B,2,FALSE),"-")</f>
        <v>- / 連続攻撃</v>
      </c>
      <c r="M18" s="61" t="str">
        <f t="shared" si="21"/>
        <v>none</v>
      </c>
      <c r="N18" s="46" t="str">
        <f t="shared" si="29"/>
        <v>none</v>
      </c>
      <c r="O18" s="61" t="e">
        <f t="shared" si="6"/>
        <v>#VALUE!</v>
      </c>
      <c r="P18" s="61">
        <f t="shared" si="22"/>
        <v>4</v>
      </c>
      <c r="Q18" s="61" t="e">
        <f t="shared" si="23"/>
        <v>#VALUE!</v>
      </c>
      <c r="R18" s="61" t="e">
        <f t="shared" si="24"/>
        <v>#VALUE!</v>
      </c>
      <c r="S18" s="61" t="str">
        <f>IFERROR(VLOOKUP(MID(N18,Q18,R18-Q18),[6]skilldef!$C:$D,2,FALSE),"-") &amp; " / " &amp; IFERROR(VLOOKUP(MID(N18,O18,P18-O18),[6]skilldef!$A:$B,2,FALSE),"-")</f>
        <v>- / -</v>
      </c>
      <c r="T18" s="46" t="str">
        <f t="shared" si="25"/>
        <v>none</v>
      </c>
      <c r="U18" s="61" t="e">
        <f t="shared" si="11"/>
        <v>#VALUE!</v>
      </c>
      <c r="V18" s="61">
        <f t="shared" si="26"/>
        <v>4</v>
      </c>
      <c r="W18" s="61" t="e">
        <f t="shared" si="27"/>
        <v>#VALUE!</v>
      </c>
      <c r="X18" s="61" t="e">
        <f t="shared" si="28"/>
        <v>#VALUE!</v>
      </c>
      <c r="Y18" s="61" t="str">
        <f>IFERROR(VLOOKUP(MID(T18,W18,X18-W18),[6]skilldef!$C:$D,2,FALSE),"-") &amp; " / " &amp; IFERROR(VLOOKUP(MID(T18,U18,V18-U18),[6]skilldef!$A:$B,2,FALSE),"-")</f>
        <v>- / -</v>
      </c>
      <c r="Z18" s="48"/>
      <c r="AA18" s="50"/>
      <c r="AB18" s="48"/>
    </row>
    <row r="19" spans="1:28" ht="21" customHeight="1" x14ac:dyDescent="0.15">
      <c r="A19" s="105">
        <v>49007018</v>
      </c>
      <c r="B19" s="45" t="s">
        <v>247</v>
      </c>
      <c r="C19" s="48">
        <v>3</v>
      </c>
      <c r="D19" s="48" t="s">
        <v>125</v>
      </c>
      <c r="E19" s="49" t="s">
        <v>287</v>
      </c>
      <c r="F19" s="49" t="s">
        <v>271</v>
      </c>
      <c r="G19" s="61" t="str">
        <f t="shared" si="17"/>
        <v>[effect:enhance_enemy, target:enemy_all, turn:-1, status:defense, val:2000, calc:add, animation:enemy_enhance_attack]</v>
      </c>
      <c r="H19" s="61">
        <f t="shared" si="1"/>
        <v>9</v>
      </c>
      <c r="I19" s="61">
        <f t="shared" si="18"/>
        <v>22</v>
      </c>
      <c r="J19" s="61">
        <f t="shared" si="19"/>
        <v>31</v>
      </c>
      <c r="K19" s="61">
        <f t="shared" si="20"/>
        <v>40</v>
      </c>
      <c r="L19" s="61" t="str">
        <f>IFERROR(VLOOKUP(MID(G19,J19,K19-J19),[6]skilldef!$C:$D,2,FALSE),"-") &amp; " / " &amp; IFERROR(VLOOKUP(MID(G19,H19,I19-H19),[6]skilldef!$A:$B,2,FALSE),"-")</f>
        <v>敵全体に / ステータス強化</v>
      </c>
      <c r="M19" s="61" t="str">
        <f t="shared" si="21"/>
        <v>none</v>
      </c>
      <c r="N19" s="46" t="str">
        <f t="shared" si="29"/>
        <v>none</v>
      </c>
      <c r="O19" s="61" t="e">
        <f t="shared" si="6"/>
        <v>#VALUE!</v>
      </c>
      <c r="P19" s="61">
        <f t="shared" si="22"/>
        <v>4</v>
      </c>
      <c r="Q19" s="61" t="e">
        <f t="shared" si="23"/>
        <v>#VALUE!</v>
      </c>
      <c r="R19" s="61" t="e">
        <f t="shared" si="24"/>
        <v>#VALUE!</v>
      </c>
      <c r="S19" s="61" t="str">
        <f>IFERROR(VLOOKUP(MID(N19,Q19,R19-Q19),[6]skilldef!$C:$D,2,FALSE),"-") &amp; " / " &amp; IFERROR(VLOOKUP(MID(N19,O19,P19-O19),[6]skilldef!$A:$B,2,FALSE),"-")</f>
        <v>- / -</v>
      </c>
      <c r="T19" s="46" t="str">
        <f t="shared" si="25"/>
        <v>none</v>
      </c>
      <c r="U19" s="61" t="e">
        <f t="shared" si="11"/>
        <v>#VALUE!</v>
      </c>
      <c r="V19" s="61">
        <f t="shared" si="26"/>
        <v>4</v>
      </c>
      <c r="W19" s="61" t="e">
        <f t="shared" si="27"/>
        <v>#VALUE!</v>
      </c>
      <c r="X19" s="61" t="e">
        <f t="shared" si="28"/>
        <v>#VALUE!</v>
      </c>
      <c r="Y19" s="61" t="str">
        <f>IFERROR(VLOOKUP(MID(T19,W19,X19-W19),[6]skilldef!$C:$D,2,FALSE),"-") &amp; " / " &amp; IFERROR(VLOOKUP(MID(T19,U19,V19-U19),[6]skilldef!$A:$B,2,FALSE),"-")</f>
        <v>- / -</v>
      </c>
      <c r="Z19" s="48"/>
      <c r="AA19" s="50"/>
      <c r="AB19" s="48"/>
    </row>
    <row r="20" spans="1:28" ht="21" customHeight="1" x14ac:dyDescent="0.15">
      <c r="A20" s="105">
        <v>49007019</v>
      </c>
      <c r="B20" s="45" t="s">
        <v>275</v>
      </c>
      <c r="C20" s="48">
        <v>3</v>
      </c>
      <c r="D20" s="48" t="s">
        <v>125</v>
      </c>
      <c r="E20" s="49" t="s">
        <v>288</v>
      </c>
      <c r="F20" s="49" t="s">
        <v>272</v>
      </c>
      <c r="G20" s="61" t="str">
        <f t="shared" si="17"/>
        <v xml:space="preserve">[effect:critical, val:1.5]    </v>
      </c>
      <c r="H20" s="61">
        <f t="shared" si="1"/>
        <v>9</v>
      </c>
      <c r="I20" s="61">
        <f t="shared" si="18"/>
        <v>17</v>
      </c>
      <c r="J20" s="61" t="e">
        <f t="shared" si="19"/>
        <v>#VALUE!</v>
      </c>
      <c r="K20" s="61" t="e">
        <f t="shared" si="20"/>
        <v>#VALUE!</v>
      </c>
      <c r="L20" s="61" t="str">
        <f>IFERROR(VLOOKUP(MID(G20,J20,K20-J20),[6]skilldef!$C:$D,2,FALSE),"-") &amp; " / " &amp; IFERROR(VLOOKUP(MID(G20,H20,I20-H20),[6]skilldef!$A:$B,2,FALSE),"-")</f>
        <v>- / 大攻撃</v>
      </c>
      <c r="M20" s="61" t="str">
        <f t="shared" si="21"/>
        <v>none</v>
      </c>
      <c r="N20" s="46" t="str">
        <f t="shared" si="29"/>
        <v>none</v>
      </c>
      <c r="O20" s="61" t="e">
        <f t="shared" si="6"/>
        <v>#VALUE!</v>
      </c>
      <c r="P20" s="61">
        <f t="shared" si="22"/>
        <v>4</v>
      </c>
      <c r="Q20" s="61" t="e">
        <f t="shared" si="23"/>
        <v>#VALUE!</v>
      </c>
      <c r="R20" s="61" t="e">
        <f t="shared" si="24"/>
        <v>#VALUE!</v>
      </c>
      <c r="S20" s="61" t="str">
        <f>IFERROR(VLOOKUP(MID(N20,Q20,R20-Q20),[6]skilldef!$C:$D,2,FALSE),"-") &amp; " / " &amp; IFERROR(VLOOKUP(MID(N20,O20,P20-O20),[6]skilldef!$A:$B,2,FALSE),"-")</f>
        <v>- / -</v>
      </c>
      <c r="T20" s="46" t="str">
        <f t="shared" si="25"/>
        <v>none</v>
      </c>
      <c r="U20" s="61" t="e">
        <f t="shared" si="11"/>
        <v>#VALUE!</v>
      </c>
      <c r="V20" s="61">
        <f t="shared" si="26"/>
        <v>4</v>
      </c>
      <c r="W20" s="61" t="e">
        <f t="shared" si="27"/>
        <v>#VALUE!</v>
      </c>
      <c r="X20" s="61" t="e">
        <f t="shared" si="28"/>
        <v>#VALUE!</v>
      </c>
      <c r="Y20" s="61" t="str">
        <f>IFERROR(VLOOKUP(MID(T20,W20,X20-W20),[6]skilldef!$C:$D,2,FALSE),"-") &amp; " / " &amp; IFERROR(VLOOKUP(MID(T20,U20,V20-U20),[6]skilldef!$A:$B,2,FALSE),"-")</f>
        <v>- / -</v>
      </c>
      <c r="Z20" s="48"/>
      <c r="AA20" s="50"/>
      <c r="AB20" s="48"/>
    </row>
    <row r="21" spans="1:28" ht="21" customHeight="1" x14ac:dyDescent="0.15">
      <c r="A21" s="105">
        <v>49007020</v>
      </c>
      <c r="B21" s="45" t="s">
        <v>306</v>
      </c>
      <c r="C21" s="48">
        <v>3</v>
      </c>
      <c r="D21" s="48" t="s">
        <v>125</v>
      </c>
      <c r="E21" s="49" t="s">
        <v>330</v>
      </c>
      <c r="F21" s="49" t="s">
        <v>337</v>
      </c>
      <c r="G21" s="61" t="str">
        <f t="shared" si="17"/>
        <v xml:space="preserve">[effect:degrade_unit, target:unit_all, turn:3, status:attack, val:0.5, calc:mul]    </v>
      </c>
      <c r="H21" s="61">
        <f t="shared" si="1"/>
        <v>9</v>
      </c>
      <c r="I21" s="61">
        <f t="shared" si="18"/>
        <v>21</v>
      </c>
      <c r="J21" s="61">
        <f t="shared" si="19"/>
        <v>30</v>
      </c>
      <c r="K21" s="61">
        <f t="shared" si="20"/>
        <v>38</v>
      </c>
      <c r="L21" s="61" t="str">
        <f>IFERROR(VLOOKUP(MID(G21,J21,K21-J21),[6]skilldef!$C:$D,2,FALSE),"-") &amp; " / " &amp; IFERROR(VLOOKUP(MID(G21,H21,I21-H21),[6]skilldef!$A:$B,2,FALSE),"-")</f>
        <v>味方全体に / ステータスDOWN</v>
      </c>
      <c r="M21" s="61" t="str">
        <f t="shared" si="21"/>
        <v>none</v>
      </c>
      <c r="N21" s="46" t="str">
        <f t="shared" si="29"/>
        <v>none</v>
      </c>
      <c r="O21" s="61" t="e">
        <f t="shared" si="6"/>
        <v>#VALUE!</v>
      </c>
      <c r="P21" s="61">
        <f t="shared" si="22"/>
        <v>4</v>
      </c>
      <c r="Q21" s="61" t="e">
        <f t="shared" si="23"/>
        <v>#VALUE!</v>
      </c>
      <c r="R21" s="61" t="e">
        <f t="shared" si="24"/>
        <v>#VALUE!</v>
      </c>
      <c r="S21" s="61" t="str">
        <f>IFERROR(VLOOKUP(MID(N21,Q21,R21-Q21),[6]skilldef!$C:$D,2,FALSE),"-") &amp; " / " &amp; IFERROR(VLOOKUP(MID(N21,O21,P21-O21),[6]skilldef!$A:$B,2,FALSE),"-")</f>
        <v>- / -</v>
      </c>
      <c r="T21" s="46" t="str">
        <f t="shared" si="25"/>
        <v>none</v>
      </c>
      <c r="U21" s="61" t="e">
        <f t="shared" si="11"/>
        <v>#VALUE!</v>
      </c>
      <c r="V21" s="61">
        <f t="shared" si="26"/>
        <v>4</v>
      </c>
      <c r="W21" s="61" t="e">
        <f t="shared" si="27"/>
        <v>#VALUE!</v>
      </c>
      <c r="X21" s="61" t="e">
        <f t="shared" si="28"/>
        <v>#VALUE!</v>
      </c>
      <c r="Y21" s="61" t="str">
        <f>IFERROR(VLOOKUP(MID(T21,W21,X21-W21),[6]skilldef!$C:$D,2,FALSE),"-") &amp; " / " &amp; IFERROR(VLOOKUP(MID(T21,U21,V21-U21),[6]skilldef!$A:$B,2,FALSE),"-")</f>
        <v>- / -</v>
      </c>
      <c r="Z21" s="48"/>
      <c r="AA21" s="50"/>
      <c r="AB21" s="48"/>
    </row>
    <row r="22" spans="1:28" ht="21" customHeight="1" x14ac:dyDescent="0.15">
      <c r="A22" s="105">
        <v>49007021</v>
      </c>
      <c r="B22" s="45" t="s">
        <v>307</v>
      </c>
      <c r="C22" s="48">
        <v>3</v>
      </c>
      <c r="D22" s="48" t="s">
        <v>125</v>
      </c>
      <c r="E22" s="49" t="s">
        <v>290</v>
      </c>
      <c r="F22" s="49" t="s">
        <v>338</v>
      </c>
      <c r="G22" s="61" t="str">
        <f t="shared" ref="G22:G24" si="30">IFERROR(LEFT(B22,FIND("],",B22)),B22)</f>
        <v xml:space="preserve">[effect:degrade_unit, target:unit_all, turn:3, status:heal, val:0.5, calc:mul]    </v>
      </c>
      <c r="H22" s="61">
        <f t="shared" si="1"/>
        <v>9</v>
      </c>
      <c r="I22" s="61">
        <f t="shared" ref="I22:I24" si="31">IFERROR(FIND(",",G22),LEN(G22))</f>
        <v>21</v>
      </c>
      <c r="J22" s="61">
        <f t="shared" ref="J22:J24" si="32">FIND("target:",G22)+7</f>
        <v>30</v>
      </c>
      <c r="K22" s="61">
        <f t="shared" ref="K22:K24" si="33">FIND(",",G22,I22+1)</f>
        <v>38</v>
      </c>
      <c r="L22" s="61" t="str">
        <f>IFERROR(VLOOKUP(MID(G22,J22,K22-J22),[6]skilldef!$C:$D,2,FALSE),"-") &amp; " / " &amp; IFERROR(VLOOKUP(MID(G22,H22,I22-H22),[6]skilldef!$A:$B,2,FALSE),"-")</f>
        <v>味方全体に / ステータスDOWN</v>
      </c>
      <c r="M22" s="61" t="str">
        <f t="shared" ref="M22:M24" si="34">IFERROR(RIGHT(B22,LEN(B22)-FIND("],",B22)-1),"none")</f>
        <v>none</v>
      </c>
      <c r="N22" s="46" t="str">
        <f t="shared" si="29"/>
        <v>none</v>
      </c>
      <c r="O22" s="61" t="e">
        <f t="shared" si="6"/>
        <v>#VALUE!</v>
      </c>
      <c r="P22" s="61">
        <f t="shared" ref="P22:P24" si="35">IFERROR(FIND(",",N22),LEN(N22))</f>
        <v>4</v>
      </c>
      <c r="Q22" s="61" t="e">
        <f t="shared" ref="Q22:Q24" si="36">FIND("target:",N22)+7</f>
        <v>#VALUE!</v>
      </c>
      <c r="R22" s="61" t="e">
        <f t="shared" ref="R22:R24" si="37">FIND(",",N22,P22+1)</f>
        <v>#VALUE!</v>
      </c>
      <c r="S22" s="61" t="str">
        <f>IFERROR(VLOOKUP(MID(N22,Q22,R22-Q22),[6]skilldef!$C:$D,2,FALSE),"-") &amp; " / " &amp; IFERROR(VLOOKUP(MID(N22,O22,P22-O22),[6]skilldef!$A:$B,2,FALSE),"-")</f>
        <v>- / -</v>
      </c>
      <c r="T22" s="46" t="str">
        <f t="shared" ref="T22:T24" si="38">IFERROR(RIGHT(M22,LEN(M22)-FIND("],",M22)-1),"none")</f>
        <v>none</v>
      </c>
      <c r="U22" s="61" t="e">
        <f t="shared" si="11"/>
        <v>#VALUE!</v>
      </c>
      <c r="V22" s="61">
        <f t="shared" ref="V22:V24" si="39">IFERROR(FIND(",",T22),LEN(T22))</f>
        <v>4</v>
      </c>
      <c r="W22" s="61" t="e">
        <f t="shared" ref="W22:W24" si="40">FIND("target:",T22)+7</f>
        <v>#VALUE!</v>
      </c>
      <c r="X22" s="61" t="e">
        <f t="shared" ref="X22:X24" si="41">FIND(",",T22,V22+1)</f>
        <v>#VALUE!</v>
      </c>
      <c r="Y22" s="61" t="str">
        <f>IFERROR(VLOOKUP(MID(T22,W22,X22-W22),[6]skilldef!$C:$D,2,FALSE),"-") &amp; " / " &amp; IFERROR(VLOOKUP(MID(T22,U22,V22-U22),[6]skilldef!$A:$B,2,FALSE),"-")</f>
        <v>- / -</v>
      </c>
      <c r="Z22" s="48"/>
      <c r="AA22" s="50"/>
      <c r="AB22" s="48"/>
    </row>
    <row r="23" spans="1:28" ht="21" customHeight="1" x14ac:dyDescent="0.15">
      <c r="A23" s="105">
        <v>49007022</v>
      </c>
      <c r="B23" s="45" t="s">
        <v>244</v>
      </c>
      <c r="C23" s="48">
        <v>3</v>
      </c>
      <c r="D23" s="48" t="s">
        <v>125</v>
      </c>
      <c r="E23" s="49" t="s">
        <v>289</v>
      </c>
      <c r="F23" s="49" t="s">
        <v>215</v>
      </c>
      <c r="G23" s="61" t="str">
        <f t="shared" si="30"/>
        <v xml:space="preserve">[effect:spread, val:0.32]    </v>
      </c>
      <c r="H23" s="61">
        <f t="shared" si="1"/>
        <v>9</v>
      </c>
      <c r="I23" s="61">
        <f t="shared" si="31"/>
        <v>15</v>
      </c>
      <c r="J23" s="61" t="e">
        <f t="shared" si="32"/>
        <v>#VALUE!</v>
      </c>
      <c r="K23" s="61" t="e">
        <f t="shared" si="33"/>
        <v>#VALUE!</v>
      </c>
      <c r="L23" s="61" t="str">
        <f>IFERROR(VLOOKUP(MID(G23,J23,K23-J23),[6]skilldef!$C:$D,2,FALSE),"-") &amp; " / " &amp; IFERROR(VLOOKUP(MID(G23,H23,I23-H23),[6]skilldef!$A:$B,2,FALSE),"-")</f>
        <v>- / 全体攻撃</v>
      </c>
      <c r="M23" s="61" t="str">
        <f t="shared" si="34"/>
        <v>none</v>
      </c>
      <c r="N23" s="46" t="str">
        <f t="shared" si="29"/>
        <v>none</v>
      </c>
      <c r="O23" s="61" t="e">
        <f t="shared" si="6"/>
        <v>#VALUE!</v>
      </c>
      <c r="P23" s="61">
        <f t="shared" si="35"/>
        <v>4</v>
      </c>
      <c r="Q23" s="61" t="e">
        <f t="shared" si="36"/>
        <v>#VALUE!</v>
      </c>
      <c r="R23" s="61" t="e">
        <f t="shared" si="37"/>
        <v>#VALUE!</v>
      </c>
      <c r="S23" s="61" t="str">
        <f>IFERROR(VLOOKUP(MID(N23,Q23,R23-Q23),[6]skilldef!$C:$D,2,FALSE),"-") &amp; " / " &amp; IFERROR(VLOOKUP(MID(N23,O23,P23-O23),[6]skilldef!$A:$B,2,FALSE),"-")</f>
        <v>- / -</v>
      </c>
      <c r="T23" s="46" t="str">
        <f t="shared" si="38"/>
        <v>none</v>
      </c>
      <c r="U23" s="61" t="e">
        <f t="shared" si="11"/>
        <v>#VALUE!</v>
      </c>
      <c r="V23" s="61">
        <f t="shared" si="39"/>
        <v>4</v>
      </c>
      <c r="W23" s="61" t="e">
        <f t="shared" si="40"/>
        <v>#VALUE!</v>
      </c>
      <c r="X23" s="61" t="e">
        <f t="shared" si="41"/>
        <v>#VALUE!</v>
      </c>
      <c r="Y23" s="61" t="str">
        <f>IFERROR(VLOOKUP(MID(T23,W23,X23-W23),[6]skilldef!$C:$D,2,FALSE),"-") &amp; " / " &amp; IFERROR(VLOOKUP(MID(T23,U23,V23-U23),[6]skilldef!$A:$B,2,FALSE),"-")</f>
        <v>- / -</v>
      </c>
      <c r="Z23" s="48"/>
      <c r="AA23" s="50"/>
      <c r="AB23" s="48"/>
    </row>
    <row r="24" spans="1:28" ht="21" customHeight="1" x14ac:dyDescent="0.15">
      <c r="A24" s="105">
        <v>49007023</v>
      </c>
      <c r="B24" s="45" t="s">
        <v>246</v>
      </c>
      <c r="C24" s="48">
        <v>3</v>
      </c>
      <c r="D24" s="48" t="s">
        <v>125</v>
      </c>
      <c r="E24" s="49" t="s">
        <v>291</v>
      </c>
      <c r="F24" s="49" t="s">
        <v>273</v>
      </c>
      <c r="G24" s="61" t="str">
        <f t="shared" si="30"/>
        <v>[effect:change_panel_ratio, turn:1, block_type:blue, val:0, animation:block_incidence04]</v>
      </c>
      <c r="H24" s="61">
        <f t="shared" si="1"/>
        <v>9</v>
      </c>
      <c r="I24" s="61">
        <f t="shared" si="31"/>
        <v>27</v>
      </c>
      <c r="J24" s="61" t="e">
        <f t="shared" si="32"/>
        <v>#VALUE!</v>
      </c>
      <c r="K24" s="61">
        <f t="shared" si="33"/>
        <v>35</v>
      </c>
      <c r="L24" s="61" t="str">
        <f>IFERROR(VLOOKUP(MID(G24,J24,K24-J24),[6]skilldef!$C:$D,2,FALSE),"-") &amp; " / " &amp; IFERROR(VLOOKUP(MID(G24,H24,I24-H24),[6]skilldef!$A:$B,2,FALSE),"-")</f>
        <v>- / -</v>
      </c>
      <c r="M24" s="61" t="str">
        <f t="shared" si="34"/>
        <v>[effect:fix_speed, target:myself, turn:1]</v>
      </c>
      <c r="N24" s="46" t="str">
        <f t="shared" si="29"/>
        <v>[effect:fix_speed, target:myself, turn:1]</v>
      </c>
      <c r="O24" s="61">
        <f t="shared" si="6"/>
        <v>9</v>
      </c>
      <c r="P24" s="61">
        <f t="shared" si="35"/>
        <v>18</v>
      </c>
      <c r="Q24" s="61">
        <f t="shared" si="36"/>
        <v>27</v>
      </c>
      <c r="R24" s="61">
        <f t="shared" si="37"/>
        <v>33</v>
      </c>
      <c r="S24" s="61" t="str">
        <f>IFERROR(VLOOKUP(MID(N24,Q24,R24-Q24),[6]skilldef!$C:$D,2,FALSE),"-") &amp; " / " &amp; IFERROR(VLOOKUP(MID(N24,O24,P24-O24),[6]skilldef!$A:$B,2,FALSE),"-")</f>
        <v>自分自身に / 行動値設定</v>
      </c>
      <c r="T24" s="46" t="str">
        <f t="shared" si="38"/>
        <v>none</v>
      </c>
      <c r="U24" s="61" t="e">
        <f t="shared" si="11"/>
        <v>#VALUE!</v>
      </c>
      <c r="V24" s="61">
        <f t="shared" si="39"/>
        <v>4</v>
      </c>
      <c r="W24" s="61" t="e">
        <f t="shared" si="40"/>
        <v>#VALUE!</v>
      </c>
      <c r="X24" s="61" t="e">
        <f t="shared" si="41"/>
        <v>#VALUE!</v>
      </c>
      <c r="Y24" s="61" t="str">
        <f>IFERROR(VLOOKUP(MID(T24,W24,X24-W24),[6]skilldef!$C:$D,2,FALSE),"-") &amp; " / " &amp; IFERROR(VLOOKUP(MID(T24,U24,V24-U24),[6]skilldef!$A:$B,2,FALSE),"-")</f>
        <v>- / -</v>
      </c>
      <c r="Z24" s="48"/>
      <c r="AA24" s="50"/>
      <c r="AB24" s="48"/>
    </row>
    <row r="25" spans="1:28" ht="21" customHeight="1" x14ac:dyDescent="0.15">
      <c r="A25" s="105">
        <v>49007024</v>
      </c>
      <c r="B25" s="45" t="s">
        <v>277</v>
      </c>
      <c r="C25" s="48">
        <v>3</v>
      </c>
      <c r="D25" s="48" t="s">
        <v>125</v>
      </c>
      <c r="E25" s="49" t="s">
        <v>292</v>
      </c>
      <c r="F25" s="49" t="s">
        <v>211</v>
      </c>
      <c r="G25" s="61" t="str">
        <f t="shared" ref="G25:G43" si="42">IFERROR(LEFT(B25,FIND("],",B25)),B25)</f>
        <v>[effect:break_attack_fix, val:250, lowest_val:1000, count:-1, block:block_blue, target:unit_all]</v>
      </c>
      <c r="H25" s="61">
        <f t="shared" si="1"/>
        <v>9</v>
      </c>
      <c r="I25" s="61">
        <f t="shared" ref="I25:I43" si="43">IFERROR(FIND(",",G25),LEN(G25))</f>
        <v>25</v>
      </c>
      <c r="J25" s="61">
        <f t="shared" ref="J25:J43" si="44">FIND("target:",G25)+7</f>
        <v>88</v>
      </c>
      <c r="K25" s="61">
        <f t="shared" ref="K25:K43" si="45">FIND(",",G25,I25+1)</f>
        <v>34</v>
      </c>
      <c r="L25" s="61" t="str">
        <f>IFERROR(VLOOKUP(MID(G25,J25,K25-J25),[6]skilldef!$C:$D,2,FALSE),"-") &amp; " / " &amp; IFERROR(VLOOKUP(MID(G25,H25,I25-H25),[6]skilldef!$A:$B,2,FALSE),"-")</f>
        <v>- / -</v>
      </c>
      <c r="M25" s="61" t="str">
        <f t="shared" ref="M25:M43" si="46">IFERROR(RIGHT(B25,LEN(B25)-FIND("],",B25)-1),"none")</f>
        <v>[effect:fix_speed, target:myself, turn:2]</v>
      </c>
      <c r="N25" s="46" t="str">
        <f t="shared" si="29"/>
        <v>[effect:fix_speed, target:myself, turn:2]</v>
      </c>
      <c r="O25" s="61">
        <f t="shared" si="6"/>
        <v>9</v>
      </c>
      <c r="P25" s="61">
        <f t="shared" ref="P25:P43" si="47">IFERROR(FIND(",",N25),LEN(N25))</f>
        <v>18</v>
      </c>
      <c r="Q25" s="61">
        <f t="shared" ref="Q25:Q43" si="48">FIND("target:",N25)+7</f>
        <v>27</v>
      </c>
      <c r="R25" s="61">
        <f t="shared" ref="R25:R43" si="49">FIND(",",N25,P25+1)</f>
        <v>33</v>
      </c>
      <c r="S25" s="61" t="str">
        <f>IFERROR(VLOOKUP(MID(N25,Q25,R25-Q25),[6]skilldef!$C:$D,2,FALSE),"-") &amp; " / " &amp; IFERROR(VLOOKUP(MID(N25,O25,P25-O25),[6]skilldef!$A:$B,2,FALSE),"-")</f>
        <v>自分自身に / 行動値設定</v>
      </c>
      <c r="T25" s="46" t="str">
        <f t="shared" ref="T25:T43" si="50">IFERROR(RIGHT(M25,LEN(M25)-FIND("],",M25)-1),"none")</f>
        <v>none</v>
      </c>
      <c r="U25" s="61" t="e">
        <f t="shared" si="11"/>
        <v>#VALUE!</v>
      </c>
      <c r="V25" s="61">
        <f t="shared" ref="V25:V43" si="51">IFERROR(FIND(",",T25),LEN(T25))</f>
        <v>4</v>
      </c>
      <c r="W25" s="61" t="e">
        <f t="shared" ref="W25:W43" si="52">FIND("target:",T25)+7</f>
        <v>#VALUE!</v>
      </c>
      <c r="X25" s="61" t="e">
        <f t="shared" ref="X25:X43" si="53">FIND(",",T25,V25+1)</f>
        <v>#VALUE!</v>
      </c>
      <c r="Y25" s="61" t="str">
        <f>IFERROR(VLOOKUP(MID(T25,W25,X25-W25),[6]skilldef!$C:$D,2,FALSE),"-") &amp; " / " &amp; IFERROR(VLOOKUP(MID(T25,U25,V25-U25),[6]skilldef!$A:$B,2,FALSE),"-")</f>
        <v>- / -</v>
      </c>
      <c r="Z25" s="48"/>
      <c r="AA25" s="50"/>
      <c r="AB25" s="48"/>
    </row>
    <row r="26" spans="1:28" ht="21" customHeight="1" x14ac:dyDescent="0.15">
      <c r="A26" s="105">
        <v>49007025</v>
      </c>
      <c r="B26" s="95" t="s">
        <v>212</v>
      </c>
      <c r="C26" s="48">
        <v>3</v>
      </c>
      <c r="D26" s="96" t="s">
        <v>125</v>
      </c>
      <c r="E26" s="206" t="s">
        <v>361</v>
      </c>
      <c r="F26" s="207" t="s">
        <v>377</v>
      </c>
      <c r="G26" s="61" t="str">
        <f t="shared" si="42"/>
        <v>[effect:fix_speed,target:myself,turn:3]</v>
      </c>
      <c r="H26" s="61">
        <f t="shared" si="1"/>
        <v>9</v>
      </c>
      <c r="I26" s="61">
        <f t="shared" si="43"/>
        <v>18</v>
      </c>
      <c r="J26" s="61">
        <f t="shared" si="44"/>
        <v>26</v>
      </c>
      <c r="K26" s="61">
        <f t="shared" si="45"/>
        <v>32</v>
      </c>
      <c r="L26" s="61" t="str">
        <f>IFERROR(VLOOKUP(MID(G26,J26,K26-J26),[6]skilldef!$C:$D,2,FALSE),"-") &amp; " / " &amp; IFERROR(VLOOKUP(MID(G26,H26,I26-H26),[6]skilldef!$A:$B,2,FALSE),"-")</f>
        <v>自分自身に / 行動値設定</v>
      </c>
      <c r="M26" s="61" t="str">
        <f t="shared" si="46"/>
        <v>none</v>
      </c>
      <c r="N26" s="46" t="str">
        <f t="shared" ref="N26:N29" si="54">IFERROR(LEFT(M26,FIND("],",M26)+S36),M26)</f>
        <v>none</v>
      </c>
      <c r="O26" s="61" t="e">
        <f t="shared" si="6"/>
        <v>#VALUE!</v>
      </c>
      <c r="P26" s="61">
        <f t="shared" si="47"/>
        <v>4</v>
      </c>
      <c r="Q26" s="61" t="e">
        <f t="shared" si="48"/>
        <v>#VALUE!</v>
      </c>
      <c r="R26" s="61" t="e">
        <f t="shared" si="49"/>
        <v>#VALUE!</v>
      </c>
      <c r="S26" s="61" t="str">
        <f>IFERROR(VLOOKUP(MID(N26,Q26,R26-Q26),[6]skilldef!$C:$D,2,FALSE),"-") &amp; " / " &amp; IFERROR(VLOOKUP(MID(N26,O26,P26-O26),[6]skilldef!$A:$B,2,FALSE),"-")</f>
        <v>- / -</v>
      </c>
      <c r="T26" s="46" t="str">
        <f t="shared" si="50"/>
        <v>none</v>
      </c>
      <c r="U26" s="61" t="e">
        <f t="shared" si="11"/>
        <v>#VALUE!</v>
      </c>
      <c r="V26" s="61">
        <f t="shared" si="51"/>
        <v>4</v>
      </c>
      <c r="W26" s="61" t="e">
        <f t="shared" si="52"/>
        <v>#VALUE!</v>
      </c>
      <c r="X26" s="61" t="e">
        <f t="shared" si="53"/>
        <v>#VALUE!</v>
      </c>
      <c r="Y26" s="61" t="str">
        <f>IFERROR(VLOOKUP(MID(T26,W26,X26-W26),[6]skilldef!$C:$D,2,FALSE),"-") &amp; " / " &amp; IFERROR(VLOOKUP(MID(T26,U26,V26-U26),[6]skilldef!$A:$B,2,FALSE),"-")</f>
        <v>- / -</v>
      </c>
      <c r="Z26" s="48"/>
      <c r="AA26" s="50"/>
      <c r="AB26" s="48"/>
    </row>
    <row r="27" spans="1:28" ht="21" customHeight="1" x14ac:dyDescent="0.15">
      <c r="A27" s="105">
        <v>49007026</v>
      </c>
      <c r="B27" s="95" t="s">
        <v>310</v>
      </c>
      <c r="C27" s="48">
        <v>3</v>
      </c>
      <c r="D27" s="96" t="s">
        <v>125</v>
      </c>
      <c r="E27" s="206" t="s">
        <v>362</v>
      </c>
      <c r="F27" s="97" t="s">
        <v>266</v>
      </c>
      <c r="G27" s="61" t="str">
        <f t="shared" si="42"/>
        <v>[effect:change_block, new_block:jammer, target:block_all, count:8, val:0.0, animation:change_block][effect:critical, val:1.33, animation:enemy_critical]</v>
      </c>
      <c r="H27" s="61">
        <f t="shared" si="1"/>
        <v>9</v>
      </c>
      <c r="I27" s="61">
        <f t="shared" si="43"/>
        <v>21</v>
      </c>
      <c r="J27" s="61">
        <f t="shared" si="44"/>
        <v>48</v>
      </c>
      <c r="K27" s="61">
        <f t="shared" si="45"/>
        <v>39</v>
      </c>
      <c r="L27" s="61" t="str">
        <f>IFERROR(VLOOKUP(MID(G27,J27,K27-J27),[6]skilldef!$C:$D,2,FALSE),"-") &amp; " / " &amp; IFERROR(VLOOKUP(MID(G27,H27,I27-H27),[6]skilldef!$A:$B,2,FALSE),"-")</f>
        <v>- / ブロック変換</v>
      </c>
      <c r="M27" s="61" t="str">
        <f t="shared" si="46"/>
        <v>none</v>
      </c>
      <c r="N27" s="46" t="str">
        <f t="shared" si="54"/>
        <v>none</v>
      </c>
      <c r="O27" s="61" t="e">
        <f t="shared" si="6"/>
        <v>#VALUE!</v>
      </c>
      <c r="P27" s="61">
        <f t="shared" si="47"/>
        <v>4</v>
      </c>
      <c r="Q27" s="61" t="e">
        <f t="shared" si="48"/>
        <v>#VALUE!</v>
      </c>
      <c r="R27" s="61" t="e">
        <f t="shared" si="49"/>
        <v>#VALUE!</v>
      </c>
      <c r="S27" s="61" t="str">
        <f>IFERROR(VLOOKUP(MID(N27,Q27,R27-Q27),[6]skilldef!$C:$D,2,FALSE),"-") &amp; " / " &amp; IFERROR(VLOOKUP(MID(N27,O27,P27-O27),[6]skilldef!$A:$B,2,FALSE),"-")</f>
        <v>- / -</v>
      </c>
      <c r="T27" s="46" t="str">
        <f t="shared" si="50"/>
        <v>none</v>
      </c>
      <c r="U27" s="61" t="e">
        <f t="shared" si="11"/>
        <v>#VALUE!</v>
      </c>
      <c r="V27" s="61">
        <f t="shared" si="51"/>
        <v>4</v>
      </c>
      <c r="W27" s="61" t="e">
        <f t="shared" si="52"/>
        <v>#VALUE!</v>
      </c>
      <c r="X27" s="61" t="e">
        <f t="shared" si="53"/>
        <v>#VALUE!</v>
      </c>
      <c r="Y27" s="61" t="str">
        <f>IFERROR(VLOOKUP(MID(T27,W27,X27-W27),[6]skilldef!$C:$D,2,FALSE),"-") &amp; " / " &amp; IFERROR(VLOOKUP(MID(T27,U27,V27-U27),[6]skilldef!$A:$B,2,FALSE),"-")</f>
        <v>- / -</v>
      </c>
      <c r="Z27" s="48"/>
      <c r="AA27" s="50"/>
      <c r="AB27" s="48"/>
    </row>
    <row r="28" spans="1:28" ht="21" customHeight="1" x14ac:dyDescent="0.15">
      <c r="A28" s="105">
        <v>49007027</v>
      </c>
      <c r="B28" s="95" t="s">
        <v>235</v>
      </c>
      <c r="C28" s="48">
        <v>3</v>
      </c>
      <c r="D28" s="96" t="s">
        <v>125</v>
      </c>
      <c r="E28" s="206" t="s">
        <v>363</v>
      </c>
      <c r="F28" s="97" t="s">
        <v>342</v>
      </c>
      <c r="G28" s="61" t="str">
        <f t="shared" si="42"/>
        <v>[effect:rush, count:3, val:0.4]</v>
      </c>
      <c r="H28" s="61">
        <f t="shared" si="1"/>
        <v>9</v>
      </c>
      <c r="I28" s="61">
        <f t="shared" si="43"/>
        <v>13</v>
      </c>
      <c r="J28" s="61" t="e">
        <f t="shared" si="44"/>
        <v>#VALUE!</v>
      </c>
      <c r="K28" s="61">
        <f t="shared" si="45"/>
        <v>22</v>
      </c>
      <c r="L28" s="61" t="str">
        <f>IFERROR(VLOOKUP(MID(G28,J28,K28-J28),[6]skilldef!$C:$D,2,FALSE),"-") &amp; " / " &amp; IFERROR(VLOOKUP(MID(G28,H28,I28-H28),[6]skilldef!$A:$B,2,FALSE),"-")</f>
        <v>- / 連続攻撃</v>
      </c>
      <c r="M28" s="61" t="str">
        <f t="shared" si="46"/>
        <v>none</v>
      </c>
      <c r="N28" s="46" t="str">
        <f t="shared" si="54"/>
        <v>none</v>
      </c>
      <c r="O28" s="61" t="e">
        <f t="shared" si="6"/>
        <v>#VALUE!</v>
      </c>
      <c r="P28" s="61">
        <f t="shared" si="47"/>
        <v>4</v>
      </c>
      <c r="Q28" s="61" t="e">
        <f t="shared" si="48"/>
        <v>#VALUE!</v>
      </c>
      <c r="R28" s="61" t="e">
        <f t="shared" si="49"/>
        <v>#VALUE!</v>
      </c>
      <c r="S28" s="61" t="str">
        <f>IFERROR(VLOOKUP(MID(N28,Q28,R28-Q28),[6]skilldef!$C:$D,2,FALSE),"-") &amp; " / " &amp; IFERROR(VLOOKUP(MID(N28,O28,P28-O28),[6]skilldef!$A:$B,2,FALSE),"-")</f>
        <v>- / -</v>
      </c>
      <c r="T28" s="46" t="str">
        <f t="shared" si="50"/>
        <v>none</v>
      </c>
      <c r="U28" s="61" t="e">
        <f t="shared" si="11"/>
        <v>#VALUE!</v>
      </c>
      <c r="V28" s="61">
        <f t="shared" si="51"/>
        <v>4</v>
      </c>
      <c r="W28" s="61" t="e">
        <f t="shared" si="52"/>
        <v>#VALUE!</v>
      </c>
      <c r="X28" s="61" t="e">
        <f t="shared" si="53"/>
        <v>#VALUE!</v>
      </c>
      <c r="Y28" s="61" t="str">
        <f>IFERROR(VLOOKUP(MID(T28,W28,X28-W28),[6]skilldef!$C:$D,2,FALSE),"-") &amp; " / " &amp; IFERROR(VLOOKUP(MID(T28,U28,V28-U28),[6]skilldef!$A:$B,2,FALSE),"-")</f>
        <v>- / -</v>
      </c>
      <c r="Z28" s="48"/>
      <c r="AA28" s="50"/>
      <c r="AB28" s="48"/>
    </row>
    <row r="29" spans="1:28" ht="21" customHeight="1" x14ac:dyDescent="0.15">
      <c r="A29" s="105">
        <v>49007028</v>
      </c>
      <c r="B29" s="95" t="s">
        <v>309</v>
      </c>
      <c r="C29" s="48">
        <v>3</v>
      </c>
      <c r="D29" s="96" t="s">
        <v>125</v>
      </c>
      <c r="E29" s="206" t="s">
        <v>364</v>
      </c>
      <c r="F29" s="97" t="s">
        <v>236</v>
      </c>
      <c r="G29" s="61" t="str">
        <f t="shared" si="42"/>
        <v>[effect:spread, val:0.35, animation:enemy_spread]</v>
      </c>
      <c r="H29" s="61">
        <f t="shared" si="1"/>
        <v>9</v>
      </c>
      <c r="I29" s="61">
        <f t="shared" si="43"/>
        <v>15</v>
      </c>
      <c r="J29" s="61" t="e">
        <f t="shared" si="44"/>
        <v>#VALUE!</v>
      </c>
      <c r="K29" s="61">
        <f t="shared" si="45"/>
        <v>25</v>
      </c>
      <c r="L29" s="61" t="str">
        <f>IFERROR(VLOOKUP(MID(G29,J29,K29-J29),[6]skilldef!$C:$D,2,FALSE),"-") &amp; " / " &amp; IFERROR(VLOOKUP(MID(G29,H29,I29-H29),[6]skilldef!$A:$B,2,FALSE),"-")</f>
        <v>- / 全体攻撃</v>
      </c>
      <c r="M29" s="61" t="str">
        <f t="shared" si="46"/>
        <v>none</v>
      </c>
      <c r="N29" s="46" t="str">
        <f t="shared" si="54"/>
        <v>none</v>
      </c>
      <c r="O29" s="61" t="e">
        <f t="shared" si="6"/>
        <v>#VALUE!</v>
      </c>
      <c r="P29" s="61">
        <f t="shared" si="47"/>
        <v>4</v>
      </c>
      <c r="Q29" s="61" t="e">
        <f t="shared" si="48"/>
        <v>#VALUE!</v>
      </c>
      <c r="R29" s="61" t="e">
        <f t="shared" si="49"/>
        <v>#VALUE!</v>
      </c>
      <c r="S29" s="61" t="str">
        <f>IFERROR(VLOOKUP(MID(N29,Q29,R29-Q29),[6]skilldef!$C:$D,2,FALSE),"-") &amp; " / " &amp; IFERROR(VLOOKUP(MID(N29,O29,P29-O29),[6]skilldef!$A:$B,2,FALSE),"-")</f>
        <v>- / -</v>
      </c>
      <c r="T29" s="46" t="str">
        <f t="shared" si="50"/>
        <v>none</v>
      </c>
      <c r="U29" s="61" t="e">
        <f t="shared" si="11"/>
        <v>#VALUE!</v>
      </c>
      <c r="V29" s="61">
        <f t="shared" si="51"/>
        <v>4</v>
      </c>
      <c r="W29" s="61" t="e">
        <f t="shared" si="52"/>
        <v>#VALUE!</v>
      </c>
      <c r="X29" s="61" t="e">
        <f t="shared" si="53"/>
        <v>#VALUE!</v>
      </c>
      <c r="Y29" s="61" t="str">
        <f>IFERROR(VLOOKUP(MID(T29,W29,X29-W29),[6]skilldef!$C:$D,2,FALSE),"-") &amp; " / " &amp; IFERROR(VLOOKUP(MID(T29,U29,V29-U29),[6]skilldef!$A:$B,2,FALSE),"-")</f>
        <v>- / -</v>
      </c>
      <c r="Z29" s="48"/>
      <c r="AA29" s="50"/>
      <c r="AB29" s="48"/>
    </row>
    <row r="30" spans="1:28" ht="21" customHeight="1" x14ac:dyDescent="0.15">
      <c r="A30" s="105">
        <v>49007029</v>
      </c>
      <c r="B30" s="95" t="s">
        <v>344</v>
      </c>
      <c r="C30" s="48">
        <v>3</v>
      </c>
      <c r="D30" s="96" t="s">
        <v>125</v>
      </c>
      <c r="E30" s="206" t="s">
        <v>365</v>
      </c>
      <c r="F30" s="97" t="s">
        <v>347</v>
      </c>
      <c r="G30" s="61" t="str">
        <f t="shared" si="42"/>
        <v>[effect:enhance_enemy, target:myself, turn:2, status:attack, val:1.1, calc:mul, animation:enemy_enhance_attack]</v>
      </c>
      <c r="H30" s="61">
        <f t="shared" si="1"/>
        <v>9</v>
      </c>
      <c r="I30" s="61">
        <f t="shared" si="43"/>
        <v>22</v>
      </c>
      <c r="J30" s="61">
        <f t="shared" si="44"/>
        <v>31</v>
      </c>
      <c r="K30" s="61">
        <f t="shared" si="45"/>
        <v>37</v>
      </c>
      <c r="L30" s="61" t="str">
        <f>IFERROR(VLOOKUP(MID(G30,J30,K30-J30),[6]skilldef!$C:$D,2,FALSE),"-") &amp; " / " &amp; IFERROR(VLOOKUP(MID(G30,H30,I30-H30),[6]skilldef!$A:$B,2,FALSE),"-")</f>
        <v>自分自身に / ステータス強化</v>
      </c>
      <c r="M30" s="61" t="str">
        <f t="shared" si="46"/>
        <v xml:space="preserve">[effect:enhance_unit, target:unit_all, turn:2, status:attack, val:1.1, calc:mul],[effect:enhance_unit, target:unit_ss, turn:2, status:attack, val:1.13, calc:mul]    </v>
      </c>
      <c r="N30" s="46" t="str">
        <f>IFERROR(LEFT(M30,FIND("],",M30)+#REF!),M30)</f>
        <v xml:space="preserve">[effect:enhance_unit, target:unit_all, turn:2, status:attack, val:1.1, calc:mul],[effect:enhance_unit, target:unit_ss, turn:2, status:attack, val:1.13, calc:mul]    </v>
      </c>
      <c r="O30" s="61">
        <f t="shared" si="6"/>
        <v>9</v>
      </c>
      <c r="P30" s="61">
        <f t="shared" si="47"/>
        <v>21</v>
      </c>
      <c r="Q30" s="61">
        <f t="shared" si="48"/>
        <v>30</v>
      </c>
      <c r="R30" s="61">
        <f t="shared" si="49"/>
        <v>38</v>
      </c>
      <c r="S30" s="61" t="str">
        <f>IFERROR(VLOOKUP(MID(N30,Q30,R30-Q30),[6]skilldef!$C:$D,2,FALSE),"-") &amp; " / " &amp; IFERROR(VLOOKUP(MID(N30,O30,P30-O30),[6]skilldef!$A:$B,2,FALSE),"-")</f>
        <v>味方全体に / -</v>
      </c>
      <c r="T30" s="46" t="str">
        <f t="shared" si="50"/>
        <v xml:space="preserve">[effect:enhance_unit, target:unit_ss, turn:2, status:attack, val:1.13, calc:mul]    </v>
      </c>
      <c r="U30" s="61">
        <f t="shared" si="11"/>
        <v>9</v>
      </c>
      <c r="V30" s="61">
        <f t="shared" si="51"/>
        <v>21</v>
      </c>
      <c r="W30" s="61">
        <f t="shared" si="52"/>
        <v>30</v>
      </c>
      <c r="X30" s="61">
        <f t="shared" si="53"/>
        <v>37</v>
      </c>
      <c r="Y30" s="61" t="str">
        <f>IFERROR(VLOOKUP(MID(T30,W30,X30-W30),[6]skilldef!$C:$D,2,FALSE),"-") &amp; " / " &amp; IFERROR(VLOOKUP(MID(T30,U30,V30-U30),[6]skilldef!$A:$B,2,FALSE),"-")</f>
        <v>- / -</v>
      </c>
      <c r="Z30" s="48"/>
      <c r="AA30" s="50"/>
      <c r="AB30" s="48"/>
    </row>
    <row r="31" spans="1:28" ht="21" customHeight="1" x14ac:dyDescent="0.15">
      <c r="A31" s="105">
        <v>49007030</v>
      </c>
      <c r="B31" s="98" t="s">
        <v>221</v>
      </c>
      <c r="C31" s="48">
        <v>3</v>
      </c>
      <c r="D31" s="99" t="s">
        <v>222</v>
      </c>
      <c r="E31" s="205" t="s">
        <v>366</v>
      </c>
      <c r="F31" s="100" t="s">
        <v>297</v>
      </c>
      <c r="G31" s="61" t="str">
        <f t="shared" si="42"/>
        <v>[effect:freq_turn, target:myself, turn:3, val:1, animation:enemy_freq_turn]</v>
      </c>
      <c r="H31" s="61">
        <f t="shared" si="1"/>
        <v>9</v>
      </c>
      <c r="I31" s="61">
        <f t="shared" si="43"/>
        <v>18</v>
      </c>
      <c r="J31" s="61">
        <f t="shared" si="44"/>
        <v>27</v>
      </c>
      <c r="K31" s="61">
        <f t="shared" si="45"/>
        <v>33</v>
      </c>
      <c r="L31" s="61" t="str">
        <f>IFERROR(VLOOKUP(MID(G31,J31,K31-J31),[6]skilldef!$C:$D,2,FALSE),"-") &amp; " / " &amp; IFERROR(VLOOKUP(MID(G31,H31,I31-H31),[6]skilldef!$A:$B,2,FALSE),"-")</f>
        <v>自分自身に / 攻撃頻度がUP</v>
      </c>
      <c r="M31" s="61" t="str">
        <f t="shared" si="46"/>
        <v>none</v>
      </c>
      <c r="N31" s="46" t="str">
        <f>IFERROR(LEFT(M31,FIND("],",M31)+#REF!),M31)</f>
        <v>none</v>
      </c>
      <c r="O31" s="61" t="e">
        <f t="shared" si="6"/>
        <v>#VALUE!</v>
      </c>
      <c r="P31" s="61">
        <f t="shared" si="47"/>
        <v>4</v>
      </c>
      <c r="Q31" s="61" t="e">
        <f t="shared" si="48"/>
        <v>#VALUE!</v>
      </c>
      <c r="R31" s="61" t="e">
        <f t="shared" si="49"/>
        <v>#VALUE!</v>
      </c>
      <c r="S31" s="61" t="str">
        <f>IFERROR(VLOOKUP(MID(N31,Q31,R31-Q31),[6]skilldef!$C:$D,2,FALSE),"-") &amp; " / " &amp; IFERROR(VLOOKUP(MID(N31,O31,P31-O31),[6]skilldef!$A:$B,2,FALSE),"-")</f>
        <v>- / -</v>
      </c>
      <c r="T31" s="46" t="str">
        <f t="shared" si="50"/>
        <v>none</v>
      </c>
      <c r="U31" s="61" t="e">
        <f t="shared" si="11"/>
        <v>#VALUE!</v>
      </c>
      <c r="V31" s="61">
        <f t="shared" si="51"/>
        <v>4</v>
      </c>
      <c r="W31" s="61" t="e">
        <f t="shared" si="52"/>
        <v>#VALUE!</v>
      </c>
      <c r="X31" s="61" t="e">
        <f t="shared" si="53"/>
        <v>#VALUE!</v>
      </c>
      <c r="Y31" s="61" t="str">
        <f>IFERROR(VLOOKUP(MID(T31,W31,X31-W31),[6]skilldef!$C:$D,2,FALSE),"-") &amp; " / " &amp; IFERROR(VLOOKUP(MID(T31,U31,V31-U31),[6]skilldef!$A:$B,2,FALSE),"-")</f>
        <v>- / -</v>
      </c>
      <c r="Z31" s="48"/>
      <c r="AA31" s="50"/>
      <c r="AB31" s="48"/>
    </row>
    <row r="32" spans="1:28" ht="21" customHeight="1" x14ac:dyDescent="0.15">
      <c r="A32" s="105">
        <v>49007031</v>
      </c>
      <c r="B32" s="98" t="s">
        <v>213</v>
      </c>
      <c r="C32" s="48">
        <v>3</v>
      </c>
      <c r="D32" s="99" t="s">
        <v>125</v>
      </c>
      <c r="E32" s="205" t="s">
        <v>367</v>
      </c>
      <c r="F32" s="100" t="s">
        <v>214</v>
      </c>
      <c r="G32" s="61" t="str">
        <f t="shared" si="42"/>
        <v>[effect:dark, turn:3,target:unit_all,animation:enemy_dark]</v>
      </c>
      <c r="H32" s="61">
        <f t="shared" si="1"/>
        <v>9</v>
      </c>
      <c r="I32" s="61">
        <f t="shared" si="43"/>
        <v>13</v>
      </c>
      <c r="J32" s="61">
        <f t="shared" si="44"/>
        <v>29</v>
      </c>
      <c r="K32" s="61">
        <f t="shared" si="45"/>
        <v>21</v>
      </c>
      <c r="L32" s="61" t="str">
        <f>IFERROR(VLOOKUP(MID(G32,J32,K32-J32),[6]skilldef!$C:$D,2,FALSE),"-") &amp; " / " &amp; IFERROR(VLOOKUP(MID(G32,H32,I32-H32),[6]skilldef!$A:$B,2,FALSE),"-")</f>
        <v>- / 暗黒</v>
      </c>
      <c r="M32" s="61" t="str">
        <f t="shared" si="46"/>
        <v>[effect:spread, val:0.2, animation:enemy_spread]</v>
      </c>
      <c r="N32" s="46" t="str">
        <f>IFERROR(LEFT(M32,FIND("],",M32)+S37),M32)</f>
        <v>[effect:spread, val:0.2, animation:enemy_spread]</v>
      </c>
      <c r="O32" s="61">
        <f t="shared" si="6"/>
        <v>9</v>
      </c>
      <c r="P32" s="61">
        <f t="shared" si="47"/>
        <v>15</v>
      </c>
      <c r="Q32" s="61" t="e">
        <f t="shared" si="48"/>
        <v>#VALUE!</v>
      </c>
      <c r="R32" s="61">
        <f t="shared" si="49"/>
        <v>24</v>
      </c>
      <c r="S32" s="61" t="str">
        <f>IFERROR(VLOOKUP(MID(N32,Q32,R32-Q32),[6]skilldef!$C:$D,2,FALSE),"-") &amp; " / " &amp; IFERROR(VLOOKUP(MID(N32,O32,P32-O32),[6]skilldef!$A:$B,2,FALSE),"-")</f>
        <v>- / 全体攻撃</v>
      </c>
      <c r="T32" s="46" t="str">
        <f t="shared" si="50"/>
        <v>none</v>
      </c>
      <c r="U32" s="61" t="e">
        <f t="shared" si="11"/>
        <v>#VALUE!</v>
      </c>
      <c r="V32" s="61">
        <f t="shared" si="51"/>
        <v>4</v>
      </c>
      <c r="W32" s="61" t="e">
        <f t="shared" si="52"/>
        <v>#VALUE!</v>
      </c>
      <c r="X32" s="61" t="e">
        <f t="shared" si="53"/>
        <v>#VALUE!</v>
      </c>
      <c r="Y32" s="61" t="str">
        <f>IFERROR(VLOOKUP(MID(T32,W32,X32-W32),[6]skilldef!$C:$D,2,FALSE),"-") &amp; " / " &amp; IFERROR(VLOOKUP(MID(T32,U32,V32-U32),[6]skilldef!$A:$B,2,FALSE),"-")</f>
        <v>- / -</v>
      </c>
      <c r="Z32" s="48"/>
      <c r="AA32" s="50"/>
      <c r="AB32" s="48"/>
    </row>
    <row r="33" spans="1:28" ht="21" customHeight="1" x14ac:dyDescent="0.15">
      <c r="A33" s="105">
        <v>49007032</v>
      </c>
      <c r="B33" s="98" t="s">
        <v>313</v>
      </c>
      <c r="C33" s="48">
        <v>3</v>
      </c>
      <c r="D33" s="99" t="s">
        <v>125</v>
      </c>
      <c r="E33" s="205" t="s">
        <v>368</v>
      </c>
      <c r="F33" s="100" t="s">
        <v>343</v>
      </c>
      <c r="G33" s="61" t="str">
        <f t="shared" si="42"/>
        <v>[effect:rush, count:6, val:0.21]</v>
      </c>
      <c r="H33" s="61">
        <f t="shared" si="1"/>
        <v>9</v>
      </c>
      <c r="I33" s="61">
        <f t="shared" si="43"/>
        <v>13</v>
      </c>
      <c r="J33" s="61" t="e">
        <f t="shared" si="44"/>
        <v>#VALUE!</v>
      </c>
      <c r="K33" s="61">
        <f t="shared" si="45"/>
        <v>22</v>
      </c>
      <c r="L33" s="61" t="str">
        <f>IFERROR(VLOOKUP(MID(G33,J33,K33-J33),[6]skilldef!$C:$D,2,FALSE),"-") &amp; " / " &amp; IFERROR(VLOOKUP(MID(G33,H33,I33-H33),[6]skilldef!$A:$B,2,FALSE),"-")</f>
        <v>- / 連続攻撃</v>
      </c>
      <c r="M33" s="61" t="str">
        <f t="shared" si="46"/>
        <v>none</v>
      </c>
      <c r="N33" s="46" t="str">
        <f>IFERROR(LEFT(M33,FIND("],",M33)+#REF!),M33)</f>
        <v>none</v>
      </c>
      <c r="O33" s="61" t="e">
        <f t="shared" si="6"/>
        <v>#VALUE!</v>
      </c>
      <c r="P33" s="61">
        <f t="shared" si="47"/>
        <v>4</v>
      </c>
      <c r="Q33" s="61" t="e">
        <f t="shared" si="48"/>
        <v>#VALUE!</v>
      </c>
      <c r="R33" s="61" t="e">
        <f t="shared" si="49"/>
        <v>#VALUE!</v>
      </c>
      <c r="S33" s="61" t="str">
        <f>IFERROR(VLOOKUP(MID(N33,Q33,R33-Q33),[6]skilldef!$C:$D,2,FALSE),"-") &amp; " / " &amp; IFERROR(VLOOKUP(MID(N33,O33,P33-O33),[6]skilldef!$A:$B,2,FALSE),"-")</f>
        <v>- / -</v>
      </c>
      <c r="T33" s="46" t="str">
        <f t="shared" si="50"/>
        <v>none</v>
      </c>
      <c r="U33" s="61" t="e">
        <f t="shared" si="11"/>
        <v>#VALUE!</v>
      </c>
      <c r="V33" s="61">
        <f t="shared" si="51"/>
        <v>4</v>
      </c>
      <c r="W33" s="61" t="e">
        <f t="shared" si="52"/>
        <v>#VALUE!</v>
      </c>
      <c r="X33" s="61" t="e">
        <f t="shared" si="53"/>
        <v>#VALUE!</v>
      </c>
      <c r="Y33" s="61" t="str">
        <f>IFERROR(VLOOKUP(MID(T33,W33,X33-W33),[6]skilldef!$C:$D,2,FALSE),"-") &amp; " / " &amp; IFERROR(VLOOKUP(MID(T33,U33,V33-U33),[6]skilldef!$A:$B,2,FALSE),"-")</f>
        <v>- / -</v>
      </c>
      <c r="Z33" s="48"/>
      <c r="AA33" s="50"/>
      <c r="AB33" s="48"/>
    </row>
    <row r="34" spans="1:28" ht="21" customHeight="1" x14ac:dyDescent="0.15">
      <c r="A34" s="105">
        <v>49007033</v>
      </c>
      <c r="B34" s="98" t="s">
        <v>311</v>
      </c>
      <c r="C34" s="48">
        <v>3</v>
      </c>
      <c r="D34" s="99" t="s">
        <v>125</v>
      </c>
      <c r="E34" s="205" t="s">
        <v>369</v>
      </c>
      <c r="F34" s="100" t="s">
        <v>215</v>
      </c>
      <c r="G34" s="61" t="str">
        <f t="shared" si="42"/>
        <v>[effect:spread, val:0.36, animation:enemy_spread]</v>
      </c>
      <c r="H34" s="61">
        <f t="shared" si="1"/>
        <v>9</v>
      </c>
      <c r="I34" s="61">
        <f t="shared" si="43"/>
        <v>15</v>
      </c>
      <c r="J34" s="61" t="e">
        <f t="shared" si="44"/>
        <v>#VALUE!</v>
      </c>
      <c r="K34" s="61">
        <f t="shared" si="45"/>
        <v>25</v>
      </c>
      <c r="L34" s="61" t="str">
        <f>IFERROR(VLOOKUP(MID(G34,J34,K34-J34),[6]skilldef!$C:$D,2,FALSE),"-") &amp; " / " &amp; IFERROR(VLOOKUP(MID(G34,H34,I34-H34),[6]skilldef!$A:$B,2,FALSE),"-")</f>
        <v>- / 全体攻撃</v>
      </c>
      <c r="M34" s="61" t="str">
        <f t="shared" si="46"/>
        <v>none</v>
      </c>
      <c r="N34" s="46" t="str">
        <f>IFERROR(LEFT(M34,FIND("],",M34)+#REF!),M34)</f>
        <v>none</v>
      </c>
      <c r="O34" s="61" t="e">
        <f t="shared" si="6"/>
        <v>#VALUE!</v>
      </c>
      <c r="P34" s="61">
        <f t="shared" si="47"/>
        <v>4</v>
      </c>
      <c r="Q34" s="61" t="e">
        <f t="shared" si="48"/>
        <v>#VALUE!</v>
      </c>
      <c r="R34" s="61" t="e">
        <f t="shared" si="49"/>
        <v>#VALUE!</v>
      </c>
      <c r="S34" s="61" t="str">
        <f>IFERROR(VLOOKUP(MID(N34,Q34,R34-Q34),[6]skilldef!$C:$D,2,FALSE),"-") &amp; " / " &amp; IFERROR(VLOOKUP(MID(N34,O34,P34-O34),[6]skilldef!$A:$B,2,FALSE),"-")</f>
        <v>- / -</v>
      </c>
      <c r="T34" s="46" t="str">
        <f t="shared" si="50"/>
        <v>none</v>
      </c>
      <c r="U34" s="61" t="e">
        <f t="shared" si="11"/>
        <v>#VALUE!</v>
      </c>
      <c r="V34" s="61">
        <f t="shared" si="51"/>
        <v>4</v>
      </c>
      <c r="W34" s="61" t="e">
        <f t="shared" si="52"/>
        <v>#VALUE!</v>
      </c>
      <c r="X34" s="61" t="e">
        <f t="shared" si="53"/>
        <v>#VALUE!</v>
      </c>
      <c r="Y34" s="61" t="str">
        <f>IFERROR(VLOOKUP(MID(T34,W34,X34-W34),[6]skilldef!$C:$D,2,FALSE),"-") &amp; " / " &amp; IFERROR(VLOOKUP(MID(T34,U34,V34-U34),[6]skilldef!$A:$B,2,FALSE),"-")</f>
        <v>- / -</v>
      </c>
      <c r="Z34" s="48"/>
      <c r="AA34" s="50"/>
      <c r="AB34" s="48"/>
    </row>
    <row r="35" spans="1:28" ht="21" customHeight="1" x14ac:dyDescent="0.15">
      <c r="A35" s="105">
        <v>49007034</v>
      </c>
      <c r="B35" s="98" t="s">
        <v>314</v>
      </c>
      <c r="C35" s="48">
        <v>3</v>
      </c>
      <c r="D35" s="99" t="s">
        <v>222</v>
      </c>
      <c r="E35" s="205" t="s">
        <v>370</v>
      </c>
      <c r="F35" s="100" t="s">
        <v>304</v>
      </c>
      <c r="G35" s="61" t="str">
        <f t="shared" si="42"/>
        <v>[effect:change_block, new_block:jammer, target:block_all, count:8, val:0.0, animation:change_block][effect:critical, val:1.21, animation:enemy_critical]</v>
      </c>
      <c r="H35" s="61">
        <f t="shared" si="1"/>
        <v>9</v>
      </c>
      <c r="I35" s="61">
        <f t="shared" si="43"/>
        <v>21</v>
      </c>
      <c r="J35" s="61">
        <f t="shared" si="44"/>
        <v>48</v>
      </c>
      <c r="K35" s="61">
        <f t="shared" si="45"/>
        <v>39</v>
      </c>
      <c r="L35" s="61" t="str">
        <f>IFERROR(VLOOKUP(MID(G35,J35,K35-J35),[6]skilldef!$C:$D,2,FALSE),"-") &amp; " / " &amp; IFERROR(VLOOKUP(MID(G35,H35,I35-H35),[6]skilldef!$A:$B,2,FALSE),"-")</f>
        <v>- / ブロック変換</v>
      </c>
      <c r="M35" s="61" t="str">
        <f t="shared" si="46"/>
        <v>none</v>
      </c>
      <c r="N35" s="46" t="str">
        <f>IFERROR(LEFT(M35,FIND("],",M35)+S40),M35)</f>
        <v>none</v>
      </c>
      <c r="O35" s="61" t="e">
        <f t="shared" si="6"/>
        <v>#VALUE!</v>
      </c>
      <c r="P35" s="61">
        <f t="shared" si="47"/>
        <v>4</v>
      </c>
      <c r="Q35" s="61" t="e">
        <f t="shared" si="48"/>
        <v>#VALUE!</v>
      </c>
      <c r="R35" s="61" t="e">
        <f t="shared" si="49"/>
        <v>#VALUE!</v>
      </c>
      <c r="S35" s="61" t="str">
        <f>IFERROR(VLOOKUP(MID(N35,Q35,R35-Q35),[6]skilldef!$C:$D,2,FALSE),"-") &amp; " / " &amp; IFERROR(VLOOKUP(MID(N35,O35,P35-O35),[6]skilldef!$A:$B,2,FALSE),"-")</f>
        <v>- / -</v>
      </c>
      <c r="T35" s="46" t="str">
        <f t="shared" si="50"/>
        <v>none</v>
      </c>
      <c r="U35" s="61" t="e">
        <f t="shared" si="11"/>
        <v>#VALUE!</v>
      </c>
      <c r="V35" s="61">
        <f t="shared" si="51"/>
        <v>4</v>
      </c>
      <c r="W35" s="61" t="e">
        <f t="shared" si="52"/>
        <v>#VALUE!</v>
      </c>
      <c r="X35" s="61" t="e">
        <f t="shared" si="53"/>
        <v>#VALUE!</v>
      </c>
      <c r="Y35" s="61" t="str">
        <f>IFERROR(VLOOKUP(MID(T35,W35,X35-W35),[6]skilldef!$C:$D,2,FALSE),"-") &amp; " / " &amp; IFERROR(VLOOKUP(MID(T35,U35,V35-U35),[6]skilldef!$A:$B,2,FALSE),"-")</f>
        <v>- / -</v>
      </c>
      <c r="Z35" s="48"/>
      <c r="AA35" s="50"/>
      <c r="AB35" s="48"/>
    </row>
    <row r="36" spans="1:28" ht="21" customHeight="1" x14ac:dyDescent="0.15">
      <c r="A36" s="105">
        <v>49007035</v>
      </c>
      <c r="B36" s="98" t="s">
        <v>237</v>
      </c>
      <c r="C36" s="48">
        <v>3</v>
      </c>
      <c r="D36" s="99" t="s">
        <v>222</v>
      </c>
      <c r="E36" s="205" t="s">
        <v>371</v>
      </c>
      <c r="F36" s="100" t="s">
        <v>346</v>
      </c>
      <c r="G36" s="61" t="str">
        <f t="shared" si="42"/>
        <v>[effect:fix_speed,target:myself,turn:1]</v>
      </c>
      <c r="H36" s="61">
        <f t="shared" si="1"/>
        <v>9</v>
      </c>
      <c r="I36" s="61">
        <f t="shared" si="43"/>
        <v>18</v>
      </c>
      <c r="J36" s="61">
        <f t="shared" si="44"/>
        <v>26</v>
      </c>
      <c r="K36" s="61">
        <f t="shared" si="45"/>
        <v>32</v>
      </c>
      <c r="L36" s="61" t="str">
        <f>IFERROR(VLOOKUP(MID(G36,J36,K36-J36),[6]skilldef!$C:$D,2,FALSE),"-") &amp; " / " &amp; IFERROR(VLOOKUP(MID(G36,H36,I36-H36),[6]skilldef!$A:$B,2,FALSE),"-")</f>
        <v>自分自身に / 行動値設定</v>
      </c>
      <c r="M36" s="61" t="str">
        <f t="shared" si="46"/>
        <v>none</v>
      </c>
      <c r="N36" s="46" t="str">
        <f>IFERROR(LEFT(M36,FIND("],",M36)+S40),M36)</f>
        <v>none</v>
      </c>
      <c r="O36" s="61" t="e">
        <f t="shared" si="6"/>
        <v>#VALUE!</v>
      </c>
      <c r="P36" s="61">
        <f t="shared" si="47"/>
        <v>4</v>
      </c>
      <c r="Q36" s="61" t="e">
        <f t="shared" si="48"/>
        <v>#VALUE!</v>
      </c>
      <c r="R36" s="61" t="e">
        <f t="shared" si="49"/>
        <v>#VALUE!</v>
      </c>
      <c r="S36" s="61" t="str">
        <f>IFERROR(VLOOKUP(MID(N36,Q36,R36-Q36),[6]skilldef!$C:$D,2,FALSE),"-") &amp; " / " &amp; IFERROR(VLOOKUP(MID(N36,O36,P36-O36),[6]skilldef!$A:$B,2,FALSE),"-")</f>
        <v>- / -</v>
      </c>
      <c r="T36" s="46" t="str">
        <f t="shared" si="50"/>
        <v>none</v>
      </c>
      <c r="U36" s="61" t="e">
        <f t="shared" si="11"/>
        <v>#VALUE!</v>
      </c>
      <c r="V36" s="61">
        <f t="shared" si="51"/>
        <v>4</v>
      </c>
      <c r="W36" s="61" t="e">
        <f t="shared" si="52"/>
        <v>#VALUE!</v>
      </c>
      <c r="X36" s="61" t="e">
        <f t="shared" si="53"/>
        <v>#VALUE!</v>
      </c>
      <c r="Y36" s="61" t="str">
        <f>IFERROR(VLOOKUP(MID(T36,W36,X36-W36),[6]skilldef!$C:$D,2,FALSE),"-") &amp; " / " &amp; IFERROR(VLOOKUP(MID(T36,U36,V36-U36),[6]skilldef!$A:$B,2,FALSE),"-")</f>
        <v>- / -</v>
      </c>
      <c r="Z36" s="48"/>
      <c r="AA36" s="50"/>
      <c r="AB36" s="48"/>
    </row>
    <row r="37" spans="1:28" ht="21" customHeight="1" x14ac:dyDescent="0.15">
      <c r="A37" s="105">
        <v>49007036</v>
      </c>
      <c r="B37" s="98" t="s">
        <v>267</v>
      </c>
      <c r="C37" s="48">
        <v>3</v>
      </c>
      <c r="D37" s="99" t="s">
        <v>222</v>
      </c>
      <c r="E37" s="205" t="s">
        <v>372</v>
      </c>
      <c r="F37" s="100" t="s">
        <v>345</v>
      </c>
      <c r="G37" s="61" t="str">
        <f t="shared" si="42"/>
        <v>[effect:force_change_block, new_block:block_heart, target:block_green, count:15, val:0, animation:change_block]</v>
      </c>
      <c r="H37" s="61">
        <f t="shared" si="1"/>
        <v>9</v>
      </c>
      <c r="I37" s="61">
        <f t="shared" si="43"/>
        <v>27</v>
      </c>
      <c r="J37" s="61">
        <f t="shared" si="44"/>
        <v>59</v>
      </c>
      <c r="K37" s="61">
        <f t="shared" si="45"/>
        <v>50</v>
      </c>
      <c r="L37" s="61" t="str">
        <f>IFERROR(VLOOKUP(MID(G37,J37,K37-J37),[6]skilldef!$C:$D,2,FALSE),"-") &amp; " / " &amp; IFERROR(VLOOKUP(MID(G37,H37,I37-H37),[6]skilldef!$A:$B,2,FALSE),"-")</f>
        <v>- / -</v>
      </c>
      <c r="M37" s="61" t="str">
        <f t="shared" si="46"/>
        <v>[effect:spread, val:0.41],[effect:fix_speed,target:myself,turn:2]</v>
      </c>
      <c r="N37" s="46" t="str">
        <f>IFERROR(LEFT(M37,FIND("],",M37)+S41),M37)</f>
        <v>[effect:spread, val:0.41],[effect:fix_speed,target:myself,turn:2]</v>
      </c>
      <c r="O37" s="61">
        <f t="shared" si="6"/>
        <v>9</v>
      </c>
      <c r="P37" s="61">
        <f t="shared" si="47"/>
        <v>15</v>
      </c>
      <c r="Q37" s="61">
        <f t="shared" si="48"/>
        <v>52</v>
      </c>
      <c r="R37" s="61">
        <f t="shared" si="49"/>
        <v>26</v>
      </c>
      <c r="S37" s="61" t="str">
        <f>IFERROR(VLOOKUP(MID(N37,Q37,R37-Q37),[6]skilldef!$C:$D,2,FALSE),"-") &amp; " / " &amp; IFERROR(VLOOKUP(MID(N37,O37,P37-O37),[6]skilldef!$A:$B,2,FALSE),"-")</f>
        <v>- / 全体攻撃</v>
      </c>
      <c r="T37" s="46" t="str">
        <f t="shared" si="50"/>
        <v>[effect:fix_speed,target:myself,turn:2]</v>
      </c>
      <c r="U37" s="61">
        <f t="shared" si="11"/>
        <v>9</v>
      </c>
      <c r="V37" s="61">
        <f t="shared" si="51"/>
        <v>18</v>
      </c>
      <c r="W37" s="61">
        <f t="shared" si="52"/>
        <v>26</v>
      </c>
      <c r="X37" s="61">
        <f t="shared" si="53"/>
        <v>32</v>
      </c>
      <c r="Y37" s="61" t="str">
        <f>IFERROR(VLOOKUP(MID(T37,W37,X37-W37),[6]skilldef!$C:$D,2,FALSE),"-") &amp; " / " &amp; IFERROR(VLOOKUP(MID(T37,U37,V37-U37),[6]skilldef!$A:$B,2,FALSE),"-")</f>
        <v>自分自身に / 行動値設定</v>
      </c>
      <c r="Z37" s="48"/>
      <c r="AA37" s="50"/>
      <c r="AB37" s="48"/>
    </row>
    <row r="38" spans="1:28" ht="21" customHeight="1" x14ac:dyDescent="0.15">
      <c r="A38" s="105">
        <v>49007037</v>
      </c>
      <c r="B38" s="101" t="s">
        <v>279</v>
      </c>
      <c r="C38" s="48">
        <v>3</v>
      </c>
      <c r="D38" s="102" t="s">
        <v>125</v>
      </c>
      <c r="E38" s="205" t="s">
        <v>373</v>
      </c>
      <c r="F38" s="103" t="s">
        <v>348</v>
      </c>
      <c r="G38" s="61" t="str">
        <f t="shared" si="42"/>
        <v xml:space="preserve">[effect:enhance_fever, val:500.0, animation:fevergauge_up04]    </v>
      </c>
      <c r="H38" s="61">
        <f t="shared" si="1"/>
        <v>9</v>
      </c>
      <c r="I38" s="61">
        <f t="shared" si="43"/>
        <v>22</v>
      </c>
      <c r="J38" s="61" t="e">
        <f t="shared" si="44"/>
        <v>#VALUE!</v>
      </c>
      <c r="K38" s="61">
        <f t="shared" si="45"/>
        <v>33</v>
      </c>
      <c r="L38" s="61" t="str">
        <f>IFERROR(VLOOKUP(MID(G38,J38,K38-J38),[6]skilldef!$C:$D,2,FALSE),"-") &amp; " / " &amp; IFERROR(VLOOKUP(MID(G38,H38,I38-H38),[6]skilldef!$A:$B,2,FALSE),"-")</f>
        <v>- / -</v>
      </c>
      <c r="M38" s="61" t="str">
        <f t="shared" si="46"/>
        <v>none</v>
      </c>
      <c r="N38" s="46" t="str">
        <f>IFERROR(LEFT(M38,FIND("],",M38)+S44),M38)</f>
        <v>none</v>
      </c>
      <c r="O38" s="61" t="e">
        <f t="shared" si="6"/>
        <v>#VALUE!</v>
      </c>
      <c r="P38" s="61">
        <f t="shared" si="47"/>
        <v>4</v>
      </c>
      <c r="Q38" s="61" t="e">
        <f t="shared" si="48"/>
        <v>#VALUE!</v>
      </c>
      <c r="R38" s="61" t="e">
        <f t="shared" si="49"/>
        <v>#VALUE!</v>
      </c>
      <c r="S38" s="61" t="str">
        <f>IFERROR(VLOOKUP(MID(N38,Q38,R38-Q38),[6]skilldef!$C:$D,2,FALSE),"-") &amp; " / " &amp; IFERROR(VLOOKUP(MID(N38,O38,P38-O38),[6]skilldef!$A:$B,2,FALSE),"-")</f>
        <v>- / -</v>
      </c>
      <c r="T38" s="46" t="str">
        <f t="shared" si="50"/>
        <v>none</v>
      </c>
      <c r="U38" s="61" t="e">
        <f t="shared" si="11"/>
        <v>#VALUE!</v>
      </c>
      <c r="V38" s="61">
        <f t="shared" si="51"/>
        <v>4</v>
      </c>
      <c r="W38" s="61" t="e">
        <f t="shared" si="52"/>
        <v>#VALUE!</v>
      </c>
      <c r="X38" s="61" t="e">
        <f t="shared" si="53"/>
        <v>#VALUE!</v>
      </c>
      <c r="Y38" s="61" t="str">
        <f>IFERROR(VLOOKUP(MID(T38,W38,X38-W38),[6]skilldef!$C:$D,2,FALSE),"-") &amp; " / " &amp; IFERROR(VLOOKUP(MID(T38,U38,V38-U38),[6]skilldef!$A:$B,2,FALSE),"-")</f>
        <v>- / -</v>
      </c>
      <c r="Z38" s="48"/>
      <c r="AA38" s="50"/>
      <c r="AB38" s="48"/>
    </row>
    <row r="39" spans="1:28" ht="21" customHeight="1" x14ac:dyDescent="0.15">
      <c r="A39" s="105">
        <v>49007038</v>
      </c>
      <c r="B39" s="101" t="s">
        <v>315</v>
      </c>
      <c r="C39" s="48">
        <v>3</v>
      </c>
      <c r="D39" s="102" t="s">
        <v>125</v>
      </c>
      <c r="E39" s="205" t="s">
        <v>369</v>
      </c>
      <c r="F39" s="103" t="s">
        <v>215</v>
      </c>
      <c r="G39" s="61" t="str">
        <f t="shared" si="42"/>
        <v>[effect:spread, val:0.28, animation:enemy_spread]</v>
      </c>
      <c r="H39" s="61">
        <f t="shared" si="1"/>
        <v>9</v>
      </c>
      <c r="I39" s="61">
        <f t="shared" si="43"/>
        <v>15</v>
      </c>
      <c r="J39" s="61" t="e">
        <f t="shared" si="44"/>
        <v>#VALUE!</v>
      </c>
      <c r="K39" s="61">
        <f t="shared" si="45"/>
        <v>25</v>
      </c>
      <c r="L39" s="61" t="str">
        <f>IFERROR(VLOOKUP(MID(G39,J39,K39-J39),[6]skilldef!$C:$D,2,FALSE),"-") &amp; " / " &amp; IFERROR(VLOOKUP(MID(G39,H39,I39-H39),[6]skilldef!$A:$B,2,FALSE),"-")</f>
        <v>- / 全体攻撃</v>
      </c>
      <c r="M39" s="61" t="str">
        <f t="shared" si="46"/>
        <v>none</v>
      </c>
      <c r="N39" s="46" t="str">
        <f>IFERROR(LEFT(M39,FIND("],",M39)+#REF!),M39)</f>
        <v>none</v>
      </c>
      <c r="O39" s="61" t="e">
        <f t="shared" si="6"/>
        <v>#VALUE!</v>
      </c>
      <c r="P39" s="61">
        <f t="shared" si="47"/>
        <v>4</v>
      </c>
      <c r="Q39" s="61" t="e">
        <f t="shared" si="48"/>
        <v>#VALUE!</v>
      </c>
      <c r="R39" s="61" t="e">
        <f t="shared" si="49"/>
        <v>#VALUE!</v>
      </c>
      <c r="S39" s="61" t="str">
        <f>IFERROR(VLOOKUP(MID(N39,Q39,R39-Q39),[6]skilldef!$C:$D,2,FALSE),"-") &amp; " / " &amp; IFERROR(VLOOKUP(MID(N39,O39,P39-O39),[6]skilldef!$A:$B,2,FALSE),"-")</f>
        <v>- / -</v>
      </c>
      <c r="T39" s="46" t="str">
        <f t="shared" si="50"/>
        <v>none</v>
      </c>
      <c r="U39" s="61" t="e">
        <f t="shared" si="11"/>
        <v>#VALUE!</v>
      </c>
      <c r="V39" s="61">
        <f t="shared" si="51"/>
        <v>4</v>
      </c>
      <c r="W39" s="61" t="e">
        <f t="shared" si="52"/>
        <v>#VALUE!</v>
      </c>
      <c r="X39" s="61" t="e">
        <f t="shared" si="53"/>
        <v>#VALUE!</v>
      </c>
      <c r="Y39" s="61" t="str">
        <f>IFERROR(VLOOKUP(MID(T39,W39,X39-W39),[6]skilldef!$C:$D,2,FALSE),"-") &amp; " / " &amp; IFERROR(VLOOKUP(MID(T39,U39,V39-U39),[6]skilldef!$A:$B,2,FALSE),"-")</f>
        <v>- / -</v>
      </c>
      <c r="Z39" s="48"/>
      <c r="AA39" s="50"/>
      <c r="AB39" s="48"/>
    </row>
    <row r="40" spans="1:28" ht="21" customHeight="1" x14ac:dyDescent="0.15">
      <c r="A40" s="105">
        <v>49007039</v>
      </c>
      <c r="B40" s="101" t="s">
        <v>316</v>
      </c>
      <c r="C40" s="48">
        <v>3</v>
      </c>
      <c r="D40" s="102" t="s">
        <v>216</v>
      </c>
      <c r="E40" s="103" t="s">
        <v>239</v>
      </c>
      <c r="F40" s="103" t="s">
        <v>298</v>
      </c>
      <c r="G40" s="61" t="str">
        <f t="shared" si="42"/>
        <v>[effect:spread, val:0.09]</v>
      </c>
      <c r="H40" s="61">
        <f t="shared" si="1"/>
        <v>9</v>
      </c>
      <c r="I40" s="61">
        <f t="shared" si="43"/>
        <v>15</v>
      </c>
      <c r="J40" s="61" t="e">
        <f t="shared" si="44"/>
        <v>#VALUE!</v>
      </c>
      <c r="K40" s="61" t="e">
        <f t="shared" si="45"/>
        <v>#VALUE!</v>
      </c>
      <c r="L40" s="61" t="str">
        <f>IFERROR(VLOOKUP(MID(G40,J40,K40-J40),[6]skilldef!$C:$D,2,FALSE),"-") &amp; " / " &amp; IFERROR(VLOOKUP(MID(G40,H40,I40-H40),[6]skilldef!$A:$B,2,FALSE),"-")</f>
        <v>- / 全体攻撃</v>
      </c>
      <c r="M40" s="61" t="str">
        <f t="shared" si="46"/>
        <v>[effect:spread, val:0.1],[effect:spread, val:0.11]</v>
      </c>
      <c r="N40" s="46" t="str">
        <f>IFERROR(LEFT(M40,FIND("],",M40)+S45),M40)</f>
        <v>[effect:spread, val:0.1],[effect:spread, val:0.11]</v>
      </c>
      <c r="O40" s="61">
        <f t="shared" si="6"/>
        <v>9</v>
      </c>
      <c r="P40" s="61">
        <f t="shared" si="47"/>
        <v>15</v>
      </c>
      <c r="Q40" s="61" t="e">
        <f t="shared" si="48"/>
        <v>#VALUE!</v>
      </c>
      <c r="R40" s="61">
        <f t="shared" si="49"/>
        <v>25</v>
      </c>
      <c r="S40" s="61" t="str">
        <f>IFERROR(VLOOKUP(MID(N40,Q40,R40-Q40),[6]skilldef!$C:$D,2,FALSE),"-") &amp; " / " &amp; IFERROR(VLOOKUP(MID(N40,O40,P40-O40),[6]skilldef!$A:$B,2,FALSE),"-")</f>
        <v>- / 全体攻撃</v>
      </c>
      <c r="T40" s="46" t="str">
        <f t="shared" si="50"/>
        <v>[effect:spread, val:0.11]</v>
      </c>
      <c r="U40" s="61">
        <f t="shared" si="11"/>
        <v>9</v>
      </c>
      <c r="V40" s="61">
        <f t="shared" si="51"/>
        <v>15</v>
      </c>
      <c r="W40" s="61" t="e">
        <f t="shared" si="52"/>
        <v>#VALUE!</v>
      </c>
      <c r="X40" s="61" t="e">
        <f t="shared" si="53"/>
        <v>#VALUE!</v>
      </c>
      <c r="Y40" s="61" t="str">
        <f>IFERROR(VLOOKUP(MID(T40,W40,X40-W40),[6]skilldef!$C:$D,2,FALSE),"-") &amp; " / " &amp; IFERROR(VLOOKUP(MID(T40,U40,V40-U40),[6]skilldef!$A:$B,2,FALSE),"-")</f>
        <v>- / 全体攻撃</v>
      </c>
      <c r="Z40" s="48"/>
      <c r="AA40" s="50"/>
      <c r="AB40" s="48"/>
    </row>
    <row r="41" spans="1:28" ht="21" customHeight="1" x14ac:dyDescent="0.15">
      <c r="A41" s="105">
        <v>49007040</v>
      </c>
      <c r="B41" s="101" t="s">
        <v>312</v>
      </c>
      <c r="C41" s="48">
        <v>3</v>
      </c>
      <c r="D41" s="102" t="s">
        <v>216</v>
      </c>
      <c r="E41" s="205" t="s">
        <v>374</v>
      </c>
      <c r="F41" s="103" t="s">
        <v>217</v>
      </c>
      <c r="G41" s="61" t="str">
        <f t="shared" si="42"/>
        <v>[effect:enhance_enemy, target:enemy_all, turn:3, status:attack, val:0.3, animation:enemy_enhance_enemy]</v>
      </c>
      <c r="H41" s="61">
        <f t="shared" si="1"/>
        <v>9</v>
      </c>
      <c r="I41" s="61">
        <f t="shared" si="43"/>
        <v>22</v>
      </c>
      <c r="J41" s="61">
        <f t="shared" si="44"/>
        <v>31</v>
      </c>
      <c r="K41" s="61">
        <f t="shared" si="45"/>
        <v>40</v>
      </c>
      <c r="L41" s="61" t="str">
        <f>IFERROR(VLOOKUP(MID(G41,J41,K41-J41),[6]skilldef!$C:$D,2,FALSE),"-") &amp; " / " &amp; IFERROR(VLOOKUP(MID(G41,H41,I41-H41),[6]skilldef!$A:$B,2,FALSE),"-")</f>
        <v>敵全体に / ステータス強化</v>
      </c>
      <c r="M41" s="61" t="str">
        <f t="shared" si="46"/>
        <v>none</v>
      </c>
      <c r="N41" s="46" t="str">
        <f>IFERROR(LEFT(M41,FIND("],",M41)+S46),M41)</f>
        <v>none</v>
      </c>
      <c r="O41" s="61" t="e">
        <f t="shared" si="6"/>
        <v>#VALUE!</v>
      </c>
      <c r="P41" s="61">
        <f t="shared" si="47"/>
        <v>4</v>
      </c>
      <c r="Q41" s="61" t="e">
        <f t="shared" si="48"/>
        <v>#VALUE!</v>
      </c>
      <c r="R41" s="61" t="e">
        <f t="shared" si="49"/>
        <v>#VALUE!</v>
      </c>
      <c r="S41" s="61" t="str">
        <f>IFERROR(VLOOKUP(MID(N41,Q41,R41-Q41),[6]skilldef!$C:$D,2,FALSE),"-") &amp; " / " &amp; IFERROR(VLOOKUP(MID(N41,O41,P41-O41),[6]skilldef!$A:$B,2,FALSE),"-")</f>
        <v>- / -</v>
      </c>
      <c r="T41" s="46" t="str">
        <f t="shared" si="50"/>
        <v>none</v>
      </c>
      <c r="U41" s="61" t="e">
        <f t="shared" si="11"/>
        <v>#VALUE!</v>
      </c>
      <c r="V41" s="61">
        <f t="shared" si="51"/>
        <v>4</v>
      </c>
      <c r="W41" s="61" t="e">
        <f t="shared" si="52"/>
        <v>#VALUE!</v>
      </c>
      <c r="X41" s="61" t="e">
        <f t="shared" si="53"/>
        <v>#VALUE!</v>
      </c>
      <c r="Y41" s="61" t="str">
        <f>IFERROR(VLOOKUP(MID(T41,W41,X41-W41),[6]skilldef!$C:$D,2,FALSE),"-") &amp; " / " &amp; IFERROR(VLOOKUP(MID(T41,U41,V41-U41),[6]skilldef!$A:$B,2,FALSE),"-")</f>
        <v>- / -</v>
      </c>
      <c r="Z41" s="48"/>
      <c r="AA41" s="50"/>
      <c r="AB41" s="48"/>
    </row>
    <row r="42" spans="1:28" ht="21" customHeight="1" x14ac:dyDescent="0.15">
      <c r="A42" s="105">
        <v>49007041</v>
      </c>
      <c r="B42" s="101" t="s">
        <v>218</v>
      </c>
      <c r="C42" s="48">
        <v>3</v>
      </c>
      <c r="D42" s="102" t="s">
        <v>125</v>
      </c>
      <c r="E42" s="205" t="s">
        <v>375</v>
      </c>
      <c r="F42" s="207" t="s">
        <v>378</v>
      </c>
      <c r="G42" s="61" t="str">
        <f t="shared" si="42"/>
        <v>[effect:fix_speed,target:myself,turn:1]</v>
      </c>
      <c r="H42" s="61">
        <f t="shared" si="1"/>
        <v>9</v>
      </c>
      <c r="I42" s="61">
        <f t="shared" si="43"/>
        <v>18</v>
      </c>
      <c r="J42" s="61">
        <f t="shared" si="44"/>
        <v>26</v>
      </c>
      <c r="K42" s="61">
        <f t="shared" si="45"/>
        <v>32</v>
      </c>
      <c r="L42" s="61" t="str">
        <f>IFERROR(VLOOKUP(MID(G42,J42,K42-J42),[6]skilldef!$C:$D,2,FALSE),"-") &amp; " / " &amp; IFERROR(VLOOKUP(MID(G42,H42,I42-H42),[6]skilldef!$A:$B,2,FALSE),"-")</f>
        <v>自分自身に / 行動値設定</v>
      </c>
      <c r="M42" s="61" t="str">
        <f t="shared" si="46"/>
        <v>none</v>
      </c>
      <c r="N42" s="46" t="str">
        <f>IFERROR(LEFT(M42,FIND("],",M42)+S47),M42)</f>
        <v>none</v>
      </c>
      <c r="O42" s="61" t="e">
        <f t="shared" si="6"/>
        <v>#VALUE!</v>
      </c>
      <c r="P42" s="61">
        <f t="shared" si="47"/>
        <v>4</v>
      </c>
      <c r="Q42" s="61" t="e">
        <f t="shared" si="48"/>
        <v>#VALUE!</v>
      </c>
      <c r="R42" s="61" t="e">
        <f t="shared" si="49"/>
        <v>#VALUE!</v>
      </c>
      <c r="S42" s="61" t="str">
        <f>IFERROR(VLOOKUP(MID(N42,Q42,R42-Q42),[6]skilldef!$C:$D,2,FALSE),"-") &amp; " / " &amp; IFERROR(VLOOKUP(MID(N42,O42,P42-O42),[6]skilldef!$A:$B,2,FALSE),"-")</f>
        <v>- / -</v>
      </c>
      <c r="T42" s="46" t="str">
        <f t="shared" si="50"/>
        <v>none</v>
      </c>
      <c r="U42" s="61" t="e">
        <f t="shared" si="11"/>
        <v>#VALUE!</v>
      </c>
      <c r="V42" s="61">
        <f t="shared" si="51"/>
        <v>4</v>
      </c>
      <c r="W42" s="61" t="e">
        <f t="shared" si="52"/>
        <v>#VALUE!</v>
      </c>
      <c r="X42" s="61" t="e">
        <f t="shared" si="53"/>
        <v>#VALUE!</v>
      </c>
      <c r="Y42" s="61" t="str">
        <f>IFERROR(VLOOKUP(MID(T42,W42,X42-W42),[6]skilldef!$C:$D,2,FALSE),"-") &amp; " / " &amp; IFERROR(VLOOKUP(MID(T42,U42,V42-U42),[6]skilldef!$A:$B,2,FALSE),"-")</f>
        <v>- / -</v>
      </c>
      <c r="Z42" s="48"/>
      <c r="AA42" s="50"/>
      <c r="AB42" s="48"/>
    </row>
    <row r="43" spans="1:28" ht="21" customHeight="1" x14ac:dyDescent="0.15">
      <c r="A43" s="105">
        <v>49007042</v>
      </c>
      <c r="B43" s="101" t="s">
        <v>219</v>
      </c>
      <c r="C43" s="48">
        <v>3</v>
      </c>
      <c r="D43" s="102" t="s">
        <v>216</v>
      </c>
      <c r="E43" s="205" t="s">
        <v>376</v>
      </c>
      <c r="F43" s="103" t="s">
        <v>220</v>
      </c>
      <c r="G43" s="61" t="str">
        <f t="shared" si="42"/>
        <v>[effect:critical, val:5.0, animation:enemy_critical]</v>
      </c>
      <c r="H43" s="61">
        <f t="shared" si="1"/>
        <v>9</v>
      </c>
      <c r="I43" s="61">
        <f t="shared" si="43"/>
        <v>17</v>
      </c>
      <c r="J43" s="61" t="e">
        <f t="shared" si="44"/>
        <v>#VALUE!</v>
      </c>
      <c r="K43" s="61">
        <f t="shared" si="45"/>
        <v>26</v>
      </c>
      <c r="L43" s="61" t="str">
        <f>IFERROR(VLOOKUP(MID(G43,J43,K43-J43),[6]skilldef!$C:$D,2,FALSE),"-") &amp; " / " &amp; IFERROR(VLOOKUP(MID(G43,H43,I43-H43),[6]skilldef!$A:$B,2,FALSE),"-")</f>
        <v>- / 大攻撃</v>
      </c>
      <c r="M43" s="61" t="str">
        <f t="shared" si="46"/>
        <v>[effect:fix_speed,target:myself,turn:2]</v>
      </c>
      <c r="N43" s="46" t="str">
        <f>IFERROR(LEFT(M43,FIND("],",M43)+#REF!),M43)</f>
        <v>[effect:fix_speed,target:myself,turn:2]</v>
      </c>
      <c r="O43" s="61">
        <f t="shared" si="6"/>
        <v>9</v>
      </c>
      <c r="P43" s="61">
        <f t="shared" si="47"/>
        <v>18</v>
      </c>
      <c r="Q43" s="61">
        <f t="shared" si="48"/>
        <v>26</v>
      </c>
      <c r="R43" s="61">
        <f t="shared" si="49"/>
        <v>32</v>
      </c>
      <c r="S43" s="61" t="str">
        <f>IFERROR(VLOOKUP(MID(N43,Q43,R43-Q43),[6]skilldef!$C:$D,2,FALSE),"-") &amp; " / " &amp; IFERROR(VLOOKUP(MID(N43,O43,P43-O43),[6]skilldef!$A:$B,2,FALSE),"-")</f>
        <v>自分自身に / 行動値設定</v>
      </c>
      <c r="T43" s="46" t="str">
        <f t="shared" si="50"/>
        <v>none</v>
      </c>
      <c r="U43" s="61" t="e">
        <f t="shared" si="11"/>
        <v>#VALUE!</v>
      </c>
      <c r="V43" s="61">
        <f t="shared" si="51"/>
        <v>4</v>
      </c>
      <c r="W43" s="61" t="e">
        <f t="shared" si="52"/>
        <v>#VALUE!</v>
      </c>
      <c r="X43" s="61" t="e">
        <f t="shared" si="53"/>
        <v>#VALUE!</v>
      </c>
      <c r="Y43" s="61" t="str">
        <f>IFERROR(VLOOKUP(MID(T43,W43,X43-W43),[6]skilldef!$C:$D,2,FALSE),"-") &amp; " / " &amp; IFERROR(VLOOKUP(MID(T43,U43,V43-U43),[6]skilldef!$A:$B,2,FALSE),"-")</f>
        <v>- / -</v>
      </c>
      <c r="Z43" s="48"/>
      <c r="AA43" s="50"/>
      <c r="AB43" s="48"/>
    </row>
    <row r="44" spans="1:28" ht="21" customHeight="1" x14ac:dyDescent="0.15">
      <c r="A44" s="105">
        <v>49007043</v>
      </c>
      <c r="B44" s="45" t="s">
        <v>317</v>
      </c>
      <c r="C44" s="48">
        <v>3</v>
      </c>
      <c r="D44" s="107" t="s">
        <v>216</v>
      </c>
      <c r="E44" s="108" t="s">
        <v>305</v>
      </c>
      <c r="F44" s="108" t="s">
        <v>302</v>
      </c>
      <c r="G44" s="61" t="str">
        <f t="shared" ref="G44:G46" si="55">IFERROR(LEFT(B44,FIND("],",B44)),B44)</f>
        <v>[effect:enemy_message, val1:2, val2:2, dead_type:escape]</v>
      </c>
      <c r="H44" s="61">
        <f t="shared" ref="H44:H46" si="56">FIND("effect:",G44)+7</f>
        <v>9</v>
      </c>
      <c r="I44" s="61">
        <f t="shared" ref="I44:I46" si="57">IFERROR(FIND(",",G44),LEN(G44))</f>
        <v>22</v>
      </c>
      <c r="J44" s="61" t="e">
        <f t="shared" ref="J44:J46" si="58">FIND("target:",G44)+7</f>
        <v>#VALUE!</v>
      </c>
      <c r="K44" s="61">
        <f t="shared" ref="K44:K46" si="59">FIND(",",G44,I44+1)</f>
        <v>30</v>
      </c>
      <c r="L44" s="61" t="str">
        <f>IFERROR(VLOOKUP(MID(G44,J44,K44-J44),[6]skilldef!$C:$D,2,FALSE),"-") &amp; " / " &amp; IFERROR(VLOOKUP(MID(G44,H44,I44-H44),[6]skilldef!$A:$B,2,FALSE),"-")</f>
        <v>- / -</v>
      </c>
      <c r="M44" s="61" t="str">
        <f t="shared" ref="M44:M46" si="60">IFERROR(RIGHT(B44,LEN(B44)-FIND("],",B44)-1),"none")</f>
        <v>none</v>
      </c>
      <c r="N44" s="46" t="str">
        <f>IFERROR(LEFT(M44,FIND("],",M44)+S48),M44)</f>
        <v>none</v>
      </c>
      <c r="O44" s="61" t="e">
        <f t="shared" ref="O44:O46" si="61">FIND("effect:",N44)+7</f>
        <v>#VALUE!</v>
      </c>
      <c r="P44" s="61">
        <f t="shared" ref="P44:P46" si="62">IFERROR(FIND(",",N44),LEN(N44))</f>
        <v>4</v>
      </c>
      <c r="Q44" s="61" t="e">
        <f t="shared" ref="Q44:Q46" si="63">FIND("target:",N44)+7</f>
        <v>#VALUE!</v>
      </c>
      <c r="R44" s="61" t="e">
        <f t="shared" ref="R44:R46" si="64">FIND(",",N44,P44+1)</f>
        <v>#VALUE!</v>
      </c>
      <c r="S44" s="61" t="str">
        <f>IFERROR(VLOOKUP(MID(N44,Q44,R44-Q44),[6]skilldef!$C:$D,2,FALSE),"-") &amp; " / " &amp; IFERROR(VLOOKUP(MID(N44,O44,P44-O44),[6]skilldef!$A:$B,2,FALSE),"-")</f>
        <v>- / -</v>
      </c>
      <c r="T44" s="46" t="str">
        <f t="shared" ref="T44:T46" si="65">IFERROR(RIGHT(M44,LEN(M44)-FIND("],",M44)-1),"none")</f>
        <v>none</v>
      </c>
      <c r="U44" s="61" t="e">
        <f t="shared" ref="U44:U46" si="66">FIND("effect:",T44)+7</f>
        <v>#VALUE!</v>
      </c>
      <c r="V44" s="61">
        <f t="shared" ref="V44:V46" si="67">IFERROR(FIND(",",T44),LEN(T44))</f>
        <v>4</v>
      </c>
      <c r="W44" s="61" t="e">
        <f t="shared" ref="W44:W46" si="68">FIND("target:",T44)+7</f>
        <v>#VALUE!</v>
      </c>
      <c r="X44" s="61" t="e">
        <f t="shared" ref="X44:X46" si="69">FIND(",",T44,V44+1)</f>
        <v>#VALUE!</v>
      </c>
      <c r="Y44" s="61" t="str">
        <f>IFERROR(VLOOKUP(MID(T44,W44,X44-W44),[6]skilldef!$C:$D,2,FALSE),"-") &amp; " / " &amp; IFERROR(VLOOKUP(MID(T44,U44,V44-U44),[6]skilldef!$A:$B,2,FALSE),"-")</f>
        <v>- / -</v>
      </c>
      <c r="Z44" s="48"/>
      <c r="AA44" s="50"/>
      <c r="AB44" s="48"/>
    </row>
    <row r="45" spans="1:28" ht="21" customHeight="1" x14ac:dyDescent="0.15">
      <c r="A45" s="105">
        <v>49007044</v>
      </c>
      <c r="B45" s="45" t="s">
        <v>318</v>
      </c>
      <c r="C45" s="48">
        <v>3</v>
      </c>
      <c r="D45" s="107" t="s">
        <v>216</v>
      </c>
      <c r="E45" s="108" t="s">
        <v>301</v>
      </c>
      <c r="F45" s="108" t="s">
        <v>335</v>
      </c>
      <c r="G45" s="61" t="str">
        <f t="shared" si="55"/>
        <v>[effect:enemy_message, val1:2, val2:2, dead_type:escape]</v>
      </c>
      <c r="H45" s="61">
        <f t="shared" si="56"/>
        <v>9</v>
      </c>
      <c r="I45" s="61">
        <f t="shared" si="57"/>
        <v>22</v>
      </c>
      <c r="J45" s="61" t="e">
        <f t="shared" si="58"/>
        <v>#VALUE!</v>
      </c>
      <c r="K45" s="61">
        <f t="shared" si="59"/>
        <v>30</v>
      </c>
      <c r="L45" s="61" t="str">
        <f>IFERROR(VLOOKUP(MID(G45,J45,K45-J45),[6]skilldef!$C:$D,2,FALSE),"-") &amp; " / " &amp; IFERROR(VLOOKUP(MID(G45,H45,I45-H45),[6]skilldef!$A:$B,2,FALSE),"-")</f>
        <v>- / -</v>
      </c>
      <c r="M45" s="61" t="str">
        <f t="shared" si="60"/>
        <v>none</v>
      </c>
      <c r="N45" s="46" t="str">
        <f>IFERROR(LEFT(M45,FIND("],",M45)+#REF!),M45)</f>
        <v>none</v>
      </c>
      <c r="O45" s="61" t="e">
        <f t="shared" si="61"/>
        <v>#VALUE!</v>
      </c>
      <c r="P45" s="61">
        <f t="shared" si="62"/>
        <v>4</v>
      </c>
      <c r="Q45" s="61" t="e">
        <f t="shared" si="63"/>
        <v>#VALUE!</v>
      </c>
      <c r="R45" s="61" t="e">
        <f t="shared" si="64"/>
        <v>#VALUE!</v>
      </c>
      <c r="S45" s="61" t="str">
        <f>IFERROR(VLOOKUP(MID(N45,Q45,R45-Q45),[6]skilldef!$C:$D,2,FALSE),"-") &amp; " / " &amp; IFERROR(VLOOKUP(MID(N45,O45,P45-O45),[6]skilldef!$A:$B,2,FALSE),"-")</f>
        <v>- / -</v>
      </c>
      <c r="T45" s="46" t="str">
        <f t="shared" si="65"/>
        <v>none</v>
      </c>
      <c r="U45" s="61" t="e">
        <f t="shared" si="66"/>
        <v>#VALUE!</v>
      </c>
      <c r="V45" s="61">
        <f t="shared" si="67"/>
        <v>4</v>
      </c>
      <c r="W45" s="61" t="e">
        <f t="shared" si="68"/>
        <v>#VALUE!</v>
      </c>
      <c r="X45" s="61" t="e">
        <f t="shared" si="69"/>
        <v>#VALUE!</v>
      </c>
      <c r="Y45" s="61" t="str">
        <f>IFERROR(VLOOKUP(MID(T45,W45,X45-W45),[6]skilldef!$C:$D,2,FALSE),"-") &amp; " / " &amp; IFERROR(VLOOKUP(MID(T45,U45,V45-U45),[6]skilldef!$A:$B,2,FALSE),"-")</f>
        <v>- / -</v>
      </c>
      <c r="Z45" s="48"/>
      <c r="AA45" s="50"/>
      <c r="AB45" s="48"/>
    </row>
    <row r="46" spans="1:28" ht="21" customHeight="1" x14ac:dyDescent="0.15">
      <c r="A46" s="105">
        <v>49007045</v>
      </c>
      <c r="B46" s="45" t="s">
        <v>319</v>
      </c>
      <c r="C46" s="48">
        <v>3</v>
      </c>
      <c r="D46" s="107" t="s">
        <v>216</v>
      </c>
      <c r="E46" s="108" t="s">
        <v>299</v>
      </c>
      <c r="F46" s="108" t="s">
        <v>300</v>
      </c>
      <c r="G46" s="61" t="str">
        <f t="shared" si="55"/>
        <v>[effect:enemy_message, val1:2.1, val2:2.1, dead_type:escape]</v>
      </c>
      <c r="H46" s="61">
        <f t="shared" si="56"/>
        <v>9</v>
      </c>
      <c r="I46" s="61">
        <f t="shared" si="57"/>
        <v>22</v>
      </c>
      <c r="J46" s="61" t="e">
        <f t="shared" si="58"/>
        <v>#VALUE!</v>
      </c>
      <c r="K46" s="61">
        <f t="shared" si="59"/>
        <v>32</v>
      </c>
      <c r="L46" s="61" t="str">
        <f>IFERROR(VLOOKUP(MID(G46,J46,K46-J46),[6]skilldef!$C:$D,2,FALSE),"-") &amp; " / " &amp; IFERROR(VLOOKUP(MID(G46,H46,I46-H46),[6]skilldef!$A:$B,2,FALSE),"-")</f>
        <v>- / -</v>
      </c>
      <c r="M46" s="61" t="str">
        <f t="shared" si="60"/>
        <v>none</v>
      </c>
      <c r="N46" s="46" t="str">
        <f>IFERROR(LEFT(M46,FIND("],",M46)+S49),M46)</f>
        <v>none</v>
      </c>
      <c r="O46" s="61" t="e">
        <f t="shared" si="61"/>
        <v>#VALUE!</v>
      </c>
      <c r="P46" s="61">
        <f t="shared" si="62"/>
        <v>4</v>
      </c>
      <c r="Q46" s="61" t="e">
        <f t="shared" si="63"/>
        <v>#VALUE!</v>
      </c>
      <c r="R46" s="61" t="e">
        <f t="shared" si="64"/>
        <v>#VALUE!</v>
      </c>
      <c r="S46" s="61" t="str">
        <f>IFERROR(VLOOKUP(MID(N46,Q46,R46-Q46),[6]skilldef!$C:$D,2,FALSE),"-") &amp; " / " &amp; IFERROR(VLOOKUP(MID(N46,O46,P46-O46),[6]skilldef!$A:$B,2,FALSE),"-")</f>
        <v>- / -</v>
      </c>
      <c r="T46" s="46" t="str">
        <f t="shared" si="65"/>
        <v>none</v>
      </c>
      <c r="U46" s="61" t="e">
        <f t="shared" si="66"/>
        <v>#VALUE!</v>
      </c>
      <c r="V46" s="61">
        <f t="shared" si="67"/>
        <v>4</v>
      </c>
      <c r="W46" s="61" t="e">
        <f t="shared" si="68"/>
        <v>#VALUE!</v>
      </c>
      <c r="X46" s="61" t="e">
        <f t="shared" si="69"/>
        <v>#VALUE!</v>
      </c>
      <c r="Y46" s="61" t="str">
        <f>IFERROR(VLOOKUP(MID(T46,W46,X46-W46),[6]skilldef!$C:$D,2,FALSE),"-") &amp; " / " &amp; IFERROR(VLOOKUP(MID(T46,U46,V46-U46),[6]skilldef!$A:$B,2,FALSE),"-")</f>
        <v>- / -</v>
      </c>
      <c r="Z46" s="48"/>
      <c r="AA46" s="50"/>
      <c r="AB46" s="48"/>
    </row>
    <row r="47" spans="1:28" ht="21" customHeight="1" x14ac:dyDescent="0.15">
      <c r="A47" s="105">
        <v>49007046</v>
      </c>
      <c r="B47" s="101" t="s">
        <v>278</v>
      </c>
      <c r="C47" s="48">
        <v>3</v>
      </c>
      <c r="D47" s="102" t="s">
        <v>125</v>
      </c>
      <c r="E47" s="205" t="s">
        <v>373</v>
      </c>
      <c r="F47" s="103" t="s">
        <v>349</v>
      </c>
      <c r="G47" s="61" t="str">
        <f t="shared" ref="G47" si="70">IFERROR(LEFT(B47,FIND("],",B47)),B47)</f>
        <v xml:space="preserve">[effect:enhance_fever, val:700.0, animation:fevergauge_up04]    </v>
      </c>
      <c r="H47" s="61">
        <f t="shared" ref="H47" si="71">FIND("effect:",G47)+7</f>
        <v>9</v>
      </c>
      <c r="I47" s="61">
        <f t="shared" ref="I47" si="72">IFERROR(FIND(",",G47),LEN(G47))</f>
        <v>22</v>
      </c>
      <c r="J47" s="61" t="e">
        <f t="shared" ref="J47" si="73">FIND("target:",G47)+7</f>
        <v>#VALUE!</v>
      </c>
      <c r="K47" s="61">
        <f t="shared" ref="K47" si="74">FIND(",",G47,I47+1)</f>
        <v>33</v>
      </c>
      <c r="L47" s="61" t="str">
        <f>IFERROR(VLOOKUP(MID(G47,J47,K47-J47),[6]skilldef!$C:$D,2,FALSE),"-") &amp; " / " &amp; IFERROR(VLOOKUP(MID(G47,H47,I47-H47),[6]skilldef!$A:$B,2,FALSE),"-")</f>
        <v>- / -</v>
      </c>
      <c r="M47" s="61" t="str">
        <f t="shared" ref="M47" si="75">IFERROR(RIGHT(B47,LEN(B47)-FIND("],",B47)-1),"none")</f>
        <v>none</v>
      </c>
      <c r="N47" s="46" t="str">
        <f>IFERROR(LEFT(M47,FIND("],",M47)+S50),M47)</f>
        <v>none</v>
      </c>
      <c r="O47" s="61" t="e">
        <f t="shared" ref="O47" si="76">FIND("effect:",N47)+7</f>
        <v>#VALUE!</v>
      </c>
      <c r="P47" s="61">
        <f t="shared" ref="P47" si="77">IFERROR(FIND(",",N47),LEN(N47))</f>
        <v>4</v>
      </c>
      <c r="Q47" s="61" t="e">
        <f t="shared" ref="Q47" si="78">FIND("target:",N47)+7</f>
        <v>#VALUE!</v>
      </c>
      <c r="R47" s="61" t="e">
        <f t="shared" ref="R47" si="79">FIND(",",N47,P47+1)</f>
        <v>#VALUE!</v>
      </c>
      <c r="S47" s="61" t="str">
        <f>IFERROR(VLOOKUP(MID(N47,Q47,R47-Q47),[6]skilldef!$C:$D,2,FALSE),"-") &amp; " / " &amp; IFERROR(VLOOKUP(MID(N47,O47,P47-O47),[6]skilldef!$A:$B,2,FALSE),"-")</f>
        <v>- / -</v>
      </c>
      <c r="T47" s="46" t="str">
        <f t="shared" ref="T47" si="80">IFERROR(RIGHT(M47,LEN(M47)-FIND("],",M47)-1),"none")</f>
        <v>none</v>
      </c>
      <c r="U47" s="61" t="e">
        <f t="shared" ref="U47" si="81">FIND("effect:",T47)+7</f>
        <v>#VALUE!</v>
      </c>
      <c r="V47" s="61">
        <f t="shared" ref="V47" si="82">IFERROR(FIND(",",T47),LEN(T47))</f>
        <v>4</v>
      </c>
      <c r="W47" s="61" t="e">
        <f t="shared" ref="W47" si="83">FIND("target:",T47)+7</f>
        <v>#VALUE!</v>
      </c>
      <c r="X47" s="61" t="e">
        <f t="shared" ref="X47" si="84">FIND(",",T47,V47+1)</f>
        <v>#VALUE!</v>
      </c>
      <c r="Y47" s="61" t="str">
        <f>IFERROR(VLOOKUP(MID(T47,W47,X47-W47),[6]skilldef!$C:$D,2,FALSE),"-") &amp; " / " &amp; IFERROR(VLOOKUP(MID(T47,U47,V47-U47),[6]skilldef!$A:$B,2,FALSE),"-")</f>
        <v>- / -</v>
      </c>
      <c r="Z47" s="48"/>
      <c r="AA47" s="50"/>
      <c r="AB47" s="48"/>
    </row>
    <row r="48" spans="1:28" ht="21" customHeight="1" x14ac:dyDescent="0.15">
      <c r="A48" s="105">
        <v>49007047</v>
      </c>
      <c r="B48" s="95" t="s">
        <v>327</v>
      </c>
      <c r="C48" s="48">
        <v>3</v>
      </c>
      <c r="D48" s="96" t="s">
        <v>125</v>
      </c>
      <c r="E48" s="206" t="s">
        <v>362</v>
      </c>
      <c r="F48" s="97" t="s">
        <v>266</v>
      </c>
      <c r="G48" s="61" t="str">
        <f t="shared" ref="G48:G49" si="85">IFERROR(LEFT(B48,FIND("],",B48)),B48)</f>
        <v>[effect:change_block, new_block:jammer, target:block_all, count:5, val:0.0, animation:change_block][effect:critical, val:1.3, animation:enemy_critical]</v>
      </c>
      <c r="H48" s="61">
        <f t="shared" ref="H48:H49" si="86">FIND("effect:",G48)+7</f>
        <v>9</v>
      </c>
      <c r="I48" s="61">
        <f t="shared" ref="I48:I49" si="87">IFERROR(FIND(",",G48),LEN(G48))</f>
        <v>21</v>
      </c>
      <c r="J48" s="61">
        <f t="shared" ref="J48:J49" si="88">FIND("target:",G48)+7</f>
        <v>48</v>
      </c>
      <c r="K48" s="61">
        <f t="shared" ref="K48:K49" si="89">FIND(",",G48,I48+1)</f>
        <v>39</v>
      </c>
      <c r="L48" s="61" t="str">
        <f>IFERROR(VLOOKUP(MID(G48,J48,K48-J48),[6]skilldef!$C:$D,2,FALSE),"-") &amp; " / " &amp; IFERROR(VLOOKUP(MID(G48,H48,I48-H48),[6]skilldef!$A:$B,2,FALSE),"-")</f>
        <v>- / ブロック変換</v>
      </c>
      <c r="M48" s="61" t="str">
        <f t="shared" ref="M48:M49" si="90">IFERROR(RIGHT(B48,LEN(B48)-FIND("],",B48)-1),"none")</f>
        <v>none</v>
      </c>
      <c r="N48" s="46" t="str">
        <f t="shared" ref="N48" si="91">IFERROR(LEFT(M48,FIND("],",M48)+S58),M48)</f>
        <v>none</v>
      </c>
      <c r="O48" s="61" t="e">
        <f t="shared" ref="O48:O49" si="92">FIND("effect:",N48)+7</f>
        <v>#VALUE!</v>
      </c>
      <c r="P48" s="61">
        <f t="shared" ref="P48:P49" si="93">IFERROR(FIND(",",N48),LEN(N48))</f>
        <v>4</v>
      </c>
      <c r="Q48" s="61" t="e">
        <f t="shared" ref="Q48:Q49" si="94">FIND("target:",N48)+7</f>
        <v>#VALUE!</v>
      </c>
      <c r="R48" s="61" t="e">
        <f t="shared" ref="R48:R49" si="95">FIND(",",N48,P48+1)</f>
        <v>#VALUE!</v>
      </c>
      <c r="S48" s="61" t="str">
        <f>IFERROR(VLOOKUP(MID(N48,Q48,R48-Q48),[6]skilldef!$C:$D,2,FALSE),"-") &amp; " / " &amp; IFERROR(VLOOKUP(MID(N48,O48,P48-O48),[6]skilldef!$A:$B,2,FALSE),"-")</f>
        <v>- / -</v>
      </c>
      <c r="T48" s="46" t="str">
        <f t="shared" ref="T48:T49" si="96">IFERROR(RIGHT(M48,LEN(M48)-FIND("],",M48)-1),"none")</f>
        <v>none</v>
      </c>
      <c r="U48" s="61" t="e">
        <f t="shared" ref="U48:U49" si="97">FIND("effect:",T48)+7</f>
        <v>#VALUE!</v>
      </c>
      <c r="V48" s="61">
        <f t="shared" ref="V48:V49" si="98">IFERROR(FIND(",",T48),LEN(T48))</f>
        <v>4</v>
      </c>
      <c r="W48" s="61" t="e">
        <f t="shared" ref="W48:W49" si="99">FIND("target:",T48)+7</f>
        <v>#VALUE!</v>
      </c>
      <c r="X48" s="61" t="e">
        <f t="shared" ref="X48:X49" si="100">FIND(",",T48,V48+1)</f>
        <v>#VALUE!</v>
      </c>
      <c r="Y48" s="61" t="str">
        <f>IFERROR(VLOOKUP(MID(T48,W48,X48-W48),[6]skilldef!$C:$D,2,FALSE),"-") &amp; " / " &amp; IFERROR(VLOOKUP(MID(T48,U48,V48-U48),[6]skilldef!$A:$B,2,FALSE),"-")</f>
        <v>- / -</v>
      </c>
      <c r="Z48" s="48"/>
      <c r="AA48" s="50"/>
      <c r="AB48" s="48"/>
    </row>
    <row r="49" spans="1:28" ht="21" customHeight="1" x14ac:dyDescent="0.15">
      <c r="A49" s="105">
        <v>49007048</v>
      </c>
      <c r="B49" s="98" t="s">
        <v>328</v>
      </c>
      <c r="C49" s="48">
        <v>3</v>
      </c>
      <c r="D49" s="99" t="s">
        <v>125</v>
      </c>
      <c r="E49" s="205" t="s">
        <v>370</v>
      </c>
      <c r="F49" s="100" t="s">
        <v>304</v>
      </c>
      <c r="G49" s="61" t="str">
        <f t="shared" si="85"/>
        <v>[effect:change_block, new_block:jammer, target:block_all, count:5, val:0.0, animation:change_block][effect:critical, val:1.2, animation:enemy_critical]</v>
      </c>
      <c r="H49" s="61">
        <f t="shared" si="86"/>
        <v>9</v>
      </c>
      <c r="I49" s="61">
        <f t="shared" si="87"/>
        <v>21</v>
      </c>
      <c r="J49" s="61">
        <f t="shared" si="88"/>
        <v>48</v>
      </c>
      <c r="K49" s="61">
        <f t="shared" si="89"/>
        <v>39</v>
      </c>
      <c r="L49" s="61" t="str">
        <f>IFERROR(VLOOKUP(MID(G49,J49,K49-J49),[6]skilldef!$C:$D,2,FALSE),"-") &amp; " / " &amp; IFERROR(VLOOKUP(MID(G49,H49,I49-H49),[6]skilldef!$A:$B,2,FALSE),"-")</f>
        <v>- / ブロック変換</v>
      </c>
      <c r="M49" s="61" t="str">
        <f t="shared" si="90"/>
        <v>none</v>
      </c>
      <c r="N49" s="46" t="str">
        <f>IFERROR(LEFT(M49,FIND("],",M49)+S54),M49)</f>
        <v>none</v>
      </c>
      <c r="O49" s="61" t="e">
        <f t="shared" si="92"/>
        <v>#VALUE!</v>
      </c>
      <c r="P49" s="61">
        <f t="shared" si="93"/>
        <v>4</v>
      </c>
      <c r="Q49" s="61" t="e">
        <f t="shared" si="94"/>
        <v>#VALUE!</v>
      </c>
      <c r="R49" s="61" t="e">
        <f t="shared" si="95"/>
        <v>#VALUE!</v>
      </c>
      <c r="S49" s="61" t="str">
        <f>IFERROR(VLOOKUP(MID(N49,Q49,R49-Q49),[6]skilldef!$C:$D,2,FALSE),"-") &amp; " / " &amp; IFERROR(VLOOKUP(MID(N49,O49,P49-O49),[6]skilldef!$A:$B,2,FALSE),"-")</f>
        <v>- / -</v>
      </c>
      <c r="T49" s="46" t="str">
        <f t="shared" si="96"/>
        <v>none</v>
      </c>
      <c r="U49" s="61" t="e">
        <f t="shared" si="97"/>
        <v>#VALUE!</v>
      </c>
      <c r="V49" s="61">
        <f t="shared" si="98"/>
        <v>4</v>
      </c>
      <c r="W49" s="61" t="e">
        <f t="shared" si="99"/>
        <v>#VALUE!</v>
      </c>
      <c r="X49" s="61" t="e">
        <f t="shared" si="100"/>
        <v>#VALUE!</v>
      </c>
      <c r="Y49" s="61" t="str">
        <f>IFERROR(VLOOKUP(MID(T49,W49,X49-W49),[6]skilldef!$C:$D,2,FALSE),"-") &amp; " / " &amp; IFERROR(VLOOKUP(MID(T49,U49,V49-U49),[6]skilldef!$A:$B,2,FALSE),"-")</f>
        <v>- / -</v>
      </c>
      <c r="Z49" s="48"/>
      <c r="AA49" s="50"/>
      <c r="AB49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74"/>
  <sheetViews>
    <sheetView showGridLines="0" zoomScale="148" zoomScaleNormal="148" zoomScalePageLayoutView="148" workbookViewId="0">
      <pane ySplit="1" topLeftCell="A40" activePane="bottomLeft" state="frozenSplit"/>
      <selection pane="bottomLeft" activeCell="D50" sqref="D50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6384" width="12.83203125" style="43"/>
  </cols>
  <sheetData>
    <row r="1" spans="1:11" ht="21" customHeight="1" x14ac:dyDescent="0.15">
      <c r="A1" s="40" t="s">
        <v>83</v>
      </c>
      <c r="B1" s="40" t="s">
        <v>84</v>
      </c>
      <c r="C1" s="40" t="s">
        <v>85</v>
      </c>
      <c r="D1" s="40" t="s">
        <v>86</v>
      </c>
      <c r="E1" s="40" t="s">
        <v>69</v>
      </c>
      <c r="F1" s="51" t="s">
        <v>70</v>
      </c>
      <c r="G1" s="51" t="s">
        <v>71</v>
      </c>
      <c r="H1" s="40" t="s">
        <v>72</v>
      </c>
      <c r="I1" s="40" t="s">
        <v>73</v>
      </c>
      <c r="J1" s="40" t="s">
        <v>74</v>
      </c>
      <c r="K1" s="52" t="s">
        <v>87</v>
      </c>
    </row>
    <row r="2" spans="1:11" ht="21" customHeight="1" x14ac:dyDescent="0.15">
      <c r="A2" s="105">
        <v>49007001</v>
      </c>
      <c r="B2" s="101">
        <v>1</v>
      </c>
      <c r="C2" s="101" t="s">
        <v>224</v>
      </c>
      <c r="D2" s="101">
        <v>100</v>
      </c>
      <c r="E2" s="101" t="s">
        <v>224</v>
      </c>
      <c r="F2" s="101" t="s">
        <v>224</v>
      </c>
      <c r="G2" s="101">
        <v>1</v>
      </c>
      <c r="H2" s="101" t="s">
        <v>224</v>
      </c>
      <c r="I2" s="101" t="s">
        <v>225</v>
      </c>
      <c r="J2" s="104">
        <f t="shared" ref="J2:J25" si="0">D2</f>
        <v>100</v>
      </c>
    </row>
    <row r="3" spans="1:11" ht="21" customHeight="1" x14ac:dyDescent="0.15">
      <c r="A3" s="105">
        <v>49007002</v>
      </c>
      <c r="B3" s="101">
        <v>0</v>
      </c>
      <c r="C3" s="101">
        <v>50</v>
      </c>
      <c r="D3" s="101">
        <v>100</v>
      </c>
      <c r="E3" s="101" t="s">
        <v>224</v>
      </c>
      <c r="F3" s="101" t="s">
        <v>224</v>
      </c>
      <c r="G3" s="101">
        <v>1</v>
      </c>
      <c r="H3" s="101">
        <v>1</v>
      </c>
      <c r="I3" s="101" t="s">
        <v>224</v>
      </c>
      <c r="J3" s="104">
        <f t="shared" si="0"/>
        <v>100</v>
      </c>
    </row>
    <row r="4" spans="1:11" ht="21" customHeight="1" x14ac:dyDescent="0.15">
      <c r="A4" s="105">
        <v>49007003</v>
      </c>
      <c r="B4" s="101">
        <v>0</v>
      </c>
      <c r="C4" s="101">
        <v>30</v>
      </c>
      <c r="D4" s="101">
        <v>65</v>
      </c>
      <c r="E4" s="101" t="s">
        <v>224</v>
      </c>
      <c r="F4" s="101" t="s">
        <v>224</v>
      </c>
      <c r="G4" s="101" t="s">
        <v>225</v>
      </c>
      <c r="H4" s="101" t="s">
        <v>226</v>
      </c>
      <c r="I4" s="101" t="s">
        <v>227</v>
      </c>
      <c r="J4" s="104">
        <f t="shared" si="0"/>
        <v>65</v>
      </c>
    </row>
    <row r="5" spans="1:11" ht="21" customHeight="1" x14ac:dyDescent="0.15">
      <c r="A5" s="105">
        <v>49007004</v>
      </c>
      <c r="B5" s="101">
        <v>1</v>
      </c>
      <c r="C5" s="101" t="s">
        <v>225</v>
      </c>
      <c r="D5" s="101">
        <v>100</v>
      </c>
      <c r="E5" s="101" t="s">
        <v>227</v>
      </c>
      <c r="F5" s="101" t="s">
        <v>227</v>
      </c>
      <c r="G5" s="101">
        <v>1</v>
      </c>
      <c r="H5" s="101" t="s">
        <v>228</v>
      </c>
      <c r="I5" s="101" t="s">
        <v>225</v>
      </c>
      <c r="J5" s="104">
        <f t="shared" si="0"/>
        <v>100</v>
      </c>
    </row>
    <row r="6" spans="1:11" ht="21" customHeight="1" x14ac:dyDescent="0.15">
      <c r="A6" s="105">
        <v>49007005</v>
      </c>
      <c r="B6" s="101">
        <v>0</v>
      </c>
      <c r="C6" s="101">
        <v>30</v>
      </c>
      <c r="D6" s="101">
        <v>100</v>
      </c>
      <c r="E6" s="101" t="s">
        <v>224</v>
      </c>
      <c r="F6" s="101" t="s">
        <v>224</v>
      </c>
      <c r="G6" s="101" t="s">
        <v>225</v>
      </c>
      <c r="H6" s="101">
        <v>1</v>
      </c>
      <c r="I6" s="101" t="s">
        <v>229</v>
      </c>
      <c r="J6" s="104">
        <f t="shared" si="0"/>
        <v>100</v>
      </c>
    </row>
    <row r="7" spans="1:11" ht="21" customHeight="1" x14ac:dyDescent="0.15">
      <c r="A7" s="105">
        <v>49007006</v>
      </c>
      <c r="B7" s="101">
        <v>0</v>
      </c>
      <c r="C7" s="101">
        <v>40</v>
      </c>
      <c r="D7" s="101">
        <v>100</v>
      </c>
      <c r="E7" s="101" t="s">
        <v>227</v>
      </c>
      <c r="F7" s="101" t="s">
        <v>224</v>
      </c>
      <c r="G7" s="101" t="s">
        <v>227</v>
      </c>
      <c r="H7" s="101">
        <v>2</v>
      </c>
      <c r="I7" s="101" t="s">
        <v>224</v>
      </c>
      <c r="J7" s="104">
        <f t="shared" si="0"/>
        <v>100</v>
      </c>
    </row>
    <row r="8" spans="1:11" ht="21" customHeight="1" x14ac:dyDescent="0.15">
      <c r="A8" s="105">
        <v>49007007</v>
      </c>
      <c r="B8" s="101">
        <v>0</v>
      </c>
      <c r="C8" s="101">
        <v>50</v>
      </c>
      <c r="D8" s="101">
        <v>30</v>
      </c>
      <c r="E8" s="101" t="s">
        <v>224</v>
      </c>
      <c r="F8" s="101" t="s">
        <v>224</v>
      </c>
      <c r="G8" s="101" t="s">
        <v>225</v>
      </c>
      <c r="H8" s="101">
        <v>1</v>
      </c>
      <c r="I8" s="101" t="s">
        <v>225</v>
      </c>
      <c r="J8" s="104">
        <f t="shared" si="0"/>
        <v>30</v>
      </c>
    </row>
    <row r="9" spans="1:11" ht="21" customHeight="1" x14ac:dyDescent="0.15">
      <c r="A9" s="105">
        <v>49007008</v>
      </c>
      <c r="B9" s="101">
        <v>0</v>
      </c>
      <c r="C9" s="101">
        <v>60</v>
      </c>
      <c r="D9" s="101">
        <v>100</v>
      </c>
      <c r="E9" s="101">
        <v>30</v>
      </c>
      <c r="F9" s="101" t="s">
        <v>225</v>
      </c>
      <c r="G9" s="101">
        <v>1</v>
      </c>
      <c r="H9" s="101">
        <v>1</v>
      </c>
      <c r="I9" s="101" t="s">
        <v>224</v>
      </c>
      <c r="J9" s="104">
        <f t="shared" si="0"/>
        <v>100</v>
      </c>
    </row>
    <row r="10" spans="1:11" ht="21" customHeight="1" x14ac:dyDescent="0.15">
      <c r="A10" s="105">
        <v>49007009</v>
      </c>
      <c r="B10" s="101">
        <v>1</v>
      </c>
      <c r="C10" s="101" t="s">
        <v>224</v>
      </c>
      <c r="D10" s="101">
        <v>100</v>
      </c>
      <c r="E10" s="101" t="s">
        <v>224</v>
      </c>
      <c r="F10" s="101" t="s">
        <v>224</v>
      </c>
      <c r="G10" s="101">
        <v>1</v>
      </c>
      <c r="H10" s="101">
        <v>1</v>
      </c>
      <c r="I10" s="101" t="s">
        <v>224</v>
      </c>
      <c r="J10" s="104">
        <f t="shared" si="0"/>
        <v>100</v>
      </c>
    </row>
    <row r="11" spans="1:11" ht="21" customHeight="1" x14ac:dyDescent="0.15">
      <c r="A11" s="105">
        <v>49007010</v>
      </c>
      <c r="B11" s="101">
        <v>1</v>
      </c>
      <c r="C11" s="101" t="s">
        <v>224</v>
      </c>
      <c r="D11" s="101">
        <v>100</v>
      </c>
      <c r="E11" s="101" t="s">
        <v>224</v>
      </c>
      <c r="F11" s="101" t="s">
        <v>224</v>
      </c>
      <c r="G11" s="101">
        <v>1</v>
      </c>
      <c r="H11" s="101" t="s">
        <v>224</v>
      </c>
      <c r="I11" s="101" t="s">
        <v>225</v>
      </c>
      <c r="J11" s="104">
        <f t="shared" si="0"/>
        <v>100</v>
      </c>
    </row>
    <row r="12" spans="1:11" ht="21" customHeight="1" x14ac:dyDescent="0.15">
      <c r="A12" s="105">
        <v>49007011</v>
      </c>
      <c r="B12" s="101">
        <v>0</v>
      </c>
      <c r="C12" s="101">
        <v>50</v>
      </c>
      <c r="D12" s="101">
        <v>100</v>
      </c>
      <c r="E12" s="101" t="s">
        <v>230</v>
      </c>
      <c r="F12" s="101" t="s">
        <v>224</v>
      </c>
      <c r="G12" s="101" t="s">
        <v>225</v>
      </c>
      <c r="H12" s="101">
        <v>3</v>
      </c>
      <c r="I12" s="101" t="s">
        <v>224</v>
      </c>
      <c r="J12" s="104">
        <f t="shared" si="0"/>
        <v>100</v>
      </c>
    </row>
    <row r="13" spans="1:11" ht="21" customHeight="1" x14ac:dyDescent="0.15">
      <c r="A13" s="105">
        <v>49007012</v>
      </c>
      <c r="B13" s="101">
        <v>0</v>
      </c>
      <c r="C13" s="101">
        <v>20</v>
      </c>
      <c r="D13" s="101">
        <v>55</v>
      </c>
      <c r="E13" s="101" t="s">
        <v>224</v>
      </c>
      <c r="F13" s="101" t="s">
        <v>225</v>
      </c>
      <c r="G13" s="101" t="s">
        <v>227</v>
      </c>
      <c r="H13" s="101" t="s">
        <v>224</v>
      </c>
      <c r="I13" s="101" t="s">
        <v>224</v>
      </c>
      <c r="J13" s="104">
        <f t="shared" si="0"/>
        <v>55</v>
      </c>
    </row>
    <row r="14" spans="1:11" ht="21" customHeight="1" x14ac:dyDescent="0.15">
      <c r="A14" s="105">
        <v>49007013</v>
      </c>
      <c r="B14" s="101">
        <v>0</v>
      </c>
      <c r="C14" s="101">
        <v>50</v>
      </c>
      <c r="D14" s="101">
        <v>60</v>
      </c>
      <c r="E14" s="101" t="s">
        <v>227</v>
      </c>
      <c r="F14" s="101" t="s">
        <v>231</v>
      </c>
      <c r="G14" s="101" t="s">
        <v>224</v>
      </c>
      <c r="H14" s="101" t="s">
        <v>224</v>
      </c>
      <c r="I14" s="101" t="s">
        <v>224</v>
      </c>
      <c r="J14" s="104">
        <f t="shared" si="0"/>
        <v>60</v>
      </c>
    </row>
    <row r="15" spans="1:11" ht="21" customHeight="1" x14ac:dyDescent="0.15">
      <c r="A15" s="105">
        <v>49007014</v>
      </c>
      <c r="B15" s="101">
        <v>0</v>
      </c>
      <c r="C15" s="101">
        <v>100</v>
      </c>
      <c r="D15" s="101">
        <v>100</v>
      </c>
      <c r="E15" s="101">
        <v>50</v>
      </c>
      <c r="F15" s="101" t="s">
        <v>224</v>
      </c>
      <c r="G15" s="101">
        <v>1</v>
      </c>
      <c r="H15" s="101" t="s">
        <v>224</v>
      </c>
      <c r="I15" s="101" t="s">
        <v>224</v>
      </c>
      <c r="J15" s="104">
        <f t="shared" si="0"/>
        <v>100</v>
      </c>
    </row>
    <row r="16" spans="1:11" ht="21" customHeight="1" x14ac:dyDescent="0.15">
      <c r="A16" s="105">
        <v>49007015</v>
      </c>
      <c r="B16" s="101">
        <v>0</v>
      </c>
      <c r="C16" s="101">
        <v>90</v>
      </c>
      <c r="D16" s="101">
        <v>100</v>
      </c>
      <c r="E16" s="101">
        <v>30</v>
      </c>
      <c r="F16" s="101" t="s">
        <v>224</v>
      </c>
      <c r="G16" s="101">
        <v>1</v>
      </c>
      <c r="H16" s="101" t="s">
        <v>224</v>
      </c>
      <c r="I16" s="101" t="s">
        <v>232</v>
      </c>
      <c r="J16" s="104">
        <f t="shared" si="0"/>
        <v>100</v>
      </c>
    </row>
    <row r="17" spans="1:10" ht="21" customHeight="1" x14ac:dyDescent="0.15">
      <c r="A17" s="105">
        <v>49007016</v>
      </c>
      <c r="B17" s="101">
        <v>0</v>
      </c>
      <c r="C17" s="101">
        <v>40</v>
      </c>
      <c r="D17" s="101">
        <v>60</v>
      </c>
      <c r="E17" s="101" t="s">
        <v>225</v>
      </c>
      <c r="F17" s="101" t="s">
        <v>224</v>
      </c>
      <c r="G17" s="101" t="s">
        <v>224</v>
      </c>
      <c r="H17" s="101" t="s">
        <v>228</v>
      </c>
      <c r="I17" s="101" t="s">
        <v>227</v>
      </c>
      <c r="J17" s="104">
        <f t="shared" si="0"/>
        <v>60</v>
      </c>
    </row>
    <row r="18" spans="1:10" ht="21" customHeight="1" x14ac:dyDescent="0.15">
      <c r="A18" s="105">
        <v>49007017</v>
      </c>
      <c r="B18" s="101">
        <v>0</v>
      </c>
      <c r="C18" s="101">
        <v>50</v>
      </c>
      <c r="D18" s="101">
        <v>70</v>
      </c>
      <c r="E18" s="101" t="s">
        <v>227</v>
      </c>
      <c r="F18" s="101" t="s">
        <v>234</v>
      </c>
      <c r="G18" s="101" t="s">
        <v>224</v>
      </c>
      <c r="H18" s="101" t="s">
        <v>227</v>
      </c>
      <c r="I18" s="101" t="s">
        <v>225</v>
      </c>
      <c r="J18" s="104">
        <f t="shared" si="0"/>
        <v>70</v>
      </c>
    </row>
    <row r="19" spans="1:10" ht="21" customHeight="1" x14ac:dyDescent="0.15">
      <c r="A19" s="105">
        <v>49007018</v>
      </c>
      <c r="B19" s="101">
        <v>0</v>
      </c>
      <c r="C19" s="101">
        <v>90</v>
      </c>
      <c r="D19" s="101">
        <v>100</v>
      </c>
      <c r="E19" s="101">
        <v>50</v>
      </c>
      <c r="F19" s="101" t="s">
        <v>224</v>
      </c>
      <c r="G19" s="101">
        <v>1</v>
      </c>
      <c r="H19" s="101" t="s">
        <v>224</v>
      </c>
      <c r="I19" s="101" t="s">
        <v>224</v>
      </c>
      <c r="J19" s="104">
        <f t="shared" si="0"/>
        <v>100</v>
      </c>
    </row>
    <row r="20" spans="1:10" ht="21" customHeight="1" x14ac:dyDescent="0.15">
      <c r="A20" s="105">
        <v>49007019</v>
      </c>
      <c r="B20" s="101">
        <v>0</v>
      </c>
      <c r="C20" s="101">
        <v>80</v>
      </c>
      <c r="D20" s="101">
        <v>100</v>
      </c>
      <c r="E20" s="101">
        <v>30</v>
      </c>
      <c r="F20" s="101" t="s">
        <v>233</v>
      </c>
      <c r="G20" s="101">
        <v>1</v>
      </c>
      <c r="H20" s="101" t="s">
        <v>224</v>
      </c>
      <c r="I20" s="101" t="s">
        <v>227</v>
      </c>
      <c r="J20" s="104">
        <f t="shared" si="0"/>
        <v>100</v>
      </c>
    </row>
    <row r="21" spans="1:10" ht="21" customHeight="1" x14ac:dyDescent="0.15">
      <c r="A21" s="105">
        <v>49007020</v>
      </c>
      <c r="B21" s="101">
        <v>0</v>
      </c>
      <c r="C21" s="101">
        <v>100</v>
      </c>
      <c r="D21" s="101">
        <v>100</v>
      </c>
      <c r="E21" s="101" t="s">
        <v>224</v>
      </c>
      <c r="F21" s="101" t="s">
        <v>224</v>
      </c>
      <c r="G21" s="101">
        <v>1</v>
      </c>
      <c r="H21" s="101">
        <v>1</v>
      </c>
      <c r="I21" s="101" t="s">
        <v>227</v>
      </c>
      <c r="J21" s="104">
        <f t="shared" si="0"/>
        <v>100</v>
      </c>
    </row>
    <row r="22" spans="1:10" ht="21" customHeight="1" x14ac:dyDescent="0.15">
      <c r="A22" s="105">
        <v>49007021</v>
      </c>
      <c r="B22" s="101">
        <v>0</v>
      </c>
      <c r="C22" s="101">
        <v>100</v>
      </c>
      <c r="D22" s="101">
        <v>100</v>
      </c>
      <c r="E22" s="101" t="s">
        <v>224</v>
      </c>
      <c r="F22" s="101" t="s">
        <v>224</v>
      </c>
      <c r="G22" s="101">
        <v>1</v>
      </c>
      <c r="H22" s="101">
        <v>2</v>
      </c>
      <c r="I22" s="101" t="s">
        <v>227</v>
      </c>
      <c r="J22" s="104">
        <f t="shared" si="0"/>
        <v>100</v>
      </c>
    </row>
    <row r="23" spans="1:10" ht="21" customHeight="1" x14ac:dyDescent="0.15">
      <c r="A23" s="105">
        <v>49007022</v>
      </c>
      <c r="B23" s="101">
        <v>0</v>
      </c>
      <c r="C23" s="101" t="s">
        <v>224</v>
      </c>
      <c r="D23" s="101">
        <v>60</v>
      </c>
      <c r="E23" s="101" t="s">
        <v>224</v>
      </c>
      <c r="F23" s="101" t="s">
        <v>224</v>
      </c>
      <c r="G23" s="101" t="s">
        <v>224</v>
      </c>
      <c r="H23" s="101" t="s">
        <v>224</v>
      </c>
      <c r="I23" s="101" t="s">
        <v>227</v>
      </c>
      <c r="J23" s="104">
        <f t="shared" si="0"/>
        <v>60</v>
      </c>
    </row>
    <row r="24" spans="1:10" ht="21" customHeight="1" x14ac:dyDescent="0.15">
      <c r="A24" s="105">
        <v>49007023</v>
      </c>
      <c r="B24" s="101">
        <v>0</v>
      </c>
      <c r="C24" s="101">
        <v>120</v>
      </c>
      <c r="D24" s="101">
        <v>100</v>
      </c>
      <c r="E24" s="101">
        <v>50</v>
      </c>
      <c r="F24" s="101" t="s">
        <v>224</v>
      </c>
      <c r="G24" s="101">
        <v>1</v>
      </c>
      <c r="H24" s="101">
        <v>1</v>
      </c>
      <c r="I24" s="101" t="s">
        <v>227</v>
      </c>
      <c r="J24" s="104">
        <f t="shared" si="0"/>
        <v>100</v>
      </c>
    </row>
    <row r="25" spans="1:10" ht="21" customHeight="1" x14ac:dyDescent="0.15">
      <c r="A25" s="105">
        <v>49007024</v>
      </c>
      <c r="B25" s="101">
        <v>0</v>
      </c>
      <c r="C25" s="101">
        <v>110</v>
      </c>
      <c r="D25" s="101">
        <v>100</v>
      </c>
      <c r="E25" s="101">
        <v>50</v>
      </c>
      <c r="F25" s="101" t="s">
        <v>224</v>
      </c>
      <c r="G25" s="101">
        <v>1</v>
      </c>
      <c r="H25" s="101">
        <v>1</v>
      </c>
      <c r="I25" s="101" t="s">
        <v>227</v>
      </c>
      <c r="J25" s="104">
        <f t="shared" si="0"/>
        <v>100</v>
      </c>
    </row>
    <row r="26" spans="1:10" ht="21" customHeight="1" x14ac:dyDescent="0.15">
      <c r="A26" s="105">
        <v>49007025</v>
      </c>
      <c r="B26" s="45">
        <v>1</v>
      </c>
      <c r="C26" s="45">
        <v>50</v>
      </c>
      <c r="D26" s="45">
        <v>100</v>
      </c>
      <c r="E26" s="45" t="s">
        <v>223</v>
      </c>
      <c r="F26" s="45" t="s">
        <v>223</v>
      </c>
      <c r="G26" s="45">
        <v>1</v>
      </c>
      <c r="H26" s="45" t="s">
        <v>223</v>
      </c>
      <c r="I26" s="45" t="s">
        <v>223</v>
      </c>
      <c r="J26" s="104">
        <f t="shared" ref="J26:J74" si="1">D26</f>
        <v>100</v>
      </c>
    </row>
    <row r="27" spans="1:10" ht="21" customHeight="1" x14ac:dyDescent="0.15">
      <c r="A27" s="105">
        <v>49007026</v>
      </c>
      <c r="B27" s="45">
        <v>0</v>
      </c>
      <c r="C27" s="45">
        <v>30</v>
      </c>
      <c r="D27" s="45">
        <v>100</v>
      </c>
      <c r="E27" s="45">
        <v>90</v>
      </c>
      <c r="F27" s="45" t="s">
        <v>223</v>
      </c>
      <c r="G27" s="45">
        <v>1</v>
      </c>
      <c r="H27" s="45" t="s">
        <v>223</v>
      </c>
      <c r="I27" s="45" t="s">
        <v>223</v>
      </c>
      <c r="J27" s="104">
        <f t="shared" si="1"/>
        <v>100</v>
      </c>
    </row>
    <row r="28" spans="1:10" ht="21" customHeight="1" x14ac:dyDescent="0.15">
      <c r="A28" s="105">
        <v>49007027</v>
      </c>
      <c r="B28" s="45">
        <v>0</v>
      </c>
      <c r="C28" s="45">
        <v>25</v>
      </c>
      <c r="D28" s="45">
        <v>40</v>
      </c>
      <c r="E28" s="45" t="s">
        <v>223</v>
      </c>
      <c r="F28" s="45" t="s">
        <v>223</v>
      </c>
      <c r="G28" s="45" t="s">
        <v>223</v>
      </c>
      <c r="H28" s="45" t="s">
        <v>223</v>
      </c>
      <c r="I28" s="45" t="s">
        <v>223</v>
      </c>
      <c r="J28" s="104">
        <f t="shared" si="1"/>
        <v>40</v>
      </c>
    </row>
    <row r="29" spans="1:10" ht="21" customHeight="1" x14ac:dyDescent="0.15">
      <c r="A29" s="105">
        <v>49007028</v>
      </c>
      <c r="B29" s="45">
        <v>0</v>
      </c>
      <c r="C29" s="45">
        <v>24</v>
      </c>
      <c r="D29" s="45">
        <v>75</v>
      </c>
      <c r="E29" s="45" t="s">
        <v>223</v>
      </c>
      <c r="F29" s="45" t="s">
        <v>223</v>
      </c>
      <c r="G29" s="45" t="s">
        <v>223</v>
      </c>
      <c r="H29" s="45" t="s">
        <v>223</v>
      </c>
      <c r="I29" s="45" t="s">
        <v>223</v>
      </c>
      <c r="J29" s="104">
        <f t="shared" si="1"/>
        <v>75</v>
      </c>
    </row>
    <row r="30" spans="1:10" ht="21" customHeight="1" x14ac:dyDescent="0.15">
      <c r="A30" s="105">
        <v>49007029</v>
      </c>
      <c r="B30" s="45">
        <v>0</v>
      </c>
      <c r="C30" s="45">
        <v>26</v>
      </c>
      <c r="D30" s="45">
        <v>20</v>
      </c>
      <c r="E30" s="45">
        <v>80</v>
      </c>
      <c r="F30" s="45" t="s">
        <v>223</v>
      </c>
      <c r="G30" s="45">
        <v>1</v>
      </c>
      <c r="H30" s="45" t="s">
        <v>223</v>
      </c>
      <c r="I30" s="45" t="s">
        <v>223</v>
      </c>
      <c r="J30" s="104">
        <f t="shared" si="1"/>
        <v>20</v>
      </c>
    </row>
    <row r="31" spans="1:10" ht="21" customHeight="1" x14ac:dyDescent="0.15">
      <c r="A31" s="105">
        <v>49007030</v>
      </c>
      <c r="B31" s="45">
        <v>1</v>
      </c>
      <c r="C31" s="45">
        <v>50</v>
      </c>
      <c r="D31" s="45">
        <v>100</v>
      </c>
      <c r="E31" s="45" t="s">
        <v>223</v>
      </c>
      <c r="F31" s="45" t="s">
        <v>223</v>
      </c>
      <c r="G31" s="45">
        <v>1</v>
      </c>
      <c r="H31" s="45" t="s">
        <v>223</v>
      </c>
      <c r="I31" s="45" t="s">
        <v>223</v>
      </c>
      <c r="J31" s="104">
        <f t="shared" si="1"/>
        <v>100</v>
      </c>
    </row>
    <row r="32" spans="1:10" ht="21" customHeight="1" x14ac:dyDescent="0.15">
      <c r="A32" s="105">
        <v>49007031</v>
      </c>
      <c r="B32" s="45">
        <v>0</v>
      </c>
      <c r="C32" s="45">
        <v>40</v>
      </c>
      <c r="D32" s="45">
        <v>100</v>
      </c>
      <c r="E32" s="45">
        <v>50</v>
      </c>
      <c r="F32" s="45" t="s">
        <v>223</v>
      </c>
      <c r="G32" s="45">
        <v>1</v>
      </c>
      <c r="H32" s="45" t="s">
        <v>223</v>
      </c>
      <c r="I32" s="45" t="s">
        <v>223</v>
      </c>
      <c r="J32" s="104">
        <f t="shared" si="1"/>
        <v>100</v>
      </c>
    </row>
    <row r="33" spans="1:10" ht="21" customHeight="1" x14ac:dyDescent="0.15">
      <c r="A33" s="105">
        <v>49007032</v>
      </c>
      <c r="B33" s="45">
        <v>0</v>
      </c>
      <c r="C33" s="45">
        <v>25</v>
      </c>
      <c r="D33" s="45">
        <v>50</v>
      </c>
      <c r="E33" s="45" t="s">
        <v>223</v>
      </c>
      <c r="F33" s="45" t="s">
        <v>223</v>
      </c>
      <c r="G33" s="45" t="s">
        <v>223</v>
      </c>
      <c r="H33" s="45" t="s">
        <v>223</v>
      </c>
      <c r="I33" s="45" t="s">
        <v>223</v>
      </c>
      <c r="J33" s="104">
        <f t="shared" si="1"/>
        <v>50</v>
      </c>
    </row>
    <row r="34" spans="1:10" ht="21" customHeight="1" x14ac:dyDescent="0.15">
      <c r="A34" s="105">
        <v>49007033</v>
      </c>
      <c r="B34" s="45">
        <v>0</v>
      </c>
      <c r="C34" s="45">
        <v>24</v>
      </c>
      <c r="D34" s="45">
        <v>50</v>
      </c>
      <c r="E34" s="45" t="s">
        <v>223</v>
      </c>
      <c r="F34" s="45" t="s">
        <v>223</v>
      </c>
      <c r="G34" s="45" t="s">
        <v>223</v>
      </c>
      <c r="H34" s="45" t="s">
        <v>223</v>
      </c>
      <c r="I34" s="45" t="s">
        <v>223</v>
      </c>
      <c r="J34" s="104">
        <f t="shared" si="1"/>
        <v>50</v>
      </c>
    </row>
    <row r="35" spans="1:10" ht="21" customHeight="1" x14ac:dyDescent="0.15">
      <c r="A35" s="105">
        <v>49007034</v>
      </c>
      <c r="B35" s="45">
        <v>0</v>
      </c>
      <c r="C35" s="45">
        <v>35</v>
      </c>
      <c r="D35" s="45">
        <v>100</v>
      </c>
      <c r="E35" s="45">
        <v>50</v>
      </c>
      <c r="F35" s="45" t="s">
        <v>223</v>
      </c>
      <c r="G35" s="45">
        <v>1</v>
      </c>
      <c r="H35" s="45" t="s">
        <v>223</v>
      </c>
      <c r="I35" s="45" t="s">
        <v>223</v>
      </c>
      <c r="J35" s="104">
        <f t="shared" si="1"/>
        <v>100</v>
      </c>
    </row>
    <row r="36" spans="1:10" ht="21" customHeight="1" x14ac:dyDescent="0.15">
      <c r="A36" s="105">
        <v>49007035</v>
      </c>
      <c r="B36" s="45">
        <v>0</v>
      </c>
      <c r="C36" s="45">
        <v>45</v>
      </c>
      <c r="D36" s="45">
        <v>100</v>
      </c>
      <c r="E36" s="45" t="s">
        <v>223</v>
      </c>
      <c r="F36" s="45" t="s">
        <v>223</v>
      </c>
      <c r="G36" s="45">
        <v>1</v>
      </c>
      <c r="H36" s="45">
        <v>3</v>
      </c>
      <c r="I36" s="45" t="s">
        <v>223</v>
      </c>
      <c r="J36" s="104">
        <f t="shared" si="1"/>
        <v>100</v>
      </c>
    </row>
    <row r="37" spans="1:10" ht="21" customHeight="1" x14ac:dyDescent="0.15">
      <c r="A37" s="105">
        <v>49007036</v>
      </c>
      <c r="B37" s="45">
        <v>0</v>
      </c>
      <c r="C37" s="45">
        <v>44</v>
      </c>
      <c r="D37" s="45">
        <v>100</v>
      </c>
      <c r="E37" s="45" t="s">
        <v>223</v>
      </c>
      <c r="F37" s="45" t="s">
        <v>223</v>
      </c>
      <c r="G37" s="45">
        <v>1</v>
      </c>
      <c r="H37" s="45">
        <v>4</v>
      </c>
      <c r="I37" s="45" t="s">
        <v>223</v>
      </c>
      <c r="J37" s="104">
        <f t="shared" si="1"/>
        <v>100</v>
      </c>
    </row>
    <row r="38" spans="1:10" ht="21" customHeight="1" x14ac:dyDescent="0.15">
      <c r="A38" s="105">
        <v>49007037</v>
      </c>
      <c r="B38" s="45">
        <v>1</v>
      </c>
      <c r="C38" s="45">
        <v>50</v>
      </c>
      <c r="D38" s="45">
        <v>100</v>
      </c>
      <c r="E38" s="45" t="s">
        <v>223</v>
      </c>
      <c r="F38" s="45" t="s">
        <v>223</v>
      </c>
      <c r="G38" s="45">
        <v>1</v>
      </c>
      <c r="H38" s="45" t="s">
        <v>223</v>
      </c>
      <c r="I38" s="45" t="s">
        <v>223</v>
      </c>
      <c r="J38" s="104">
        <f t="shared" si="1"/>
        <v>100</v>
      </c>
    </row>
    <row r="39" spans="1:10" ht="21" customHeight="1" x14ac:dyDescent="0.15">
      <c r="A39" s="105">
        <v>49007038</v>
      </c>
      <c r="B39" s="45">
        <v>0</v>
      </c>
      <c r="C39" s="45">
        <v>25</v>
      </c>
      <c r="D39" s="45">
        <v>50</v>
      </c>
      <c r="E39" s="45" t="s">
        <v>223</v>
      </c>
      <c r="F39" s="45" t="s">
        <v>223</v>
      </c>
      <c r="G39" s="45" t="s">
        <v>223</v>
      </c>
      <c r="H39" s="45" t="s">
        <v>223</v>
      </c>
      <c r="I39" s="45" t="s">
        <v>223</v>
      </c>
      <c r="J39" s="104">
        <f t="shared" si="1"/>
        <v>50</v>
      </c>
    </row>
    <row r="40" spans="1:10" ht="21" customHeight="1" x14ac:dyDescent="0.15">
      <c r="A40" s="105">
        <v>49007039</v>
      </c>
      <c r="B40" s="45">
        <v>0</v>
      </c>
      <c r="C40" s="45">
        <v>29</v>
      </c>
      <c r="D40" s="45">
        <v>100</v>
      </c>
      <c r="E40" s="45" t="s">
        <v>223</v>
      </c>
      <c r="F40" s="45" t="s">
        <v>223</v>
      </c>
      <c r="G40" s="45">
        <v>1</v>
      </c>
      <c r="H40" s="45">
        <v>4</v>
      </c>
      <c r="I40" s="45" t="s">
        <v>223</v>
      </c>
      <c r="J40" s="104">
        <f t="shared" si="1"/>
        <v>100</v>
      </c>
    </row>
    <row r="41" spans="1:10" ht="21" customHeight="1" x14ac:dyDescent="0.15">
      <c r="A41" s="105">
        <v>49007040</v>
      </c>
      <c r="B41" s="45">
        <v>0</v>
      </c>
      <c r="C41" s="45">
        <v>30</v>
      </c>
      <c r="D41" s="45">
        <v>100</v>
      </c>
      <c r="E41" s="45">
        <v>75</v>
      </c>
      <c r="F41" s="45" t="s">
        <v>223</v>
      </c>
      <c r="G41" s="45">
        <v>1</v>
      </c>
      <c r="H41" s="45" t="s">
        <v>223</v>
      </c>
      <c r="I41" s="45" t="s">
        <v>223</v>
      </c>
      <c r="J41" s="104">
        <f t="shared" si="1"/>
        <v>100</v>
      </c>
    </row>
    <row r="42" spans="1:10" ht="21" customHeight="1" x14ac:dyDescent="0.15">
      <c r="A42" s="105">
        <v>49007041</v>
      </c>
      <c r="B42" s="45">
        <v>0</v>
      </c>
      <c r="C42" s="45">
        <v>40</v>
      </c>
      <c r="D42" s="45">
        <v>100</v>
      </c>
      <c r="E42" s="45">
        <v>20</v>
      </c>
      <c r="F42" s="45" t="s">
        <v>223</v>
      </c>
      <c r="G42" s="45">
        <v>1</v>
      </c>
      <c r="H42" s="45" t="s">
        <v>223</v>
      </c>
      <c r="I42" s="45" t="s">
        <v>223</v>
      </c>
      <c r="J42" s="104">
        <f t="shared" si="1"/>
        <v>100</v>
      </c>
    </row>
    <row r="43" spans="1:10" ht="21" customHeight="1" x14ac:dyDescent="0.15">
      <c r="A43" s="105">
        <v>49007042</v>
      </c>
      <c r="B43" s="45">
        <v>0</v>
      </c>
      <c r="C43" s="45">
        <v>39</v>
      </c>
      <c r="D43" s="45">
        <v>100</v>
      </c>
      <c r="E43" s="45">
        <v>20</v>
      </c>
      <c r="F43" s="45" t="s">
        <v>223</v>
      </c>
      <c r="G43" s="45">
        <v>1</v>
      </c>
      <c r="H43" s="45" t="s">
        <v>223</v>
      </c>
      <c r="I43" s="45" t="s">
        <v>223</v>
      </c>
      <c r="J43" s="104">
        <f t="shared" si="1"/>
        <v>100</v>
      </c>
    </row>
    <row r="44" spans="1:10" ht="21" customHeight="1" x14ac:dyDescent="0.15">
      <c r="A44" s="105">
        <v>49007045</v>
      </c>
      <c r="B44" s="45">
        <v>0</v>
      </c>
      <c r="C44" s="45" t="s">
        <v>223</v>
      </c>
      <c r="D44" s="45">
        <v>100</v>
      </c>
      <c r="E44" s="45">
        <v>100</v>
      </c>
      <c r="F44" s="45" t="s">
        <v>223</v>
      </c>
      <c r="G44" s="45">
        <v>0</v>
      </c>
      <c r="H44" s="45" t="s">
        <v>223</v>
      </c>
      <c r="I44" s="45">
        <v>0</v>
      </c>
      <c r="J44" s="46">
        <f t="shared" si="1"/>
        <v>100</v>
      </c>
    </row>
    <row r="45" spans="1:10" ht="21" customHeight="1" x14ac:dyDescent="0.15">
      <c r="A45" s="105">
        <v>49007046</v>
      </c>
      <c r="B45" s="106">
        <v>1</v>
      </c>
      <c r="C45" s="106">
        <v>100</v>
      </c>
      <c r="D45" s="106">
        <v>100</v>
      </c>
      <c r="E45" s="106" t="s">
        <v>223</v>
      </c>
      <c r="F45" s="106" t="s">
        <v>223</v>
      </c>
      <c r="G45" s="106">
        <v>1</v>
      </c>
      <c r="H45" s="106" t="s">
        <v>223</v>
      </c>
      <c r="I45" s="105">
        <v>8043</v>
      </c>
      <c r="J45" s="46">
        <f t="shared" si="1"/>
        <v>100</v>
      </c>
    </row>
    <row r="46" spans="1:10" ht="21" customHeight="1" x14ac:dyDescent="0.15">
      <c r="A46" s="105">
        <v>49007047</v>
      </c>
      <c r="B46" s="106">
        <v>1</v>
      </c>
      <c r="C46" s="106">
        <v>99</v>
      </c>
      <c r="D46" s="106">
        <v>100</v>
      </c>
      <c r="E46" s="106" t="s">
        <v>223</v>
      </c>
      <c r="F46" s="106" t="s">
        <v>223</v>
      </c>
      <c r="G46" s="106">
        <v>1</v>
      </c>
      <c r="H46" s="106" t="s">
        <v>223</v>
      </c>
      <c r="I46" s="105">
        <v>8044</v>
      </c>
      <c r="J46" s="46">
        <f t="shared" si="1"/>
        <v>100</v>
      </c>
    </row>
    <row r="47" spans="1:10" ht="21" customHeight="1" x14ac:dyDescent="0.15">
      <c r="A47" s="105">
        <v>49007048</v>
      </c>
      <c r="B47" s="106">
        <v>1</v>
      </c>
      <c r="C47" s="106">
        <v>98</v>
      </c>
      <c r="D47" s="106">
        <v>100</v>
      </c>
      <c r="E47" s="106" t="s">
        <v>223</v>
      </c>
      <c r="F47" s="106" t="s">
        <v>223</v>
      </c>
      <c r="G47" s="106">
        <v>1</v>
      </c>
      <c r="H47" s="106" t="s">
        <v>223</v>
      </c>
      <c r="I47" s="105">
        <v>8045</v>
      </c>
      <c r="J47" s="46">
        <f t="shared" si="1"/>
        <v>100</v>
      </c>
    </row>
    <row r="48" spans="1:10" ht="21" customHeight="1" x14ac:dyDescent="0.15">
      <c r="A48" s="105">
        <v>49007049</v>
      </c>
      <c r="B48" s="106">
        <v>1</v>
      </c>
      <c r="C48" s="106">
        <v>97</v>
      </c>
      <c r="D48" s="106">
        <v>100</v>
      </c>
      <c r="E48" s="106" t="s">
        <v>223</v>
      </c>
      <c r="F48" s="106" t="s">
        <v>223</v>
      </c>
      <c r="G48" s="106">
        <v>1</v>
      </c>
      <c r="H48" s="106" t="s">
        <v>223</v>
      </c>
      <c r="I48" s="105">
        <v>8046</v>
      </c>
      <c r="J48" s="46">
        <f t="shared" si="1"/>
        <v>100</v>
      </c>
    </row>
    <row r="49" spans="1:10" ht="21" customHeight="1" x14ac:dyDescent="0.15">
      <c r="A49" s="105">
        <v>49007050</v>
      </c>
      <c r="B49" s="106">
        <v>1</v>
      </c>
      <c r="C49" s="106">
        <v>96</v>
      </c>
      <c r="D49" s="106">
        <v>100</v>
      </c>
      <c r="E49" s="106" t="s">
        <v>223</v>
      </c>
      <c r="F49" s="106" t="s">
        <v>223</v>
      </c>
      <c r="G49" s="106">
        <v>1</v>
      </c>
      <c r="H49" s="106" t="s">
        <v>223</v>
      </c>
      <c r="I49" s="105">
        <v>8047</v>
      </c>
      <c r="J49" s="46">
        <f t="shared" si="1"/>
        <v>100</v>
      </c>
    </row>
    <row r="50" spans="1:10" ht="21" customHeight="1" x14ac:dyDescent="0.15">
      <c r="A50" s="105">
        <v>49007051</v>
      </c>
      <c r="B50" s="106">
        <v>1</v>
      </c>
      <c r="C50" s="106">
        <v>95</v>
      </c>
      <c r="D50" s="106">
        <v>100</v>
      </c>
      <c r="E50" s="106" t="s">
        <v>223</v>
      </c>
      <c r="F50" s="106" t="s">
        <v>223</v>
      </c>
      <c r="G50" s="106">
        <v>1</v>
      </c>
      <c r="H50" s="106" t="s">
        <v>223</v>
      </c>
      <c r="I50" s="105">
        <v>8048</v>
      </c>
      <c r="J50" s="46">
        <f t="shared" si="1"/>
        <v>100</v>
      </c>
    </row>
    <row r="51" spans="1:10" ht="21" customHeight="1" x14ac:dyDescent="0.15">
      <c r="A51" s="105">
        <v>49007052</v>
      </c>
      <c r="B51" s="106">
        <v>1</v>
      </c>
      <c r="C51" s="106">
        <v>94</v>
      </c>
      <c r="D51" s="106">
        <v>100</v>
      </c>
      <c r="E51" s="106" t="s">
        <v>223</v>
      </c>
      <c r="F51" s="106" t="s">
        <v>223</v>
      </c>
      <c r="G51" s="106">
        <v>1</v>
      </c>
      <c r="H51" s="106" t="s">
        <v>223</v>
      </c>
      <c r="I51" s="105">
        <v>8049</v>
      </c>
      <c r="J51" s="46">
        <f t="shared" si="1"/>
        <v>100</v>
      </c>
    </row>
    <row r="52" spans="1:10" ht="21" customHeight="1" x14ac:dyDescent="0.15">
      <c r="A52" s="105">
        <v>49007053</v>
      </c>
      <c r="B52" s="106">
        <v>1</v>
      </c>
      <c r="C52" s="106">
        <v>93</v>
      </c>
      <c r="D52" s="106">
        <v>100</v>
      </c>
      <c r="E52" s="106" t="s">
        <v>223</v>
      </c>
      <c r="F52" s="106" t="s">
        <v>223</v>
      </c>
      <c r="G52" s="106">
        <v>1</v>
      </c>
      <c r="H52" s="106" t="s">
        <v>223</v>
      </c>
      <c r="I52" s="105">
        <v>8050</v>
      </c>
      <c r="J52" s="46">
        <f t="shared" si="1"/>
        <v>100</v>
      </c>
    </row>
    <row r="53" spans="1:10" ht="21" customHeight="1" x14ac:dyDescent="0.15">
      <c r="A53" s="105">
        <v>49007054</v>
      </c>
      <c r="B53" s="106">
        <v>1</v>
      </c>
      <c r="C53" s="106">
        <v>92</v>
      </c>
      <c r="D53" s="106">
        <v>100</v>
      </c>
      <c r="E53" s="106" t="s">
        <v>223</v>
      </c>
      <c r="F53" s="106" t="s">
        <v>223</v>
      </c>
      <c r="G53" s="106">
        <v>1</v>
      </c>
      <c r="H53" s="106" t="s">
        <v>223</v>
      </c>
      <c r="I53" s="105">
        <v>8051</v>
      </c>
      <c r="J53" s="46">
        <f t="shared" si="1"/>
        <v>100</v>
      </c>
    </row>
    <row r="54" spans="1:10" ht="21" customHeight="1" x14ac:dyDescent="0.15">
      <c r="A54" s="105">
        <v>49007055</v>
      </c>
      <c r="B54" s="106">
        <v>1</v>
      </c>
      <c r="C54" s="106">
        <v>91</v>
      </c>
      <c r="D54" s="106">
        <v>100</v>
      </c>
      <c r="E54" s="106" t="s">
        <v>223</v>
      </c>
      <c r="F54" s="106" t="s">
        <v>223</v>
      </c>
      <c r="G54" s="106">
        <v>1</v>
      </c>
      <c r="H54" s="106" t="s">
        <v>223</v>
      </c>
      <c r="I54" s="105">
        <v>8052</v>
      </c>
      <c r="J54" s="46">
        <f t="shared" si="1"/>
        <v>100</v>
      </c>
    </row>
    <row r="55" spans="1:10" ht="21" customHeight="1" x14ac:dyDescent="0.15">
      <c r="A55" s="105">
        <v>49007056</v>
      </c>
      <c r="B55" s="106">
        <v>1</v>
      </c>
      <c r="C55" s="106">
        <v>90</v>
      </c>
      <c r="D55" s="106">
        <v>100</v>
      </c>
      <c r="E55" s="106" t="s">
        <v>223</v>
      </c>
      <c r="F55" s="106" t="s">
        <v>223</v>
      </c>
      <c r="G55" s="106">
        <v>1</v>
      </c>
      <c r="H55" s="106" t="s">
        <v>223</v>
      </c>
      <c r="I55" s="105">
        <v>8053</v>
      </c>
      <c r="J55" s="46">
        <f t="shared" si="1"/>
        <v>100</v>
      </c>
    </row>
    <row r="56" spans="1:10" ht="21" customHeight="1" x14ac:dyDescent="0.15">
      <c r="A56" s="105">
        <v>49007057</v>
      </c>
      <c r="B56" s="106">
        <v>1</v>
      </c>
      <c r="C56" s="106">
        <v>89</v>
      </c>
      <c r="D56" s="106">
        <v>100</v>
      </c>
      <c r="E56" s="106" t="s">
        <v>223</v>
      </c>
      <c r="F56" s="106" t="s">
        <v>223</v>
      </c>
      <c r="G56" s="106">
        <v>1</v>
      </c>
      <c r="H56" s="106" t="s">
        <v>223</v>
      </c>
      <c r="I56" s="105">
        <v>8054</v>
      </c>
      <c r="J56" s="46">
        <f t="shared" si="1"/>
        <v>100</v>
      </c>
    </row>
    <row r="57" spans="1:10" ht="21" customHeight="1" x14ac:dyDescent="0.15">
      <c r="A57" s="105">
        <v>49007058</v>
      </c>
      <c r="B57" s="106">
        <v>1</v>
      </c>
      <c r="C57" s="106">
        <v>88</v>
      </c>
      <c r="D57" s="106">
        <v>100</v>
      </c>
      <c r="E57" s="106" t="s">
        <v>223</v>
      </c>
      <c r="F57" s="106" t="s">
        <v>223</v>
      </c>
      <c r="G57" s="106">
        <v>1</v>
      </c>
      <c r="H57" s="106" t="s">
        <v>223</v>
      </c>
      <c r="I57" s="105">
        <v>8055</v>
      </c>
      <c r="J57" s="46">
        <f t="shared" si="1"/>
        <v>100</v>
      </c>
    </row>
    <row r="58" spans="1:10" ht="21" customHeight="1" x14ac:dyDescent="0.15">
      <c r="A58" s="105">
        <v>49007059</v>
      </c>
      <c r="B58" s="106">
        <v>1</v>
      </c>
      <c r="C58" s="106">
        <v>87</v>
      </c>
      <c r="D58" s="106">
        <v>100</v>
      </c>
      <c r="E58" s="106" t="s">
        <v>223</v>
      </c>
      <c r="F58" s="106" t="s">
        <v>223</v>
      </c>
      <c r="G58" s="106">
        <v>1</v>
      </c>
      <c r="H58" s="106" t="s">
        <v>223</v>
      </c>
      <c r="I58" s="105">
        <v>8056</v>
      </c>
      <c r="J58" s="46">
        <f t="shared" si="1"/>
        <v>100</v>
      </c>
    </row>
    <row r="59" spans="1:10" ht="21" customHeight="1" x14ac:dyDescent="0.15">
      <c r="A59" s="105">
        <v>49007060</v>
      </c>
      <c r="B59" s="106">
        <v>1</v>
      </c>
      <c r="C59" s="106">
        <v>86</v>
      </c>
      <c r="D59" s="106">
        <v>100</v>
      </c>
      <c r="E59" s="106" t="s">
        <v>223</v>
      </c>
      <c r="F59" s="106" t="s">
        <v>223</v>
      </c>
      <c r="G59" s="106">
        <v>1</v>
      </c>
      <c r="H59" s="106" t="s">
        <v>223</v>
      </c>
      <c r="I59" s="105">
        <v>8057</v>
      </c>
      <c r="J59" s="46">
        <f t="shared" si="1"/>
        <v>100</v>
      </c>
    </row>
    <row r="60" spans="1:10" ht="21" customHeight="1" x14ac:dyDescent="0.15">
      <c r="A60" s="105">
        <v>49007061</v>
      </c>
      <c r="B60" s="106">
        <v>1</v>
      </c>
      <c r="C60" s="106">
        <v>85</v>
      </c>
      <c r="D60" s="106">
        <v>100</v>
      </c>
      <c r="E60" s="106" t="s">
        <v>223</v>
      </c>
      <c r="F60" s="106" t="s">
        <v>223</v>
      </c>
      <c r="G60" s="106">
        <v>1</v>
      </c>
      <c r="H60" s="106" t="s">
        <v>223</v>
      </c>
      <c r="I60" s="105">
        <v>8058</v>
      </c>
      <c r="J60" s="46">
        <f t="shared" si="1"/>
        <v>100</v>
      </c>
    </row>
    <row r="61" spans="1:10" ht="21" customHeight="1" x14ac:dyDescent="0.15">
      <c r="A61" s="105">
        <v>49007062</v>
      </c>
      <c r="B61" s="106">
        <v>1</v>
      </c>
      <c r="C61" s="106">
        <v>84</v>
      </c>
      <c r="D61" s="106">
        <v>100</v>
      </c>
      <c r="E61" s="106" t="s">
        <v>223</v>
      </c>
      <c r="F61" s="106" t="s">
        <v>223</v>
      </c>
      <c r="G61" s="106">
        <v>1</v>
      </c>
      <c r="H61" s="106" t="s">
        <v>223</v>
      </c>
      <c r="I61" s="105">
        <v>8059</v>
      </c>
      <c r="J61" s="46">
        <f t="shared" si="1"/>
        <v>100</v>
      </c>
    </row>
    <row r="62" spans="1:10" ht="21" customHeight="1" x14ac:dyDescent="0.15">
      <c r="A62" s="105">
        <v>49007063</v>
      </c>
      <c r="B62" s="106">
        <v>1</v>
      </c>
      <c r="C62" s="106">
        <v>83</v>
      </c>
      <c r="D62" s="106">
        <v>100</v>
      </c>
      <c r="E62" s="106" t="s">
        <v>223</v>
      </c>
      <c r="F62" s="106" t="s">
        <v>223</v>
      </c>
      <c r="G62" s="106">
        <v>1</v>
      </c>
      <c r="H62" s="106" t="s">
        <v>223</v>
      </c>
      <c r="I62" s="105">
        <v>8060</v>
      </c>
      <c r="J62" s="46">
        <f t="shared" si="1"/>
        <v>100</v>
      </c>
    </row>
    <row r="63" spans="1:10" ht="21" customHeight="1" x14ac:dyDescent="0.15">
      <c r="A63" s="105">
        <v>49007064</v>
      </c>
      <c r="B63" s="106">
        <v>1</v>
      </c>
      <c r="C63" s="106">
        <v>82</v>
      </c>
      <c r="D63" s="106">
        <v>100</v>
      </c>
      <c r="E63" s="106" t="s">
        <v>223</v>
      </c>
      <c r="F63" s="106" t="s">
        <v>223</v>
      </c>
      <c r="G63" s="106">
        <v>1</v>
      </c>
      <c r="H63" s="106" t="s">
        <v>223</v>
      </c>
      <c r="I63" s="105">
        <v>8061</v>
      </c>
      <c r="J63" s="46">
        <f t="shared" si="1"/>
        <v>100</v>
      </c>
    </row>
    <row r="64" spans="1:10" ht="21" customHeight="1" x14ac:dyDescent="0.15">
      <c r="A64" s="105">
        <v>49007065</v>
      </c>
      <c r="B64" s="106">
        <v>1</v>
      </c>
      <c r="C64" s="106">
        <v>81</v>
      </c>
      <c r="D64" s="106">
        <v>100</v>
      </c>
      <c r="E64" s="106" t="s">
        <v>223</v>
      </c>
      <c r="F64" s="106" t="s">
        <v>223</v>
      </c>
      <c r="G64" s="106">
        <v>1</v>
      </c>
      <c r="H64" s="106" t="s">
        <v>223</v>
      </c>
      <c r="I64" s="105">
        <v>8062</v>
      </c>
      <c r="J64" s="46">
        <f t="shared" si="1"/>
        <v>100</v>
      </c>
    </row>
    <row r="65" spans="1:10" ht="21" customHeight="1" x14ac:dyDescent="0.15">
      <c r="A65" s="105">
        <v>49007066</v>
      </c>
      <c r="B65" s="106">
        <v>1</v>
      </c>
      <c r="C65" s="106">
        <v>80</v>
      </c>
      <c r="D65" s="106">
        <v>100</v>
      </c>
      <c r="E65" s="106" t="s">
        <v>223</v>
      </c>
      <c r="F65" s="106" t="s">
        <v>223</v>
      </c>
      <c r="G65" s="106">
        <v>1</v>
      </c>
      <c r="H65" s="106" t="s">
        <v>223</v>
      </c>
      <c r="I65" s="105">
        <v>8063</v>
      </c>
      <c r="J65" s="46">
        <f t="shared" si="1"/>
        <v>100</v>
      </c>
    </row>
    <row r="66" spans="1:10" ht="21" customHeight="1" x14ac:dyDescent="0.15">
      <c r="A66" s="105">
        <v>49007067</v>
      </c>
      <c r="B66" s="106">
        <v>1</v>
      </c>
      <c r="C66" s="106">
        <v>79</v>
      </c>
      <c r="D66" s="106">
        <v>100</v>
      </c>
      <c r="E66" s="106" t="s">
        <v>223</v>
      </c>
      <c r="F66" s="106" t="s">
        <v>223</v>
      </c>
      <c r="G66" s="106">
        <v>1</v>
      </c>
      <c r="H66" s="106" t="s">
        <v>223</v>
      </c>
      <c r="I66" s="105">
        <v>8064</v>
      </c>
      <c r="J66" s="46">
        <f t="shared" si="1"/>
        <v>100</v>
      </c>
    </row>
    <row r="67" spans="1:10" ht="21" customHeight="1" x14ac:dyDescent="0.15">
      <c r="A67" s="105">
        <v>49007068</v>
      </c>
      <c r="B67" s="106">
        <v>1</v>
      </c>
      <c r="C67" s="106">
        <v>78</v>
      </c>
      <c r="D67" s="106">
        <v>100</v>
      </c>
      <c r="E67" s="106" t="s">
        <v>223</v>
      </c>
      <c r="F67" s="106" t="s">
        <v>223</v>
      </c>
      <c r="G67" s="106">
        <v>1</v>
      </c>
      <c r="H67" s="106" t="s">
        <v>223</v>
      </c>
      <c r="I67" s="105">
        <v>8065</v>
      </c>
      <c r="J67" s="46">
        <f t="shared" si="1"/>
        <v>100</v>
      </c>
    </row>
    <row r="68" spans="1:10" ht="21" customHeight="1" x14ac:dyDescent="0.15">
      <c r="A68" s="105">
        <v>49007069</v>
      </c>
      <c r="B68" s="106">
        <v>1</v>
      </c>
      <c r="C68" s="106">
        <v>77</v>
      </c>
      <c r="D68" s="106">
        <v>100</v>
      </c>
      <c r="E68" s="106" t="s">
        <v>223</v>
      </c>
      <c r="F68" s="106" t="s">
        <v>223</v>
      </c>
      <c r="G68" s="106">
        <v>1</v>
      </c>
      <c r="H68" s="106" t="s">
        <v>223</v>
      </c>
      <c r="I68" s="105">
        <v>8066</v>
      </c>
      <c r="J68" s="46">
        <f t="shared" si="1"/>
        <v>100</v>
      </c>
    </row>
    <row r="69" spans="1:10" ht="21" customHeight="1" x14ac:dyDescent="0.15">
      <c r="A69" s="105">
        <v>49007070</v>
      </c>
      <c r="B69" s="106">
        <v>1</v>
      </c>
      <c r="C69" s="106">
        <v>76</v>
      </c>
      <c r="D69" s="106">
        <v>100</v>
      </c>
      <c r="E69" s="106" t="s">
        <v>223</v>
      </c>
      <c r="F69" s="106" t="s">
        <v>223</v>
      </c>
      <c r="G69" s="106">
        <v>1</v>
      </c>
      <c r="H69" s="106" t="s">
        <v>223</v>
      </c>
      <c r="I69" s="105">
        <v>8067</v>
      </c>
      <c r="J69" s="46">
        <f t="shared" si="1"/>
        <v>100</v>
      </c>
    </row>
    <row r="70" spans="1:10" ht="21" customHeight="1" x14ac:dyDescent="0.15">
      <c r="A70" s="105">
        <v>49007071</v>
      </c>
      <c r="B70" s="106">
        <v>1</v>
      </c>
      <c r="C70" s="106">
        <v>75</v>
      </c>
      <c r="D70" s="106">
        <v>100</v>
      </c>
      <c r="E70" s="106" t="s">
        <v>223</v>
      </c>
      <c r="F70" s="106" t="s">
        <v>223</v>
      </c>
      <c r="G70" s="106">
        <v>1</v>
      </c>
      <c r="H70" s="106" t="s">
        <v>223</v>
      </c>
      <c r="I70" s="105">
        <v>8068</v>
      </c>
      <c r="J70" s="46">
        <f t="shared" si="1"/>
        <v>100</v>
      </c>
    </row>
    <row r="71" spans="1:10" ht="21" customHeight="1" x14ac:dyDescent="0.15">
      <c r="A71" s="105">
        <v>49007072</v>
      </c>
      <c r="B71" s="106">
        <v>1</v>
      </c>
      <c r="C71" s="106">
        <v>74</v>
      </c>
      <c r="D71" s="106">
        <v>100</v>
      </c>
      <c r="E71" s="106" t="s">
        <v>223</v>
      </c>
      <c r="F71" s="106" t="s">
        <v>223</v>
      </c>
      <c r="G71" s="106">
        <v>1</v>
      </c>
      <c r="H71" s="106" t="s">
        <v>223</v>
      </c>
      <c r="I71" s="105">
        <v>8069</v>
      </c>
      <c r="J71" s="46">
        <f t="shared" si="1"/>
        <v>100</v>
      </c>
    </row>
    <row r="72" spans="1:10" ht="21" customHeight="1" x14ac:dyDescent="0.15">
      <c r="A72" s="105">
        <v>49007073</v>
      </c>
      <c r="B72" s="106">
        <v>1</v>
      </c>
      <c r="C72" s="106">
        <v>73</v>
      </c>
      <c r="D72" s="106">
        <v>100</v>
      </c>
      <c r="E72" s="106" t="s">
        <v>223</v>
      </c>
      <c r="F72" s="106" t="s">
        <v>223</v>
      </c>
      <c r="G72" s="106">
        <v>1</v>
      </c>
      <c r="H72" s="106" t="s">
        <v>223</v>
      </c>
      <c r="I72" s="105">
        <v>8070</v>
      </c>
      <c r="J72" s="46">
        <f t="shared" si="1"/>
        <v>100</v>
      </c>
    </row>
    <row r="73" spans="1:10" ht="21" customHeight="1" x14ac:dyDescent="0.15">
      <c r="A73" s="105">
        <v>49007074</v>
      </c>
      <c r="B73" s="106">
        <v>1</v>
      </c>
      <c r="C73" s="106">
        <v>72</v>
      </c>
      <c r="D73" s="106">
        <v>100</v>
      </c>
      <c r="E73" s="106" t="s">
        <v>223</v>
      </c>
      <c r="F73" s="106" t="s">
        <v>223</v>
      </c>
      <c r="G73" s="106">
        <v>1</v>
      </c>
      <c r="H73" s="106" t="s">
        <v>223</v>
      </c>
      <c r="I73" s="105">
        <v>8071</v>
      </c>
      <c r="J73" s="46">
        <f t="shared" si="1"/>
        <v>100</v>
      </c>
    </row>
    <row r="74" spans="1:10" ht="21" customHeight="1" x14ac:dyDescent="0.15">
      <c r="A74" s="105">
        <v>49007075</v>
      </c>
      <c r="B74" s="106">
        <v>1</v>
      </c>
      <c r="C74" s="106">
        <v>71</v>
      </c>
      <c r="D74" s="106">
        <v>100</v>
      </c>
      <c r="E74" s="106" t="s">
        <v>223</v>
      </c>
      <c r="F74" s="106" t="s">
        <v>223</v>
      </c>
      <c r="G74" s="106">
        <v>1</v>
      </c>
      <c r="H74" s="106" t="s">
        <v>223</v>
      </c>
      <c r="I74" s="105">
        <v>8072</v>
      </c>
      <c r="J74" s="46">
        <f t="shared" si="1"/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7"/>
  <sheetViews>
    <sheetView workbookViewId="0">
      <selection activeCell="I13" sqref="I1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148</v>
      </c>
      <c r="B1" s="62" t="s">
        <v>149</v>
      </c>
      <c r="C1" s="63" t="s">
        <v>150</v>
      </c>
      <c r="D1" s="69" t="s">
        <v>151</v>
      </c>
      <c r="E1" s="64" t="s">
        <v>152</v>
      </c>
      <c r="F1" s="62" t="s">
        <v>153</v>
      </c>
      <c r="G1" s="62" t="s">
        <v>154</v>
      </c>
      <c r="H1" s="62" t="s">
        <v>155</v>
      </c>
      <c r="I1" s="62" t="s">
        <v>156</v>
      </c>
      <c r="J1" s="62" t="s">
        <v>157</v>
      </c>
      <c r="K1" s="62" t="s">
        <v>158</v>
      </c>
      <c r="L1" s="62" t="s">
        <v>159</v>
      </c>
      <c r="M1" s="62" t="s">
        <v>160</v>
      </c>
      <c r="N1" s="62" t="s">
        <v>161</v>
      </c>
      <c r="O1" s="62" t="s">
        <v>162</v>
      </c>
      <c r="P1" s="62" t="s">
        <v>163</v>
      </c>
      <c r="Q1" s="62" t="s">
        <v>164</v>
      </c>
      <c r="R1" s="62" t="s">
        <v>165</v>
      </c>
    </row>
    <row r="2" spans="1:18" x14ac:dyDescent="0.15">
      <c r="A2" s="227">
        <v>49007</v>
      </c>
      <c r="B2" s="79">
        <v>1</v>
      </c>
      <c r="C2" s="199" t="str">
        <f>A2&amp; "_"&amp;B2</f>
        <v>49007_1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79">
        <v>1</v>
      </c>
      <c r="F2" s="79" t="s">
        <v>166</v>
      </c>
      <c r="G2" s="79">
        <v>40000</v>
      </c>
      <c r="H2" s="79" t="s">
        <v>350</v>
      </c>
      <c r="I2" s="79">
        <v>1</v>
      </c>
      <c r="J2" s="79">
        <v>1</v>
      </c>
      <c r="K2" s="79">
        <v>0</v>
      </c>
      <c r="L2" s="79">
        <v>0</v>
      </c>
      <c r="M2" s="79">
        <v>0</v>
      </c>
      <c r="N2" s="79">
        <v>0</v>
      </c>
      <c r="O2" s="79">
        <v>1</v>
      </c>
      <c r="P2" s="79">
        <v>150</v>
      </c>
      <c r="Q2" s="79" t="s">
        <v>168</v>
      </c>
      <c r="R2" s="79" t="s">
        <v>169</v>
      </c>
    </row>
    <row r="3" spans="1:18" x14ac:dyDescent="0.15">
      <c r="A3" s="227">
        <v>49007</v>
      </c>
      <c r="B3" s="79">
        <v>1</v>
      </c>
      <c r="C3" s="199" t="str">
        <f t="shared" ref="C3:C11" si="0">A3&amp; "_"&amp;B3</f>
        <v>49007_1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79">
        <v>2</v>
      </c>
      <c r="F3" s="79" t="s">
        <v>333</v>
      </c>
      <c r="G3" s="79">
        <v>30</v>
      </c>
      <c r="H3" s="79" t="s">
        <v>167</v>
      </c>
      <c r="I3" s="79">
        <v>1</v>
      </c>
      <c r="J3" s="79">
        <v>1</v>
      </c>
      <c r="K3" s="79">
        <v>0</v>
      </c>
      <c r="L3" s="79">
        <v>0</v>
      </c>
      <c r="M3" s="79">
        <v>0</v>
      </c>
      <c r="N3" s="79">
        <v>0</v>
      </c>
      <c r="O3" s="79">
        <v>1</v>
      </c>
      <c r="P3" s="79">
        <v>150</v>
      </c>
      <c r="Q3" s="79" t="s">
        <v>168</v>
      </c>
      <c r="R3" s="79" t="s">
        <v>169</v>
      </c>
    </row>
    <row r="4" spans="1:18" x14ac:dyDescent="0.15">
      <c r="A4" s="227">
        <v>49007</v>
      </c>
      <c r="B4" s="79">
        <v>1</v>
      </c>
      <c r="C4" s="199" t="str">
        <f t="shared" si="0"/>
        <v>49007_1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79">
        <v>3</v>
      </c>
      <c r="F4" s="79" t="s">
        <v>334</v>
      </c>
      <c r="G4" s="200">
        <v>337</v>
      </c>
      <c r="H4" s="79">
        <v>1</v>
      </c>
      <c r="I4" s="79">
        <v>1</v>
      </c>
      <c r="J4" s="79">
        <v>1</v>
      </c>
      <c r="K4" s="79">
        <v>0</v>
      </c>
      <c r="L4" s="79">
        <v>0</v>
      </c>
      <c r="M4" s="79">
        <v>0</v>
      </c>
      <c r="N4" s="79">
        <v>0</v>
      </c>
      <c r="O4" s="79">
        <v>1</v>
      </c>
      <c r="P4" s="79">
        <v>28</v>
      </c>
      <c r="Q4" s="79" t="s">
        <v>168</v>
      </c>
      <c r="R4" s="79" t="s">
        <v>169</v>
      </c>
    </row>
    <row r="5" spans="1:18" x14ac:dyDescent="0.15">
      <c r="A5" s="227">
        <v>49007</v>
      </c>
      <c r="B5" s="79">
        <v>1</v>
      </c>
      <c r="C5" s="199" t="str">
        <f t="shared" si="0"/>
        <v>49007_1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79">
        <v>4</v>
      </c>
      <c r="F5" s="79" t="s">
        <v>334</v>
      </c>
      <c r="G5" s="200">
        <v>338</v>
      </c>
      <c r="H5" s="79">
        <v>1</v>
      </c>
      <c r="I5" s="79">
        <v>1</v>
      </c>
      <c r="J5" s="79">
        <v>1</v>
      </c>
      <c r="K5" s="79">
        <v>0</v>
      </c>
      <c r="L5" s="79">
        <v>0</v>
      </c>
      <c r="M5" s="79">
        <v>0</v>
      </c>
      <c r="N5" s="79">
        <v>0</v>
      </c>
      <c r="O5" s="79">
        <v>1</v>
      </c>
      <c r="P5" s="79">
        <v>112</v>
      </c>
      <c r="Q5" s="79" t="s">
        <v>168</v>
      </c>
      <c r="R5" s="79" t="s">
        <v>169</v>
      </c>
    </row>
    <row r="6" spans="1:18" x14ac:dyDescent="0.15">
      <c r="A6" s="227">
        <v>49007</v>
      </c>
      <c r="B6" s="79">
        <v>1</v>
      </c>
      <c r="C6" s="199" t="str">
        <f t="shared" si="0"/>
        <v>49007_1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79">
        <v>5</v>
      </c>
      <c r="F6" s="79" t="s">
        <v>334</v>
      </c>
      <c r="G6" s="79">
        <v>121</v>
      </c>
      <c r="H6" s="79">
        <v>1</v>
      </c>
      <c r="I6" s="79">
        <v>1</v>
      </c>
      <c r="J6" s="79">
        <v>1</v>
      </c>
      <c r="K6" s="79">
        <v>0</v>
      </c>
      <c r="L6" s="79">
        <v>0</v>
      </c>
      <c r="M6" s="79">
        <v>0</v>
      </c>
      <c r="N6" s="79">
        <v>0</v>
      </c>
      <c r="O6" s="79">
        <v>1</v>
      </c>
      <c r="P6" s="79">
        <v>100</v>
      </c>
      <c r="Q6" s="79" t="s">
        <v>168</v>
      </c>
      <c r="R6" s="79" t="s">
        <v>169</v>
      </c>
    </row>
    <row r="7" spans="1:18" x14ac:dyDescent="0.15">
      <c r="A7" s="227">
        <v>49007</v>
      </c>
      <c r="B7" s="79">
        <v>1</v>
      </c>
      <c r="C7" s="199" t="str">
        <f t="shared" si="0"/>
        <v>49007_1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79">
        <v>6</v>
      </c>
      <c r="F7" s="79" t="s">
        <v>334</v>
      </c>
      <c r="G7" s="79">
        <v>122</v>
      </c>
      <c r="H7" s="79">
        <v>1</v>
      </c>
      <c r="I7" s="79">
        <v>1</v>
      </c>
      <c r="J7" s="79">
        <v>1</v>
      </c>
      <c r="K7" s="79">
        <v>0</v>
      </c>
      <c r="L7" s="79">
        <v>0</v>
      </c>
      <c r="M7" s="79">
        <v>0</v>
      </c>
      <c r="N7" s="79">
        <v>0</v>
      </c>
      <c r="O7" s="79">
        <v>1</v>
      </c>
      <c r="P7" s="79">
        <v>100</v>
      </c>
      <c r="Q7" s="79" t="s">
        <v>168</v>
      </c>
      <c r="R7" s="79" t="s">
        <v>169</v>
      </c>
    </row>
    <row r="8" spans="1:18" x14ac:dyDescent="0.15">
      <c r="A8" s="227">
        <v>49007</v>
      </c>
      <c r="B8" s="79">
        <v>1</v>
      </c>
      <c r="C8" s="199" t="str">
        <f t="shared" si="0"/>
        <v>49007_1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79">
        <v>7</v>
      </c>
      <c r="F8" s="79" t="s">
        <v>334</v>
      </c>
      <c r="G8" s="79">
        <v>123</v>
      </c>
      <c r="H8" s="79">
        <v>1</v>
      </c>
      <c r="I8" s="79">
        <v>1</v>
      </c>
      <c r="J8" s="79">
        <v>1</v>
      </c>
      <c r="K8" s="79">
        <v>0</v>
      </c>
      <c r="L8" s="79">
        <v>0</v>
      </c>
      <c r="M8" s="79">
        <v>0</v>
      </c>
      <c r="N8" s="79">
        <v>0</v>
      </c>
      <c r="O8" s="79">
        <v>1</v>
      </c>
      <c r="P8" s="79">
        <v>100</v>
      </c>
      <c r="Q8" s="79" t="s">
        <v>168</v>
      </c>
      <c r="R8" s="79" t="s">
        <v>169</v>
      </c>
    </row>
    <row r="9" spans="1:18" x14ac:dyDescent="0.15">
      <c r="A9" s="227">
        <v>49007</v>
      </c>
      <c r="B9" s="79">
        <v>1</v>
      </c>
      <c r="C9" s="199" t="str">
        <f t="shared" si="0"/>
        <v>49007_1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79">
        <v>8</v>
      </c>
      <c r="F9" s="79" t="s">
        <v>334</v>
      </c>
      <c r="G9" s="79">
        <v>125</v>
      </c>
      <c r="H9" s="79">
        <v>1</v>
      </c>
      <c r="I9" s="79">
        <v>1</v>
      </c>
      <c r="J9" s="79">
        <v>1</v>
      </c>
      <c r="K9" s="79">
        <v>0</v>
      </c>
      <c r="L9" s="79">
        <v>0</v>
      </c>
      <c r="M9" s="79">
        <v>0</v>
      </c>
      <c r="N9" s="79">
        <v>0</v>
      </c>
      <c r="O9" s="79">
        <v>1</v>
      </c>
      <c r="P9" s="79">
        <v>10</v>
      </c>
      <c r="Q9" s="79" t="s">
        <v>168</v>
      </c>
      <c r="R9" s="79" t="s">
        <v>169</v>
      </c>
    </row>
    <row r="10" spans="1:18" x14ac:dyDescent="0.15">
      <c r="A10" s="227">
        <v>49007</v>
      </c>
      <c r="B10" s="79">
        <v>1</v>
      </c>
      <c r="C10" s="199" t="str">
        <f t="shared" si="0"/>
        <v>49007_1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79">
        <v>9</v>
      </c>
      <c r="F10" s="79" t="s">
        <v>334</v>
      </c>
      <c r="G10" s="228">
        <v>8043</v>
      </c>
      <c r="H10" s="79">
        <v>1</v>
      </c>
      <c r="I10" s="79">
        <v>1</v>
      </c>
      <c r="J10" s="79">
        <v>1</v>
      </c>
      <c r="K10" s="79">
        <v>0</v>
      </c>
      <c r="L10" s="79">
        <v>0</v>
      </c>
      <c r="M10" s="79">
        <v>0</v>
      </c>
      <c r="N10" s="79">
        <v>0</v>
      </c>
      <c r="O10" s="79">
        <v>1</v>
      </c>
      <c r="P10" s="79">
        <v>100</v>
      </c>
      <c r="Q10" s="79" t="s">
        <v>168</v>
      </c>
      <c r="R10" s="79" t="s">
        <v>169</v>
      </c>
    </row>
    <row r="11" spans="1:18" ht="16" thickBot="1" x14ac:dyDescent="0.2">
      <c r="A11" s="227">
        <v>49007</v>
      </c>
      <c r="B11" s="201">
        <v>1</v>
      </c>
      <c r="C11" s="202" t="str">
        <f t="shared" si="0"/>
        <v>49007_1</v>
      </c>
      <c r="D11" s="133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201">
        <v>10</v>
      </c>
      <c r="F11" s="201" t="s">
        <v>334</v>
      </c>
      <c r="G11" s="203">
        <v>350</v>
      </c>
      <c r="H11" s="201">
        <v>1</v>
      </c>
      <c r="I11" s="201">
        <v>1</v>
      </c>
      <c r="J11" s="201">
        <v>1</v>
      </c>
      <c r="K11" s="201">
        <v>0</v>
      </c>
      <c r="L11" s="201">
        <v>0</v>
      </c>
      <c r="M11" s="201">
        <v>0</v>
      </c>
      <c r="N11" s="201">
        <v>0</v>
      </c>
      <c r="O11" s="201">
        <v>1</v>
      </c>
      <c r="P11" s="201">
        <v>150</v>
      </c>
      <c r="Q11" s="201" t="s">
        <v>168</v>
      </c>
      <c r="R11" s="201" t="s">
        <v>169</v>
      </c>
    </row>
    <row r="12" spans="1:18" x14ac:dyDescent="0.15">
      <c r="A12" s="227">
        <v>49007</v>
      </c>
      <c r="B12" s="79">
        <v>2</v>
      </c>
      <c r="C12" s="199" t="str">
        <f>A12&amp; "_"&amp;B12</f>
        <v>49007_2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79">
        <v>1</v>
      </c>
      <c r="F12" s="79" t="s">
        <v>166</v>
      </c>
      <c r="G12" s="204">
        <v>40000</v>
      </c>
      <c r="H12" s="79" t="s">
        <v>351</v>
      </c>
      <c r="I12" s="79">
        <v>1</v>
      </c>
      <c r="J12" s="79">
        <v>1</v>
      </c>
      <c r="K12" s="79">
        <v>0</v>
      </c>
      <c r="L12" s="79">
        <v>0</v>
      </c>
      <c r="M12" s="79">
        <v>0</v>
      </c>
      <c r="N12" s="79">
        <v>0</v>
      </c>
      <c r="O12" s="79">
        <v>1</v>
      </c>
      <c r="P12" s="79">
        <v>150</v>
      </c>
      <c r="Q12" s="79" t="s">
        <v>168</v>
      </c>
      <c r="R12" s="79" t="s">
        <v>169</v>
      </c>
    </row>
    <row r="13" spans="1:18" x14ac:dyDescent="0.15">
      <c r="A13" s="227">
        <v>49007</v>
      </c>
      <c r="B13" s="79">
        <v>2</v>
      </c>
      <c r="C13" s="199" t="str">
        <f t="shared" ref="C13:C19" si="1">A13&amp; "_"&amp;B13</f>
        <v>49007_2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79">
        <v>2</v>
      </c>
      <c r="F13" s="79" t="s">
        <v>352</v>
      </c>
      <c r="G13" s="200">
        <v>338</v>
      </c>
      <c r="H13" s="79">
        <v>1</v>
      </c>
      <c r="I13" s="79">
        <v>1</v>
      </c>
      <c r="J13" s="79">
        <v>1</v>
      </c>
      <c r="K13" s="79">
        <v>0</v>
      </c>
      <c r="L13" s="79">
        <v>0</v>
      </c>
      <c r="M13" s="79">
        <v>0</v>
      </c>
      <c r="N13" s="79">
        <v>0</v>
      </c>
      <c r="O13" s="79">
        <v>1</v>
      </c>
      <c r="P13" s="79">
        <v>150</v>
      </c>
      <c r="Q13" s="79" t="s">
        <v>168</v>
      </c>
      <c r="R13" s="79" t="s">
        <v>169</v>
      </c>
    </row>
    <row r="14" spans="1:18" x14ac:dyDescent="0.15">
      <c r="A14" s="227">
        <v>49007</v>
      </c>
      <c r="B14" s="79">
        <v>2</v>
      </c>
      <c r="C14" s="199" t="str">
        <f t="shared" si="1"/>
        <v>49007_2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79">
        <v>3</v>
      </c>
      <c r="F14" s="79" t="s">
        <v>334</v>
      </c>
      <c r="G14" s="79">
        <v>607</v>
      </c>
      <c r="H14" s="79">
        <v>1</v>
      </c>
      <c r="I14" s="79">
        <v>1</v>
      </c>
      <c r="J14" s="79">
        <v>1</v>
      </c>
      <c r="K14" s="79">
        <v>0</v>
      </c>
      <c r="L14" s="79">
        <v>0</v>
      </c>
      <c r="M14" s="79">
        <v>0</v>
      </c>
      <c r="N14" s="79">
        <v>0</v>
      </c>
      <c r="O14" s="79">
        <v>1</v>
      </c>
      <c r="P14" s="79">
        <v>100</v>
      </c>
      <c r="Q14" s="79" t="s">
        <v>168</v>
      </c>
      <c r="R14" s="79" t="s">
        <v>169</v>
      </c>
    </row>
    <row r="15" spans="1:18" x14ac:dyDescent="0.15">
      <c r="A15" s="227">
        <v>49007</v>
      </c>
      <c r="B15" s="79">
        <v>2</v>
      </c>
      <c r="C15" s="199" t="str">
        <f t="shared" si="1"/>
        <v>49007_2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79">
        <v>4</v>
      </c>
      <c r="F15" s="79" t="s">
        <v>334</v>
      </c>
      <c r="G15" s="79">
        <v>608</v>
      </c>
      <c r="H15" s="79">
        <v>1</v>
      </c>
      <c r="I15" s="79">
        <v>1</v>
      </c>
      <c r="J15" s="79">
        <v>1</v>
      </c>
      <c r="K15" s="79">
        <v>0</v>
      </c>
      <c r="L15" s="79">
        <v>0</v>
      </c>
      <c r="M15" s="79">
        <v>0</v>
      </c>
      <c r="N15" s="79">
        <v>0</v>
      </c>
      <c r="O15" s="79">
        <v>1</v>
      </c>
      <c r="P15" s="79">
        <v>100</v>
      </c>
      <c r="Q15" s="79" t="s">
        <v>168</v>
      </c>
      <c r="R15" s="79" t="s">
        <v>169</v>
      </c>
    </row>
    <row r="16" spans="1:18" x14ac:dyDescent="0.15">
      <c r="A16" s="227">
        <v>49007</v>
      </c>
      <c r="B16" s="79">
        <v>2</v>
      </c>
      <c r="C16" s="199" t="str">
        <f t="shared" si="1"/>
        <v>49007_2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79">
        <v>5</v>
      </c>
      <c r="F16" s="79" t="s">
        <v>334</v>
      </c>
      <c r="G16" s="79">
        <v>609</v>
      </c>
      <c r="H16" s="79">
        <v>1</v>
      </c>
      <c r="I16" s="79">
        <v>1</v>
      </c>
      <c r="J16" s="79">
        <v>1</v>
      </c>
      <c r="K16" s="79">
        <v>0</v>
      </c>
      <c r="L16" s="79">
        <v>0</v>
      </c>
      <c r="M16" s="79">
        <v>0</v>
      </c>
      <c r="N16" s="79">
        <v>0</v>
      </c>
      <c r="O16" s="79">
        <v>1</v>
      </c>
      <c r="P16" s="79">
        <v>100</v>
      </c>
      <c r="Q16" s="79" t="s">
        <v>168</v>
      </c>
      <c r="R16" s="79" t="s">
        <v>169</v>
      </c>
    </row>
    <row r="17" spans="1:18" x14ac:dyDescent="0.15">
      <c r="A17" s="227">
        <v>49007</v>
      </c>
      <c r="B17" s="79">
        <v>2</v>
      </c>
      <c r="C17" s="199" t="str">
        <f t="shared" si="1"/>
        <v>49007_2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79">
        <v>6</v>
      </c>
      <c r="F17" s="79" t="s">
        <v>334</v>
      </c>
      <c r="G17" s="79">
        <v>125</v>
      </c>
      <c r="H17" s="79">
        <v>1</v>
      </c>
      <c r="I17" s="79">
        <v>1</v>
      </c>
      <c r="J17" s="79">
        <v>1</v>
      </c>
      <c r="K17" s="79">
        <v>0</v>
      </c>
      <c r="L17" s="79">
        <v>0</v>
      </c>
      <c r="M17" s="79">
        <v>0</v>
      </c>
      <c r="N17" s="79">
        <v>0</v>
      </c>
      <c r="O17" s="79">
        <v>1</v>
      </c>
      <c r="P17" s="79">
        <v>30</v>
      </c>
      <c r="Q17" s="79" t="s">
        <v>168</v>
      </c>
      <c r="R17" s="79" t="s">
        <v>169</v>
      </c>
    </row>
    <row r="18" spans="1:18" x14ac:dyDescent="0.15">
      <c r="A18" s="227">
        <v>49007</v>
      </c>
      <c r="B18" s="79">
        <v>2</v>
      </c>
      <c r="C18" s="199" t="str">
        <f t="shared" si="1"/>
        <v>49007_2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79">
        <v>7</v>
      </c>
      <c r="F18" s="79" t="s">
        <v>334</v>
      </c>
      <c r="G18" s="228">
        <v>8043</v>
      </c>
      <c r="H18" s="79">
        <v>1</v>
      </c>
      <c r="I18" s="79">
        <v>1</v>
      </c>
      <c r="J18" s="79">
        <v>1</v>
      </c>
      <c r="K18" s="79">
        <v>0</v>
      </c>
      <c r="L18" s="79">
        <v>0</v>
      </c>
      <c r="M18" s="79">
        <v>0</v>
      </c>
      <c r="N18" s="79">
        <v>0</v>
      </c>
      <c r="O18" s="79">
        <v>1</v>
      </c>
      <c r="P18" s="79">
        <v>250</v>
      </c>
      <c r="Q18" s="79" t="s">
        <v>168</v>
      </c>
      <c r="R18" s="79" t="s">
        <v>169</v>
      </c>
    </row>
    <row r="19" spans="1:18" ht="16" thickBot="1" x14ac:dyDescent="0.2">
      <c r="A19" s="227">
        <v>49007</v>
      </c>
      <c r="B19" s="201">
        <v>2</v>
      </c>
      <c r="C19" s="202" t="str">
        <f t="shared" si="1"/>
        <v>49007_2</v>
      </c>
      <c r="D19" s="133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201">
        <v>8</v>
      </c>
      <c r="F19" s="201" t="s">
        <v>334</v>
      </c>
      <c r="G19" s="203">
        <v>350</v>
      </c>
      <c r="H19" s="201">
        <v>1</v>
      </c>
      <c r="I19" s="201">
        <v>1</v>
      </c>
      <c r="J19" s="201">
        <v>1</v>
      </c>
      <c r="K19" s="201">
        <v>0</v>
      </c>
      <c r="L19" s="201">
        <v>0</v>
      </c>
      <c r="M19" s="201">
        <v>0</v>
      </c>
      <c r="N19" s="201">
        <v>0</v>
      </c>
      <c r="O19" s="201">
        <v>1</v>
      </c>
      <c r="P19" s="201">
        <v>120</v>
      </c>
      <c r="Q19" s="201" t="s">
        <v>168</v>
      </c>
      <c r="R19" s="201" t="s">
        <v>169</v>
      </c>
    </row>
    <row r="20" spans="1:18" x14ac:dyDescent="0.15">
      <c r="A20" s="227">
        <v>49007</v>
      </c>
      <c r="B20" s="79">
        <v>3</v>
      </c>
      <c r="C20" s="199" t="str">
        <f>A20&amp; "_"&amp;B20</f>
        <v>49007_3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79">
        <v>1</v>
      </c>
      <c r="F20" s="79" t="s">
        <v>166</v>
      </c>
      <c r="G20" s="204">
        <v>40000</v>
      </c>
      <c r="H20" s="79" t="s">
        <v>167</v>
      </c>
      <c r="I20" s="79">
        <v>1</v>
      </c>
      <c r="J20" s="79">
        <v>1</v>
      </c>
      <c r="K20" s="79">
        <v>0</v>
      </c>
      <c r="L20" s="79">
        <v>0</v>
      </c>
      <c r="M20" s="79">
        <v>0</v>
      </c>
      <c r="N20" s="79">
        <v>0</v>
      </c>
      <c r="O20" s="79">
        <v>1</v>
      </c>
      <c r="P20" s="79">
        <v>150</v>
      </c>
      <c r="Q20" s="79" t="s">
        <v>168</v>
      </c>
      <c r="R20" s="79" t="s">
        <v>169</v>
      </c>
    </row>
    <row r="21" spans="1:18" x14ac:dyDescent="0.15">
      <c r="A21" s="227">
        <v>49007</v>
      </c>
      <c r="B21" s="79">
        <v>3</v>
      </c>
      <c r="C21" s="199" t="str">
        <f t="shared" ref="C21:C27" si="2">A21&amp; "_"&amp;B21</f>
        <v>49007_3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79">
        <v>2</v>
      </c>
      <c r="F21" s="79" t="s">
        <v>334</v>
      </c>
      <c r="G21" s="200">
        <v>338</v>
      </c>
      <c r="H21" s="79">
        <v>1</v>
      </c>
      <c r="I21" s="79">
        <v>1</v>
      </c>
      <c r="J21" s="79">
        <v>1</v>
      </c>
      <c r="K21" s="79">
        <v>0</v>
      </c>
      <c r="L21" s="79">
        <v>0</v>
      </c>
      <c r="M21" s="79">
        <v>0</v>
      </c>
      <c r="N21" s="79">
        <v>0</v>
      </c>
      <c r="O21" s="79">
        <v>1</v>
      </c>
      <c r="P21" s="79">
        <v>150</v>
      </c>
      <c r="Q21" s="79" t="s">
        <v>168</v>
      </c>
      <c r="R21" s="79" t="s">
        <v>169</v>
      </c>
    </row>
    <row r="22" spans="1:18" x14ac:dyDescent="0.15">
      <c r="A22" s="227">
        <v>49007</v>
      </c>
      <c r="B22" s="79">
        <v>3</v>
      </c>
      <c r="C22" s="199" t="str">
        <f t="shared" si="2"/>
        <v>49007_3</v>
      </c>
      <c r="D22" s="18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79">
        <v>3</v>
      </c>
      <c r="F22" s="79" t="s">
        <v>353</v>
      </c>
      <c r="G22" s="79">
        <v>607</v>
      </c>
      <c r="H22" s="79">
        <v>1</v>
      </c>
      <c r="I22" s="79">
        <v>1</v>
      </c>
      <c r="J22" s="79">
        <v>1</v>
      </c>
      <c r="K22" s="79">
        <v>0</v>
      </c>
      <c r="L22" s="79">
        <v>0</v>
      </c>
      <c r="M22" s="79">
        <v>0</v>
      </c>
      <c r="N22" s="79">
        <v>0</v>
      </c>
      <c r="O22" s="79">
        <v>1</v>
      </c>
      <c r="P22" s="79">
        <v>100</v>
      </c>
      <c r="Q22" s="79" t="s">
        <v>168</v>
      </c>
      <c r="R22" s="79" t="s">
        <v>169</v>
      </c>
    </row>
    <row r="23" spans="1:18" x14ac:dyDescent="0.15">
      <c r="A23" s="227">
        <v>49007</v>
      </c>
      <c r="B23" s="79">
        <v>3</v>
      </c>
      <c r="C23" s="199" t="str">
        <f t="shared" si="2"/>
        <v>49007_3</v>
      </c>
      <c r="D23" s="18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79">
        <v>4</v>
      </c>
      <c r="F23" s="79" t="s">
        <v>352</v>
      </c>
      <c r="G23" s="79">
        <v>608</v>
      </c>
      <c r="H23" s="79">
        <v>1</v>
      </c>
      <c r="I23" s="79">
        <v>1</v>
      </c>
      <c r="J23" s="79">
        <v>1</v>
      </c>
      <c r="K23" s="79">
        <v>0</v>
      </c>
      <c r="L23" s="79">
        <v>0</v>
      </c>
      <c r="M23" s="79">
        <v>0</v>
      </c>
      <c r="N23" s="79">
        <v>0</v>
      </c>
      <c r="O23" s="79">
        <v>1</v>
      </c>
      <c r="P23" s="79">
        <v>100</v>
      </c>
      <c r="Q23" s="79" t="s">
        <v>168</v>
      </c>
      <c r="R23" s="79" t="s">
        <v>169</v>
      </c>
    </row>
    <row r="24" spans="1:18" x14ac:dyDescent="0.15">
      <c r="A24" s="227">
        <v>49007</v>
      </c>
      <c r="B24" s="79">
        <v>3</v>
      </c>
      <c r="C24" s="199" t="str">
        <f t="shared" si="2"/>
        <v>49007_3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79">
        <v>5</v>
      </c>
      <c r="F24" s="79" t="s">
        <v>334</v>
      </c>
      <c r="G24" s="79">
        <v>609</v>
      </c>
      <c r="H24" s="79">
        <v>1</v>
      </c>
      <c r="I24" s="79">
        <v>1</v>
      </c>
      <c r="J24" s="79">
        <v>1</v>
      </c>
      <c r="K24" s="79">
        <v>0</v>
      </c>
      <c r="L24" s="79">
        <v>0</v>
      </c>
      <c r="M24" s="79">
        <v>0</v>
      </c>
      <c r="N24" s="79">
        <v>0</v>
      </c>
      <c r="O24" s="79">
        <v>1</v>
      </c>
      <c r="P24" s="79">
        <v>100</v>
      </c>
      <c r="Q24" s="79" t="s">
        <v>168</v>
      </c>
      <c r="R24" s="79" t="s">
        <v>169</v>
      </c>
    </row>
    <row r="25" spans="1:18" x14ac:dyDescent="0.15">
      <c r="A25" s="227">
        <v>49007</v>
      </c>
      <c r="B25" s="79">
        <v>3</v>
      </c>
      <c r="C25" s="199" t="str">
        <f t="shared" si="2"/>
        <v>49007_3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79">
        <v>6</v>
      </c>
      <c r="F25" s="79" t="s">
        <v>334</v>
      </c>
      <c r="G25" s="79">
        <v>125</v>
      </c>
      <c r="H25" s="79">
        <v>1</v>
      </c>
      <c r="I25" s="79">
        <v>1</v>
      </c>
      <c r="J25" s="79">
        <v>1</v>
      </c>
      <c r="K25" s="79">
        <v>0</v>
      </c>
      <c r="L25" s="79">
        <v>0</v>
      </c>
      <c r="M25" s="79">
        <v>0</v>
      </c>
      <c r="N25" s="79">
        <v>0</v>
      </c>
      <c r="O25" s="79">
        <v>1</v>
      </c>
      <c r="P25" s="79">
        <v>30</v>
      </c>
      <c r="Q25" s="79" t="s">
        <v>168</v>
      </c>
      <c r="R25" s="79" t="s">
        <v>169</v>
      </c>
    </row>
    <row r="26" spans="1:18" x14ac:dyDescent="0.15">
      <c r="A26" s="227">
        <v>49007</v>
      </c>
      <c r="B26" s="79">
        <v>3</v>
      </c>
      <c r="C26" s="199" t="str">
        <f t="shared" si="2"/>
        <v>49007_3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79">
        <v>7</v>
      </c>
      <c r="F26" s="79" t="s">
        <v>334</v>
      </c>
      <c r="G26" s="228">
        <v>8043</v>
      </c>
      <c r="H26" s="79">
        <v>1</v>
      </c>
      <c r="I26" s="79">
        <v>1</v>
      </c>
      <c r="J26" s="79">
        <v>1</v>
      </c>
      <c r="K26" s="79">
        <v>0</v>
      </c>
      <c r="L26" s="79">
        <v>0</v>
      </c>
      <c r="M26" s="79">
        <v>0</v>
      </c>
      <c r="N26" s="79">
        <v>0</v>
      </c>
      <c r="O26" s="79">
        <v>1</v>
      </c>
      <c r="P26" s="79">
        <v>250</v>
      </c>
      <c r="Q26" s="79" t="s">
        <v>168</v>
      </c>
      <c r="R26" s="79" t="s">
        <v>169</v>
      </c>
    </row>
    <row r="27" spans="1:18" ht="16" thickBot="1" x14ac:dyDescent="0.2">
      <c r="A27" s="227">
        <v>49007</v>
      </c>
      <c r="B27" s="201">
        <v>3</v>
      </c>
      <c r="C27" s="202" t="str">
        <f t="shared" si="2"/>
        <v>49007_3</v>
      </c>
      <c r="D27" s="133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201">
        <v>8</v>
      </c>
      <c r="F27" s="201" t="s">
        <v>334</v>
      </c>
      <c r="G27" s="203">
        <v>350</v>
      </c>
      <c r="H27" s="201">
        <v>1</v>
      </c>
      <c r="I27" s="201">
        <v>1</v>
      </c>
      <c r="J27" s="201">
        <v>1</v>
      </c>
      <c r="K27" s="201">
        <v>0</v>
      </c>
      <c r="L27" s="201">
        <v>0</v>
      </c>
      <c r="M27" s="201">
        <v>0</v>
      </c>
      <c r="N27" s="201">
        <v>0</v>
      </c>
      <c r="O27" s="201">
        <v>1</v>
      </c>
      <c r="P27" s="201">
        <v>120</v>
      </c>
      <c r="Q27" s="201" t="s">
        <v>168</v>
      </c>
      <c r="R27" s="201" t="s">
        <v>169</v>
      </c>
    </row>
  </sheetData>
  <phoneticPr fontId="5"/>
  <dataValidations disablePrompts="1" count="1">
    <dataValidation type="list" allowBlank="1" showInputMessage="1" showErrorMessage="1" sqref="F2:F27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40"/>
  <sheetViews>
    <sheetView showGridLines="0" workbookViewId="0">
      <pane ySplit="1" topLeftCell="A2" activePane="bottomLeft" state="frozen"/>
      <selection pane="bottomLeft" activeCell="I20" sqref="I20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186</v>
      </c>
      <c r="B1" s="70" t="s">
        <v>187</v>
      </c>
      <c r="C1" s="75" t="s">
        <v>188</v>
      </c>
      <c r="D1" s="75" t="s">
        <v>33</v>
      </c>
      <c r="E1" s="70" t="s">
        <v>189</v>
      </c>
      <c r="F1" s="75" t="s">
        <v>190</v>
      </c>
      <c r="G1" s="75" t="s">
        <v>33</v>
      </c>
      <c r="H1" s="70" t="s">
        <v>191</v>
      </c>
      <c r="I1" s="89" t="s">
        <v>193</v>
      </c>
      <c r="J1" s="77" t="s">
        <v>124</v>
      </c>
      <c r="K1" s="76" t="s">
        <v>185</v>
      </c>
      <c r="L1" s="90" t="s">
        <v>184</v>
      </c>
      <c r="M1" s="78" t="s">
        <v>194</v>
      </c>
    </row>
    <row r="2" spans="1:13" x14ac:dyDescent="0.15">
      <c r="A2" s="79"/>
      <c r="B2" s="80"/>
      <c r="C2" s="81"/>
      <c r="D2" s="81"/>
      <c r="E2" s="85"/>
      <c r="F2" s="81"/>
      <c r="G2" s="81"/>
      <c r="H2" s="83"/>
      <c r="J2" s="82"/>
      <c r="K2" s="91"/>
      <c r="L2" s="92"/>
      <c r="M2" s="55"/>
    </row>
    <row r="3" spans="1:13" x14ac:dyDescent="0.15">
      <c r="A3" s="79"/>
      <c r="B3" s="80"/>
      <c r="C3" s="81"/>
      <c r="D3" s="81"/>
      <c r="E3" s="85"/>
      <c r="F3" s="81"/>
      <c r="G3" s="81"/>
      <c r="H3" s="83"/>
      <c r="J3" s="82"/>
      <c r="K3" s="91"/>
      <c r="L3" s="92"/>
      <c r="M3" s="55"/>
    </row>
    <row r="4" spans="1:13" x14ac:dyDescent="0.15">
      <c r="A4" s="79"/>
      <c r="B4" s="80"/>
      <c r="C4" s="81"/>
      <c r="D4" s="81"/>
      <c r="E4" s="85"/>
      <c r="F4" s="81"/>
      <c r="G4" s="81"/>
      <c r="H4" s="83"/>
      <c r="J4" s="82"/>
      <c r="K4" s="91"/>
      <c r="L4" s="92"/>
      <c r="M4" s="55"/>
    </row>
    <row r="5" spans="1:13" x14ac:dyDescent="0.15">
      <c r="A5" s="79"/>
      <c r="B5" s="80"/>
      <c r="C5" s="81"/>
      <c r="D5" s="81"/>
      <c r="E5" s="85"/>
      <c r="F5" s="81"/>
      <c r="G5" s="81"/>
      <c r="H5" s="83"/>
      <c r="J5" s="82"/>
      <c r="K5" s="91"/>
      <c r="L5" s="92"/>
      <c r="M5" s="55"/>
    </row>
    <row r="6" spans="1:13" x14ac:dyDescent="0.15">
      <c r="A6" s="79"/>
      <c r="B6" s="80"/>
      <c r="C6" s="81"/>
      <c r="D6" s="81"/>
      <c r="E6" s="85"/>
      <c r="F6" s="81"/>
      <c r="G6" s="81"/>
      <c r="H6" s="83"/>
      <c r="J6" s="82"/>
      <c r="K6" s="91"/>
      <c r="L6" s="92"/>
      <c r="M6" s="55"/>
    </row>
    <row r="7" spans="1:13" x14ac:dyDescent="0.15">
      <c r="A7" s="79"/>
      <c r="B7" s="80"/>
      <c r="C7" s="81"/>
      <c r="D7" s="81"/>
      <c r="E7" s="85"/>
      <c r="F7" s="81"/>
      <c r="G7" s="81"/>
      <c r="H7" s="83"/>
      <c r="J7" s="82"/>
      <c r="K7" s="91"/>
      <c r="L7" s="92"/>
      <c r="M7" s="55"/>
    </row>
    <row r="8" spans="1:13" x14ac:dyDescent="0.15">
      <c r="A8" s="79"/>
      <c r="B8" s="80"/>
      <c r="C8" s="81"/>
      <c r="D8" s="81"/>
      <c r="E8" s="85"/>
      <c r="F8" s="81"/>
      <c r="G8" s="81"/>
      <c r="H8" s="83"/>
      <c r="J8" s="82"/>
      <c r="K8" s="91"/>
      <c r="L8" s="92"/>
      <c r="M8" s="55"/>
    </row>
    <row r="9" spans="1:13" x14ac:dyDescent="0.15">
      <c r="A9" s="79"/>
      <c r="B9" s="80"/>
      <c r="C9" s="81"/>
      <c r="D9" s="81"/>
      <c r="E9" s="85"/>
      <c r="F9" s="81"/>
      <c r="G9" s="81"/>
      <c r="H9" s="83"/>
      <c r="J9" s="82"/>
      <c r="K9" s="91"/>
      <c r="L9" s="92"/>
      <c r="M9" s="55"/>
    </row>
    <row r="10" spans="1:13" x14ac:dyDescent="0.15">
      <c r="A10" s="79"/>
      <c r="B10" s="80"/>
      <c r="C10" s="81"/>
      <c r="D10" s="81"/>
      <c r="E10" s="85"/>
      <c r="F10" s="81"/>
      <c r="G10" s="81"/>
      <c r="H10" s="83"/>
      <c r="J10" s="82"/>
      <c r="K10" s="91"/>
      <c r="L10" s="92"/>
      <c r="M10" s="55"/>
    </row>
    <row r="11" spans="1:13" x14ac:dyDescent="0.15">
      <c r="A11" s="79"/>
      <c r="B11" s="80"/>
      <c r="C11" s="81"/>
      <c r="D11" s="81"/>
      <c r="E11" s="85"/>
      <c r="F11" s="81"/>
      <c r="G11" s="81"/>
      <c r="H11" s="83"/>
      <c r="J11" s="82"/>
      <c r="K11" s="91"/>
      <c r="L11" s="92"/>
      <c r="M11" s="55"/>
    </row>
    <row r="12" spans="1:13" x14ac:dyDescent="0.15">
      <c r="A12" s="79"/>
      <c r="B12" s="80"/>
      <c r="C12" s="81"/>
      <c r="D12" s="81"/>
      <c r="E12" s="85"/>
      <c r="F12" s="81"/>
      <c r="G12" s="81"/>
      <c r="H12" s="83"/>
      <c r="J12" s="82"/>
      <c r="K12" s="91"/>
      <c r="L12" s="92"/>
      <c r="M12" s="55"/>
    </row>
    <row r="13" spans="1:13" x14ac:dyDescent="0.15">
      <c r="A13" s="79"/>
      <c r="B13" s="80"/>
      <c r="C13" s="81"/>
      <c r="D13" s="81"/>
      <c r="E13" s="85"/>
      <c r="F13" s="81"/>
      <c r="G13" s="81"/>
      <c r="H13" s="83"/>
      <c r="J13" s="82"/>
      <c r="K13" s="91"/>
      <c r="L13" s="92"/>
      <c r="M13" s="55"/>
    </row>
    <row r="14" spans="1:13" x14ac:dyDescent="0.15">
      <c r="A14" s="79"/>
      <c r="B14" s="80"/>
      <c r="C14" s="81"/>
      <c r="D14" s="81"/>
      <c r="E14" s="85"/>
      <c r="F14" s="81"/>
      <c r="G14" s="81"/>
      <c r="H14" s="83"/>
      <c r="J14" s="82"/>
      <c r="K14" s="91"/>
      <c r="L14" s="92"/>
      <c r="M14" s="55"/>
    </row>
    <row r="15" spans="1:13" x14ac:dyDescent="0.15">
      <c r="A15" s="79"/>
      <c r="B15" s="80"/>
      <c r="C15" s="81"/>
      <c r="D15" s="81"/>
      <c r="E15" s="85"/>
      <c r="F15" s="81"/>
      <c r="G15" s="81"/>
      <c r="H15" s="83"/>
      <c r="J15" s="82"/>
      <c r="K15" s="91"/>
      <c r="L15" s="92"/>
      <c r="M15" s="55"/>
    </row>
    <row r="16" spans="1:13" x14ac:dyDescent="0.15">
      <c r="A16" s="79"/>
      <c r="B16" s="80"/>
      <c r="C16" s="81"/>
      <c r="D16" s="81"/>
      <c r="E16" s="85"/>
      <c r="F16" s="81"/>
      <c r="G16" s="81"/>
      <c r="H16" s="83"/>
      <c r="J16" s="82"/>
      <c r="K16" s="91"/>
      <c r="L16" s="92"/>
      <c r="M16" s="55"/>
    </row>
    <row r="17" spans="1:13" x14ac:dyDescent="0.15">
      <c r="A17" s="79"/>
      <c r="B17" s="80"/>
      <c r="C17" s="81"/>
      <c r="D17" s="81"/>
      <c r="E17" s="85"/>
      <c r="F17" s="81"/>
      <c r="G17" s="81"/>
      <c r="H17" s="83"/>
      <c r="J17" s="82"/>
      <c r="K17" s="91"/>
      <c r="L17" s="92"/>
      <c r="M17" s="55"/>
    </row>
    <row r="18" spans="1:13" x14ac:dyDescent="0.15">
      <c r="A18" s="79"/>
      <c r="B18" s="80"/>
      <c r="C18" s="81"/>
      <c r="D18" s="81"/>
      <c r="E18" s="85"/>
      <c r="F18" s="81"/>
      <c r="G18" s="81"/>
      <c r="H18" s="83"/>
      <c r="J18" s="82"/>
      <c r="K18" s="91"/>
      <c r="L18" s="92"/>
      <c r="M18" s="55"/>
    </row>
    <row r="19" spans="1:13" x14ac:dyDescent="0.15">
      <c r="A19" s="79"/>
      <c r="B19" s="80"/>
      <c r="C19" s="81"/>
      <c r="D19" s="81"/>
      <c r="E19" s="85"/>
      <c r="F19" s="81"/>
      <c r="G19" s="81"/>
      <c r="H19" s="83"/>
      <c r="J19" s="82"/>
      <c r="K19" s="91"/>
      <c r="L19" s="92"/>
      <c r="M19" s="55"/>
    </row>
    <row r="20" spans="1:13" x14ac:dyDescent="0.15">
      <c r="A20" s="79"/>
      <c r="B20" s="80"/>
      <c r="C20" s="81"/>
      <c r="D20" s="81"/>
      <c r="E20" s="85"/>
      <c r="F20" s="81"/>
      <c r="G20" s="81"/>
      <c r="H20" s="83"/>
      <c r="J20" s="82"/>
      <c r="K20" s="91"/>
      <c r="L20" s="92"/>
      <c r="M20" s="55"/>
    </row>
    <row r="21" spans="1:13" x14ac:dyDescent="0.15">
      <c r="A21" s="79"/>
      <c r="B21" s="80"/>
      <c r="C21" s="81"/>
      <c r="D21" s="81"/>
      <c r="E21" s="85"/>
      <c r="F21" s="81"/>
      <c r="G21" s="81"/>
      <c r="H21" s="83"/>
      <c r="J21" s="82"/>
      <c r="K21" s="91"/>
      <c r="L21" s="92"/>
      <c r="M21" s="55"/>
    </row>
    <row r="22" spans="1:13" x14ac:dyDescent="0.15">
      <c r="A22" s="79"/>
      <c r="B22" s="80"/>
      <c r="C22" s="81"/>
      <c r="D22" s="81"/>
      <c r="E22" s="85"/>
      <c r="F22" s="81"/>
      <c r="G22" s="81"/>
      <c r="H22" s="83"/>
      <c r="J22" s="82"/>
      <c r="K22" s="91"/>
      <c r="L22" s="92"/>
      <c r="M22" s="55"/>
    </row>
    <row r="23" spans="1:13" x14ac:dyDescent="0.15">
      <c r="A23" s="79"/>
      <c r="B23" s="80"/>
      <c r="C23" s="81"/>
      <c r="D23" s="81"/>
      <c r="E23" s="85"/>
      <c r="F23" s="81"/>
      <c r="G23" s="81"/>
      <c r="H23" s="83"/>
      <c r="J23" s="82"/>
      <c r="K23" s="91"/>
      <c r="L23" s="92"/>
      <c r="M23" s="55"/>
    </row>
    <row r="24" spans="1:13" x14ac:dyDescent="0.15">
      <c r="A24" s="79"/>
      <c r="B24" s="80"/>
      <c r="C24" s="81"/>
      <c r="D24" s="81"/>
      <c r="E24" s="85"/>
      <c r="F24" s="81"/>
      <c r="G24" s="81"/>
      <c r="H24" s="83"/>
      <c r="J24" s="82"/>
      <c r="K24" s="91"/>
      <c r="L24" s="92"/>
      <c r="M24" s="55"/>
    </row>
    <row r="25" spans="1:13" x14ac:dyDescent="0.15">
      <c r="A25" s="79"/>
      <c r="B25" s="80"/>
      <c r="C25" s="81"/>
      <c r="D25" s="81"/>
      <c r="E25" s="85"/>
      <c r="F25" s="81"/>
      <c r="G25" s="81"/>
      <c r="H25" s="83"/>
      <c r="J25" s="82"/>
      <c r="K25" s="91"/>
      <c r="L25" s="92"/>
      <c r="M25" s="55"/>
    </row>
    <row r="26" spans="1:13" x14ac:dyDescent="0.15">
      <c r="A26" s="79"/>
      <c r="B26" s="80"/>
      <c r="C26" s="81"/>
      <c r="D26" s="81"/>
      <c r="E26" s="85"/>
      <c r="F26" s="81"/>
      <c r="G26" s="81"/>
      <c r="H26" s="83"/>
      <c r="J26" s="82"/>
      <c r="K26" s="91"/>
      <c r="L26" s="92"/>
      <c r="M26" s="55"/>
    </row>
    <row r="27" spans="1:13" x14ac:dyDescent="0.15">
      <c r="A27" s="79"/>
      <c r="B27" s="80"/>
      <c r="C27" s="81"/>
      <c r="D27" s="81"/>
      <c r="E27" s="85"/>
      <c r="F27" s="81"/>
      <c r="G27" s="81"/>
      <c r="H27" s="83"/>
      <c r="J27" s="82"/>
      <c r="K27" s="91"/>
      <c r="L27" s="92"/>
      <c r="M27" s="55"/>
    </row>
    <row r="28" spans="1:13" x14ac:dyDescent="0.15">
      <c r="A28" s="79"/>
      <c r="B28" s="80"/>
      <c r="C28" s="81"/>
      <c r="D28" s="81"/>
      <c r="E28" s="85"/>
      <c r="F28" s="81"/>
      <c r="G28" s="81"/>
      <c r="H28" s="83"/>
      <c r="J28" s="82"/>
      <c r="K28" s="91"/>
      <c r="L28" s="92"/>
      <c r="M28" s="55"/>
    </row>
    <row r="29" spans="1:13" x14ac:dyDescent="0.15">
      <c r="A29" s="79"/>
      <c r="B29" s="80"/>
      <c r="C29" s="81"/>
      <c r="D29" s="81"/>
      <c r="E29" s="85"/>
      <c r="F29" s="81"/>
      <c r="G29" s="81"/>
      <c r="H29" s="83"/>
      <c r="J29" s="82"/>
      <c r="K29" s="91"/>
      <c r="L29" s="92"/>
      <c r="M29" s="55"/>
    </row>
    <row r="30" spans="1:13" x14ac:dyDescent="0.15">
      <c r="A30" s="79"/>
      <c r="B30" s="80"/>
      <c r="C30" s="81"/>
      <c r="D30" s="81"/>
      <c r="E30" s="85"/>
      <c r="F30" s="81"/>
      <c r="G30" s="81"/>
      <c r="H30" s="83"/>
      <c r="J30" s="82"/>
      <c r="K30" s="91"/>
      <c r="L30" s="92"/>
      <c r="M30" s="55"/>
    </row>
    <row r="31" spans="1:13" x14ac:dyDescent="0.15">
      <c r="A31" s="79"/>
      <c r="B31" s="80"/>
      <c r="C31" s="81"/>
      <c r="D31" s="81"/>
      <c r="E31" s="85"/>
      <c r="F31" s="81"/>
      <c r="G31" s="81"/>
      <c r="H31" s="83"/>
      <c r="J31" s="82"/>
      <c r="K31" s="91"/>
      <c r="L31" s="92"/>
      <c r="M31" s="55"/>
    </row>
    <row r="32" spans="1:13" x14ac:dyDescent="0.15">
      <c r="A32" s="79"/>
      <c r="B32" s="80"/>
      <c r="C32" s="81"/>
      <c r="D32" s="81"/>
      <c r="E32" s="85"/>
      <c r="F32" s="81"/>
      <c r="G32" s="81"/>
      <c r="H32" s="83"/>
      <c r="J32" s="82"/>
      <c r="K32" s="91"/>
      <c r="L32" s="92"/>
      <c r="M32" s="55"/>
    </row>
    <row r="33" spans="1:13" x14ac:dyDescent="0.15">
      <c r="A33" s="79"/>
      <c r="B33" s="80"/>
      <c r="C33" s="81"/>
      <c r="D33" s="81"/>
      <c r="E33" s="85"/>
      <c r="F33" s="81"/>
      <c r="G33" s="81"/>
      <c r="H33" s="83"/>
      <c r="J33" s="82"/>
      <c r="K33" s="91"/>
      <c r="L33" s="92"/>
      <c r="M33" s="55"/>
    </row>
    <row r="34" spans="1:13" x14ac:dyDescent="0.15">
      <c r="A34" s="79"/>
      <c r="B34" s="80"/>
      <c r="C34" s="81"/>
      <c r="D34" s="81"/>
      <c r="E34" s="85"/>
      <c r="F34" s="81"/>
      <c r="G34" s="81"/>
      <c r="H34" s="83"/>
      <c r="J34" s="82"/>
      <c r="K34" s="91"/>
      <c r="L34" s="92"/>
      <c r="M34" s="55"/>
    </row>
    <row r="35" spans="1:13" x14ac:dyDescent="0.15">
      <c r="A35" s="79"/>
      <c r="B35" s="80"/>
      <c r="C35" s="81"/>
      <c r="D35" s="81"/>
      <c r="E35" s="85"/>
      <c r="F35" s="81"/>
      <c r="G35" s="81"/>
      <c r="H35" s="83"/>
      <c r="J35" s="82"/>
      <c r="K35" s="91"/>
      <c r="L35" s="92"/>
      <c r="M35" s="55"/>
    </row>
    <row r="36" spans="1:13" x14ac:dyDescent="0.15">
      <c r="A36" s="79"/>
      <c r="B36" s="80"/>
      <c r="C36" s="81"/>
      <c r="D36" s="81"/>
      <c r="E36" s="85"/>
      <c r="F36" s="81"/>
      <c r="G36" s="81"/>
      <c r="H36" s="83"/>
      <c r="J36" s="82"/>
      <c r="K36" s="91"/>
      <c r="L36" s="92"/>
      <c r="M36" s="55"/>
    </row>
    <row r="37" spans="1:13" x14ac:dyDescent="0.15">
      <c r="A37" s="79"/>
      <c r="B37" s="80"/>
      <c r="C37" s="81"/>
      <c r="D37" s="81"/>
      <c r="E37" s="85"/>
      <c r="F37" s="81"/>
      <c r="G37" s="81"/>
      <c r="H37" s="83"/>
      <c r="J37" s="82"/>
      <c r="K37" s="91"/>
      <c r="L37" s="92"/>
      <c r="M37" s="55"/>
    </row>
    <row r="38" spans="1:13" x14ac:dyDescent="0.15">
      <c r="A38" s="79"/>
      <c r="B38" s="80"/>
      <c r="C38" s="81"/>
      <c r="D38" s="81"/>
      <c r="E38" s="85"/>
      <c r="F38" s="81"/>
      <c r="G38" s="81"/>
      <c r="H38" s="83"/>
      <c r="J38" s="82"/>
      <c r="K38" s="91"/>
      <c r="L38" s="92"/>
      <c r="M38" s="55"/>
    </row>
    <row r="39" spans="1:13" x14ac:dyDescent="0.15">
      <c r="A39" s="79"/>
      <c r="B39" s="80"/>
      <c r="C39" s="81"/>
      <c r="D39" s="81"/>
      <c r="E39" s="85"/>
      <c r="F39" s="81"/>
      <c r="G39" s="81"/>
      <c r="H39" s="83"/>
      <c r="J39" s="82"/>
      <c r="K39" s="91"/>
      <c r="L39" s="92"/>
      <c r="M39" s="55"/>
    </row>
    <row r="40" spans="1:13" x14ac:dyDescent="0.15">
      <c r="A40" s="79"/>
      <c r="B40" s="80"/>
      <c r="C40" s="81"/>
      <c r="D40" s="81"/>
      <c r="E40" s="85"/>
      <c r="F40" s="81"/>
      <c r="G40" s="81"/>
      <c r="H40" s="83"/>
      <c r="J40" s="82"/>
      <c r="K40" s="91"/>
      <c r="L40" s="92"/>
      <c r="M40" s="55"/>
    </row>
  </sheetData>
  <phoneticPr fontId="5"/>
  <dataValidations count="1">
    <dataValidation type="list" allowBlank="1" showInputMessage="1" showErrorMessage="1" sqref="A2:A4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37"/>
  <sheetViews>
    <sheetView showGridLines="0" workbookViewId="0">
      <pane ySplit="1" topLeftCell="A27" activePane="bottomLeft" state="frozen"/>
      <selection pane="bottomLeft" activeCell="H8" sqref="H8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4" t="s">
        <v>186</v>
      </c>
      <c r="B1" s="70" t="s">
        <v>148</v>
      </c>
      <c r="C1" s="75" t="s">
        <v>188</v>
      </c>
      <c r="D1" s="75" t="s">
        <v>33</v>
      </c>
      <c r="E1" s="70" t="s">
        <v>189</v>
      </c>
      <c r="F1" s="75" t="s">
        <v>18</v>
      </c>
      <c r="G1" s="75" t="s">
        <v>33</v>
      </c>
      <c r="H1" s="70" t="s">
        <v>191</v>
      </c>
      <c r="I1" s="87" t="s">
        <v>192</v>
      </c>
      <c r="J1" s="89" t="s">
        <v>193</v>
      </c>
      <c r="K1" s="77" t="s">
        <v>124</v>
      </c>
      <c r="L1" s="76" t="s">
        <v>185</v>
      </c>
      <c r="M1" s="90" t="s">
        <v>184</v>
      </c>
      <c r="N1" s="78" t="s">
        <v>194</v>
      </c>
    </row>
    <row r="2" spans="1:14" ht="56" x14ac:dyDescent="0.15">
      <c r="A2" s="79" t="s">
        <v>195</v>
      </c>
      <c r="B2" s="80">
        <f>floors!$C$2</f>
        <v>49007</v>
      </c>
      <c r="C2" s="81" t="str">
        <f ca="1">VLOOKUP($B2,OFFSET([2]quests!$A$1,0,0,COUNTA([2]quests!$A:$A),MATCH(C$1,[2]quests!$1:$1,0)-MATCH($B$1,[2]quests!$1:$1,0)+1),MATCH(C$1,[2]quests!$1:$1,0)-MATCH($B$1,[2]quests!$1:$1,0)+1,FALSE)</f>
        <v>アザゼル（台）</v>
      </c>
      <c r="D2" s="81" t="str">
        <f ca="1">VLOOKUP($B2,OFFSET([2]quests!$A$1,0,0,COUNTA([2]quests!$A:$A),MATCH(D$1,[2]quests!$1:$1,0)-MATCH($B$1,[2]quests!$1:$1,0)+1),MATCH(D$1,[2]quests!$1:$1,0)-MATCH($B$1,[2]quests!$1:$1,0)+1,FALSE)</f>
        <v>コラボ降臨4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【超絶】アザゼル（台）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コラボ降臨4</v>
      </c>
      <c r="H2" s="83">
        <v>1</v>
      </c>
      <c r="I2" s="88">
        <f>ROW()-1</f>
        <v>1</v>
      </c>
      <c r="J2" s="84" t="str">
        <f>B2&amp;TEXT(I2,"00")</f>
        <v>4900701</v>
      </c>
      <c r="K2" s="82" t="s">
        <v>196</v>
      </c>
      <c r="L2" s="85" t="s">
        <v>197</v>
      </c>
      <c r="M2" s="109" t="s">
        <v>320</v>
      </c>
      <c r="N2" s="55" t="s">
        <v>198</v>
      </c>
    </row>
    <row r="3" spans="1:14" ht="56" x14ac:dyDescent="0.15">
      <c r="A3" s="79" t="s">
        <v>195</v>
      </c>
      <c r="B3" s="80">
        <f>floors!$C$2</f>
        <v>49007</v>
      </c>
      <c r="C3" s="81" t="str">
        <f ca="1">VLOOKUP($B3,OFFSET([2]quests!$A$1,0,0,COUNTA([2]quests!$A:$A),MATCH(C$1,[2]quests!$1:$1,0)-MATCH($B$1,[2]quests!$1:$1,0)+1),MATCH(C$1,[2]quests!$1:$1,0)-MATCH($B$1,[2]quests!$1:$1,0)+1,FALSE)</f>
        <v>アザゼル（台）</v>
      </c>
      <c r="D3" s="81" t="str">
        <f ca="1">VLOOKUP($B3,OFFSET([2]quests!$A$1,0,0,COUNTA([2]quests!$A:$A),MATCH(D$1,[2]quests!$1:$1,0)-MATCH($B$1,[2]quests!$1:$1,0)+1),MATCH(D$1,[2]quests!$1:$1,0)-MATCH($B$1,[2]quests!$1:$1,0)+1,FALSE)</f>
        <v>コラボ降臨4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【超絶】アザゼル（台）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コラボ降臨4</v>
      </c>
      <c r="H3" s="83">
        <v>1</v>
      </c>
      <c r="I3" s="88">
        <f t="shared" ref="I3:I5" si="0">ROW()-1</f>
        <v>2</v>
      </c>
      <c r="J3" s="84" t="str">
        <f t="shared" ref="J3:J5" si="1">B3&amp;TEXT(I3,"00")</f>
        <v>4900702</v>
      </c>
      <c r="K3" s="82" t="s">
        <v>196</v>
      </c>
      <c r="L3" s="85" t="s">
        <v>197</v>
      </c>
      <c r="M3" s="109" t="s">
        <v>321</v>
      </c>
      <c r="N3" s="55" t="s">
        <v>198</v>
      </c>
    </row>
    <row r="4" spans="1:14" ht="28" x14ac:dyDescent="0.15">
      <c r="A4" s="79" t="s">
        <v>195</v>
      </c>
      <c r="B4" s="80">
        <f>floors!$C$2</f>
        <v>49007</v>
      </c>
      <c r="C4" s="81" t="str">
        <f ca="1">VLOOKUP($B4,OFFSET([2]quests!$A$1,0,0,COUNTA([2]quests!$A:$A),MATCH(C$1,[2]quests!$1:$1,0)-MATCH($B$1,[2]quests!$1:$1,0)+1),MATCH(C$1,[2]quests!$1:$1,0)-MATCH($B$1,[2]quests!$1:$1,0)+1,FALSE)</f>
        <v>アザゼル（台）</v>
      </c>
      <c r="D4" s="81" t="str">
        <f ca="1">VLOOKUP($B4,OFFSET([2]quests!$A$1,0,0,COUNTA([2]quests!$A:$A),MATCH(D$1,[2]quests!$1:$1,0)-MATCH($B$1,[2]quests!$1:$1,0)+1),MATCH(D$1,[2]quests!$1:$1,0)-MATCH($B$1,[2]quests!$1:$1,0)+1,FALSE)</f>
        <v>コラボ降臨4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【超絶】アザゼル（台）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コラボ降臨4</v>
      </c>
      <c r="H4" s="83">
        <v>2</v>
      </c>
      <c r="I4" s="88">
        <f t="shared" si="0"/>
        <v>3</v>
      </c>
      <c r="J4" s="84" t="str">
        <f t="shared" si="1"/>
        <v>4900703</v>
      </c>
      <c r="K4" s="82" t="s">
        <v>196</v>
      </c>
      <c r="L4" s="85" t="s">
        <v>197</v>
      </c>
      <c r="M4" s="109" t="s">
        <v>322</v>
      </c>
      <c r="N4" s="55" t="s">
        <v>198</v>
      </c>
    </row>
    <row r="5" spans="1:14" ht="42" x14ac:dyDescent="0.15">
      <c r="A5" s="79" t="s">
        <v>195</v>
      </c>
      <c r="B5" s="80">
        <f>floors!$C$2</f>
        <v>49007</v>
      </c>
      <c r="C5" s="81" t="str">
        <f ca="1">VLOOKUP($B5,OFFSET([2]quests!$A$1,0,0,COUNTA([2]quests!$A:$A),MATCH(C$1,[2]quests!$1:$1,0)-MATCH($B$1,[2]quests!$1:$1,0)+1),MATCH(C$1,[2]quests!$1:$1,0)-MATCH($B$1,[2]quests!$1:$1,0)+1,FALSE)</f>
        <v>アザゼル（台）</v>
      </c>
      <c r="D5" s="81" t="str">
        <f ca="1">VLOOKUP($B5,OFFSET([2]quests!$A$1,0,0,COUNTA([2]quests!$A:$A),MATCH(D$1,[2]quests!$1:$1,0)-MATCH($B$1,[2]quests!$1:$1,0)+1),MATCH(D$1,[2]quests!$1:$1,0)-MATCH($B$1,[2]quests!$1:$1,0)+1,FALSE)</f>
        <v>コラボ降臨4</v>
      </c>
      <c r="E5" s="82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【超絶】アザゼル（台）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コラボ降臨4</v>
      </c>
      <c r="H5" s="83">
        <v>3</v>
      </c>
      <c r="I5" s="88">
        <f t="shared" si="0"/>
        <v>4</v>
      </c>
      <c r="J5" s="84" t="str">
        <f t="shared" si="1"/>
        <v>4900704</v>
      </c>
      <c r="K5" s="82" t="s">
        <v>196</v>
      </c>
      <c r="L5" s="85" t="s">
        <v>197</v>
      </c>
      <c r="M5" s="109" t="s">
        <v>323</v>
      </c>
      <c r="N5" s="55" t="s">
        <v>198</v>
      </c>
    </row>
    <row r="6" spans="1:14" ht="42" x14ac:dyDescent="0.15">
      <c r="A6" s="79" t="s">
        <v>195</v>
      </c>
      <c r="B6" s="80">
        <f>floors!$C$2</f>
        <v>49007</v>
      </c>
      <c r="C6" s="81" t="str">
        <f ca="1">VLOOKUP($B6,OFFSET([2]quests!$A$1,0,0,COUNTA([2]quests!$A:$A),MATCH(C$1,[2]quests!$1:$1,0)-MATCH($B$1,[2]quests!$1:$1,0)+1),MATCH(C$1,[2]quests!$1:$1,0)-MATCH($B$1,[2]quests!$1:$1,0)+1,FALSE)</f>
        <v>アザゼル（台）</v>
      </c>
      <c r="D6" s="81" t="str">
        <f ca="1">VLOOKUP($B6,OFFSET([2]quests!$A$1,0,0,COUNTA([2]quests!$A:$A),MATCH(D$1,[2]quests!$1:$1,0)-MATCH($B$1,[2]quests!$1:$1,0)+1),MATCH(D$1,[2]quests!$1:$1,0)-MATCH($B$1,[2]quests!$1:$1,0)+1,FALSE)</f>
        <v>コラボ降臨4</v>
      </c>
      <c r="E6" s="82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【超絶】アザゼル（台）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コラボ降臨4</v>
      </c>
      <c r="H6" s="83">
        <v>3</v>
      </c>
      <c r="I6" s="88">
        <f>ROW()-1</f>
        <v>5</v>
      </c>
      <c r="J6" s="84" t="str">
        <f>B6&amp;TEXT(I6,"00")</f>
        <v>4900705</v>
      </c>
      <c r="K6" s="82" t="s">
        <v>196</v>
      </c>
      <c r="L6" s="85" t="s">
        <v>197</v>
      </c>
      <c r="M6" s="109" t="s">
        <v>324</v>
      </c>
      <c r="N6" s="55" t="s">
        <v>198</v>
      </c>
    </row>
    <row r="7" spans="1:14" ht="56" x14ac:dyDescent="0.15">
      <c r="A7" s="79" t="s">
        <v>195</v>
      </c>
      <c r="B7" s="80">
        <f>floors!$C$2</f>
        <v>49007</v>
      </c>
      <c r="C7" s="81" t="str">
        <f ca="1">VLOOKUP($B7,OFFSET([2]quests!$A$1,0,0,COUNTA([2]quests!$A:$A),MATCH(C$1,[2]quests!$1:$1,0)-MATCH($B$1,[2]quests!$1:$1,0)+1),MATCH(C$1,[2]quests!$1:$1,0)-MATCH($B$1,[2]quests!$1:$1,0)+1,FALSE)</f>
        <v>アザゼル（台）</v>
      </c>
      <c r="D7" s="81" t="str">
        <f ca="1">VLOOKUP($B7,OFFSET([2]quests!$A$1,0,0,COUNTA([2]quests!$A:$A),MATCH(D$1,[2]quests!$1:$1,0)-MATCH($B$1,[2]quests!$1:$1,0)+1),MATCH(D$1,[2]quests!$1:$1,0)-MATCH($B$1,[2]quests!$1:$1,0)+1,FALSE)</f>
        <v>コラボ降臨4</v>
      </c>
      <c r="E7" s="82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【超絶】アザゼル（台）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コラボ降臨4</v>
      </c>
      <c r="H7" s="83">
        <v>3</v>
      </c>
      <c r="I7" s="88">
        <f>ROW()-1</f>
        <v>6</v>
      </c>
      <c r="J7" s="84" t="str">
        <f>B7&amp;TEXT(I7,"00")</f>
        <v>4900706</v>
      </c>
      <c r="K7" s="82" t="s">
        <v>196</v>
      </c>
      <c r="L7" s="85" t="s">
        <v>197</v>
      </c>
      <c r="M7" s="109" t="s">
        <v>325</v>
      </c>
      <c r="N7" s="55" t="s">
        <v>198</v>
      </c>
    </row>
    <row r="8" spans="1:14" ht="56" x14ac:dyDescent="0.15">
      <c r="A8" s="79" t="s">
        <v>195</v>
      </c>
      <c r="B8" s="80">
        <f>floors!$C$2</f>
        <v>49007</v>
      </c>
      <c r="C8" s="81" t="str">
        <f ca="1">VLOOKUP($B8,OFFSET([2]quests!$A$1,0,0,COUNTA([2]quests!$A:$A),MATCH(C$1,[2]quests!$1:$1,0)-MATCH($B$1,[2]quests!$1:$1,0)+1),MATCH(C$1,[2]quests!$1:$1,0)-MATCH($B$1,[2]quests!$1:$1,0)+1,FALSE)</f>
        <v>アザゼル（台）</v>
      </c>
      <c r="D8" s="81" t="str">
        <f ca="1">VLOOKUP($B8,OFFSET([2]quests!$A$1,0,0,COUNTA([2]quests!$A:$A),MATCH(D$1,[2]quests!$1:$1,0)-MATCH($B$1,[2]quests!$1:$1,0)+1),MATCH(D$1,[2]quests!$1:$1,0)-MATCH($B$1,[2]quests!$1:$1,0)+1,FALSE)</f>
        <v>コラボ降臨4</v>
      </c>
      <c r="E8" s="82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【超絶】アザゼル（台）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コラボ降臨4</v>
      </c>
      <c r="H8" s="83">
        <v>3</v>
      </c>
      <c r="I8" s="88">
        <f>ROW()-1</f>
        <v>7</v>
      </c>
      <c r="J8" s="84" t="str">
        <f>B8&amp;TEXT(I8,"00")</f>
        <v>4900707</v>
      </c>
      <c r="K8" s="82" t="s">
        <v>196</v>
      </c>
      <c r="L8" s="85" t="s">
        <v>197</v>
      </c>
      <c r="M8" s="109" t="s">
        <v>326</v>
      </c>
      <c r="N8" s="55" t="s">
        <v>198</v>
      </c>
    </row>
    <row r="9" spans="1:14" ht="56" x14ac:dyDescent="0.15">
      <c r="A9" s="79" t="s">
        <v>195</v>
      </c>
      <c r="B9" s="80">
        <f>floors!$C$2</f>
        <v>49007</v>
      </c>
      <c r="C9" s="81" t="str">
        <f ca="1">VLOOKUP($B9,OFFSET([2]quests!$A$1,0,0,COUNTA([2]quests!$A:$A),MATCH(C$1,[2]quests!$1:$1,0)-MATCH($B$1,[2]quests!$1:$1,0)+1),MATCH(C$1,[2]quests!$1:$1,0)-MATCH($B$1,[2]quests!$1:$1,0)+1,FALSE)</f>
        <v>アザゼル（台）</v>
      </c>
      <c r="D9" s="81" t="str">
        <f ca="1">VLOOKUP($B9,OFFSET([2]quests!$A$1,0,0,COUNTA([2]quests!$A:$A),MATCH(D$1,[2]quests!$1:$1,0)-MATCH($B$1,[2]quests!$1:$1,0)+1),MATCH(D$1,[2]quests!$1:$1,0)-MATCH($B$1,[2]quests!$1:$1,0)+1,FALSE)</f>
        <v>コラボ降臨4</v>
      </c>
      <c r="E9" s="82">
        <v>2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コラボ降臨4</v>
      </c>
      <c r="H9" s="83">
        <v>1</v>
      </c>
      <c r="I9" s="88">
        <f>ROW()-1</f>
        <v>8</v>
      </c>
      <c r="J9" s="84" t="str">
        <f>B9&amp;TEXT(I9,"00")</f>
        <v>4900708</v>
      </c>
      <c r="K9" s="82" t="s">
        <v>196</v>
      </c>
      <c r="L9" s="85" t="s">
        <v>197</v>
      </c>
      <c r="M9" s="109" t="s">
        <v>320</v>
      </c>
      <c r="N9" s="55" t="s">
        <v>198</v>
      </c>
    </row>
    <row r="10" spans="1:14" ht="56" x14ac:dyDescent="0.15">
      <c r="A10" s="79" t="s">
        <v>195</v>
      </c>
      <c r="B10" s="80">
        <f>floors!$C$2</f>
        <v>49007</v>
      </c>
      <c r="C10" s="81" t="str">
        <f ca="1">VLOOKUP($B10,OFFSET([2]quests!$A$1,0,0,COUNTA([2]quests!$A:$A),MATCH(C$1,[2]quests!$1:$1,0)-MATCH($B$1,[2]quests!$1:$1,0)+1),MATCH(C$1,[2]quests!$1:$1,0)-MATCH($B$1,[2]quests!$1:$1,0)+1,FALSE)</f>
        <v>アザゼル（台）</v>
      </c>
      <c r="D10" s="81" t="str">
        <f ca="1">VLOOKUP($B10,OFFSET([2]quests!$A$1,0,0,COUNTA([2]quests!$A:$A),MATCH(D$1,[2]quests!$1:$1,0)-MATCH($B$1,[2]quests!$1:$1,0)+1),MATCH(D$1,[2]quests!$1:$1,0)-MATCH($B$1,[2]quests!$1:$1,0)+1,FALSE)</f>
        <v>コラボ降臨4</v>
      </c>
      <c r="E10" s="82">
        <v>2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コラボ降臨4</v>
      </c>
      <c r="H10" s="83">
        <v>1</v>
      </c>
      <c r="I10" s="88">
        <f t="shared" ref="I10:I12" si="2">ROW()-1</f>
        <v>9</v>
      </c>
      <c r="J10" s="84" t="str">
        <f t="shared" ref="J10:J12" si="3">B10&amp;TEXT(I10,"00")</f>
        <v>4900709</v>
      </c>
      <c r="K10" s="82" t="s">
        <v>196</v>
      </c>
      <c r="L10" s="85" t="s">
        <v>197</v>
      </c>
      <c r="M10" s="109" t="s">
        <v>321</v>
      </c>
      <c r="N10" s="55" t="s">
        <v>198</v>
      </c>
    </row>
    <row r="11" spans="1:14" ht="28" x14ac:dyDescent="0.15">
      <c r="A11" s="79" t="s">
        <v>195</v>
      </c>
      <c r="B11" s="80">
        <f>floors!$C$2</f>
        <v>49007</v>
      </c>
      <c r="C11" s="81" t="str">
        <f ca="1">VLOOKUP($B11,OFFSET([2]quests!$A$1,0,0,COUNTA([2]quests!$A:$A),MATCH(C$1,[2]quests!$1:$1,0)-MATCH($B$1,[2]quests!$1:$1,0)+1),MATCH(C$1,[2]quests!$1:$1,0)-MATCH($B$1,[2]quests!$1:$1,0)+1,FALSE)</f>
        <v>アザゼル（台）</v>
      </c>
      <c r="D11" s="81" t="str">
        <f ca="1">VLOOKUP($B11,OFFSET([2]quests!$A$1,0,0,COUNTA([2]quests!$A:$A),MATCH(D$1,[2]quests!$1:$1,0)-MATCH($B$1,[2]quests!$1:$1,0)+1),MATCH(D$1,[2]quests!$1:$1,0)-MATCH($B$1,[2]quests!$1:$1,0)+1,FALSE)</f>
        <v>コラボ降臨4</v>
      </c>
      <c r="E11" s="82">
        <v>2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コラボ降臨4</v>
      </c>
      <c r="H11" s="83">
        <v>2</v>
      </c>
      <c r="I11" s="88">
        <f t="shared" si="2"/>
        <v>10</v>
      </c>
      <c r="J11" s="84" t="str">
        <f t="shared" si="3"/>
        <v>4900710</v>
      </c>
      <c r="K11" s="82" t="s">
        <v>196</v>
      </c>
      <c r="L11" s="85" t="s">
        <v>197</v>
      </c>
      <c r="M11" s="109" t="s">
        <v>322</v>
      </c>
      <c r="N11" s="55" t="s">
        <v>198</v>
      </c>
    </row>
    <row r="12" spans="1:14" ht="42" x14ac:dyDescent="0.15">
      <c r="A12" s="79" t="s">
        <v>195</v>
      </c>
      <c r="B12" s="80">
        <f>floors!$C$2</f>
        <v>49007</v>
      </c>
      <c r="C12" s="81" t="str">
        <f ca="1">VLOOKUP($B12,OFFSET([2]quests!$A$1,0,0,COUNTA([2]quests!$A:$A),MATCH(C$1,[2]quests!$1:$1,0)-MATCH($B$1,[2]quests!$1:$1,0)+1),MATCH(C$1,[2]quests!$1:$1,0)-MATCH($B$1,[2]quests!$1:$1,0)+1,FALSE)</f>
        <v>アザゼル（台）</v>
      </c>
      <c r="D12" s="81" t="str">
        <f ca="1">VLOOKUP($B12,OFFSET([2]quests!$A$1,0,0,COUNTA([2]quests!$A:$A),MATCH(D$1,[2]quests!$1:$1,0)-MATCH($B$1,[2]quests!$1:$1,0)+1),MATCH(D$1,[2]quests!$1:$1,0)-MATCH($B$1,[2]quests!$1:$1,0)+1,FALSE)</f>
        <v>コラボ降臨4</v>
      </c>
      <c r="E12" s="82">
        <v>2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コラボ降臨4</v>
      </c>
      <c r="H12" s="83">
        <v>3</v>
      </c>
      <c r="I12" s="88">
        <f t="shared" si="2"/>
        <v>11</v>
      </c>
      <c r="J12" s="84" t="str">
        <f t="shared" si="3"/>
        <v>4900711</v>
      </c>
      <c r="K12" s="82" t="s">
        <v>196</v>
      </c>
      <c r="L12" s="85" t="s">
        <v>197</v>
      </c>
      <c r="M12" s="109" t="s">
        <v>323</v>
      </c>
      <c r="N12" s="55" t="s">
        <v>198</v>
      </c>
    </row>
    <row r="13" spans="1:14" ht="42" x14ac:dyDescent="0.15">
      <c r="A13" s="79" t="s">
        <v>195</v>
      </c>
      <c r="B13" s="80">
        <f>floors!$C$2</f>
        <v>49007</v>
      </c>
      <c r="C13" s="81" t="str">
        <f ca="1">VLOOKUP($B13,OFFSET([2]quests!$A$1,0,0,COUNTA([2]quests!$A:$A),MATCH(C$1,[2]quests!$1:$1,0)-MATCH($B$1,[2]quests!$1:$1,0)+1),MATCH(C$1,[2]quests!$1:$1,0)-MATCH($B$1,[2]quests!$1:$1,0)+1,FALSE)</f>
        <v>アザゼル（台）</v>
      </c>
      <c r="D13" s="81" t="str">
        <f ca="1">VLOOKUP($B13,OFFSET([2]quests!$A$1,0,0,COUNTA([2]quests!$A:$A),MATCH(D$1,[2]quests!$1:$1,0)-MATCH($B$1,[2]quests!$1:$1,0)+1),MATCH(D$1,[2]quests!$1:$1,0)-MATCH($B$1,[2]quests!$1:$1,0)+1,FALSE)</f>
        <v>コラボ降臨4</v>
      </c>
      <c r="E13" s="82">
        <v>2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コラボ降臨4</v>
      </c>
      <c r="H13" s="83">
        <v>3</v>
      </c>
      <c r="I13" s="88">
        <f>ROW()-1</f>
        <v>12</v>
      </c>
      <c r="J13" s="84" t="str">
        <f>B13&amp;TEXT(I13,"00")</f>
        <v>4900712</v>
      </c>
      <c r="K13" s="82" t="s">
        <v>196</v>
      </c>
      <c r="L13" s="85" t="s">
        <v>197</v>
      </c>
      <c r="M13" s="109" t="s">
        <v>324</v>
      </c>
      <c r="N13" s="55" t="s">
        <v>198</v>
      </c>
    </row>
    <row r="14" spans="1:14" ht="56" x14ac:dyDescent="0.15">
      <c r="A14" s="79" t="s">
        <v>195</v>
      </c>
      <c r="B14" s="80">
        <f>floors!$C$2</f>
        <v>49007</v>
      </c>
      <c r="C14" s="81" t="str">
        <f ca="1">VLOOKUP($B14,OFFSET([2]quests!$A$1,0,0,COUNTA([2]quests!$A:$A),MATCH(C$1,[2]quests!$1:$1,0)-MATCH($B$1,[2]quests!$1:$1,0)+1),MATCH(C$1,[2]quests!$1:$1,0)-MATCH($B$1,[2]quests!$1:$1,0)+1,FALSE)</f>
        <v>アザゼル（台）</v>
      </c>
      <c r="D14" s="81" t="str">
        <f ca="1">VLOOKUP($B14,OFFSET([2]quests!$A$1,0,0,COUNTA([2]quests!$A:$A),MATCH(D$1,[2]quests!$1:$1,0)-MATCH($B$1,[2]quests!$1:$1,0)+1),MATCH(D$1,[2]quests!$1:$1,0)-MATCH($B$1,[2]quests!$1:$1,0)+1,FALSE)</f>
        <v>コラボ降臨4</v>
      </c>
      <c r="E14" s="82">
        <v>2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コラボ降臨4</v>
      </c>
      <c r="H14" s="83">
        <v>3</v>
      </c>
      <c r="I14" s="88">
        <f>ROW()-1</f>
        <v>13</v>
      </c>
      <c r="J14" s="84" t="str">
        <f>B14&amp;TEXT(I14,"00")</f>
        <v>4900713</v>
      </c>
      <c r="K14" s="82" t="s">
        <v>196</v>
      </c>
      <c r="L14" s="85" t="s">
        <v>197</v>
      </c>
      <c r="M14" s="109" t="s">
        <v>325</v>
      </c>
      <c r="N14" s="55" t="s">
        <v>198</v>
      </c>
    </row>
    <row r="15" spans="1:14" ht="56" x14ac:dyDescent="0.15">
      <c r="A15" s="79" t="s">
        <v>195</v>
      </c>
      <c r="B15" s="80">
        <f>floors!$C$2</f>
        <v>49007</v>
      </c>
      <c r="C15" s="81" t="str">
        <f ca="1">VLOOKUP($B15,OFFSET([2]quests!$A$1,0,0,COUNTA([2]quests!$A:$A),MATCH(C$1,[2]quests!$1:$1,0)-MATCH($B$1,[2]quests!$1:$1,0)+1),MATCH(C$1,[2]quests!$1:$1,0)-MATCH($B$1,[2]quests!$1:$1,0)+1,FALSE)</f>
        <v>アザゼル（台）</v>
      </c>
      <c r="D15" s="81" t="str">
        <f ca="1">VLOOKUP($B15,OFFSET([2]quests!$A$1,0,0,COUNTA([2]quests!$A:$A),MATCH(D$1,[2]quests!$1:$1,0)-MATCH($B$1,[2]quests!$1:$1,0)+1),MATCH(D$1,[2]quests!$1:$1,0)-MATCH($B$1,[2]quests!$1:$1,0)+1,FALSE)</f>
        <v>コラボ降臨4</v>
      </c>
      <c r="E15" s="82">
        <v>2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コラボ降臨4</v>
      </c>
      <c r="H15" s="83">
        <v>3</v>
      </c>
      <c r="I15" s="88">
        <f>ROW()-1</f>
        <v>14</v>
      </c>
      <c r="J15" s="84" t="str">
        <f>B15&amp;TEXT(I15,"00")</f>
        <v>4900714</v>
      </c>
      <c r="K15" s="82" t="s">
        <v>196</v>
      </c>
      <c r="L15" s="85" t="s">
        <v>197</v>
      </c>
      <c r="M15" s="109" t="s">
        <v>326</v>
      </c>
      <c r="N15" s="55" t="s">
        <v>198</v>
      </c>
    </row>
    <row r="16" spans="1:14" ht="56" x14ac:dyDescent="0.15">
      <c r="A16" s="79" t="s">
        <v>195</v>
      </c>
      <c r="B16" s="80">
        <f>floors!$C$2</f>
        <v>49007</v>
      </c>
      <c r="C16" s="81" t="str">
        <f ca="1">VLOOKUP($B16,OFFSET([2]quests!$A$1,0,0,COUNTA([2]quests!$A:$A),MATCH(C$1,[2]quests!$1:$1,0)-MATCH($B$1,[2]quests!$1:$1,0)+1),MATCH(C$1,[2]quests!$1:$1,0)-MATCH($B$1,[2]quests!$1:$1,0)+1,FALSE)</f>
        <v>アザゼル（台）</v>
      </c>
      <c r="D16" s="81" t="str">
        <f ca="1">VLOOKUP($B16,OFFSET([2]quests!$A$1,0,0,COUNTA([2]quests!$A:$A),MATCH(D$1,[2]quests!$1:$1,0)-MATCH($B$1,[2]quests!$1:$1,0)+1),MATCH(D$1,[2]quests!$1:$1,0)-MATCH($B$1,[2]quests!$1:$1,0)+1,FALSE)</f>
        <v>コラボ降臨4</v>
      </c>
      <c r="E16" s="82">
        <v>3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コラボ降臨4</v>
      </c>
      <c r="H16" s="83">
        <v>1</v>
      </c>
      <c r="I16" s="88">
        <f>ROW()-1</f>
        <v>15</v>
      </c>
      <c r="J16" s="84" t="str">
        <f>B16&amp;TEXT(I16,"00")</f>
        <v>4900715</v>
      </c>
      <c r="K16" s="82" t="s">
        <v>196</v>
      </c>
      <c r="L16" s="85" t="s">
        <v>197</v>
      </c>
      <c r="M16" s="109" t="s">
        <v>320</v>
      </c>
      <c r="N16" s="55" t="s">
        <v>198</v>
      </c>
    </row>
    <row r="17" spans="1:14" ht="56" x14ac:dyDescent="0.15">
      <c r="A17" s="79" t="s">
        <v>195</v>
      </c>
      <c r="B17" s="80">
        <f>floors!$C$2</f>
        <v>49007</v>
      </c>
      <c r="C17" s="81" t="str">
        <f ca="1">VLOOKUP($B17,OFFSET([2]quests!$A$1,0,0,COUNTA([2]quests!$A:$A),MATCH(C$1,[2]quests!$1:$1,0)-MATCH($B$1,[2]quests!$1:$1,0)+1),MATCH(C$1,[2]quests!$1:$1,0)-MATCH($B$1,[2]quests!$1:$1,0)+1,FALSE)</f>
        <v>アザゼル（台）</v>
      </c>
      <c r="D17" s="81" t="str">
        <f ca="1">VLOOKUP($B17,OFFSET([2]quests!$A$1,0,0,COUNTA([2]quests!$A:$A),MATCH(D$1,[2]quests!$1:$1,0)-MATCH($B$1,[2]quests!$1:$1,0)+1),MATCH(D$1,[2]quests!$1:$1,0)-MATCH($B$1,[2]quests!$1:$1,0)+1,FALSE)</f>
        <v>コラボ降臨4</v>
      </c>
      <c r="E17" s="82">
        <v>3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コラボ降臨4</v>
      </c>
      <c r="H17" s="83">
        <v>1</v>
      </c>
      <c r="I17" s="88">
        <f t="shared" ref="I17:I19" si="4">ROW()-1</f>
        <v>16</v>
      </c>
      <c r="J17" s="84" t="str">
        <f t="shared" ref="J17:J19" si="5">B17&amp;TEXT(I17,"00")</f>
        <v>4900716</v>
      </c>
      <c r="K17" s="82" t="s">
        <v>196</v>
      </c>
      <c r="L17" s="85" t="s">
        <v>197</v>
      </c>
      <c r="M17" s="109" t="s">
        <v>321</v>
      </c>
      <c r="N17" s="55" t="s">
        <v>198</v>
      </c>
    </row>
    <row r="18" spans="1:14" ht="28" x14ac:dyDescent="0.15">
      <c r="A18" s="79" t="s">
        <v>195</v>
      </c>
      <c r="B18" s="80">
        <f>floors!$C$2</f>
        <v>49007</v>
      </c>
      <c r="C18" s="81" t="str">
        <f ca="1">VLOOKUP($B18,OFFSET([2]quests!$A$1,0,0,COUNTA([2]quests!$A:$A),MATCH(C$1,[2]quests!$1:$1,0)-MATCH($B$1,[2]quests!$1:$1,0)+1),MATCH(C$1,[2]quests!$1:$1,0)-MATCH($B$1,[2]quests!$1:$1,0)+1,FALSE)</f>
        <v>アザゼル（台）</v>
      </c>
      <c r="D18" s="81" t="str">
        <f ca="1">VLOOKUP($B18,OFFSET([2]quests!$A$1,0,0,COUNTA([2]quests!$A:$A),MATCH(D$1,[2]quests!$1:$1,0)-MATCH($B$1,[2]quests!$1:$1,0)+1),MATCH(D$1,[2]quests!$1:$1,0)-MATCH($B$1,[2]quests!$1:$1,0)+1,FALSE)</f>
        <v>コラボ降臨4</v>
      </c>
      <c r="E18" s="82">
        <v>3</v>
      </c>
      <c r="F18" s="81" t="str">
        <f ca="1">VLOOKUP($B18&amp;"_"&amp;$E18,OFFSET([2]stages!$A$1,0,0,COUNTA([2]stages!$A:$A),MATCH(F$1,[2]stages!$2:$2,0)-MATCH("temp_stage",[2]stages!$2:$2,0)+1),MATCH(F$1,[2]stages!$2:$2,0)-MATCH("temp_stage",[2]stages!$2:$2,0)+1,FALSE)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18" s="81" t="str">
        <f ca="1">VLOOKUP($B18&amp;"_"&amp;$E18,OFFSET([2]stages!$A$1,0,0,COUNTA([2]stages!$A:$A),MATCH(G$1,[2]stages!$2:$2,0)-MATCH("temp_stage",[2]stages!$2:$2,0)+1),MATCH(G$1,[2]stages!$2:$2,0)-MATCH("temp_stage",[2]stages!$2:$2,0)+1,FALSE)</f>
        <v>コラボ降臨4</v>
      </c>
      <c r="H18" s="83">
        <v>2</v>
      </c>
      <c r="I18" s="88">
        <f t="shared" si="4"/>
        <v>17</v>
      </c>
      <c r="J18" s="84" t="str">
        <f t="shared" si="5"/>
        <v>4900717</v>
      </c>
      <c r="K18" s="82" t="s">
        <v>196</v>
      </c>
      <c r="L18" s="85" t="s">
        <v>197</v>
      </c>
      <c r="M18" s="109" t="s">
        <v>322</v>
      </c>
      <c r="N18" s="55" t="s">
        <v>198</v>
      </c>
    </row>
    <row r="19" spans="1:14" ht="42" x14ac:dyDescent="0.15">
      <c r="A19" s="79" t="s">
        <v>195</v>
      </c>
      <c r="B19" s="80">
        <f>floors!$C$2</f>
        <v>49007</v>
      </c>
      <c r="C19" s="81" t="str">
        <f ca="1">VLOOKUP($B19,OFFSET([2]quests!$A$1,0,0,COUNTA([2]quests!$A:$A),MATCH(C$1,[2]quests!$1:$1,0)-MATCH($B$1,[2]quests!$1:$1,0)+1),MATCH(C$1,[2]quests!$1:$1,0)-MATCH($B$1,[2]quests!$1:$1,0)+1,FALSE)</f>
        <v>アザゼル（台）</v>
      </c>
      <c r="D19" s="81" t="str">
        <f ca="1">VLOOKUP($B19,OFFSET([2]quests!$A$1,0,0,COUNTA([2]quests!$A:$A),MATCH(D$1,[2]quests!$1:$1,0)-MATCH($B$1,[2]quests!$1:$1,0)+1),MATCH(D$1,[2]quests!$1:$1,0)-MATCH($B$1,[2]quests!$1:$1,0)+1,FALSE)</f>
        <v>コラボ降臨4</v>
      </c>
      <c r="E19" s="82">
        <v>3</v>
      </c>
      <c r="F19" s="81" t="str">
        <f ca="1">VLOOKUP($B19&amp;"_"&amp;$E19,OFFSET([2]stages!$A$1,0,0,COUNTA([2]stages!$A:$A),MATCH(F$1,[2]stages!$2:$2,0)-MATCH("temp_stage",[2]stages!$2:$2,0)+1),MATCH(F$1,[2]stages!$2:$2,0)-MATCH("temp_stage",[2]stages!$2:$2,0)+1,FALSE)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19" s="81" t="str">
        <f ca="1">VLOOKUP($B19&amp;"_"&amp;$E19,OFFSET([2]stages!$A$1,0,0,COUNTA([2]stages!$A:$A),MATCH(G$1,[2]stages!$2:$2,0)-MATCH("temp_stage",[2]stages!$2:$2,0)+1),MATCH(G$1,[2]stages!$2:$2,0)-MATCH("temp_stage",[2]stages!$2:$2,0)+1,FALSE)</f>
        <v>コラボ降臨4</v>
      </c>
      <c r="H19" s="83">
        <v>3</v>
      </c>
      <c r="I19" s="88">
        <f t="shared" si="4"/>
        <v>18</v>
      </c>
      <c r="J19" s="84" t="str">
        <f t="shared" si="5"/>
        <v>4900718</v>
      </c>
      <c r="K19" s="82" t="s">
        <v>196</v>
      </c>
      <c r="L19" s="85" t="s">
        <v>197</v>
      </c>
      <c r="M19" s="109" t="s">
        <v>323</v>
      </c>
      <c r="N19" s="55" t="s">
        <v>198</v>
      </c>
    </row>
    <row r="20" spans="1:14" ht="42" x14ac:dyDescent="0.15">
      <c r="A20" s="79" t="s">
        <v>195</v>
      </c>
      <c r="B20" s="80">
        <f>floors!$C$2</f>
        <v>49007</v>
      </c>
      <c r="C20" s="81" t="str">
        <f ca="1">VLOOKUP($B20,OFFSET([2]quests!$A$1,0,0,COUNTA([2]quests!$A:$A),MATCH(C$1,[2]quests!$1:$1,0)-MATCH($B$1,[2]quests!$1:$1,0)+1),MATCH(C$1,[2]quests!$1:$1,0)-MATCH($B$1,[2]quests!$1:$1,0)+1,FALSE)</f>
        <v>アザゼル（台）</v>
      </c>
      <c r="D20" s="81" t="str">
        <f ca="1">VLOOKUP($B20,OFFSET([2]quests!$A$1,0,0,COUNTA([2]quests!$A:$A),MATCH(D$1,[2]quests!$1:$1,0)-MATCH($B$1,[2]quests!$1:$1,0)+1),MATCH(D$1,[2]quests!$1:$1,0)-MATCH($B$1,[2]quests!$1:$1,0)+1,FALSE)</f>
        <v>コラボ降臨4</v>
      </c>
      <c r="E20" s="82">
        <v>3</v>
      </c>
      <c r="F20" s="81" t="str">
        <f ca="1">VLOOKUP($B20&amp;"_"&amp;$E20,OFFSET([2]stages!$A$1,0,0,COUNTA([2]stages!$A:$A),MATCH(F$1,[2]stages!$2:$2,0)-MATCH("temp_stage",[2]stages!$2:$2,0)+1),MATCH(F$1,[2]stages!$2:$2,0)-MATCH("temp_stage",[2]stages!$2:$2,0)+1,FALSE)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20" s="81" t="str">
        <f ca="1">VLOOKUP($B20&amp;"_"&amp;$E20,OFFSET([2]stages!$A$1,0,0,COUNTA([2]stages!$A:$A),MATCH(G$1,[2]stages!$2:$2,0)-MATCH("temp_stage",[2]stages!$2:$2,0)+1),MATCH(G$1,[2]stages!$2:$2,0)-MATCH("temp_stage",[2]stages!$2:$2,0)+1,FALSE)</f>
        <v>コラボ降臨4</v>
      </c>
      <c r="H20" s="83">
        <v>3</v>
      </c>
      <c r="I20" s="88">
        <f t="shared" ref="I20:I36" si="6">ROW()-1</f>
        <v>19</v>
      </c>
      <c r="J20" s="84" t="str">
        <f t="shared" ref="J20:J35" si="7">B20&amp;TEXT(I20,"00")</f>
        <v>4900719</v>
      </c>
      <c r="K20" s="82" t="s">
        <v>196</v>
      </c>
      <c r="L20" s="85" t="s">
        <v>197</v>
      </c>
      <c r="M20" s="109" t="s">
        <v>324</v>
      </c>
      <c r="N20" s="55" t="s">
        <v>198</v>
      </c>
    </row>
    <row r="21" spans="1:14" ht="56" x14ac:dyDescent="0.15">
      <c r="A21" s="79" t="s">
        <v>195</v>
      </c>
      <c r="B21" s="80">
        <f>floors!$C$2</f>
        <v>49007</v>
      </c>
      <c r="C21" s="81" t="str">
        <f ca="1">VLOOKUP($B21,OFFSET([2]quests!$A$1,0,0,COUNTA([2]quests!$A:$A),MATCH(C$1,[2]quests!$1:$1,0)-MATCH($B$1,[2]quests!$1:$1,0)+1),MATCH(C$1,[2]quests!$1:$1,0)-MATCH($B$1,[2]quests!$1:$1,0)+1,FALSE)</f>
        <v>アザゼル（台）</v>
      </c>
      <c r="D21" s="81" t="str">
        <f ca="1">VLOOKUP($B21,OFFSET([2]quests!$A$1,0,0,COUNTA([2]quests!$A:$A),MATCH(D$1,[2]quests!$1:$1,0)-MATCH($B$1,[2]quests!$1:$1,0)+1),MATCH(D$1,[2]quests!$1:$1,0)-MATCH($B$1,[2]quests!$1:$1,0)+1,FALSE)</f>
        <v>コラボ降臨4</v>
      </c>
      <c r="E21" s="82">
        <v>3</v>
      </c>
      <c r="F21" s="81" t="str">
        <f ca="1">VLOOKUP($B21&amp;"_"&amp;$E21,OFFSET([2]stages!$A$1,0,0,COUNTA([2]stages!$A:$A),MATCH(F$1,[2]stages!$2:$2,0)-MATCH("temp_stage",[2]stages!$2:$2,0)+1),MATCH(F$1,[2]stages!$2:$2,0)-MATCH("temp_stage",[2]stages!$2:$2,0)+1,FALSE)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21" s="81" t="str">
        <f ca="1">VLOOKUP($B21&amp;"_"&amp;$E21,OFFSET([2]stages!$A$1,0,0,COUNTA([2]stages!$A:$A),MATCH(G$1,[2]stages!$2:$2,0)-MATCH("temp_stage",[2]stages!$2:$2,0)+1),MATCH(G$1,[2]stages!$2:$2,0)-MATCH("temp_stage",[2]stages!$2:$2,0)+1,FALSE)</f>
        <v>コラボ降臨4</v>
      </c>
      <c r="H21" s="83">
        <v>3</v>
      </c>
      <c r="I21" s="88">
        <f t="shared" si="6"/>
        <v>20</v>
      </c>
      <c r="J21" s="84" t="str">
        <f>B21&amp;TEXT(I21,"00")</f>
        <v>4900720</v>
      </c>
      <c r="K21" s="82" t="s">
        <v>196</v>
      </c>
      <c r="L21" s="85" t="s">
        <v>197</v>
      </c>
      <c r="M21" s="109" t="s">
        <v>325</v>
      </c>
      <c r="N21" s="55" t="s">
        <v>198</v>
      </c>
    </row>
    <row r="22" spans="1:14" ht="56" x14ac:dyDescent="0.15">
      <c r="A22" s="79" t="s">
        <v>195</v>
      </c>
      <c r="B22" s="80">
        <f>floors!$C$2</f>
        <v>49007</v>
      </c>
      <c r="C22" s="81" t="str">
        <f ca="1">VLOOKUP($B22,OFFSET([2]quests!$A$1,0,0,COUNTA([2]quests!$A:$A),MATCH(C$1,[2]quests!$1:$1,0)-MATCH($B$1,[2]quests!$1:$1,0)+1),MATCH(C$1,[2]quests!$1:$1,0)-MATCH($B$1,[2]quests!$1:$1,0)+1,FALSE)</f>
        <v>アザゼル（台）</v>
      </c>
      <c r="D22" s="81" t="str">
        <f ca="1">VLOOKUP($B22,OFFSET([2]quests!$A$1,0,0,COUNTA([2]quests!$A:$A),MATCH(D$1,[2]quests!$1:$1,0)-MATCH($B$1,[2]quests!$1:$1,0)+1),MATCH(D$1,[2]quests!$1:$1,0)-MATCH($B$1,[2]quests!$1:$1,0)+1,FALSE)</f>
        <v>コラボ降臨4</v>
      </c>
      <c r="E22" s="82">
        <v>3</v>
      </c>
      <c r="F22" s="81" t="str">
        <f ca="1">VLOOKUP($B22&amp;"_"&amp;$E22,OFFSET([2]stages!$A$1,0,0,COUNTA([2]stages!$A:$A),MATCH(F$1,[2]stages!$2:$2,0)-MATCH("temp_stage",[2]stages!$2:$2,0)+1),MATCH(F$1,[2]stages!$2:$2,0)-MATCH("temp_stage",[2]stages!$2:$2,0)+1,FALSE)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22" s="81" t="str">
        <f ca="1">VLOOKUP($B22&amp;"_"&amp;$E22,OFFSET([2]stages!$A$1,0,0,COUNTA([2]stages!$A:$A),MATCH(G$1,[2]stages!$2:$2,0)-MATCH("temp_stage",[2]stages!$2:$2,0)+1),MATCH(G$1,[2]stages!$2:$2,0)-MATCH("temp_stage",[2]stages!$2:$2,0)+1,FALSE)</f>
        <v>コラボ降臨4</v>
      </c>
      <c r="H22" s="83">
        <v>3</v>
      </c>
      <c r="I22" s="88">
        <f t="shared" si="6"/>
        <v>21</v>
      </c>
      <c r="J22" s="84" t="str">
        <f>B22&amp;TEXT(I22,"00")</f>
        <v>4900721</v>
      </c>
      <c r="K22" s="82" t="s">
        <v>196</v>
      </c>
      <c r="L22" s="85" t="s">
        <v>197</v>
      </c>
      <c r="M22" s="109" t="s">
        <v>326</v>
      </c>
      <c r="N22" s="55" t="s">
        <v>198</v>
      </c>
    </row>
    <row r="23" spans="1:14" ht="42" x14ac:dyDescent="0.15">
      <c r="A23" s="79" t="s">
        <v>354</v>
      </c>
      <c r="B23" s="80">
        <f>floors!$C$2</f>
        <v>49007</v>
      </c>
      <c r="C23" s="81" t="str">
        <f ca="1">VLOOKUP($B23,OFFSET([2]quests!$A$1,0,0,COUNTA([2]quests!$A:$A),MATCH(C$1,[2]quests!$1:$1,0)-MATCH($B$1,[2]quests!$1:$1,0)+1),MATCH(C$1,[2]quests!$1:$1,0)-MATCH($B$1,[2]quests!$1:$1,0)+1,FALSE)</f>
        <v>アザゼル（台）</v>
      </c>
      <c r="D23" s="81" t="str">
        <f ca="1">VLOOKUP($B23,OFFSET([2]quests!$A$1,0,0,COUNTA([2]quests!$A:$A),MATCH(D$1,[2]quests!$1:$1,0)-MATCH($B$1,[2]quests!$1:$1,0)+1),MATCH(D$1,[2]quests!$1:$1,0)-MATCH($B$1,[2]quests!$1:$1,0)+1,FALSE)</f>
        <v>コラボ降臨4</v>
      </c>
      <c r="E23" s="82">
        <v>1</v>
      </c>
      <c r="F23" s="81" t="str">
        <f ca="1">VLOOKUP($B23&amp;"_"&amp;$E23,OFFSET([2]stages!$A$1,0,0,COUNTA([2]stages!$A:$A),MATCH(F$1,[2]stages!$2:$2,0)-MATCH("temp_stage",[2]stages!$2:$2,0)+1),MATCH(F$1,[2]stages!$2:$2,0)-MATCH("temp_stage",[2]stages!$2:$2,0)+1,FALSE)</f>
        <v>【超絶】アザゼル（台）</v>
      </c>
      <c r="G23" s="81" t="str">
        <f ca="1">VLOOKUP($B23&amp;"_"&amp;$E23,OFFSET([2]stages!$A$1,0,0,COUNTA([2]stages!$A:$A),MATCH(G$1,[2]stages!$2:$2,0)-MATCH("temp_stage",[2]stages!$2:$2,0)+1),MATCH(G$1,[2]stages!$2:$2,0)-MATCH("temp_stage",[2]stages!$2:$2,0)+1,FALSE)</f>
        <v>コラボ降臨4</v>
      </c>
      <c r="H23" s="83">
        <v>0</v>
      </c>
      <c r="I23" s="88">
        <f t="shared" si="6"/>
        <v>22</v>
      </c>
      <c r="J23" s="84" t="str">
        <f>B23&amp;TEXT(I23,"00")</f>
        <v>4900722</v>
      </c>
      <c r="K23" s="82" t="s">
        <v>125</v>
      </c>
      <c r="L23" s="85" t="s">
        <v>356</v>
      </c>
      <c r="M23" s="109" t="s">
        <v>355</v>
      </c>
      <c r="N23" s="55" t="s">
        <v>198</v>
      </c>
    </row>
    <row r="24" spans="1:14" ht="42" x14ac:dyDescent="0.15">
      <c r="A24" s="79" t="s">
        <v>354</v>
      </c>
      <c r="B24" s="80">
        <f>floors!$C$2</f>
        <v>49007</v>
      </c>
      <c r="C24" s="81" t="str">
        <f ca="1">VLOOKUP($B24,OFFSET([2]quests!$A$1,0,0,COUNTA([2]quests!$A:$A),MATCH(C$1,[2]quests!$1:$1,0)-MATCH($B$1,[2]quests!$1:$1,0)+1),MATCH(C$1,[2]quests!$1:$1,0)-MATCH($B$1,[2]quests!$1:$1,0)+1,FALSE)</f>
        <v>アザゼル（台）</v>
      </c>
      <c r="D24" s="81" t="str">
        <f ca="1">VLOOKUP($B24,OFFSET([2]quests!$A$1,0,0,COUNTA([2]quests!$A:$A),MATCH(D$1,[2]quests!$1:$1,0)-MATCH($B$1,[2]quests!$1:$1,0)+1),MATCH(D$1,[2]quests!$1:$1,0)-MATCH($B$1,[2]quests!$1:$1,0)+1,FALSE)</f>
        <v>コラボ降臨4</v>
      </c>
      <c r="E24" s="82">
        <v>1</v>
      </c>
      <c r="F24" s="81" t="str">
        <f ca="1">VLOOKUP($B24&amp;"_"&amp;$E24,OFFSET([2]stages!$A$1,0,0,COUNTA([2]stages!$A:$A),MATCH(F$1,[2]stages!$2:$2,0)-MATCH("temp_stage",[2]stages!$2:$2,0)+1),MATCH(F$1,[2]stages!$2:$2,0)-MATCH("temp_stage",[2]stages!$2:$2,0)+1,FALSE)</f>
        <v>【超絶】アザゼル（台）</v>
      </c>
      <c r="G24" s="81" t="str">
        <f ca="1">VLOOKUP($B24&amp;"_"&amp;$E24,OFFSET([2]stages!$A$1,0,0,COUNTA([2]stages!$A:$A),MATCH(G$1,[2]stages!$2:$2,0)-MATCH("temp_stage",[2]stages!$2:$2,0)+1),MATCH(G$1,[2]stages!$2:$2,0)-MATCH("temp_stage",[2]stages!$2:$2,0)+1,FALSE)</f>
        <v>コラボ降臨4</v>
      </c>
      <c r="H24" s="83">
        <v>0</v>
      </c>
      <c r="I24" s="88">
        <f t="shared" si="6"/>
        <v>23</v>
      </c>
      <c r="J24" s="84" t="str">
        <f>B24&amp;TEXT(I24,"00")</f>
        <v>4900723</v>
      </c>
      <c r="K24" s="82" t="s">
        <v>125</v>
      </c>
      <c r="L24" s="85" t="s">
        <v>358</v>
      </c>
      <c r="M24" s="109" t="s">
        <v>357</v>
      </c>
      <c r="N24" s="55" t="s">
        <v>198</v>
      </c>
    </row>
    <row r="25" spans="1:14" ht="42" x14ac:dyDescent="0.15">
      <c r="A25" s="79" t="s">
        <v>354</v>
      </c>
      <c r="B25" s="80">
        <f>floors!$C$2</f>
        <v>49007</v>
      </c>
      <c r="C25" s="81" t="str">
        <f ca="1">VLOOKUP($B25,OFFSET([2]quests!$A$1,0,0,COUNTA([2]quests!$A:$A),MATCH(C$1,[2]quests!$1:$1,0)-MATCH($B$1,[2]quests!$1:$1,0)+1),MATCH(C$1,[2]quests!$1:$1,0)-MATCH($B$1,[2]quests!$1:$1,0)+1,FALSE)</f>
        <v>アザゼル（台）</v>
      </c>
      <c r="D25" s="81" t="str">
        <f ca="1">VLOOKUP($B25,OFFSET([2]quests!$A$1,0,0,COUNTA([2]quests!$A:$A),MATCH(D$1,[2]quests!$1:$1,0)-MATCH($B$1,[2]quests!$1:$1,0)+1),MATCH(D$1,[2]quests!$1:$1,0)-MATCH($B$1,[2]quests!$1:$1,0)+1,FALSE)</f>
        <v>コラボ降臨4</v>
      </c>
      <c r="E25" s="82">
        <v>1</v>
      </c>
      <c r="F25" s="81" t="str">
        <f ca="1">VLOOKUP($B25&amp;"_"&amp;$E25,OFFSET([2]stages!$A$1,0,0,COUNTA([2]stages!$A:$A),MATCH(F$1,[2]stages!$2:$2,0)-MATCH("temp_stage",[2]stages!$2:$2,0)+1),MATCH(F$1,[2]stages!$2:$2,0)-MATCH("temp_stage",[2]stages!$2:$2,0)+1,FALSE)</f>
        <v>【超絶】アザゼル（台）</v>
      </c>
      <c r="G25" s="81" t="str">
        <f ca="1">VLOOKUP($B25&amp;"_"&amp;$E25,OFFSET([2]stages!$A$1,0,0,COUNTA([2]stages!$A:$A),MATCH(G$1,[2]stages!$2:$2,0)-MATCH("temp_stage",[2]stages!$2:$2,0)+1),MATCH(G$1,[2]stages!$2:$2,0)-MATCH("temp_stage",[2]stages!$2:$2,0)+1,FALSE)</f>
        <v>コラボ降臨4</v>
      </c>
      <c r="H25" s="83">
        <v>0</v>
      </c>
      <c r="I25" s="88">
        <f t="shared" si="6"/>
        <v>24</v>
      </c>
      <c r="J25" s="84" t="str">
        <f t="shared" si="7"/>
        <v>4900724</v>
      </c>
      <c r="K25" s="82" t="s">
        <v>125</v>
      </c>
      <c r="L25" s="85" t="s">
        <v>360</v>
      </c>
      <c r="M25" s="109" t="s">
        <v>359</v>
      </c>
      <c r="N25" s="55" t="s">
        <v>198</v>
      </c>
    </row>
    <row r="26" spans="1:14" ht="42" x14ac:dyDescent="0.15">
      <c r="A26" s="79" t="s">
        <v>354</v>
      </c>
      <c r="B26" s="80">
        <f>floors!$C$2</f>
        <v>49007</v>
      </c>
      <c r="C26" s="81" t="str">
        <f ca="1">VLOOKUP($B26,OFFSET([2]quests!$A$1,0,0,COUNTA([2]quests!$A:$A),MATCH(C$1,[2]quests!$1:$1,0)-MATCH($B$1,[2]quests!$1:$1,0)+1),MATCH(C$1,[2]quests!$1:$1,0)-MATCH($B$1,[2]quests!$1:$1,0)+1,FALSE)</f>
        <v>アザゼル（台）</v>
      </c>
      <c r="D26" s="81" t="str">
        <f ca="1">VLOOKUP($B26,OFFSET([2]quests!$A$1,0,0,COUNTA([2]quests!$A:$A),MATCH(D$1,[2]quests!$1:$1,0)-MATCH($B$1,[2]quests!$1:$1,0)+1),MATCH(D$1,[2]quests!$1:$1,0)-MATCH($B$1,[2]quests!$1:$1,0)+1,FALSE)</f>
        <v>コラボ降臨4</v>
      </c>
      <c r="E26" s="82">
        <v>1</v>
      </c>
      <c r="F26" s="81" t="str">
        <f ca="1">VLOOKUP($B26&amp;"_"&amp;$E26,OFFSET([2]stages!$A$1,0,0,COUNTA([2]stages!$A:$A),MATCH(F$1,[2]stages!$2:$2,0)-MATCH("temp_stage",[2]stages!$2:$2,0)+1),MATCH(F$1,[2]stages!$2:$2,0)-MATCH("temp_stage",[2]stages!$2:$2,0)+1,FALSE)</f>
        <v>【超絶】アザゼル（台）</v>
      </c>
      <c r="G26" s="81" t="str">
        <f ca="1">VLOOKUP($B26&amp;"_"&amp;$E26,OFFSET([2]stages!$A$1,0,0,COUNTA([2]stages!$A:$A),MATCH(G$1,[2]stages!$2:$2,0)-MATCH("temp_stage",[2]stages!$2:$2,0)+1),MATCH(G$1,[2]stages!$2:$2,0)-MATCH("temp_stage",[2]stages!$2:$2,0)+1,FALSE)</f>
        <v>コラボ降臨4</v>
      </c>
      <c r="H26" s="83">
        <v>0</v>
      </c>
      <c r="I26" s="88">
        <f t="shared" si="6"/>
        <v>25</v>
      </c>
      <c r="J26" s="84" t="str">
        <f>B26&amp;TEXT(I26,"00")</f>
        <v>4900725</v>
      </c>
      <c r="K26" s="82" t="s">
        <v>125</v>
      </c>
      <c r="L26" s="85" t="s">
        <v>379</v>
      </c>
      <c r="M26" s="109" t="s">
        <v>380</v>
      </c>
      <c r="N26" s="55" t="s">
        <v>198</v>
      </c>
    </row>
    <row r="27" spans="1:14" ht="42" x14ac:dyDescent="0.15">
      <c r="A27" s="79" t="s">
        <v>354</v>
      </c>
      <c r="B27" s="80">
        <f>floors!$C$2</f>
        <v>49007</v>
      </c>
      <c r="C27" s="81" t="str">
        <f ca="1">VLOOKUP($B27,OFFSET([2]quests!$A$1,0,0,COUNTA([2]quests!$A:$A),MATCH(C$1,[2]quests!$1:$1,0)-MATCH($B$1,[2]quests!$1:$1,0)+1),MATCH(C$1,[2]quests!$1:$1,0)-MATCH($B$1,[2]quests!$1:$1,0)+1,FALSE)</f>
        <v>アザゼル（台）</v>
      </c>
      <c r="D27" s="81" t="str">
        <f ca="1">VLOOKUP($B27,OFFSET([2]quests!$A$1,0,0,COUNTA([2]quests!$A:$A),MATCH(D$1,[2]quests!$1:$1,0)-MATCH($B$1,[2]quests!$1:$1,0)+1),MATCH(D$1,[2]quests!$1:$1,0)-MATCH($B$1,[2]quests!$1:$1,0)+1,FALSE)</f>
        <v>コラボ降臨4</v>
      </c>
      <c r="E27" s="82">
        <v>1</v>
      </c>
      <c r="F27" s="81" t="str">
        <f ca="1">VLOOKUP($B27&amp;"_"&amp;$E27,OFFSET([2]stages!$A$1,0,0,COUNTA([2]stages!$A:$A),MATCH(F$1,[2]stages!$2:$2,0)-MATCH("temp_stage",[2]stages!$2:$2,0)+1),MATCH(F$1,[2]stages!$2:$2,0)-MATCH("temp_stage",[2]stages!$2:$2,0)+1,FALSE)</f>
        <v>【超絶】アザゼル（台）</v>
      </c>
      <c r="G27" s="81" t="str">
        <f ca="1">VLOOKUP($B27&amp;"_"&amp;$E27,OFFSET([2]stages!$A$1,0,0,COUNTA([2]stages!$A:$A),MATCH(G$1,[2]stages!$2:$2,0)-MATCH("temp_stage",[2]stages!$2:$2,0)+1),MATCH(G$1,[2]stages!$2:$2,0)-MATCH("temp_stage",[2]stages!$2:$2,0)+1,FALSE)</f>
        <v>コラボ降臨4</v>
      </c>
      <c r="H27" s="83">
        <v>0</v>
      </c>
      <c r="I27" s="88">
        <f t="shared" si="6"/>
        <v>26</v>
      </c>
      <c r="J27" s="84" t="str">
        <f>B27&amp;TEXT(I27,"00")</f>
        <v>4900726</v>
      </c>
      <c r="K27" s="82" t="s">
        <v>125</v>
      </c>
      <c r="L27" s="85" t="s">
        <v>358</v>
      </c>
      <c r="M27" s="109" t="s">
        <v>381</v>
      </c>
      <c r="N27" s="55" t="s">
        <v>198</v>
      </c>
    </row>
    <row r="28" spans="1:14" ht="42" x14ac:dyDescent="0.15">
      <c r="A28" s="79" t="s">
        <v>354</v>
      </c>
      <c r="B28" s="80">
        <f>floors!$C$2</f>
        <v>49007</v>
      </c>
      <c r="C28" s="81" t="str">
        <f ca="1">VLOOKUP($B28,OFFSET([2]quests!$A$1,0,0,COUNTA([2]quests!$A:$A),MATCH(C$1,[2]quests!$1:$1,0)-MATCH($B$1,[2]quests!$1:$1,0)+1),MATCH(C$1,[2]quests!$1:$1,0)-MATCH($B$1,[2]quests!$1:$1,0)+1,FALSE)</f>
        <v>アザゼル（台）</v>
      </c>
      <c r="D28" s="81" t="str">
        <f ca="1">VLOOKUP($B28,OFFSET([2]quests!$A$1,0,0,COUNTA([2]quests!$A:$A),MATCH(D$1,[2]quests!$1:$1,0)-MATCH($B$1,[2]quests!$1:$1,0)+1),MATCH(D$1,[2]quests!$1:$1,0)-MATCH($B$1,[2]quests!$1:$1,0)+1,FALSE)</f>
        <v>コラボ降臨4</v>
      </c>
      <c r="E28" s="82">
        <v>2</v>
      </c>
      <c r="F28" s="81" t="str">
        <f ca="1">VLOOKUP($B28&amp;"_"&amp;$E28,OFFSET([2]stages!$A$1,0,0,COUNTA([2]stages!$A:$A),MATCH(F$1,[2]stages!$2:$2,0)-MATCH("temp_stage",[2]stages!$2:$2,0)+1),MATCH(F$1,[2]stages!$2:$2,0)-MATCH("temp_stage",[2]stages!$2:$2,0)+1,FALSE)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28" s="81" t="str">
        <f ca="1">VLOOKUP($B28&amp;"_"&amp;$E28,OFFSET([2]stages!$A$1,0,0,COUNTA([2]stages!$A:$A),MATCH(G$1,[2]stages!$2:$2,0)-MATCH("temp_stage",[2]stages!$2:$2,0)+1),MATCH(G$1,[2]stages!$2:$2,0)-MATCH("temp_stage",[2]stages!$2:$2,0)+1,FALSE)</f>
        <v>コラボ降臨4</v>
      </c>
      <c r="H28" s="83">
        <v>0</v>
      </c>
      <c r="I28" s="88">
        <f t="shared" si="6"/>
        <v>27</v>
      </c>
      <c r="J28" s="84" t="str">
        <f>B28&amp;TEXT(I28,"00")</f>
        <v>4900727</v>
      </c>
      <c r="K28" s="82" t="s">
        <v>125</v>
      </c>
      <c r="L28" s="85" t="s">
        <v>356</v>
      </c>
      <c r="M28" s="109" t="s">
        <v>355</v>
      </c>
      <c r="N28" s="55" t="s">
        <v>198</v>
      </c>
    </row>
    <row r="29" spans="1:14" ht="42" x14ac:dyDescent="0.15">
      <c r="A29" s="79" t="s">
        <v>354</v>
      </c>
      <c r="B29" s="80">
        <f>floors!$C$2</f>
        <v>49007</v>
      </c>
      <c r="C29" s="81" t="str">
        <f ca="1">VLOOKUP($B29,OFFSET([2]quests!$A$1,0,0,COUNTA([2]quests!$A:$A),MATCH(C$1,[2]quests!$1:$1,0)-MATCH($B$1,[2]quests!$1:$1,0)+1),MATCH(C$1,[2]quests!$1:$1,0)-MATCH($B$1,[2]quests!$1:$1,0)+1,FALSE)</f>
        <v>アザゼル（台）</v>
      </c>
      <c r="D29" s="81" t="str">
        <f ca="1">VLOOKUP($B29,OFFSET([2]quests!$A$1,0,0,COUNTA([2]quests!$A:$A),MATCH(D$1,[2]quests!$1:$1,0)-MATCH($B$1,[2]quests!$1:$1,0)+1),MATCH(D$1,[2]quests!$1:$1,0)-MATCH($B$1,[2]quests!$1:$1,0)+1,FALSE)</f>
        <v>コラボ降臨4</v>
      </c>
      <c r="E29" s="82">
        <v>2</v>
      </c>
      <c r="F29" s="81" t="str">
        <f ca="1">VLOOKUP($B29&amp;"_"&amp;$E29,OFFSET([2]stages!$A$1,0,0,COUNTA([2]stages!$A:$A),MATCH(F$1,[2]stages!$2:$2,0)-MATCH("temp_stage",[2]stages!$2:$2,0)+1),MATCH(F$1,[2]stages!$2:$2,0)-MATCH("temp_stage",[2]stages!$2:$2,0)+1,FALSE)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29" s="81" t="str">
        <f ca="1">VLOOKUP($B29&amp;"_"&amp;$E29,OFFSET([2]stages!$A$1,0,0,COUNTA([2]stages!$A:$A),MATCH(G$1,[2]stages!$2:$2,0)-MATCH("temp_stage",[2]stages!$2:$2,0)+1),MATCH(G$1,[2]stages!$2:$2,0)-MATCH("temp_stage",[2]stages!$2:$2,0)+1,FALSE)</f>
        <v>コラボ降臨4</v>
      </c>
      <c r="H29" s="83">
        <v>0</v>
      </c>
      <c r="I29" s="88">
        <f t="shared" si="6"/>
        <v>28</v>
      </c>
      <c r="J29" s="84" t="str">
        <f t="shared" si="7"/>
        <v>4900728</v>
      </c>
      <c r="K29" s="82" t="s">
        <v>125</v>
      </c>
      <c r="L29" s="85" t="s">
        <v>358</v>
      </c>
      <c r="M29" s="109" t="s">
        <v>357</v>
      </c>
      <c r="N29" s="55" t="s">
        <v>198</v>
      </c>
    </row>
    <row r="30" spans="1:14" ht="42" x14ac:dyDescent="0.15">
      <c r="A30" s="79" t="s">
        <v>354</v>
      </c>
      <c r="B30" s="80">
        <f>floors!$C$2</f>
        <v>49007</v>
      </c>
      <c r="C30" s="81" t="str">
        <f ca="1">VLOOKUP($B30,OFFSET([2]quests!$A$1,0,0,COUNTA([2]quests!$A:$A),MATCH(C$1,[2]quests!$1:$1,0)-MATCH($B$1,[2]quests!$1:$1,0)+1),MATCH(C$1,[2]quests!$1:$1,0)-MATCH($B$1,[2]quests!$1:$1,0)+1,FALSE)</f>
        <v>アザゼル（台）</v>
      </c>
      <c r="D30" s="81" t="str">
        <f ca="1">VLOOKUP($B30,OFFSET([2]quests!$A$1,0,0,COUNTA([2]quests!$A:$A),MATCH(D$1,[2]quests!$1:$1,0)-MATCH($B$1,[2]quests!$1:$1,0)+1),MATCH(D$1,[2]quests!$1:$1,0)-MATCH($B$1,[2]quests!$1:$1,0)+1,FALSE)</f>
        <v>コラボ降臨4</v>
      </c>
      <c r="E30" s="82">
        <v>2</v>
      </c>
      <c r="F30" s="81" t="str">
        <f ca="1">VLOOKUP($B30&amp;"_"&amp;$E30,OFFSET([2]stages!$A$1,0,0,COUNTA([2]stages!$A:$A),MATCH(F$1,[2]stages!$2:$2,0)-MATCH("temp_stage",[2]stages!$2:$2,0)+1),MATCH(F$1,[2]stages!$2:$2,0)-MATCH("temp_stage",[2]stages!$2:$2,0)+1,FALSE)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30" s="81" t="str">
        <f ca="1">VLOOKUP($B30&amp;"_"&amp;$E30,OFFSET([2]stages!$A$1,0,0,COUNTA([2]stages!$A:$A),MATCH(G$1,[2]stages!$2:$2,0)-MATCH("temp_stage",[2]stages!$2:$2,0)+1),MATCH(G$1,[2]stages!$2:$2,0)-MATCH("temp_stage",[2]stages!$2:$2,0)+1,FALSE)</f>
        <v>コラボ降臨4</v>
      </c>
      <c r="H30" s="83">
        <v>0</v>
      </c>
      <c r="I30" s="88">
        <f t="shared" si="6"/>
        <v>29</v>
      </c>
      <c r="J30" s="84" t="str">
        <f t="shared" si="7"/>
        <v>4900729</v>
      </c>
      <c r="K30" s="82" t="s">
        <v>125</v>
      </c>
      <c r="L30" s="85" t="s">
        <v>360</v>
      </c>
      <c r="M30" s="109" t="s">
        <v>359</v>
      </c>
      <c r="N30" s="55" t="s">
        <v>198</v>
      </c>
    </row>
    <row r="31" spans="1:14" ht="42" x14ac:dyDescent="0.15">
      <c r="A31" s="79" t="s">
        <v>354</v>
      </c>
      <c r="B31" s="80">
        <f>floors!$C$2</f>
        <v>49007</v>
      </c>
      <c r="C31" s="81" t="str">
        <f ca="1">VLOOKUP($B31,OFFSET([2]quests!$A$1,0,0,COUNTA([2]quests!$A:$A),MATCH(C$1,[2]quests!$1:$1,0)-MATCH($B$1,[2]quests!$1:$1,0)+1),MATCH(C$1,[2]quests!$1:$1,0)-MATCH($B$1,[2]quests!$1:$1,0)+1,FALSE)</f>
        <v>アザゼル（台）</v>
      </c>
      <c r="D31" s="81" t="str">
        <f ca="1">VLOOKUP($B31,OFFSET([2]quests!$A$1,0,0,COUNTA([2]quests!$A:$A),MATCH(D$1,[2]quests!$1:$1,0)-MATCH($B$1,[2]quests!$1:$1,0)+1),MATCH(D$1,[2]quests!$1:$1,0)-MATCH($B$1,[2]quests!$1:$1,0)+1,FALSE)</f>
        <v>コラボ降臨4</v>
      </c>
      <c r="E31" s="82">
        <v>2</v>
      </c>
      <c r="F31" s="81" t="str">
        <f ca="1">VLOOKUP($B31&amp;"_"&amp;$E31,OFFSET([2]stages!$A$1,0,0,COUNTA([2]stages!$A:$A),MATCH(F$1,[2]stages!$2:$2,0)-MATCH("temp_stage",[2]stages!$2:$2,0)+1),MATCH(F$1,[2]stages!$2:$2,0)-MATCH("temp_stage",[2]stages!$2:$2,0)+1,FALSE)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31" s="81" t="str">
        <f ca="1">VLOOKUP($B31&amp;"_"&amp;$E31,OFFSET([2]stages!$A$1,0,0,COUNTA([2]stages!$A:$A),MATCH(G$1,[2]stages!$2:$2,0)-MATCH("temp_stage",[2]stages!$2:$2,0)+1),MATCH(G$1,[2]stages!$2:$2,0)-MATCH("temp_stage",[2]stages!$2:$2,0)+1,FALSE)</f>
        <v>コラボ降臨4</v>
      </c>
      <c r="H31" s="83">
        <v>0</v>
      </c>
      <c r="I31" s="88">
        <f t="shared" si="6"/>
        <v>30</v>
      </c>
      <c r="J31" s="84" t="str">
        <f t="shared" si="7"/>
        <v>4900730</v>
      </c>
      <c r="K31" s="82" t="s">
        <v>125</v>
      </c>
      <c r="L31" s="85" t="s">
        <v>379</v>
      </c>
      <c r="M31" s="109" t="s">
        <v>380</v>
      </c>
      <c r="N31" s="55" t="s">
        <v>198</v>
      </c>
    </row>
    <row r="32" spans="1:14" ht="42" x14ac:dyDescent="0.15">
      <c r="A32" s="79" t="s">
        <v>354</v>
      </c>
      <c r="B32" s="80">
        <f>floors!$C$2</f>
        <v>49007</v>
      </c>
      <c r="C32" s="81" t="str">
        <f ca="1">VLOOKUP($B32,OFFSET([2]quests!$A$1,0,0,COUNTA([2]quests!$A:$A),MATCH(C$1,[2]quests!$1:$1,0)-MATCH($B$1,[2]quests!$1:$1,0)+1),MATCH(C$1,[2]quests!$1:$1,0)-MATCH($B$1,[2]quests!$1:$1,0)+1,FALSE)</f>
        <v>アザゼル（台）</v>
      </c>
      <c r="D32" s="81" t="str">
        <f ca="1">VLOOKUP($B32,OFFSET([2]quests!$A$1,0,0,COUNTA([2]quests!$A:$A),MATCH(D$1,[2]quests!$1:$1,0)-MATCH($B$1,[2]quests!$1:$1,0)+1),MATCH(D$1,[2]quests!$1:$1,0)-MATCH($B$1,[2]quests!$1:$1,0)+1,FALSE)</f>
        <v>コラボ降臨4</v>
      </c>
      <c r="E32" s="82">
        <v>2</v>
      </c>
      <c r="F32" s="81" t="str">
        <f ca="1">VLOOKUP($B32&amp;"_"&amp;$E32,OFFSET([2]stages!$A$1,0,0,COUNTA([2]stages!$A:$A),MATCH(F$1,[2]stages!$2:$2,0)-MATCH("temp_stage",[2]stages!$2:$2,0)+1),MATCH(F$1,[2]stages!$2:$2,0)-MATCH("temp_stage",[2]stages!$2:$2,0)+1,FALSE)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32" s="81" t="str">
        <f ca="1">VLOOKUP($B32&amp;"_"&amp;$E32,OFFSET([2]stages!$A$1,0,0,COUNTA([2]stages!$A:$A),MATCH(G$1,[2]stages!$2:$2,0)-MATCH("temp_stage",[2]stages!$2:$2,0)+1),MATCH(G$1,[2]stages!$2:$2,0)-MATCH("temp_stage",[2]stages!$2:$2,0)+1,FALSE)</f>
        <v>コラボ降臨4</v>
      </c>
      <c r="H32" s="83">
        <v>0</v>
      </c>
      <c r="I32" s="88">
        <f t="shared" si="6"/>
        <v>31</v>
      </c>
      <c r="J32" s="84" t="str">
        <f>B32&amp;TEXT(I32,"00")</f>
        <v>4900731</v>
      </c>
      <c r="K32" s="82" t="s">
        <v>125</v>
      </c>
      <c r="L32" s="85" t="s">
        <v>358</v>
      </c>
      <c r="M32" s="109" t="s">
        <v>381</v>
      </c>
      <c r="N32" s="55" t="s">
        <v>198</v>
      </c>
    </row>
    <row r="33" spans="1:14" ht="42" x14ac:dyDescent="0.15">
      <c r="A33" s="79" t="s">
        <v>354</v>
      </c>
      <c r="B33" s="80">
        <f>floors!$C$2</f>
        <v>49007</v>
      </c>
      <c r="C33" s="81" t="str">
        <f ca="1">VLOOKUP($B33,OFFSET([2]quests!$A$1,0,0,COUNTA([2]quests!$A:$A),MATCH(C$1,[2]quests!$1:$1,0)-MATCH($B$1,[2]quests!$1:$1,0)+1),MATCH(C$1,[2]quests!$1:$1,0)-MATCH($B$1,[2]quests!$1:$1,0)+1,FALSE)</f>
        <v>アザゼル（台）</v>
      </c>
      <c r="D33" s="81" t="str">
        <f ca="1">VLOOKUP($B33,OFFSET([2]quests!$A$1,0,0,COUNTA([2]quests!$A:$A),MATCH(D$1,[2]quests!$1:$1,0)-MATCH($B$1,[2]quests!$1:$1,0)+1),MATCH(D$1,[2]quests!$1:$1,0)-MATCH($B$1,[2]quests!$1:$1,0)+1,FALSE)</f>
        <v>コラボ降臨4</v>
      </c>
      <c r="E33" s="82">
        <v>3</v>
      </c>
      <c r="F33" s="81" t="str">
        <f ca="1">VLOOKUP($B33&amp;"_"&amp;$E33,OFFSET([2]stages!$A$1,0,0,COUNTA([2]stages!$A:$A),MATCH(F$1,[2]stages!$2:$2,0)-MATCH("temp_stage",[2]stages!$2:$2,0)+1),MATCH(F$1,[2]stages!$2:$2,0)-MATCH("temp_stage",[2]stages!$2:$2,0)+1,FALSE)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33" s="81" t="str">
        <f ca="1">VLOOKUP($B33&amp;"_"&amp;$E33,OFFSET([2]stages!$A$1,0,0,COUNTA([2]stages!$A:$A),MATCH(G$1,[2]stages!$2:$2,0)-MATCH("temp_stage",[2]stages!$2:$2,0)+1),MATCH(G$1,[2]stages!$2:$2,0)-MATCH("temp_stage",[2]stages!$2:$2,0)+1,FALSE)</f>
        <v>コラボ降臨4</v>
      </c>
      <c r="H33" s="83">
        <v>0</v>
      </c>
      <c r="I33" s="88">
        <f t="shared" si="6"/>
        <v>32</v>
      </c>
      <c r="J33" s="84" t="str">
        <f t="shared" si="7"/>
        <v>4900732</v>
      </c>
      <c r="K33" s="82" t="s">
        <v>125</v>
      </c>
      <c r="L33" s="85" t="s">
        <v>356</v>
      </c>
      <c r="M33" s="109" t="s">
        <v>355</v>
      </c>
      <c r="N33" s="55" t="s">
        <v>198</v>
      </c>
    </row>
    <row r="34" spans="1:14" ht="42" x14ac:dyDescent="0.15">
      <c r="A34" s="79" t="s">
        <v>354</v>
      </c>
      <c r="B34" s="80">
        <f>floors!$C$2</f>
        <v>49007</v>
      </c>
      <c r="C34" s="81" t="str">
        <f ca="1">VLOOKUP($B34,OFFSET([2]quests!$A$1,0,0,COUNTA([2]quests!$A:$A),MATCH(C$1,[2]quests!$1:$1,0)-MATCH($B$1,[2]quests!$1:$1,0)+1),MATCH(C$1,[2]quests!$1:$1,0)-MATCH($B$1,[2]quests!$1:$1,0)+1,FALSE)</f>
        <v>アザゼル（台）</v>
      </c>
      <c r="D34" s="81" t="str">
        <f ca="1">VLOOKUP($B34,OFFSET([2]quests!$A$1,0,0,COUNTA([2]quests!$A:$A),MATCH(D$1,[2]quests!$1:$1,0)-MATCH($B$1,[2]quests!$1:$1,0)+1),MATCH(D$1,[2]quests!$1:$1,0)-MATCH($B$1,[2]quests!$1:$1,0)+1,FALSE)</f>
        <v>コラボ降臨4</v>
      </c>
      <c r="E34" s="82">
        <v>3</v>
      </c>
      <c r="F34" s="81" t="str">
        <f ca="1">VLOOKUP($B34&amp;"_"&amp;$E34,OFFSET([2]stages!$A$1,0,0,COUNTA([2]stages!$A:$A),MATCH(F$1,[2]stages!$2:$2,0)-MATCH("temp_stage",[2]stages!$2:$2,0)+1),MATCH(F$1,[2]stages!$2:$2,0)-MATCH("temp_stage",[2]stages!$2:$2,0)+1,FALSE)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34" s="81" t="str">
        <f ca="1">VLOOKUP($B34&amp;"_"&amp;$E34,OFFSET([2]stages!$A$1,0,0,COUNTA([2]stages!$A:$A),MATCH(G$1,[2]stages!$2:$2,0)-MATCH("temp_stage",[2]stages!$2:$2,0)+1),MATCH(G$1,[2]stages!$2:$2,0)-MATCH("temp_stage",[2]stages!$2:$2,0)+1,FALSE)</f>
        <v>コラボ降臨4</v>
      </c>
      <c r="H34" s="83">
        <v>0</v>
      </c>
      <c r="I34" s="88">
        <f t="shared" si="6"/>
        <v>33</v>
      </c>
      <c r="J34" s="84" t="str">
        <f t="shared" si="7"/>
        <v>4900733</v>
      </c>
      <c r="K34" s="82" t="s">
        <v>125</v>
      </c>
      <c r="L34" s="85" t="s">
        <v>358</v>
      </c>
      <c r="M34" s="109" t="s">
        <v>357</v>
      </c>
      <c r="N34" s="55" t="s">
        <v>198</v>
      </c>
    </row>
    <row r="35" spans="1:14" ht="42" x14ac:dyDescent="0.15">
      <c r="A35" s="79" t="s">
        <v>354</v>
      </c>
      <c r="B35" s="80">
        <f>floors!$C$2</f>
        <v>49007</v>
      </c>
      <c r="C35" s="81" t="str">
        <f ca="1">VLOOKUP($B35,OFFSET([2]quests!$A$1,0,0,COUNTA([2]quests!$A:$A),MATCH(C$1,[2]quests!$1:$1,0)-MATCH($B$1,[2]quests!$1:$1,0)+1),MATCH(C$1,[2]quests!$1:$1,0)-MATCH($B$1,[2]quests!$1:$1,0)+1,FALSE)</f>
        <v>アザゼル（台）</v>
      </c>
      <c r="D35" s="81" t="str">
        <f ca="1">VLOOKUP($B35,OFFSET([2]quests!$A$1,0,0,COUNTA([2]quests!$A:$A),MATCH(D$1,[2]quests!$1:$1,0)-MATCH($B$1,[2]quests!$1:$1,0)+1),MATCH(D$1,[2]quests!$1:$1,0)-MATCH($B$1,[2]quests!$1:$1,0)+1,FALSE)</f>
        <v>コラボ降臨4</v>
      </c>
      <c r="E35" s="82">
        <v>3</v>
      </c>
      <c r="F35" s="81" t="str">
        <f ca="1">VLOOKUP($B35&amp;"_"&amp;$E35,OFFSET([2]stages!$A$1,0,0,COUNTA([2]stages!$A:$A),MATCH(F$1,[2]stages!$2:$2,0)-MATCH("temp_stage",[2]stages!$2:$2,0)+1),MATCH(F$1,[2]stages!$2:$2,0)-MATCH("temp_stage",[2]stages!$2:$2,0)+1,FALSE)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35" s="81" t="str">
        <f ca="1">VLOOKUP($B35&amp;"_"&amp;$E35,OFFSET([2]stages!$A$1,0,0,COUNTA([2]stages!$A:$A),MATCH(G$1,[2]stages!$2:$2,0)-MATCH("temp_stage",[2]stages!$2:$2,0)+1),MATCH(G$1,[2]stages!$2:$2,0)-MATCH("temp_stage",[2]stages!$2:$2,0)+1,FALSE)</f>
        <v>コラボ降臨4</v>
      </c>
      <c r="H35" s="83">
        <v>0</v>
      </c>
      <c r="I35" s="88">
        <f t="shared" si="6"/>
        <v>34</v>
      </c>
      <c r="J35" s="84" t="str">
        <f t="shared" si="7"/>
        <v>4900734</v>
      </c>
      <c r="K35" s="82" t="s">
        <v>125</v>
      </c>
      <c r="L35" s="85" t="s">
        <v>360</v>
      </c>
      <c r="M35" s="109" t="s">
        <v>359</v>
      </c>
      <c r="N35" s="55" t="s">
        <v>198</v>
      </c>
    </row>
    <row r="36" spans="1:14" ht="42" x14ac:dyDescent="0.15">
      <c r="A36" s="79" t="s">
        <v>354</v>
      </c>
      <c r="B36" s="80">
        <f>floors!$C$2</f>
        <v>49007</v>
      </c>
      <c r="C36" s="81" t="str">
        <f ca="1">VLOOKUP($B36,OFFSET([2]quests!$A$1,0,0,COUNTA([2]quests!$A:$A),MATCH(C$1,[2]quests!$1:$1,0)-MATCH($B$1,[2]quests!$1:$1,0)+1),MATCH(C$1,[2]quests!$1:$1,0)-MATCH($B$1,[2]quests!$1:$1,0)+1,FALSE)</f>
        <v>アザゼル（台）</v>
      </c>
      <c r="D36" s="81" t="str">
        <f ca="1">VLOOKUP($B36,OFFSET([2]quests!$A$1,0,0,COUNTA([2]quests!$A:$A),MATCH(D$1,[2]quests!$1:$1,0)-MATCH($B$1,[2]quests!$1:$1,0)+1),MATCH(D$1,[2]quests!$1:$1,0)-MATCH($B$1,[2]quests!$1:$1,0)+1,FALSE)</f>
        <v>コラボ降臨4</v>
      </c>
      <c r="E36" s="82">
        <v>3</v>
      </c>
      <c r="F36" s="81" t="str">
        <f ca="1">VLOOKUP($B36&amp;"_"&amp;$E36,OFFSET([2]stages!$A$1,0,0,COUNTA([2]stages!$A:$A),MATCH(F$1,[2]stages!$2:$2,0)-MATCH("temp_stage",[2]stages!$2:$2,0)+1),MATCH(F$1,[2]stages!$2:$2,0)-MATCH("temp_stage",[2]stages!$2:$2,0)+1,FALSE)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36" s="81" t="str">
        <f ca="1">VLOOKUP($B36&amp;"_"&amp;$E36,OFFSET([2]stages!$A$1,0,0,COUNTA([2]stages!$A:$A),MATCH(G$1,[2]stages!$2:$2,0)-MATCH("temp_stage",[2]stages!$2:$2,0)+1),MATCH(G$1,[2]stages!$2:$2,0)-MATCH("temp_stage",[2]stages!$2:$2,0)+1,FALSE)</f>
        <v>コラボ降臨4</v>
      </c>
      <c r="H36" s="83">
        <v>0</v>
      </c>
      <c r="I36" s="88">
        <f t="shared" si="6"/>
        <v>35</v>
      </c>
      <c r="J36" s="84" t="str">
        <f t="shared" ref="J36" si="8">B36&amp;TEXT(I36,"00")</f>
        <v>4900735</v>
      </c>
      <c r="K36" s="82" t="s">
        <v>125</v>
      </c>
      <c r="L36" s="85" t="s">
        <v>379</v>
      </c>
      <c r="M36" s="109" t="s">
        <v>380</v>
      </c>
      <c r="N36" s="55" t="s">
        <v>198</v>
      </c>
    </row>
    <row r="37" spans="1:14" ht="42" x14ac:dyDescent="0.15">
      <c r="A37" s="79" t="s">
        <v>354</v>
      </c>
      <c r="B37" s="80">
        <f>floors!$C$2</f>
        <v>49007</v>
      </c>
      <c r="C37" s="81" t="str">
        <f ca="1">VLOOKUP($B37,OFFSET([2]quests!$A$1,0,0,COUNTA([2]quests!$A:$A),MATCH(C$1,[2]quests!$1:$1,0)-MATCH($B$1,[2]quests!$1:$1,0)+1),MATCH(C$1,[2]quests!$1:$1,0)-MATCH($B$1,[2]quests!$1:$1,0)+1,FALSE)</f>
        <v>アザゼル（台）</v>
      </c>
      <c r="D37" s="81" t="str">
        <f ca="1">VLOOKUP($B37,OFFSET([2]quests!$A$1,0,0,COUNTA([2]quests!$A:$A),MATCH(D$1,[2]quests!$1:$1,0)-MATCH($B$1,[2]quests!$1:$1,0)+1),MATCH(D$1,[2]quests!$1:$1,0)-MATCH($B$1,[2]quests!$1:$1,0)+1,FALSE)</f>
        <v>コラボ降臨4</v>
      </c>
      <c r="E37" s="82">
        <v>3</v>
      </c>
      <c r="F37" s="81" t="str">
        <f ca="1">VLOOKUP($B37&amp;"_"&amp;$E37,OFFSET([2]stages!$A$1,0,0,COUNTA([2]stages!$A:$A),MATCH(F$1,[2]stages!$2:$2,0)-MATCH("temp_stage",[2]stages!$2:$2,0)+1),MATCH(F$1,[2]stages!$2:$2,0)-MATCH("temp_stage",[2]stages!$2:$2,0)+1,FALSE)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37" s="81" t="str">
        <f ca="1">VLOOKUP($B37&amp;"_"&amp;$E37,OFFSET([2]stages!$A$1,0,0,COUNTA([2]stages!$A:$A),MATCH(G$1,[2]stages!$2:$2,0)-MATCH("temp_stage",[2]stages!$2:$2,0)+1),MATCH(G$1,[2]stages!$2:$2,0)-MATCH("temp_stage",[2]stages!$2:$2,0)+1,FALSE)</f>
        <v>コラボ降臨4</v>
      </c>
      <c r="H37" s="83">
        <v>0</v>
      </c>
      <c r="I37" s="88">
        <f>ROW()-1</f>
        <v>36</v>
      </c>
      <c r="J37" s="84" t="str">
        <f>B37&amp;TEXT(I37,"00")</f>
        <v>4900736</v>
      </c>
      <c r="K37" s="82" t="s">
        <v>125</v>
      </c>
      <c r="L37" s="85" t="s">
        <v>358</v>
      </c>
      <c r="M37" s="109" t="s">
        <v>381</v>
      </c>
      <c r="N37" s="55" t="s">
        <v>198</v>
      </c>
    </row>
  </sheetData>
  <phoneticPr fontId="5"/>
  <dataValidations count="1">
    <dataValidation type="list" allowBlank="1" showInputMessage="1" showErrorMessage="1" sqref="A2:A3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2016-08-10T11:44:37Z</dcterms:modified>
</cp:coreProperties>
</file>