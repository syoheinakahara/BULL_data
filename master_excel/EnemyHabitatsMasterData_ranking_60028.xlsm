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master_excel/"/>
    </mc:Choice>
  </mc:AlternateContent>
  <bookViews>
    <workbookView xWindow="1600" yWindow="460" windowWidth="25420" windowHeight="13880" tabRatio="936" firstSheet="1" activeTab="12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xlnm._FilterDatabase" localSheetId="10" hidden="1">enemy_habitat_S!$B$1:$Y$2</definedName>
    <definedName name="_xlnm._FilterDatabase" localSheetId="9" hidden="1">enemy_habitats!$B$1:$AH$2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stage_hints_complete!$B$1:$L$1</definedName>
    <definedName name="_xlnm._FilterDatabase" localSheetId="16" hidden="1">stage_hints_failure!$B$1:$M$1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6" l="1"/>
  <c r="C25" i="16"/>
  <c r="C24" i="16"/>
  <c r="E26" i="16"/>
  <c r="E25" i="16"/>
  <c r="E24" i="16"/>
  <c r="J48" i="11"/>
  <c r="O41" i="9"/>
  <c r="N41" i="9"/>
  <c r="M41" i="9"/>
  <c r="L41" i="9"/>
  <c r="K41" i="9"/>
  <c r="J41" i="9"/>
  <c r="I41" i="9"/>
  <c r="H41" i="9"/>
  <c r="G41" i="9"/>
  <c r="E41" i="9"/>
  <c r="D41" i="9"/>
  <c r="A41" i="9"/>
  <c r="AD46" i="10"/>
  <c r="AC46" i="10"/>
  <c r="AD45" i="10"/>
  <c r="AC45" i="10"/>
  <c r="AD44" i="10"/>
  <c r="AC44" i="10"/>
  <c r="AD43" i="10"/>
  <c r="AC43" i="10"/>
  <c r="AD42" i="10"/>
  <c r="AC42" i="10"/>
  <c r="AD41" i="10"/>
  <c r="AC41" i="10"/>
  <c r="AD40" i="10"/>
  <c r="AC40" i="10"/>
  <c r="AD39" i="10"/>
  <c r="AC39" i="10"/>
  <c r="AD38" i="10"/>
  <c r="AC38" i="10"/>
  <c r="AD37" i="10"/>
  <c r="AC37" i="10"/>
  <c r="AD36" i="10"/>
  <c r="AC36" i="10"/>
  <c r="AD35" i="10"/>
  <c r="AC35" i="10"/>
  <c r="AD34" i="10"/>
  <c r="AC34" i="10"/>
  <c r="AD33" i="10"/>
  <c r="AC33" i="10"/>
  <c r="AD32" i="10"/>
  <c r="AC32" i="10"/>
  <c r="AD31" i="10"/>
  <c r="AC31" i="10"/>
  <c r="AD30" i="10"/>
  <c r="AC30" i="10"/>
  <c r="AD29" i="10"/>
  <c r="AC29" i="10"/>
  <c r="AD28" i="10"/>
  <c r="AC28" i="10"/>
  <c r="AD27" i="10"/>
  <c r="AC27" i="10"/>
  <c r="AD26" i="10"/>
  <c r="AC26" i="10"/>
  <c r="AD25" i="10"/>
  <c r="AC25" i="10"/>
  <c r="AD24" i="10"/>
  <c r="AC24" i="10"/>
  <c r="AD23" i="10"/>
  <c r="AC23" i="10"/>
  <c r="AD22" i="10"/>
  <c r="AC22" i="10"/>
  <c r="AD21" i="10"/>
  <c r="AC21" i="10"/>
  <c r="AD20" i="10"/>
  <c r="AC20" i="10"/>
  <c r="AD19" i="10"/>
  <c r="AC19" i="10"/>
  <c r="AD18" i="10"/>
  <c r="AC18" i="10"/>
  <c r="AD17" i="10"/>
  <c r="AC17" i="10"/>
  <c r="AD16" i="10"/>
  <c r="AC16" i="10"/>
  <c r="AD15" i="10"/>
  <c r="AC15" i="10"/>
  <c r="AD14" i="10"/>
  <c r="AC14" i="10"/>
  <c r="AD13" i="10"/>
  <c r="AC13" i="10"/>
  <c r="AD12" i="10"/>
  <c r="AC12" i="10"/>
  <c r="AD11" i="10"/>
  <c r="AC11" i="10"/>
  <c r="AD10" i="10"/>
  <c r="AC10" i="10"/>
  <c r="AD9" i="10"/>
  <c r="AC9" i="10"/>
  <c r="AD8" i="10"/>
  <c r="AC8" i="10"/>
  <c r="AD7" i="10"/>
  <c r="AC7" i="10"/>
  <c r="AD6" i="10"/>
  <c r="AC6" i="10"/>
  <c r="AD5" i="10"/>
  <c r="AC5" i="10"/>
  <c r="AD4" i="10"/>
  <c r="AC4" i="10"/>
  <c r="AD3" i="10"/>
  <c r="AC3" i="10"/>
  <c r="AD2" i="10"/>
  <c r="AC2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D22" i="25"/>
  <c r="D17" i="25"/>
  <c r="D12" i="25"/>
  <c r="D7" i="25"/>
  <c r="D2" i="25"/>
  <c r="C22" i="27"/>
  <c r="C26" i="27"/>
  <c r="C16" i="27"/>
  <c r="C20" i="27"/>
  <c r="C29" i="27"/>
  <c r="C11" i="27"/>
  <c r="C14" i="27"/>
  <c r="C19" i="27"/>
  <c r="B20" i="27"/>
  <c r="B19" i="27"/>
  <c r="D19" i="27"/>
  <c r="C13" i="27"/>
  <c r="B14" i="27"/>
  <c r="B13" i="27"/>
  <c r="D13" i="27"/>
  <c r="E14" i="27"/>
  <c r="C12" i="27"/>
  <c r="B12" i="27"/>
  <c r="D11" i="27"/>
  <c r="D10" i="27"/>
  <c r="C3" i="27"/>
  <c r="D2" i="27"/>
  <c r="C4" i="27"/>
  <c r="B4" i="27"/>
  <c r="D3" i="27"/>
  <c r="C5" i="27"/>
  <c r="C7" i="27"/>
  <c r="C9" i="27"/>
  <c r="G42" i="9"/>
  <c r="H42" i="9"/>
  <c r="I42" i="9"/>
  <c r="J42" i="9"/>
  <c r="K42" i="9"/>
  <c r="L42" i="9"/>
  <c r="M42" i="9"/>
  <c r="N42" i="9"/>
  <c r="O42" i="9"/>
  <c r="G43" i="9"/>
  <c r="H43" i="9"/>
  <c r="I43" i="9"/>
  <c r="J43" i="9"/>
  <c r="K43" i="9"/>
  <c r="L43" i="9"/>
  <c r="M43" i="9"/>
  <c r="N43" i="9"/>
  <c r="O43" i="9"/>
  <c r="G44" i="9"/>
  <c r="H44" i="9"/>
  <c r="I44" i="9"/>
  <c r="J44" i="9"/>
  <c r="K44" i="9"/>
  <c r="L44" i="9"/>
  <c r="M44" i="9"/>
  <c r="N44" i="9"/>
  <c r="O44" i="9"/>
  <c r="G45" i="9"/>
  <c r="H45" i="9"/>
  <c r="I45" i="9"/>
  <c r="J45" i="9"/>
  <c r="K45" i="9"/>
  <c r="L45" i="9"/>
  <c r="M45" i="9"/>
  <c r="N45" i="9"/>
  <c r="O45" i="9"/>
  <c r="J47" i="11"/>
  <c r="E44" i="9"/>
  <c r="D44" i="9"/>
  <c r="A44" i="9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J46" i="11"/>
  <c r="O5" i="9"/>
  <c r="E5" i="9"/>
  <c r="D5" i="9"/>
  <c r="A5" i="9"/>
  <c r="O3" i="9"/>
  <c r="O4" i="9"/>
  <c r="J43" i="11"/>
  <c r="J44" i="11"/>
  <c r="J45" i="11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E4" i="9"/>
  <c r="D4" i="9"/>
  <c r="A4" i="9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C18" i="27"/>
  <c r="B18" i="27"/>
  <c r="D18" i="27"/>
  <c r="E20" i="27"/>
  <c r="E19" i="27"/>
  <c r="D15" i="27"/>
  <c r="E15" i="27"/>
  <c r="C17" i="27"/>
  <c r="B17" i="27"/>
  <c r="D16" i="27"/>
  <c r="E16" i="27"/>
  <c r="D17" i="27"/>
  <c r="E17" i="27"/>
  <c r="E18" i="27"/>
  <c r="C24" i="27"/>
  <c r="C23" i="27"/>
  <c r="B24" i="27"/>
  <c r="B23" i="27"/>
  <c r="D23" i="27"/>
  <c r="C25" i="27"/>
  <c r="B25" i="27"/>
  <c r="D24" i="27"/>
  <c r="B26" i="27"/>
  <c r="D25" i="27"/>
  <c r="E13" i="27"/>
  <c r="E26" i="27"/>
  <c r="E25" i="27"/>
  <c r="E24" i="27"/>
  <c r="E23" i="27"/>
  <c r="D22" i="27"/>
  <c r="E22" i="27"/>
  <c r="D21" i="27"/>
  <c r="E21" i="27"/>
  <c r="D12" i="27"/>
  <c r="E12" i="27"/>
  <c r="E11" i="27"/>
  <c r="E10" i="27"/>
  <c r="B9" i="27"/>
  <c r="E9" i="27"/>
  <c r="C8" i="27"/>
  <c r="B8" i="27"/>
  <c r="D8" i="27"/>
  <c r="E8" i="27"/>
  <c r="D7" i="27"/>
  <c r="E7" i="27"/>
  <c r="D6" i="27"/>
  <c r="E6" i="27"/>
  <c r="B5" i="27"/>
  <c r="E5" i="27"/>
  <c r="D4" i="27"/>
  <c r="E4" i="27"/>
  <c r="E3" i="27"/>
  <c r="E2" i="27"/>
  <c r="J39" i="11"/>
  <c r="J40" i="11"/>
  <c r="J41" i="11"/>
  <c r="J42" i="11"/>
  <c r="A42" i="9"/>
  <c r="D42" i="9"/>
  <c r="E42" i="9"/>
  <c r="A43" i="9"/>
  <c r="D43" i="9"/>
  <c r="E43" i="9"/>
  <c r="A45" i="9"/>
  <c r="D45" i="9"/>
  <c r="E45" i="9"/>
  <c r="A46" i="9"/>
  <c r="D46" i="9"/>
  <c r="E46" i="9"/>
  <c r="O46" i="9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AB5" i="1"/>
  <c r="AD5" i="1"/>
  <c r="AG5" i="1"/>
  <c r="AE5" i="1"/>
  <c r="AC5" i="1"/>
  <c r="E6" i="9"/>
  <c r="V5" i="1"/>
  <c r="Q5" i="1"/>
  <c r="P5" i="1"/>
  <c r="O5" i="1"/>
  <c r="N5" i="1"/>
  <c r="M5" i="1"/>
  <c r="H5" i="1"/>
  <c r="G2" i="2"/>
  <c r="A2" i="2"/>
  <c r="G3" i="2"/>
  <c r="A3" i="2"/>
  <c r="G4" i="2"/>
  <c r="A4" i="2"/>
  <c r="G5" i="2"/>
  <c r="A5" i="2"/>
  <c r="G6" i="2"/>
  <c r="A6" i="2"/>
  <c r="J5" i="1"/>
  <c r="I5" i="1"/>
  <c r="D5" i="1"/>
  <c r="F5" i="1"/>
  <c r="E5" i="1"/>
  <c r="A5" i="1"/>
  <c r="D28" i="26"/>
  <c r="E28" i="26"/>
  <c r="D27" i="26"/>
  <c r="E27" i="26"/>
  <c r="D26" i="26"/>
  <c r="E26" i="26"/>
  <c r="D25" i="26"/>
  <c r="E25" i="26"/>
  <c r="D24" i="26"/>
  <c r="E24" i="26"/>
  <c r="D23" i="26"/>
  <c r="E23" i="26"/>
  <c r="D22" i="26"/>
  <c r="E22" i="26"/>
  <c r="D21" i="26"/>
  <c r="E21" i="26"/>
  <c r="D20" i="26"/>
  <c r="E20" i="26"/>
  <c r="D19" i="26"/>
  <c r="E19" i="26"/>
  <c r="D18" i="26"/>
  <c r="E18" i="26"/>
  <c r="D17" i="26"/>
  <c r="E17" i="26"/>
  <c r="D16" i="26"/>
  <c r="E16" i="26"/>
  <c r="D10" i="25"/>
  <c r="E10" i="25"/>
  <c r="D9" i="25"/>
  <c r="E9" i="25"/>
  <c r="D8" i="25"/>
  <c r="E8" i="25"/>
  <c r="E7" i="25"/>
  <c r="N3" i="2"/>
  <c r="M3" i="2"/>
  <c r="L3" i="2"/>
  <c r="H3" i="2"/>
  <c r="E3" i="2"/>
  <c r="D3" i="2"/>
  <c r="H6" i="1"/>
  <c r="H7" i="1"/>
  <c r="H8" i="1"/>
  <c r="H9" i="1"/>
  <c r="H10" i="1"/>
  <c r="H2" i="1"/>
  <c r="H3" i="1"/>
  <c r="H4" i="1"/>
  <c r="B3" i="2"/>
  <c r="C71" i="26"/>
  <c r="C72" i="26"/>
  <c r="C73" i="26"/>
  <c r="C74" i="26"/>
  <c r="C75" i="26"/>
  <c r="C76" i="26"/>
  <c r="C77" i="26"/>
  <c r="C78" i="26"/>
  <c r="C79" i="26"/>
  <c r="C80" i="26"/>
  <c r="C70" i="26"/>
  <c r="D23" i="25"/>
  <c r="E23" i="25"/>
  <c r="D18" i="25"/>
  <c r="E18" i="25"/>
  <c r="D13" i="25"/>
  <c r="E13" i="25"/>
  <c r="D3" i="25"/>
  <c r="E3" i="25"/>
  <c r="D63" i="26"/>
  <c r="E63" i="26"/>
  <c r="D64" i="26"/>
  <c r="E64" i="26"/>
  <c r="D65" i="26"/>
  <c r="E65" i="26"/>
  <c r="D66" i="26"/>
  <c r="E66" i="26"/>
  <c r="D67" i="26"/>
  <c r="E67" i="26"/>
  <c r="D68" i="26"/>
  <c r="E68" i="26"/>
  <c r="D69" i="26"/>
  <c r="E69" i="26"/>
  <c r="D70" i="26"/>
  <c r="E70" i="26"/>
  <c r="D71" i="26"/>
  <c r="E71" i="26"/>
  <c r="D72" i="26"/>
  <c r="E72" i="26"/>
  <c r="D73" i="26"/>
  <c r="E73" i="26"/>
  <c r="D74" i="26"/>
  <c r="E74" i="26"/>
  <c r="D75" i="26"/>
  <c r="E75" i="26"/>
  <c r="D76" i="26"/>
  <c r="E76" i="26"/>
  <c r="D77" i="26"/>
  <c r="E77" i="26"/>
  <c r="D78" i="26"/>
  <c r="E78" i="26"/>
  <c r="D79" i="26"/>
  <c r="E79" i="26"/>
  <c r="D80" i="26"/>
  <c r="E80" i="26"/>
  <c r="D44" i="26"/>
  <c r="E44" i="26"/>
  <c r="D45" i="26"/>
  <c r="E45" i="26"/>
  <c r="D46" i="26"/>
  <c r="E46" i="26"/>
  <c r="D47" i="26"/>
  <c r="E47" i="26"/>
  <c r="D48" i="26"/>
  <c r="E48" i="26"/>
  <c r="D49" i="26"/>
  <c r="E49" i="26"/>
  <c r="D50" i="26"/>
  <c r="E50" i="26"/>
  <c r="D51" i="26"/>
  <c r="E51" i="26"/>
  <c r="D52" i="26"/>
  <c r="E52" i="26"/>
  <c r="D53" i="26"/>
  <c r="E53" i="26"/>
  <c r="D54" i="26"/>
  <c r="E54" i="26"/>
  <c r="D55" i="26"/>
  <c r="E55" i="26"/>
  <c r="D56" i="26"/>
  <c r="E56" i="26"/>
  <c r="D57" i="26"/>
  <c r="E57" i="26"/>
  <c r="D58" i="26"/>
  <c r="E58" i="26"/>
  <c r="D59" i="26"/>
  <c r="E59" i="26"/>
  <c r="D60" i="26"/>
  <c r="E60" i="26"/>
  <c r="D61" i="26"/>
  <c r="E61" i="26"/>
  <c r="H38" i="9"/>
  <c r="H39" i="9"/>
  <c r="H32" i="9"/>
  <c r="H33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J10" i="11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G30" i="9"/>
  <c r="H30" i="9"/>
  <c r="I30" i="9"/>
  <c r="J30" i="9"/>
  <c r="K30" i="9"/>
  <c r="L30" i="9"/>
  <c r="M30" i="9"/>
  <c r="N30" i="9"/>
  <c r="O30" i="9"/>
  <c r="G31" i="9"/>
  <c r="H31" i="9"/>
  <c r="I31" i="9"/>
  <c r="J31" i="9"/>
  <c r="K31" i="9"/>
  <c r="L31" i="9"/>
  <c r="M31" i="9"/>
  <c r="N31" i="9"/>
  <c r="O31" i="9"/>
  <c r="G32" i="9"/>
  <c r="I32" i="9"/>
  <c r="J32" i="9"/>
  <c r="K32" i="9"/>
  <c r="L32" i="9"/>
  <c r="M32" i="9"/>
  <c r="N32" i="9"/>
  <c r="O32" i="9"/>
  <c r="G33" i="9"/>
  <c r="I33" i="9"/>
  <c r="J33" i="9"/>
  <c r="K33" i="9"/>
  <c r="L33" i="9"/>
  <c r="M33" i="9"/>
  <c r="N33" i="9"/>
  <c r="O33" i="9"/>
  <c r="G34" i="9"/>
  <c r="H34" i="9"/>
  <c r="I34" i="9"/>
  <c r="J34" i="9"/>
  <c r="K34" i="9"/>
  <c r="L34" i="9"/>
  <c r="M34" i="9"/>
  <c r="N34" i="9"/>
  <c r="O34" i="9"/>
  <c r="G35" i="9"/>
  <c r="H35" i="9"/>
  <c r="I35" i="9"/>
  <c r="J35" i="9"/>
  <c r="K35" i="9"/>
  <c r="L35" i="9"/>
  <c r="M35" i="9"/>
  <c r="N35" i="9"/>
  <c r="O35" i="9"/>
  <c r="G36" i="9"/>
  <c r="H36" i="9"/>
  <c r="I36" i="9"/>
  <c r="J36" i="9"/>
  <c r="K36" i="9"/>
  <c r="L36" i="9"/>
  <c r="M36" i="9"/>
  <c r="N36" i="9"/>
  <c r="O36" i="9"/>
  <c r="G37" i="9"/>
  <c r="H37" i="9"/>
  <c r="I37" i="9"/>
  <c r="J37" i="9"/>
  <c r="K37" i="9"/>
  <c r="L37" i="9"/>
  <c r="M37" i="9"/>
  <c r="N37" i="9"/>
  <c r="O37" i="9"/>
  <c r="G38" i="9"/>
  <c r="I38" i="9"/>
  <c r="J38" i="9"/>
  <c r="K38" i="9"/>
  <c r="L38" i="9"/>
  <c r="M38" i="9"/>
  <c r="N38" i="9"/>
  <c r="O38" i="9"/>
  <c r="G39" i="9"/>
  <c r="I39" i="9"/>
  <c r="J39" i="9"/>
  <c r="K39" i="9"/>
  <c r="L39" i="9"/>
  <c r="M39" i="9"/>
  <c r="N39" i="9"/>
  <c r="O39" i="9"/>
  <c r="G40" i="9"/>
  <c r="H40" i="9"/>
  <c r="I40" i="9"/>
  <c r="J40" i="9"/>
  <c r="K40" i="9"/>
  <c r="L40" i="9"/>
  <c r="M40" i="9"/>
  <c r="N40" i="9"/>
  <c r="O40" i="9"/>
  <c r="J3" i="11"/>
  <c r="J4" i="11"/>
  <c r="J5" i="11"/>
  <c r="J6" i="11"/>
  <c r="J7" i="11"/>
  <c r="J8" i="11"/>
  <c r="J9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V3" i="1"/>
  <c r="A35" i="9"/>
  <c r="D35" i="9"/>
  <c r="E35" i="9"/>
  <c r="A36" i="9"/>
  <c r="D36" i="9"/>
  <c r="E36" i="9"/>
  <c r="A37" i="9"/>
  <c r="D37" i="9"/>
  <c r="E37" i="9"/>
  <c r="A38" i="9"/>
  <c r="D38" i="9"/>
  <c r="E38" i="9"/>
  <c r="A39" i="9"/>
  <c r="D39" i="9"/>
  <c r="E39" i="9"/>
  <c r="A40" i="9"/>
  <c r="D40" i="9"/>
  <c r="E40" i="9"/>
  <c r="A3" i="9"/>
  <c r="D3" i="9"/>
  <c r="E3" i="9"/>
  <c r="A6" i="9"/>
  <c r="D6" i="9"/>
  <c r="A7" i="9"/>
  <c r="D7" i="9"/>
  <c r="E7" i="9"/>
  <c r="A8" i="9"/>
  <c r="D8" i="9"/>
  <c r="E8" i="9"/>
  <c r="A9" i="9"/>
  <c r="D9" i="9"/>
  <c r="E9" i="9"/>
  <c r="A10" i="9"/>
  <c r="D10" i="9"/>
  <c r="E10" i="9"/>
  <c r="A11" i="9"/>
  <c r="D11" i="9"/>
  <c r="E11" i="9"/>
  <c r="A12" i="9"/>
  <c r="D12" i="9"/>
  <c r="E12" i="9"/>
  <c r="A13" i="9"/>
  <c r="D13" i="9"/>
  <c r="E13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1" i="9"/>
  <c r="D21" i="9"/>
  <c r="E21" i="9"/>
  <c r="A22" i="9"/>
  <c r="D22" i="9"/>
  <c r="E22" i="9"/>
  <c r="A23" i="9"/>
  <c r="D23" i="9"/>
  <c r="E23" i="9"/>
  <c r="A24" i="9"/>
  <c r="D24" i="9"/>
  <c r="E24" i="9"/>
  <c r="A25" i="9"/>
  <c r="D25" i="9"/>
  <c r="E25" i="9"/>
  <c r="A26" i="9"/>
  <c r="D26" i="9"/>
  <c r="E26" i="9"/>
  <c r="A27" i="9"/>
  <c r="D27" i="9"/>
  <c r="E27" i="9"/>
  <c r="A28" i="9"/>
  <c r="D28" i="9"/>
  <c r="E28" i="9"/>
  <c r="A29" i="9"/>
  <c r="D29" i="9"/>
  <c r="E29" i="9"/>
  <c r="A30" i="9"/>
  <c r="D30" i="9"/>
  <c r="E30" i="9"/>
  <c r="A31" i="9"/>
  <c r="D31" i="9"/>
  <c r="E31" i="9"/>
  <c r="A32" i="9"/>
  <c r="D32" i="9"/>
  <c r="E32" i="9"/>
  <c r="A33" i="9"/>
  <c r="D33" i="9"/>
  <c r="E33" i="9"/>
  <c r="A34" i="9"/>
  <c r="D34" i="9"/>
  <c r="E34" i="9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2" i="10"/>
  <c r="H2" i="10"/>
  <c r="I2" i="10"/>
  <c r="J2" i="10"/>
  <c r="K2" i="10"/>
  <c r="L2" i="10"/>
  <c r="M2" i="10"/>
  <c r="M11" i="10"/>
  <c r="M21" i="10"/>
  <c r="N21" i="10"/>
  <c r="Q21" i="10"/>
  <c r="P21" i="10"/>
  <c r="R21" i="10"/>
  <c r="O21" i="10"/>
  <c r="S21" i="10"/>
  <c r="N11" i="10"/>
  <c r="Q11" i="10"/>
  <c r="P11" i="10"/>
  <c r="R11" i="10"/>
  <c r="O11" i="10"/>
  <c r="S11" i="10"/>
  <c r="N2" i="10"/>
  <c r="O2" i="10"/>
  <c r="P2" i="10"/>
  <c r="Q2" i="10"/>
  <c r="R2" i="10"/>
  <c r="S2" i="10"/>
  <c r="T2" i="10"/>
  <c r="U2" i="10"/>
  <c r="V2" i="10"/>
  <c r="W2" i="10"/>
  <c r="X2" i="10"/>
  <c r="Y2" i="10"/>
  <c r="M12" i="10"/>
  <c r="M22" i="10"/>
  <c r="N22" i="10"/>
  <c r="Q22" i="10"/>
  <c r="P22" i="10"/>
  <c r="R22" i="10"/>
  <c r="O22" i="10"/>
  <c r="S22" i="10"/>
  <c r="N12" i="10"/>
  <c r="Q12" i="10"/>
  <c r="P12" i="10"/>
  <c r="R12" i="10"/>
  <c r="O12" i="10"/>
  <c r="S12" i="10"/>
  <c r="G3" i="10"/>
  <c r="H3" i="10"/>
  <c r="I3" i="10"/>
  <c r="J3" i="10"/>
  <c r="K3" i="10"/>
  <c r="L3" i="10"/>
  <c r="M3" i="10"/>
  <c r="M13" i="10"/>
  <c r="M2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M2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M2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M2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M2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A5" i="7"/>
  <c r="D5" i="7"/>
  <c r="E5" i="7"/>
  <c r="F5" i="7"/>
  <c r="H5" i="7"/>
  <c r="I5" i="7"/>
  <c r="J5" i="7"/>
  <c r="N5" i="7"/>
  <c r="O5" i="7"/>
  <c r="P5" i="7"/>
  <c r="Q5" i="7"/>
  <c r="R5" i="7"/>
  <c r="A3" i="7"/>
  <c r="D3" i="7"/>
  <c r="E3" i="7"/>
  <c r="F3" i="7"/>
  <c r="H3" i="7"/>
  <c r="I3" i="7"/>
  <c r="J3" i="7"/>
  <c r="N3" i="7"/>
  <c r="O3" i="7"/>
  <c r="P3" i="7"/>
  <c r="Q3" i="7"/>
  <c r="R3" i="7"/>
  <c r="A4" i="7"/>
  <c r="D4" i="7"/>
  <c r="E4" i="7"/>
  <c r="F4" i="7"/>
  <c r="H4" i="7"/>
  <c r="I4" i="7"/>
  <c r="J4" i="7"/>
  <c r="N4" i="7"/>
  <c r="O4" i="7"/>
  <c r="P4" i="7"/>
  <c r="Q4" i="7"/>
  <c r="R4" i="7"/>
  <c r="A4" i="1"/>
  <c r="D4" i="1"/>
  <c r="E4" i="1"/>
  <c r="F4" i="1"/>
  <c r="I4" i="1"/>
  <c r="J4" i="1"/>
  <c r="M4" i="1"/>
  <c r="N4" i="1"/>
  <c r="O4" i="1"/>
  <c r="P4" i="1"/>
  <c r="Q4" i="1"/>
  <c r="E2" i="9"/>
  <c r="V4" i="1"/>
  <c r="AB4" i="1"/>
  <c r="AC4" i="1"/>
  <c r="AD4" i="1"/>
  <c r="AE4" i="1"/>
  <c r="AG4" i="1"/>
  <c r="A6" i="1"/>
  <c r="D6" i="1"/>
  <c r="E6" i="1"/>
  <c r="F6" i="1"/>
  <c r="I6" i="1"/>
  <c r="J6" i="1"/>
  <c r="M6" i="1"/>
  <c r="N6" i="1"/>
  <c r="O6" i="1"/>
  <c r="P6" i="1"/>
  <c r="Q6" i="1"/>
  <c r="V6" i="1"/>
  <c r="AB6" i="1"/>
  <c r="AC6" i="1"/>
  <c r="AD6" i="1"/>
  <c r="AE6" i="1"/>
  <c r="AG6" i="1"/>
  <c r="A7" i="1"/>
  <c r="D7" i="1"/>
  <c r="E7" i="1"/>
  <c r="F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A8" i="1"/>
  <c r="D8" i="1"/>
  <c r="E8" i="1"/>
  <c r="F8" i="1"/>
  <c r="I8" i="1"/>
  <c r="J8" i="1"/>
  <c r="M8" i="1"/>
  <c r="N8" i="1"/>
  <c r="O8" i="1"/>
  <c r="P8" i="1"/>
  <c r="Q8" i="1"/>
  <c r="V8" i="1"/>
  <c r="AB8" i="1"/>
  <c r="AC8" i="1"/>
  <c r="AD8" i="1"/>
  <c r="AE8" i="1"/>
  <c r="AG8" i="1"/>
  <c r="A9" i="1"/>
  <c r="D9" i="1"/>
  <c r="E9" i="1"/>
  <c r="F9" i="1"/>
  <c r="I9" i="1"/>
  <c r="J9" i="1"/>
  <c r="M9" i="1"/>
  <c r="N9" i="1"/>
  <c r="O9" i="1"/>
  <c r="P9" i="1"/>
  <c r="Q9" i="1"/>
  <c r="V9" i="1"/>
  <c r="AB9" i="1"/>
  <c r="AC9" i="1"/>
  <c r="AD9" i="1"/>
  <c r="AE9" i="1"/>
  <c r="AG9" i="1"/>
  <c r="A10" i="1"/>
  <c r="D10" i="1"/>
  <c r="E10" i="1"/>
  <c r="F10" i="1"/>
  <c r="I10" i="1"/>
  <c r="J10" i="1"/>
  <c r="M10" i="1"/>
  <c r="N10" i="1"/>
  <c r="O10" i="1"/>
  <c r="P10" i="1"/>
  <c r="Q10" i="1"/>
  <c r="V10" i="1"/>
  <c r="AB10" i="1"/>
  <c r="AC10" i="1"/>
  <c r="AD10" i="1"/>
  <c r="AE10" i="1"/>
  <c r="AG10" i="1"/>
  <c r="B4" i="2"/>
  <c r="D4" i="2"/>
  <c r="E4" i="2"/>
  <c r="H4" i="2"/>
  <c r="L4" i="2"/>
  <c r="M4" i="2"/>
  <c r="N4" i="2"/>
  <c r="B5" i="2"/>
  <c r="D5" i="2"/>
  <c r="E5" i="2"/>
  <c r="H5" i="2"/>
  <c r="L5" i="2"/>
  <c r="M5" i="2"/>
  <c r="N5" i="2"/>
  <c r="B6" i="2"/>
  <c r="D6" i="2"/>
  <c r="E6" i="2"/>
  <c r="H6" i="2"/>
  <c r="L6" i="2"/>
  <c r="M6" i="2"/>
  <c r="N6" i="2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D42" i="26"/>
  <c r="E42" i="26"/>
  <c r="D41" i="26"/>
  <c r="E41" i="26"/>
  <c r="D40" i="26"/>
  <c r="E40" i="26"/>
  <c r="D39" i="26"/>
  <c r="E39" i="26"/>
  <c r="D38" i="26"/>
  <c r="E38" i="26"/>
  <c r="D37" i="26"/>
  <c r="E37" i="26"/>
  <c r="D36" i="26"/>
  <c r="E36" i="26"/>
  <c r="D35" i="26"/>
  <c r="E35" i="26"/>
  <c r="D34" i="26"/>
  <c r="E34" i="26"/>
  <c r="D33" i="26"/>
  <c r="E33" i="26"/>
  <c r="D32" i="26"/>
  <c r="E32" i="26"/>
  <c r="D31" i="26"/>
  <c r="E31" i="26"/>
  <c r="D30" i="26"/>
  <c r="E30" i="26"/>
  <c r="D14" i="26"/>
  <c r="E14" i="26"/>
  <c r="D13" i="26"/>
  <c r="E13" i="26"/>
  <c r="D12" i="26"/>
  <c r="E12" i="26"/>
  <c r="D11" i="26"/>
  <c r="E11" i="26"/>
  <c r="D10" i="26"/>
  <c r="E10" i="26"/>
  <c r="D9" i="26"/>
  <c r="E9" i="26"/>
  <c r="D8" i="26"/>
  <c r="E8" i="26"/>
  <c r="D7" i="26"/>
  <c r="E7" i="26"/>
  <c r="D6" i="26"/>
  <c r="E6" i="26"/>
  <c r="D5" i="26"/>
  <c r="E5" i="26"/>
  <c r="D4" i="26"/>
  <c r="E4" i="26"/>
  <c r="D3" i="26"/>
  <c r="E3" i="26"/>
  <c r="D2" i="26"/>
  <c r="E2" i="26"/>
  <c r="D25" i="25"/>
  <c r="E25" i="25"/>
  <c r="D24" i="25"/>
  <c r="E24" i="25"/>
  <c r="E22" i="25"/>
  <c r="D20" i="25"/>
  <c r="E20" i="25"/>
  <c r="D19" i="25"/>
  <c r="E19" i="25"/>
  <c r="E17" i="25"/>
  <c r="D15" i="25"/>
  <c r="E15" i="25"/>
  <c r="D14" i="25"/>
  <c r="E14" i="25"/>
  <c r="E12" i="25"/>
  <c r="D5" i="25"/>
  <c r="E5" i="25"/>
  <c r="D4" i="25"/>
  <c r="E4" i="25"/>
  <c r="E2" i="25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E23" i="16"/>
  <c r="E22" i="16"/>
  <c r="E20" i="16"/>
  <c r="E21" i="16"/>
  <c r="N2" i="2"/>
  <c r="M2" i="2"/>
  <c r="E3" i="16"/>
  <c r="E19" i="16"/>
  <c r="E18" i="16"/>
  <c r="E17" i="16"/>
  <c r="J2" i="11"/>
  <c r="O2" i="9"/>
  <c r="N2" i="9"/>
  <c r="M2" i="9"/>
  <c r="L2" i="9"/>
  <c r="K2" i="9"/>
  <c r="J2" i="9"/>
  <c r="I2" i="9"/>
  <c r="H2" i="9"/>
  <c r="G2" i="9"/>
  <c r="D2" i="9"/>
  <c r="E16" i="16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Q3" i="1"/>
  <c r="P3" i="1"/>
  <c r="O3" i="1"/>
  <c r="N3" i="1"/>
  <c r="M3" i="1"/>
  <c r="Q2" i="1"/>
  <c r="P2" i="1"/>
  <c r="O2" i="1"/>
  <c r="N2" i="1"/>
  <c r="M2" i="1"/>
  <c r="AG2" i="1"/>
  <c r="H2" i="7"/>
  <c r="J2" i="7"/>
  <c r="E15" i="16"/>
  <c r="E14" i="16"/>
  <c r="E13" i="16"/>
  <c r="E12" i="16"/>
  <c r="E11" i="16"/>
  <c r="E10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<sst xmlns="http://schemas.openxmlformats.org/spreadsheetml/2006/main" count="1199" uniqueCount="534">
  <si>
    <t>quest_id</t>
  </si>
  <si>
    <t>stage_id</t>
  </si>
  <si>
    <t>character_id</t>
  </si>
  <si>
    <t>level</t>
  </si>
  <si>
    <t>skill_set_id</t>
    <phoneticPr fontId="8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</si>
  <si>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</si>
  <si>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</si>
  <si>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</si>
  <si>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</si>
  <si>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</si>
  <si>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</si>
  <si>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</si>
  <si>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</si>
  <si>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</si>
  <si>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</si>
  <si>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</si>
  <si>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8"/>
  </si>
  <si>
    <t>rare</t>
    <phoneticPr fontId="8"/>
  </si>
  <si>
    <t>name</t>
    <phoneticPr fontId="8"/>
  </si>
  <si>
    <t>floor_id</t>
    <phoneticPr fontId="8"/>
  </si>
  <si>
    <t>name</t>
    <phoneticPr fontId="8"/>
  </si>
  <si>
    <t>name</t>
    <phoneticPr fontId="8"/>
  </si>
  <si>
    <t>skill_set_id</t>
  </si>
  <si>
    <t>drop_label</t>
    <phoneticPr fontId="8"/>
  </si>
  <si>
    <t>color</t>
    <phoneticPr fontId="8"/>
  </si>
  <si>
    <t>size</t>
    <phoneticPr fontId="8"/>
  </si>
  <si>
    <t>character_main_tribe_id</t>
    <phoneticPr fontId="8"/>
  </si>
  <si>
    <t>drop_label</t>
    <phoneticPr fontId="10"/>
  </si>
  <si>
    <t>temp_stage</t>
    <phoneticPr fontId="8"/>
  </si>
  <si>
    <t>temp_habitats</t>
    <phoneticPr fontId="8"/>
  </si>
  <si>
    <t>temp_floor</t>
    <phoneticPr fontId="8"/>
  </si>
  <si>
    <t>スキル</t>
    <phoneticPr fontId="8"/>
  </si>
  <si>
    <t>temp_stage</t>
    <phoneticPr fontId="8"/>
  </si>
  <si>
    <t>位置付け</t>
    <rPh sb="0" eb="3">
      <t>イチヅ</t>
    </rPh>
    <phoneticPr fontId="8"/>
  </si>
  <si>
    <t>name</t>
    <phoneticPr fontId="8"/>
  </si>
  <si>
    <t>temp_floor</t>
    <phoneticPr fontId="8"/>
  </si>
  <si>
    <t>status</t>
    <phoneticPr fontId="8"/>
  </si>
  <si>
    <t>hp_plus</t>
  </si>
  <si>
    <t>hp_plus</t>
    <phoneticPr fontId="8"/>
  </si>
  <si>
    <t>attack_plus</t>
  </si>
  <si>
    <t>attack_plus</t>
    <phoneticPr fontId="8"/>
  </si>
  <si>
    <t>defense_plus</t>
  </si>
  <si>
    <t>defense_plus</t>
    <phoneticPr fontId="8"/>
  </si>
  <si>
    <t>heal_plus</t>
  </si>
  <si>
    <t>heal_plus</t>
    <phoneticPr fontId="8"/>
  </si>
  <si>
    <t>bug</t>
  </si>
  <si>
    <t>bug</t>
    <phoneticPr fontId="8"/>
  </si>
  <si>
    <t>hp_coefficient</t>
  </si>
  <si>
    <t>hp_coefficient</t>
    <phoneticPr fontId="8"/>
  </si>
  <si>
    <t>attack_coefficient</t>
  </si>
  <si>
    <t>attack_coefficient</t>
    <phoneticPr fontId="8"/>
  </si>
  <si>
    <t>defense_correction</t>
  </si>
  <si>
    <t>defense_correction</t>
    <phoneticPr fontId="8"/>
  </si>
  <si>
    <t>null</t>
    <phoneticPr fontId="8"/>
  </si>
  <si>
    <t>seq_no</t>
    <phoneticPr fontId="8"/>
  </si>
  <si>
    <t>state_no</t>
    <phoneticPr fontId="8"/>
  </si>
  <si>
    <t>character_id</t>
    <phoneticPr fontId="8"/>
  </si>
  <si>
    <t>level</t>
    <phoneticPr fontId="8"/>
  </si>
  <si>
    <t>speed</t>
    <phoneticPr fontId="8"/>
  </si>
  <si>
    <t>skill_set_id</t>
    <phoneticPr fontId="8"/>
  </si>
  <si>
    <t>temp_id</t>
    <phoneticPr fontId="8"/>
  </si>
  <si>
    <t>skill_set_id</t>
    <phoneticPr fontId="10"/>
  </si>
  <si>
    <t>skill_id</t>
    <phoneticPr fontId="10"/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</si>
  <si>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</si>
  <si>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</si>
  <si>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</si>
  <si>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</si>
  <si>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</si>
  <si>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priority</t>
    <phoneticPr fontId="8"/>
  </si>
  <si>
    <t>invoke_rate</t>
    <phoneticPr fontId="8"/>
  </si>
  <si>
    <t>hp_threshold</t>
    <phoneticPr fontId="8"/>
  </si>
  <si>
    <t>hp_termination</t>
    <phoneticPr fontId="8"/>
  </si>
  <si>
    <t>invoke_times</t>
    <phoneticPr fontId="8"/>
  </si>
  <si>
    <t>every_time_count</t>
    <phoneticPr fontId="8"/>
  </si>
  <si>
    <t>neighbor_dead_id</t>
    <phoneticPr fontId="8"/>
  </si>
  <si>
    <t>invoke_weight</t>
    <phoneticPr fontId="8"/>
  </si>
  <si>
    <t>作成者</t>
    <rPh sb="0" eb="3">
      <t>サクセイシャ</t>
    </rPh>
    <phoneticPr fontId="8"/>
  </si>
  <si>
    <t>更新日</t>
    <rPh sb="0" eb="3">
      <t>コウシンニチジ</t>
    </rPh>
    <phoneticPr fontId="8"/>
  </si>
  <si>
    <t>備考（使用箇所）</t>
    <rPh sb="0" eb="2">
      <t>ビコウ</t>
    </rPh>
    <rPh sb="3" eb="7">
      <t>シヨウカショ</t>
    </rPh>
    <phoneticPr fontId="8"/>
  </si>
  <si>
    <t>enemy_skill_id</t>
  </si>
  <si>
    <t>effect_param</t>
    <phoneticPr fontId="8"/>
  </si>
  <si>
    <t>valid_flg</t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</si>
  <si>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</si>
  <si>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</si>
  <si>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</si>
  <si>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</si>
  <si>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</si>
  <si>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invoke_rate</t>
    <phoneticPr fontId="8"/>
  </si>
  <si>
    <t>重複チェック</t>
    <rPh sb="0" eb="2">
      <t>チョウフク</t>
    </rPh>
    <phoneticPr fontId="8"/>
  </si>
  <si>
    <t>null</t>
    <phoneticPr fontId="8"/>
  </si>
  <si>
    <t>null</t>
    <phoneticPr fontId="8"/>
  </si>
  <si>
    <t>enemy_skills</t>
    <phoneticPr fontId="8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</si>
  <si>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</si>
  <si>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</si>
  <si>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</si>
  <si>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</si>
  <si>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</si>
  <si>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</si>
  <si>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</si>
  <si>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</si>
  <si>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</si>
  <si>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8"/>
  </si>
  <si>
    <t>識別子</t>
    <rPh sb="0" eb="3">
      <t>シキベツシ</t>
    </rPh>
    <phoneticPr fontId="8"/>
  </si>
  <si>
    <t>形式</t>
    <rPh sb="0" eb="2">
      <t>ケイシキ</t>
    </rPh>
    <phoneticPr fontId="8"/>
  </si>
  <si>
    <t>出力ファイル名</t>
    <rPh sb="0" eb="2">
      <t>シュツリョク</t>
    </rPh>
    <rPh sb="6" eb="7">
      <t>メイ</t>
    </rPh>
    <phoneticPr fontId="8"/>
  </si>
  <si>
    <t>入力シート名</t>
    <rPh sb="0" eb="2">
      <t>ニュウリョク</t>
    </rPh>
    <rPh sb="5" eb="6">
      <t>メイ</t>
    </rPh>
    <phoneticPr fontId="8"/>
  </si>
  <si>
    <t>出力データ</t>
    <rPh sb="0" eb="2">
      <t>シュツリョク</t>
    </rPh>
    <phoneticPr fontId="8"/>
  </si>
  <si>
    <t>floors_</t>
    <phoneticPr fontId="8"/>
  </si>
  <si>
    <t>.tmp</t>
    <phoneticPr fontId="8"/>
  </si>
  <si>
    <t>floors</t>
    <phoneticPr fontId="8"/>
  </si>
  <si>
    <t>enemy_habitats_</t>
    <phoneticPr fontId="8"/>
  </si>
  <si>
    <t>enemy_habitats</t>
    <phoneticPr fontId="8"/>
  </si>
  <si>
    <t>enemy_habitat_S_</t>
    <phoneticPr fontId="8"/>
  </si>
  <si>
    <t>enemy_habitat_S</t>
    <phoneticPr fontId="8"/>
  </si>
  <si>
    <t>enemy_skill_sets_</t>
    <phoneticPr fontId="8"/>
  </si>
  <si>
    <t>enemy_skill_sets</t>
    <phoneticPr fontId="8"/>
  </si>
  <si>
    <t>enemy_skills_tmp_</t>
    <phoneticPr fontId="8"/>
  </si>
  <si>
    <t>.tmp</t>
    <phoneticPr fontId="8"/>
  </si>
  <si>
    <t>enemy_skills_i18n_</t>
    <phoneticPr fontId="8"/>
  </si>
  <si>
    <t>enemy_skills</t>
    <phoneticPr fontId="8"/>
  </si>
  <si>
    <t>enemy_skill_triggers_</t>
    <phoneticPr fontId="8"/>
  </si>
  <si>
    <t>.tmp</t>
    <phoneticPr fontId="8"/>
  </si>
  <si>
    <t>enemy_skill_triggers</t>
    <phoneticPr fontId="8"/>
  </si>
  <si>
    <t>hp_termination</t>
    <phoneticPr fontId="8"/>
  </si>
  <si>
    <t>invoke_weight</t>
    <phoneticPr fontId="8"/>
  </si>
  <si>
    <t>every_time_count</t>
    <phoneticPr fontId="8"/>
  </si>
  <si>
    <t>neighbor_dead_id</t>
    <phoneticPr fontId="8"/>
  </si>
  <si>
    <t>language</t>
    <phoneticPr fontId="8"/>
  </si>
  <si>
    <t>ja</t>
    <phoneticPr fontId="8"/>
  </si>
  <si>
    <t>skill_set_id</t>
    <phoneticPr fontId="8"/>
  </si>
  <si>
    <t>スキル</t>
    <phoneticPr fontId="8"/>
  </si>
  <si>
    <t>出力flg</t>
    <rPh sb="0" eb="2">
      <t>シュツリョク</t>
    </rPh>
    <phoneticPr fontId="8"/>
  </si>
  <si>
    <t>中間文字列１</t>
    <rPh sb="0" eb="2">
      <t>チュウカン</t>
    </rPh>
    <rPh sb="2" eb="5">
      <t>モジレツ</t>
    </rPh>
    <phoneticPr fontId="8"/>
  </si>
  <si>
    <t>効果１文字列</t>
    <rPh sb="0" eb="2">
      <t>コウカ</t>
    </rPh>
    <rPh sb="3" eb="6">
      <t>モジレツ</t>
    </rPh>
    <phoneticPr fontId="8"/>
  </si>
  <si>
    <t>効果１簡易デコード</t>
    <rPh sb="0" eb="2">
      <t>コウカ</t>
    </rPh>
    <rPh sb="3" eb="5">
      <t>カンイ</t>
    </rPh>
    <phoneticPr fontId="8"/>
  </si>
  <si>
    <t>効果２文字列</t>
    <rPh sb="0" eb="2">
      <t>コウカ</t>
    </rPh>
    <rPh sb="3" eb="6">
      <t>モジレツ</t>
    </rPh>
    <phoneticPr fontId="8"/>
  </si>
  <si>
    <t>効果２簡易デコード</t>
    <rPh sb="0" eb="2">
      <t>コウカ</t>
    </rPh>
    <rPh sb="3" eb="5">
      <t>カンイ</t>
    </rPh>
    <phoneticPr fontId="8"/>
  </si>
  <si>
    <t>効果３文字列</t>
    <rPh sb="0" eb="2">
      <t>コウカ</t>
    </rPh>
    <rPh sb="3" eb="6">
      <t>モジレツ</t>
    </rPh>
    <phoneticPr fontId="8"/>
  </si>
  <si>
    <t>効果３簡易デコード</t>
    <rPh sb="0" eb="2">
      <t>コウカ</t>
    </rPh>
    <rPh sb="3" eb="5">
      <t>カンイ</t>
    </rPh>
    <phoneticPr fontId="8"/>
  </si>
  <si>
    <t>効果１efect位置</t>
    <rPh sb="0" eb="2">
      <t>コウカ</t>
    </rPh>
    <rPh sb="8" eb="10">
      <t>イチ</t>
    </rPh>
    <phoneticPr fontId="8"/>
  </si>
  <si>
    <t>効果１target位置</t>
    <rPh sb="0" eb="2">
      <t>コウカ</t>
    </rPh>
    <rPh sb="9" eb="11">
      <t>イチ</t>
    </rPh>
    <phoneticPr fontId="8"/>
  </si>
  <si>
    <t>効果1終了位置</t>
    <rPh sb="0" eb="2">
      <t>コウカ</t>
    </rPh>
    <rPh sb="3" eb="5">
      <t>シュウリョウ</t>
    </rPh>
    <rPh sb="5" eb="7">
      <t>イチ</t>
    </rPh>
    <phoneticPr fontId="8"/>
  </si>
  <si>
    <t>効果1target終了位置</t>
    <rPh sb="0" eb="2">
      <t>コウカ</t>
    </rPh>
    <rPh sb="9" eb="11">
      <t>シュウリョウ</t>
    </rPh>
    <rPh sb="11" eb="13">
      <t>イチ</t>
    </rPh>
    <phoneticPr fontId="8"/>
  </si>
  <si>
    <t>効果2efect位置</t>
    <rPh sb="0" eb="2">
      <t>コウカ</t>
    </rPh>
    <rPh sb="8" eb="10">
      <t>イチ</t>
    </rPh>
    <phoneticPr fontId="8"/>
  </si>
  <si>
    <t>効果2終了位置</t>
    <rPh sb="0" eb="2">
      <t>コウカ</t>
    </rPh>
    <rPh sb="3" eb="5">
      <t>シュウリョウ</t>
    </rPh>
    <rPh sb="5" eb="7">
      <t>イチ</t>
    </rPh>
    <phoneticPr fontId="8"/>
  </si>
  <si>
    <t>効果2target位置</t>
    <rPh sb="0" eb="2">
      <t>コウカ</t>
    </rPh>
    <rPh sb="9" eb="11">
      <t>イチ</t>
    </rPh>
    <phoneticPr fontId="8"/>
  </si>
  <si>
    <t>効果2target終了位置</t>
    <rPh sb="0" eb="2">
      <t>コウカ</t>
    </rPh>
    <rPh sb="9" eb="11">
      <t>シュウリョウ</t>
    </rPh>
    <rPh sb="11" eb="13">
      <t>イチ</t>
    </rPh>
    <phoneticPr fontId="8"/>
  </si>
  <si>
    <t>効果3efect位置</t>
    <rPh sb="0" eb="2">
      <t>コウカ</t>
    </rPh>
    <rPh sb="8" eb="10">
      <t>イチ</t>
    </rPh>
    <phoneticPr fontId="8"/>
  </si>
  <si>
    <t>効果3終了位置</t>
    <rPh sb="0" eb="2">
      <t>コウカ</t>
    </rPh>
    <rPh sb="3" eb="5">
      <t>シュウリョウ</t>
    </rPh>
    <rPh sb="5" eb="7">
      <t>イチ</t>
    </rPh>
    <phoneticPr fontId="8"/>
  </si>
  <si>
    <t>効果3target位置</t>
    <rPh sb="0" eb="2">
      <t>コウカ</t>
    </rPh>
    <rPh sb="9" eb="11">
      <t>イチ</t>
    </rPh>
    <phoneticPr fontId="8"/>
  </si>
  <si>
    <t>効果3target終了位置</t>
    <rPh sb="0" eb="2">
      <t>コウカ</t>
    </rPh>
    <rPh sb="9" eb="11">
      <t>シュウリョウ</t>
    </rPh>
    <rPh sb="11" eb="13">
      <t>イチ</t>
    </rPh>
    <phoneticPr fontId="8"/>
  </si>
  <si>
    <t>quest_id</t>
    <phoneticPr fontId="8"/>
  </si>
  <si>
    <t>stage_id</t>
    <phoneticPr fontId="8"/>
  </si>
  <si>
    <t>temp_stage</t>
    <phoneticPr fontId="10"/>
  </si>
  <si>
    <t>stage_target</t>
    <phoneticPr fontId="8"/>
  </si>
  <si>
    <t>bonus_id</t>
    <phoneticPr fontId="8"/>
  </si>
  <si>
    <t>bonus_type</t>
    <phoneticPr fontId="8"/>
  </si>
  <si>
    <t>bonus_value</t>
    <phoneticPr fontId="8"/>
  </si>
  <si>
    <t>bonus_count</t>
    <phoneticPr fontId="8"/>
  </si>
  <si>
    <t>level</t>
    <phoneticPr fontId="8"/>
  </si>
  <si>
    <t>skill_level</t>
    <phoneticPr fontId="8"/>
  </si>
  <si>
    <t>hp_plus</t>
    <phoneticPr fontId="8"/>
  </si>
  <si>
    <t>attack_plus</t>
    <phoneticPr fontId="8"/>
  </si>
  <si>
    <t>defense_plus</t>
    <phoneticPr fontId="8"/>
  </si>
  <si>
    <t>heal_plus</t>
    <phoneticPr fontId="8"/>
  </si>
  <si>
    <t>bug</t>
    <phoneticPr fontId="8"/>
  </si>
  <si>
    <t>weight</t>
    <phoneticPr fontId="8"/>
  </si>
  <si>
    <t>definite_start_date</t>
    <phoneticPr fontId="8"/>
  </si>
  <si>
    <t>definite_end_date</t>
    <phoneticPr fontId="8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</si>
  <si>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</si>
  <si>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bugbonuses</t>
    <phoneticPr fontId="8"/>
  </si>
  <si>
    <t>stage_id</t>
    <phoneticPr fontId="8"/>
  </si>
  <si>
    <t>stage_target</t>
    <phoneticPr fontId="8"/>
  </si>
  <si>
    <t>bonus_id</t>
    <phoneticPr fontId="8"/>
  </si>
  <si>
    <t>bonus_type</t>
    <phoneticPr fontId="8"/>
  </si>
  <si>
    <t>stage_bug_bonuses_</t>
    <phoneticPr fontId="8"/>
  </si>
  <si>
    <t>skill_level</t>
    <phoneticPr fontId="8"/>
  </si>
  <si>
    <t>skill_level</t>
    <phoneticPr fontId="8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</si>
  <si>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</si>
  <si>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quest_id</t>
    <phoneticPr fontId="8"/>
  </si>
  <si>
    <t>hint_id</t>
    <phoneticPr fontId="8"/>
  </si>
  <si>
    <t>floor_id</t>
    <phoneticPr fontId="8"/>
  </si>
  <si>
    <t>hint_type</t>
    <phoneticPr fontId="8"/>
  </si>
  <si>
    <t>hint</t>
    <phoneticPr fontId="8"/>
  </si>
  <si>
    <t>title</t>
    <phoneticPr fontId="8"/>
  </si>
  <si>
    <t>skip</t>
  </si>
  <si>
    <t>hint_type</t>
    <phoneticPr fontId="8"/>
  </si>
  <si>
    <t>quest_id</t>
    <phoneticPr fontId="8"/>
  </si>
  <si>
    <t>name</t>
    <phoneticPr fontId="8"/>
  </si>
  <si>
    <t>stage_id</t>
    <phoneticPr fontId="8"/>
  </si>
  <si>
    <t>name</t>
    <phoneticPr fontId="8"/>
  </si>
  <si>
    <t>floor_id</t>
    <phoneticPr fontId="8"/>
  </si>
  <si>
    <t>tmp_hint_id</t>
    <phoneticPr fontId="8"/>
  </si>
  <si>
    <t>hint_id</t>
    <phoneticPr fontId="8"/>
  </si>
  <si>
    <t>filename</t>
    <phoneticPr fontId="8"/>
  </si>
  <si>
    <t>stage_hints_data_c_</t>
    <phoneticPr fontId="8"/>
  </si>
  <si>
    <t>stage_hints_data_f_</t>
    <phoneticPr fontId="8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</si>
  <si>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8"/>
  </si>
  <si>
    <t>hint_id</t>
    <phoneticPr fontId="8"/>
  </si>
  <si>
    <t>language</t>
    <phoneticPr fontId="8"/>
  </si>
  <si>
    <t>hint</t>
    <phoneticPr fontId="8"/>
  </si>
  <si>
    <t>filename</t>
  </si>
  <si>
    <t>title</t>
    <phoneticPr fontId="8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</si>
  <si>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8"/>
  </si>
  <si>
    <t>stage_hints_failure</t>
    <phoneticPr fontId="8"/>
  </si>
  <si>
    <t>stage_hints_failure</t>
    <phoneticPr fontId="8"/>
  </si>
  <si>
    <t>param_code_damage_givn</t>
    <phoneticPr fontId="8"/>
  </si>
  <si>
    <t>param_code_damage_received</t>
    <phoneticPr fontId="8"/>
  </si>
  <si>
    <t>param_code_clear_turn</t>
    <phoneticPr fontId="8"/>
  </si>
  <si>
    <t>upper_ranking</t>
    <phoneticPr fontId="8"/>
  </si>
  <si>
    <t>lower_ranking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</si>
  <si>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</si>
  <si>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</si>
  <si>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</si>
  <si>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</si>
  <si>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</si>
  <si>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</si>
  <si>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</si>
  <si>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</si>
  <si>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temp_gift_id</t>
    <phoneticPr fontId="8"/>
  </si>
  <si>
    <t>ranking_ACH_</t>
    <phoneticPr fontId="8"/>
  </si>
  <si>
    <t>ranking_ACH</t>
    <phoneticPr fontId="8"/>
  </si>
  <si>
    <t>quest_id</t>
    <phoneticPr fontId="8"/>
  </si>
  <si>
    <t>upper_ranking</t>
    <phoneticPr fontId="8"/>
  </si>
  <si>
    <t>lower_ranking</t>
    <phoneticPr fontId="8"/>
  </si>
  <si>
    <t>gift_id</t>
    <phoneticPr fontId="8"/>
  </si>
  <si>
    <t>gifts_tmp_</t>
    <phoneticPr fontId="10"/>
  </si>
  <si>
    <t>gift_id</t>
    <phoneticPr fontId="10"/>
  </si>
  <si>
    <t>gifts_i18n_</t>
    <phoneticPr fontId="10"/>
  </si>
  <si>
    <t>title</t>
    <phoneticPr fontId="10"/>
  </si>
  <si>
    <t>detail</t>
    <phoneticPr fontId="10"/>
  </si>
  <si>
    <t>ranking_floors_</t>
    <phoneticPr fontId="8"/>
  </si>
  <si>
    <t>ranking_stages_</t>
    <phoneticPr fontId="8"/>
  </si>
  <si>
    <t>clear_bonus</t>
    <phoneticPr fontId="8"/>
  </si>
  <si>
    <t>ranking_stages</t>
    <phoneticPr fontId="8"/>
  </si>
  <si>
    <t>param_code</t>
    <phoneticPr fontId="8"/>
  </si>
  <si>
    <t>x</t>
    <phoneticPr fontId="8"/>
  </si>
  <si>
    <t>a</t>
    <phoneticPr fontId="8"/>
  </si>
  <si>
    <t>b</t>
    <phoneticPr fontId="8"/>
  </si>
  <si>
    <t>clear_turn_</t>
    <phoneticPr fontId="8"/>
  </si>
  <si>
    <t>damage_give_</t>
    <phoneticPr fontId="8"/>
  </si>
  <si>
    <t>damage_receive</t>
    <phoneticPr fontId="8"/>
  </si>
  <si>
    <t>damage_receive_</t>
    <phoneticPr fontId="8"/>
  </si>
  <si>
    <t>clear_turn</t>
    <phoneticPr fontId="8"/>
  </si>
  <si>
    <t>damege_give</t>
    <phoneticPr fontId="8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</si>
  <si>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</si>
  <si>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</si>
  <si>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</si>
  <si>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</si>
  <si>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language</t>
    <phoneticPr fontId="8"/>
  </si>
  <si>
    <t>evaluation</t>
    <phoneticPr fontId="8"/>
  </si>
  <si>
    <t>animation_file_name</t>
    <phoneticPr fontId="8"/>
  </si>
  <si>
    <t>ranking_eval_data_</t>
    <phoneticPr fontId="8"/>
  </si>
  <si>
    <t>ranking_eval_i18n_</t>
    <phoneticPr fontId="8"/>
  </si>
  <si>
    <t>ranking_eval</t>
  </si>
  <si>
    <t>skill_level</t>
  </si>
  <si>
    <t>x</t>
    <phoneticPr fontId="8"/>
  </si>
  <si>
    <t>y</t>
    <phoneticPr fontId="8"/>
  </si>
  <si>
    <t>a</t>
    <phoneticPr fontId="8"/>
  </si>
  <si>
    <t>param_code</t>
    <phoneticPr fontId="8"/>
  </si>
  <si>
    <t>x</t>
    <phoneticPr fontId="8"/>
  </si>
  <si>
    <t>y</t>
    <phoneticPr fontId="8"/>
  </si>
  <si>
    <t>a</t>
    <phoneticPr fontId="8"/>
  </si>
  <si>
    <t>b</t>
    <phoneticPr fontId="8"/>
  </si>
  <si>
    <t>animation_file_name</t>
    <phoneticPr fontId="8"/>
  </si>
  <si>
    <t>ja</t>
    <phoneticPr fontId="10"/>
  </si>
  <si>
    <t>SSS</t>
    <phoneticPr fontId="10"/>
  </si>
  <si>
    <t>View/RankingBattle_Evelution_SSS.ccbi</t>
    <phoneticPr fontId="10"/>
  </si>
  <si>
    <t>SS</t>
    <phoneticPr fontId="10"/>
  </si>
  <si>
    <t>View/RankingBattle_Evelution_SS.ccbi</t>
    <phoneticPr fontId="10"/>
  </si>
  <si>
    <t>S</t>
    <phoneticPr fontId="10"/>
  </si>
  <si>
    <t>View/RankingBattle_Evelution_S.ccbi</t>
    <phoneticPr fontId="10"/>
  </si>
  <si>
    <t>AAA</t>
    <phoneticPr fontId="10"/>
  </si>
  <si>
    <t>View/RankingBattle_Evelution_AAA.ccbi</t>
    <phoneticPr fontId="10"/>
  </si>
  <si>
    <t>AA</t>
    <phoneticPr fontId="10"/>
  </si>
  <si>
    <t>View/RankingBattle_Evelution_AA.ccbi</t>
    <phoneticPr fontId="10"/>
  </si>
  <si>
    <t>A</t>
    <phoneticPr fontId="10"/>
  </si>
  <si>
    <t>View/RankingBattle_Evelution_A.ccbi</t>
    <phoneticPr fontId="10"/>
  </si>
  <si>
    <t>B</t>
    <phoneticPr fontId="10"/>
  </si>
  <si>
    <t>View/RankingBattle_Evelution_B.ccbi</t>
    <phoneticPr fontId="10"/>
  </si>
  <si>
    <t>C</t>
    <phoneticPr fontId="10"/>
  </si>
  <si>
    <t>View/RankingBattle_Evelution_C.ccbi</t>
    <phoneticPr fontId="10"/>
  </si>
  <si>
    <t>language</t>
    <phoneticPr fontId="10"/>
  </si>
  <si>
    <t>message</t>
    <phoneticPr fontId="10"/>
  </si>
  <si>
    <t>item</t>
    <phoneticPr fontId="10"/>
  </si>
  <si>
    <t>ja</t>
    <phoneticPr fontId="10"/>
  </si>
  <si>
    <t>槍のランキングチケット × 1</t>
    <phoneticPr fontId="10"/>
  </si>
  <si>
    <t>ランキングクエスト報酬</t>
    <rPh sb="9" eb="11">
      <t>ホウシュウ</t>
    </rPh>
    <phoneticPr fontId="10"/>
  </si>
  <si>
    <t>槍のチケットピース × 2</t>
    <phoneticPr fontId="10"/>
  </si>
  <si>
    <t>polygon</t>
    <phoneticPr fontId="10"/>
  </si>
  <si>
    <t>null</t>
    <phoneticPr fontId="8"/>
  </si>
  <si>
    <t>ja</t>
    <phoneticPr fontId="10"/>
  </si>
  <si>
    <t>ポリゴン×10</t>
    <phoneticPr fontId="10"/>
  </si>
  <si>
    <t>unit</t>
    <phoneticPr fontId="10"/>
  </si>
  <si>
    <t>リトルハンプティ×1</t>
    <phoneticPr fontId="10"/>
  </si>
  <si>
    <t>ギガ秘術の果実×1</t>
    <rPh sb="2" eb="4">
      <t>ヒジュツ</t>
    </rPh>
    <rPh sb="5" eb="7">
      <t>カジツ</t>
    </rPh>
    <phoneticPr fontId="10"/>
  </si>
  <si>
    <t>item</t>
    <phoneticPr fontId="10"/>
  </si>
  <si>
    <t>槍のランキングチケット × 1</t>
    <phoneticPr fontId="10"/>
  </si>
  <si>
    <t>item</t>
    <phoneticPr fontId="10"/>
  </si>
  <si>
    <t>ja</t>
    <phoneticPr fontId="10"/>
  </si>
  <si>
    <t>槍のチケットピース × 1</t>
    <phoneticPr fontId="10"/>
  </si>
  <si>
    <t>polygon</t>
    <phoneticPr fontId="10"/>
  </si>
  <si>
    <t>null</t>
    <phoneticPr fontId="8"/>
  </si>
  <si>
    <t>ポリゴン×5</t>
    <phoneticPr fontId="10"/>
  </si>
  <si>
    <t>unit</t>
    <phoneticPr fontId="10"/>
  </si>
  <si>
    <t>メガ秘術の果実 ×1</t>
    <rPh sb="2" eb="4">
      <t>ヒジュツ</t>
    </rPh>
    <rPh sb="5" eb="7">
      <t>カジツ</t>
    </rPh>
    <phoneticPr fontId="10"/>
  </si>
  <si>
    <t>マスターキー×3</t>
    <phoneticPr fontId="10"/>
  </si>
  <si>
    <t>槍のチケットピース × 3</t>
    <phoneticPr fontId="10"/>
  </si>
  <si>
    <t>unit</t>
    <phoneticPr fontId="10"/>
  </si>
  <si>
    <t>ja</t>
    <phoneticPr fontId="10"/>
  </si>
  <si>
    <t>炎のメタルジェントル ×1</t>
    <rPh sb="0" eb="1">
      <t>ホノオ</t>
    </rPh>
    <phoneticPr fontId="10"/>
  </si>
  <si>
    <t>unit</t>
    <phoneticPr fontId="10"/>
  </si>
  <si>
    <t>森のメタルジェントル ×1</t>
    <rPh sb="0" eb="1">
      <t>モリノ</t>
    </rPh>
    <phoneticPr fontId="10"/>
  </si>
  <si>
    <t>水のメタルジェントル ×1</t>
    <rPh sb="0" eb="1">
      <t>ミズノ</t>
    </rPh>
    <phoneticPr fontId="10"/>
  </si>
  <si>
    <t>unit</t>
    <phoneticPr fontId="10"/>
  </si>
  <si>
    <t>ja</t>
    <phoneticPr fontId="10"/>
  </si>
  <si>
    <t>雷のメタルジェントル ×1</t>
    <rPh sb="0" eb="1">
      <t>カミナリ</t>
    </rPh>
    <phoneticPr fontId="10"/>
  </si>
  <si>
    <t>polygon</t>
    <phoneticPr fontId="10"/>
  </si>
  <si>
    <t>ポリゴン×5</t>
    <phoneticPr fontId="10"/>
  </si>
  <si>
    <t>unit</t>
    <phoneticPr fontId="10"/>
  </si>
  <si>
    <t>ja</t>
    <phoneticPr fontId="10"/>
  </si>
  <si>
    <t>秘術の果実 ×1</t>
    <rPh sb="0" eb="2">
      <t>ヒジュツ</t>
    </rPh>
    <rPh sb="3" eb="5">
      <t>カジツ</t>
    </rPh>
    <phoneticPr fontId="10"/>
  </si>
  <si>
    <t>item</t>
    <phoneticPr fontId="10"/>
  </si>
  <si>
    <t>ja</t>
    <phoneticPr fontId="10"/>
  </si>
  <si>
    <t>マスターキー×1</t>
    <phoneticPr fontId="10"/>
  </si>
  <si>
    <t>unit</t>
    <phoneticPr fontId="10"/>
  </si>
  <si>
    <t>ja</t>
    <phoneticPr fontId="10"/>
  </si>
  <si>
    <t>unit</t>
    <phoneticPr fontId="10"/>
  </si>
  <si>
    <t>polygon</t>
    <phoneticPr fontId="10"/>
  </si>
  <si>
    <t>null</t>
    <phoneticPr fontId="8"/>
  </si>
  <si>
    <t>ポリゴン×5</t>
    <phoneticPr fontId="10"/>
  </si>
  <si>
    <t>link</t>
    <phoneticPr fontId="10"/>
  </si>
  <si>
    <t>2000リンク</t>
    <phoneticPr fontId="10"/>
  </si>
  <si>
    <t>item</t>
    <phoneticPr fontId="10"/>
  </si>
  <si>
    <t>槍のチケットピース × 1</t>
    <phoneticPr fontId="10"/>
  </si>
  <si>
    <t>ja</t>
    <phoneticPr fontId="10"/>
  </si>
  <si>
    <t>炎のメタルダック ×1</t>
    <rPh sb="0" eb="1">
      <t>ホノオ</t>
    </rPh>
    <phoneticPr fontId="10"/>
  </si>
  <si>
    <t>森のメタルダック ×1</t>
    <rPh sb="0" eb="1">
      <t>モリノ</t>
    </rPh>
    <phoneticPr fontId="10"/>
  </si>
  <si>
    <t>水のメタルダック ×1</t>
    <rPh sb="0" eb="1">
      <t>ミズノ</t>
    </rPh>
    <phoneticPr fontId="10"/>
  </si>
  <si>
    <t>雷のメタルダック ×1</t>
    <rPh sb="0" eb="1">
      <t>カミナリ</t>
    </rPh>
    <phoneticPr fontId="10"/>
  </si>
  <si>
    <t>null</t>
    <phoneticPr fontId="8"/>
  </si>
  <si>
    <t>ポリゴン×3</t>
    <phoneticPr fontId="10"/>
  </si>
  <si>
    <t>bit</t>
    <phoneticPr fontId="10"/>
  </si>
  <si>
    <t>20万ビット</t>
    <rPh sb="2" eb="3">
      <t>マン</t>
    </rPh>
    <phoneticPr fontId="10"/>
  </si>
  <si>
    <t>polygon</t>
    <phoneticPr fontId="10"/>
  </si>
  <si>
    <t>ポリゴン×2</t>
    <phoneticPr fontId="10"/>
  </si>
  <si>
    <t>1000リンク</t>
    <phoneticPr fontId="10"/>
  </si>
  <si>
    <t>15万ビット</t>
    <rPh sb="2" eb="3">
      <t>マン</t>
    </rPh>
    <phoneticPr fontId="10"/>
  </si>
  <si>
    <t>ポリゴン×1</t>
    <phoneticPr fontId="10"/>
  </si>
  <si>
    <t>1000リンク</t>
    <phoneticPr fontId="10"/>
  </si>
  <si>
    <t>10万ビット</t>
    <rPh sb="2" eb="3">
      <t>マン</t>
    </rPh>
    <phoneticPr fontId="10"/>
  </si>
  <si>
    <t>クロネッカーチャレンジ
順位報酬</t>
    <rPh sb="12" eb="14">
      <t>ジュンイ</t>
    </rPh>
    <rPh sb="14" eb="16">
      <t>ホウシュウ</t>
    </rPh>
    <phoneticPr fontId="10"/>
  </si>
  <si>
    <t>x</t>
    <phoneticPr fontId="8"/>
  </si>
  <si>
    <t>y</t>
    <phoneticPr fontId="8"/>
  </si>
  <si>
    <t>b</t>
    <phoneticPr fontId="8"/>
  </si>
  <si>
    <t>次条係数</t>
    <rPh sb="0" eb="2">
      <t>jijyou</t>
    </rPh>
    <rPh sb="2" eb="4">
      <t>ケイス</t>
    </rPh>
    <phoneticPr fontId="8"/>
  </si>
  <si>
    <t>null</t>
    <phoneticPr fontId="8"/>
  </si>
  <si>
    <t>null</t>
    <phoneticPr fontId="8"/>
  </si>
  <si>
    <t>null</t>
    <phoneticPr fontId="8"/>
  </si>
  <si>
    <t>null</t>
    <phoneticPr fontId="8"/>
  </si>
  <si>
    <t>null</t>
    <phoneticPr fontId="8"/>
  </si>
  <si>
    <t>null</t>
    <phoneticPr fontId="8"/>
  </si>
  <si>
    <t>奇跡を見せますっ！！</t>
    <phoneticPr fontId="8"/>
  </si>
  <si>
    <t>あなた達すごいですっ！！</t>
    <phoneticPr fontId="8"/>
  </si>
  <si>
    <t>チェーンブレード！</t>
    <phoneticPr fontId="8"/>
  </si>
  <si>
    <t>作られたものは…脆弱</t>
    <phoneticPr fontId="8"/>
  </si>
  <si>
    <t>きみ、食べていーい？</t>
    <phoneticPr fontId="8"/>
  </si>
  <si>
    <t>ウォーターライド！</t>
    <phoneticPr fontId="8"/>
  </si>
  <si>
    <t>僕がちゃんと守る…</t>
    <phoneticPr fontId="8"/>
  </si>
  <si>
    <t>癒しの光を…</t>
    <phoneticPr fontId="8"/>
  </si>
  <si>
    <t>ここは…僕が守るから…</t>
    <phoneticPr fontId="8"/>
  </si>
  <si>
    <t>僕、強くなる…</t>
    <phoneticPr fontId="8"/>
  </si>
  <si>
    <t>ここで終われない…</t>
    <phoneticPr fontId="8"/>
  </si>
  <si>
    <t>大事にしてね？</t>
    <phoneticPr fontId="8"/>
  </si>
  <si>
    <t>祝福と洗礼ですっ！！</t>
    <phoneticPr fontId="8"/>
  </si>
  <si>
    <t>ターゲット確認っ！</t>
    <phoneticPr fontId="8"/>
  </si>
  <si>
    <t>激流に乗ってこー！</t>
    <phoneticPr fontId="8"/>
  </si>
  <si>
    <t>簡単には終わらせないわよ！</t>
    <phoneticPr fontId="8"/>
  </si>
  <si>
    <t>証明完了よ！</t>
    <phoneticPr fontId="8"/>
  </si>
  <si>
    <t>思い通りにはさせないわ！</t>
    <phoneticPr fontId="8"/>
  </si>
  <si>
    <t>フィールド・プロテクト</t>
    <phoneticPr fontId="8"/>
  </si>
  <si>
    <t>ノイズが邪魔ね…</t>
    <phoneticPr fontId="8"/>
  </si>
  <si>
    <t>残らずデリートするわ！</t>
    <phoneticPr fontId="8"/>
  </si>
  <si>
    <t>デルタ・ウィップ</t>
    <phoneticPr fontId="8"/>
  </si>
  <si>
    <t>耐えられるかしら？</t>
    <phoneticPr fontId="8"/>
  </si>
  <si>
    <t>壊れちゃうかしら？</t>
    <phoneticPr fontId="8"/>
  </si>
  <si>
    <t>ピンと来たわ！</t>
    <phoneticPr fontId="8"/>
  </si>
  <si>
    <t>全体攻撃</t>
    <phoneticPr fontId="8"/>
  </si>
  <si>
    <t xml:space="preserve">赤パネルをプロテクト </t>
    <phoneticPr fontId="8"/>
  </si>
  <si>
    <t>次のターンに赤パネル吸収攻撃</t>
    <phoneticPr fontId="8"/>
  </si>
  <si>
    <t xml:space="preserve">青パネルをプロテクト </t>
    <phoneticPr fontId="8"/>
  </si>
  <si>
    <t>容赦しないわよ！</t>
    <phoneticPr fontId="8"/>
  </si>
  <si>
    <t>なるほど…見えてきたわ！</t>
    <phoneticPr fontId="8"/>
  </si>
  <si>
    <t>不意打ちさせてもらうわ！</t>
    <phoneticPr fontId="8"/>
  </si>
  <si>
    <t>食い止めてみせる…！</t>
    <phoneticPr fontId="8"/>
  </si>
  <si>
    <t>あなたは[player_ranking_grade]なのね？</t>
    <phoneticPr fontId="8"/>
  </si>
  <si>
    <t>アンチシールド・インパクト</t>
    <phoneticPr fontId="8"/>
  </si>
  <si>
    <t>null</t>
  </si>
  <si>
    <t>null</t>
    <phoneticPr fontId="8"/>
  </si>
  <si>
    <t>null</t>
    <phoneticPr fontId="8"/>
  </si>
  <si>
    <t>早く来なさいよね！</t>
    <phoneticPr fontId="8"/>
  </si>
  <si>
    <t>全域にジャミングします！</t>
    <phoneticPr fontId="8"/>
  </si>
  <si>
    <t>限界突破！殲滅します！</t>
    <phoneticPr fontId="8"/>
  </si>
  <si>
    <t>作戦準備オーケー！</t>
    <phoneticPr fontId="8"/>
  </si>
  <si>
    <t>どうかしら？</t>
    <phoneticPr fontId="8"/>
  </si>
  <si>
    <t>old</t>
    <phoneticPr fontId="8"/>
  </si>
  <si>
    <t>奥で待ってるわ</t>
    <phoneticPr fontId="8"/>
  </si>
  <si>
    <t>耐性テストを開始するわ</t>
    <phoneticPr fontId="8"/>
  </si>
  <si>
    <t>[effect:enemy_message, val1:1.2, val2:1.2],[effect:spread, val:0.2]</t>
    <phoneticPr fontId="8"/>
  </si>
  <si>
    <t>[effect:enemy_message, val1:1.2, val2:1.2],[effect:spread, val:0.25]</t>
    <phoneticPr fontId="8"/>
  </si>
  <si>
    <t xml:space="preserve">[effect:enemy_message, val1:1.2, val2:1.2],[effect:rush, count:3, val:0.3]    </t>
    <phoneticPr fontId="8"/>
  </si>
  <si>
    <t>[effect:enemy_message, val1:1.2, val2:1.2],[effect:rush, count:5, val:0.2]</t>
    <phoneticPr fontId="8"/>
  </si>
  <si>
    <t>[effect:enemy_message, val1:1.2, val2:1.2]</t>
    <phoneticPr fontId="8"/>
  </si>
  <si>
    <t>[effect:enemy_message, val1:1.2, val2:1.2],[effect:spread, val:0.15],[effect:spread, val:0.15]</t>
    <phoneticPr fontId="8"/>
  </si>
  <si>
    <t>それ、壊さないで…</t>
    <phoneticPr fontId="8"/>
  </si>
  <si>
    <t>[effect:enemy_message, val1:1.2, val2:1.2],[effect:fix_speed, target:myself, turn:2],[effect:tolerance, target:myself, turn:-1, count:-1, tolerance_effect:all, animation:enemy_tolerance]</t>
    <phoneticPr fontId="8"/>
  </si>
  <si>
    <t>状態異常耐性</t>
    <rPh sb="4" eb="6">
      <t>タイセ</t>
    </rPh>
    <phoneticPr fontId="8"/>
  </si>
  <si>
    <t>全体攻撃</t>
    <phoneticPr fontId="8"/>
  </si>
  <si>
    <t>クリティカル！</t>
    <phoneticPr fontId="8"/>
  </si>
  <si>
    <t>青パネルを吸収して全体攻撃</t>
    <rPh sb="9" eb="11">
      <t>ゼｎ</t>
    </rPh>
    <phoneticPr fontId="8"/>
  </si>
  <si>
    <t>次のターンに強力な攻撃</t>
    <rPh sb="6" eb="8">
      <t>キョウリョｋ</t>
    </rPh>
    <rPh sb="9" eb="11">
      <t>コウゲｋ</t>
    </rPh>
    <phoneticPr fontId="8"/>
  </si>
  <si>
    <t>クリティカル！</t>
    <phoneticPr fontId="8"/>
  </si>
  <si>
    <t>自身の攻撃頻度UP</t>
    <rPh sb="0" eb="2">
      <t>ジシｎ</t>
    </rPh>
    <phoneticPr fontId="8"/>
  </si>
  <si>
    <t xml:space="preserve">[effect:enemy_message, val1:1.2, val2:1.2],[effect:fix_speed, target:myself, turn:1] </t>
    <phoneticPr fontId="8"/>
  </si>
  <si>
    <t xml:space="preserve">青パネルをプロテクト+単体攻撃 </t>
    <phoneticPr fontId="8"/>
  </si>
  <si>
    <t>1ターン自身の攻撃頻度UP</t>
    <rPh sb="4" eb="6">
      <t>ジシｎ</t>
    </rPh>
    <phoneticPr fontId="8"/>
  </si>
  <si>
    <t xml:space="preserve">[effect:enemy_message, val1:1.2, val2:1.2],[effect:break_heal_fix, val:5000, lowest_val:2000, count:-1, block01:block_blue, target:myself, animation:enemy_heal]    </t>
    <phoneticPr fontId="8"/>
  </si>
  <si>
    <t>青パネルを吸収して回復</t>
    <phoneticPr fontId="8"/>
  </si>
  <si>
    <t xml:space="preserve">[effect:enemy_message, val1:1.2, val2:1.2],[effect:fix_speed, target:myself, turn:1] </t>
    <phoneticPr fontId="8"/>
  </si>
  <si>
    <t>種族ヒューマンのユニットに大ダメージの全体攻撃</t>
    <rPh sb="19" eb="23">
      <t>ゼｎ</t>
    </rPh>
    <phoneticPr fontId="8"/>
  </si>
  <si>
    <t>3回連続攻撃</t>
    <rPh sb="1" eb="2">
      <t>カ</t>
    </rPh>
    <phoneticPr fontId="8"/>
  </si>
  <si>
    <t>[effect:enemy_message, val1:1.2, val2:1.2],[effect:panel_freeze, target:block_red, count:-1, break_count:1]</t>
    <phoneticPr fontId="8"/>
  </si>
  <si>
    <t xml:space="preserve">Cパネルはプロテクトされてドロップ </t>
    <phoneticPr fontId="8"/>
  </si>
  <si>
    <t>種族マシンのユニットに大ダメージの全体攻撃</t>
    <rPh sb="17" eb="21">
      <t>ゼｎ</t>
    </rPh>
    <phoneticPr fontId="8"/>
  </si>
  <si>
    <t>5回連続攻撃</t>
    <rPh sb="1" eb="2">
      <t>カ</t>
    </rPh>
    <phoneticPr fontId="8"/>
  </si>
  <si>
    <t>赤パネルを吸収して全体攻撃</t>
    <rPh sb="9" eb="13">
      <t>ゼｎ</t>
    </rPh>
    <phoneticPr fontId="8"/>
  </si>
  <si>
    <t>2回連続全体攻撃</t>
    <rPh sb="1" eb="2">
      <t>カ</t>
    </rPh>
    <phoneticPr fontId="8"/>
  </si>
  <si>
    <t>なかなかやるじゃない！</t>
    <phoneticPr fontId="8"/>
  </si>
  <si>
    <t>その顔が見たかったわ！</t>
    <rPh sb="2" eb="3">
      <t>カ</t>
    </rPh>
    <rPh sb="4" eb="5">
      <t>ミ</t>
    </rPh>
    <phoneticPr fontId="8"/>
  </si>
  <si>
    <t>[effect:enemy_message, val1:1.3, val2:1.2],[effect:critical, val:1.2]</t>
    <phoneticPr fontId="8"/>
  </si>
  <si>
    <t>[effect:enemy_message, val1:1.2, val2:1.3],[effect:break_attack_fix, val:125, lowest_val:125, count:-1, block:block_blue, target:unit_all]</t>
    <phoneticPr fontId="8"/>
  </si>
  <si>
    <t>[effect:enemy_message, val1:1.2, val2:1.8],[effect:critical, val:1.2]</t>
    <phoneticPr fontId="8"/>
  </si>
  <si>
    <t>[effect:enemy_message, val1:1.2, val2:1.6],[effect:panel_freeze, target:block_blue, count:-1, break_count:1],[effect:rush, count:1, val:1]</t>
    <phoneticPr fontId="8"/>
  </si>
  <si>
    <t>[effect:enemy_message, val1:1.2, val2:1.3],[effect:freq_turn, target:myself, turn:1, val:1, animation:enemy_freq_turn]</t>
    <phoneticPr fontId="8"/>
  </si>
  <si>
    <t xml:space="preserve">[effect:enemy_message, val1:1.3, val2:1.2],[effect:enhance_enemy, target:myself, turn:-1, status:attack, val:0.15, calc:mul, animation:enemy_enhance_attack]    </t>
    <phoneticPr fontId="8"/>
  </si>
  <si>
    <t xml:space="preserve">[effect:enemy_message, val1:1.2, val2:2.3],[effect:damage_anti_tribe, target:unit_all, tribe:human, val1:2, val2:0.25]    </t>
    <phoneticPr fontId="8"/>
  </si>
  <si>
    <t xml:space="preserve">[effect:enemy_message, val1:1.2, val2:1.8],[effect:drop_freeze, block_type:crash, frozen_count:1, rate:1, turn:-1, animation:drop_protect]    </t>
    <phoneticPr fontId="8"/>
  </si>
  <si>
    <t xml:space="preserve">[effect:enemy_message, val1:1.2, val2:2.1],[effect:damage_anti_tribe, target:unit_all, tribe:machine, val1:2, val2:0.25]    </t>
    <phoneticPr fontId="8"/>
  </si>
  <si>
    <t>[effect:enemy_message, val1:1.2, val2:1.4]</t>
    <phoneticPr fontId="8"/>
  </si>
  <si>
    <t>[effect:enemy_message, val1:1.2, val2:1.3],[effect:break_attack_fix, val:250, lowest_val:500, count:-1, block:block_red, target:unit_all]</t>
    <phoneticPr fontId="8"/>
  </si>
  <si>
    <t>[effect:enemy_message, val1:1.3, val2:1.2],[effect:panel_freeze, target:block_blue, count:-1, break_count:1]</t>
    <phoneticPr fontId="8"/>
  </si>
  <si>
    <t>[effect:enemy_message, val1:1.2, val2:3.5],[effect:dis_heart, turn:4, animation:enemy_dis_heart],[effect:rush, val:1, count:1]</t>
    <phoneticPr fontId="8"/>
  </si>
  <si>
    <t>[effect:enemy_message, val1:1.7, val2:1.7]</t>
    <phoneticPr fontId="8"/>
  </si>
  <si>
    <t>種族ヒューマンのユニットに大ダメージの2回連続攻撃+
種族マシンのユニットに大ダメージの2回連続攻撃</t>
    <rPh sb="20" eb="23">
      <t>カ</t>
    </rPh>
    <phoneticPr fontId="8"/>
  </si>
  <si>
    <t>クラクラするでしょ？</t>
    <phoneticPr fontId="8"/>
  </si>
  <si>
    <t>エッグ・フォッシル</t>
    <phoneticPr fontId="8"/>
  </si>
  <si>
    <t>本気、見せちゃう！</t>
    <phoneticPr fontId="8"/>
  </si>
  <si>
    <t>きみたち食べちゃうぞ！</t>
    <phoneticPr fontId="8"/>
  </si>
  <si>
    <t>evaluation_id</t>
    <phoneticPr fontId="8"/>
  </si>
  <si>
    <t>score</t>
    <phoneticPr fontId="8"/>
  </si>
  <si>
    <t>gift_id</t>
    <phoneticPr fontId="8"/>
  </si>
  <si>
    <t>level</t>
    <phoneticPr fontId="8"/>
  </si>
  <si>
    <t>skill_level</t>
    <phoneticPr fontId="8"/>
  </si>
  <si>
    <t>bug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</si>
  <si>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</si>
  <si>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</si>
  <si>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</si>
  <si>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</si>
  <si>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 xml:space="preserve">gift_limit </t>
    <phoneticPr fontId="8"/>
  </si>
  <si>
    <t>unit</t>
    <phoneticPr fontId="10"/>
  </si>
  <si>
    <t>ja</t>
    <phoneticPr fontId="10"/>
  </si>
  <si>
    <t>リトルハンプティ × 1</t>
    <phoneticPr fontId="10"/>
  </si>
  <si>
    <t>ランキングクエストスコア評価報酬</t>
    <rPh sb="12" eb="14">
      <t>ヒョウカ</t>
    </rPh>
    <rPh sb="14" eb="16">
      <t>ホウシュウ</t>
    </rPh>
    <phoneticPr fontId="10"/>
  </si>
  <si>
    <t>マスターキー × 2</t>
    <phoneticPr fontId="10"/>
  </si>
  <si>
    <t>ギガ秘術の果実 × 1</t>
    <rPh sb="2" eb="4">
      <t>ヒジュツ</t>
    </rPh>
    <rPh sb="5" eb="7">
      <t>カジツ</t>
    </rPh>
    <phoneticPr fontId="10"/>
  </si>
  <si>
    <t>ポリゴン × 3</t>
    <phoneticPr fontId="10"/>
  </si>
  <si>
    <t>限界突破キー × 2</t>
    <rPh sb="0" eb="4">
      <t>ゲンカイトッパ</t>
    </rPh>
    <phoneticPr fontId="10"/>
  </si>
  <si>
    <t>経験値キー × 2</t>
    <rPh sb="0" eb="3">
      <t>ケイケンチ</t>
    </rPh>
    <phoneticPr fontId="10"/>
  </si>
  <si>
    <t>ビットキー × 2</t>
    <phoneticPr fontId="10"/>
  </si>
  <si>
    <t>ポリゴン × 2</t>
    <phoneticPr fontId="10"/>
  </si>
  <si>
    <t>200000ビット</t>
    <phoneticPr fontId="8"/>
  </si>
  <si>
    <t>link</t>
    <phoneticPr fontId="10"/>
  </si>
  <si>
    <t>2000リンク</t>
    <phoneticPr fontId="8"/>
  </si>
  <si>
    <t>ß</t>
    <phoneticPr fontId="8"/>
  </si>
  <si>
    <t>クロネッカーチャレンジ
スコア評価報酬</t>
  </si>
  <si>
    <t>槍のチケットピース × 1</t>
    <rPh sb="0" eb="1">
      <t>ヤリ</t>
    </rPh>
    <phoneticPr fontId="10"/>
  </si>
  <si>
    <t>ranking_eval_gift</t>
    <phoneticPr fontId="8"/>
  </si>
  <si>
    <t xml:space="preserve">gift_limit </t>
    <phoneticPr fontId="8"/>
  </si>
  <si>
    <t>gifts_tmp_</t>
    <phoneticPr fontId="8"/>
  </si>
  <si>
    <t>gifts_i18n_</t>
    <phoneticPr fontId="8"/>
  </si>
  <si>
    <t>detail</t>
    <phoneticPr fontId="10"/>
  </si>
  <si>
    <t>ranking_stage_evaluation_gifts_</t>
    <phoneticPr fontId="8"/>
  </si>
  <si>
    <t>状態異常耐性+
1ターン自身の攻撃頻度UP</t>
    <rPh sb="4" eb="6">
      <t>タイセ</t>
    </rPh>
    <phoneticPr fontId="8"/>
  </si>
  <si>
    <t>種族ヒューマンのユニットに大ダメージの2回連続全体攻撃+
種族マシンのユニットに大ダメージの2回連続全体攻撃</t>
    <rPh sb="21" eb="23">
      <t>レンゾク</t>
    </rPh>
    <rPh sb="23" eb="25">
      <t>ゼｎ</t>
    </rPh>
    <rPh sb="50" eb="52">
      <t>ゼｎ</t>
    </rPh>
    <phoneticPr fontId="8"/>
  </si>
  <si>
    <t>ビシバシいくわよ！</t>
    <phoneticPr fontId="8"/>
  </si>
  <si>
    <t>ランダムでハートパネルに最大12個変換 +
クリティカル！</t>
    <rPh sb="12" eb="14">
      <t>サ</t>
    </rPh>
    <rPh sb="16" eb="17">
      <t>コ</t>
    </rPh>
    <phoneticPr fontId="8"/>
  </si>
  <si>
    <t>[effect:enemy_message, val1:1.2, val2:2.9],[effect:force_change_block, new_block:block_heart, target:block_all, ignore01:jammer, ignore02:crash, ignore03:crack_bomb, ignore04:time_bomb, ignore05:magnet, ignore06:damage, ignore07:color_break, count:12, val:0, animation:change_block],[effect:critical, val:1.5]</t>
    <phoneticPr fontId="8"/>
  </si>
  <si>
    <t>ランダムでお邪魔パネルに最大2個変換</t>
    <phoneticPr fontId="8"/>
  </si>
  <si>
    <t xml:space="preserve">[effect:enemy_message, val1:1.3, val2:1.8],[effect:force_change_block, new_block:jammer, target:block_all, ignore01:jammer, ignore02:crash, ignore03:crack_bomb, ignore04:time_bomb, ignore05:magnet, ignore06:damage, ignore07:color_break, count:2, val:0, animation:change_block]    </t>
    <phoneticPr fontId="8"/>
  </si>
  <si>
    <t>ランダムでお邪魔パネルに最大3個変換</t>
    <phoneticPr fontId="8"/>
  </si>
  <si>
    <t xml:space="preserve">[effect:enemy_message, val1:1.2, val2:1.8],[effect:force_change_block, new_block:jammer, target:block_all, ignore01:jammer, ignore02:crash, ignore03:crack_bomb, ignore04:time_bomb, ignore05:magnet, ignore06:damage, ignore07:color_break, count:3, val:0, animation:change_block]    </t>
    <phoneticPr fontId="8"/>
  </si>
  <si>
    <t>1ターン全ユニットの攻撃をカウンター</t>
    <rPh sb="4" eb="5">
      <t>ゼンユニｔｔ</t>
    </rPh>
    <rPh sb="10" eb="12">
      <t>コウゲｋ</t>
    </rPh>
    <phoneticPr fontId="8"/>
  </si>
  <si>
    <t>[effect:enemy_message, val1:1.2, val2:1.8],[effect:enemy_counter, target:myself, invoke_condition:unit_all, counter_target:attacker, turn:1, val:2, animation:enemy_counter]</t>
    <phoneticPr fontId="8"/>
  </si>
  <si>
    <t>1ターン自身の防御力UP+
種族マシンのユニットに大ダメージの単体攻撃</t>
    <rPh sb="4" eb="6">
      <t>ジシｎ</t>
    </rPh>
    <rPh sb="31" eb="35">
      <t>タンタ</t>
    </rPh>
    <phoneticPr fontId="8"/>
  </si>
  <si>
    <t>[effect:enemy_message, val1:1.2, val2:3.5],[effect:enhance_enemy, target:myself, turn:1, status:defense, val:500, calc:add, animation:enemy_enhance_defense],[effect:damage_anti_tribe, target:unit_one, tribe:machine, val1:1.5, val2:1]</t>
    <phoneticPr fontId="8"/>
  </si>
  <si>
    <t>自身の攻撃力UP</t>
    <rPh sb="0" eb="2">
      <t>ジシｎ</t>
    </rPh>
    <phoneticPr fontId="8"/>
  </si>
  <si>
    <t>自身の攻撃頻度UP+単体攻撃</t>
    <rPh sb="0" eb="2">
      <t>ジシｎ</t>
    </rPh>
    <rPh sb="3" eb="7">
      <t>コウゲｋ</t>
    </rPh>
    <rPh sb="12" eb="14">
      <t>コウゲｋ</t>
    </rPh>
    <phoneticPr fontId="8"/>
  </si>
  <si>
    <t>[effect:enemy_message, val1:1.2, val2:1.4],[effect:freq_turn, target:myself, turn:-1, val:1, animation:enemy_freq_turn],[effect:rush, val:1, count:1]</t>
    <phoneticPr fontId="8"/>
  </si>
  <si>
    <t>6000固定ダメージの単体攻撃</t>
    <rPh sb="11" eb="15">
      <t>タンタ</t>
    </rPh>
    <phoneticPr fontId="8"/>
  </si>
  <si>
    <t>60000固定ダメージの単体攻撃</t>
    <rPh sb="12" eb="16">
      <t>タンタ</t>
    </rPh>
    <phoneticPr fontId="8"/>
  </si>
  <si>
    <t>[effect:enemy_message, val1:1.3, val2:1.5],[effect:damage_fix_absolute, target:unit_one, val:6000]</t>
    <phoneticPr fontId="8"/>
  </si>
  <si>
    <t>[effect:enemy_message, val1:1.2, val2:1.6],[effect:damage_fix_absolute, target:unit_one, val:60000]</t>
    <phoneticPr fontId="8"/>
  </si>
  <si>
    <t>5ターン全ユニットのボムの爆風を20％DOWN</t>
    <rPh sb="4" eb="5">
      <t>ゼｎ</t>
    </rPh>
    <phoneticPr fontId="8"/>
  </si>
  <si>
    <t>5ターン全ユニットのボムの爆風を30％DOWN</t>
    <rPh sb="4" eb="5">
      <t>ゼｎ</t>
    </rPh>
    <phoneticPr fontId="8"/>
  </si>
  <si>
    <t xml:space="preserve">[effect:enemy_message, val1:1.2, val2:2.3],[effect:change_bomb_range, turn:5, target:unit_all, val:0.8, rate:1, animation:bomb_small]    </t>
    <phoneticPr fontId="8"/>
  </si>
  <si>
    <t>[effect:enemy_message, val1:1.2, val2:2.3],[effect:change_bomb_range, turn:5, target:unit_all, val:0.7, rate:1, animation:bomb_small]</t>
    <phoneticPr fontId="8"/>
  </si>
  <si>
    <t>5ターン全ユニットのボムの爆風を40％DOWN</t>
    <rPh sb="4" eb="5">
      <t>ゼｎ</t>
    </rPh>
    <phoneticPr fontId="8"/>
  </si>
  <si>
    <t xml:space="preserve">[effect:enemy_message, val1:1.2, val2:2.3],[effect:change_bomb_range, turn:5, target:unit_all, val:0.6, rate:1, animation:bomb_small]    </t>
    <phoneticPr fontId="8"/>
  </si>
  <si>
    <t>状態異常耐性+
全ユニットの防御力UPを解除+
1ターン全属性ダメージ50％軽減</t>
    <rPh sb="4" eb="6">
      <t>タイセ</t>
    </rPh>
    <rPh sb="8" eb="9">
      <t>ゼｎ</t>
    </rPh>
    <rPh sb="28" eb="29">
      <t>ゼｎ</t>
    </rPh>
    <phoneticPr fontId="8"/>
  </si>
  <si>
    <t>[effect:enemy_message, val1:1.2, val2:4.0],[effect:remove_enhancement, target:unit_all, target_effect:enhance, target_type:buff, status:defense],[effect:tolerance, target:myself, turn:-1, count:-1, tolerance_effect:all, animation:enemy_tolerance],[effect:reduction, target:myself, turn:1, color:all, val:0.5, animation:reduction_one01],[effect:fix_speed, target:myself, turn:1]</t>
    <phoneticPr fontId="8"/>
  </si>
  <si>
    <t>5ターン全ユニットのボムの爆風を50％DOWN</t>
    <rPh sb="4" eb="5">
      <t>ゼｎ</t>
    </rPh>
    <phoneticPr fontId="8"/>
  </si>
  <si>
    <t xml:space="preserve">[effect:enemy_message, val1:1.2, val2:2.3],[effect:change_bomb_range, turn:5, target:unit_all, val:0.5, rate:1, animation:bomb_small]    </t>
    <phoneticPr fontId="8"/>
  </si>
  <si>
    <t>状態異常耐性+
種族ヒューマンと種族マシンに10ターンスキルバインド</t>
    <rPh sb="4" eb="6">
      <t>タイセ</t>
    </rPh>
    <rPh sb="8" eb="10">
      <t>ｓｙ</t>
    </rPh>
    <rPh sb="16" eb="18">
      <t>ｓｙ</t>
    </rPh>
    <phoneticPr fontId="8"/>
  </si>
  <si>
    <t>[effect:enemy_message, val1:2.0, val2:2.1],[effect:tolerance, target:myself, turn:-1, count:-1, tolerance_effect:all, animation:enemy_tolerance],[effect:freq_turn, target:myself, turn:1, val:1, animation:enemy_freq_turn]</t>
    <phoneticPr fontId="8"/>
  </si>
  <si>
    <t>シビれさせてあげるわ！</t>
    <phoneticPr fontId="8"/>
  </si>
  <si>
    <t>[effect:enemy_message, val1:1.2, val2:5.4],[effect:damage_anti_tribe, target:unit_all, tribe:human, val1:3.5, val2:0.1],[effect:damage_anti_tribe, target:unit_all, tribe:human, val1:3.5, val2:0.1],[effect:damage_anti_tribe, target:unit_all, tribe:machine, val1:3.5, val2:0.1],[effect:damage_anti_tribe, target:unit_all, tribe:machine, val1:3.5, val2:0.1]</t>
    <phoneticPr fontId="8"/>
  </si>
  <si>
    <t>種族ヒューマンのユニットに大ダメージの2回連続全体攻撃+
種族マシンのユニットに大ダメージの2回連続全体攻撃+
種族ヒューマンと種族マシンに10ターンスキルバインド</t>
    <rPh sb="21" eb="23">
      <t>レンゾク</t>
    </rPh>
    <rPh sb="23" eb="25">
      <t>ゼｎ</t>
    </rPh>
    <rPh sb="50" eb="52">
      <t>ゼｎ</t>
    </rPh>
    <phoneticPr fontId="8"/>
  </si>
  <si>
    <t>状態異常耐性+
種族ヒューマンのユニットに大ダメージの2回連続攻撃+
種族マシンのユニットに大ダメージの2回連続攻撃+
種族ヒューマンと種族マシンに10ターンスキルバインド</t>
    <rPh sb="8" eb="10">
      <t>ｓｙ</t>
    </rPh>
    <rPh sb="21" eb="22">
      <t>ダ</t>
    </rPh>
    <rPh sb="28" eb="31">
      <t>カ</t>
    </rPh>
    <rPh sb="31" eb="33">
      <t>コウゲｋ</t>
    </rPh>
    <rPh sb="35" eb="37">
      <t>ｓｙ</t>
    </rPh>
    <rPh sb="46" eb="47">
      <t>ダ</t>
    </rPh>
    <rPh sb="56" eb="58">
      <t>コウゲｋ</t>
    </rPh>
    <phoneticPr fontId="8"/>
  </si>
  <si>
    <t>[effect:enemy_message, val1:1.2, val2:5.0],[effect:damage_anti_tribe, target:unit_one, tribe:human, val1:1, val2:0.1],[effect:damage_anti_tribe, target:unit_one, tribe:human, val1:1, val2:0.1],[effect:damage_anti_tribe, target:unit_one, tribe:machine, val1:1, val2:0.1],[effect:damage_anti_tribe, target:unit_one, tribe:machine, val1:1, val2:0.1]</t>
    <phoneticPr fontId="8"/>
  </si>
  <si>
    <t>[effect:enemy_message, val1:1.2, val2:1.2, dead_type:escape]</t>
    <phoneticPr fontId="8"/>
  </si>
  <si>
    <t>4ターンハートパネル無効+単体攻撃
【！】次のターン超強力な攻撃【！】</t>
    <rPh sb="15" eb="17">
      <t>コウゲｋ</t>
    </rPh>
    <rPh sb="26" eb="29">
      <t>チョ</t>
    </rPh>
    <rPh sb="30" eb="32">
      <t>コウゲｋ</t>
    </rPh>
    <phoneticPr fontId="8"/>
  </si>
  <si>
    <t>[effect:enemy_message, val1:1.2, val2:8.6],[effect:tolerance, target:myself, turn:-1, count:-1, tolerance_effect:all, animation:enemy_tolerance],[effect:fix_speed, target:myself, turn:1],[effect:damage_anti_tribe, target:unit_one, tribe:human, val1:1, val2:0.1],[effect:damage_anti_tribe, target:unit_one, tribe:human, val1:1, val2:0.1],[effect:damage_anti_tribe, target:unit_one, tribe:machine, val1:1, val2:0.1],[effect:damage_anti_tribe, target:unit_one, tribe:machine, val1:1, val2:0.1],[effect:hungup, target:unit_human/unit_machine, turn:10, rate:1, animation:hungup01]</t>
    <phoneticPr fontId="8"/>
  </si>
  <si>
    <t>[effect:enemy_message, val1:1.2, val2:3.4],[effect:tolerance, target:myself, turn:-1, count:-1, tolerance_effect:all, animation:enemy_tolerance],[effect:fix_speed, target:myself, turn:1],[effect:hungup, target:unit_human/unit_machine, turn:10, rate:1, animation:hungup01]</t>
    <phoneticPr fontId="8"/>
  </si>
  <si>
    <t>[effect:enemy_message, val1:1.2, val2:8.2],[effect:damage_anti_tribe, target:unit_all, tribe:human, val1:3.5, val2:0.1],[effect:damage_anti_tribe, target:unit_all, tribe:human, val1:3.5, val2:0.1],[effect:damage_anti_tribe, target:unit_all, tribe:machine, val1:3.5, val2:0.1],[effect:damage_anti_tribe, target:unit_all, tribe:machine, val1:3.5, val2:0.1],[effect:hungup, target:unit_human/unit_machine, turn:10, rate:1, animation:hungup01]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</si>
</sst>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family val="3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000000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731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1" fillId="0" borderId="0"/>
    <xf numFmtId="38" fontId="22" fillId="0" borderId="0" applyFill="0" applyBorder="0" applyAlignment="0" applyProtection="0"/>
    <xf numFmtId="0" fontId="23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0" borderId="0"/>
    <xf numFmtId="0" fontId="26" fillId="0" borderId="0">
      <alignment vertical="center"/>
    </xf>
    <xf numFmtId="0" fontId="27" fillId="0" borderId="0">
      <alignment vertical="center"/>
    </xf>
    <xf numFmtId="0" fontId="28" fillId="10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5" fillId="0" borderId="0"/>
    <xf numFmtId="0" fontId="5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154"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9" fillId="5" borderId="3" xfId="0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9" fillId="5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7" xfId="0" applyFont="1" applyFill="1" applyBorder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9" fillId="5" borderId="9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6" fontId="7" fillId="0" borderId="3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177" fontId="11" fillId="0" borderId="4" xfId="0" applyNumberFormat="1" applyFont="1" applyBorder="1" applyAlignment="1">
      <alignment vertical="center"/>
    </xf>
    <xf numFmtId="0" fontId="7" fillId="2" borderId="7" xfId="0" applyFont="1" applyFill="1" applyBorder="1" applyAlignment="1">
      <alignment horizontal="left" vertical="center"/>
    </xf>
    <xf numFmtId="0" fontId="15" fillId="7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3" borderId="7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8" xfId="0" applyFont="1" applyFill="1" applyBorder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6" borderId="7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vertical="center"/>
    </xf>
    <xf numFmtId="0" fontId="17" fillId="7" borderId="0" xfId="0" applyFont="1" applyFill="1" applyAlignment="1">
      <alignment vertical="center"/>
    </xf>
    <xf numFmtId="0" fontId="19" fillId="6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3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vertical="center"/>
    </xf>
    <xf numFmtId="0" fontId="19" fillId="3" borderId="7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9" fillId="0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 wrapText="1"/>
    </xf>
    <xf numFmtId="14" fontId="19" fillId="0" borderId="7" xfId="0" applyNumberFormat="1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6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9" fillId="12" borderId="7" xfId="0" applyFont="1" applyFill="1" applyBorder="1"/>
    <xf numFmtId="0" fontId="16" fillId="11" borderId="7" xfId="434" applyFont="1" applyFill="1" applyBorder="1" applyAlignment="1"/>
    <xf numFmtId="0" fontId="27" fillId="0" borderId="7" xfId="434" applyBorder="1" applyAlignment="1"/>
    <xf numFmtId="0" fontId="9" fillId="0" borderId="3" xfId="0" applyFont="1" applyFill="1" applyBorder="1" applyAlignment="1">
      <alignment vertical="center"/>
    </xf>
    <xf numFmtId="0" fontId="0" fillId="13" borderId="7" xfId="0" applyFill="1" applyBorder="1"/>
    <xf numFmtId="0" fontId="19" fillId="3" borderId="7" xfId="0" applyFont="1" applyFill="1" applyBorder="1" applyAlignment="1">
      <alignment horizontal="left" vertical="center" wrapText="1"/>
    </xf>
    <xf numFmtId="0" fontId="19" fillId="6" borderId="7" xfId="614" applyFont="1" applyFill="1" applyBorder="1" applyAlignment="1">
      <alignment horizontal="left"/>
    </xf>
    <xf numFmtId="0" fontId="17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5" fillId="11" borderId="7" xfId="615" applyFill="1" applyBorder="1"/>
    <xf numFmtId="0" fontId="7" fillId="0" borderId="7" xfId="0" applyFont="1" applyBorder="1" applyAlignment="1">
      <alignment vertical="center"/>
    </xf>
    <xf numFmtId="0" fontId="9" fillId="5" borderId="11" xfId="0" applyFont="1" applyFill="1" applyBorder="1" applyAlignment="1">
      <alignment vertical="center"/>
    </xf>
    <xf numFmtId="0" fontId="19" fillId="3" borderId="7" xfId="614" applyFont="1" applyFill="1" applyBorder="1" applyAlignment="1">
      <alignment horizontal="left"/>
    </xf>
    <xf numFmtId="0" fontId="19" fillId="6" borderId="7" xfId="0" applyFont="1" applyFill="1" applyBorder="1" applyAlignment="1">
      <alignment horizontal="center"/>
    </xf>
    <xf numFmtId="56" fontId="19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5" fillId="0" borderId="0" xfId="615"/>
    <xf numFmtId="0" fontId="30" fillId="6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14" borderId="7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0" fillId="15" borderId="7" xfId="0" applyFill="1" applyBorder="1"/>
    <xf numFmtId="0" fontId="30" fillId="0" borderId="0" xfId="0" applyFont="1" applyFill="1"/>
    <xf numFmtId="0" fontId="19" fillId="30" borderId="7" xfId="0" applyFont="1" applyFill="1" applyBorder="1" applyAlignment="1">
      <alignment horizontal="center"/>
    </xf>
    <xf numFmtId="0" fontId="19" fillId="13" borderId="7" xfId="0" applyFont="1" applyFill="1" applyBorder="1" applyAlignment="1">
      <alignment horizontal="center"/>
    </xf>
    <xf numFmtId="56" fontId="19" fillId="14" borderId="7" xfId="0" applyNumberFormat="1" applyFont="1" applyFill="1" applyBorder="1" applyAlignment="1">
      <alignment horizontal="center"/>
    </xf>
    <xf numFmtId="0" fontId="19" fillId="6" borderId="7" xfId="11" applyFont="1" applyFill="1" applyBorder="1" applyAlignment="1">
      <alignment horizontal="left"/>
    </xf>
    <xf numFmtId="0" fontId="5" fillId="6" borderId="0" xfId="615" applyFill="1"/>
    <xf numFmtId="0" fontId="7" fillId="31" borderId="7" xfId="0" applyFont="1" applyFill="1" applyBorder="1" applyAlignment="1">
      <alignment vertical="center"/>
    </xf>
    <xf numFmtId="0" fontId="19" fillId="6" borderId="23" xfId="0" applyFont="1" applyFill="1" applyBorder="1" applyAlignment="1">
      <alignment horizontal="center"/>
    </xf>
    <xf numFmtId="0" fontId="11" fillId="33" borderId="7" xfId="0" applyFont="1" applyFill="1" applyBorder="1" applyAlignment="1">
      <alignment horizontal="left" vertical="center"/>
    </xf>
    <xf numFmtId="0" fontId="19" fillId="32" borderId="7" xfId="432" applyFont="1" applyFill="1" applyBorder="1" applyAlignment="1">
      <alignment horizontal="left" vertical="center"/>
    </xf>
    <xf numFmtId="0" fontId="19" fillId="14" borderId="23" xfId="0" applyFont="1" applyFill="1" applyBorder="1" applyAlignment="1">
      <alignment horizontal="center"/>
    </xf>
    <xf numFmtId="0" fontId="4" fillId="0" borderId="7" xfId="676" applyBorder="1"/>
    <xf numFmtId="0" fontId="4" fillId="11" borderId="7" xfId="676" applyFill="1" applyBorder="1"/>
    <xf numFmtId="0" fontId="3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4" fillId="34" borderId="7" xfId="676" applyFill="1" applyBorder="1"/>
    <xf numFmtId="0" fontId="0" fillId="6" borderId="0" xfId="0" applyFill="1"/>
    <xf numFmtId="0" fontId="0" fillId="6" borderId="23" xfId="0" applyFill="1" applyBorder="1"/>
    <xf numFmtId="0" fontId="0" fillId="35" borderId="7" xfId="0" applyFill="1" applyBorder="1"/>
    <xf numFmtId="0" fontId="0" fillId="13" borderId="0" xfId="0" applyFill="1"/>
    <xf numFmtId="38" fontId="0" fillId="36" borderId="7" xfId="724" applyFont="1" applyFill="1" applyBorder="1"/>
    <xf numFmtId="38" fontId="0" fillId="36" borderId="7" xfId="0" applyNumberFormat="1" applyFill="1" applyBorder="1"/>
    <xf numFmtId="38" fontId="0" fillId="35" borderId="7" xfId="724" applyFont="1" applyFill="1" applyBorder="1"/>
    <xf numFmtId="38" fontId="0" fillId="35" borderId="7" xfId="0" applyNumberFormat="1" applyFill="1" applyBorder="1"/>
    <xf numFmtId="0" fontId="0" fillId="37" borderId="7" xfId="0" applyFill="1" applyBorder="1"/>
    <xf numFmtId="38" fontId="0" fillId="37" borderId="7" xfId="724" applyFont="1" applyFill="1" applyBorder="1"/>
    <xf numFmtId="38" fontId="0" fillId="37" borderId="7" xfId="0" applyNumberFormat="1" applyFill="1" applyBorder="1"/>
    <xf numFmtId="40" fontId="0" fillId="36" borderId="7" xfId="724" applyNumberFormat="1" applyFont="1" applyFill="1" applyBorder="1"/>
    <xf numFmtId="40" fontId="0" fillId="35" borderId="7" xfId="0" applyNumberFormat="1" applyFill="1" applyBorder="1"/>
    <xf numFmtId="0" fontId="0" fillId="35" borderId="7" xfId="724" applyNumberFormat="1" applyFont="1" applyFill="1" applyBorder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37" borderId="7" xfId="724" applyNumberFormat="1" applyFont="1" applyFill="1" applyBorder="1"/>
    <xf numFmtId="0" fontId="0" fillId="6" borderId="2" xfId="0" applyFill="1" applyBorder="1"/>
    <xf numFmtId="0" fontId="0" fillId="32" borderId="2" xfId="0" applyFill="1" applyBorder="1"/>
    <xf numFmtId="0" fontId="53" fillId="38" borderId="7" xfId="0" applyFont="1" applyFill="1" applyBorder="1"/>
    <xf numFmtId="0" fontId="31" fillId="0" borderId="7" xfId="0" applyFont="1" applyFill="1" applyBorder="1" applyAlignment="1">
      <alignment horizontal="left" vertical="center"/>
    </xf>
    <xf numFmtId="0" fontId="32" fillId="3" borderId="12" xfId="0" applyFont="1" applyFill="1" applyBorder="1" applyAlignment="1">
      <alignment horizontal="left" vertical="center"/>
    </xf>
    <xf numFmtId="0" fontId="32" fillId="0" borderId="12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0" xfId="432" applyFont="1" applyAlignment="1">
      <alignment horizontal="left" vertical="center"/>
    </xf>
    <xf numFmtId="0" fontId="19" fillId="0" borderId="0" xfId="432" applyFont="1" applyAlignment="1">
      <alignment horizontal="left" vertical="center" wrapText="1"/>
    </xf>
    <xf numFmtId="0" fontId="17" fillId="34" borderId="0" xfId="432" applyFont="1" applyFill="1" applyAlignment="1">
      <alignment horizontal="left" vertical="center"/>
    </xf>
    <xf numFmtId="0" fontId="0" fillId="0" borderId="24" xfId="0" applyFill="1" applyBorder="1"/>
    <xf numFmtId="3" fontId="7" fillId="0" borderId="1" xfId="0" applyNumberFormat="1" applyFont="1" applyFill="1" applyBorder="1" applyAlignment="1">
      <alignment horizontal="center" vertical="center"/>
    </xf>
    <xf numFmtId="38" fontId="0" fillId="13" borderId="0" xfId="0" applyNumberFormat="1" applyFill="1"/>
    <xf numFmtId="0" fontId="19" fillId="37" borderId="7" xfId="0" applyFont="1" applyFill="1" applyBorder="1" applyAlignment="1">
      <alignment vertical="center"/>
    </xf>
    <xf numFmtId="0" fontId="19" fillId="37" borderId="7" xfId="0" applyFont="1" applyFill="1" applyBorder="1" applyAlignment="1">
      <alignment horizontal="left" vertical="center"/>
    </xf>
    <xf numFmtId="0" fontId="19" fillId="37" borderId="7" xfId="0" applyFont="1" applyFill="1" applyBorder="1" applyAlignment="1">
      <alignment horizontal="left" vertical="center" wrapText="1"/>
    </xf>
    <xf numFmtId="14" fontId="19" fillId="37" borderId="7" xfId="0" applyNumberFormat="1" applyFont="1" applyFill="1" applyBorder="1" applyAlignment="1">
      <alignment horizontal="left" vertical="center"/>
    </xf>
    <xf numFmtId="0" fontId="19" fillId="37" borderId="0" xfId="0" applyFont="1" applyFill="1" applyAlignment="1">
      <alignment vertical="center"/>
    </xf>
    <xf numFmtId="38" fontId="0" fillId="6" borderId="7" xfId="724" applyFont="1" applyFill="1" applyBorder="1"/>
    <xf numFmtId="38" fontId="0" fillId="6" borderId="7" xfId="0" applyNumberFormat="1" applyFill="1" applyBorder="1"/>
    <xf numFmtId="0" fontId="0" fillId="6" borderId="7" xfId="724" applyNumberFormat="1" applyFont="1" applyFill="1" applyBorder="1"/>
    <xf numFmtId="9" fontId="0" fillId="0" borderId="0" xfId="0" applyNumberFormat="1"/>
    <xf numFmtId="38" fontId="0" fillId="0" borderId="24" xfId="724" applyFont="1" applyFill="1" applyBorder="1"/>
    <xf numFmtId="38" fontId="0" fillId="0" borderId="0" xfId="724" applyFont="1" applyFill="1" applyBorder="1"/>
    <xf numFmtId="0" fontId="0" fillId="31" borderId="7" xfId="0" applyFill="1" applyBorder="1"/>
    <xf numFmtId="0" fontId="19" fillId="13" borderId="7" xfId="0" applyFont="1" applyFill="1" applyBorder="1" applyAlignment="1">
      <alignment horizontal="left" vertical="center" wrapText="1"/>
    </xf>
    <xf numFmtId="0" fontId="19" fillId="13" borderId="7" xfId="0" applyFont="1" applyFill="1" applyBorder="1" applyAlignment="1">
      <alignment vertical="center"/>
    </xf>
    <xf numFmtId="177" fontId="11" fillId="13" borderId="4" xfId="0" applyNumberFormat="1" applyFont="1" applyFill="1" applyBorder="1" applyAlignment="1">
      <alignment vertical="center"/>
    </xf>
    <xf numFmtId="0" fontId="19" fillId="0" borderId="7" xfId="0" applyFont="1" applyBorder="1" applyAlignment="1">
      <alignment horizontal="left" vertical="center"/>
    </xf>
    <xf numFmtId="0" fontId="19" fillId="0" borderId="7" xfId="432" applyFont="1" applyBorder="1" applyAlignment="1">
      <alignment horizontal="left" vertical="center"/>
    </xf>
    <xf numFmtId="0" fontId="19" fillId="0" borderId="7" xfId="432" applyFont="1" applyBorder="1" applyAlignment="1">
      <alignment horizontal="left" vertical="center" wrapText="1"/>
    </xf>
    <xf numFmtId="0" fontId="19" fillId="0" borderId="7" xfId="432" applyFont="1" applyFill="1" applyBorder="1" applyAlignment="1">
      <alignment horizontal="left" vertical="center"/>
    </xf>
    <xf numFmtId="0" fontId="0" fillId="34" borderId="7" xfId="676" applyFont="1" applyFill="1" applyBorder="1"/>
    <xf numFmtId="0" fontId="0" fillId="0" borderId="7" xfId="615" applyFont="1" applyFill="1" applyBorder="1"/>
    <xf numFmtId="0" fontId="1" fillId="6" borderId="7" xfId="434" applyFont="1" applyFill="1" applyBorder="1" applyAlignment="1"/>
  </cellXfs>
  <cellStyles count="731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theme" Target="theme/theme1.xml"/><Relationship Id="rId25" Type="http://schemas.openxmlformats.org/officeDocument/2006/relationships/styles" Target="styles.xml"/><Relationship Id="rId26" Type="http://schemas.openxmlformats.org/officeDocument/2006/relationships/sharedStrings" Target="sharedStrings.xml"/><Relationship Id="rId27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41001</v>
          </cell>
        </row>
        <row r="247">
          <cell r="A247">
            <v>41002</v>
          </cell>
        </row>
        <row r="248">
          <cell r="A248">
            <v>41003</v>
          </cell>
        </row>
        <row r="249">
          <cell r="A249">
            <v>41004</v>
          </cell>
        </row>
        <row r="250">
          <cell r="A250">
            <v>41005</v>
          </cell>
        </row>
        <row r="251">
          <cell r="A251">
            <v>41006</v>
          </cell>
        </row>
        <row r="252">
          <cell r="A252">
            <v>41007</v>
          </cell>
        </row>
        <row r="253">
          <cell r="A253">
            <v>41008</v>
          </cell>
        </row>
        <row r="254">
          <cell r="A254">
            <v>41009</v>
          </cell>
        </row>
        <row r="255">
          <cell r="A255">
            <v>41010</v>
          </cell>
        </row>
        <row r="256">
          <cell r="A256">
            <v>41011</v>
          </cell>
        </row>
        <row r="257">
          <cell r="A257">
            <v>41012</v>
          </cell>
        </row>
        <row r="258">
          <cell r="A258">
            <v>41013</v>
          </cell>
        </row>
        <row r="259">
          <cell r="A259">
            <v>41014</v>
          </cell>
        </row>
        <row r="260">
          <cell r="A260">
            <v>41015</v>
          </cell>
        </row>
        <row r="261">
          <cell r="A261">
            <v>47001</v>
          </cell>
        </row>
        <row r="262">
          <cell r="A262">
            <v>47002</v>
          </cell>
        </row>
        <row r="263">
          <cell r="A263">
            <v>47003</v>
          </cell>
        </row>
        <row r="264">
          <cell r="A264">
            <v>47004</v>
          </cell>
        </row>
        <row r="265">
          <cell r="A265">
            <v>47005</v>
          </cell>
        </row>
        <row r="266">
          <cell r="A266">
            <v>47006</v>
          </cell>
        </row>
        <row r="267">
          <cell r="A267">
            <v>47007</v>
          </cell>
        </row>
        <row r="268">
          <cell r="A268">
            <v>47008</v>
          </cell>
        </row>
        <row r="269">
          <cell r="A269">
            <v>47009</v>
          </cell>
        </row>
        <row r="270">
          <cell r="A270">
            <v>47010</v>
          </cell>
        </row>
        <row r="271">
          <cell r="A271">
            <v>47011</v>
          </cell>
        </row>
        <row r="272">
          <cell r="A272">
            <v>49001</v>
          </cell>
        </row>
        <row r="273">
          <cell r="A273">
            <v>49002</v>
          </cell>
        </row>
        <row r="274">
          <cell r="A274">
            <v>49003</v>
          </cell>
        </row>
        <row r="275">
          <cell r="A275">
            <v>49004</v>
          </cell>
        </row>
        <row r="276">
          <cell r="A276">
            <v>49005</v>
          </cell>
        </row>
        <row r="277">
          <cell r="A277">
            <v>49006</v>
          </cell>
        </row>
        <row r="278">
          <cell r="A278">
            <v>49007</v>
          </cell>
        </row>
        <row r="279">
          <cell r="A279">
            <v>49008</v>
          </cell>
        </row>
        <row r="280">
          <cell r="A280">
            <v>49009</v>
          </cell>
        </row>
        <row r="281">
          <cell r="A281">
            <v>49010</v>
          </cell>
        </row>
        <row r="282">
          <cell r="A282">
            <v>49011</v>
          </cell>
        </row>
        <row r="283">
          <cell r="A283">
            <v>49012</v>
          </cell>
        </row>
        <row r="284">
          <cell r="A284">
            <v>49013</v>
          </cell>
        </row>
        <row r="285">
          <cell r="A285">
            <v>49014</v>
          </cell>
        </row>
        <row r="286">
          <cell r="A286">
            <v>50001</v>
          </cell>
        </row>
        <row r="287">
          <cell r="A287">
            <v>50002</v>
          </cell>
        </row>
        <row r="288">
          <cell r="A288">
            <v>50003</v>
          </cell>
        </row>
        <row r="289">
          <cell r="A289">
            <v>50004</v>
          </cell>
        </row>
        <row r="290">
          <cell r="A290">
            <v>50005</v>
          </cell>
        </row>
        <row r="291">
          <cell r="A291">
            <v>50006</v>
          </cell>
        </row>
        <row r="292">
          <cell r="A292">
            <v>50007</v>
          </cell>
        </row>
        <row r="293">
          <cell r="A293">
            <v>50008</v>
          </cell>
        </row>
        <row r="294">
          <cell r="A294">
            <v>50009</v>
          </cell>
        </row>
        <row r="295">
          <cell r="A295">
            <v>50010</v>
          </cell>
        </row>
        <row r="296">
          <cell r="A296">
            <v>50011</v>
          </cell>
        </row>
        <row r="297">
          <cell r="A297">
            <v>50012</v>
          </cell>
        </row>
        <row r="298">
          <cell r="A298">
            <v>50013</v>
          </cell>
        </row>
        <row r="299">
          <cell r="A299">
            <v>50014</v>
          </cell>
        </row>
        <row r="300">
          <cell r="A300">
            <v>51001</v>
          </cell>
        </row>
        <row r="301">
          <cell r="A301">
            <v>51002</v>
          </cell>
        </row>
        <row r="302">
          <cell r="A302">
            <v>58001</v>
          </cell>
        </row>
        <row r="303">
          <cell r="A303">
            <v>59001</v>
          </cell>
        </row>
        <row r="304">
          <cell r="A304">
            <v>59002</v>
          </cell>
        </row>
        <row r="305">
          <cell r="A305">
            <v>60001</v>
          </cell>
        </row>
        <row r="306">
          <cell r="A306">
            <v>60002</v>
          </cell>
        </row>
        <row r="307">
          <cell r="A307">
            <v>60003</v>
          </cell>
        </row>
        <row r="308">
          <cell r="A308">
            <v>60004</v>
          </cell>
        </row>
        <row r="309">
          <cell r="A309">
            <v>60005</v>
          </cell>
        </row>
        <row r="310">
          <cell r="A310">
            <v>60006</v>
          </cell>
        </row>
        <row r="311">
          <cell r="A311">
            <v>60007</v>
          </cell>
        </row>
        <row r="312">
          <cell r="A312">
            <v>60010</v>
          </cell>
        </row>
        <row r="313">
          <cell r="A313">
            <v>60011</v>
          </cell>
        </row>
        <row r="314">
          <cell r="A314">
            <v>61011</v>
          </cell>
        </row>
        <row r="315">
          <cell r="A315">
            <v>60012</v>
          </cell>
        </row>
        <row r="316">
          <cell r="A316">
            <v>60013</v>
          </cell>
        </row>
        <row r="317">
          <cell r="A317">
            <v>60014</v>
          </cell>
        </row>
        <row r="318">
          <cell r="A318">
            <v>60015</v>
          </cell>
        </row>
        <row r="319">
          <cell r="A319">
            <v>60016</v>
          </cell>
        </row>
        <row r="320">
          <cell r="A320">
            <v>60017</v>
          </cell>
        </row>
        <row r="321">
          <cell r="A321">
            <v>60018</v>
          </cell>
        </row>
        <row r="322">
          <cell r="A322">
            <v>60019</v>
          </cell>
        </row>
        <row r="323">
          <cell r="A323">
            <v>60020</v>
          </cell>
        </row>
        <row r="324">
          <cell r="A324">
            <v>60025</v>
          </cell>
        </row>
        <row r="325">
          <cell r="A325">
            <v>60026</v>
          </cell>
        </row>
        <row r="326">
          <cell r="A326">
            <v>60027</v>
          </cell>
        </row>
        <row r="327">
          <cell r="A327">
            <v>60028</v>
          </cell>
        </row>
        <row r="328">
          <cell r="A328">
            <v>65525</v>
          </cell>
        </row>
        <row r="329">
          <cell r="A329">
            <v>65526</v>
          </cell>
        </row>
        <row r="330">
          <cell r="A330">
            <v>65527</v>
          </cell>
        </row>
        <row r="331">
          <cell r="A331">
            <v>65528</v>
          </cell>
        </row>
        <row r="332">
          <cell r="A332">
            <v>65529</v>
          </cell>
        </row>
        <row r="333">
          <cell r="A333">
            <v>65530</v>
          </cell>
        </row>
        <row r="334">
          <cell r="A334">
            <v>65531</v>
          </cell>
        </row>
        <row r="335">
          <cell r="A335">
            <v>65532</v>
          </cell>
        </row>
        <row r="336">
          <cell r="A336">
            <v>65533</v>
          </cell>
        </row>
        <row r="337">
          <cell r="A337">
            <v>65534</v>
          </cell>
        </row>
        <row r="338">
          <cell r="A338">
            <v>65535</v>
          </cell>
        </row>
        <row r="339">
          <cell r="A339">
            <v>60021</v>
          </cell>
        </row>
        <row r="340">
          <cell r="A340">
            <v>60022</v>
          </cell>
        </row>
        <row r="341">
          <cell r="A341">
            <v>60023</v>
          </cell>
        </row>
        <row r="342">
          <cell r="A34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49001_1</v>
          </cell>
        </row>
        <row r="875">
          <cell r="A875" t="str">
            <v>49002_1</v>
          </cell>
        </row>
        <row r="876">
          <cell r="A876" t="str">
            <v>49002_2</v>
          </cell>
        </row>
        <row r="877">
          <cell r="A877" t="str">
            <v>49003_1</v>
          </cell>
        </row>
        <row r="878">
          <cell r="A878" t="str">
            <v>49003_2</v>
          </cell>
        </row>
        <row r="879">
          <cell r="A879" t="str">
            <v>49004_1</v>
          </cell>
        </row>
        <row r="880">
          <cell r="A880" t="str">
            <v>49004_2</v>
          </cell>
        </row>
        <row r="881">
          <cell r="A881" t="str">
            <v>49004_3</v>
          </cell>
        </row>
        <row r="882">
          <cell r="A882" t="str">
            <v>49005_1</v>
          </cell>
        </row>
        <row r="883">
          <cell r="A883" t="str">
            <v>49006_1</v>
          </cell>
        </row>
        <row r="884">
          <cell r="A884" t="str">
            <v>49006_2</v>
          </cell>
        </row>
        <row r="885">
          <cell r="A885" t="str">
            <v>49007_1</v>
          </cell>
        </row>
        <row r="886">
          <cell r="A886" t="str">
            <v>49007_2</v>
          </cell>
        </row>
        <row r="887">
          <cell r="A887" t="str">
            <v>49007_3</v>
          </cell>
        </row>
        <row r="888">
          <cell r="A888" t="str">
            <v>49008_1</v>
          </cell>
        </row>
        <row r="889">
          <cell r="A889" t="str">
            <v>49009_1</v>
          </cell>
        </row>
        <row r="890">
          <cell r="A890" t="str">
            <v>49010_1</v>
          </cell>
        </row>
        <row r="891">
          <cell r="A891" t="str">
            <v>49011_1</v>
          </cell>
        </row>
        <row r="892">
          <cell r="A892" t="str">
            <v>49012_1</v>
          </cell>
        </row>
        <row r="893">
          <cell r="A893" t="str">
            <v>49013_1</v>
          </cell>
        </row>
        <row r="894">
          <cell r="A894" t="str">
            <v>49014_1</v>
          </cell>
        </row>
        <row r="895">
          <cell r="A895" t="str">
            <v>49014_2</v>
          </cell>
        </row>
        <row r="896">
          <cell r="A896" t="str">
            <v>50001_1</v>
          </cell>
        </row>
        <row r="897">
          <cell r="A897" t="str">
            <v>50002_1</v>
          </cell>
        </row>
        <row r="898">
          <cell r="A898" t="str">
            <v>50003_1</v>
          </cell>
        </row>
        <row r="899">
          <cell r="A899" t="str">
            <v>50004_1</v>
          </cell>
        </row>
        <row r="900">
          <cell r="A900" t="str">
            <v>50005_1</v>
          </cell>
        </row>
        <row r="901">
          <cell r="A901" t="str">
            <v>50006_1</v>
          </cell>
        </row>
        <row r="902">
          <cell r="A902" t="str">
            <v>50007_1</v>
          </cell>
        </row>
        <row r="903">
          <cell r="A903" t="str">
            <v>50008_1</v>
          </cell>
        </row>
        <row r="904">
          <cell r="A904" t="str">
            <v>50009_1</v>
          </cell>
        </row>
        <row r="905">
          <cell r="A905" t="str">
            <v>50010_1</v>
          </cell>
        </row>
        <row r="906">
          <cell r="A906" t="str">
            <v>50011_1</v>
          </cell>
        </row>
        <row r="907">
          <cell r="A907" t="str">
            <v>50012_1</v>
          </cell>
        </row>
        <row r="908">
          <cell r="A908" t="str">
            <v>50013_1</v>
          </cell>
        </row>
        <row r="909">
          <cell r="A909" t="str">
            <v>50014_1</v>
          </cell>
        </row>
        <row r="910">
          <cell r="A910" t="str">
            <v>51001_1</v>
          </cell>
        </row>
        <row r="911">
          <cell r="A911" t="str">
            <v>51002_1</v>
          </cell>
        </row>
        <row r="912">
          <cell r="A912" t="str">
            <v>58001_1</v>
          </cell>
        </row>
        <row r="913">
          <cell r="A913" t="str">
            <v>59001_1</v>
          </cell>
        </row>
        <row r="914">
          <cell r="A914" t="str">
            <v>59002_1</v>
          </cell>
        </row>
        <row r="915">
          <cell r="A915" t="str">
            <v>60001_1</v>
          </cell>
        </row>
        <row r="916">
          <cell r="A916" t="str">
            <v>60002_1</v>
          </cell>
        </row>
        <row r="917">
          <cell r="A917" t="str">
            <v>60002_2</v>
          </cell>
        </row>
        <row r="918">
          <cell r="A918" t="str">
            <v>60003_1</v>
          </cell>
        </row>
        <row r="919">
          <cell r="A919" t="str">
            <v>60003_2</v>
          </cell>
        </row>
        <row r="920">
          <cell r="A920" t="str">
            <v>60003_3</v>
          </cell>
        </row>
        <row r="921">
          <cell r="A921" t="str">
            <v>60004_1</v>
          </cell>
        </row>
        <row r="922">
          <cell r="A922" t="str">
            <v>60005_1</v>
          </cell>
        </row>
        <row r="923">
          <cell r="A923" t="str">
            <v>60006_1</v>
          </cell>
        </row>
        <row r="924">
          <cell r="A924" t="str">
            <v>60006_2</v>
          </cell>
        </row>
        <row r="925">
          <cell r="A925" t="str">
            <v>60006_3</v>
          </cell>
        </row>
        <row r="926">
          <cell r="A926" t="str">
            <v>60007_1</v>
          </cell>
        </row>
        <row r="927">
          <cell r="A927" t="str">
            <v>60007_2</v>
          </cell>
        </row>
        <row r="928">
          <cell r="A928" t="str">
            <v>60007_3</v>
          </cell>
        </row>
        <row r="929">
          <cell r="A929" t="str">
            <v>60010_1</v>
          </cell>
        </row>
        <row r="930">
          <cell r="A930" t="str">
            <v>60011_1</v>
          </cell>
        </row>
        <row r="931">
          <cell r="A931" t="str">
            <v>60011_2</v>
          </cell>
        </row>
        <row r="932">
          <cell r="A932" t="str">
            <v>60012_1</v>
          </cell>
        </row>
        <row r="933">
          <cell r="A933" t="str">
            <v>60013_1</v>
          </cell>
        </row>
        <row r="934">
          <cell r="A934" t="str">
            <v>60013_2</v>
          </cell>
        </row>
        <row r="935">
          <cell r="A935" t="str">
            <v>60013_3</v>
          </cell>
        </row>
        <row r="936">
          <cell r="A936" t="str">
            <v>60014_1</v>
          </cell>
        </row>
        <row r="937">
          <cell r="A937" t="str">
            <v>60015_1</v>
          </cell>
        </row>
        <row r="938">
          <cell r="A938" t="str">
            <v>60016_1</v>
          </cell>
        </row>
        <row r="939">
          <cell r="A939" t="str">
            <v>60017_1</v>
          </cell>
        </row>
        <row r="940">
          <cell r="A940" t="str">
            <v>60018_1</v>
          </cell>
        </row>
        <row r="941">
          <cell r="A941" t="str">
            <v>60019_1</v>
          </cell>
        </row>
        <row r="942">
          <cell r="A942" t="str">
            <v>60020_1</v>
          </cell>
        </row>
        <row r="943">
          <cell r="A943" t="str">
            <v>60021_3</v>
          </cell>
        </row>
        <row r="944">
          <cell r="A944" t="str">
            <v>60022_3</v>
          </cell>
        </row>
        <row r="945">
          <cell r="A945" t="str">
            <v>60023_3</v>
          </cell>
        </row>
        <row r="946">
          <cell r="A946" t="str">
            <v>60024_3</v>
          </cell>
        </row>
        <row r="947">
          <cell r="A947" t="str">
            <v>60025_1</v>
          </cell>
        </row>
        <row r="948">
          <cell r="A948" t="str">
            <v>60026_1</v>
          </cell>
        </row>
        <row r="949">
          <cell r="A949" t="str">
            <v>61011_1</v>
          </cell>
        </row>
        <row r="950">
          <cell r="A950" t="str">
            <v>60027_1</v>
          </cell>
        </row>
        <row r="951">
          <cell r="A951" t="str">
            <v>60028_1</v>
          </cell>
        </row>
        <row r="952">
          <cell r="A952" t="str">
            <v>65525_1</v>
          </cell>
        </row>
        <row r="953">
          <cell r="A953" t="str">
            <v>65526_1</v>
          </cell>
        </row>
        <row r="954">
          <cell r="A954" t="str">
            <v>65526_2</v>
          </cell>
        </row>
        <row r="955">
          <cell r="A955" t="str">
            <v>65527_1</v>
          </cell>
        </row>
        <row r="956">
          <cell r="A956" t="str">
            <v>65528_1</v>
          </cell>
        </row>
        <row r="957">
          <cell r="A957" t="str">
            <v>65529_1</v>
          </cell>
        </row>
        <row r="958">
          <cell r="A958" t="str">
            <v>65530_1</v>
          </cell>
        </row>
        <row r="959">
          <cell r="A959" t="str">
            <v>65531_1</v>
          </cell>
        </row>
        <row r="960">
          <cell r="A960" t="str">
            <v>65531_2</v>
          </cell>
        </row>
        <row r="961">
          <cell r="A961" t="str">
            <v>65532_1</v>
          </cell>
        </row>
        <row r="962">
          <cell r="A962" t="str">
            <v>65532_2</v>
          </cell>
        </row>
        <row r="963">
          <cell r="A963" t="str">
            <v>65533_1</v>
          </cell>
        </row>
        <row r="964">
          <cell r="A964" t="str">
            <v>65533_2</v>
          </cell>
        </row>
        <row r="965">
          <cell r="A965" t="str">
            <v>65534_1</v>
          </cell>
        </row>
        <row r="966">
          <cell r="A966" t="str">
            <v>65534_2</v>
          </cell>
        </row>
        <row r="967">
          <cell r="A967" t="str">
            <v>65535_1</v>
          </cell>
        </row>
        <row r="968">
          <cell r="A968" t="str">
            <v>65535_2</v>
          </cell>
        </row>
        <row r="969">
          <cell r="A969" t="str">
            <v>65535_3</v>
          </cell>
        </row>
        <row r="970">
          <cell r="A970" t="str">
            <v>65535_4</v>
          </cell>
        </row>
        <row r="971">
          <cell r="A971" t="str">
            <v>65535_5</v>
          </cell>
        </row>
        <row r="972">
          <cell r="A972" t="str">
            <v>65535_6</v>
          </cell>
        </row>
        <row r="973">
          <cell r="A973" t="str">
            <v>65535_7</v>
          </cell>
        </row>
        <row r="974">
          <cell r="A974" t="str">
            <v>65535_8</v>
          </cell>
        </row>
        <row r="975">
          <cell r="A975" t="str">
            <v>65535_9</v>
          </cell>
        </row>
        <row r="976">
          <cell r="A97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1433</v>
          </cell>
        </row>
        <row r="1401">
          <cell r="A1401">
            <v>1434</v>
          </cell>
        </row>
        <row r="1402">
          <cell r="A1402">
            <v>1435</v>
          </cell>
        </row>
        <row r="1403">
          <cell r="A1403">
            <v>1458</v>
          </cell>
        </row>
        <row r="1404">
          <cell r="A1404">
            <v>1459</v>
          </cell>
        </row>
        <row r="1405">
          <cell r="A1405">
            <v>1460</v>
          </cell>
        </row>
        <row r="1406">
          <cell r="A1406">
            <v>1461</v>
          </cell>
        </row>
        <row r="1407">
          <cell r="A1407">
            <v>1462</v>
          </cell>
        </row>
        <row r="1408">
          <cell r="A1408">
            <v>1463</v>
          </cell>
        </row>
        <row r="1409">
          <cell r="A1409">
            <v>1464</v>
          </cell>
        </row>
        <row r="1410">
          <cell r="A1410">
            <v>1465</v>
          </cell>
        </row>
        <row r="1411">
          <cell r="A1411">
            <v>1466</v>
          </cell>
        </row>
        <row r="1412">
          <cell r="A1412">
            <v>1467</v>
          </cell>
        </row>
        <row r="1413">
          <cell r="A1413">
            <v>1468</v>
          </cell>
        </row>
        <row r="1414">
          <cell r="A1414">
            <v>1469</v>
          </cell>
        </row>
        <row r="1415">
          <cell r="A1415">
            <v>1470</v>
          </cell>
        </row>
        <row r="1416">
          <cell r="A1416">
            <v>1504</v>
          </cell>
        </row>
        <row r="1417">
          <cell r="A1417">
            <v>1505</v>
          </cell>
        </row>
        <row r="1418">
          <cell r="A1418">
            <v>1506</v>
          </cell>
        </row>
        <row r="1419">
          <cell r="A1419">
            <v>1507</v>
          </cell>
        </row>
        <row r="1420">
          <cell r="A1420">
            <v>1508</v>
          </cell>
        </row>
        <row r="1421">
          <cell r="A1421">
            <v>1509</v>
          </cell>
        </row>
        <row r="1422">
          <cell r="A1422">
            <v>1510</v>
          </cell>
        </row>
        <row r="1423">
          <cell r="A1423">
            <v>1511</v>
          </cell>
        </row>
        <row r="1424">
          <cell r="A1424">
            <v>1512</v>
          </cell>
        </row>
        <row r="1425">
          <cell r="A1425">
            <v>1513</v>
          </cell>
        </row>
        <row r="1426">
          <cell r="A1426">
            <v>1514</v>
          </cell>
        </row>
        <row r="1427">
          <cell r="A1427">
            <v>1515</v>
          </cell>
        </row>
        <row r="1428">
          <cell r="A1428">
            <v>1516</v>
          </cell>
        </row>
        <row r="1429">
          <cell r="A1429">
            <v>1517</v>
          </cell>
        </row>
        <row r="1430">
          <cell r="A1430">
            <v>1518</v>
          </cell>
        </row>
        <row r="1431">
          <cell r="A1431">
            <v>1519</v>
          </cell>
        </row>
        <row r="1432">
          <cell r="A1432">
            <v>1520</v>
          </cell>
        </row>
        <row r="1433">
          <cell r="A1433">
            <v>1521</v>
          </cell>
        </row>
        <row r="1434">
          <cell r="A1434">
            <v>1522</v>
          </cell>
        </row>
        <row r="1435">
          <cell r="A1435">
            <v>1523</v>
          </cell>
        </row>
        <row r="1436">
          <cell r="A1436">
            <v>1524</v>
          </cell>
        </row>
        <row r="1437">
          <cell r="A1437">
            <v>1525</v>
          </cell>
        </row>
        <row r="1438">
          <cell r="A1438">
            <v>1526</v>
          </cell>
        </row>
        <row r="1439">
          <cell r="A1439">
            <v>1527</v>
          </cell>
        </row>
        <row r="1440">
          <cell r="A1440">
            <v>1528</v>
          </cell>
        </row>
        <row r="1441">
          <cell r="A1441">
            <v>1529</v>
          </cell>
        </row>
        <row r="1442">
          <cell r="A1442">
            <v>1530</v>
          </cell>
        </row>
        <row r="1443">
          <cell r="A1443">
            <v>1531</v>
          </cell>
        </row>
        <row r="1444">
          <cell r="A1444">
            <v>1532</v>
          </cell>
        </row>
        <row r="1445">
          <cell r="A1445">
            <v>1533</v>
          </cell>
        </row>
        <row r="1446">
          <cell r="A1446">
            <v>1534</v>
          </cell>
        </row>
        <row r="1447">
          <cell r="A1447">
            <v>1535</v>
          </cell>
        </row>
        <row r="1448">
          <cell r="A1448">
            <v>1536</v>
          </cell>
        </row>
        <row r="1449">
          <cell r="A1449">
            <v>1537</v>
          </cell>
        </row>
        <row r="1450">
          <cell r="A1450">
            <v>1538</v>
          </cell>
        </row>
        <row r="1451">
          <cell r="A1451">
            <v>1539</v>
          </cell>
        </row>
        <row r="1452">
          <cell r="A1452">
            <v>1540</v>
          </cell>
        </row>
        <row r="1453">
          <cell r="A1453">
            <v>1541</v>
          </cell>
        </row>
        <row r="1454">
          <cell r="A1454">
            <v>1542</v>
          </cell>
        </row>
        <row r="1455">
          <cell r="A1455">
            <v>1543</v>
          </cell>
        </row>
        <row r="1456">
          <cell r="A1456">
            <v>1544</v>
          </cell>
        </row>
        <row r="1457">
          <cell r="A1457">
            <v>1545</v>
          </cell>
        </row>
        <row r="1458">
          <cell r="A1458">
            <v>1546</v>
          </cell>
        </row>
        <row r="1459">
          <cell r="A1459">
            <v>1547</v>
          </cell>
        </row>
        <row r="1460">
          <cell r="A1460">
            <v>1548</v>
          </cell>
        </row>
        <row r="1461">
          <cell r="A1461">
            <v>1549</v>
          </cell>
        </row>
        <row r="1462">
          <cell r="A1462">
            <v>1550</v>
          </cell>
        </row>
        <row r="1463">
          <cell r="A1463">
            <v>5001</v>
          </cell>
        </row>
        <row r="1464">
          <cell r="A1464">
            <v>5002</v>
          </cell>
        </row>
        <row r="1465">
          <cell r="A1465">
            <v>5003</v>
          </cell>
        </row>
        <row r="1466">
          <cell r="A1466">
            <v>5004</v>
          </cell>
        </row>
        <row r="1467">
          <cell r="A1467">
            <v>5005</v>
          </cell>
        </row>
        <row r="1468">
          <cell r="A1468">
            <v>5006</v>
          </cell>
        </row>
        <row r="1469">
          <cell r="A1469">
            <v>5007</v>
          </cell>
        </row>
        <row r="1470">
          <cell r="A1470">
            <v>5008</v>
          </cell>
        </row>
        <row r="1471">
          <cell r="A1471">
            <v>6001</v>
          </cell>
        </row>
        <row r="1472">
          <cell r="A1472">
            <v>6002</v>
          </cell>
        </row>
        <row r="1473">
          <cell r="A1473">
            <v>6003</v>
          </cell>
        </row>
        <row r="1474">
          <cell r="A1474">
            <v>6004</v>
          </cell>
        </row>
        <row r="1475">
          <cell r="A1475">
            <v>6005</v>
          </cell>
        </row>
        <row r="1476">
          <cell r="A1476">
            <v>6006</v>
          </cell>
        </row>
        <row r="1477">
          <cell r="A1477">
            <v>6007</v>
          </cell>
        </row>
        <row r="1478">
          <cell r="A1478">
            <v>6008</v>
          </cell>
        </row>
        <row r="1479">
          <cell r="A1479">
            <v>6009</v>
          </cell>
        </row>
        <row r="1480">
          <cell r="A1480">
            <v>6010</v>
          </cell>
        </row>
        <row r="1481">
          <cell r="A1481">
            <v>6011</v>
          </cell>
        </row>
        <row r="1482">
          <cell r="A1482">
            <v>6012</v>
          </cell>
        </row>
        <row r="1483">
          <cell r="A1483">
            <v>6013</v>
          </cell>
        </row>
        <row r="1484">
          <cell r="A1484">
            <v>6014</v>
          </cell>
        </row>
        <row r="1485">
          <cell r="A1485">
            <v>6015</v>
          </cell>
        </row>
        <row r="1486">
          <cell r="A1486">
            <v>6016</v>
          </cell>
        </row>
        <row r="1487">
          <cell r="A1487">
            <v>6017</v>
          </cell>
        </row>
        <row r="1488">
          <cell r="A1488">
            <v>6018</v>
          </cell>
        </row>
        <row r="1489">
          <cell r="A1489">
            <v>6019</v>
          </cell>
        </row>
        <row r="1490">
          <cell r="A1490">
            <v>6020</v>
          </cell>
        </row>
        <row r="1491">
          <cell r="A1491">
            <v>8001</v>
          </cell>
        </row>
        <row r="1492">
          <cell r="A1492">
            <v>8002</v>
          </cell>
        </row>
        <row r="1493">
          <cell r="A1493">
            <v>8003</v>
          </cell>
        </row>
        <row r="1494">
          <cell r="A1494">
            <v>8004</v>
          </cell>
        </row>
        <row r="1495">
          <cell r="A1495">
            <v>8005</v>
          </cell>
        </row>
        <row r="1496">
          <cell r="A1496">
            <v>8006</v>
          </cell>
        </row>
        <row r="1497">
          <cell r="A1497">
            <v>8007</v>
          </cell>
        </row>
        <row r="1498">
          <cell r="A1498">
            <v>8008</v>
          </cell>
        </row>
        <row r="1499">
          <cell r="A1499">
            <v>8009</v>
          </cell>
        </row>
        <row r="1500">
          <cell r="A1500">
            <v>8010</v>
          </cell>
        </row>
        <row r="1501">
          <cell r="A1501">
            <v>8011</v>
          </cell>
        </row>
        <row r="1502">
          <cell r="A1502">
            <v>8012</v>
          </cell>
        </row>
        <row r="1503">
          <cell r="A1503">
            <v>8013</v>
          </cell>
        </row>
        <row r="1504">
          <cell r="A1504">
            <v>8014</v>
          </cell>
        </row>
        <row r="1505">
          <cell r="A1505">
            <v>8015</v>
          </cell>
        </row>
        <row r="1506">
          <cell r="A1506">
            <v>8016</v>
          </cell>
        </row>
        <row r="1507">
          <cell r="A1507">
            <v>8017</v>
          </cell>
        </row>
        <row r="1508">
          <cell r="A1508">
            <v>8018</v>
          </cell>
        </row>
        <row r="1509">
          <cell r="A1509">
            <v>8019</v>
          </cell>
        </row>
        <row r="1510">
          <cell r="A1510">
            <v>8020</v>
          </cell>
        </row>
        <row r="1511">
          <cell r="A1511">
            <v>8021</v>
          </cell>
        </row>
        <row r="1512">
          <cell r="A1512">
            <v>8022</v>
          </cell>
        </row>
        <row r="1513">
          <cell r="A1513">
            <v>8023</v>
          </cell>
        </row>
        <row r="1514">
          <cell r="A1514">
            <v>8024</v>
          </cell>
        </row>
        <row r="1515">
          <cell r="A1515">
            <v>8025</v>
          </cell>
        </row>
        <row r="1516">
          <cell r="A1516">
            <v>8026</v>
          </cell>
        </row>
        <row r="1517">
          <cell r="A1517">
            <v>8027</v>
          </cell>
        </row>
        <row r="1518">
          <cell r="A1518">
            <v>8028</v>
          </cell>
        </row>
        <row r="1519">
          <cell r="A1519">
            <v>8029</v>
          </cell>
        </row>
        <row r="1520">
          <cell r="A1520">
            <v>8030</v>
          </cell>
        </row>
        <row r="1521">
          <cell r="A1521">
            <v>8031</v>
          </cell>
        </row>
        <row r="1522">
          <cell r="A1522">
            <v>8032</v>
          </cell>
        </row>
        <row r="1523">
          <cell r="A1523">
            <v>8033</v>
          </cell>
        </row>
        <row r="1524">
          <cell r="A1524">
            <v>8034</v>
          </cell>
        </row>
        <row r="1525">
          <cell r="A1525">
            <v>8035</v>
          </cell>
        </row>
        <row r="1526">
          <cell r="A1526">
            <v>8036</v>
          </cell>
        </row>
        <row r="1527">
          <cell r="A1527">
            <v>8037</v>
          </cell>
        </row>
        <row r="1528">
          <cell r="A1528">
            <v>8038</v>
          </cell>
        </row>
        <row r="1529">
          <cell r="A1529">
            <v>8039</v>
          </cell>
        </row>
        <row r="1530">
          <cell r="A1530">
            <v>8040</v>
          </cell>
        </row>
        <row r="1531">
          <cell r="A1531">
            <v>8041</v>
          </cell>
        </row>
        <row r="1532">
          <cell r="A1532">
            <v>8042</v>
          </cell>
        </row>
        <row r="1533">
          <cell r="A1533">
            <v>8043</v>
          </cell>
        </row>
        <row r="1534">
          <cell r="A1534">
            <v>8044</v>
          </cell>
        </row>
        <row r="1535">
          <cell r="A1535">
            <v>8045</v>
          </cell>
        </row>
        <row r="1536">
          <cell r="A1536">
            <v>8046</v>
          </cell>
        </row>
        <row r="1537">
          <cell r="A1537">
            <v>8047</v>
          </cell>
        </row>
        <row r="1538">
          <cell r="A1538">
            <v>8048</v>
          </cell>
        </row>
        <row r="1539">
          <cell r="A1539">
            <v>8049</v>
          </cell>
        </row>
        <row r="1540">
          <cell r="A1540">
            <v>8050</v>
          </cell>
        </row>
        <row r="1541">
          <cell r="A1541">
            <v>8051</v>
          </cell>
        </row>
        <row r="1542">
          <cell r="A1542">
            <v>8052</v>
          </cell>
        </row>
        <row r="1543">
          <cell r="A1543">
            <v>8053</v>
          </cell>
        </row>
        <row r="1544">
          <cell r="A1544">
            <v>8054</v>
          </cell>
        </row>
        <row r="1545">
          <cell r="A1545">
            <v>8055</v>
          </cell>
        </row>
        <row r="1546">
          <cell r="A1546">
            <v>8056</v>
          </cell>
        </row>
        <row r="1547">
          <cell r="A1547">
            <v>8057</v>
          </cell>
        </row>
        <row r="1548">
          <cell r="A1548">
            <v>8058</v>
          </cell>
        </row>
        <row r="1549">
          <cell r="A1549">
            <v>8059</v>
          </cell>
        </row>
        <row r="1550">
          <cell r="A1550">
            <v>8060</v>
          </cell>
        </row>
        <row r="1551">
          <cell r="A1551">
            <v>8061</v>
          </cell>
        </row>
        <row r="1552">
          <cell r="A1552">
            <v>8062</v>
          </cell>
        </row>
        <row r="1553">
          <cell r="A1553">
            <v>8063</v>
          </cell>
        </row>
        <row r="1554">
          <cell r="A1554">
            <v>8064</v>
          </cell>
        </row>
        <row r="1555">
          <cell r="A1555">
            <v>8065</v>
          </cell>
        </row>
        <row r="1556">
          <cell r="A1556">
            <v>8066</v>
          </cell>
        </row>
        <row r="1557">
          <cell r="A1557">
            <v>8067</v>
          </cell>
        </row>
        <row r="1558">
          <cell r="A1558">
            <v>8068</v>
          </cell>
        </row>
        <row r="1559">
          <cell r="A1559">
            <v>8069</v>
          </cell>
        </row>
        <row r="1560">
          <cell r="A1560">
            <v>8070</v>
          </cell>
        </row>
        <row r="1561">
          <cell r="A1561">
            <v>8071</v>
          </cell>
        </row>
        <row r="1562">
          <cell r="A1562">
            <v>8072</v>
          </cell>
        </row>
        <row r="1563">
          <cell r="A1563">
            <v>8073</v>
          </cell>
        </row>
        <row r="1564">
          <cell r="A1564">
            <v>8074</v>
          </cell>
        </row>
        <row r="1565">
          <cell r="A1565">
            <v>8075</v>
          </cell>
        </row>
        <row r="1566">
          <cell r="A1566">
            <v>8076</v>
          </cell>
        </row>
        <row r="1567">
          <cell r="A1567">
            <v>8077</v>
          </cell>
        </row>
        <row r="1568">
          <cell r="A1568">
            <v>8078</v>
          </cell>
        </row>
        <row r="1569">
          <cell r="A1569">
            <v>8079</v>
          </cell>
        </row>
        <row r="1570">
          <cell r="A1570">
            <v>8080</v>
          </cell>
        </row>
        <row r="1571">
          <cell r="A1571">
            <v>8081</v>
          </cell>
        </row>
        <row r="1572">
          <cell r="A1572">
            <v>8082</v>
          </cell>
        </row>
        <row r="1573">
          <cell r="A1573">
            <v>8083</v>
          </cell>
        </row>
        <row r="1574">
          <cell r="A1574">
            <v>8084</v>
          </cell>
        </row>
        <row r="1575">
          <cell r="A1575">
            <v>8087</v>
          </cell>
        </row>
        <row r="1576">
          <cell r="A1576">
            <v>8088</v>
          </cell>
        </row>
        <row r="1577">
          <cell r="A1577">
            <v>8089</v>
          </cell>
        </row>
        <row r="1578">
          <cell r="A1578">
            <v>8090</v>
          </cell>
        </row>
        <row r="1579">
          <cell r="A1579">
            <v>8095</v>
          </cell>
        </row>
        <row r="1580">
          <cell r="A1580">
            <v>8096</v>
          </cell>
        </row>
        <row r="1581">
          <cell r="A1581">
            <v>8097</v>
          </cell>
        </row>
        <row r="1582">
          <cell r="A1582">
            <v>8098</v>
          </cell>
        </row>
        <row r="1583">
          <cell r="A1583">
            <v>8099</v>
          </cell>
        </row>
        <row r="1584">
          <cell r="A1584">
            <v>10001</v>
          </cell>
        </row>
        <row r="1585">
          <cell r="A158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workbookViewId="0">
      <selection activeCell="E24" sqref="E2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405</v>
      </c>
      <c r="B2" s="57" t="s">
        <v>107</v>
      </c>
      <c r="C2" s="63">
        <v>60028</v>
      </c>
      <c r="D2" s="57" t="s">
        <v>108</v>
      </c>
      <c r="E2" s="56" t="str">
        <f>B2&amp;C2&amp;D2</f>
        <v>floors_60028.tmp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405</v>
      </c>
      <c r="B3" s="98" t="s">
        <v>231</v>
      </c>
      <c r="C3" s="63">
        <v>60028</v>
      </c>
      <c r="D3" s="57" t="s">
        <v>108</v>
      </c>
      <c r="E3" s="56" t="str">
        <f>B3&amp;C3&amp;D3</f>
        <v>ranking_floors_60028.tmp</v>
      </c>
      <c r="F3" s="57" t="s">
        <v>109</v>
      </c>
      <c r="G3" s="58" t="s">
        <v>0</v>
      </c>
      <c r="H3" s="58" t="s">
        <v>1</v>
      </c>
      <c r="I3" s="58" t="s">
        <v>13</v>
      </c>
      <c r="J3" s="88" t="s">
        <v>206</v>
      </c>
      <c r="K3" s="88" t="s">
        <v>207</v>
      </c>
      <c r="L3" s="88" t="s">
        <v>208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 x14ac:dyDescent="0.15">
      <c r="A4" s="61" t="s">
        <v>405</v>
      </c>
      <c r="B4" s="98" t="s">
        <v>232</v>
      </c>
      <c r="C4" s="63">
        <v>60028</v>
      </c>
      <c r="D4" s="57" t="s">
        <v>108</v>
      </c>
      <c r="E4" s="56" t="str">
        <f>B4&amp;C4&amp;D4</f>
        <v>ranking_stages_60028.tmp</v>
      </c>
      <c r="F4" s="57" t="s">
        <v>234</v>
      </c>
      <c r="G4" s="58" t="s">
        <v>0</v>
      </c>
      <c r="H4" s="58" t="s">
        <v>1</v>
      </c>
      <c r="I4" s="37" t="s">
        <v>233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405</v>
      </c>
      <c r="B5" s="98" t="s">
        <v>239</v>
      </c>
      <c r="C5" s="63">
        <v>60028</v>
      </c>
      <c r="D5" s="57" t="s">
        <v>108</v>
      </c>
      <c r="E5" s="56" t="str">
        <f t="shared" ref="E5:E7" si="0">B5&amp;C5&amp;D5</f>
        <v>clear_turn_60028.tmp</v>
      </c>
      <c r="F5" s="57" t="s">
        <v>243</v>
      </c>
      <c r="G5" s="58" t="s">
        <v>235</v>
      </c>
      <c r="H5" s="58" t="s">
        <v>236</v>
      </c>
      <c r="I5" s="58" t="s">
        <v>237</v>
      </c>
      <c r="J5" s="58" t="s">
        <v>238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405</v>
      </c>
      <c r="B6" s="98" t="s">
        <v>240</v>
      </c>
      <c r="C6" s="63">
        <v>60028</v>
      </c>
      <c r="D6" s="57" t="s">
        <v>108</v>
      </c>
      <c r="E6" s="56" t="str">
        <f t="shared" si="0"/>
        <v>damage_give_60028.tmp</v>
      </c>
      <c r="F6" s="57" t="s">
        <v>244</v>
      </c>
      <c r="G6" s="58" t="s">
        <v>235</v>
      </c>
      <c r="H6" s="58" t="s">
        <v>236</v>
      </c>
      <c r="I6" s="58" t="s">
        <v>237</v>
      </c>
      <c r="J6" s="58" t="s">
        <v>238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405</v>
      </c>
      <c r="B7" s="98" t="s">
        <v>242</v>
      </c>
      <c r="C7" s="63">
        <v>60028</v>
      </c>
      <c r="D7" s="57" t="s">
        <v>108</v>
      </c>
      <c r="E7" s="56" t="str">
        <f t="shared" si="0"/>
        <v>damage_receive_60028.tmp</v>
      </c>
      <c r="F7" s="57" t="s">
        <v>241</v>
      </c>
      <c r="G7" s="58" t="s">
        <v>235</v>
      </c>
      <c r="H7" s="58" t="s">
        <v>236</v>
      </c>
      <c r="I7" s="58" t="s">
        <v>237</v>
      </c>
      <c r="J7" s="58" t="s">
        <v>238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405</v>
      </c>
      <c r="B8" s="98" t="s">
        <v>252</v>
      </c>
      <c r="C8" s="63">
        <v>60028</v>
      </c>
      <c r="D8" s="57" t="s">
        <v>108</v>
      </c>
      <c r="E8" s="56" t="str">
        <f t="shared" ref="E8:E9" si="1">B8&amp;C8&amp;D8</f>
        <v>ranking_eval_data_60028.tmp</v>
      </c>
      <c r="F8" s="57" t="s">
        <v>254</v>
      </c>
      <c r="G8" s="58" t="s">
        <v>245</v>
      </c>
      <c r="H8" s="58" t="s">
        <v>246</v>
      </c>
      <c r="I8" s="58" t="s">
        <v>247</v>
      </c>
      <c r="J8" s="58" t="s">
        <v>248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405</v>
      </c>
      <c r="B9" s="98" t="s">
        <v>253</v>
      </c>
      <c r="C9" s="63">
        <v>60028</v>
      </c>
      <c r="D9" s="57" t="s">
        <v>108</v>
      </c>
      <c r="E9" s="56" t="str">
        <f t="shared" si="1"/>
        <v>ranking_eval_i18n_60028.tmp</v>
      </c>
      <c r="F9" s="57" t="s">
        <v>254</v>
      </c>
      <c r="G9" s="58" t="s">
        <v>245</v>
      </c>
      <c r="H9" s="97" t="s">
        <v>249</v>
      </c>
      <c r="I9" s="97" t="s">
        <v>250</v>
      </c>
      <c r="J9" s="97" t="s">
        <v>251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 x14ac:dyDescent="0.15">
      <c r="A10" s="61" t="s">
        <v>405</v>
      </c>
      <c r="B10" s="57" t="s">
        <v>110</v>
      </c>
      <c r="C10" s="63">
        <v>60028</v>
      </c>
      <c r="D10" s="57" t="s">
        <v>108</v>
      </c>
      <c r="E10" s="56" t="str">
        <f>B10&amp;C10&amp;D10</f>
        <v>enemy_habitats_60028.tmp</v>
      </c>
      <c r="F10" s="57" t="s">
        <v>111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54</v>
      </c>
      <c r="AD10" s="58" t="s">
        <v>176</v>
      </c>
    </row>
    <row r="11" spans="1:30" x14ac:dyDescent="0.15">
      <c r="A11" s="61" t="s">
        <v>405</v>
      </c>
      <c r="B11" s="57" t="s">
        <v>112</v>
      </c>
      <c r="C11" s="63">
        <v>60028</v>
      </c>
      <c r="D11" s="57" t="s">
        <v>108</v>
      </c>
      <c r="E11" s="56" t="str">
        <f>B11&amp;C11&amp;D11</f>
        <v>enemy_habitat_S_60028.tmp</v>
      </c>
      <c r="F11" s="57" t="s">
        <v>113</v>
      </c>
      <c r="G11" s="58" t="s">
        <v>0</v>
      </c>
      <c r="H11" s="58" t="s">
        <v>1</v>
      </c>
      <c r="I11" s="58" t="s">
        <v>13</v>
      </c>
      <c r="J11" s="58" t="s">
        <v>54</v>
      </c>
      <c r="K11" s="58" t="s">
        <v>55</v>
      </c>
      <c r="L11" s="58" t="s">
        <v>56</v>
      </c>
      <c r="M11" s="58" t="s">
        <v>57</v>
      </c>
      <c r="N11" s="58" t="s">
        <v>58</v>
      </c>
      <c r="O11" s="58" t="s">
        <v>59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 x14ac:dyDescent="0.15">
      <c r="A12" s="61" t="s">
        <v>405</v>
      </c>
      <c r="B12" s="57" t="s">
        <v>114</v>
      </c>
      <c r="C12" s="63">
        <v>60028</v>
      </c>
      <c r="D12" s="57" t="s">
        <v>108</v>
      </c>
      <c r="E12" s="56" t="str">
        <f>B12&amp;C12&amp;D12</f>
        <v>enemy_skill_sets_60028.tmp</v>
      </c>
      <c r="F12" s="57" t="s">
        <v>115</v>
      </c>
      <c r="G12" s="59" t="s">
        <v>22</v>
      </c>
      <c r="H12" s="59" t="s">
        <v>100</v>
      </c>
      <c r="I12" s="59" t="s">
        <v>95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 x14ac:dyDescent="0.15">
      <c r="A13" s="61" t="s">
        <v>405</v>
      </c>
      <c r="B13" s="57" t="s">
        <v>116</v>
      </c>
      <c r="C13" s="63">
        <v>60028</v>
      </c>
      <c r="D13" s="57" t="s">
        <v>117</v>
      </c>
      <c r="E13" s="56" t="str">
        <f t="shared" ref="E13:E17" si="2">B13&amp;C13&amp;D13</f>
        <v>enemy_skills_tmp_60028.tmp</v>
      </c>
      <c r="F13" s="57" t="s">
        <v>91</v>
      </c>
      <c r="G13" s="58" t="s">
        <v>79</v>
      </c>
      <c r="H13" s="58" t="s">
        <v>80</v>
      </c>
      <c r="I13" s="58" t="s">
        <v>81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 x14ac:dyDescent="0.15">
      <c r="A14" s="61" t="s">
        <v>405</v>
      </c>
      <c r="B14" s="57" t="s">
        <v>118</v>
      </c>
      <c r="C14" s="63">
        <v>60028</v>
      </c>
      <c r="D14" s="57" t="s">
        <v>108</v>
      </c>
      <c r="E14" s="56" t="str">
        <f>B14&amp;C14&amp;D14</f>
        <v>enemy_skills_i18n_60028.tmp</v>
      </c>
      <c r="F14" s="57" t="s">
        <v>119</v>
      </c>
      <c r="G14" s="58" t="s">
        <v>79</v>
      </c>
      <c r="H14" s="58" t="s">
        <v>92</v>
      </c>
      <c r="I14" s="58" t="s">
        <v>93</v>
      </c>
      <c r="J14" s="58" t="s">
        <v>94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 x14ac:dyDescent="0.15">
      <c r="A15" s="61" t="s">
        <v>405</v>
      </c>
      <c r="B15" s="57" t="s">
        <v>120</v>
      </c>
      <c r="C15" s="63">
        <v>60028</v>
      </c>
      <c r="D15" s="57" t="s">
        <v>121</v>
      </c>
      <c r="E15" s="56" t="str">
        <f t="shared" si="2"/>
        <v>enemy_skill_triggers_60028.tmp</v>
      </c>
      <c r="F15" s="57" t="s">
        <v>122</v>
      </c>
      <c r="G15" s="58" t="s">
        <v>95</v>
      </c>
      <c r="H15" s="58" t="s">
        <v>96</v>
      </c>
      <c r="I15" s="58" t="s">
        <v>97</v>
      </c>
      <c r="J15" s="58" t="s">
        <v>98</v>
      </c>
      <c r="K15" s="58" t="s">
        <v>123</v>
      </c>
      <c r="L15" s="58" t="s">
        <v>99</v>
      </c>
      <c r="M15" s="58" t="s">
        <v>124</v>
      </c>
      <c r="N15" s="58" t="s">
        <v>125</v>
      </c>
      <c r="O15" s="58" t="s">
        <v>126</v>
      </c>
      <c r="P15" s="58" t="s">
        <v>67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 x14ac:dyDescent="0.15">
      <c r="A16" s="61" t="s">
        <v>185</v>
      </c>
      <c r="B16" s="68" t="s">
        <v>175</v>
      </c>
      <c r="C16" s="63">
        <v>60028</v>
      </c>
      <c r="D16" s="68" t="s">
        <v>169</v>
      </c>
      <c r="E16" s="69" t="str">
        <f t="shared" si="2"/>
        <v>stage_bug_bonuses_60028.tmp</v>
      </c>
      <c r="F16" s="68" t="s">
        <v>170</v>
      </c>
      <c r="G16" s="65" t="s">
        <v>151</v>
      </c>
      <c r="H16" s="65" t="s">
        <v>171</v>
      </c>
      <c r="I16" s="65" t="s">
        <v>172</v>
      </c>
      <c r="J16" s="67" t="s">
        <v>173</v>
      </c>
      <c r="K16" s="65" t="s">
        <v>174</v>
      </c>
      <c r="L16" s="65" t="s">
        <v>157</v>
      </c>
      <c r="M16" s="65" t="s">
        <v>158</v>
      </c>
      <c r="N16" s="65" t="s">
        <v>159</v>
      </c>
      <c r="O16" s="65" t="s">
        <v>160</v>
      </c>
      <c r="P16" s="65" t="s">
        <v>161</v>
      </c>
      <c r="Q16" s="65" t="s">
        <v>162</v>
      </c>
      <c r="R16" s="65" t="s">
        <v>163</v>
      </c>
      <c r="S16" s="65" t="s">
        <v>164</v>
      </c>
      <c r="T16" s="65" t="s">
        <v>165</v>
      </c>
      <c r="U16" s="65" t="s">
        <v>166</v>
      </c>
      <c r="V16" s="65" t="s">
        <v>167</v>
      </c>
      <c r="W16" s="65" t="s">
        <v>168</v>
      </c>
    </row>
    <row r="17" spans="1:21" s="76" customFormat="1" x14ac:dyDescent="0.15">
      <c r="A17" s="61" t="s">
        <v>185</v>
      </c>
      <c r="B17" s="68" t="s">
        <v>195</v>
      </c>
      <c r="C17" s="63">
        <v>60028</v>
      </c>
      <c r="D17" s="68" t="s">
        <v>178</v>
      </c>
      <c r="E17" s="69" t="str">
        <f t="shared" si="2"/>
        <v>stage_hints_data_c_60028.tmp</v>
      </c>
      <c r="F17" s="68" t="s">
        <v>203</v>
      </c>
      <c r="G17" s="73" t="s">
        <v>179</v>
      </c>
      <c r="H17" s="73" t="s">
        <v>171</v>
      </c>
      <c r="I17" s="74" t="s">
        <v>180</v>
      </c>
      <c r="J17" s="67" t="s">
        <v>181</v>
      </c>
      <c r="K17" s="75" t="s">
        <v>182</v>
      </c>
    </row>
    <row r="18" spans="1:21" s="76" customFormat="1" x14ac:dyDescent="0.15">
      <c r="A18" s="61" t="s">
        <v>185</v>
      </c>
      <c r="B18" s="68" t="s">
        <v>196</v>
      </c>
      <c r="C18" s="63">
        <v>60028</v>
      </c>
      <c r="D18" s="68" t="s">
        <v>169</v>
      </c>
      <c r="E18" s="69" t="str">
        <f t="shared" ref="E18:E19" si="3">B18&amp;C18&amp;D18</f>
        <v>stage_hints_data_f_60028.tmp</v>
      </c>
      <c r="F18" s="68" t="s">
        <v>204</v>
      </c>
      <c r="G18" s="73" t="s">
        <v>179</v>
      </c>
      <c r="H18" s="73" t="s">
        <v>171</v>
      </c>
      <c r="I18" s="74" t="s">
        <v>180</v>
      </c>
      <c r="J18" s="67" t="s">
        <v>181</v>
      </c>
      <c r="K18" s="75" t="s">
        <v>182</v>
      </c>
    </row>
    <row r="19" spans="1:21" s="76" customFormat="1" x14ac:dyDescent="0.15">
      <c r="A19" s="61" t="s">
        <v>185</v>
      </c>
      <c r="B19" s="68" t="s">
        <v>197</v>
      </c>
      <c r="C19" s="63">
        <v>60028</v>
      </c>
      <c r="D19" s="68" t="s">
        <v>169</v>
      </c>
      <c r="E19" s="69" t="str">
        <f t="shared" si="3"/>
        <v>stage_hints_i18n_60028.tmp</v>
      </c>
      <c r="F19" s="68" t="s">
        <v>205</v>
      </c>
      <c r="G19" s="74" t="s">
        <v>198</v>
      </c>
      <c r="H19" s="86" t="s">
        <v>199</v>
      </c>
      <c r="I19" s="73" t="s">
        <v>200</v>
      </c>
      <c r="J19" s="87" t="s">
        <v>201</v>
      </c>
      <c r="K19" s="75" t="s">
        <v>202</v>
      </c>
    </row>
    <row r="20" spans="1:21" x14ac:dyDescent="0.15">
      <c r="A20" s="61" t="s">
        <v>185</v>
      </c>
      <c r="B20" s="68" t="s">
        <v>197</v>
      </c>
      <c r="C20" s="63">
        <v>60028</v>
      </c>
      <c r="D20" s="68" t="s">
        <v>169</v>
      </c>
      <c r="E20" s="69" t="str">
        <f t="shared" ref="E20:E21" si="4">B20&amp;C20&amp;D20</f>
        <v>stage_hints_i18n_60028.tmp</v>
      </c>
      <c r="F20" s="68" t="s">
        <v>205</v>
      </c>
      <c r="G20" s="74" t="s">
        <v>198</v>
      </c>
      <c r="H20" s="86" t="s">
        <v>199</v>
      </c>
      <c r="I20" s="73" t="s">
        <v>200</v>
      </c>
      <c r="J20" s="87" t="s">
        <v>201</v>
      </c>
      <c r="K20" s="75" t="s">
        <v>202</v>
      </c>
    </row>
    <row r="21" spans="1:21" x14ac:dyDescent="0.15">
      <c r="A21" s="61" t="s">
        <v>405</v>
      </c>
      <c r="B21" s="99" t="s">
        <v>220</v>
      </c>
      <c r="C21" s="63">
        <v>60028</v>
      </c>
      <c r="D21" s="68" t="s">
        <v>169</v>
      </c>
      <c r="E21" s="69" t="str">
        <f t="shared" si="4"/>
        <v>ranking_ACH_60028.tmp</v>
      </c>
      <c r="F21" s="68" t="s">
        <v>221</v>
      </c>
      <c r="G21" s="74" t="s">
        <v>222</v>
      </c>
      <c r="H21" s="86" t="s">
        <v>223</v>
      </c>
      <c r="I21" s="73" t="s">
        <v>224</v>
      </c>
      <c r="J21" s="75" t="s">
        <v>225</v>
      </c>
      <c r="K21" s="75"/>
    </row>
    <row r="22" spans="1:21" x14ac:dyDescent="0.15">
      <c r="A22" s="61" t="s">
        <v>405</v>
      </c>
      <c r="B22" s="100" t="s">
        <v>226</v>
      </c>
      <c r="C22" s="63">
        <v>60028</v>
      </c>
      <c r="D22" s="93" t="s">
        <v>117</v>
      </c>
      <c r="E22" s="94" t="str">
        <f>B22&amp;C22&amp;D22</f>
        <v>gifts_tmp_60028.tmp</v>
      </c>
      <c r="F22" s="68" t="s">
        <v>221</v>
      </c>
      <c r="G22" s="95" t="s">
        <v>227</v>
      </c>
      <c r="H22" s="95" t="s">
        <v>212</v>
      </c>
      <c r="I22" s="95" t="s">
        <v>213</v>
      </c>
      <c r="J22" s="95" t="s">
        <v>213</v>
      </c>
      <c r="K22" s="95" t="s">
        <v>213</v>
      </c>
      <c r="L22" s="95" t="s">
        <v>214</v>
      </c>
      <c r="M22" s="95" t="s">
        <v>214</v>
      </c>
      <c r="N22" s="95" t="s">
        <v>214</v>
      </c>
      <c r="O22" s="101" t="s">
        <v>41</v>
      </c>
      <c r="P22" s="101" t="s">
        <v>45</v>
      </c>
      <c r="Q22" s="101" t="s">
        <v>39</v>
      </c>
      <c r="R22" s="101" t="s">
        <v>255</v>
      </c>
      <c r="S22" s="101" t="s">
        <v>43</v>
      </c>
      <c r="T22" s="101" t="s">
        <v>3</v>
      </c>
      <c r="U22" s="101" t="s">
        <v>37</v>
      </c>
    </row>
    <row r="23" spans="1:21" x14ac:dyDescent="0.15">
      <c r="A23" s="61" t="s">
        <v>405</v>
      </c>
      <c r="B23" s="100" t="s">
        <v>228</v>
      </c>
      <c r="C23" s="63">
        <v>60028</v>
      </c>
      <c r="D23" s="93" t="s">
        <v>117</v>
      </c>
      <c r="E23" s="94" t="str">
        <f>B23&amp;C23&amp;D23</f>
        <v>gifts_i18n_60028.tmp</v>
      </c>
      <c r="F23" s="68" t="s">
        <v>221</v>
      </c>
      <c r="G23" s="95" t="s">
        <v>227</v>
      </c>
      <c r="H23" s="95" t="s">
        <v>215</v>
      </c>
      <c r="I23" s="95" t="s">
        <v>229</v>
      </c>
      <c r="J23" s="95" t="s">
        <v>230</v>
      </c>
      <c r="K23" s="95" t="s">
        <v>218</v>
      </c>
      <c r="L23" s="95"/>
      <c r="M23" s="95"/>
      <c r="N23" s="95"/>
      <c r="O23" s="93"/>
    </row>
    <row r="24" spans="1:21" x14ac:dyDescent="0.15">
      <c r="A24" s="61" t="s">
        <v>405</v>
      </c>
      <c r="B24" s="151" t="s">
        <v>491</v>
      </c>
      <c r="C24" s="63">
        <f>C$2</f>
        <v>60028</v>
      </c>
      <c r="D24" s="93" t="s">
        <v>108</v>
      </c>
      <c r="E24" s="94" t="str">
        <f>B24&amp;C24&amp;D24</f>
        <v>ranking_stage_evaluation_gifts_60028.tmp</v>
      </c>
      <c r="F24" s="152" t="s">
        <v>486</v>
      </c>
      <c r="G24" s="58" t="s">
        <v>458</v>
      </c>
      <c r="H24" s="58" t="s">
        <v>246</v>
      </c>
      <c r="I24" s="97" t="s">
        <v>211</v>
      </c>
      <c r="J24" s="91" t="s">
        <v>487</v>
      </c>
    </row>
    <row r="25" spans="1:21" x14ac:dyDescent="0.15">
      <c r="A25" s="61" t="s">
        <v>405</v>
      </c>
      <c r="B25" s="151" t="s">
        <v>488</v>
      </c>
      <c r="C25" s="56" t="str">
        <f>REPLACE($C$2,2,0,"0")</f>
        <v>600028</v>
      </c>
      <c r="D25" s="57" t="s">
        <v>108</v>
      </c>
      <c r="E25" s="94" t="str">
        <f t="shared" ref="E25:E26" si="5">B25&amp;C25&amp;D25</f>
        <v>gifts_tmp_600028.tmp</v>
      </c>
      <c r="F25" s="152" t="s">
        <v>486</v>
      </c>
      <c r="G25" s="153" t="s">
        <v>227</v>
      </c>
      <c r="H25" s="153" t="s">
        <v>212</v>
      </c>
      <c r="I25" s="153" t="s">
        <v>213</v>
      </c>
      <c r="J25" s="153" t="s">
        <v>213</v>
      </c>
      <c r="K25" s="153" t="s">
        <v>213</v>
      </c>
      <c r="L25" s="153" t="s">
        <v>214</v>
      </c>
      <c r="M25" s="153" t="s">
        <v>214</v>
      </c>
      <c r="N25" s="153" t="s">
        <v>214</v>
      </c>
      <c r="O25" s="101" t="s">
        <v>41</v>
      </c>
      <c r="P25" s="101" t="s">
        <v>45</v>
      </c>
      <c r="Q25" s="101" t="s">
        <v>39</v>
      </c>
      <c r="R25" s="101" t="s">
        <v>255</v>
      </c>
      <c r="S25" s="101" t="s">
        <v>43</v>
      </c>
      <c r="T25" s="101" t="s">
        <v>3</v>
      </c>
      <c r="U25" s="101" t="s">
        <v>37</v>
      </c>
    </row>
    <row r="26" spans="1:21" x14ac:dyDescent="0.15">
      <c r="A26" s="61" t="s">
        <v>405</v>
      </c>
      <c r="B26" s="151" t="s">
        <v>489</v>
      </c>
      <c r="C26" s="56" t="str">
        <f>REPLACE($C$2,2,0,"0")</f>
        <v>600028</v>
      </c>
      <c r="D26" s="57" t="s">
        <v>108</v>
      </c>
      <c r="E26" s="94" t="str">
        <f t="shared" si="5"/>
        <v>gifts_i18n_600028.tmp</v>
      </c>
      <c r="F26" s="152" t="s">
        <v>486</v>
      </c>
      <c r="G26" s="153" t="s">
        <v>227</v>
      </c>
      <c r="H26" s="153" t="s">
        <v>215</v>
      </c>
      <c r="I26" s="153" t="s">
        <v>229</v>
      </c>
      <c r="J26" s="153" t="s">
        <v>490</v>
      </c>
      <c r="K26" s="153" t="s">
        <v>218</v>
      </c>
      <c r="L26" s="153"/>
      <c r="M26" s="153"/>
      <c r="N26" s="153"/>
      <c r="O26" s="93"/>
    </row>
  </sheetData>
  <phoneticPr fontId="8"/>
  <dataValidations count="1">
    <dataValidation type="list" allowBlank="1" showInputMessage="1" showErrorMessage="1" sqref="A2:A26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F9" sqref="F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88" t="s">
        <v>206</v>
      </c>
      <c r="M1" s="88" t="s">
        <v>207</v>
      </c>
      <c r="N1" s="88" t="s">
        <v>208</v>
      </c>
    </row>
    <row r="2" spans="1:14" ht="21" customHeight="1" x14ac:dyDescent="0.15">
      <c r="A2" s="16" t="str">
        <f>G2&amp;"-"&amp;I2</f>
        <v>60028_1-1</v>
      </c>
      <c r="B2" s="16" t="str">
        <f>IF(COUNTIF(enemy_habitats!$H:$H,A2),"OK","NG")</f>
        <v>OK</v>
      </c>
      <c r="C2" s="7">
        <v>60028</v>
      </c>
      <c r="D2" s="11" t="str">
        <f ca="1">VLOOKUP($C2,OFFSET([2]quests!$A$1,0,0,COUNTA([2]quests!$A:$A),MATCH(D$1,[2]quests!$1:$1,0)-MATCH($C$1,[2]quests!$1:$1,0)+1),MATCH(D$1,[2]quests!$1:$1,0)-MATCH($C$1,[2]quests!$1:$1,0)+1,FALSE)</f>
        <v xml:space="preserve">クロネッカーチャレンジ 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ランキング4（再開催）</v>
      </c>
      <c r="F2" s="21">
        <v>1</v>
      </c>
      <c r="G2" s="23" t="str">
        <f>C2&amp;"_"&amp;F2</f>
        <v>60028_1</v>
      </c>
      <c r="H2" s="15" t="str">
        <f ca="1">VLOOKUP($G2,OFFSET([2]stages!$A$1,0,0,COUNTA([2]stages!$A:$A),MATCH(H$1,[2]stages!$2:$2,0)-MATCH($G$1,[2]stages!$2:$2,0)+1),MATCH(H$1,[2]stages!$2:$2,0)-MATCH($G$1,[2]stages!$2:$2,0)+1,FALSE)</f>
        <v>クロネッカーチャレンジ</v>
      </c>
      <c r="I2" s="21">
        <v>1</v>
      </c>
      <c r="J2" s="12">
        <v>50</v>
      </c>
      <c r="K2" s="12">
        <v>50</v>
      </c>
      <c r="L2" s="70" t="str">
        <f>C2&amp;F2&amp;I2</f>
        <v>6002811</v>
      </c>
      <c r="M2" s="70" t="str">
        <f>C2&amp;F2&amp;I2</f>
        <v>6002811</v>
      </c>
      <c r="N2" s="70" t="str">
        <f>C2&amp;F2&amp;I2</f>
        <v>6002811</v>
      </c>
    </row>
    <row r="3" spans="1:14" ht="21" customHeight="1" x14ac:dyDescent="0.15">
      <c r="A3" s="16" t="str">
        <f t="shared" ref="A3" si="0">G3&amp;"-"&amp;I3</f>
        <v>60028_1-2</v>
      </c>
      <c r="B3" s="16" t="str">
        <f>IF(COUNTIF(enemy_habitats!$H:$H,A3),"OK","NG")</f>
        <v>OK</v>
      </c>
      <c r="C3" s="7">
        <v>60028</v>
      </c>
      <c r="D3" s="11" t="str">
        <f ca="1">VLOOKUP($C3,OFFSET([2]quests!$A$1,0,0,COUNTA([2]quests!$A:$A),MATCH(D$1,[2]quests!$1:$1,0)-MATCH($C$1,[2]quests!$1:$1,0)+1),MATCH(D$1,[2]quests!$1:$1,0)-MATCH($C$1,[2]quests!$1:$1,0)+1,FALSE)</f>
        <v xml:space="preserve">クロネッカーチャレンジ 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ランキング4（再開催）</v>
      </c>
      <c r="F3" s="21">
        <v>1</v>
      </c>
      <c r="G3" s="23" t="str">
        <f t="shared" ref="G3" si="1">C3&amp;"_"&amp;F3</f>
        <v>60028_1</v>
      </c>
      <c r="H3" s="15" t="str">
        <f ca="1">VLOOKUP($G3,OFFSET([2]stages!$A$1,0,0,COUNTA([2]stages!$A:$A),MATCH(H$1,[2]stages!$2:$2,0)-MATCH($G$1,[2]stages!$2:$2,0)+1),MATCH(H$1,[2]stages!$2:$2,0)-MATCH($G$1,[2]stages!$2:$2,0)+1,FALSE)</f>
        <v>クロネッカーチャレンジ</v>
      </c>
      <c r="I3" s="21">
        <v>2</v>
      </c>
      <c r="J3" s="12">
        <v>60</v>
      </c>
      <c r="K3" s="12">
        <v>60</v>
      </c>
      <c r="L3" s="70" t="str">
        <f t="shared" ref="L3" si="2">C3&amp;F3&amp;I3</f>
        <v>6002812</v>
      </c>
      <c r="M3" s="70" t="str">
        <f t="shared" ref="M3" si="3">C3&amp;F3&amp;I3</f>
        <v>6002812</v>
      </c>
      <c r="N3" s="70" t="str">
        <f t="shared" ref="N3" si="4">C3&amp;F3&amp;I3</f>
        <v>6002812</v>
      </c>
    </row>
    <row r="4" spans="1:14" ht="21" customHeight="1" x14ac:dyDescent="0.15">
      <c r="A4" s="16" t="str">
        <f t="shared" ref="A4:A6" si="5">G4&amp;"-"&amp;I4</f>
        <v>60028_1-3</v>
      </c>
      <c r="B4" s="16" t="str">
        <f>IF(COUNTIF(enemy_habitats!$H:$H,A4),"OK","NG")</f>
        <v>OK</v>
      </c>
      <c r="C4" s="7">
        <v>60028</v>
      </c>
      <c r="D4" s="11" t="str">
        <f ca="1">VLOOKUP($C4,OFFSET([2]quests!$A$1,0,0,COUNTA([2]quests!$A:$A),MATCH(D$1,[2]quests!$1:$1,0)-MATCH($C$1,[2]quests!$1:$1,0)+1),MATCH(D$1,[2]quests!$1:$1,0)-MATCH($C$1,[2]quests!$1:$1,0)+1,FALSE)</f>
        <v xml:space="preserve">クロネッカーチャレンジ 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ランキング4（再開催）</v>
      </c>
      <c r="F4" s="21">
        <v>1</v>
      </c>
      <c r="G4" s="23" t="str">
        <f t="shared" ref="G4:G6" si="6">C4&amp;"_"&amp;F4</f>
        <v>60028_1</v>
      </c>
      <c r="H4" s="15" t="str">
        <f ca="1">VLOOKUP($G4,OFFSET([2]stages!$A$1,0,0,COUNTA([2]stages!$A:$A),MATCH(H$1,[2]stages!$2:$2,0)-MATCH($G$1,[2]stages!$2:$2,0)+1),MATCH(H$1,[2]stages!$2:$2,0)-MATCH($G$1,[2]stages!$2:$2,0)+1,FALSE)</f>
        <v>クロネッカーチャレンジ</v>
      </c>
      <c r="I4" s="21">
        <v>3</v>
      </c>
      <c r="J4" s="12">
        <v>60</v>
      </c>
      <c r="K4" s="12">
        <v>60</v>
      </c>
      <c r="L4" s="70" t="str">
        <f t="shared" ref="L4:L6" si="7">C4&amp;F4&amp;I4</f>
        <v>6002813</v>
      </c>
      <c r="M4" s="70" t="str">
        <f t="shared" ref="M4:M6" si="8">C4&amp;F4&amp;I4</f>
        <v>6002813</v>
      </c>
      <c r="N4" s="70" t="str">
        <f t="shared" ref="N4:N6" si="9">C4&amp;F4&amp;I4</f>
        <v>6002813</v>
      </c>
    </row>
    <row r="5" spans="1:14" ht="21" customHeight="1" x14ac:dyDescent="0.15">
      <c r="A5" s="16" t="str">
        <f t="shared" si="5"/>
        <v>60028_1-4</v>
      </c>
      <c r="B5" s="16" t="str">
        <f>IF(COUNTIF(enemy_habitats!$H:$H,A5),"OK","NG")</f>
        <v>OK</v>
      </c>
      <c r="C5" s="7">
        <v>60028</v>
      </c>
      <c r="D5" s="11" t="str">
        <f ca="1">VLOOKUP($C5,OFFSET([2]quests!$A$1,0,0,COUNTA([2]quests!$A:$A),MATCH(D$1,[2]quests!$1:$1,0)-MATCH($C$1,[2]quests!$1:$1,0)+1),MATCH(D$1,[2]quests!$1:$1,0)-MATCH($C$1,[2]quests!$1:$1,0)+1,FALSE)</f>
        <v xml:space="preserve">クロネッカーチャレンジ 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ランキング4（再開催）</v>
      </c>
      <c r="F5" s="21">
        <v>1</v>
      </c>
      <c r="G5" s="23" t="str">
        <f t="shared" si="6"/>
        <v>60028_1</v>
      </c>
      <c r="H5" s="15" t="str">
        <f ca="1">VLOOKUP($G5,OFFSET([2]stages!$A$1,0,0,COUNTA([2]stages!$A:$A),MATCH(H$1,[2]stages!$2:$2,0)-MATCH($G$1,[2]stages!$2:$2,0)+1),MATCH(H$1,[2]stages!$2:$2,0)-MATCH($G$1,[2]stages!$2:$2,0)+1,FALSE)</f>
        <v>クロネッカーチャレンジ</v>
      </c>
      <c r="I5" s="21">
        <v>4</v>
      </c>
      <c r="J5" s="12">
        <v>60</v>
      </c>
      <c r="K5" s="12">
        <v>60</v>
      </c>
      <c r="L5" s="70" t="str">
        <f t="shared" si="7"/>
        <v>6002814</v>
      </c>
      <c r="M5" s="70" t="str">
        <f t="shared" si="8"/>
        <v>6002814</v>
      </c>
      <c r="N5" s="70" t="str">
        <f t="shared" si="9"/>
        <v>6002814</v>
      </c>
    </row>
    <row r="6" spans="1:14" ht="21" customHeight="1" x14ac:dyDescent="0.15">
      <c r="A6" s="16" t="str">
        <f t="shared" si="5"/>
        <v>60028_1-5</v>
      </c>
      <c r="B6" s="16" t="str">
        <f>IF(COUNTIF(enemy_habitats!$H:$H,A6),"OK","NG")</f>
        <v>OK</v>
      </c>
      <c r="C6" s="7">
        <v>60028</v>
      </c>
      <c r="D6" s="11" t="str">
        <f ca="1">VLOOKUP($C6,OFFSET([2]quests!$A$1,0,0,COUNTA([2]quests!$A:$A),MATCH(D$1,[2]quests!$1:$1,0)-MATCH($C$1,[2]quests!$1:$1,0)+1),MATCH(D$1,[2]quests!$1:$1,0)-MATCH($C$1,[2]quests!$1:$1,0)+1,FALSE)</f>
        <v xml:space="preserve">クロネッカーチャレンジ 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ランキング4（再開催）</v>
      </c>
      <c r="F6" s="21">
        <v>1</v>
      </c>
      <c r="G6" s="23" t="str">
        <f t="shared" si="6"/>
        <v>60028_1</v>
      </c>
      <c r="H6" s="15" t="str">
        <f ca="1">VLOOKUP($G6,OFFSET([2]stages!$A$1,0,0,COUNTA([2]stages!$A:$A),MATCH(H$1,[2]stages!$2:$2,0)-MATCH($G$1,[2]stages!$2:$2,0)+1),MATCH(H$1,[2]stages!$2:$2,0)-MATCH($G$1,[2]stages!$2:$2,0)+1,FALSE)</f>
        <v>クロネッカーチャレンジ</v>
      </c>
      <c r="I6" s="21">
        <v>5</v>
      </c>
      <c r="J6" s="12">
        <v>60</v>
      </c>
      <c r="K6" s="12">
        <v>60</v>
      </c>
      <c r="L6" s="70" t="str">
        <f t="shared" si="7"/>
        <v>6002815</v>
      </c>
      <c r="M6" s="70" t="str">
        <f t="shared" si="8"/>
        <v>6002815</v>
      </c>
      <c r="N6" s="70" t="str">
        <f t="shared" si="9"/>
        <v>6002815</v>
      </c>
    </row>
  </sheetData>
  <sheetProtection selectLockedCells="1" selectUnlockedCells="1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A3" sqref="A3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233</v>
      </c>
    </row>
    <row r="2" spans="1:7" x14ac:dyDescent="0.15">
      <c r="A2" s="7">
        <v>60028</v>
      </c>
      <c r="B2" s="11" t="str">
        <f ca="1">VLOOKUP($A2,OFFSET([2]quests!$A$1,0,0,COUNTA([2]quests!$A:$A),MATCH(B$1,[2]quests!$1:$1,0)-MATCH($A$1,[2]quests!$1:$1,0)+1),MATCH(B$1,[2]quests!$1:$1,0)-MATCH($A$1,[2]quests!$1:$1,0)+1,FALSE)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" s="18">
        <f ca="1">VLOOKUP($A2,OFFSET([2]quests!$A$1,0,0,COUNTA([2]quests!$A:$A),MATCH(C$1,[2]quests!$1:$1,0)-MATCH($C$1,[2]quests!$1:$1,0)+1),MATCH(C$1,[2]quests!$1:$1,0)-MATCH($C$1,[2]quests!$1:$1,0)+1,FALSE)</f>
        <v>60028</v>
      </c>
      <c r="D2" s="21">
        <v>1</v>
      </c>
      <c r="E2" s="23" t="str">
        <f>A2&amp;"_"&amp;D2</f>
        <v>60028_1</v>
      </c>
      <c r="F2" s="15" t="str">
        <f ca="1">VLOOKUP($E2,OFFSET([2]stages!$A$1,0,0,COUNTA([2]stages!$A:$A),MATCH(F$1,[2]stages!$2:$2,0)-MATCH($E$1,[2]stages!$2:$2,0)+1),MATCH(F$1,[2]stages!$2:$2,0)-MATCH($E$1,[2]stages!$2:$2,0)+1,FALSE)</f>
        <v>クロネッカーチャレンジ</v>
      </c>
      <c r="G2" s="130">
        <v>2000000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26"/>
  <sheetViews>
    <sheetView workbookViewId="0">
      <selection activeCell="C23" sqref="C23"/>
    </sheetView>
  </sheetViews>
  <sheetFormatPr baseColWidth="12" defaultRowHeight="15" x14ac:dyDescent="0.15"/>
  <sheetData>
    <row r="1" spans="1:7" x14ac:dyDescent="0.15">
      <c r="A1" s="58" t="s">
        <v>235</v>
      </c>
      <c r="B1" s="58" t="s">
        <v>256</v>
      </c>
      <c r="C1" s="102" t="s">
        <v>257</v>
      </c>
      <c r="D1" s="58" t="s">
        <v>258</v>
      </c>
      <c r="E1" s="58" t="s">
        <v>238</v>
      </c>
      <c r="F1" s="96"/>
      <c r="G1" s="96"/>
    </row>
    <row r="2" spans="1:7" x14ac:dyDescent="0.15">
      <c r="A2" s="109">
        <v>6002811</v>
      </c>
      <c r="B2" s="109">
        <v>1</v>
      </c>
      <c r="C2" s="104">
        <v>1000000</v>
      </c>
      <c r="D2" s="105">
        <f>(C3-C2)/(B3-B2)</f>
        <v>-100000</v>
      </c>
      <c r="E2" s="106">
        <f t="shared" ref="E2:E4" si="0">C2-D2*B2</f>
        <v>1100000</v>
      </c>
    </row>
    <row r="3" spans="1:7" x14ac:dyDescent="0.15">
      <c r="A3" s="109">
        <v>6002811</v>
      </c>
      <c r="B3" s="109">
        <v>3</v>
      </c>
      <c r="C3" s="104">
        <v>800000</v>
      </c>
      <c r="D3" s="105">
        <f>(C4-C3)/(B4-B3)</f>
        <v>-160000</v>
      </c>
      <c r="E3" s="106">
        <f t="shared" ref="E3" si="1">C3-D3*B3</f>
        <v>1280000</v>
      </c>
    </row>
    <row r="4" spans="1:7" x14ac:dyDescent="0.15">
      <c r="A4" s="109">
        <v>6002811</v>
      </c>
      <c r="B4" s="109">
        <v>8</v>
      </c>
      <c r="C4" s="104">
        <v>0</v>
      </c>
      <c r="D4" s="105">
        <f>(C5-C4)/(B5-B4)</f>
        <v>-200000</v>
      </c>
      <c r="E4" s="106">
        <f t="shared" si="0"/>
        <v>1600000</v>
      </c>
    </row>
    <row r="5" spans="1:7" x14ac:dyDescent="0.15">
      <c r="A5" s="109">
        <v>6002811</v>
      </c>
      <c r="B5" s="109">
        <v>10</v>
      </c>
      <c r="C5" s="104">
        <v>-400000</v>
      </c>
      <c r="D5" s="105">
        <f>(C6-C5)/(B6-B5)</f>
        <v>-200000</v>
      </c>
      <c r="E5" s="106">
        <f>C5-D5*B5</f>
        <v>1600000</v>
      </c>
    </row>
    <row r="6" spans="1:7" x14ac:dyDescent="0.15">
      <c r="A6" s="109">
        <v>6002811</v>
      </c>
      <c r="B6" s="109">
        <v>12</v>
      </c>
      <c r="C6" s="104">
        <v>-800000</v>
      </c>
      <c r="D6" s="110">
        <v>0</v>
      </c>
      <c r="E6" s="111">
        <v>-10000000</v>
      </c>
    </row>
    <row r="7" spans="1:7" x14ac:dyDescent="0.15">
      <c r="A7" s="103">
        <v>6002812</v>
      </c>
      <c r="B7" s="103">
        <v>1</v>
      </c>
      <c r="C7" s="104">
        <v>1000000</v>
      </c>
      <c r="D7" s="105">
        <f>(C8-C7)/(B8-B7)</f>
        <v>-41666.666666666664</v>
      </c>
      <c r="E7" s="106">
        <f t="shared" ref="E7:E9" si="2">C7-D7*B7</f>
        <v>1041666.6666666666</v>
      </c>
    </row>
    <row r="8" spans="1:7" x14ac:dyDescent="0.15">
      <c r="A8" s="103">
        <v>6002812</v>
      </c>
      <c r="B8" s="103">
        <v>7</v>
      </c>
      <c r="C8" s="104">
        <v>750000</v>
      </c>
      <c r="D8" s="105">
        <f>(C9-C8)/(B9-B8)</f>
        <v>-93750</v>
      </c>
      <c r="E8" s="106">
        <f t="shared" si="2"/>
        <v>1406250</v>
      </c>
    </row>
    <row r="9" spans="1:7" x14ac:dyDescent="0.15">
      <c r="A9" s="103">
        <v>6002812</v>
      </c>
      <c r="B9" s="103">
        <v>15</v>
      </c>
      <c r="C9" s="104">
        <v>0</v>
      </c>
      <c r="D9" s="105">
        <f>(C10-C9)/(B10-B9)</f>
        <v>-133333.33333333334</v>
      </c>
      <c r="E9" s="106">
        <f t="shared" si="2"/>
        <v>2000000.0000000002</v>
      </c>
    </row>
    <row r="10" spans="1:7" x14ac:dyDescent="0.15">
      <c r="A10" s="103">
        <v>6002812</v>
      </c>
      <c r="B10" s="103">
        <v>18</v>
      </c>
      <c r="C10" s="104">
        <v>-400000</v>
      </c>
      <c r="D10" s="105">
        <f>(C11-C10)/(B11-B10)</f>
        <v>-200000</v>
      </c>
      <c r="E10" s="106">
        <f>C10-D10*B10</f>
        <v>3200000</v>
      </c>
    </row>
    <row r="11" spans="1:7" x14ac:dyDescent="0.15">
      <c r="A11" s="103">
        <v>6002812</v>
      </c>
      <c r="B11" s="103">
        <v>20</v>
      </c>
      <c r="C11" s="104">
        <v>-800000</v>
      </c>
      <c r="D11" s="137">
        <v>0</v>
      </c>
      <c r="E11" s="138">
        <v>-10000000</v>
      </c>
    </row>
    <row r="12" spans="1:7" x14ac:dyDescent="0.15">
      <c r="A12" s="109">
        <v>6002813</v>
      </c>
      <c r="B12" s="109">
        <v>1</v>
      </c>
      <c r="C12" s="104">
        <v>1000000</v>
      </c>
      <c r="D12" s="105">
        <f>(C13-C12)/(B13-B12)</f>
        <v>-41666.666666666664</v>
      </c>
      <c r="E12" s="106">
        <f t="shared" ref="E12:E14" si="3">C12-D12*B12</f>
        <v>1041666.6666666666</v>
      </c>
    </row>
    <row r="13" spans="1:7" x14ac:dyDescent="0.15">
      <c r="A13" s="109">
        <v>6002813</v>
      </c>
      <c r="B13" s="109">
        <v>7</v>
      </c>
      <c r="C13" s="104">
        <v>750000</v>
      </c>
      <c r="D13" s="105">
        <f>(C14-C13)/(B14-B13)</f>
        <v>-93750</v>
      </c>
      <c r="E13" s="106">
        <f t="shared" ref="E13" si="4">C13-D13*B13</f>
        <v>1406250</v>
      </c>
    </row>
    <row r="14" spans="1:7" x14ac:dyDescent="0.15">
      <c r="A14" s="109">
        <v>6002813</v>
      </c>
      <c r="B14" s="109">
        <v>15</v>
      </c>
      <c r="C14" s="104">
        <v>0</v>
      </c>
      <c r="D14" s="105">
        <f>(C15-C14)/(B15-B14)</f>
        <v>-133333.33333333334</v>
      </c>
      <c r="E14" s="106">
        <f t="shared" si="3"/>
        <v>2000000.0000000002</v>
      </c>
    </row>
    <row r="15" spans="1:7" x14ac:dyDescent="0.15">
      <c r="A15" s="109">
        <v>6002813</v>
      </c>
      <c r="B15" s="109">
        <v>18</v>
      </c>
      <c r="C15" s="104">
        <v>-400000</v>
      </c>
      <c r="D15" s="105">
        <f>(C16-C15)/(B16-B15)</f>
        <v>-200000</v>
      </c>
      <c r="E15" s="106">
        <f>C15-D15*B15</f>
        <v>3200000</v>
      </c>
    </row>
    <row r="16" spans="1:7" x14ac:dyDescent="0.15">
      <c r="A16" s="109">
        <v>6002813</v>
      </c>
      <c r="B16" s="109">
        <v>20</v>
      </c>
      <c r="C16" s="104">
        <v>-800000</v>
      </c>
      <c r="D16" s="110">
        <v>0</v>
      </c>
      <c r="E16" s="111">
        <v>-10000000</v>
      </c>
    </row>
    <row r="17" spans="1:5" x14ac:dyDescent="0.15">
      <c r="A17" s="103">
        <v>6002814</v>
      </c>
      <c r="B17" s="103">
        <v>1</v>
      </c>
      <c r="C17" s="104">
        <v>1000000</v>
      </c>
      <c r="D17" s="105">
        <f>(C18-C17)/(B18-B17)</f>
        <v>-50000</v>
      </c>
      <c r="E17" s="106">
        <f>C17-D17*B17</f>
        <v>1050000</v>
      </c>
    </row>
    <row r="18" spans="1:5" x14ac:dyDescent="0.15">
      <c r="A18" s="103">
        <v>6002814</v>
      </c>
      <c r="B18" s="103">
        <v>5</v>
      </c>
      <c r="C18" s="104">
        <v>800000</v>
      </c>
      <c r="D18" s="105">
        <f>(C19-C18)/(B19-B18)</f>
        <v>-80000</v>
      </c>
      <c r="E18" s="106">
        <f>C18-D18*B18</f>
        <v>1200000</v>
      </c>
    </row>
    <row r="19" spans="1:5" x14ac:dyDescent="0.15">
      <c r="A19" s="103">
        <v>6002814</v>
      </c>
      <c r="B19" s="103">
        <v>15</v>
      </c>
      <c r="C19" s="104">
        <v>0</v>
      </c>
      <c r="D19" s="105">
        <f>(C20-C19)/(B20-B19)</f>
        <v>-133333.33333333334</v>
      </c>
      <c r="E19" s="106">
        <f>C19-D19*B19</f>
        <v>2000000.0000000002</v>
      </c>
    </row>
    <row r="20" spans="1:5" x14ac:dyDescent="0.15">
      <c r="A20" s="103">
        <v>6002814</v>
      </c>
      <c r="B20" s="103">
        <v>18</v>
      </c>
      <c r="C20" s="104">
        <v>-400000</v>
      </c>
      <c r="D20" s="105">
        <f>(C21-C20)/(B21-B20)</f>
        <v>-200000</v>
      </c>
      <c r="E20" s="106">
        <f>C20-D20*B20</f>
        <v>3200000</v>
      </c>
    </row>
    <row r="21" spans="1:5" x14ac:dyDescent="0.15">
      <c r="A21" s="103">
        <v>6002814</v>
      </c>
      <c r="B21" s="103">
        <v>20</v>
      </c>
      <c r="C21" s="104">
        <v>-800000</v>
      </c>
      <c r="D21" s="107">
        <v>0</v>
      </c>
      <c r="E21" s="108">
        <v>-10000000</v>
      </c>
    </row>
    <row r="22" spans="1:5" x14ac:dyDescent="0.15">
      <c r="A22" s="109">
        <v>6002815</v>
      </c>
      <c r="B22" s="109">
        <v>1</v>
      </c>
      <c r="C22" s="104">
        <v>1000000</v>
      </c>
      <c r="D22" s="105">
        <f>(C23-C22)/(B23-B22)</f>
        <v>-27272.727272727272</v>
      </c>
      <c r="E22" s="106">
        <f t="shared" ref="E22:E24" si="5">C22-D22*B22</f>
        <v>1027272.7272727273</v>
      </c>
    </row>
    <row r="23" spans="1:5" x14ac:dyDescent="0.15">
      <c r="A23" s="109">
        <v>6002815</v>
      </c>
      <c r="B23" s="109">
        <v>12</v>
      </c>
      <c r="C23" s="104">
        <v>700000</v>
      </c>
      <c r="D23" s="105">
        <f>(C24-C23)/(B24-B23)</f>
        <v>-87500</v>
      </c>
      <c r="E23" s="106">
        <f t="shared" ref="E23" si="6">C23-D23*B23</f>
        <v>1750000</v>
      </c>
    </row>
    <row r="24" spans="1:5" x14ac:dyDescent="0.15">
      <c r="A24" s="109">
        <v>6002815</v>
      </c>
      <c r="B24" s="109">
        <v>20</v>
      </c>
      <c r="C24" s="104">
        <v>0</v>
      </c>
      <c r="D24" s="105">
        <f>(C25-C24)/(B25-B24)</f>
        <v>-80000</v>
      </c>
      <c r="E24" s="106">
        <f t="shared" si="5"/>
        <v>1600000</v>
      </c>
    </row>
    <row r="25" spans="1:5" x14ac:dyDescent="0.15">
      <c r="A25" s="109">
        <v>6002815</v>
      </c>
      <c r="B25" s="109">
        <v>25</v>
      </c>
      <c r="C25" s="104">
        <v>-400000</v>
      </c>
      <c r="D25" s="105">
        <f>(C26-C25)/(B26-B25)</f>
        <v>-80000</v>
      </c>
      <c r="E25" s="106">
        <f>C25-D25*B25</f>
        <v>1600000</v>
      </c>
    </row>
    <row r="26" spans="1:5" x14ac:dyDescent="0.15">
      <c r="A26" s="109">
        <v>6002815</v>
      </c>
      <c r="B26" s="109">
        <v>30</v>
      </c>
      <c r="C26" s="104">
        <v>-800000</v>
      </c>
      <c r="D26" s="110">
        <v>0</v>
      </c>
      <c r="E26" s="111">
        <v>-10000000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F33"/>
  <sheetViews>
    <sheetView workbookViewId="0">
      <selection activeCell="D25" sqref="D25"/>
    </sheetView>
  </sheetViews>
  <sheetFormatPr baseColWidth="12" defaultRowHeight="15" x14ac:dyDescent="0.15"/>
  <cols>
    <col min="3" max="3" width="13.83203125" bestFit="1" customWidth="1"/>
  </cols>
  <sheetData>
    <row r="1" spans="1:6" x14ac:dyDescent="0.15">
      <c r="A1" s="58" t="s">
        <v>235</v>
      </c>
      <c r="B1" s="58" t="s">
        <v>352</v>
      </c>
      <c r="C1" s="58" t="s">
        <v>353</v>
      </c>
      <c r="D1" s="58" t="s">
        <v>258</v>
      </c>
      <c r="E1" s="58" t="s">
        <v>354</v>
      </c>
    </row>
    <row r="2" spans="1:6" x14ac:dyDescent="0.15">
      <c r="A2" s="109">
        <v>6002811</v>
      </c>
      <c r="B2" s="109">
        <v>0</v>
      </c>
      <c r="C2" s="63">
        <v>0</v>
      </c>
      <c r="D2" s="112">
        <f>(C3-C2)/(B3-B2)</f>
        <v>4</v>
      </c>
      <c r="E2" s="106">
        <f t="shared" ref="E2:E3" si="0">C2-D2*B2</f>
        <v>0</v>
      </c>
    </row>
    <row r="3" spans="1:6" x14ac:dyDescent="0.15">
      <c r="A3" s="109">
        <v>6002811</v>
      </c>
      <c r="B3" s="109">
        <v>100000</v>
      </c>
      <c r="C3" s="63">
        <f>B3*SQRT(D29)*4</f>
        <v>400000</v>
      </c>
      <c r="D3" s="112">
        <f>(C4-C3)/(B4-B3)</f>
        <v>4.2000000000000028</v>
      </c>
      <c r="E3" s="106">
        <f t="shared" si="0"/>
        <v>-20000.000000000291</v>
      </c>
      <c r="F3" s="140">
        <v>1</v>
      </c>
    </row>
    <row r="4" spans="1:6" x14ac:dyDescent="0.15">
      <c r="A4" s="109">
        <v>6002811</v>
      </c>
      <c r="B4" s="109">
        <f>B3*1.2</f>
        <v>120000</v>
      </c>
      <c r="C4" s="63">
        <f>C3*SQRT(D30)^2</f>
        <v>484000.00000000006</v>
      </c>
      <c r="D4" s="112">
        <f>(C5-C4)/(B5-B4)</f>
        <v>4.1333333333333311</v>
      </c>
      <c r="E4" s="106">
        <f>C4-D4*B4</f>
        <v>-11999.999999999651</v>
      </c>
      <c r="F4" s="140">
        <v>1.2</v>
      </c>
    </row>
    <row r="5" spans="1:6" x14ac:dyDescent="0.15">
      <c r="A5" s="109">
        <v>6002811</v>
      </c>
      <c r="B5" s="109">
        <f>B3*1.5</f>
        <v>150000</v>
      </c>
      <c r="C5" s="63">
        <f>C3*SQRT(D31)^2</f>
        <v>608000</v>
      </c>
      <c r="D5" s="113">
        <v>0.01</v>
      </c>
      <c r="E5" s="105">
        <f>C5-D5*B5</f>
        <v>606500</v>
      </c>
      <c r="F5" s="140">
        <v>1.5</v>
      </c>
    </row>
    <row r="6" spans="1:6" x14ac:dyDescent="0.15">
      <c r="A6" s="58">
        <v>6002812</v>
      </c>
      <c r="B6" s="58">
        <v>0</v>
      </c>
      <c r="C6" s="63">
        <v>0</v>
      </c>
      <c r="D6" s="112">
        <f t="shared" ref="D6:D7" si="1">(C7-C6)/(B7-B6)</f>
        <v>2.5</v>
      </c>
      <c r="E6" s="106">
        <f t="shared" ref="E6:E7" si="2">C6-D6*B6</f>
        <v>0</v>
      </c>
    </row>
    <row r="7" spans="1:6" x14ac:dyDescent="0.15">
      <c r="A7" s="58">
        <v>6002812</v>
      </c>
      <c r="B7" s="58">
        <v>240000</v>
      </c>
      <c r="C7" s="63">
        <f>B7*SQRT(D29)*2.5</f>
        <v>600000</v>
      </c>
      <c r="D7" s="112">
        <f t="shared" si="1"/>
        <v>2.6250000000000022</v>
      </c>
      <c r="E7" s="106">
        <f t="shared" si="2"/>
        <v>-30000.000000000582</v>
      </c>
      <c r="F7" s="140">
        <v>1</v>
      </c>
    </row>
    <row r="8" spans="1:6" x14ac:dyDescent="0.15">
      <c r="A8" s="58">
        <v>6002812</v>
      </c>
      <c r="B8" s="58">
        <f>B7*1.2</f>
        <v>288000</v>
      </c>
      <c r="C8" s="63">
        <f>C7*SQRT(D30)^2</f>
        <v>726000.00000000012</v>
      </c>
      <c r="D8" s="112">
        <f>(C9-C8)/(B9-B8)</f>
        <v>2.5833333333333317</v>
      </c>
      <c r="E8" s="106">
        <f>C8-D8*B8</f>
        <v>-17999.999999999418</v>
      </c>
      <c r="F8" s="140">
        <v>1.2</v>
      </c>
    </row>
    <row r="9" spans="1:6" x14ac:dyDescent="0.15">
      <c r="A9" s="58">
        <v>6002812</v>
      </c>
      <c r="B9" s="58">
        <f>B7*1.5</f>
        <v>360000</v>
      </c>
      <c r="C9" s="63">
        <f>C7*SQRT(D31)^2</f>
        <v>912000</v>
      </c>
      <c r="D9" s="113">
        <v>0.01</v>
      </c>
      <c r="E9" s="105">
        <f>C9-D9*B9</f>
        <v>908400</v>
      </c>
      <c r="F9" s="140">
        <v>1.5</v>
      </c>
    </row>
    <row r="10" spans="1:6" x14ac:dyDescent="0.15">
      <c r="A10" s="109">
        <v>6002813</v>
      </c>
      <c r="B10" s="109">
        <v>0</v>
      </c>
      <c r="C10" s="63">
        <v>0</v>
      </c>
      <c r="D10" s="112">
        <f>(C11-C10)/(B11-B10)</f>
        <v>1</v>
      </c>
      <c r="E10" s="106">
        <f t="shared" ref="E10:E11" si="3">C10-D10*B10</f>
        <v>0</v>
      </c>
    </row>
    <row r="11" spans="1:6" x14ac:dyDescent="0.15">
      <c r="A11" s="109">
        <v>6002813</v>
      </c>
      <c r="B11" s="109">
        <v>480000</v>
      </c>
      <c r="C11" s="63">
        <f>B11*SQRT(D29)*1</f>
        <v>480000</v>
      </c>
      <c r="D11" s="112">
        <f>(C12-C11)/(B12-B11)</f>
        <v>1.0500000000000012</v>
      </c>
      <c r="E11" s="106">
        <f t="shared" si="3"/>
        <v>-24000.000000000582</v>
      </c>
      <c r="F11" s="140">
        <v>1</v>
      </c>
    </row>
    <row r="12" spans="1:6" x14ac:dyDescent="0.15">
      <c r="A12" s="143">
        <v>6002813</v>
      </c>
      <c r="B12" s="143">
        <f>B11*1.2</f>
        <v>576000</v>
      </c>
      <c r="C12" s="63">
        <f>C11*SQRT(D30)^2</f>
        <v>580800.00000000012</v>
      </c>
      <c r="D12" s="112">
        <f>(C13-C12)/(B13-B12)</f>
        <v>1.0333333333333325</v>
      </c>
      <c r="E12" s="106">
        <f>C12-D12*B12</f>
        <v>-14399.999999999418</v>
      </c>
      <c r="F12" s="140">
        <v>1.2</v>
      </c>
    </row>
    <row r="13" spans="1:6" x14ac:dyDescent="0.15">
      <c r="A13" s="143">
        <v>6002813</v>
      </c>
      <c r="B13" s="143">
        <f>B11*1.5</f>
        <v>720000</v>
      </c>
      <c r="C13" s="63">
        <f>C11*SQRT(D31)^2</f>
        <v>729600</v>
      </c>
      <c r="D13" s="112">
        <f>(C14-C13)/(B14-B13)</f>
        <v>1.0199999999999996</v>
      </c>
      <c r="E13" s="105">
        <f>C13-D13*B13</f>
        <v>-4799.9999999996508</v>
      </c>
      <c r="F13" s="140">
        <v>1.5</v>
      </c>
    </row>
    <row r="14" spans="1:6" x14ac:dyDescent="0.15">
      <c r="A14" s="143">
        <v>6002813</v>
      </c>
      <c r="B14" s="143">
        <f>B11*2</f>
        <v>960000</v>
      </c>
      <c r="C14" s="63">
        <f>$C$11*SQRT(D32)^2</f>
        <v>974399.99999999988</v>
      </c>
      <c r="D14" s="113">
        <v>0.01</v>
      </c>
      <c r="E14" s="106">
        <f>C14-D14*B14</f>
        <v>964799.99999999988</v>
      </c>
      <c r="F14" s="140">
        <v>2</v>
      </c>
    </row>
    <row r="15" spans="1:6" x14ac:dyDescent="0.15">
      <c r="A15" s="103">
        <v>6002814</v>
      </c>
      <c r="B15" s="58">
        <v>0</v>
      </c>
      <c r="C15" s="63">
        <v>0</v>
      </c>
      <c r="D15" s="112">
        <f t="shared" ref="D15:D16" si="4">(C16-C15)/(B16-B15)</f>
        <v>1</v>
      </c>
      <c r="E15" s="106">
        <f t="shared" ref="E15:E16" si="5">C15-D15*B15</f>
        <v>0</v>
      </c>
    </row>
    <row r="16" spans="1:6" x14ac:dyDescent="0.15">
      <c r="A16" s="103">
        <v>6002814</v>
      </c>
      <c r="B16" s="58">
        <v>600000</v>
      </c>
      <c r="C16" s="63">
        <f>B16*SQRT(D29)*1</f>
        <v>600000</v>
      </c>
      <c r="D16" s="112">
        <f t="shared" si="4"/>
        <v>1.0500000000000009</v>
      </c>
      <c r="E16" s="106">
        <f t="shared" si="5"/>
        <v>-30000.000000000582</v>
      </c>
      <c r="F16" s="140">
        <v>1</v>
      </c>
    </row>
    <row r="17" spans="1:6" x14ac:dyDescent="0.15">
      <c r="A17" s="103">
        <v>6002814</v>
      </c>
      <c r="B17" s="58">
        <f>B16*1.2</f>
        <v>720000</v>
      </c>
      <c r="C17" s="63">
        <f>C16*SQRT(D30)^2</f>
        <v>726000.00000000012</v>
      </c>
      <c r="D17" s="112">
        <f>(C18-C17)/(B18-B17)</f>
        <v>1.0333333333333328</v>
      </c>
      <c r="E17" s="106">
        <f>C17-D17*B17</f>
        <v>-17999.999999999534</v>
      </c>
      <c r="F17" s="140">
        <v>1.2</v>
      </c>
    </row>
    <row r="18" spans="1:6" x14ac:dyDescent="0.15">
      <c r="A18" s="103">
        <v>6002814</v>
      </c>
      <c r="B18" s="58">
        <f>B16*1.5</f>
        <v>900000</v>
      </c>
      <c r="C18" s="63">
        <f>C16*SQRT(D31)^2</f>
        <v>912000</v>
      </c>
      <c r="D18" s="112">
        <f>(C19-C18)/(B19-B18)</f>
        <v>1.0199999999999991</v>
      </c>
      <c r="E18" s="105">
        <f>C18-D18*B18</f>
        <v>-5999.9999999991851</v>
      </c>
      <c r="F18" s="140">
        <v>1.5</v>
      </c>
    </row>
    <row r="19" spans="1:6" x14ac:dyDescent="0.15">
      <c r="A19" s="103">
        <v>6002814</v>
      </c>
      <c r="B19" s="58">
        <f>B16*2</f>
        <v>1200000</v>
      </c>
      <c r="C19" s="63">
        <f>$C$16*SQRT(D32)^2</f>
        <v>1217999.9999999998</v>
      </c>
      <c r="D19" s="112">
        <f>(C20-C19)/(B20-B19)</f>
        <v>1</v>
      </c>
      <c r="E19" s="106">
        <f>C19-D19*B19</f>
        <v>17999.999999999767</v>
      </c>
      <c r="F19" s="140">
        <v>2</v>
      </c>
    </row>
    <row r="20" spans="1:6" x14ac:dyDescent="0.15">
      <c r="A20" s="103">
        <v>6002814</v>
      </c>
      <c r="B20" s="58">
        <f>B16*2.5</f>
        <v>1500000</v>
      </c>
      <c r="C20" s="63">
        <f>$C$16*SQRT(D33)^2</f>
        <v>1517999.9999999998</v>
      </c>
      <c r="D20" s="113">
        <v>0.01</v>
      </c>
      <c r="E20" s="105">
        <f>C20-D20*B20</f>
        <v>1502999.9999999998</v>
      </c>
      <c r="F20" s="140">
        <v>2.5</v>
      </c>
    </row>
    <row r="21" spans="1:6" x14ac:dyDescent="0.15">
      <c r="A21" s="109">
        <v>6002815</v>
      </c>
      <c r="B21" s="109">
        <v>0</v>
      </c>
      <c r="C21" s="63">
        <v>0</v>
      </c>
      <c r="D21" s="112">
        <f t="shared" ref="D21" si="6">(C22-C21)/(B22-B21)</f>
        <v>1</v>
      </c>
      <c r="E21" s="106">
        <f t="shared" ref="E21:E24" si="7">C21-D21*B21</f>
        <v>0</v>
      </c>
    </row>
    <row r="22" spans="1:6" x14ac:dyDescent="0.15">
      <c r="A22" s="109">
        <v>6002815</v>
      </c>
      <c r="B22" s="109">
        <v>1800000</v>
      </c>
      <c r="C22" s="63">
        <f>B22*SQRT(D29)*1</f>
        <v>1800000</v>
      </c>
      <c r="D22" s="112">
        <f>(C23-C22)/(B23-B22)</f>
        <v>1.0500000000000014</v>
      </c>
      <c r="E22" s="106">
        <f t="shared" si="7"/>
        <v>-90000.000000002561</v>
      </c>
      <c r="F22" s="140">
        <v>1</v>
      </c>
    </row>
    <row r="23" spans="1:6" x14ac:dyDescent="0.15">
      <c r="A23" s="109">
        <v>6002815</v>
      </c>
      <c r="B23" s="109">
        <f>B22*1.2</f>
        <v>2160000</v>
      </c>
      <c r="C23" s="63">
        <f>$C$22*SQRT(D30)^2</f>
        <v>2178000.0000000005</v>
      </c>
      <c r="D23" s="112">
        <f>(C24-C23)/(B24-B23)</f>
        <v>1.0333333333333325</v>
      </c>
      <c r="E23" s="106">
        <f t="shared" si="7"/>
        <v>-53999.999999997672</v>
      </c>
      <c r="F23" s="140">
        <v>1.2</v>
      </c>
    </row>
    <row r="24" spans="1:6" x14ac:dyDescent="0.15">
      <c r="A24" s="109">
        <v>6002815</v>
      </c>
      <c r="B24" s="109">
        <f>B22*1.5</f>
        <v>2700000</v>
      </c>
      <c r="C24" s="63">
        <f>$C$22*SQRT(D31)^2</f>
        <v>2736000</v>
      </c>
      <c r="D24" s="112">
        <f>(C25-C24)/(B25-B24)</f>
        <v>1.0199999999999996</v>
      </c>
      <c r="E24" s="106">
        <f t="shared" si="7"/>
        <v>-17999.999999999069</v>
      </c>
      <c r="F24" s="140">
        <v>1.5</v>
      </c>
    </row>
    <row r="25" spans="1:6" x14ac:dyDescent="0.15">
      <c r="A25" s="109">
        <v>6002815</v>
      </c>
      <c r="B25" s="109">
        <f>B22*2</f>
        <v>3600000</v>
      </c>
      <c r="C25" s="63">
        <f>$C$22*SQRT(D32)^2</f>
        <v>3653999.9999999995</v>
      </c>
      <c r="D25" s="112">
        <f>(C26-C25)/(B26-B25)</f>
        <v>1.0000000000000004</v>
      </c>
      <c r="E25" s="106">
        <f>C25-D25*B25</f>
        <v>53999.999999998137</v>
      </c>
      <c r="F25" s="140">
        <v>2</v>
      </c>
    </row>
    <row r="26" spans="1:6" x14ac:dyDescent="0.15">
      <c r="A26" s="109">
        <v>6002815</v>
      </c>
      <c r="B26" s="109">
        <f>B22*2.5</f>
        <v>4500000</v>
      </c>
      <c r="C26" s="63">
        <f>$C$22*SQRT(D33)^2</f>
        <v>4554000</v>
      </c>
      <c r="D26" s="113">
        <v>0.01</v>
      </c>
      <c r="E26" s="105">
        <f>C26-D26*B26</f>
        <v>4509000</v>
      </c>
      <c r="F26" s="140">
        <v>2.5</v>
      </c>
    </row>
    <row r="28" spans="1:6" x14ac:dyDescent="0.15">
      <c r="D28" t="s">
        <v>355</v>
      </c>
    </row>
    <row r="29" spans="1:6" x14ac:dyDescent="0.15">
      <c r="B29" s="129"/>
      <c r="C29" s="141">
        <f>SUM(C5,C9,C20,C14,C26)</f>
        <v>8566400</v>
      </c>
      <c r="D29">
        <v>1</v>
      </c>
    </row>
    <row r="30" spans="1:6" x14ac:dyDescent="0.15">
      <c r="B30" s="96"/>
      <c r="C30" s="142"/>
      <c r="D30">
        <v>1.21</v>
      </c>
    </row>
    <row r="31" spans="1:6" x14ac:dyDescent="0.15">
      <c r="B31" s="96"/>
      <c r="C31" s="142"/>
      <c r="D31">
        <v>1.52</v>
      </c>
    </row>
    <row r="32" spans="1:6" x14ac:dyDescent="0.15">
      <c r="D32">
        <v>2.0299999999999998</v>
      </c>
    </row>
    <row r="33" spans="4:4" x14ac:dyDescent="0.15">
      <c r="D33">
        <v>2.5299999999999998</v>
      </c>
    </row>
  </sheetData>
  <phoneticPr fontId="8"/>
  <pageMargins left="0.7" right="0.7" top="0.75" bottom="0.75" header="0.3" footer="0.3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E81"/>
  <sheetViews>
    <sheetView topLeftCell="A58" workbookViewId="0">
      <selection activeCell="F70" sqref="F70"/>
    </sheetView>
  </sheetViews>
  <sheetFormatPr baseColWidth="12" defaultRowHeight="15" x14ac:dyDescent="0.15"/>
  <sheetData>
    <row r="1" spans="1:5" x14ac:dyDescent="0.15">
      <c r="A1" s="58" t="s">
        <v>259</v>
      </c>
      <c r="B1" s="58" t="s">
        <v>260</v>
      </c>
      <c r="C1" s="58" t="s">
        <v>261</v>
      </c>
      <c r="D1" s="58" t="s">
        <v>262</v>
      </c>
      <c r="E1" s="58" t="s">
        <v>263</v>
      </c>
    </row>
    <row r="2" spans="1:5" x14ac:dyDescent="0.15">
      <c r="A2" s="117">
        <v>6002811</v>
      </c>
      <c r="B2" s="117">
        <v>0</v>
      </c>
      <c r="C2" s="104">
        <v>0</v>
      </c>
      <c r="D2" s="115">
        <f t="shared" ref="D2:D13" si="0">(C3-C2)/(B3-B2)</f>
        <v>-300000</v>
      </c>
      <c r="E2" s="116">
        <f t="shared" ref="E2:E13" si="1">C2-D2*B2</f>
        <v>0</v>
      </c>
    </row>
    <row r="3" spans="1:5" x14ac:dyDescent="0.15">
      <c r="A3" s="117">
        <v>6002811</v>
      </c>
      <c r="B3" s="117">
        <v>0.01</v>
      </c>
      <c r="C3" s="104">
        <v>-3000</v>
      </c>
      <c r="D3" s="115">
        <f>(C4-C3)/(B4-B3)</f>
        <v>-300000</v>
      </c>
      <c r="E3" s="116">
        <f t="shared" si="1"/>
        <v>0</v>
      </c>
    </row>
    <row r="4" spans="1:5" x14ac:dyDescent="0.15">
      <c r="A4" s="117">
        <v>6002811</v>
      </c>
      <c r="B4" s="117">
        <v>0.05</v>
      </c>
      <c r="C4" s="104">
        <v>-15000</v>
      </c>
      <c r="D4" s="115">
        <f t="shared" si="0"/>
        <v>-300000</v>
      </c>
      <c r="E4" s="116">
        <f t="shared" si="1"/>
        <v>0</v>
      </c>
    </row>
    <row r="5" spans="1:5" x14ac:dyDescent="0.15">
      <c r="A5" s="117">
        <v>6002811</v>
      </c>
      <c r="B5" s="117">
        <v>0.1</v>
      </c>
      <c r="C5" s="104">
        <v>-30000</v>
      </c>
      <c r="D5" s="115">
        <f t="shared" si="0"/>
        <v>-300000</v>
      </c>
      <c r="E5" s="116">
        <f t="shared" si="1"/>
        <v>0</v>
      </c>
    </row>
    <row r="6" spans="1:5" x14ac:dyDescent="0.15">
      <c r="A6" s="117">
        <v>6002811</v>
      </c>
      <c r="B6" s="117">
        <v>0.2</v>
      </c>
      <c r="C6" s="104">
        <v>-60000</v>
      </c>
      <c r="D6" s="115">
        <f t="shared" si="0"/>
        <v>-300000</v>
      </c>
      <c r="E6" s="116">
        <f t="shared" si="1"/>
        <v>0</v>
      </c>
    </row>
    <row r="7" spans="1:5" x14ac:dyDescent="0.15">
      <c r="A7" s="117">
        <v>6002811</v>
      </c>
      <c r="B7" s="117">
        <v>0.4</v>
      </c>
      <c r="C7" s="104">
        <v>-120000</v>
      </c>
      <c r="D7" s="115">
        <f t="shared" si="0"/>
        <v>-300000.00000000006</v>
      </c>
      <c r="E7" s="116">
        <f t="shared" si="1"/>
        <v>0</v>
      </c>
    </row>
    <row r="8" spans="1:5" x14ac:dyDescent="0.15">
      <c r="A8" s="117">
        <v>6002811</v>
      </c>
      <c r="B8" s="117">
        <v>0.6</v>
      </c>
      <c r="C8" s="104">
        <v>-180000</v>
      </c>
      <c r="D8" s="115">
        <f t="shared" si="0"/>
        <v>-299999.99999999988</v>
      </c>
      <c r="E8" s="116">
        <f t="shared" si="1"/>
        <v>0</v>
      </c>
    </row>
    <row r="9" spans="1:5" x14ac:dyDescent="0.15">
      <c r="A9" s="117">
        <v>6002811</v>
      </c>
      <c r="B9" s="117">
        <v>0.8</v>
      </c>
      <c r="C9" s="104">
        <v>-240000</v>
      </c>
      <c r="D9" s="115">
        <f t="shared" si="0"/>
        <v>-300000.00000000006</v>
      </c>
      <c r="E9" s="116">
        <f t="shared" si="1"/>
        <v>0</v>
      </c>
    </row>
    <row r="10" spans="1:5" x14ac:dyDescent="0.15">
      <c r="A10" s="117">
        <v>6002811</v>
      </c>
      <c r="B10" s="117">
        <v>1</v>
      </c>
      <c r="C10" s="104">
        <v>-300000</v>
      </c>
      <c r="D10" s="115">
        <f t="shared" si="0"/>
        <v>-300000.00000000006</v>
      </c>
      <c r="E10" s="116">
        <f t="shared" si="1"/>
        <v>0</v>
      </c>
    </row>
    <row r="11" spans="1:5" x14ac:dyDescent="0.15">
      <c r="A11" s="117">
        <v>6002811</v>
      </c>
      <c r="B11" s="117">
        <v>1.2</v>
      </c>
      <c r="C11" s="104">
        <v>-360000</v>
      </c>
      <c r="D11" s="115">
        <f t="shared" si="0"/>
        <v>-300000.00000000006</v>
      </c>
      <c r="E11" s="116">
        <f t="shared" si="1"/>
        <v>0</v>
      </c>
    </row>
    <row r="12" spans="1:5" x14ac:dyDescent="0.15">
      <c r="A12" s="117">
        <v>6002811</v>
      </c>
      <c r="B12" s="117">
        <v>1.4</v>
      </c>
      <c r="C12" s="104">
        <v>-420000</v>
      </c>
      <c r="D12" s="115">
        <f t="shared" si="0"/>
        <v>-299999.99999999971</v>
      </c>
      <c r="E12" s="116">
        <f t="shared" si="1"/>
        <v>0</v>
      </c>
    </row>
    <row r="13" spans="1:5" x14ac:dyDescent="0.15">
      <c r="A13" s="117">
        <v>6002811</v>
      </c>
      <c r="B13" s="117">
        <v>1.6</v>
      </c>
      <c r="C13" s="104">
        <v>-480000</v>
      </c>
      <c r="D13" s="115">
        <f t="shared" si="0"/>
        <v>-300000.00000000006</v>
      </c>
      <c r="E13" s="116">
        <f t="shared" si="1"/>
        <v>0</v>
      </c>
    </row>
    <row r="14" spans="1:5" x14ac:dyDescent="0.15">
      <c r="A14" s="117">
        <v>6002811</v>
      </c>
      <c r="B14" s="117">
        <v>1.8</v>
      </c>
      <c r="C14" s="104">
        <v>-540000</v>
      </c>
      <c r="D14" s="115">
        <f>(C15-C14)/(B15-B14)</f>
        <v>-2300000.0000000005</v>
      </c>
      <c r="E14" s="116">
        <f>C14-D14*B14</f>
        <v>3600000.0000000009</v>
      </c>
    </row>
    <row r="15" spans="1:5" x14ac:dyDescent="0.15">
      <c r="A15" s="117">
        <v>6002811</v>
      </c>
      <c r="B15" s="117">
        <v>2</v>
      </c>
      <c r="C15" s="104">
        <v>-1000000</v>
      </c>
      <c r="D15" s="110">
        <v>0</v>
      </c>
      <c r="E15" s="111">
        <v>-10000000</v>
      </c>
    </row>
    <row r="16" spans="1:5" x14ac:dyDescent="0.15">
      <c r="A16" s="139">
        <v>6002812</v>
      </c>
      <c r="B16" s="139">
        <v>0</v>
      </c>
      <c r="C16" s="104">
        <v>0</v>
      </c>
      <c r="D16" s="115">
        <f t="shared" ref="D16:D27" si="2">(C17-C16)/(B17-B16)</f>
        <v>-300000</v>
      </c>
      <c r="E16" s="116">
        <f t="shared" ref="E16:E27" si="3">C16-D16*B16</f>
        <v>0</v>
      </c>
    </row>
    <row r="17" spans="1:5" x14ac:dyDescent="0.15">
      <c r="A17" s="139">
        <v>6002812</v>
      </c>
      <c r="B17" s="139">
        <v>0.01</v>
      </c>
      <c r="C17" s="104">
        <v>-3000</v>
      </c>
      <c r="D17" s="115">
        <f t="shared" si="2"/>
        <v>-300000</v>
      </c>
      <c r="E17" s="116">
        <f t="shared" si="3"/>
        <v>0</v>
      </c>
    </row>
    <row r="18" spans="1:5" x14ac:dyDescent="0.15">
      <c r="A18" s="139">
        <v>6002812</v>
      </c>
      <c r="B18" s="139">
        <v>0.05</v>
      </c>
      <c r="C18" s="104">
        <v>-15000</v>
      </c>
      <c r="D18" s="115">
        <f t="shared" si="2"/>
        <v>-300000</v>
      </c>
      <c r="E18" s="116">
        <f t="shared" si="3"/>
        <v>0</v>
      </c>
    </row>
    <row r="19" spans="1:5" x14ac:dyDescent="0.15">
      <c r="A19" s="139">
        <v>6002812</v>
      </c>
      <c r="B19" s="139">
        <v>0.1</v>
      </c>
      <c r="C19" s="104">
        <v>-30000</v>
      </c>
      <c r="D19" s="115">
        <f t="shared" si="2"/>
        <v>-300000</v>
      </c>
      <c r="E19" s="116">
        <f t="shared" si="3"/>
        <v>0</v>
      </c>
    </row>
    <row r="20" spans="1:5" x14ac:dyDescent="0.15">
      <c r="A20" s="139">
        <v>6002812</v>
      </c>
      <c r="B20" s="139">
        <v>0.2</v>
      </c>
      <c r="C20" s="104">
        <v>-60000</v>
      </c>
      <c r="D20" s="115">
        <f t="shared" si="2"/>
        <v>-300000</v>
      </c>
      <c r="E20" s="116">
        <f t="shared" si="3"/>
        <v>0</v>
      </c>
    </row>
    <row r="21" spans="1:5" x14ac:dyDescent="0.15">
      <c r="A21" s="139">
        <v>6002812</v>
      </c>
      <c r="B21" s="139">
        <v>0.4</v>
      </c>
      <c r="C21" s="104">
        <v>-120000</v>
      </c>
      <c r="D21" s="115">
        <f t="shared" si="2"/>
        <v>-300000.00000000006</v>
      </c>
      <c r="E21" s="116">
        <f t="shared" si="3"/>
        <v>0</v>
      </c>
    </row>
    <row r="22" spans="1:5" x14ac:dyDescent="0.15">
      <c r="A22" s="139">
        <v>6002812</v>
      </c>
      <c r="B22" s="139">
        <v>0.6</v>
      </c>
      <c r="C22" s="104">
        <v>-180000</v>
      </c>
      <c r="D22" s="115">
        <f t="shared" si="2"/>
        <v>-299999.99999999988</v>
      </c>
      <c r="E22" s="116">
        <f t="shared" si="3"/>
        <v>0</v>
      </c>
    </row>
    <row r="23" spans="1:5" x14ac:dyDescent="0.15">
      <c r="A23" s="139">
        <v>6002812</v>
      </c>
      <c r="B23" s="139">
        <v>0.8</v>
      </c>
      <c r="C23" s="104">
        <v>-240000</v>
      </c>
      <c r="D23" s="115">
        <f t="shared" si="2"/>
        <v>-300000.00000000006</v>
      </c>
      <c r="E23" s="116">
        <f t="shared" si="3"/>
        <v>0</v>
      </c>
    </row>
    <row r="24" spans="1:5" x14ac:dyDescent="0.15">
      <c r="A24" s="139">
        <v>6002812</v>
      </c>
      <c r="B24" s="139">
        <v>1</v>
      </c>
      <c r="C24" s="104">
        <v>-300000</v>
      </c>
      <c r="D24" s="115">
        <f t="shared" si="2"/>
        <v>-300000.00000000006</v>
      </c>
      <c r="E24" s="116">
        <f t="shared" si="3"/>
        <v>0</v>
      </c>
    </row>
    <row r="25" spans="1:5" x14ac:dyDescent="0.15">
      <c r="A25" s="139">
        <v>6002812</v>
      </c>
      <c r="B25" s="139">
        <v>1.2</v>
      </c>
      <c r="C25" s="104">
        <v>-360000</v>
      </c>
      <c r="D25" s="115">
        <f t="shared" si="2"/>
        <v>-300000.00000000006</v>
      </c>
      <c r="E25" s="116">
        <f t="shared" si="3"/>
        <v>0</v>
      </c>
    </row>
    <row r="26" spans="1:5" x14ac:dyDescent="0.15">
      <c r="A26" s="139">
        <v>6002812</v>
      </c>
      <c r="B26" s="139">
        <v>1.4</v>
      </c>
      <c r="C26" s="104">
        <v>-420000</v>
      </c>
      <c r="D26" s="115">
        <f t="shared" si="2"/>
        <v>-299999.99999999971</v>
      </c>
      <c r="E26" s="116">
        <f t="shared" si="3"/>
        <v>0</v>
      </c>
    </row>
    <row r="27" spans="1:5" x14ac:dyDescent="0.15">
      <c r="A27" s="139">
        <v>6002812</v>
      </c>
      <c r="B27" s="139">
        <v>1.6</v>
      </c>
      <c r="C27" s="104">
        <v>-480000</v>
      </c>
      <c r="D27" s="115">
        <f t="shared" si="2"/>
        <v>-300000.00000000006</v>
      </c>
      <c r="E27" s="116">
        <f t="shared" si="3"/>
        <v>0</v>
      </c>
    </row>
    <row r="28" spans="1:5" x14ac:dyDescent="0.15">
      <c r="A28" s="139">
        <v>6002812</v>
      </c>
      <c r="B28" s="139">
        <v>1.8</v>
      </c>
      <c r="C28" s="104">
        <v>-540000</v>
      </c>
      <c r="D28" s="115">
        <f>(C29-C28)/(B29-B28)</f>
        <v>-2300000.0000000005</v>
      </c>
      <c r="E28" s="116">
        <f>C28-D28*B28</f>
        <v>3600000.0000000009</v>
      </c>
    </row>
    <row r="29" spans="1:5" x14ac:dyDescent="0.15">
      <c r="A29" s="139">
        <v>6002812</v>
      </c>
      <c r="B29" s="139">
        <v>2</v>
      </c>
      <c r="C29" s="104">
        <v>-1000000</v>
      </c>
      <c r="D29" s="137">
        <v>0</v>
      </c>
      <c r="E29" s="138">
        <v>-10000000</v>
      </c>
    </row>
    <row r="30" spans="1:5" x14ac:dyDescent="0.15">
      <c r="A30" s="117">
        <v>6002813</v>
      </c>
      <c r="B30" s="117">
        <v>0</v>
      </c>
      <c r="C30" s="104">
        <v>0</v>
      </c>
      <c r="D30" s="115">
        <f t="shared" ref="D30:D41" si="4">(C31-C30)/(B31-B30)</f>
        <v>-300000</v>
      </c>
      <c r="E30" s="116">
        <f t="shared" ref="E30:E41" si="5">C30-D30*B30</f>
        <v>0</v>
      </c>
    </row>
    <row r="31" spans="1:5" x14ac:dyDescent="0.15">
      <c r="A31" s="117">
        <v>6002813</v>
      </c>
      <c r="B31" s="117">
        <v>0.01</v>
      </c>
      <c r="C31" s="104">
        <v>-3000</v>
      </c>
      <c r="D31" s="115">
        <f t="shared" si="4"/>
        <v>-300000</v>
      </c>
      <c r="E31" s="116">
        <f t="shared" si="5"/>
        <v>0</v>
      </c>
    </row>
    <row r="32" spans="1:5" x14ac:dyDescent="0.15">
      <c r="A32" s="117">
        <v>6002813</v>
      </c>
      <c r="B32" s="117">
        <v>0.05</v>
      </c>
      <c r="C32" s="104">
        <v>-15000</v>
      </c>
      <c r="D32" s="115">
        <f t="shared" si="4"/>
        <v>-300000</v>
      </c>
      <c r="E32" s="116">
        <f t="shared" si="5"/>
        <v>0</v>
      </c>
    </row>
    <row r="33" spans="1:5" x14ac:dyDescent="0.15">
      <c r="A33" s="117">
        <v>6002813</v>
      </c>
      <c r="B33" s="117">
        <v>0.1</v>
      </c>
      <c r="C33" s="104">
        <v>-30000</v>
      </c>
      <c r="D33" s="115">
        <f t="shared" si="4"/>
        <v>-300000</v>
      </c>
      <c r="E33" s="116">
        <f t="shared" si="5"/>
        <v>0</v>
      </c>
    </row>
    <row r="34" spans="1:5" x14ac:dyDescent="0.15">
      <c r="A34" s="117">
        <v>6002813</v>
      </c>
      <c r="B34" s="117">
        <v>0.2</v>
      </c>
      <c r="C34" s="104">
        <v>-60000</v>
      </c>
      <c r="D34" s="115">
        <f t="shared" si="4"/>
        <v>-300000</v>
      </c>
      <c r="E34" s="116">
        <f t="shared" si="5"/>
        <v>0</v>
      </c>
    </row>
    <row r="35" spans="1:5" x14ac:dyDescent="0.15">
      <c r="A35" s="117">
        <v>6002813</v>
      </c>
      <c r="B35" s="117">
        <v>0.4</v>
      </c>
      <c r="C35" s="104">
        <v>-120000</v>
      </c>
      <c r="D35" s="115">
        <f t="shared" si="4"/>
        <v>-300000.00000000006</v>
      </c>
      <c r="E35" s="116">
        <f t="shared" si="5"/>
        <v>0</v>
      </c>
    </row>
    <row r="36" spans="1:5" x14ac:dyDescent="0.15">
      <c r="A36" s="117">
        <v>6002813</v>
      </c>
      <c r="B36" s="117">
        <v>0.6</v>
      </c>
      <c r="C36" s="104">
        <v>-180000</v>
      </c>
      <c r="D36" s="115">
        <f t="shared" si="4"/>
        <v>-299999.99999999988</v>
      </c>
      <c r="E36" s="116">
        <f t="shared" si="5"/>
        <v>0</v>
      </c>
    </row>
    <row r="37" spans="1:5" x14ac:dyDescent="0.15">
      <c r="A37" s="117">
        <v>6002813</v>
      </c>
      <c r="B37" s="117">
        <v>0.8</v>
      </c>
      <c r="C37" s="104">
        <v>-240000</v>
      </c>
      <c r="D37" s="115">
        <f t="shared" si="4"/>
        <v>-300000.00000000006</v>
      </c>
      <c r="E37" s="116">
        <f t="shared" si="5"/>
        <v>0</v>
      </c>
    </row>
    <row r="38" spans="1:5" x14ac:dyDescent="0.15">
      <c r="A38" s="117">
        <v>6002813</v>
      </c>
      <c r="B38" s="117">
        <v>1</v>
      </c>
      <c r="C38" s="104">
        <v>-300000</v>
      </c>
      <c r="D38" s="115">
        <f t="shared" si="4"/>
        <v>-300000.00000000006</v>
      </c>
      <c r="E38" s="116">
        <f t="shared" si="5"/>
        <v>0</v>
      </c>
    </row>
    <row r="39" spans="1:5" x14ac:dyDescent="0.15">
      <c r="A39" s="117">
        <v>6002813</v>
      </c>
      <c r="B39" s="117">
        <v>1.2</v>
      </c>
      <c r="C39" s="104">
        <v>-360000</v>
      </c>
      <c r="D39" s="115">
        <f t="shared" si="4"/>
        <v>-300000.00000000006</v>
      </c>
      <c r="E39" s="116">
        <f t="shared" si="5"/>
        <v>0</v>
      </c>
    </row>
    <row r="40" spans="1:5" x14ac:dyDescent="0.15">
      <c r="A40" s="117">
        <v>6002813</v>
      </c>
      <c r="B40" s="117">
        <v>1.4</v>
      </c>
      <c r="C40" s="104">
        <v>-420000</v>
      </c>
      <c r="D40" s="115">
        <f t="shared" si="4"/>
        <v>-299999.99999999971</v>
      </c>
      <c r="E40" s="116">
        <f t="shared" si="5"/>
        <v>0</v>
      </c>
    </row>
    <row r="41" spans="1:5" x14ac:dyDescent="0.15">
      <c r="A41" s="117">
        <v>6002813</v>
      </c>
      <c r="B41" s="117">
        <v>1.6</v>
      </c>
      <c r="C41" s="104">
        <v>-480000</v>
      </c>
      <c r="D41" s="115">
        <f t="shared" si="4"/>
        <v>-300000.00000000006</v>
      </c>
      <c r="E41" s="116">
        <f t="shared" si="5"/>
        <v>0</v>
      </c>
    </row>
    <row r="42" spans="1:5" x14ac:dyDescent="0.15">
      <c r="A42" s="117">
        <v>6002813</v>
      </c>
      <c r="B42" s="117">
        <v>1.8</v>
      </c>
      <c r="C42" s="104">
        <v>-540000</v>
      </c>
      <c r="D42" s="115">
        <f>(C43-C42)/(B43-B42)</f>
        <v>-2300000.0000000005</v>
      </c>
      <c r="E42" s="116">
        <f>C42-D42*B42</f>
        <v>3600000.0000000009</v>
      </c>
    </row>
    <row r="43" spans="1:5" x14ac:dyDescent="0.15">
      <c r="A43" s="117">
        <v>6002813</v>
      </c>
      <c r="B43" s="117">
        <v>2</v>
      </c>
      <c r="C43" s="104">
        <v>-1000000</v>
      </c>
      <c r="D43" s="110">
        <v>0</v>
      </c>
      <c r="E43" s="111">
        <v>-10000000</v>
      </c>
    </row>
    <row r="44" spans="1:5" x14ac:dyDescent="0.15">
      <c r="A44" s="114">
        <v>6002814</v>
      </c>
      <c r="B44" s="114">
        <v>0</v>
      </c>
      <c r="C44" s="104">
        <v>0</v>
      </c>
      <c r="D44" s="115">
        <f t="shared" ref="D44:D60" si="6">(C45-C44)/(B45-B44)</f>
        <v>-1200000</v>
      </c>
      <c r="E44" s="116">
        <f t="shared" ref="E44:E60" si="7">C44-D44*B44</f>
        <v>0</v>
      </c>
    </row>
    <row r="45" spans="1:5" x14ac:dyDescent="0.15">
      <c r="A45" s="114">
        <v>6002814</v>
      </c>
      <c r="B45" s="114">
        <v>0.01</v>
      </c>
      <c r="C45" s="104">
        <v>-12000</v>
      </c>
      <c r="D45" s="115">
        <f t="shared" si="6"/>
        <v>-1200000</v>
      </c>
      <c r="E45" s="116">
        <f t="shared" si="7"/>
        <v>0</v>
      </c>
    </row>
    <row r="46" spans="1:5" x14ac:dyDescent="0.15">
      <c r="A46" s="114">
        <v>6002814</v>
      </c>
      <c r="B46" s="114">
        <v>0.05</v>
      </c>
      <c r="C46" s="104">
        <v>-60000</v>
      </c>
      <c r="D46" s="115">
        <f t="shared" si="6"/>
        <v>-1200000</v>
      </c>
      <c r="E46" s="116">
        <f t="shared" si="7"/>
        <v>0</v>
      </c>
    </row>
    <row r="47" spans="1:5" x14ac:dyDescent="0.15">
      <c r="A47" s="114">
        <v>6002814</v>
      </c>
      <c r="B47" s="114">
        <v>0.1</v>
      </c>
      <c r="C47" s="104">
        <v>-120000</v>
      </c>
      <c r="D47" s="115">
        <f t="shared" si="6"/>
        <v>-1200000</v>
      </c>
      <c r="E47" s="116">
        <f t="shared" si="7"/>
        <v>0</v>
      </c>
    </row>
    <row r="48" spans="1:5" x14ac:dyDescent="0.15">
      <c r="A48" s="114">
        <v>6002814</v>
      </c>
      <c r="B48" s="114">
        <v>0.2</v>
      </c>
      <c r="C48" s="104">
        <v>-240000</v>
      </c>
      <c r="D48" s="115">
        <f t="shared" si="6"/>
        <v>-1200000</v>
      </c>
      <c r="E48" s="116">
        <f t="shared" si="7"/>
        <v>0</v>
      </c>
    </row>
    <row r="49" spans="1:5" x14ac:dyDescent="0.15">
      <c r="A49" s="114">
        <v>6002814</v>
      </c>
      <c r="B49" s="114">
        <v>0.4</v>
      </c>
      <c r="C49" s="104">
        <v>-480000</v>
      </c>
      <c r="D49" s="115">
        <f t="shared" si="6"/>
        <v>-1200000.0000000002</v>
      </c>
      <c r="E49" s="116">
        <f t="shared" si="7"/>
        <v>0</v>
      </c>
    </row>
    <row r="50" spans="1:5" x14ac:dyDescent="0.15">
      <c r="A50" s="114">
        <v>6002814</v>
      </c>
      <c r="B50" s="114">
        <v>0.6</v>
      </c>
      <c r="C50" s="104">
        <v>-720000</v>
      </c>
      <c r="D50" s="115">
        <f t="shared" si="6"/>
        <v>-1199999.9999999995</v>
      </c>
      <c r="E50" s="116">
        <f t="shared" si="7"/>
        <v>0</v>
      </c>
    </row>
    <row r="51" spans="1:5" x14ac:dyDescent="0.15">
      <c r="A51" s="114">
        <v>6002814</v>
      </c>
      <c r="B51" s="114">
        <v>0.8</v>
      </c>
      <c r="C51" s="104">
        <v>-960000</v>
      </c>
      <c r="D51" s="115">
        <f t="shared" si="6"/>
        <v>-1200000.0000000002</v>
      </c>
      <c r="E51" s="116">
        <f t="shared" si="7"/>
        <v>0</v>
      </c>
    </row>
    <row r="52" spans="1:5" x14ac:dyDescent="0.15">
      <c r="A52" s="114">
        <v>6002814</v>
      </c>
      <c r="B52" s="114">
        <v>1</v>
      </c>
      <c r="C52" s="104">
        <v>-1200000</v>
      </c>
      <c r="D52" s="115">
        <f t="shared" si="6"/>
        <v>-1200000.0000000002</v>
      </c>
      <c r="E52" s="116">
        <f t="shared" si="7"/>
        <v>0</v>
      </c>
    </row>
    <row r="53" spans="1:5" x14ac:dyDescent="0.15">
      <c r="A53" s="114">
        <v>6002814</v>
      </c>
      <c r="B53" s="114">
        <v>1.2</v>
      </c>
      <c r="C53" s="104">
        <v>-1440000</v>
      </c>
      <c r="D53" s="115">
        <f t="shared" si="6"/>
        <v>-1200000.0000000002</v>
      </c>
      <c r="E53" s="116">
        <f t="shared" si="7"/>
        <v>0</v>
      </c>
    </row>
    <row r="54" spans="1:5" x14ac:dyDescent="0.15">
      <c r="A54" s="114">
        <v>6002814</v>
      </c>
      <c r="B54" s="114">
        <v>1.4</v>
      </c>
      <c r="C54" s="104">
        <v>-1680000</v>
      </c>
      <c r="D54" s="115">
        <f t="shared" si="6"/>
        <v>-1199999.9999999988</v>
      </c>
      <c r="E54" s="116">
        <f t="shared" si="7"/>
        <v>0</v>
      </c>
    </row>
    <row r="55" spans="1:5" x14ac:dyDescent="0.15">
      <c r="A55" s="114">
        <v>6002814</v>
      </c>
      <c r="B55" s="114">
        <v>1.6</v>
      </c>
      <c r="C55" s="104">
        <v>-1920000</v>
      </c>
      <c r="D55" s="115">
        <f t="shared" si="6"/>
        <v>-1200000.0000000002</v>
      </c>
      <c r="E55" s="116">
        <f t="shared" si="7"/>
        <v>0</v>
      </c>
    </row>
    <row r="56" spans="1:5" x14ac:dyDescent="0.15">
      <c r="A56" s="114">
        <v>6002814</v>
      </c>
      <c r="B56" s="114">
        <v>1.8</v>
      </c>
      <c r="C56" s="104">
        <v>-2160000</v>
      </c>
      <c r="D56" s="115">
        <f t="shared" si="6"/>
        <v>-1200000.0000000002</v>
      </c>
      <c r="E56" s="116">
        <f t="shared" si="7"/>
        <v>0</v>
      </c>
    </row>
    <row r="57" spans="1:5" x14ac:dyDescent="0.15">
      <c r="A57" s="114">
        <v>6002814</v>
      </c>
      <c r="B57" s="114">
        <v>2</v>
      </c>
      <c r="C57" s="104">
        <v>-2400000</v>
      </c>
      <c r="D57" s="115">
        <f t="shared" si="6"/>
        <v>-1199999.9999999988</v>
      </c>
      <c r="E57" s="116">
        <f t="shared" si="7"/>
        <v>0</v>
      </c>
    </row>
    <row r="58" spans="1:5" x14ac:dyDescent="0.15">
      <c r="A58" s="114">
        <v>6002814</v>
      </c>
      <c r="B58" s="114">
        <v>2.2000000000000002</v>
      </c>
      <c r="C58" s="104">
        <v>-2640000</v>
      </c>
      <c r="D58" s="115">
        <f t="shared" si="6"/>
        <v>-1200000.0000000016</v>
      </c>
      <c r="E58" s="116">
        <f t="shared" si="7"/>
        <v>3.7252902984619141E-9</v>
      </c>
    </row>
    <row r="59" spans="1:5" x14ac:dyDescent="0.15">
      <c r="A59" s="114">
        <v>6002814</v>
      </c>
      <c r="B59" s="114">
        <v>2.4</v>
      </c>
      <c r="C59" s="104">
        <v>-2880000</v>
      </c>
      <c r="D59" s="115">
        <f t="shared" si="6"/>
        <v>-1199999.9999999988</v>
      </c>
      <c r="E59" s="116">
        <f t="shared" si="7"/>
        <v>0</v>
      </c>
    </row>
    <row r="60" spans="1:5" x14ac:dyDescent="0.15">
      <c r="A60" s="114">
        <v>6002814</v>
      </c>
      <c r="B60" s="114">
        <v>2.6</v>
      </c>
      <c r="C60" s="104">
        <v>-3120000</v>
      </c>
      <c r="D60" s="115">
        <f t="shared" si="6"/>
        <v>-1200000.0000000016</v>
      </c>
      <c r="E60" s="116">
        <f t="shared" si="7"/>
        <v>4.1909515857696533E-9</v>
      </c>
    </row>
    <row r="61" spans="1:5" x14ac:dyDescent="0.15">
      <c r="A61" s="114">
        <v>6002814</v>
      </c>
      <c r="B61" s="114">
        <v>2.8</v>
      </c>
      <c r="C61" s="104">
        <v>-3360000</v>
      </c>
      <c r="D61" s="115">
        <f>(C62-C61)/(B62-B61)</f>
        <v>-33199999.99999997</v>
      </c>
      <c r="E61" s="116">
        <f>C61-D61*B61</f>
        <v>89599999.999999911</v>
      </c>
    </row>
    <row r="62" spans="1:5" x14ac:dyDescent="0.15">
      <c r="A62" s="114">
        <v>6002814</v>
      </c>
      <c r="B62" s="114">
        <v>3</v>
      </c>
      <c r="C62" s="104">
        <v>-10000000</v>
      </c>
      <c r="D62" s="107">
        <v>0</v>
      </c>
      <c r="E62" s="108">
        <v>-10000000</v>
      </c>
    </row>
    <row r="63" spans="1:5" x14ac:dyDescent="0.15">
      <c r="A63" s="117">
        <v>6002815</v>
      </c>
      <c r="B63" s="117">
        <v>0</v>
      </c>
      <c r="C63" s="131">
        <v>0</v>
      </c>
      <c r="D63" s="115">
        <f>(C64-C63)/(B64-B63)</f>
        <v>-1000000</v>
      </c>
      <c r="E63" s="116">
        <f t="shared" ref="E63:E72" si="8">C63-D63*B63</f>
        <v>0</v>
      </c>
    </row>
    <row r="64" spans="1:5" x14ac:dyDescent="0.15">
      <c r="A64" s="117">
        <v>6002815</v>
      </c>
      <c r="B64" s="117">
        <v>0.01</v>
      </c>
      <c r="C64" s="131">
        <v>-10000</v>
      </c>
      <c r="D64" s="115">
        <f t="shared" ref="D64:D79" si="9">(C65-C64)/(B65-B64)</f>
        <v>-1000000</v>
      </c>
      <c r="E64" s="116">
        <f t="shared" si="8"/>
        <v>0</v>
      </c>
    </row>
    <row r="65" spans="1:5" x14ac:dyDescent="0.15">
      <c r="A65" s="117">
        <v>6002815</v>
      </c>
      <c r="B65" s="117">
        <v>0.05</v>
      </c>
      <c r="C65" s="131">
        <v>-50000</v>
      </c>
      <c r="D65" s="115">
        <f t="shared" si="9"/>
        <v>-600000</v>
      </c>
      <c r="E65" s="116">
        <f t="shared" si="8"/>
        <v>-20000</v>
      </c>
    </row>
    <row r="66" spans="1:5" x14ac:dyDescent="0.15">
      <c r="A66" s="117">
        <v>6002815</v>
      </c>
      <c r="B66" s="117">
        <v>0.1</v>
      </c>
      <c r="C66" s="131">
        <v>-80000</v>
      </c>
      <c r="D66" s="115">
        <f t="shared" si="9"/>
        <v>-200000</v>
      </c>
      <c r="E66" s="116">
        <f t="shared" si="8"/>
        <v>-60000</v>
      </c>
    </row>
    <row r="67" spans="1:5" x14ac:dyDescent="0.15">
      <c r="A67" s="117">
        <v>6002815</v>
      </c>
      <c r="B67" s="117">
        <v>0.2</v>
      </c>
      <c r="C67" s="131">
        <v>-100000</v>
      </c>
      <c r="D67" s="115">
        <f t="shared" si="9"/>
        <v>-2000000</v>
      </c>
      <c r="E67" s="116">
        <f t="shared" si="8"/>
        <v>300000</v>
      </c>
    </row>
    <row r="68" spans="1:5" x14ac:dyDescent="0.15">
      <c r="A68" s="117">
        <v>6002815</v>
      </c>
      <c r="B68" s="117">
        <v>0.4</v>
      </c>
      <c r="C68" s="131">
        <v>-500000</v>
      </c>
      <c r="D68" s="115">
        <f t="shared" si="9"/>
        <v>-500000.00000000012</v>
      </c>
      <c r="E68" s="116">
        <f t="shared" si="8"/>
        <v>-299999.99999999994</v>
      </c>
    </row>
    <row r="69" spans="1:5" x14ac:dyDescent="0.15">
      <c r="A69" s="117">
        <v>6002815</v>
      </c>
      <c r="B69" s="117">
        <v>0.6</v>
      </c>
      <c r="C69" s="131">
        <v>-600000</v>
      </c>
      <c r="D69" s="115">
        <f t="shared" si="9"/>
        <v>-299999.99999999988</v>
      </c>
      <c r="E69" s="116">
        <f t="shared" si="8"/>
        <v>-420000.00000000012</v>
      </c>
    </row>
    <row r="70" spans="1:5" x14ac:dyDescent="0.15">
      <c r="A70" s="117">
        <v>6002815</v>
      </c>
      <c r="B70" s="117">
        <v>0.8</v>
      </c>
      <c r="C70" s="131">
        <f>C69*1.1</f>
        <v>-660000</v>
      </c>
      <c r="D70" s="115">
        <f t="shared" si="9"/>
        <v>-330000.00000000064</v>
      </c>
      <c r="E70" s="116">
        <f t="shared" si="8"/>
        <v>-395999.99999999948</v>
      </c>
    </row>
    <row r="71" spans="1:5" x14ac:dyDescent="0.15">
      <c r="A71" s="117">
        <v>6002815</v>
      </c>
      <c r="B71" s="117">
        <v>1</v>
      </c>
      <c r="C71" s="131">
        <f t="shared" ref="C71:C80" si="10">C70*1.1</f>
        <v>-726000.00000000012</v>
      </c>
      <c r="D71" s="115">
        <f t="shared" si="9"/>
        <v>-363000.00000000064</v>
      </c>
      <c r="E71" s="116">
        <f t="shared" si="8"/>
        <v>-362999.99999999948</v>
      </c>
    </row>
    <row r="72" spans="1:5" x14ac:dyDescent="0.15">
      <c r="A72" s="117">
        <v>6002815</v>
      </c>
      <c r="B72" s="117">
        <v>1.2</v>
      </c>
      <c r="C72" s="131">
        <f t="shared" si="10"/>
        <v>-798600.00000000023</v>
      </c>
      <c r="D72" s="115">
        <f t="shared" si="9"/>
        <v>-399300.0000000007</v>
      </c>
      <c r="E72" s="116">
        <f t="shared" si="8"/>
        <v>-319439.99999999942</v>
      </c>
    </row>
    <row r="73" spans="1:5" x14ac:dyDescent="0.15">
      <c r="A73" s="117">
        <v>6002815</v>
      </c>
      <c r="B73" s="117">
        <v>1.4</v>
      </c>
      <c r="C73" s="131">
        <f t="shared" si="10"/>
        <v>-878460.00000000035</v>
      </c>
      <c r="D73" s="115">
        <f t="shared" si="9"/>
        <v>-439230.00000000017</v>
      </c>
      <c r="E73" s="116">
        <f t="shared" ref="E73:E80" si="11">C73-D73*B73</f>
        <v>-263538.00000000012</v>
      </c>
    </row>
    <row r="74" spans="1:5" x14ac:dyDescent="0.15">
      <c r="A74" s="117">
        <v>6002815</v>
      </c>
      <c r="B74" s="117">
        <v>1.6</v>
      </c>
      <c r="C74" s="131">
        <f t="shared" si="10"/>
        <v>-966306.00000000047</v>
      </c>
      <c r="D74" s="115">
        <f t="shared" si="9"/>
        <v>-483153.00000000058</v>
      </c>
      <c r="E74" s="116">
        <f t="shared" si="11"/>
        <v>-193261.19999999949</v>
      </c>
    </row>
    <row r="75" spans="1:5" x14ac:dyDescent="0.15">
      <c r="A75" s="117">
        <v>6002815</v>
      </c>
      <c r="B75" s="117">
        <v>1.8</v>
      </c>
      <c r="C75" s="131">
        <f t="shared" si="10"/>
        <v>-1062936.6000000006</v>
      </c>
      <c r="D75" s="115">
        <f t="shared" si="9"/>
        <v>-531468.30000000086</v>
      </c>
      <c r="E75" s="116">
        <f t="shared" si="11"/>
        <v>-106293.65999999898</v>
      </c>
    </row>
    <row r="76" spans="1:5" x14ac:dyDescent="0.15">
      <c r="A76" s="117">
        <v>6002815</v>
      </c>
      <c r="B76" s="117">
        <v>2</v>
      </c>
      <c r="C76" s="131">
        <f t="shared" si="10"/>
        <v>-1169230.2600000007</v>
      </c>
      <c r="D76" s="115">
        <f t="shared" si="9"/>
        <v>-584615.12999999989</v>
      </c>
      <c r="E76" s="116">
        <f t="shared" si="11"/>
        <v>0</v>
      </c>
    </row>
    <row r="77" spans="1:5" x14ac:dyDescent="0.15">
      <c r="A77" s="117">
        <v>6002815</v>
      </c>
      <c r="B77" s="117">
        <v>2.2000000000000002</v>
      </c>
      <c r="C77" s="131">
        <f t="shared" si="10"/>
        <v>-1286153.2860000008</v>
      </c>
      <c r="D77" s="115">
        <f t="shared" si="9"/>
        <v>-643076.64300000144</v>
      </c>
      <c r="E77" s="116">
        <f t="shared" si="11"/>
        <v>128615.32860000245</v>
      </c>
    </row>
    <row r="78" spans="1:5" x14ac:dyDescent="0.15">
      <c r="A78" s="117">
        <v>6002815</v>
      </c>
      <c r="B78" s="117">
        <v>2.4</v>
      </c>
      <c r="C78" s="131">
        <f t="shared" si="10"/>
        <v>-1414768.6146000009</v>
      </c>
      <c r="D78" s="115">
        <f t="shared" si="9"/>
        <v>-707384.3073000008</v>
      </c>
      <c r="E78" s="116">
        <f t="shared" si="11"/>
        <v>282953.72292000102</v>
      </c>
    </row>
    <row r="79" spans="1:5" x14ac:dyDescent="0.15">
      <c r="A79" s="117">
        <v>6002815</v>
      </c>
      <c r="B79" s="117">
        <v>2.6</v>
      </c>
      <c r="C79" s="131">
        <f t="shared" si="10"/>
        <v>-1556245.4760600012</v>
      </c>
      <c r="D79" s="115">
        <f t="shared" si="9"/>
        <v>-778122.7380300021</v>
      </c>
      <c r="E79" s="116">
        <f t="shared" si="11"/>
        <v>466873.64281800436</v>
      </c>
    </row>
    <row r="80" spans="1:5" x14ac:dyDescent="0.15">
      <c r="A80" s="117">
        <v>6002815</v>
      </c>
      <c r="B80" s="117">
        <v>2.8</v>
      </c>
      <c r="C80" s="131">
        <f t="shared" si="10"/>
        <v>-1711870.0236660014</v>
      </c>
      <c r="D80" s="115">
        <f>(C81-C80)/(B81-B80)</f>
        <v>-41440649.881669953</v>
      </c>
      <c r="E80" s="116">
        <f t="shared" si="11"/>
        <v>114321949.64500988</v>
      </c>
    </row>
    <row r="81" spans="1:5" x14ac:dyDescent="0.15">
      <c r="A81" s="117">
        <v>6002815</v>
      </c>
      <c r="B81" s="117">
        <v>3</v>
      </c>
      <c r="C81" s="131">
        <v>-10000000</v>
      </c>
      <c r="D81" s="110">
        <v>0</v>
      </c>
      <c r="E81" s="111">
        <v>-10000000</v>
      </c>
    </row>
  </sheetData>
  <phoneticPr fontId="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I9" sqref="I9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18" t="s">
        <v>245</v>
      </c>
      <c r="B1" s="118" t="s">
        <v>151</v>
      </c>
      <c r="C1" s="118" t="s">
        <v>152</v>
      </c>
      <c r="D1" s="118" t="s">
        <v>248</v>
      </c>
      <c r="E1" s="119" t="s">
        <v>127</v>
      </c>
      <c r="F1" s="119" t="s">
        <v>250</v>
      </c>
      <c r="G1" s="119" t="s">
        <v>264</v>
      </c>
    </row>
    <row r="2" spans="1:7" x14ac:dyDescent="0.15">
      <c r="A2" s="120">
        <v>2801</v>
      </c>
      <c r="B2" s="120">
        <v>60028</v>
      </c>
      <c r="C2" s="120">
        <v>1</v>
      </c>
      <c r="D2" s="120">
        <v>10000000</v>
      </c>
      <c r="E2" s="120" t="s">
        <v>265</v>
      </c>
      <c r="F2" s="120" t="s">
        <v>266</v>
      </c>
      <c r="G2" s="120" t="s">
        <v>267</v>
      </c>
    </row>
    <row r="3" spans="1:7" x14ac:dyDescent="0.15">
      <c r="A3" s="120">
        <v>2802</v>
      </c>
      <c r="B3" s="120">
        <v>60028</v>
      </c>
      <c r="C3" s="120">
        <v>1</v>
      </c>
      <c r="D3" s="120">
        <v>8500000</v>
      </c>
      <c r="E3" s="120" t="s">
        <v>265</v>
      </c>
      <c r="F3" s="120" t="s">
        <v>268</v>
      </c>
      <c r="G3" s="120" t="s">
        <v>269</v>
      </c>
    </row>
    <row r="4" spans="1:7" x14ac:dyDescent="0.15">
      <c r="A4" s="120">
        <v>2803</v>
      </c>
      <c r="B4" s="120">
        <v>60028</v>
      </c>
      <c r="C4" s="120">
        <v>1</v>
      </c>
      <c r="D4" s="120">
        <v>7000000</v>
      </c>
      <c r="E4" s="120" t="s">
        <v>265</v>
      </c>
      <c r="F4" s="120" t="s">
        <v>270</v>
      </c>
      <c r="G4" s="120" t="s">
        <v>271</v>
      </c>
    </row>
    <row r="5" spans="1:7" x14ac:dyDescent="0.15">
      <c r="A5" s="120">
        <v>2804</v>
      </c>
      <c r="B5" s="120">
        <v>60028</v>
      </c>
      <c r="C5" s="120">
        <v>1</v>
      </c>
      <c r="D5" s="120">
        <v>5500000</v>
      </c>
      <c r="E5" s="120" t="s">
        <v>265</v>
      </c>
      <c r="F5" s="120" t="s">
        <v>272</v>
      </c>
      <c r="G5" s="120" t="s">
        <v>273</v>
      </c>
    </row>
    <row r="6" spans="1:7" x14ac:dyDescent="0.15">
      <c r="A6" s="120">
        <v>2805</v>
      </c>
      <c r="B6" s="120">
        <v>60028</v>
      </c>
      <c r="C6" s="120">
        <v>1</v>
      </c>
      <c r="D6" s="120">
        <v>4000000</v>
      </c>
      <c r="E6" s="120" t="s">
        <v>265</v>
      </c>
      <c r="F6" s="120" t="s">
        <v>274</v>
      </c>
      <c r="G6" s="120" t="s">
        <v>275</v>
      </c>
    </row>
    <row r="7" spans="1:7" x14ac:dyDescent="0.15">
      <c r="A7" s="120">
        <v>2806</v>
      </c>
      <c r="B7" s="120">
        <v>60028</v>
      </c>
      <c r="C7" s="120">
        <v>1</v>
      </c>
      <c r="D7" s="120">
        <v>3000000</v>
      </c>
      <c r="E7" s="120" t="s">
        <v>265</v>
      </c>
      <c r="F7" s="120" t="s">
        <v>276</v>
      </c>
      <c r="G7" s="120" t="s">
        <v>277</v>
      </c>
    </row>
    <row r="8" spans="1:7" x14ac:dyDescent="0.15">
      <c r="A8" s="120">
        <v>2807</v>
      </c>
      <c r="B8" s="120">
        <v>60028</v>
      </c>
      <c r="C8" s="120">
        <v>1</v>
      </c>
      <c r="D8" s="120">
        <v>2000000</v>
      </c>
      <c r="E8" s="120" t="s">
        <v>265</v>
      </c>
      <c r="F8" s="120" t="s">
        <v>278</v>
      </c>
      <c r="G8" s="120" t="s">
        <v>279</v>
      </c>
    </row>
    <row r="9" spans="1:7" x14ac:dyDescent="0.15">
      <c r="A9" s="120">
        <v>2808</v>
      </c>
      <c r="B9" s="120">
        <v>60028</v>
      </c>
      <c r="C9" s="120">
        <v>1</v>
      </c>
      <c r="D9" s="120">
        <v>0</v>
      </c>
      <c r="E9" s="120" t="s">
        <v>265</v>
      </c>
      <c r="F9" s="120" t="s">
        <v>280</v>
      </c>
      <c r="G9" s="120" t="s">
        <v>281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19"/>
  <sheetViews>
    <sheetView zoomScale="106" workbookViewId="0">
      <selection activeCell="N6" sqref="N6"/>
    </sheetView>
  </sheetViews>
  <sheetFormatPr baseColWidth="12" defaultRowHeight="15" x14ac:dyDescent="0.15"/>
  <cols>
    <col min="1" max="1" width="11.83203125" bestFit="1" customWidth="1"/>
    <col min="2" max="3" width="8" bestFit="1" customWidth="1"/>
    <col min="4" max="4" width="10.1640625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18.1640625" bestFit="1" customWidth="1"/>
    <col min="18" max="18" width="25.1640625" bestFit="1" customWidth="1"/>
    <col min="19" max="19" width="12.33203125" bestFit="1" customWidth="1"/>
    <col min="20" max="20" width="7.5" bestFit="1" customWidth="1"/>
  </cols>
  <sheetData>
    <row r="1" spans="1:20" x14ac:dyDescent="0.15">
      <c r="A1" s="58" t="s">
        <v>458</v>
      </c>
      <c r="B1" s="58" t="s">
        <v>246</v>
      </c>
      <c r="C1" s="58" t="s">
        <v>152</v>
      </c>
      <c r="D1" s="58" t="s">
        <v>459</v>
      </c>
      <c r="E1" s="97" t="s">
        <v>460</v>
      </c>
      <c r="F1" s="90" t="s">
        <v>212</v>
      </c>
      <c r="G1" s="90" t="s">
        <v>213</v>
      </c>
      <c r="H1" s="90" t="s">
        <v>214</v>
      </c>
      <c r="I1" s="90" t="s">
        <v>38</v>
      </c>
      <c r="J1" s="90" t="s">
        <v>40</v>
      </c>
      <c r="K1" s="91" t="s">
        <v>44</v>
      </c>
      <c r="L1" s="91" t="s">
        <v>163</v>
      </c>
      <c r="M1" s="91" t="s">
        <v>461</v>
      </c>
      <c r="N1" s="91" t="s">
        <v>462</v>
      </c>
      <c r="O1" s="91" t="s">
        <v>463</v>
      </c>
      <c r="P1" s="91" t="s">
        <v>464</v>
      </c>
      <c r="Q1" s="91" t="s">
        <v>465</v>
      </c>
      <c r="R1" s="91" t="s">
        <v>466</v>
      </c>
      <c r="S1" s="91" t="s">
        <v>467</v>
      </c>
      <c r="T1" s="91" t="s">
        <v>468</v>
      </c>
    </row>
    <row r="2" spans="1:20" ht="42" x14ac:dyDescent="0.15">
      <c r="A2" s="120">
        <v>2801</v>
      </c>
      <c r="B2" s="120">
        <v>60028</v>
      </c>
      <c r="C2" s="120">
        <v>1</v>
      </c>
      <c r="D2" s="120">
        <v>10000000</v>
      </c>
      <c r="E2" s="147">
        <v>60028201</v>
      </c>
      <c r="F2" s="148" t="s">
        <v>469</v>
      </c>
      <c r="G2" s="148">
        <v>837</v>
      </c>
      <c r="H2" s="148">
        <v>1</v>
      </c>
      <c r="I2" s="148">
        <v>0</v>
      </c>
      <c r="J2" s="148">
        <v>0</v>
      </c>
      <c r="K2" s="148">
        <v>0</v>
      </c>
      <c r="L2" s="148">
        <v>0</v>
      </c>
      <c r="M2" s="148">
        <v>1</v>
      </c>
      <c r="N2" s="148">
        <v>1</v>
      </c>
      <c r="O2" s="148">
        <v>1</v>
      </c>
      <c r="P2" s="148" t="s">
        <v>470</v>
      </c>
      <c r="Q2" s="148" t="s">
        <v>471</v>
      </c>
      <c r="R2" s="148" t="s">
        <v>472</v>
      </c>
      <c r="S2" s="149" t="s">
        <v>484</v>
      </c>
      <c r="T2" s="57">
        <v>1</v>
      </c>
    </row>
    <row r="3" spans="1:20" ht="42" x14ac:dyDescent="0.15">
      <c r="A3" s="120">
        <v>2801</v>
      </c>
      <c r="B3" s="120">
        <v>60028</v>
      </c>
      <c r="C3" s="120">
        <v>1</v>
      </c>
      <c r="D3" s="120">
        <v>10000000</v>
      </c>
      <c r="E3" s="147">
        <v>60028202</v>
      </c>
      <c r="F3" s="148" t="s">
        <v>284</v>
      </c>
      <c r="G3" s="148">
        <v>1</v>
      </c>
      <c r="H3" s="148">
        <v>2</v>
      </c>
      <c r="I3" s="148">
        <v>0</v>
      </c>
      <c r="J3" s="148">
        <v>0</v>
      </c>
      <c r="K3" s="148">
        <v>0</v>
      </c>
      <c r="L3" s="148">
        <v>0</v>
      </c>
      <c r="M3" s="148">
        <v>1</v>
      </c>
      <c r="N3" s="148">
        <v>1</v>
      </c>
      <c r="O3" s="148">
        <v>1</v>
      </c>
      <c r="P3" s="148" t="s">
        <v>265</v>
      </c>
      <c r="Q3" s="148" t="s">
        <v>473</v>
      </c>
      <c r="R3" s="148" t="s">
        <v>472</v>
      </c>
      <c r="S3" s="149" t="s">
        <v>484</v>
      </c>
      <c r="T3" s="57">
        <v>1</v>
      </c>
    </row>
    <row r="4" spans="1:20" ht="42" x14ac:dyDescent="0.15">
      <c r="A4" s="120">
        <v>2801</v>
      </c>
      <c r="B4" s="120">
        <v>60028</v>
      </c>
      <c r="C4" s="120">
        <v>1</v>
      </c>
      <c r="D4" s="120">
        <v>10000000</v>
      </c>
      <c r="E4" s="147">
        <v>60028203</v>
      </c>
      <c r="F4" s="148" t="s">
        <v>319</v>
      </c>
      <c r="G4" s="148">
        <v>614</v>
      </c>
      <c r="H4" s="148">
        <v>1</v>
      </c>
      <c r="I4" s="148">
        <v>0</v>
      </c>
      <c r="J4" s="148">
        <v>0</v>
      </c>
      <c r="K4" s="148">
        <v>0</v>
      </c>
      <c r="L4" s="148">
        <v>0</v>
      </c>
      <c r="M4" s="148">
        <v>1</v>
      </c>
      <c r="N4" s="148">
        <v>1</v>
      </c>
      <c r="O4" s="148">
        <v>1</v>
      </c>
      <c r="P4" s="148" t="s">
        <v>265</v>
      </c>
      <c r="Q4" s="148" t="s">
        <v>474</v>
      </c>
      <c r="R4" s="148" t="s">
        <v>472</v>
      </c>
      <c r="S4" s="149" t="s">
        <v>484</v>
      </c>
      <c r="T4" s="57">
        <v>1</v>
      </c>
    </row>
    <row r="5" spans="1:20" ht="42" x14ac:dyDescent="0.15">
      <c r="A5" s="120">
        <v>2802</v>
      </c>
      <c r="B5" s="120">
        <v>60028</v>
      </c>
      <c r="C5" s="120">
        <v>1</v>
      </c>
      <c r="D5" s="120">
        <v>8500000</v>
      </c>
      <c r="E5" s="147">
        <v>60028204</v>
      </c>
      <c r="F5" s="148" t="s">
        <v>284</v>
      </c>
      <c r="G5" s="148">
        <v>603</v>
      </c>
      <c r="H5" s="148">
        <v>1</v>
      </c>
      <c r="I5" s="148">
        <v>0</v>
      </c>
      <c r="J5" s="148">
        <v>0</v>
      </c>
      <c r="K5" s="148">
        <v>0</v>
      </c>
      <c r="L5" s="148">
        <v>0</v>
      </c>
      <c r="M5" s="148">
        <v>1</v>
      </c>
      <c r="N5" s="148">
        <v>1</v>
      </c>
      <c r="O5" s="148">
        <v>1</v>
      </c>
      <c r="P5" s="148" t="s">
        <v>265</v>
      </c>
      <c r="Q5" s="148" t="s">
        <v>485</v>
      </c>
      <c r="R5" s="148" t="s">
        <v>472</v>
      </c>
      <c r="S5" s="149" t="s">
        <v>484</v>
      </c>
      <c r="T5" s="57">
        <v>1</v>
      </c>
    </row>
    <row r="6" spans="1:20" ht="42" x14ac:dyDescent="0.15">
      <c r="A6" s="120">
        <v>2803</v>
      </c>
      <c r="B6" s="120">
        <v>60028</v>
      </c>
      <c r="C6" s="120">
        <v>1</v>
      </c>
      <c r="D6" s="120">
        <v>7000000</v>
      </c>
      <c r="E6" s="147">
        <v>60028205</v>
      </c>
      <c r="F6" s="148" t="s">
        <v>289</v>
      </c>
      <c r="G6" s="148">
        <v>3</v>
      </c>
      <c r="H6" s="148" t="s">
        <v>53</v>
      </c>
      <c r="I6" s="148">
        <v>0</v>
      </c>
      <c r="J6" s="148">
        <v>0</v>
      </c>
      <c r="K6" s="148">
        <v>0</v>
      </c>
      <c r="L6" s="148">
        <v>0</v>
      </c>
      <c r="M6" s="148">
        <v>1</v>
      </c>
      <c r="N6" s="148">
        <v>1</v>
      </c>
      <c r="O6" s="148">
        <v>1</v>
      </c>
      <c r="P6" s="148" t="s">
        <v>265</v>
      </c>
      <c r="Q6" s="148" t="s">
        <v>475</v>
      </c>
      <c r="R6" s="148" t="s">
        <v>472</v>
      </c>
      <c r="S6" s="149" t="s">
        <v>484</v>
      </c>
      <c r="T6" s="57">
        <v>1</v>
      </c>
    </row>
    <row r="7" spans="1:20" ht="42" x14ac:dyDescent="0.15">
      <c r="A7" s="120">
        <v>2804</v>
      </c>
      <c r="B7" s="120">
        <v>60028</v>
      </c>
      <c r="C7" s="120">
        <v>1</v>
      </c>
      <c r="D7" s="120">
        <v>5500000</v>
      </c>
      <c r="E7" s="147">
        <v>60028206</v>
      </c>
      <c r="F7" s="148" t="s">
        <v>284</v>
      </c>
      <c r="G7" s="148">
        <v>4</v>
      </c>
      <c r="H7" s="148">
        <v>2</v>
      </c>
      <c r="I7" s="148">
        <v>0</v>
      </c>
      <c r="J7" s="148">
        <v>0</v>
      </c>
      <c r="K7" s="148">
        <v>0</v>
      </c>
      <c r="L7" s="148">
        <v>0</v>
      </c>
      <c r="M7" s="148">
        <v>1</v>
      </c>
      <c r="N7" s="148">
        <v>1</v>
      </c>
      <c r="O7" s="148">
        <v>1</v>
      </c>
      <c r="P7" s="148" t="s">
        <v>265</v>
      </c>
      <c r="Q7" s="148" t="s">
        <v>476</v>
      </c>
      <c r="R7" s="148" t="s">
        <v>472</v>
      </c>
      <c r="S7" s="149" t="s">
        <v>484</v>
      </c>
      <c r="T7" s="57">
        <v>1</v>
      </c>
    </row>
    <row r="8" spans="1:20" ht="42" x14ac:dyDescent="0.15">
      <c r="A8" s="120">
        <v>2805</v>
      </c>
      <c r="B8" s="120">
        <v>60028</v>
      </c>
      <c r="C8" s="120">
        <v>1</v>
      </c>
      <c r="D8" s="120">
        <v>4000000</v>
      </c>
      <c r="E8" s="147">
        <v>60028207</v>
      </c>
      <c r="F8" s="148" t="s">
        <v>284</v>
      </c>
      <c r="G8" s="148">
        <v>2</v>
      </c>
      <c r="H8" s="148">
        <v>2</v>
      </c>
      <c r="I8" s="148">
        <v>0</v>
      </c>
      <c r="J8" s="148">
        <v>0</v>
      </c>
      <c r="K8" s="148">
        <v>0</v>
      </c>
      <c r="L8" s="148">
        <v>0</v>
      </c>
      <c r="M8" s="148">
        <v>1</v>
      </c>
      <c r="N8" s="148">
        <v>1</v>
      </c>
      <c r="O8" s="148">
        <v>1</v>
      </c>
      <c r="P8" s="148" t="s">
        <v>265</v>
      </c>
      <c r="Q8" s="148" t="s">
        <v>477</v>
      </c>
      <c r="R8" s="148" t="s">
        <v>472</v>
      </c>
      <c r="S8" s="149" t="s">
        <v>484</v>
      </c>
      <c r="T8" s="57">
        <v>1</v>
      </c>
    </row>
    <row r="9" spans="1:20" ht="42" x14ac:dyDescent="0.15">
      <c r="A9" s="120">
        <v>2806</v>
      </c>
      <c r="B9" s="120">
        <v>60028</v>
      </c>
      <c r="C9" s="120">
        <v>1</v>
      </c>
      <c r="D9" s="57">
        <v>3000000</v>
      </c>
      <c r="E9" s="147">
        <v>60028208</v>
      </c>
      <c r="F9" s="148" t="s">
        <v>284</v>
      </c>
      <c r="G9" s="148">
        <v>3</v>
      </c>
      <c r="H9" s="148">
        <v>2</v>
      </c>
      <c r="I9" s="148">
        <v>0</v>
      </c>
      <c r="J9" s="148">
        <v>0</v>
      </c>
      <c r="K9" s="148">
        <v>0</v>
      </c>
      <c r="L9" s="148">
        <v>0</v>
      </c>
      <c r="M9" s="148">
        <v>1</v>
      </c>
      <c r="N9" s="148">
        <v>1</v>
      </c>
      <c r="O9" s="148">
        <v>1</v>
      </c>
      <c r="P9" s="148" t="s">
        <v>265</v>
      </c>
      <c r="Q9" s="148" t="s">
        <v>478</v>
      </c>
      <c r="R9" s="148" t="s">
        <v>472</v>
      </c>
      <c r="S9" s="149" t="s">
        <v>484</v>
      </c>
      <c r="T9" s="57">
        <v>1</v>
      </c>
    </row>
    <row r="10" spans="1:20" ht="42" x14ac:dyDescent="0.15">
      <c r="A10" s="120">
        <v>2807</v>
      </c>
      <c r="B10" s="120">
        <v>60028</v>
      </c>
      <c r="C10" s="120">
        <v>1</v>
      </c>
      <c r="D10" s="57">
        <v>2000000</v>
      </c>
      <c r="E10" s="147">
        <v>60028209</v>
      </c>
      <c r="F10" s="148" t="s">
        <v>289</v>
      </c>
      <c r="G10" s="148">
        <v>2</v>
      </c>
      <c r="H10" s="148" t="s">
        <v>53</v>
      </c>
      <c r="I10" s="148">
        <v>0</v>
      </c>
      <c r="J10" s="148">
        <v>0</v>
      </c>
      <c r="K10" s="148">
        <v>0</v>
      </c>
      <c r="L10" s="148">
        <v>0</v>
      </c>
      <c r="M10" s="148">
        <v>1</v>
      </c>
      <c r="N10" s="148">
        <v>1</v>
      </c>
      <c r="O10" s="148">
        <v>1</v>
      </c>
      <c r="P10" s="148" t="s">
        <v>265</v>
      </c>
      <c r="Q10" s="148" t="s">
        <v>479</v>
      </c>
      <c r="R10" s="148" t="s">
        <v>472</v>
      </c>
      <c r="S10" s="149" t="s">
        <v>484</v>
      </c>
      <c r="T10" s="57">
        <v>1</v>
      </c>
    </row>
    <row r="11" spans="1:20" ht="42" x14ac:dyDescent="0.15">
      <c r="A11" s="120">
        <v>2807</v>
      </c>
      <c r="B11" s="120">
        <v>60028</v>
      </c>
      <c r="C11" s="120">
        <v>1</v>
      </c>
      <c r="D11" s="57">
        <v>2000000</v>
      </c>
      <c r="E11" s="147">
        <v>60028210</v>
      </c>
      <c r="F11" s="148" t="s">
        <v>342</v>
      </c>
      <c r="G11" s="148">
        <v>200000</v>
      </c>
      <c r="H11" s="148" t="s">
        <v>53</v>
      </c>
      <c r="I11" s="148">
        <v>0</v>
      </c>
      <c r="J11" s="148">
        <v>0</v>
      </c>
      <c r="K11" s="148">
        <v>0</v>
      </c>
      <c r="L11" s="148">
        <v>0</v>
      </c>
      <c r="M11" s="148">
        <v>1</v>
      </c>
      <c r="N11" s="148">
        <v>1</v>
      </c>
      <c r="O11" s="148">
        <v>1</v>
      </c>
      <c r="P11" s="148" t="s">
        <v>265</v>
      </c>
      <c r="Q11" s="150" t="s">
        <v>480</v>
      </c>
      <c r="R11" s="148" t="s">
        <v>472</v>
      </c>
      <c r="S11" s="149" t="s">
        <v>484</v>
      </c>
      <c r="T11" s="57">
        <v>1</v>
      </c>
    </row>
    <row r="12" spans="1:20" ht="42" x14ac:dyDescent="0.15">
      <c r="A12" s="120">
        <v>2807</v>
      </c>
      <c r="B12" s="120">
        <v>60028</v>
      </c>
      <c r="C12" s="120">
        <v>1</v>
      </c>
      <c r="D12" s="57">
        <v>2000000</v>
      </c>
      <c r="E12" s="147">
        <v>60028211</v>
      </c>
      <c r="F12" s="148" t="s">
        <v>481</v>
      </c>
      <c r="G12" s="148">
        <v>2000</v>
      </c>
      <c r="H12" s="148" t="s">
        <v>53</v>
      </c>
      <c r="I12" s="148">
        <v>0</v>
      </c>
      <c r="J12" s="148">
        <v>0</v>
      </c>
      <c r="K12" s="148">
        <v>0</v>
      </c>
      <c r="L12" s="148">
        <v>0</v>
      </c>
      <c r="M12" s="148">
        <v>1</v>
      </c>
      <c r="N12" s="148">
        <v>1</v>
      </c>
      <c r="O12" s="148">
        <v>1</v>
      </c>
      <c r="P12" s="148" t="s">
        <v>265</v>
      </c>
      <c r="Q12" s="150" t="s">
        <v>482</v>
      </c>
      <c r="R12" s="148" t="s">
        <v>472</v>
      </c>
      <c r="S12" s="149" t="s">
        <v>484</v>
      </c>
      <c r="T12" s="57">
        <v>1</v>
      </c>
    </row>
    <row r="19" spans="6:6" x14ac:dyDescent="0.15">
      <c r="F19" t="s">
        <v>483</v>
      </c>
    </row>
  </sheetData>
  <phoneticPr fontId="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opLeftCell="D29" workbookViewId="0">
      <selection activeCell="F40" sqref="F40:I42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3" t="s">
        <v>151</v>
      </c>
      <c r="B1" s="78" t="s">
        <v>188</v>
      </c>
      <c r="C1" s="78" t="s">
        <v>33</v>
      </c>
      <c r="D1" s="73" t="s">
        <v>209</v>
      </c>
      <c r="E1" s="73" t="s">
        <v>210</v>
      </c>
      <c r="F1" s="92" t="s">
        <v>219</v>
      </c>
      <c r="G1" s="89" t="s">
        <v>211</v>
      </c>
      <c r="H1" s="90" t="s">
        <v>212</v>
      </c>
      <c r="I1" s="90" t="s">
        <v>213</v>
      </c>
      <c r="J1" s="90" t="s">
        <v>214</v>
      </c>
      <c r="K1" s="90" t="s">
        <v>161</v>
      </c>
      <c r="L1" s="90" t="s">
        <v>40</v>
      </c>
      <c r="M1" s="91" t="s">
        <v>44</v>
      </c>
      <c r="N1" s="91" t="s">
        <v>42</v>
      </c>
      <c r="O1" s="91" t="s">
        <v>57</v>
      </c>
      <c r="P1" s="91" t="s">
        <v>176</v>
      </c>
      <c r="Q1" s="91" t="s">
        <v>46</v>
      </c>
      <c r="R1" s="91" t="s">
        <v>282</v>
      </c>
      <c r="S1" s="91" t="s">
        <v>216</v>
      </c>
      <c r="T1" s="91" t="s">
        <v>217</v>
      </c>
      <c r="U1" s="91" t="s">
        <v>283</v>
      </c>
    </row>
    <row r="2" spans="1:21" s="125" customFormat="1" ht="28" x14ac:dyDescent="0.15">
      <c r="A2" s="121">
        <v>60028</v>
      </c>
      <c r="B2" s="122" t="str">
        <f ca="1">VLOOKUP($A2,OFFSET([2]quests!$A$1,0,0,COUNTA([2]quests!$A:$A),MATCH(B$1,[2]quests!$1:$1,0)-MATCH($A$1,[2]quests!$1:$1,0)+1),MATCH(B$1,[2]quests!$1:$1,0)-MATCH($A$1,[2]quests!$1:$1,0)+1,FALSE)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" s="122" t="str">
        <f ca="1">VLOOKUP($A2,OFFSET([2]quests!$A$1,0,0,COUNTA([2]quests!$A:$A),MATCH(C$1,[2]quests!$1:$1,0)-MATCH($A$1,[2]quests!$1:$1,0)+1),MATCH(C$1,[2]quests!$1:$1,0)-MATCH($A$1,[2]quests!$1:$1,0)+1,FALSE)</f>
        <v>ランキング4（再開催）</v>
      </c>
      <c r="D2" s="121">
        <v>1</v>
      </c>
      <c r="E2" s="123">
        <v>1</v>
      </c>
      <c r="F2" s="124" t="str">
        <f>A2&amp;TEXT(E2,"0000")</f>
        <v>600280001</v>
      </c>
      <c r="G2" s="125" t="str">
        <f>F2&amp;TEXT(COUNTIF(F$2:F2,F2),"00")</f>
        <v>60028000101</v>
      </c>
      <c r="H2" s="126" t="s">
        <v>284</v>
      </c>
      <c r="I2" s="126">
        <v>604</v>
      </c>
      <c r="J2" s="126">
        <v>1</v>
      </c>
      <c r="K2" s="126">
        <v>0</v>
      </c>
      <c r="L2" s="126">
        <v>0</v>
      </c>
      <c r="M2" s="126">
        <v>0</v>
      </c>
      <c r="N2" s="126">
        <v>0</v>
      </c>
      <c r="O2" s="126">
        <v>1</v>
      </c>
      <c r="P2" s="126">
        <v>1</v>
      </c>
      <c r="Q2" s="126">
        <v>1</v>
      </c>
      <c r="R2" s="126" t="s">
        <v>285</v>
      </c>
      <c r="S2" s="126" t="s">
        <v>286</v>
      </c>
      <c r="T2" s="126" t="s">
        <v>287</v>
      </c>
      <c r="U2" s="127" t="s">
        <v>351</v>
      </c>
    </row>
    <row r="3" spans="1:21" s="125" customFormat="1" ht="28" x14ac:dyDescent="0.15">
      <c r="A3" s="121">
        <v>60028</v>
      </c>
      <c r="B3" s="122" t="str">
        <f ca="1">VLOOKUP($A3,OFFSET([2]quests!$A$1,0,0,COUNTA([2]quests!$A:$A),MATCH(B$1,[2]quests!$1:$1,0)-MATCH($A$1,[2]quests!$1:$1,0)+1),MATCH(B$1,[2]quests!$1:$1,0)-MATCH($A$1,[2]quests!$1:$1,0)+1,FALSE)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" s="122" t="str">
        <f ca="1">VLOOKUP($A3,OFFSET([2]quests!$A$1,0,0,COUNTA([2]quests!$A:$A),MATCH(C$1,[2]quests!$1:$1,0)-MATCH($A$1,[2]quests!$1:$1,0)+1),MATCH(C$1,[2]quests!$1:$1,0)-MATCH($A$1,[2]quests!$1:$1,0)+1,FALSE)</f>
        <v>ランキング4（再開催）</v>
      </c>
      <c r="D3" s="121">
        <v>1</v>
      </c>
      <c r="E3" s="123">
        <v>1</v>
      </c>
      <c r="F3" s="124" t="str">
        <f t="shared" ref="F3:F6" si="0">A3&amp;TEXT(E3,"0000")</f>
        <v>600280001</v>
      </c>
      <c r="G3" s="125" t="str">
        <f>F3&amp;TEXT(COUNTIF(F$2:F3,F3),"00")</f>
        <v>60028000102</v>
      </c>
      <c r="H3" s="126" t="s">
        <v>284</v>
      </c>
      <c r="I3" s="126">
        <v>603</v>
      </c>
      <c r="J3" s="126">
        <v>2</v>
      </c>
      <c r="K3" s="126">
        <v>0</v>
      </c>
      <c r="L3" s="126">
        <v>0</v>
      </c>
      <c r="M3" s="126">
        <v>0</v>
      </c>
      <c r="N3" s="126">
        <v>0</v>
      </c>
      <c r="O3" s="126">
        <v>1</v>
      </c>
      <c r="P3" s="126">
        <v>1</v>
      </c>
      <c r="Q3" s="126">
        <v>1</v>
      </c>
      <c r="R3" s="126" t="s">
        <v>285</v>
      </c>
      <c r="S3" s="126" t="s">
        <v>288</v>
      </c>
      <c r="T3" s="126" t="s">
        <v>287</v>
      </c>
      <c r="U3" s="127" t="s">
        <v>351</v>
      </c>
    </row>
    <row r="4" spans="1:21" s="125" customFormat="1" ht="28" x14ac:dyDescent="0.15">
      <c r="A4" s="121">
        <v>60028</v>
      </c>
      <c r="B4" s="122" t="str">
        <f ca="1">VLOOKUP($A4,OFFSET([2]quests!$A$1,0,0,COUNTA([2]quests!$A:$A),MATCH(B$1,[2]quests!$1:$1,0)-MATCH($A$1,[2]quests!$1:$1,0)+1),MATCH(B$1,[2]quests!$1:$1,0)-MATCH($A$1,[2]quests!$1:$1,0)+1,FALSE)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4" s="122" t="str">
        <f ca="1">VLOOKUP($A4,OFFSET([2]quests!$A$1,0,0,COUNTA([2]quests!$A:$A),MATCH(C$1,[2]quests!$1:$1,0)-MATCH($A$1,[2]quests!$1:$1,0)+1),MATCH(C$1,[2]quests!$1:$1,0)-MATCH($A$1,[2]quests!$1:$1,0)+1,FALSE)</f>
        <v>ランキング4（再開催）</v>
      </c>
      <c r="D4" s="121">
        <v>1</v>
      </c>
      <c r="E4" s="123">
        <v>1</v>
      </c>
      <c r="F4" s="124" t="str">
        <f t="shared" si="0"/>
        <v>600280001</v>
      </c>
      <c r="G4" s="125" t="str">
        <f>F4&amp;TEXT(COUNTIF(F$2:F4,F4),"00")</f>
        <v>60028000103</v>
      </c>
      <c r="H4" s="126" t="s">
        <v>289</v>
      </c>
      <c r="I4" s="126">
        <v>10</v>
      </c>
      <c r="J4" s="126" t="s">
        <v>290</v>
      </c>
      <c r="K4" s="126">
        <v>0</v>
      </c>
      <c r="L4" s="126">
        <v>0</v>
      </c>
      <c r="M4" s="126">
        <v>0</v>
      </c>
      <c r="N4" s="126">
        <v>0</v>
      </c>
      <c r="O4" s="126">
        <v>1</v>
      </c>
      <c r="P4" s="126">
        <v>1</v>
      </c>
      <c r="Q4" s="126">
        <v>1</v>
      </c>
      <c r="R4" s="126" t="s">
        <v>291</v>
      </c>
      <c r="S4" s="126" t="s">
        <v>292</v>
      </c>
      <c r="T4" s="126" t="s">
        <v>287</v>
      </c>
      <c r="U4" s="127" t="s">
        <v>351</v>
      </c>
    </row>
    <row r="5" spans="1:21" s="125" customFormat="1" ht="28" x14ac:dyDescent="0.15">
      <c r="A5" s="121">
        <v>60028</v>
      </c>
      <c r="B5" s="122" t="str">
        <f ca="1">VLOOKUP($A5,OFFSET([2]quests!$A$1,0,0,COUNTA([2]quests!$A:$A),MATCH(B$1,[2]quests!$1:$1,0)-MATCH($A$1,[2]quests!$1:$1,0)+1),MATCH(B$1,[2]quests!$1:$1,0)-MATCH($A$1,[2]quests!$1:$1,0)+1,FALSE)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5" s="122" t="str">
        <f ca="1">VLOOKUP($A5,OFFSET([2]quests!$A$1,0,0,COUNTA([2]quests!$A:$A),MATCH(C$1,[2]quests!$1:$1,0)-MATCH($A$1,[2]quests!$1:$1,0)+1),MATCH(C$1,[2]quests!$1:$1,0)-MATCH($A$1,[2]quests!$1:$1,0)+1,FALSE)</f>
        <v>ランキング4（再開催）</v>
      </c>
      <c r="D5" s="121">
        <v>1</v>
      </c>
      <c r="E5" s="123">
        <v>1</v>
      </c>
      <c r="F5" s="124" t="str">
        <f t="shared" si="0"/>
        <v>600280001</v>
      </c>
      <c r="G5" s="125" t="str">
        <f>F5&amp;TEXT(COUNTIF(F$2:F5,F5),"00")</f>
        <v>60028000104</v>
      </c>
      <c r="H5" s="126" t="s">
        <v>293</v>
      </c>
      <c r="I5" s="126">
        <v>837</v>
      </c>
      <c r="J5" s="126">
        <v>1</v>
      </c>
      <c r="K5" s="126">
        <v>0</v>
      </c>
      <c r="L5" s="126">
        <v>0</v>
      </c>
      <c r="M5" s="126">
        <v>0</v>
      </c>
      <c r="N5" s="126">
        <v>0</v>
      </c>
      <c r="O5" s="126">
        <v>1</v>
      </c>
      <c r="P5" s="126">
        <v>1</v>
      </c>
      <c r="Q5" s="126">
        <v>1</v>
      </c>
      <c r="R5" s="126" t="s">
        <v>291</v>
      </c>
      <c r="S5" s="126" t="s">
        <v>294</v>
      </c>
      <c r="T5" s="126" t="s">
        <v>287</v>
      </c>
      <c r="U5" s="127" t="s">
        <v>351</v>
      </c>
    </row>
    <row r="6" spans="1:21" s="125" customFormat="1" ht="28" x14ac:dyDescent="0.15">
      <c r="A6" s="121">
        <v>60028</v>
      </c>
      <c r="B6" s="122" t="str">
        <f ca="1">VLOOKUP($A6,OFFSET([2]quests!$A$1,0,0,COUNTA([2]quests!$A:$A),MATCH(B$1,[2]quests!$1:$1,0)-MATCH($A$1,[2]quests!$1:$1,0)+1),MATCH(B$1,[2]quests!$1:$1,0)-MATCH($A$1,[2]quests!$1:$1,0)+1,FALSE)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6" s="122" t="str">
        <f ca="1">VLOOKUP($A6,OFFSET([2]quests!$A$1,0,0,COUNTA([2]quests!$A:$A),MATCH(C$1,[2]quests!$1:$1,0)-MATCH($A$1,[2]quests!$1:$1,0)+1),MATCH(C$1,[2]quests!$1:$1,0)-MATCH($A$1,[2]quests!$1:$1,0)+1,FALSE)</f>
        <v>ランキング4（再開催）</v>
      </c>
      <c r="D6" s="121">
        <v>1</v>
      </c>
      <c r="E6" s="123">
        <v>1</v>
      </c>
      <c r="F6" s="124" t="str">
        <f t="shared" si="0"/>
        <v>600280001</v>
      </c>
      <c r="G6" s="125" t="str">
        <f>F6&amp;TEXT(COUNTIF(F$2:F6,F6),"00")</f>
        <v>60028000105</v>
      </c>
      <c r="H6" s="126" t="s">
        <v>293</v>
      </c>
      <c r="I6" s="126">
        <v>614</v>
      </c>
      <c r="J6" s="126">
        <v>1</v>
      </c>
      <c r="K6" s="126">
        <v>0</v>
      </c>
      <c r="L6" s="126">
        <v>0</v>
      </c>
      <c r="M6" s="126">
        <v>0</v>
      </c>
      <c r="N6" s="126">
        <v>0</v>
      </c>
      <c r="O6" s="126">
        <v>1</v>
      </c>
      <c r="P6" s="126">
        <v>1</v>
      </c>
      <c r="Q6" s="126">
        <v>1</v>
      </c>
      <c r="R6" s="126" t="s">
        <v>291</v>
      </c>
      <c r="S6" s="126" t="s">
        <v>295</v>
      </c>
      <c r="T6" s="126" t="s">
        <v>287</v>
      </c>
      <c r="U6" s="127" t="s">
        <v>351</v>
      </c>
    </row>
    <row r="7" spans="1:21" s="125" customFormat="1" ht="28" x14ac:dyDescent="0.15">
      <c r="A7" s="121">
        <v>60028</v>
      </c>
      <c r="B7" s="122" t="str">
        <f ca="1">VLOOKUP($A7,OFFSET([2]quests!$A$1,0,0,COUNTA([2]quests!$A:$A),MATCH(B$1,[2]quests!$1:$1,0)-MATCH($A$1,[2]quests!$1:$1,0)+1),MATCH(B$1,[2]quests!$1:$1,0)-MATCH($A$1,[2]quests!$1:$1,0)+1,FALSE)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7" s="122" t="str">
        <f ca="1">VLOOKUP($A7,OFFSET([2]quests!$A$1,0,0,COUNTA([2]quests!$A:$A),MATCH(C$1,[2]quests!$1:$1,0)-MATCH($A$1,[2]quests!$1:$1,0)+1),MATCH(C$1,[2]quests!$1:$1,0)-MATCH($A$1,[2]quests!$1:$1,0)+1,FALSE)</f>
        <v>ランキング4（再開催）</v>
      </c>
      <c r="D7" s="121">
        <v>2</v>
      </c>
      <c r="E7" s="123">
        <v>2</v>
      </c>
      <c r="F7" s="124" t="str">
        <f>A7&amp;TEXT(E7,"0000")</f>
        <v>600280002</v>
      </c>
      <c r="G7" s="125" t="str">
        <f>F7&amp;TEXT(COUNTIF(F$2:F7,F7),"00")</f>
        <v>60028000201</v>
      </c>
      <c r="H7" s="126" t="s">
        <v>296</v>
      </c>
      <c r="I7" s="126">
        <v>604</v>
      </c>
      <c r="J7" s="126">
        <v>1</v>
      </c>
      <c r="K7" s="126">
        <v>0</v>
      </c>
      <c r="L7" s="126">
        <v>0</v>
      </c>
      <c r="M7" s="126">
        <v>0</v>
      </c>
      <c r="N7" s="126">
        <v>0</v>
      </c>
      <c r="O7" s="126">
        <v>1</v>
      </c>
      <c r="P7" s="126">
        <v>1</v>
      </c>
      <c r="Q7" s="126">
        <v>1</v>
      </c>
      <c r="R7" s="126" t="s">
        <v>291</v>
      </c>
      <c r="S7" s="126" t="s">
        <v>297</v>
      </c>
      <c r="T7" s="126" t="s">
        <v>287</v>
      </c>
      <c r="U7" s="127" t="s">
        <v>351</v>
      </c>
    </row>
    <row r="8" spans="1:21" s="125" customFormat="1" ht="28" x14ac:dyDescent="0.15">
      <c r="A8" s="121">
        <v>60028</v>
      </c>
      <c r="B8" s="122" t="str">
        <f ca="1">VLOOKUP($A8,OFFSET([2]quests!$A$1,0,0,COUNTA([2]quests!$A:$A),MATCH(B$1,[2]quests!$1:$1,0)-MATCH($A$1,[2]quests!$1:$1,0)+1),MATCH(B$1,[2]quests!$1:$1,0)-MATCH($A$1,[2]quests!$1:$1,0)+1,FALSE)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8" s="122" t="str">
        <f ca="1">VLOOKUP($A8,OFFSET([2]quests!$A$1,0,0,COUNTA([2]quests!$A:$A),MATCH(C$1,[2]quests!$1:$1,0)-MATCH($A$1,[2]quests!$1:$1,0)+1),MATCH(C$1,[2]quests!$1:$1,0)-MATCH($A$1,[2]quests!$1:$1,0)+1,FALSE)</f>
        <v>ランキング4（再開催）</v>
      </c>
      <c r="D8" s="121">
        <v>2</v>
      </c>
      <c r="E8" s="123">
        <v>2</v>
      </c>
      <c r="F8" s="124" t="str">
        <f t="shared" ref="F8:F26" si="1">A8&amp;TEXT(E8,"0000")</f>
        <v>600280002</v>
      </c>
      <c r="G8" s="125" t="str">
        <f>F8&amp;TEXT(COUNTIF(F$2:F8,F8),"00")</f>
        <v>60028000202</v>
      </c>
      <c r="H8" s="126" t="s">
        <v>298</v>
      </c>
      <c r="I8" s="126">
        <v>603</v>
      </c>
      <c r="J8" s="126">
        <v>1</v>
      </c>
      <c r="K8" s="126">
        <v>0</v>
      </c>
      <c r="L8" s="126">
        <v>0</v>
      </c>
      <c r="M8" s="126">
        <v>0</v>
      </c>
      <c r="N8" s="126">
        <v>0</v>
      </c>
      <c r="O8" s="126">
        <v>1</v>
      </c>
      <c r="P8" s="126">
        <v>1</v>
      </c>
      <c r="Q8" s="126">
        <v>1</v>
      </c>
      <c r="R8" s="126" t="s">
        <v>299</v>
      </c>
      <c r="S8" s="128" t="s">
        <v>300</v>
      </c>
      <c r="T8" s="126" t="s">
        <v>287</v>
      </c>
      <c r="U8" s="127" t="s">
        <v>351</v>
      </c>
    </row>
    <row r="9" spans="1:21" s="125" customFormat="1" ht="28" x14ac:dyDescent="0.15">
      <c r="A9" s="121">
        <v>60028</v>
      </c>
      <c r="B9" s="122" t="str">
        <f ca="1">VLOOKUP($A9,OFFSET([2]quests!$A$1,0,0,COUNTA([2]quests!$A:$A),MATCH(B$1,[2]quests!$1:$1,0)-MATCH($A$1,[2]quests!$1:$1,0)+1),MATCH(B$1,[2]quests!$1:$1,0)-MATCH($A$1,[2]quests!$1:$1,0)+1,FALSE)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9" s="122" t="str">
        <f ca="1">VLOOKUP($A9,OFFSET([2]quests!$A$1,0,0,COUNTA([2]quests!$A:$A),MATCH(C$1,[2]quests!$1:$1,0)-MATCH($A$1,[2]quests!$1:$1,0)+1),MATCH(C$1,[2]quests!$1:$1,0)-MATCH($A$1,[2]quests!$1:$1,0)+1,FALSE)</f>
        <v>ランキング4（再開催）</v>
      </c>
      <c r="D9" s="121">
        <v>2</v>
      </c>
      <c r="E9" s="123">
        <v>2</v>
      </c>
      <c r="F9" s="124" t="str">
        <f t="shared" si="1"/>
        <v>600280002</v>
      </c>
      <c r="G9" s="125" t="str">
        <f>F9&amp;TEXT(COUNTIF(F$2:F9,F9),"00")</f>
        <v>60028000203</v>
      </c>
      <c r="H9" s="126" t="s">
        <v>301</v>
      </c>
      <c r="I9" s="126">
        <v>5</v>
      </c>
      <c r="J9" s="126" t="s">
        <v>302</v>
      </c>
      <c r="K9" s="126">
        <v>0</v>
      </c>
      <c r="L9" s="126">
        <v>0</v>
      </c>
      <c r="M9" s="126">
        <v>0</v>
      </c>
      <c r="N9" s="126">
        <v>0</v>
      </c>
      <c r="O9" s="126">
        <v>1</v>
      </c>
      <c r="P9" s="126">
        <v>1</v>
      </c>
      <c r="Q9" s="126">
        <v>1</v>
      </c>
      <c r="R9" s="126" t="s">
        <v>299</v>
      </c>
      <c r="S9" s="126" t="s">
        <v>303</v>
      </c>
      <c r="T9" s="126" t="s">
        <v>287</v>
      </c>
      <c r="U9" s="127" t="s">
        <v>351</v>
      </c>
    </row>
    <row r="10" spans="1:21" s="125" customFormat="1" ht="28" x14ac:dyDescent="0.15">
      <c r="A10" s="121">
        <v>60028</v>
      </c>
      <c r="B10" s="122" t="str">
        <f ca="1">VLOOKUP($A10,OFFSET([2]quests!$A$1,0,0,COUNTA([2]quests!$A:$A),MATCH(B$1,[2]quests!$1:$1,0)-MATCH($A$1,[2]quests!$1:$1,0)+1),MATCH(B$1,[2]quests!$1:$1,0)-MATCH($A$1,[2]quests!$1:$1,0)+1,FALSE)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0" s="122" t="str">
        <f ca="1">VLOOKUP($A10,OFFSET([2]quests!$A$1,0,0,COUNTA([2]quests!$A:$A),MATCH(C$1,[2]quests!$1:$1,0)-MATCH($A$1,[2]quests!$1:$1,0)+1),MATCH(C$1,[2]quests!$1:$1,0)-MATCH($A$1,[2]quests!$1:$1,0)+1,FALSE)</f>
        <v>ランキング4（再開催）</v>
      </c>
      <c r="D10" s="121">
        <v>2</v>
      </c>
      <c r="E10" s="123">
        <v>2</v>
      </c>
      <c r="F10" s="124" t="str">
        <f t="shared" si="1"/>
        <v>600280002</v>
      </c>
      <c r="G10" s="125" t="str">
        <f>F10&amp;TEXT(COUNTIF(F$2:F10,F10),"00")</f>
        <v>60028000204</v>
      </c>
      <c r="H10" s="126" t="s">
        <v>304</v>
      </c>
      <c r="I10" s="126">
        <v>610</v>
      </c>
      <c r="J10" s="126">
        <v>1</v>
      </c>
      <c r="K10" s="126">
        <v>0</v>
      </c>
      <c r="L10" s="126">
        <v>0</v>
      </c>
      <c r="M10" s="126">
        <v>0</v>
      </c>
      <c r="N10" s="126">
        <v>0</v>
      </c>
      <c r="O10" s="126">
        <v>1</v>
      </c>
      <c r="P10" s="126">
        <v>1</v>
      </c>
      <c r="Q10" s="126">
        <v>1</v>
      </c>
      <c r="R10" s="126" t="s">
        <v>299</v>
      </c>
      <c r="S10" s="126" t="s">
        <v>305</v>
      </c>
      <c r="T10" s="126" t="s">
        <v>287</v>
      </c>
      <c r="U10" s="127" t="s">
        <v>351</v>
      </c>
    </row>
    <row r="11" spans="1:21" s="125" customFormat="1" ht="28" x14ac:dyDescent="0.15">
      <c r="A11" s="121">
        <v>60028</v>
      </c>
      <c r="B11" s="122" t="str">
        <f ca="1">VLOOKUP($A11,OFFSET([2]quests!$A$1,0,0,COUNTA([2]quests!$A:$A),MATCH(B$1,[2]quests!$1:$1,0)-MATCH($A$1,[2]quests!$1:$1,0)+1),MATCH(B$1,[2]quests!$1:$1,0)-MATCH($A$1,[2]quests!$1:$1,0)+1,FALSE)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1" s="122" t="str">
        <f ca="1">VLOOKUP($A11,OFFSET([2]quests!$A$1,0,0,COUNTA([2]quests!$A:$A),MATCH(C$1,[2]quests!$1:$1,0)-MATCH($A$1,[2]quests!$1:$1,0)+1),MATCH(C$1,[2]quests!$1:$1,0)-MATCH($A$1,[2]quests!$1:$1,0)+1,FALSE)</f>
        <v>ランキング4（再開催）</v>
      </c>
      <c r="D11" s="121">
        <v>2</v>
      </c>
      <c r="E11" s="123">
        <v>2</v>
      </c>
      <c r="F11" s="124" t="str">
        <f t="shared" si="1"/>
        <v>600280002</v>
      </c>
      <c r="G11" s="125" t="str">
        <f>F11&amp;TEXT(COUNTIF(F$2:F11,F11),"00")</f>
        <v>60028000205</v>
      </c>
      <c r="H11" s="126" t="s">
        <v>298</v>
      </c>
      <c r="I11" s="126">
        <v>1</v>
      </c>
      <c r="J11" s="126">
        <v>3</v>
      </c>
      <c r="K11" s="126">
        <v>0</v>
      </c>
      <c r="L11" s="126">
        <v>0</v>
      </c>
      <c r="M11" s="126">
        <v>0</v>
      </c>
      <c r="N11" s="126">
        <v>0</v>
      </c>
      <c r="O11" s="126">
        <v>1</v>
      </c>
      <c r="P11" s="126">
        <v>1</v>
      </c>
      <c r="Q11" s="126">
        <v>1</v>
      </c>
      <c r="R11" s="126" t="s">
        <v>299</v>
      </c>
      <c r="S11" s="126" t="s">
        <v>306</v>
      </c>
      <c r="T11" s="126" t="s">
        <v>287</v>
      </c>
      <c r="U11" s="127" t="s">
        <v>351</v>
      </c>
    </row>
    <row r="12" spans="1:21" s="125" customFormat="1" ht="28" x14ac:dyDescent="0.15">
      <c r="A12" s="121">
        <v>60028</v>
      </c>
      <c r="B12" s="122" t="str">
        <f ca="1">VLOOKUP($A12,OFFSET([2]quests!$A$1,0,0,COUNTA([2]quests!$A:$A),MATCH(B$1,[2]quests!$1:$1,0)-MATCH($A$1,[2]quests!$1:$1,0)+1),MATCH(B$1,[2]quests!$1:$1,0)-MATCH($A$1,[2]quests!$1:$1,0)+1,FALSE)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2" s="122" t="str">
        <f ca="1">VLOOKUP($A12,OFFSET([2]quests!$A$1,0,0,COUNTA([2]quests!$A:$A),MATCH(C$1,[2]quests!$1:$1,0)-MATCH($A$1,[2]quests!$1:$1,0)+1),MATCH(C$1,[2]quests!$1:$1,0)-MATCH($A$1,[2]quests!$1:$1,0)+1,FALSE)</f>
        <v>ランキング4（再開催）</v>
      </c>
      <c r="D12" s="121">
        <v>3</v>
      </c>
      <c r="E12" s="123">
        <v>3</v>
      </c>
      <c r="F12" s="124" t="str">
        <f t="shared" si="1"/>
        <v>600280003</v>
      </c>
      <c r="G12" s="125" t="str">
        <f>F12&amp;TEXT(COUNTIF(F$2:F12,F12),"00")</f>
        <v>60028000301</v>
      </c>
      <c r="H12" s="126" t="s">
        <v>284</v>
      </c>
      <c r="I12" s="126">
        <v>603</v>
      </c>
      <c r="J12" s="126">
        <v>3</v>
      </c>
      <c r="K12" s="126">
        <v>0</v>
      </c>
      <c r="L12" s="126">
        <v>0</v>
      </c>
      <c r="M12" s="126">
        <v>0</v>
      </c>
      <c r="N12" s="126">
        <v>0</v>
      </c>
      <c r="O12" s="126">
        <v>1</v>
      </c>
      <c r="P12" s="126">
        <v>1</v>
      </c>
      <c r="Q12" s="126">
        <v>1</v>
      </c>
      <c r="R12" s="126" t="s">
        <v>285</v>
      </c>
      <c r="S12" s="126" t="s">
        <v>307</v>
      </c>
      <c r="T12" s="126" t="s">
        <v>287</v>
      </c>
      <c r="U12" s="127" t="s">
        <v>351</v>
      </c>
    </row>
    <row r="13" spans="1:21" s="125" customFormat="1" ht="28" x14ac:dyDescent="0.15">
      <c r="A13" s="121">
        <v>60028</v>
      </c>
      <c r="B13" s="122" t="str">
        <f ca="1">VLOOKUP($A13,OFFSET([2]quests!$A$1,0,0,COUNTA([2]quests!$A:$A),MATCH(B$1,[2]quests!$1:$1,0)-MATCH($A$1,[2]quests!$1:$1,0)+1),MATCH(B$1,[2]quests!$1:$1,0)-MATCH($A$1,[2]quests!$1:$1,0)+1,FALSE)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3" s="122" t="str">
        <f ca="1">VLOOKUP($A13,OFFSET([2]quests!$A$1,0,0,COUNTA([2]quests!$A:$A),MATCH(C$1,[2]quests!$1:$1,0)-MATCH($A$1,[2]quests!$1:$1,0)+1),MATCH(C$1,[2]quests!$1:$1,0)-MATCH($A$1,[2]quests!$1:$1,0)+1,FALSE)</f>
        <v>ランキング4（再開催）</v>
      </c>
      <c r="D13" s="121">
        <v>3</v>
      </c>
      <c r="E13" s="123">
        <v>3</v>
      </c>
      <c r="F13" s="124" t="str">
        <f t="shared" si="1"/>
        <v>600280003</v>
      </c>
      <c r="G13" s="125" t="str">
        <f>F13&amp;TEXT(COUNTIF(F$2:F13,F13),"00")</f>
        <v>60028000302</v>
      </c>
      <c r="H13" s="126" t="s">
        <v>308</v>
      </c>
      <c r="I13" s="126">
        <v>335</v>
      </c>
      <c r="J13" s="126">
        <v>1</v>
      </c>
      <c r="K13" s="126">
        <v>0</v>
      </c>
      <c r="L13" s="126">
        <v>0</v>
      </c>
      <c r="M13" s="126">
        <v>0</v>
      </c>
      <c r="N13" s="126">
        <v>0</v>
      </c>
      <c r="O13" s="126">
        <v>1</v>
      </c>
      <c r="P13" s="126">
        <v>1</v>
      </c>
      <c r="Q13" s="126">
        <v>1</v>
      </c>
      <c r="R13" s="126" t="s">
        <v>309</v>
      </c>
      <c r="S13" s="126" t="s">
        <v>310</v>
      </c>
      <c r="T13" s="126" t="s">
        <v>287</v>
      </c>
      <c r="U13" s="127" t="s">
        <v>351</v>
      </c>
    </row>
    <row r="14" spans="1:21" s="125" customFormat="1" ht="28" x14ac:dyDescent="0.15">
      <c r="A14" s="121">
        <v>60028</v>
      </c>
      <c r="B14" s="122" t="str">
        <f ca="1">VLOOKUP($A14,OFFSET([2]quests!$A$1,0,0,COUNTA([2]quests!$A:$A),MATCH(B$1,[2]quests!$1:$1,0)-MATCH($A$1,[2]quests!$1:$1,0)+1),MATCH(B$1,[2]quests!$1:$1,0)-MATCH($A$1,[2]quests!$1:$1,0)+1,FALSE)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4" s="122" t="str">
        <f ca="1">VLOOKUP($A14,OFFSET([2]quests!$A$1,0,0,COUNTA([2]quests!$A:$A),MATCH(C$1,[2]quests!$1:$1,0)-MATCH($A$1,[2]quests!$1:$1,0)+1),MATCH(C$1,[2]quests!$1:$1,0)-MATCH($A$1,[2]quests!$1:$1,0)+1,FALSE)</f>
        <v>ランキング4（再開催）</v>
      </c>
      <c r="D14" s="121">
        <v>3</v>
      </c>
      <c r="E14" s="123">
        <v>3</v>
      </c>
      <c r="F14" s="124" t="str">
        <f t="shared" si="1"/>
        <v>600280003</v>
      </c>
      <c r="G14" s="125" t="str">
        <f>F14&amp;TEXT(COUNTIF(F$2:F14,F14),"00")</f>
        <v>60028000303</v>
      </c>
      <c r="H14" s="126" t="s">
        <v>311</v>
      </c>
      <c r="I14" s="126">
        <v>339</v>
      </c>
      <c r="J14" s="126">
        <v>1</v>
      </c>
      <c r="K14" s="126">
        <v>0</v>
      </c>
      <c r="L14" s="126">
        <v>0</v>
      </c>
      <c r="M14" s="126">
        <v>0</v>
      </c>
      <c r="N14" s="126">
        <v>0</v>
      </c>
      <c r="O14" s="126">
        <v>1</v>
      </c>
      <c r="P14" s="126">
        <v>1</v>
      </c>
      <c r="Q14" s="126">
        <v>1</v>
      </c>
      <c r="R14" s="126" t="s">
        <v>285</v>
      </c>
      <c r="S14" s="126" t="s">
        <v>312</v>
      </c>
      <c r="T14" s="126" t="s">
        <v>287</v>
      </c>
      <c r="U14" s="127" t="s">
        <v>351</v>
      </c>
    </row>
    <row r="15" spans="1:21" s="125" customFormat="1" ht="28" x14ac:dyDescent="0.15">
      <c r="A15" s="121">
        <v>60028</v>
      </c>
      <c r="B15" s="122" t="str">
        <f ca="1">VLOOKUP($A15,OFFSET([2]quests!$A$1,0,0,COUNTA([2]quests!$A:$A),MATCH(B$1,[2]quests!$1:$1,0)-MATCH($A$1,[2]quests!$1:$1,0)+1),MATCH(B$1,[2]quests!$1:$1,0)-MATCH($A$1,[2]quests!$1:$1,0)+1,FALSE)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5" s="122" t="str">
        <f ca="1">VLOOKUP($A15,OFFSET([2]quests!$A$1,0,0,COUNTA([2]quests!$A:$A),MATCH(C$1,[2]quests!$1:$1,0)-MATCH($A$1,[2]quests!$1:$1,0)+1),MATCH(C$1,[2]quests!$1:$1,0)-MATCH($A$1,[2]quests!$1:$1,0)+1,FALSE)</f>
        <v>ランキング4（再開催）</v>
      </c>
      <c r="D15" s="121">
        <v>3</v>
      </c>
      <c r="E15" s="123">
        <v>3</v>
      </c>
      <c r="F15" s="124" t="str">
        <f t="shared" si="1"/>
        <v>600280003</v>
      </c>
      <c r="G15" s="125" t="str">
        <f>F15&amp;TEXT(COUNTIF(F$2:F15,F15),"00")</f>
        <v>60028000304</v>
      </c>
      <c r="H15" s="126" t="s">
        <v>311</v>
      </c>
      <c r="I15" s="126">
        <v>343</v>
      </c>
      <c r="J15" s="126">
        <v>1</v>
      </c>
      <c r="K15" s="126">
        <v>0</v>
      </c>
      <c r="L15" s="126">
        <v>0</v>
      </c>
      <c r="M15" s="126">
        <v>0</v>
      </c>
      <c r="N15" s="126">
        <v>0</v>
      </c>
      <c r="O15" s="126">
        <v>1</v>
      </c>
      <c r="P15" s="126">
        <v>1</v>
      </c>
      <c r="Q15" s="126">
        <v>1</v>
      </c>
      <c r="R15" s="126" t="s">
        <v>285</v>
      </c>
      <c r="S15" s="126" t="s">
        <v>313</v>
      </c>
      <c r="T15" s="126" t="s">
        <v>287</v>
      </c>
      <c r="U15" s="127" t="s">
        <v>351</v>
      </c>
    </row>
    <row r="16" spans="1:21" s="125" customFormat="1" ht="28" x14ac:dyDescent="0.15">
      <c r="A16" s="121">
        <v>60028</v>
      </c>
      <c r="B16" s="122" t="str">
        <f ca="1">VLOOKUP($A16,OFFSET([2]quests!$A$1,0,0,COUNTA([2]quests!$A:$A),MATCH(B$1,[2]quests!$1:$1,0)-MATCH($A$1,[2]quests!$1:$1,0)+1),MATCH(B$1,[2]quests!$1:$1,0)-MATCH($A$1,[2]quests!$1:$1,0)+1,FALSE)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6" s="122" t="str">
        <f ca="1">VLOOKUP($A16,OFFSET([2]quests!$A$1,0,0,COUNTA([2]quests!$A:$A),MATCH(C$1,[2]quests!$1:$1,0)-MATCH($A$1,[2]quests!$1:$1,0)+1),MATCH(C$1,[2]quests!$1:$1,0)-MATCH($A$1,[2]quests!$1:$1,0)+1,FALSE)</f>
        <v>ランキング4（再開催）</v>
      </c>
      <c r="D16" s="121">
        <v>3</v>
      </c>
      <c r="E16" s="123">
        <v>3</v>
      </c>
      <c r="F16" s="124" t="str">
        <f t="shared" si="1"/>
        <v>600280003</v>
      </c>
      <c r="G16" s="125" t="str">
        <f>F16&amp;TEXT(COUNTIF(F$2:F16,F16),"00")</f>
        <v>60028000305</v>
      </c>
      <c r="H16" s="126" t="s">
        <v>314</v>
      </c>
      <c r="I16" s="126">
        <v>347</v>
      </c>
      <c r="J16" s="126">
        <v>1</v>
      </c>
      <c r="K16" s="126">
        <v>0</v>
      </c>
      <c r="L16" s="126">
        <v>0</v>
      </c>
      <c r="M16" s="126">
        <v>0</v>
      </c>
      <c r="N16" s="126">
        <v>0</v>
      </c>
      <c r="O16" s="126">
        <v>1</v>
      </c>
      <c r="P16" s="126">
        <v>1</v>
      </c>
      <c r="Q16" s="126">
        <v>1</v>
      </c>
      <c r="R16" s="126" t="s">
        <v>315</v>
      </c>
      <c r="S16" s="126" t="s">
        <v>316</v>
      </c>
      <c r="T16" s="126" t="s">
        <v>287</v>
      </c>
      <c r="U16" s="127" t="s">
        <v>351</v>
      </c>
    </row>
    <row r="17" spans="1:21" s="125" customFormat="1" ht="28" x14ac:dyDescent="0.15">
      <c r="A17" s="121">
        <v>60028</v>
      </c>
      <c r="B17" s="122" t="str">
        <f ca="1">VLOOKUP($A17,OFFSET([2]quests!$A$1,0,0,COUNTA([2]quests!$A:$A),MATCH(B$1,[2]quests!$1:$1,0)-MATCH($A$1,[2]quests!$1:$1,0)+1),MATCH(B$1,[2]quests!$1:$1,0)-MATCH($A$1,[2]quests!$1:$1,0)+1,FALSE)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7" s="122" t="str">
        <f ca="1">VLOOKUP($A17,OFFSET([2]quests!$A$1,0,0,COUNTA([2]quests!$A:$A),MATCH(C$1,[2]quests!$1:$1,0)-MATCH($A$1,[2]quests!$1:$1,0)+1),MATCH(C$1,[2]quests!$1:$1,0)-MATCH($A$1,[2]quests!$1:$1,0)+1,FALSE)</f>
        <v>ランキング4（再開催）</v>
      </c>
      <c r="D17" s="121">
        <v>3</v>
      </c>
      <c r="E17" s="123">
        <v>3</v>
      </c>
      <c r="F17" s="124" t="str">
        <f t="shared" si="1"/>
        <v>600280003</v>
      </c>
      <c r="G17" s="125" t="str">
        <f>F17&amp;TEXT(COUNTIF(F$2:F17,F17),"00")</f>
        <v>60028000306</v>
      </c>
      <c r="H17" s="126" t="s">
        <v>317</v>
      </c>
      <c r="I17" s="126">
        <v>5</v>
      </c>
      <c r="J17" s="126" t="s">
        <v>53</v>
      </c>
      <c r="K17" s="126">
        <v>0</v>
      </c>
      <c r="L17" s="126">
        <v>0</v>
      </c>
      <c r="M17" s="126">
        <v>0</v>
      </c>
      <c r="N17" s="126">
        <v>0</v>
      </c>
      <c r="O17" s="126">
        <v>1</v>
      </c>
      <c r="P17" s="126">
        <v>1</v>
      </c>
      <c r="Q17" s="126">
        <v>1</v>
      </c>
      <c r="R17" s="126" t="s">
        <v>285</v>
      </c>
      <c r="S17" s="126" t="s">
        <v>318</v>
      </c>
      <c r="T17" s="126" t="s">
        <v>287</v>
      </c>
      <c r="U17" s="127" t="s">
        <v>351</v>
      </c>
    </row>
    <row r="18" spans="1:21" s="125" customFormat="1" ht="28" x14ac:dyDescent="0.15">
      <c r="A18" s="121">
        <v>60028</v>
      </c>
      <c r="B18" s="122" t="str">
        <f ca="1">VLOOKUP($A18,OFFSET([2]quests!$A$1,0,0,COUNTA([2]quests!$A:$A),MATCH(B$1,[2]quests!$1:$1,0)-MATCH($A$1,[2]quests!$1:$1,0)+1),MATCH(B$1,[2]quests!$1:$1,0)-MATCH($A$1,[2]quests!$1:$1,0)+1,FALSE)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8" s="122" t="str">
        <f ca="1">VLOOKUP($A18,OFFSET([2]quests!$A$1,0,0,COUNTA([2]quests!$A:$A),MATCH(C$1,[2]quests!$1:$1,0)-MATCH($A$1,[2]quests!$1:$1,0)+1),MATCH(C$1,[2]quests!$1:$1,0)-MATCH($A$1,[2]quests!$1:$1,0)+1,FALSE)</f>
        <v>ランキング4（再開催）</v>
      </c>
      <c r="D18" s="121">
        <v>3</v>
      </c>
      <c r="E18" s="123">
        <v>3</v>
      </c>
      <c r="F18" s="124" t="str">
        <f t="shared" si="1"/>
        <v>600280003</v>
      </c>
      <c r="G18" s="125" t="str">
        <f>F18&amp;TEXT(COUNTIF(F$2:F18,F18),"00")</f>
        <v>60028000307</v>
      </c>
      <c r="H18" s="126" t="s">
        <v>319</v>
      </c>
      <c r="I18" s="126">
        <v>125</v>
      </c>
      <c r="J18" s="126">
        <v>1</v>
      </c>
      <c r="K18" s="126">
        <v>0</v>
      </c>
      <c r="L18" s="126">
        <v>0</v>
      </c>
      <c r="M18" s="126">
        <v>0</v>
      </c>
      <c r="N18" s="126">
        <v>0</v>
      </c>
      <c r="O18" s="126">
        <v>1</v>
      </c>
      <c r="P18" s="126">
        <v>1</v>
      </c>
      <c r="Q18" s="126">
        <v>1</v>
      </c>
      <c r="R18" s="126" t="s">
        <v>320</v>
      </c>
      <c r="S18" s="126" t="s">
        <v>321</v>
      </c>
      <c r="T18" s="126" t="s">
        <v>287</v>
      </c>
      <c r="U18" s="127" t="s">
        <v>351</v>
      </c>
    </row>
    <row r="19" spans="1:21" s="125" customFormat="1" ht="28" x14ac:dyDescent="0.15">
      <c r="A19" s="121">
        <v>60028</v>
      </c>
      <c r="B19" s="122" t="str">
        <f ca="1">VLOOKUP($A19,OFFSET([2]quests!$A$1,0,0,COUNTA([2]quests!$A:$A),MATCH(B$1,[2]quests!$1:$1,0)-MATCH($A$1,[2]quests!$1:$1,0)+1),MATCH(B$1,[2]quests!$1:$1,0)-MATCH($A$1,[2]quests!$1:$1,0)+1,FALSE)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9" s="122" t="str">
        <f ca="1">VLOOKUP($A19,OFFSET([2]quests!$A$1,0,0,COUNTA([2]quests!$A:$A),MATCH(C$1,[2]quests!$1:$1,0)-MATCH($A$1,[2]quests!$1:$1,0)+1),MATCH(C$1,[2]quests!$1:$1,0)-MATCH($A$1,[2]quests!$1:$1,0)+1,FALSE)</f>
        <v>ランキング4（再開催）</v>
      </c>
      <c r="D19" s="121">
        <v>3</v>
      </c>
      <c r="E19" s="123">
        <v>3</v>
      </c>
      <c r="F19" s="124" t="str">
        <f t="shared" si="1"/>
        <v>600280003</v>
      </c>
      <c r="G19" s="125" t="str">
        <f>F19&amp;TEXT(COUNTIF(F$2:F19,F19),"00")</f>
        <v>60028000308</v>
      </c>
      <c r="H19" s="126" t="s">
        <v>322</v>
      </c>
      <c r="I19" s="126">
        <v>1</v>
      </c>
      <c r="J19" s="126">
        <v>1</v>
      </c>
      <c r="K19" s="126">
        <v>0</v>
      </c>
      <c r="L19" s="126">
        <v>0</v>
      </c>
      <c r="M19" s="126">
        <v>0</v>
      </c>
      <c r="N19" s="126">
        <v>0</v>
      </c>
      <c r="O19" s="126">
        <v>1</v>
      </c>
      <c r="P19" s="126">
        <v>1</v>
      </c>
      <c r="Q19" s="126">
        <v>1</v>
      </c>
      <c r="R19" s="126" t="s">
        <v>323</v>
      </c>
      <c r="S19" s="126" t="s">
        <v>324</v>
      </c>
      <c r="T19" s="126" t="s">
        <v>287</v>
      </c>
      <c r="U19" s="127" t="s">
        <v>351</v>
      </c>
    </row>
    <row r="20" spans="1:21" s="125" customFormat="1" ht="28" x14ac:dyDescent="0.15">
      <c r="A20" s="121">
        <v>60028</v>
      </c>
      <c r="B20" s="122" t="str">
        <f ca="1">VLOOKUP($A20,OFFSET([2]quests!$A$1,0,0,COUNTA([2]quests!$A:$A),MATCH(B$1,[2]quests!$1:$1,0)-MATCH($A$1,[2]quests!$1:$1,0)+1),MATCH(B$1,[2]quests!$1:$1,0)-MATCH($A$1,[2]quests!$1:$1,0)+1,FALSE)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0" s="122" t="str">
        <f ca="1">VLOOKUP($A20,OFFSET([2]quests!$A$1,0,0,COUNTA([2]quests!$A:$A),MATCH(C$1,[2]quests!$1:$1,0)-MATCH($A$1,[2]quests!$1:$1,0)+1),MATCH(C$1,[2]quests!$1:$1,0)-MATCH($A$1,[2]quests!$1:$1,0)+1,FALSE)</f>
        <v>ランキング4（再開催）</v>
      </c>
      <c r="D20" s="121">
        <v>4</v>
      </c>
      <c r="E20" s="123">
        <v>5</v>
      </c>
      <c r="F20" s="124" t="str">
        <f t="shared" si="1"/>
        <v>600280005</v>
      </c>
      <c r="G20" s="125" t="str">
        <f>F20&amp;TEXT(COUNTIF(F$2:F20,F20),"00")</f>
        <v>60028000501</v>
      </c>
      <c r="H20" s="126" t="s">
        <v>284</v>
      </c>
      <c r="I20" s="126">
        <v>603</v>
      </c>
      <c r="J20" s="126">
        <v>2</v>
      </c>
      <c r="K20" s="126">
        <v>0</v>
      </c>
      <c r="L20" s="126">
        <v>0</v>
      </c>
      <c r="M20" s="126">
        <v>0</v>
      </c>
      <c r="N20" s="126">
        <v>0</v>
      </c>
      <c r="O20" s="126">
        <v>1</v>
      </c>
      <c r="P20" s="126">
        <v>1</v>
      </c>
      <c r="Q20" s="126">
        <v>1</v>
      </c>
      <c r="R20" s="126" t="s">
        <v>285</v>
      </c>
      <c r="S20" s="126" t="s">
        <v>288</v>
      </c>
      <c r="T20" s="126" t="s">
        <v>287</v>
      </c>
      <c r="U20" s="127" t="s">
        <v>351</v>
      </c>
    </row>
    <row r="21" spans="1:21" s="125" customFormat="1" ht="28" x14ac:dyDescent="0.15">
      <c r="A21" s="121">
        <v>60028</v>
      </c>
      <c r="B21" s="122" t="str">
        <f ca="1">VLOOKUP($A21,OFFSET([2]quests!$A$1,0,0,COUNTA([2]quests!$A:$A),MATCH(B$1,[2]quests!$1:$1,0)-MATCH($A$1,[2]quests!$1:$1,0)+1),MATCH(B$1,[2]quests!$1:$1,0)-MATCH($A$1,[2]quests!$1:$1,0)+1,FALSE)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1" s="122" t="str">
        <f ca="1">VLOOKUP($A21,OFFSET([2]quests!$A$1,0,0,COUNTA([2]quests!$A:$A),MATCH(C$1,[2]quests!$1:$1,0)-MATCH($A$1,[2]quests!$1:$1,0)+1),MATCH(C$1,[2]quests!$1:$1,0)-MATCH($A$1,[2]quests!$1:$1,0)+1,FALSE)</f>
        <v>ランキング4（再開催）</v>
      </c>
      <c r="D21" s="121">
        <v>4</v>
      </c>
      <c r="E21" s="123">
        <v>5</v>
      </c>
      <c r="F21" s="124" t="str">
        <f t="shared" si="1"/>
        <v>600280005</v>
      </c>
      <c r="G21" s="125" t="str">
        <f>F21&amp;TEXT(COUNTIF(F$2:F21,F21),"00")</f>
        <v>60028000502</v>
      </c>
      <c r="H21" s="126" t="s">
        <v>325</v>
      </c>
      <c r="I21" s="126">
        <v>335</v>
      </c>
      <c r="J21" s="126">
        <v>1</v>
      </c>
      <c r="K21" s="126">
        <v>0</v>
      </c>
      <c r="L21" s="126">
        <v>0</v>
      </c>
      <c r="M21" s="126">
        <v>0</v>
      </c>
      <c r="N21" s="126">
        <v>0</v>
      </c>
      <c r="O21" s="126">
        <v>1</v>
      </c>
      <c r="P21" s="126">
        <v>1</v>
      </c>
      <c r="Q21" s="126">
        <v>1</v>
      </c>
      <c r="R21" s="126" t="s">
        <v>326</v>
      </c>
      <c r="S21" s="126" t="s">
        <v>310</v>
      </c>
      <c r="T21" s="126" t="s">
        <v>287</v>
      </c>
      <c r="U21" s="127" t="s">
        <v>351</v>
      </c>
    </row>
    <row r="22" spans="1:21" s="125" customFormat="1" ht="28" x14ac:dyDescent="0.15">
      <c r="A22" s="121">
        <v>60028</v>
      </c>
      <c r="B22" s="122" t="str">
        <f ca="1">VLOOKUP($A22,OFFSET([2]quests!$A$1,0,0,COUNTA([2]quests!$A:$A),MATCH(B$1,[2]quests!$1:$1,0)-MATCH($A$1,[2]quests!$1:$1,0)+1),MATCH(B$1,[2]quests!$1:$1,0)-MATCH($A$1,[2]quests!$1:$1,0)+1,FALSE)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2" s="122" t="str">
        <f ca="1">VLOOKUP($A22,OFFSET([2]quests!$A$1,0,0,COUNTA([2]quests!$A:$A),MATCH(C$1,[2]quests!$1:$1,0)-MATCH($A$1,[2]quests!$1:$1,0)+1),MATCH(C$1,[2]quests!$1:$1,0)-MATCH($A$1,[2]quests!$1:$1,0)+1,FALSE)</f>
        <v>ランキング4（再開催）</v>
      </c>
      <c r="D22" s="121">
        <v>4</v>
      </c>
      <c r="E22" s="123">
        <v>5</v>
      </c>
      <c r="F22" s="124" t="str">
        <f t="shared" si="1"/>
        <v>600280005</v>
      </c>
      <c r="G22" s="125" t="str">
        <f>F22&amp;TEXT(COUNTIF(F$2:F22,F22),"00")</f>
        <v>60028000503</v>
      </c>
      <c r="H22" s="126" t="s">
        <v>327</v>
      </c>
      <c r="I22" s="126">
        <v>339</v>
      </c>
      <c r="J22" s="126">
        <v>1</v>
      </c>
      <c r="K22" s="126">
        <v>0</v>
      </c>
      <c r="L22" s="126">
        <v>0</v>
      </c>
      <c r="M22" s="126">
        <v>0</v>
      </c>
      <c r="N22" s="126">
        <v>0</v>
      </c>
      <c r="O22" s="126">
        <v>1</v>
      </c>
      <c r="P22" s="126">
        <v>1</v>
      </c>
      <c r="Q22" s="126">
        <v>1</v>
      </c>
      <c r="R22" s="126" t="s">
        <v>326</v>
      </c>
      <c r="S22" s="126" t="s">
        <v>312</v>
      </c>
      <c r="T22" s="126" t="s">
        <v>287</v>
      </c>
      <c r="U22" s="127" t="s">
        <v>351</v>
      </c>
    </row>
    <row r="23" spans="1:21" s="125" customFormat="1" ht="28" x14ac:dyDescent="0.15">
      <c r="A23" s="121">
        <v>60028</v>
      </c>
      <c r="B23" s="122" t="str">
        <f ca="1">VLOOKUP($A23,OFFSET([2]quests!$A$1,0,0,COUNTA([2]quests!$A:$A),MATCH(B$1,[2]quests!$1:$1,0)-MATCH($A$1,[2]quests!$1:$1,0)+1),MATCH(B$1,[2]quests!$1:$1,0)-MATCH($A$1,[2]quests!$1:$1,0)+1,FALSE)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3" s="122" t="str">
        <f ca="1">VLOOKUP($A23,OFFSET([2]quests!$A$1,0,0,COUNTA([2]quests!$A:$A),MATCH(C$1,[2]quests!$1:$1,0)-MATCH($A$1,[2]quests!$1:$1,0)+1),MATCH(C$1,[2]quests!$1:$1,0)-MATCH($A$1,[2]quests!$1:$1,0)+1,FALSE)</f>
        <v>ランキング4（再開催）</v>
      </c>
      <c r="D23" s="121">
        <v>4</v>
      </c>
      <c r="E23" s="123">
        <v>5</v>
      </c>
      <c r="F23" s="124" t="str">
        <f t="shared" si="1"/>
        <v>600280005</v>
      </c>
      <c r="G23" s="125" t="str">
        <f>F23&amp;TEXT(COUNTIF(F$2:F23,F23),"00")</f>
        <v>60028000504</v>
      </c>
      <c r="H23" s="126" t="s">
        <v>327</v>
      </c>
      <c r="I23" s="126">
        <v>343</v>
      </c>
      <c r="J23" s="126">
        <v>1</v>
      </c>
      <c r="K23" s="126">
        <v>0</v>
      </c>
      <c r="L23" s="126">
        <v>0</v>
      </c>
      <c r="M23" s="126">
        <v>0</v>
      </c>
      <c r="N23" s="126">
        <v>0</v>
      </c>
      <c r="O23" s="126">
        <v>1</v>
      </c>
      <c r="P23" s="126">
        <v>1</v>
      </c>
      <c r="Q23" s="126">
        <v>1</v>
      </c>
      <c r="R23" s="126" t="s">
        <v>326</v>
      </c>
      <c r="S23" s="126" t="s">
        <v>313</v>
      </c>
      <c r="T23" s="126" t="s">
        <v>287</v>
      </c>
      <c r="U23" s="127" t="s">
        <v>351</v>
      </c>
    </row>
    <row r="24" spans="1:21" s="125" customFormat="1" ht="28" x14ac:dyDescent="0.15">
      <c r="A24" s="121">
        <v>60028</v>
      </c>
      <c r="B24" s="122" t="str">
        <f ca="1">VLOOKUP($A24,OFFSET([2]quests!$A$1,0,0,COUNTA([2]quests!$A:$A),MATCH(B$1,[2]quests!$1:$1,0)-MATCH($A$1,[2]quests!$1:$1,0)+1),MATCH(B$1,[2]quests!$1:$1,0)-MATCH($A$1,[2]quests!$1:$1,0)+1,FALSE)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4" s="122" t="str">
        <f ca="1">VLOOKUP($A24,OFFSET([2]quests!$A$1,0,0,COUNTA([2]quests!$A:$A),MATCH(C$1,[2]quests!$1:$1,0)-MATCH($A$1,[2]quests!$1:$1,0)+1),MATCH(C$1,[2]quests!$1:$1,0)-MATCH($A$1,[2]quests!$1:$1,0)+1,FALSE)</f>
        <v>ランキング4（再開催）</v>
      </c>
      <c r="D24" s="121">
        <v>4</v>
      </c>
      <c r="E24" s="123">
        <v>5</v>
      </c>
      <c r="F24" s="124" t="str">
        <f t="shared" si="1"/>
        <v>600280005</v>
      </c>
      <c r="G24" s="125" t="str">
        <f>F24&amp;TEXT(COUNTIF(F$2:F24,F24),"00")</f>
        <v>60028000505</v>
      </c>
      <c r="H24" s="126" t="s">
        <v>327</v>
      </c>
      <c r="I24" s="126">
        <v>347</v>
      </c>
      <c r="J24" s="126">
        <v>1</v>
      </c>
      <c r="K24" s="126">
        <v>0</v>
      </c>
      <c r="L24" s="126">
        <v>0</v>
      </c>
      <c r="M24" s="126">
        <v>0</v>
      </c>
      <c r="N24" s="126">
        <v>0</v>
      </c>
      <c r="O24" s="126">
        <v>1</v>
      </c>
      <c r="P24" s="126">
        <v>1</v>
      </c>
      <c r="Q24" s="126">
        <v>1</v>
      </c>
      <c r="R24" s="126" t="s">
        <v>326</v>
      </c>
      <c r="S24" s="126" t="s">
        <v>316</v>
      </c>
      <c r="T24" s="126" t="s">
        <v>287</v>
      </c>
      <c r="U24" s="127" t="s">
        <v>351</v>
      </c>
    </row>
    <row r="25" spans="1:21" s="125" customFormat="1" ht="28" x14ac:dyDescent="0.15">
      <c r="A25" s="121">
        <v>60028</v>
      </c>
      <c r="B25" s="122" t="str">
        <f ca="1">VLOOKUP($A25,OFFSET([2]quests!$A$1,0,0,COUNTA([2]quests!$A:$A),MATCH(B$1,[2]quests!$1:$1,0)-MATCH($A$1,[2]quests!$1:$1,0)+1),MATCH(B$1,[2]quests!$1:$1,0)-MATCH($A$1,[2]quests!$1:$1,0)+1,FALSE)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5" s="122" t="str">
        <f ca="1">VLOOKUP($A25,OFFSET([2]quests!$A$1,0,0,COUNTA([2]quests!$A:$A),MATCH(C$1,[2]quests!$1:$1,0)-MATCH($A$1,[2]quests!$1:$1,0)+1),MATCH(C$1,[2]quests!$1:$1,0)-MATCH($A$1,[2]quests!$1:$1,0)+1,FALSE)</f>
        <v>ランキング4（再開催）</v>
      </c>
      <c r="D25" s="121">
        <v>4</v>
      </c>
      <c r="E25" s="123">
        <v>5</v>
      </c>
      <c r="F25" s="124" t="str">
        <f t="shared" si="1"/>
        <v>600280005</v>
      </c>
      <c r="G25" s="125" t="str">
        <f>F25&amp;TEXT(COUNTIF(F$2:F25,F25),"00")</f>
        <v>60028000506</v>
      </c>
      <c r="H25" s="126" t="s">
        <v>328</v>
      </c>
      <c r="I25" s="126">
        <v>5</v>
      </c>
      <c r="J25" s="126" t="s">
        <v>329</v>
      </c>
      <c r="K25" s="126">
        <v>0</v>
      </c>
      <c r="L25" s="126">
        <v>0</v>
      </c>
      <c r="M25" s="126">
        <v>0</v>
      </c>
      <c r="N25" s="126">
        <v>0</v>
      </c>
      <c r="O25" s="126">
        <v>1</v>
      </c>
      <c r="P25" s="126">
        <v>1</v>
      </c>
      <c r="Q25" s="126">
        <v>1</v>
      </c>
      <c r="R25" s="126" t="s">
        <v>326</v>
      </c>
      <c r="S25" s="126" t="s">
        <v>330</v>
      </c>
      <c r="T25" s="126" t="s">
        <v>287</v>
      </c>
      <c r="U25" s="127" t="s">
        <v>351</v>
      </c>
    </row>
    <row r="26" spans="1:21" s="125" customFormat="1" ht="28" x14ac:dyDescent="0.15">
      <c r="A26" s="121">
        <v>60028</v>
      </c>
      <c r="B26" s="122" t="str">
        <f ca="1">VLOOKUP($A26,OFFSET([2]quests!$A$1,0,0,COUNTA([2]quests!$A:$A),MATCH(B$1,[2]quests!$1:$1,0)-MATCH($A$1,[2]quests!$1:$1,0)+1),MATCH(B$1,[2]quests!$1:$1,0)-MATCH($A$1,[2]quests!$1:$1,0)+1,FALSE)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6" s="122" t="str">
        <f ca="1">VLOOKUP($A26,OFFSET([2]quests!$A$1,0,0,COUNTA([2]quests!$A:$A),MATCH(C$1,[2]quests!$1:$1,0)-MATCH($A$1,[2]quests!$1:$1,0)+1),MATCH(C$1,[2]quests!$1:$1,0)-MATCH($A$1,[2]quests!$1:$1,0)+1,FALSE)</f>
        <v>ランキング4（再開催）</v>
      </c>
      <c r="D26" s="121">
        <v>4</v>
      </c>
      <c r="E26" s="123">
        <v>5</v>
      </c>
      <c r="F26" s="124" t="str">
        <f t="shared" si="1"/>
        <v>600280005</v>
      </c>
      <c r="G26" s="125" t="str">
        <f>F26&amp;TEXT(COUNTIF(F$2:F26,F26),"00")</f>
        <v>60028000507</v>
      </c>
      <c r="H26" s="126" t="s">
        <v>331</v>
      </c>
      <c r="I26" s="126">
        <v>2000</v>
      </c>
      <c r="J26" s="126" t="s">
        <v>329</v>
      </c>
      <c r="K26" s="126">
        <v>0</v>
      </c>
      <c r="L26" s="126">
        <v>0</v>
      </c>
      <c r="M26" s="126">
        <v>0</v>
      </c>
      <c r="N26" s="126">
        <v>0</v>
      </c>
      <c r="O26" s="126">
        <v>1</v>
      </c>
      <c r="P26" s="126">
        <v>1</v>
      </c>
      <c r="Q26" s="126">
        <v>1</v>
      </c>
      <c r="R26" s="126" t="s">
        <v>326</v>
      </c>
      <c r="S26" s="126" t="s">
        <v>332</v>
      </c>
      <c r="T26" s="126" t="s">
        <v>287</v>
      </c>
      <c r="U26" s="127" t="s">
        <v>351</v>
      </c>
    </row>
    <row r="27" spans="1:21" s="125" customFormat="1" ht="28" x14ac:dyDescent="0.15">
      <c r="A27" s="121">
        <v>60028</v>
      </c>
      <c r="B27" s="122" t="str">
        <f ca="1">VLOOKUP($A27,OFFSET([2]quests!$A$1,0,0,COUNTA([2]quests!$A:$A),MATCH(B$1,[2]quests!$1:$1,0)-MATCH($A$1,[2]quests!$1:$1,0)+1),MATCH(B$1,[2]quests!$1:$1,0)-MATCH($A$1,[2]quests!$1:$1,0)+1,FALSE)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7" s="122" t="str">
        <f ca="1">VLOOKUP($A27,OFFSET([2]quests!$A$1,0,0,COUNTA([2]quests!$A:$A),MATCH(C$1,[2]quests!$1:$1,0)-MATCH($A$1,[2]quests!$1:$1,0)+1),MATCH(C$1,[2]quests!$1:$1,0)-MATCH($A$1,[2]quests!$1:$1,0)+1,FALSE)</f>
        <v>ランキング4（再開催）</v>
      </c>
      <c r="D27" s="121">
        <v>6</v>
      </c>
      <c r="E27" s="123">
        <v>10</v>
      </c>
      <c r="F27" s="124" t="str">
        <f>A27&amp;TEXT(E27,"0000")</f>
        <v>600280010</v>
      </c>
      <c r="G27" s="125" t="str">
        <f>F27&amp;TEXT(COUNTIF(F$2:F27,F27),"00")</f>
        <v>60028001001</v>
      </c>
      <c r="H27" s="126" t="s">
        <v>333</v>
      </c>
      <c r="I27" s="126">
        <v>603</v>
      </c>
      <c r="J27" s="126">
        <v>1</v>
      </c>
      <c r="K27" s="126">
        <v>0</v>
      </c>
      <c r="L27" s="126">
        <v>0</v>
      </c>
      <c r="M27" s="126">
        <v>0</v>
      </c>
      <c r="N27" s="126">
        <v>0</v>
      </c>
      <c r="O27" s="126">
        <v>1</v>
      </c>
      <c r="P27" s="126">
        <v>1</v>
      </c>
      <c r="Q27" s="126">
        <v>1</v>
      </c>
      <c r="R27" s="126" t="s">
        <v>326</v>
      </c>
      <c r="S27" s="126" t="s">
        <v>334</v>
      </c>
      <c r="T27" s="126" t="s">
        <v>287</v>
      </c>
      <c r="U27" s="127" t="s">
        <v>351</v>
      </c>
    </row>
    <row r="28" spans="1:21" s="125" customFormat="1" ht="28" x14ac:dyDescent="0.15">
      <c r="A28" s="121">
        <v>60028</v>
      </c>
      <c r="B28" s="122" t="str">
        <f ca="1">VLOOKUP($A28,OFFSET([2]quests!$A$1,0,0,COUNTA([2]quests!$A:$A),MATCH(B$1,[2]quests!$1:$1,0)-MATCH($A$1,[2]quests!$1:$1,0)+1),MATCH(B$1,[2]quests!$1:$1,0)-MATCH($A$1,[2]quests!$1:$1,0)+1,FALSE)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8" s="122" t="str">
        <f ca="1">VLOOKUP($A28,OFFSET([2]quests!$A$1,0,0,COUNTA([2]quests!$A:$A),MATCH(C$1,[2]quests!$1:$1,0)-MATCH($A$1,[2]quests!$1:$1,0)+1),MATCH(C$1,[2]quests!$1:$1,0)-MATCH($A$1,[2]quests!$1:$1,0)+1,FALSE)</f>
        <v>ランキング4（再開催）</v>
      </c>
      <c r="D28" s="121">
        <v>6</v>
      </c>
      <c r="E28" s="123">
        <v>10</v>
      </c>
      <c r="F28" s="124" t="str">
        <f t="shared" ref="F28:F42" si="2">A28&amp;TEXT(E28,"0000")</f>
        <v>600280010</v>
      </c>
      <c r="G28" s="125" t="str">
        <f>F28&amp;TEXT(COUNTIF(F$2:F28,F28),"00")</f>
        <v>60028001002</v>
      </c>
      <c r="H28" s="126" t="s">
        <v>327</v>
      </c>
      <c r="I28" s="126">
        <v>334</v>
      </c>
      <c r="J28" s="126">
        <v>1</v>
      </c>
      <c r="K28" s="126">
        <v>0</v>
      </c>
      <c r="L28" s="126">
        <v>0</v>
      </c>
      <c r="M28" s="126">
        <v>0</v>
      </c>
      <c r="N28" s="126">
        <v>0</v>
      </c>
      <c r="O28" s="126">
        <v>1</v>
      </c>
      <c r="P28" s="126">
        <v>1</v>
      </c>
      <c r="Q28" s="126">
        <v>1</v>
      </c>
      <c r="R28" s="126" t="s">
        <v>335</v>
      </c>
      <c r="S28" s="126" t="s">
        <v>336</v>
      </c>
      <c r="T28" s="126" t="s">
        <v>287</v>
      </c>
      <c r="U28" s="127" t="s">
        <v>351</v>
      </c>
    </row>
    <row r="29" spans="1:21" s="125" customFormat="1" ht="28" x14ac:dyDescent="0.15">
      <c r="A29" s="121">
        <v>60028</v>
      </c>
      <c r="B29" s="122" t="str">
        <f ca="1">VLOOKUP($A29,OFFSET([2]quests!$A$1,0,0,COUNTA([2]quests!$A:$A),MATCH(B$1,[2]quests!$1:$1,0)-MATCH($A$1,[2]quests!$1:$1,0)+1),MATCH(B$1,[2]quests!$1:$1,0)-MATCH($A$1,[2]quests!$1:$1,0)+1,FALSE)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9" s="122" t="str">
        <f ca="1">VLOOKUP($A29,OFFSET([2]quests!$A$1,0,0,COUNTA([2]quests!$A:$A),MATCH(C$1,[2]quests!$1:$1,0)-MATCH($A$1,[2]quests!$1:$1,0)+1),MATCH(C$1,[2]quests!$1:$1,0)-MATCH($A$1,[2]quests!$1:$1,0)+1,FALSE)</f>
        <v>ランキング4（再開催）</v>
      </c>
      <c r="D29" s="121">
        <v>6</v>
      </c>
      <c r="E29" s="123">
        <v>10</v>
      </c>
      <c r="F29" s="124" t="str">
        <f t="shared" si="2"/>
        <v>600280010</v>
      </c>
      <c r="G29" s="125" t="str">
        <f>F29&amp;TEXT(COUNTIF(F$2:F29,F29),"00")</f>
        <v>60028001003</v>
      </c>
      <c r="H29" s="126" t="s">
        <v>327</v>
      </c>
      <c r="I29" s="126">
        <v>338</v>
      </c>
      <c r="J29" s="126">
        <v>1</v>
      </c>
      <c r="K29" s="126">
        <v>0</v>
      </c>
      <c r="L29" s="126">
        <v>0</v>
      </c>
      <c r="M29" s="126">
        <v>0</v>
      </c>
      <c r="N29" s="126">
        <v>0</v>
      </c>
      <c r="O29" s="126">
        <v>1</v>
      </c>
      <c r="P29" s="126">
        <v>1</v>
      </c>
      <c r="Q29" s="126">
        <v>1</v>
      </c>
      <c r="R29" s="126" t="s">
        <v>326</v>
      </c>
      <c r="S29" s="126" t="s">
        <v>337</v>
      </c>
      <c r="T29" s="126" t="s">
        <v>287</v>
      </c>
      <c r="U29" s="127" t="s">
        <v>351</v>
      </c>
    </row>
    <row r="30" spans="1:21" s="125" customFormat="1" ht="28" x14ac:dyDescent="0.15">
      <c r="A30" s="121">
        <v>60028</v>
      </c>
      <c r="B30" s="122" t="str">
        <f ca="1">VLOOKUP($A30,OFFSET([2]quests!$A$1,0,0,COUNTA([2]quests!$A:$A),MATCH(B$1,[2]quests!$1:$1,0)-MATCH($A$1,[2]quests!$1:$1,0)+1),MATCH(B$1,[2]quests!$1:$1,0)-MATCH($A$1,[2]quests!$1:$1,0)+1,FALSE)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0" s="122" t="str">
        <f ca="1">VLOOKUP($A30,OFFSET([2]quests!$A$1,0,0,COUNTA([2]quests!$A:$A),MATCH(C$1,[2]quests!$1:$1,0)-MATCH($A$1,[2]quests!$1:$1,0)+1),MATCH(C$1,[2]quests!$1:$1,0)-MATCH($A$1,[2]quests!$1:$1,0)+1,FALSE)</f>
        <v>ランキング4（再開催）</v>
      </c>
      <c r="D30" s="121">
        <v>6</v>
      </c>
      <c r="E30" s="123">
        <v>10</v>
      </c>
      <c r="F30" s="124" t="str">
        <f t="shared" si="2"/>
        <v>600280010</v>
      </c>
      <c r="G30" s="125" t="str">
        <f>F30&amp;TEXT(COUNTIF(F$2:F30,F30),"00")</f>
        <v>60028001004</v>
      </c>
      <c r="H30" s="126" t="s">
        <v>327</v>
      </c>
      <c r="I30" s="126">
        <v>342</v>
      </c>
      <c r="J30" s="126">
        <v>1</v>
      </c>
      <c r="K30" s="126">
        <v>0</v>
      </c>
      <c r="L30" s="126">
        <v>0</v>
      </c>
      <c r="M30" s="126">
        <v>0</v>
      </c>
      <c r="N30" s="126">
        <v>0</v>
      </c>
      <c r="O30" s="126">
        <v>1</v>
      </c>
      <c r="P30" s="126">
        <v>1</v>
      </c>
      <c r="Q30" s="126">
        <v>1</v>
      </c>
      <c r="R30" s="126" t="s">
        <v>335</v>
      </c>
      <c r="S30" s="126" t="s">
        <v>338</v>
      </c>
      <c r="T30" s="126" t="s">
        <v>287</v>
      </c>
      <c r="U30" s="127" t="s">
        <v>351</v>
      </c>
    </row>
    <row r="31" spans="1:21" s="125" customFormat="1" ht="28" x14ac:dyDescent="0.15">
      <c r="A31" s="121">
        <v>60028</v>
      </c>
      <c r="B31" s="122" t="str">
        <f ca="1">VLOOKUP($A31,OFFSET([2]quests!$A$1,0,0,COUNTA([2]quests!$A:$A),MATCH(B$1,[2]quests!$1:$1,0)-MATCH($A$1,[2]quests!$1:$1,0)+1),MATCH(B$1,[2]quests!$1:$1,0)-MATCH($A$1,[2]quests!$1:$1,0)+1,FALSE)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1" s="122" t="str">
        <f ca="1">VLOOKUP($A31,OFFSET([2]quests!$A$1,0,0,COUNTA([2]quests!$A:$A),MATCH(C$1,[2]quests!$1:$1,0)-MATCH($A$1,[2]quests!$1:$1,0)+1),MATCH(C$1,[2]quests!$1:$1,0)-MATCH($A$1,[2]quests!$1:$1,0)+1,FALSE)</f>
        <v>ランキング4（再開催）</v>
      </c>
      <c r="D31" s="121">
        <v>6</v>
      </c>
      <c r="E31" s="123">
        <v>10</v>
      </c>
      <c r="F31" s="124" t="str">
        <f t="shared" si="2"/>
        <v>600280010</v>
      </c>
      <c r="G31" s="125" t="str">
        <f>F31&amp;TEXT(COUNTIF(F$2:F31,F31),"00")</f>
        <v>60028001005</v>
      </c>
      <c r="H31" s="126" t="s">
        <v>327</v>
      </c>
      <c r="I31" s="126">
        <v>346</v>
      </c>
      <c r="J31" s="126">
        <v>1</v>
      </c>
      <c r="K31" s="126">
        <v>0</v>
      </c>
      <c r="L31" s="126">
        <v>0</v>
      </c>
      <c r="M31" s="126">
        <v>0</v>
      </c>
      <c r="N31" s="126">
        <v>0</v>
      </c>
      <c r="O31" s="126">
        <v>1</v>
      </c>
      <c r="P31" s="126">
        <v>1</v>
      </c>
      <c r="Q31" s="126">
        <v>1</v>
      </c>
      <c r="R31" s="126" t="s">
        <v>326</v>
      </c>
      <c r="S31" s="126" t="s">
        <v>339</v>
      </c>
      <c r="T31" s="126" t="s">
        <v>287</v>
      </c>
      <c r="U31" s="127" t="s">
        <v>351</v>
      </c>
    </row>
    <row r="32" spans="1:21" s="125" customFormat="1" ht="28" x14ac:dyDescent="0.15">
      <c r="A32" s="121">
        <v>60028</v>
      </c>
      <c r="B32" s="122" t="str">
        <f ca="1">VLOOKUP($A32,OFFSET([2]quests!$A$1,0,0,COUNTA([2]quests!$A:$A),MATCH(B$1,[2]quests!$1:$1,0)-MATCH($A$1,[2]quests!$1:$1,0)+1),MATCH(B$1,[2]quests!$1:$1,0)-MATCH($A$1,[2]quests!$1:$1,0)+1,FALSE)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2" s="122" t="str">
        <f ca="1">VLOOKUP($A32,OFFSET([2]quests!$A$1,0,0,COUNTA([2]quests!$A:$A),MATCH(C$1,[2]quests!$1:$1,0)-MATCH($A$1,[2]quests!$1:$1,0)+1),MATCH(C$1,[2]quests!$1:$1,0)-MATCH($A$1,[2]quests!$1:$1,0)+1,FALSE)</f>
        <v>ランキング4（再開催）</v>
      </c>
      <c r="D32" s="121">
        <v>6</v>
      </c>
      <c r="E32" s="123">
        <v>10</v>
      </c>
      <c r="F32" s="124" t="str">
        <f t="shared" si="2"/>
        <v>600280010</v>
      </c>
      <c r="G32" s="125" t="str">
        <f>F32&amp;TEXT(COUNTIF(F$2:F32,F32),"00")</f>
        <v>60028001006</v>
      </c>
      <c r="H32" s="126" t="s">
        <v>328</v>
      </c>
      <c r="I32" s="126">
        <v>3</v>
      </c>
      <c r="J32" s="126" t="s">
        <v>340</v>
      </c>
      <c r="K32" s="126">
        <v>0</v>
      </c>
      <c r="L32" s="126">
        <v>0</v>
      </c>
      <c r="M32" s="126">
        <v>0</v>
      </c>
      <c r="N32" s="126">
        <v>0</v>
      </c>
      <c r="O32" s="126">
        <v>1</v>
      </c>
      <c r="P32" s="126">
        <v>1</v>
      </c>
      <c r="Q32" s="126">
        <v>1</v>
      </c>
      <c r="R32" s="126" t="s">
        <v>335</v>
      </c>
      <c r="S32" s="126" t="s">
        <v>341</v>
      </c>
      <c r="T32" s="126" t="s">
        <v>287</v>
      </c>
      <c r="U32" s="127" t="s">
        <v>351</v>
      </c>
    </row>
    <row r="33" spans="1:21" s="125" customFormat="1" ht="28" x14ac:dyDescent="0.15">
      <c r="A33" s="121">
        <v>60028</v>
      </c>
      <c r="B33" s="122" t="str">
        <f ca="1">VLOOKUP($A33,OFFSET([2]quests!$A$1,0,0,COUNTA([2]quests!$A:$A),MATCH(B$1,[2]quests!$1:$1,0)-MATCH($A$1,[2]quests!$1:$1,0)+1),MATCH(B$1,[2]quests!$1:$1,0)-MATCH($A$1,[2]quests!$1:$1,0)+1,FALSE)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3" s="122" t="str">
        <f ca="1">VLOOKUP($A33,OFFSET([2]quests!$A$1,0,0,COUNTA([2]quests!$A:$A),MATCH(C$1,[2]quests!$1:$1,0)-MATCH($A$1,[2]quests!$1:$1,0)+1),MATCH(C$1,[2]quests!$1:$1,0)-MATCH($A$1,[2]quests!$1:$1,0)+1,FALSE)</f>
        <v>ランキング4（再開催）</v>
      </c>
      <c r="D33" s="121">
        <v>6</v>
      </c>
      <c r="E33" s="123">
        <v>10</v>
      </c>
      <c r="F33" s="124" t="str">
        <f t="shared" si="2"/>
        <v>600280010</v>
      </c>
      <c r="G33" s="125" t="str">
        <f>F33&amp;TEXT(COUNTIF(F$2:F33,F33),"00")</f>
        <v>60028001007</v>
      </c>
      <c r="H33" s="126" t="s">
        <v>331</v>
      </c>
      <c r="I33" s="126">
        <v>2000</v>
      </c>
      <c r="J33" s="126" t="s">
        <v>329</v>
      </c>
      <c r="K33" s="126">
        <v>0</v>
      </c>
      <c r="L33" s="126">
        <v>0</v>
      </c>
      <c r="M33" s="126">
        <v>0</v>
      </c>
      <c r="N33" s="126">
        <v>0</v>
      </c>
      <c r="O33" s="126">
        <v>1</v>
      </c>
      <c r="P33" s="126">
        <v>1</v>
      </c>
      <c r="Q33" s="126">
        <v>1</v>
      </c>
      <c r="R33" s="126" t="s">
        <v>326</v>
      </c>
      <c r="S33" s="126" t="s">
        <v>332</v>
      </c>
      <c r="T33" s="126" t="s">
        <v>287</v>
      </c>
      <c r="U33" s="127" t="s">
        <v>351</v>
      </c>
    </row>
    <row r="34" spans="1:21" s="125" customFormat="1" ht="28" x14ac:dyDescent="0.15">
      <c r="A34" s="121">
        <v>60028</v>
      </c>
      <c r="B34" s="122" t="str">
        <f ca="1">VLOOKUP($A34,OFFSET([2]quests!$A$1,0,0,COUNTA([2]quests!$A:$A),MATCH(B$1,[2]quests!$1:$1,0)-MATCH($A$1,[2]quests!$1:$1,0)+1),MATCH(B$1,[2]quests!$1:$1,0)-MATCH($A$1,[2]quests!$1:$1,0)+1,FALSE)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4" s="122" t="str">
        <f ca="1">VLOOKUP($A34,OFFSET([2]quests!$A$1,0,0,COUNTA([2]quests!$A:$A),MATCH(C$1,[2]quests!$1:$1,0)-MATCH($A$1,[2]quests!$1:$1,0)+1),MATCH(C$1,[2]quests!$1:$1,0)-MATCH($A$1,[2]quests!$1:$1,0)+1,FALSE)</f>
        <v>ランキング4（再開催）</v>
      </c>
      <c r="D34" s="121">
        <v>11</v>
      </c>
      <c r="E34" s="123">
        <v>25</v>
      </c>
      <c r="F34" s="124" t="str">
        <f t="shared" si="2"/>
        <v>600280025</v>
      </c>
      <c r="G34" s="125" t="str">
        <f>F34&amp;TEXT(COUNTIF(F$2:F34,F34),"00")</f>
        <v>60028002501</v>
      </c>
      <c r="H34" s="126" t="s">
        <v>328</v>
      </c>
      <c r="I34" s="126">
        <v>3</v>
      </c>
      <c r="J34" s="126" t="s">
        <v>340</v>
      </c>
      <c r="K34" s="126">
        <v>0</v>
      </c>
      <c r="L34" s="126">
        <v>0</v>
      </c>
      <c r="M34" s="126">
        <v>0</v>
      </c>
      <c r="N34" s="126">
        <v>0</v>
      </c>
      <c r="O34" s="126">
        <v>1</v>
      </c>
      <c r="P34" s="126">
        <v>1</v>
      </c>
      <c r="Q34" s="126">
        <v>1</v>
      </c>
      <c r="R34" s="126" t="s">
        <v>335</v>
      </c>
      <c r="S34" s="126" t="s">
        <v>341</v>
      </c>
      <c r="T34" s="126" t="s">
        <v>287</v>
      </c>
      <c r="U34" s="127" t="s">
        <v>351</v>
      </c>
    </row>
    <row r="35" spans="1:21" s="125" customFormat="1" ht="28" x14ac:dyDescent="0.15">
      <c r="A35" s="121">
        <v>60028</v>
      </c>
      <c r="B35" s="122" t="str">
        <f ca="1">VLOOKUP($A35,OFFSET([2]quests!$A$1,0,0,COUNTA([2]quests!$A:$A),MATCH(B$1,[2]quests!$1:$1,0)-MATCH($A$1,[2]quests!$1:$1,0)+1),MATCH(B$1,[2]quests!$1:$1,0)-MATCH($A$1,[2]quests!$1:$1,0)+1,FALSE)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5" s="122" t="str">
        <f ca="1">VLOOKUP($A35,OFFSET([2]quests!$A$1,0,0,COUNTA([2]quests!$A:$A),MATCH(C$1,[2]quests!$1:$1,0)-MATCH($A$1,[2]quests!$1:$1,0)+1),MATCH(C$1,[2]quests!$1:$1,0)-MATCH($A$1,[2]quests!$1:$1,0)+1,FALSE)</f>
        <v>ランキング4（再開催）</v>
      </c>
      <c r="D35" s="121">
        <v>11</v>
      </c>
      <c r="E35" s="123">
        <v>25</v>
      </c>
      <c r="F35" s="124" t="str">
        <f t="shared" si="2"/>
        <v>600280025</v>
      </c>
      <c r="G35" s="125" t="str">
        <f>F35&amp;TEXT(COUNTIF(F$2:F35,F35),"00")</f>
        <v>60028002502</v>
      </c>
      <c r="H35" s="126" t="s">
        <v>331</v>
      </c>
      <c r="I35" s="126">
        <v>2000</v>
      </c>
      <c r="J35" s="126" t="s">
        <v>329</v>
      </c>
      <c r="K35" s="126">
        <v>0</v>
      </c>
      <c r="L35" s="126">
        <v>0</v>
      </c>
      <c r="M35" s="126">
        <v>0</v>
      </c>
      <c r="N35" s="126">
        <v>0</v>
      </c>
      <c r="O35" s="126">
        <v>1</v>
      </c>
      <c r="P35" s="126">
        <v>1</v>
      </c>
      <c r="Q35" s="126">
        <v>1</v>
      </c>
      <c r="R35" s="126" t="s">
        <v>326</v>
      </c>
      <c r="S35" s="126" t="s">
        <v>332</v>
      </c>
      <c r="T35" s="126" t="s">
        <v>287</v>
      </c>
      <c r="U35" s="127" t="s">
        <v>351</v>
      </c>
    </row>
    <row r="36" spans="1:21" s="125" customFormat="1" ht="28" x14ac:dyDescent="0.15">
      <c r="A36" s="121">
        <v>60028</v>
      </c>
      <c r="B36" s="122" t="str">
        <f ca="1">VLOOKUP($A36,OFFSET([2]quests!$A$1,0,0,COUNTA([2]quests!$A:$A),MATCH(B$1,[2]quests!$1:$1,0)-MATCH($A$1,[2]quests!$1:$1,0)+1),MATCH(B$1,[2]quests!$1:$1,0)-MATCH($A$1,[2]quests!$1:$1,0)+1,FALSE)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6" s="122" t="str">
        <f ca="1">VLOOKUP($A36,OFFSET([2]quests!$A$1,0,0,COUNTA([2]quests!$A:$A),MATCH(C$1,[2]quests!$1:$1,0)-MATCH($A$1,[2]quests!$1:$1,0)+1),MATCH(C$1,[2]quests!$1:$1,0)-MATCH($A$1,[2]quests!$1:$1,0)+1,FALSE)</f>
        <v>ランキング4（再開催）</v>
      </c>
      <c r="D36" s="121">
        <v>11</v>
      </c>
      <c r="E36" s="123">
        <v>25</v>
      </c>
      <c r="F36" s="124" t="str">
        <f t="shared" si="2"/>
        <v>600280025</v>
      </c>
      <c r="G36" s="125" t="str">
        <f>F36&amp;TEXT(COUNTIF(F$2:F36,F36),"00")</f>
        <v>60028002503</v>
      </c>
      <c r="H36" s="126" t="s">
        <v>342</v>
      </c>
      <c r="I36" s="126">
        <v>200000</v>
      </c>
      <c r="J36" s="126" t="s">
        <v>340</v>
      </c>
      <c r="K36" s="126">
        <v>0</v>
      </c>
      <c r="L36" s="126">
        <v>0</v>
      </c>
      <c r="M36" s="126">
        <v>0</v>
      </c>
      <c r="N36" s="126">
        <v>0</v>
      </c>
      <c r="O36" s="126">
        <v>1</v>
      </c>
      <c r="P36" s="126">
        <v>1</v>
      </c>
      <c r="Q36" s="126">
        <v>1</v>
      </c>
      <c r="R36" s="126" t="s">
        <v>335</v>
      </c>
      <c r="S36" s="126" t="s">
        <v>343</v>
      </c>
      <c r="T36" s="126" t="s">
        <v>287</v>
      </c>
      <c r="U36" s="127" t="s">
        <v>351</v>
      </c>
    </row>
    <row r="37" spans="1:21" s="125" customFormat="1" ht="28" x14ac:dyDescent="0.15">
      <c r="A37" s="121">
        <v>60028</v>
      </c>
      <c r="B37" s="122" t="str">
        <f ca="1">VLOOKUP($A37,OFFSET([2]quests!$A$1,0,0,COUNTA([2]quests!$A:$A),MATCH(B$1,[2]quests!$1:$1,0)-MATCH($A$1,[2]quests!$1:$1,0)+1),MATCH(B$1,[2]quests!$1:$1,0)-MATCH($A$1,[2]quests!$1:$1,0)+1,FALSE)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7" s="122" t="str">
        <f ca="1">VLOOKUP($A37,OFFSET([2]quests!$A$1,0,0,COUNTA([2]quests!$A:$A),MATCH(C$1,[2]quests!$1:$1,0)-MATCH($A$1,[2]quests!$1:$1,0)+1),MATCH(C$1,[2]quests!$1:$1,0)-MATCH($A$1,[2]quests!$1:$1,0)+1,FALSE)</f>
        <v>ランキング4（再開催）</v>
      </c>
      <c r="D37" s="121">
        <v>26</v>
      </c>
      <c r="E37" s="123">
        <v>35</v>
      </c>
      <c r="F37" s="124" t="str">
        <f t="shared" si="2"/>
        <v>600280035</v>
      </c>
      <c r="G37" s="125" t="str">
        <f>F37&amp;TEXT(COUNTIF(F$2:F37,F37),"00")</f>
        <v>60028003501</v>
      </c>
      <c r="H37" s="126" t="s">
        <v>344</v>
      </c>
      <c r="I37" s="126">
        <v>2</v>
      </c>
      <c r="J37" s="126" t="s">
        <v>329</v>
      </c>
      <c r="K37" s="126">
        <v>0</v>
      </c>
      <c r="L37" s="126">
        <v>0</v>
      </c>
      <c r="M37" s="126">
        <v>0</v>
      </c>
      <c r="N37" s="126">
        <v>0</v>
      </c>
      <c r="O37" s="126">
        <v>1</v>
      </c>
      <c r="P37" s="126">
        <v>1</v>
      </c>
      <c r="Q37" s="126">
        <v>1</v>
      </c>
      <c r="R37" s="126" t="s">
        <v>326</v>
      </c>
      <c r="S37" s="126" t="s">
        <v>345</v>
      </c>
      <c r="T37" s="126" t="s">
        <v>287</v>
      </c>
      <c r="U37" s="127" t="s">
        <v>351</v>
      </c>
    </row>
    <row r="38" spans="1:21" s="125" customFormat="1" ht="28" x14ac:dyDescent="0.15">
      <c r="A38" s="121">
        <v>60028</v>
      </c>
      <c r="B38" s="122" t="str">
        <f ca="1">VLOOKUP($A38,OFFSET([2]quests!$A$1,0,0,COUNTA([2]quests!$A:$A),MATCH(B$1,[2]quests!$1:$1,0)-MATCH($A$1,[2]quests!$1:$1,0)+1),MATCH(B$1,[2]quests!$1:$1,0)-MATCH($A$1,[2]quests!$1:$1,0)+1,FALSE)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8" s="122" t="str">
        <f ca="1">VLOOKUP($A38,OFFSET([2]quests!$A$1,0,0,COUNTA([2]quests!$A:$A),MATCH(C$1,[2]quests!$1:$1,0)-MATCH($A$1,[2]quests!$1:$1,0)+1),MATCH(C$1,[2]quests!$1:$1,0)-MATCH($A$1,[2]quests!$1:$1,0)+1,FALSE)</f>
        <v>ランキング4（再開催）</v>
      </c>
      <c r="D38" s="121">
        <v>26</v>
      </c>
      <c r="E38" s="123">
        <v>35</v>
      </c>
      <c r="F38" s="124" t="str">
        <f t="shared" si="2"/>
        <v>600280035</v>
      </c>
      <c r="G38" s="125" t="str">
        <f>F38&amp;TEXT(COUNTIF(F$2:F38,F38),"00")</f>
        <v>60028003502</v>
      </c>
      <c r="H38" s="126" t="s">
        <v>331</v>
      </c>
      <c r="I38" s="126">
        <v>1000</v>
      </c>
      <c r="J38" s="126" t="s">
        <v>340</v>
      </c>
      <c r="K38" s="126">
        <v>0</v>
      </c>
      <c r="L38" s="126">
        <v>0</v>
      </c>
      <c r="M38" s="126">
        <v>0</v>
      </c>
      <c r="N38" s="126">
        <v>0</v>
      </c>
      <c r="O38" s="126">
        <v>1</v>
      </c>
      <c r="P38" s="126">
        <v>1</v>
      </c>
      <c r="Q38" s="126">
        <v>1</v>
      </c>
      <c r="R38" s="126" t="s">
        <v>335</v>
      </c>
      <c r="S38" s="126" t="s">
        <v>346</v>
      </c>
      <c r="T38" s="126" t="s">
        <v>287</v>
      </c>
      <c r="U38" s="127" t="s">
        <v>351</v>
      </c>
    </row>
    <row r="39" spans="1:21" s="125" customFormat="1" ht="28" x14ac:dyDescent="0.15">
      <c r="A39" s="121">
        <v>60028</v>
      </c>
      <c r="B39" s="122" t="str">
        <f ca="1">VLOOKUP($A39,OFFSET([2]quests!$A$1,0,0,COUNTA([2]quests!$A:$A),MATCH(B$1,[2]quests!$1:$1,0)-MATCH($A$1,[2]quests!$1:$1,0)+1),MATCH(B$1,[2]quests!$1:$1,0)-MATCH($A$1,[2]quests!$1:$1,0)+1,FALSE)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9" s="122" t="str">
        <f ca="1">VLOOKUP($A39,OFFSET([2]quests!$A$1,0,0,COUNTA([2]quests!$A:$A),MATCH(C$1,[2]quests!$1:$1,0)-MATCH($A$1,[2]quests!$1:$1,0)+1),MATCH(C$1,[2]quests!$1:$1,0)-MATCH($A$1,[2]quests!$1:$1,0)+1,FALSE)</f>
        <v>ランキング4（再開催）</v>
      </c>
      <c r="D39" s="121">
        <v>26</v>
      </c>
      <c r="E39" s="123">
        <v>35</v>
      </c>
      <c r="F39" s="124" t="str">
        <f t="shared" si="2"/>
        <v>600280035</v>
      </c>
      <c r="G39" s="125" t="str">
        <f>F39&amp;TEXT(COUNTIF(F$2:F39,F39),"00")</f>
        <v>60028003503</v>
      </c>
      <c r="H39" s="126" t="s">
        <v>342</v>
      </c>
      <c r="I39" s="126">
        <v>150000</v>
      </c>
      <c r="J39" s="126" t="s">
        <v>329</v>
      </c>
      <c r="K39" s="126">
        <v>0</v>
      </c>
      <c r="L39" s="126">
        <v>0</v>
      </c>
      <c r="M39" s="126">
        <v>0</v>
      </c>
      <c r="N39" s="126">
        <v>0</v>
      </c>
      <c r="O39" s="126">
        <v>1</v>
      </c>
      <c r="P39" s="126">
        <v>1</v>
      </c>
      <c r="Q39" s="126">
        <v>1</v>
      </c>
      <c r="R39" s="126" t="s">
        <v>326</v>
      </c>
      <c r="S39" s="126" t="s">
        <v>347</v>
      </c>
      <c r="T39" s="126" t="s">
        <v>287</v>
      </c>
      <c r="U39" s="127" t="s">
        <v>351</v>
      </c>
    </row>
    <row r="40" spans="1:21" s="125" customFormat="1" ht="28" x14ac:dyDescent="0.15">
      <c r="A40" s="121">
        <v>60028</v>
      </c>
      <c r="B40" s="122" t="str">
        <f ca="1">VLOOKUP($A40,OFFSET([2]quests!$A$1,0,0,COUNTA([2]quests!$A:$A),MATCH(B$1,[2]quests!$1:$1,0)-MATCH($A$1,[2]quests!$1:$1,0)+1),MATCH(B$1,[2]quests!$1:$1,0)-MATCH($A$1,[2]quests!$1:$1,0)+1,FALSE)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40" s="122" t="str">
        <f ca="1">VLOOKUP($A40,OFFSET([2]quests!$A$1,0,0,COUNTA([2]quests!$A:$A),MATCH(C$1,[2]quests!$1:$1,0)-MATCH($A$1,[2]quests!$1:$1,0)+1),MATCH(C$1,[2]quests!$1:$1,0)-MATCH($A$1,[2]quests!$1:$1,0)+1,FALSE)</f>
        <v>ランキング4（再開催）</v>
      </c>
      <c r="D40" s="121">
        <v>36</v>
      </c>
      <c r="E40" s="123">
        <v>1000</v>
      </c>
      <c r="F40" s="124" t="str">
        <f t="shared" si="2"/>
        <v>600281000</v>
      </c>
      <c r="G40" s="125" t="str">
        <f>F40&amp;TEXT(COUNTIF(F$2:F40,F40),"00")</f>
        <v>60028100001</v>
      </c>
      <c r="H40" s="126" t="s">
        <v>328</v>
      </c>
      <c r="I40" s="126">
        <v>1</v>
      </c>
      <c r="J40" s="126" t="s">
        <v>340</v>
      </c>
      <c r="K40" s="126">
        <v>0</v>
      </c>
      <c r="L40" s="126">
        <v>0</v>
      </c>
      <c r="M40" s="126">
        <v>0</v>
      </c>
      <c r="N40" s="126">
        <v>0</v>
      </c>
      <c r="O40" s="126">
        <v>1</v>
      </c>
      <c r="P40" s="126">
        <v>1</v>
      </c>
      <c r="Q40" s="126">
        <v>1</v>
      </c>
      <c r="R40" s="126" t="s">
        <v>335</v>
      </c>
      <c r="S40" s="126" t="s">
        <v>348</v>
      </c>
      <c r="T40" s="126" t="s">
        <v>287</v>
      </c>
      <c r="U40" s="127" t="s">
        <v>351</v>
      </c>
    </row>
    <row r="41" spans="1:21" s="125" customFormat="1" ht="28" x14ac:dyDescent="0.15">
      <c r="A41" s="121">
        <v>60028</v>
      </c>
      <c r="B41" s="122" t="str">
        <f ca="1">VLOOKUP($A41,OFFSET([2]quests!$A$1,0,0,COUNTA([2]quests!$A:$A),MATCH(B$1,[2]quests!$1:$1,0)-MATCH($A$1,[2]quests!$1:$1,0)+1),MATCH(B$1,[2]quests!$1:$1,0)-MATCH($A$1,[2]quests!$1:$1,0)+1,FALSE)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41" s="122" t="str">
        <f ca="1">VLOOKUP($A41,OFFSET([2]quests!$A$1,0,0,COUNTA([2]quests!$A:$A),MATCH(C$1,[2]quests!$1:$1,0)-MATCH($A$1,[2]quests!$1:$1,0)+1),MATCH(C$1,[2]quests!$1:$1,0)-MATCH($A$1,[2]quests!$1:$1,0)+1,FALSE)</f>
        <v>ランキング4（再開催）</v>
      </c>
      <c r="D41" s="121">
        <v>36</v>
      </c>
      <c r="E41" s="123">
        <v>1000</v>
      </c>
      <c r="F41" s="124" t="str">
        <f t="shared" si="2"/>
        <v>600281000</v>
      </c>
      <c r="G41" s="125" t="str">
        <f>F41&amp;TEXT(COUNTIF(F$2:F41,F41),"00")</f>
        <v>60028100002</v>
      </c>
      <c r="H41" s="126" t="s">
        <v>331</v>
      </c>
      <c r="I41" s="126">
        <v>1000</v>
      </c>
      <c r="J41" s="126" t="s">
        <v>329</v>
      </c>
      <c r="K41" s="126">
        <v>0</v>
      </c>
      <c r="L41" s="126">
        <v>0</v>
      </c>
      <c r="M41" s="126">
        <v>0</v>
      </c>
      <c r="N41" s="126">
        <v>0</v>
      </c>
      <c r="O41" s="126">
        <v>1</v>
      </c>
      <c r="P41" s="126">
        <v>1</v>
      </c>
      <c r="Q41" s="126">
        <v>1</v>
      </c>
      <c r="R41" s="126" t="s">
        <v>326</v>
      </c>
      <c r="S41" s="126" t="s">
        <v>349</v>
      </c>
      <c r="T41" s="126" t="s">
        <v>287</v>
      </c>
      <c r="U41" s="127" t="s">
        <v>351</v>
      </c>
    </row>
    <row r="42" spans="1:21" s="125" customFormat="1" ht="28" x14ac:dyDescent="0.15">
      <c r="A42" s="121">
        <v>60028</v>
      </c>
      <c r="B42" s="122" t="str">
        <f ca="1">VLOOKUP($A42,OFFSET([2]quests!$A$1,0,0,COUNTA([2]quests!$A:$A),MATCH(B$1,[2]quests!$1:$1,0)-MATCH($A$1,[2]quests!$1:$1,0)+1),MATCH(B$1,[2]quests!$1:$1,0)-MATCH($A$1,[2]quests!$1:$1,0)+1,FALSE)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42" s="122" t="str">
        <f ca="1">VLOOKUP($A42,OFFSET([2]quests!$A$1,0,0,COUNTA([2]quests!$A:$A),MATCH(C$1,[2]quests!$1:$1,0)-MATCH($A$1,[2]quests!$1:$1,0)+1),MATCH(C$1,[2]quests!$1:$1,0)-MATCH($A$1,[2]quests!$1:$1,0)+1,FALSE)</f>
        <v>ランキング4（再開催）</v>
      </c>
      <c r="D42" s="121">
        <v>36</v>
      </c>
      <c r="E42" s="123">
        <v>1000</v>
      </c>
      <c r="F42" s="124" t="str">
        <f t="shared" si="2"/>
        <v>600281000</v>
      </c>
      <c r="G42" s="125" t="str">
        <f>F42&amp;TEXT(COUNTIF(F$2:F42,F42),"00")</f>
        <v>60028100003</v>
      </c>
      <c r="H42" s="126" t="s">
        <v>342</v>
      </c>
      <c r="I42" s="126">
        <v>100000</v>
      </c>
      <c r="J42" s="126" t="s">
        <v>340</v>
      </c>
      <c r="K42" s="126">
        <v>0</v>
      </c>
      <c r="L42" s="126">
        <v>0</v>
      </c>
      <c r="M42" s="126">
        <v>0</v>
      </c>
      <c r="N42" s="126">
        <v>0</v>
      </c>
      <c r="O42" s="126">
        <v>1</v>
      </c>
      <c r="P42" s="126">
        <v>1</v>
      </c>
      <c r="Q42" s="126">
        <v>1</v>
      </c>
      <c r="R42" s="126" t="s">
        <v>335</v>
      </c>
      <c r="S42" s="126" t="s">
        <v>350</v>
      </c>
      <c r="T42" s="126" t="s">
        <v>287</v>
      </c>
      <c r="U42" s="127" t="s">
        <v>351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0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W5" sqref="W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26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 collapsed="1"/>
    <col min="29" max="29" width="8.83203125" style="13" hidden="1" customWidth="1" outlineLevel="1"/>
    <col min="30" max="30" width="8" style="14" hidden="1" customWidth="1" outlineLevel="1"/>
    <col min="31" max="31" width="12" style="14" hidden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177</v>
      </c>
    </row>
    <row r="2" spans="1:40" ht="21" customHeight="1" x14ac:dyDescent="0.15">
      <c r="A2" s="16" t="str">
        <f>B2&amp;"_"&amp;C2&amp;"-"&amp;G2&amp;"/"&amp;L2&amp;"&lt;lv"&amp;R2&amp;"&gt;s"&amp;AA2</f>
        <v>60028_1-1/7&lt;lv55&gt;s2</v>
      </c>
      <c r="B2" s="22">
        <v>60028</v>
      </c>
      <c r="C2" s="21">
        <v>1</v>
      </c>
      <c r="D2" s="2" t="str">
        <f>B2&amp;"_"&amp;C2</f>
        <v>60028_1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2" s="4" t="str">
        <f ca="1">VLOOKUP($D2,OFFSET([2]stages!$A$1,0,0,COUNTA([2]stages!$A:$A),MATCH(F$1,[2]stages!$2:$2,0)-MATCH($D$1,[2]stages!$2:$2,0)+1),MATCH(F$1,[2]stages!$2:$2,0)-MATCH($D$1,[2]stages!$2:$2,0)+1,FALSE)</f>
        <v>クロネッカーチャレンジ</v>
      </c>
      <c r="G2" s="21">
        <v>1</v>
      </c>
      <c r="H2" s="15" t="str">
        <f>B2&amp;"_"&amp;C2&amp;"-"&amp;G2</f>
        <v>60028_1-1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8" t="s">
        <v>53</v>
      </c>
      <c r="L2" s="20">
        <v>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エレキポット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55</v>
      </c>
      <c r="S2" s="25">
        <v>0.8</v>
      </c>
      <c r="T2" s="25">
        <v>0.8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v>0</v>
      </c>
      <c r="X2" s="6">
        <v>1</v>
      </c>
      <c r="Y2" s="6">
        <v>100</v>
      </c>
      <c r="Z2" s="6">
        <v>0</v>
      </c>
      <c r="AA2" s="17">
        <v>2</v>
      </c>
      <c r="AB2" s="24">
        <f>L2</f>
        <v>7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ca="1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 x14ac:dyDescent="0.15">
      <c r="A3" s="16" t="str">
        <f>B3&amp;"_"&amp;C3&amp;"-"&amp;G3&amp;"/"&amp;L3&amp;"&lt;lv"&amp;R3&amp;"&gt;s"&amp;AA3</f>
        <v>60028_1-1/8&lt;lv55&gt;s1</v>
      </c>
      <c r="B3" s="22">
        <v>60028</v>
      </c>
      <c r="C3" s="21">
        <v>1</v>
      </c>
      <c r="D3" s="2" t="str">
        <f>B3&amp;"_"&amp;C3</f>
        <v>60028_1</v>
      </c>
      <c r="E3" s="4" t="str">
        <f ca="1">VLOOKUP($B3,OFFSET([2]quests!$A$1,0,0,COUNTA([2]quests!$A:$A),MATCH(E$1,[2]quests!$1:$1,0)-MATCH($B$1,[2]quests!$1:$1,0)+1),MATCH(E$1,[2]quests!$1:$1,0)-MATCH($B$1,[2]quests!$1:$1,0)+1,FALSE)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3" s="4" t="str">
        <f ca="1">VLOOKUP($D3,OFFSET([2]stages!$A$1,0,0,COUNTA([2]stages!$A:$A),MATCH(F$1,[2]stages!$2:$2,0)-MATCH($D$1,[2]stages!$2:$2,0)+1),MATCH(F$1,[2]stages!$2:$2,0)-MATCH($D$1,[2]stages!$2:$2,0)+1,FALSE)</f>
        <v>クロネッカーチャレンジ</v>
      </c>
      <c r="G3" s="21">
        <v>1</v>
      </c>
      <c r="H3" s="15" t="str">
        <f>B3&amp;"_"&amp;C3&amp;"-"&amp;G3</f>
        <v>60028_1-1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53</v>
      </c>
      <c r="L3" s="20">
        <v>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ハイボルテージ エレキポット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55</v>
      </c>
      <c r="S3" s="25">
        <v>0.8</v>
      </c>
      <c r="T3" s="25">
        <v>0.8</v>
      </c>
      <c r="U3" s="5">
        <v>0</v>
      </c>
      <c r="V3" s="4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62">
        <v>0</v>
      </c>
      <c r="X3" s="6">
        <v>0</v>
      </c>
      <c r="Y3" s="6">
        <v>100</v>
      </c>
      <c r="Z3" s="6">
        <v>2</v>
      </c>
      <c r="AA3" s="17">
        <v>1</v>
      </c>
      <c r="AB3" s="24">
        <f>L3</f>
        <v>8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ハイボルテージ エレキポット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4">
        <f ca="1">AD3</f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  <row r="4" spans="1:40" ht="21" customHeight="1" x14ac:dyDescent="0.15">
      <c r="A4" s="16" t="str">
        <f t="shared" ref="A4:A10" si="0">B4&amp;"_"&amp;C4&amp;"-"&amp;G4&amp;"/"&amp;L4&amp;"&lt;lv"&amp;R4&amp;"&gt;s"&amp;AA4</f>
        <v>60028_1-1/247&lt;lv55&gt;s2</v>
      </c>
      <c r="B4" s="22">
        <v>60028</v>
      </c>
      <c r="C4" s="21">
        <v>1</v>
      </c>
      <c r="D4" s="2" t="str">
        <f t="shared" ref="D4:D10" si="1">B4&amp;"_"&amp;C4</f>
        <v>60028_1</v>
      </c>
      <c r="E4" s="4" t="str">
        <f ca="1">VLOOKUP($B4,OFFSET([2]quests!$A$1,0,0,COUNTA([2]quests!$A:$A),MATCH(E$1,[2]quests!$1:$1,0)-MATCH($B$1,[2]quests!$1:$1,0)+1),MATCH(E$1,[2]quests!$1:$1,0)-MATCH($B$1,[2]quests!$1:$1,0)+1,FALSE)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4" s="4" t="str">
        <f ca="1">VLOOKUP($D4,OFFSET([2]stages!$A$1,0,0,COUNTA([2]stages!$A:$A),MATCH(F$1,[2]stages!$2:$2,0)-MATCH($D$1,[2]stages!$2:$2,0)+1),MATCH(F$1,[2]stages!$2:$2,0)-MATCH($D$1,[2]stages!$2:$2,0)+1,FALSE)</f>
        <v>クロネッカーチャレンジ</v>
      </c>
      <c r="G4" s="21">
        <v>1</v>
      </c>
      <c r="H4" s="15" t="str">
        <f t="shared" ref="H4:H10" si="2">B4&amp;"_"&amp;C4&amp;"-"&amp;G4</f>
        <v>60028_1-1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8" t="s">
        <v>53</v>
      </c>
      <c r="L4" s="20">
        <v>247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ミカエル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55</v>
      </c>
      <c r="S4" s="25">
        <v>0.7</v>
      </c>
      <c r="T4" s="25">
        <v>0.8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状態異常耐性</v>
      </c>
      <c r="W4" s="62">
        <v>60028001</v>
      </c>
      <c r="X4" s="6">
        <v>0</v>
      </c>
      <c r="Y4" s="6">
        <v>100</v>
      </c>
      <c r="Z4" s="6">
        <v>1</v>
      </c>
      <c r="AA4" s="17">
        <v>2</v>
      </c>
      <c r="AB4" s="24">
        <f t="shared" ref="AB4:AB10" si="3">L4</f>
        <v>247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ミカエル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7">
        <v>1</v>
      </c>
      <c r="AG4" s="24">
        <f t="shared" ref="AG4:AG10" ca="1" si="4">AD4</f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70">
        <v>1</v>
      </c>
    </row>
    <row r="5" spans="1:40" ht="21" customHeight="1" x14ac:dyDescent="0.15">
      <c r="A5" s="16" t="str">
        <f t="shared" ref="A5" si="5">B5&amp;"_"&amp;C5&amp;"-"&amp;G5&amp;"/"&amp;L5&amp;"&lt;lv"&amp;R5&amp;"&gt;s"&amp;AA5</f>
        <v>60028_1-2/760&lt;lv60&gt;s2</v>
      </c>
      <c r="B5" s="22">
        <v>60028</v>
      </c>
      <c r="C5" s="21">
        <v>1</v>
      </c>
      <c r="D5" s="2" t="str">
        <f t="shared" ref="D5" si="6">B5&amp;"_"&amp;C5</f>
        <v>60028_1</v>
      </c>
      <c r="E5" s="4" t="str">
        <f ca="1">VLOOKUP($B5,OFFSET([2]quests!$A$1,0,0,COUNTA([2]quests!$A:$A),MATCH(E$1,[2]quests!$1:$1,0)-MATCH($B$1,[2]quests!$1:$1,0)+1),MATCH(E$1,[2]quests!$1:$1,0)-MATCH($B$1,[2]quests!$1:$1,0)+1,FALSE)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5" s="4" t="str">
        <f ca="1">VLOOKUP($D5,OFFSET([2]stages!$A$1,0,0,COUNTA([2]stages!$A:$A),MATCH(F$1,[2]stages!$2:$2,0)-MATCH($D$1,[2]stages!$2:$2,0)+1),MATCH(F$1,[2]stages!$2:$2,0)-MATCH($D$1,[2]stages!$2:$2,0)+1,FALSE)</f>
        <v>クロネッカーチャレンジ</v>
      </c>
      <c r="G5" s="21">
        <v>2</v>
      </c>
      <c r="H5" s="15" t="str">
        <f t="shared" ref="H5" si="7">B5&amp;"_"&amp;C5&amp;"-"&amp;G5</f>
        <v>60028_1-2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760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限論顕現 クロネッカー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60</v>
      </c>
      <c r="S5" s="25">
        <v>2.5</v>
      </c>
      <c r="T5" s="146">
        <v>0.7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状態異常耐性+_x000D_種族ヒューマンと種族マシンに10ターンスキルバインド</v>
      </c>
      <c r="W5" s="47">
        <v>60028011</v>
      </c>
      <c r="X5" s="6">
        <v>0</v>
      </c>
      <c r="Y5" s="6">
        <v>100</v>
      </c>
      <c r="Z5" s="6">
        <v>1</v>
      </c>
      <c r="AA5" s="17">
        <v>2</v>
      </c>
      <c r="AB5" s="24">
        <f t="shared" ref="AB5" si="8">L5</f>
        <v>760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限論顕現 クロネッカー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5" s="7">
        <v>1</v>
      </c>
      <c r="AG5" s="24">
        <f t="shared" ref="AG5" ca="1" si="9">AD5</f>
        <v>5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70">
        <v>1</v>
      </c>
    </row>
    <row r="6" spans="1:40" ht="21" customHeight="1" x14ac:dyDescent="0.15">
      <c r="A6" s="16" t="str">
        <f t="shared" si="0"/>
        <v>60028_1-3/163&lt;lv60&gt;s2</v>
      </c>
      <c r="B6" s="22">
        <v>60028</v>
      </c>
      <c r="C6" s="21">
        <v>1</v>
      </c>
      <c r="D6" s="2" t="str">
        <f t="shared" si="1"/>
        <v>60028_1</v>
      </c>
      <c r="E6" s="4" t="str">
        <f ca="1">VLOOKUP($B6,OFFSET([2]quests!$A$1,0,0,COUNTA([2]quests!$A:$A),MATCH(E$1,[2]quests!$1:$1,0)-MATCH($B$1,[2]quests!$1:$1,0)+1),MATCH(E$1,[2]quests!$1:$1,0)-MATCH($B$1,[2]quests!$1:$1,0)+1,FALSE)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6" s="4" t="str">
        <f ca="1">VLOOKUP($D6,OFFSET([2]stages!$A$1,0,0,COUNTA([2]stages!$A:$A),MATCH(F$1,[2]stages!$2:$2,0)-MATCH($D$1,[2]stages!$2:$2,0)+1),MATCH(F$1,[2]stages!$2:$2,0)-MATCH($D$1,[2]stages!$2:$2,0)+1,FALSE)</f>
        <v>クロネッカーチャレンジ</v>
      </c>
      <c r="G6" s="21">
        <v>3</v>
      </c>
      <c r="H6" s="15" t="str">
        <f t="shared" si="2"/>
        <v>60028_1-3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163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冷酷な狂嬢 クララ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146">
        <v>3</v>
      </c>
      <c r="T6" s="25">
        <v>0.7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全体攻撃</v>
      </c>
      <c r="W6" s="62">
        <v>60028002</v>
      </c>
      <c r="X6" s="6">
        <v>0</v>
      </c>
      <c r="Y6" s="6">
        <v>100</v>
      </c>
      <c r="Z6" s="6">
        <v>1</v>
      </c>
      <c r="AA6" s="17">
        <v>2</v>
      </c>
      <c r="AB6" s="24">
        <f t="shared" si="3"/>
        <v>163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冷酷な狂嬢 クララ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70">
        <v>1</v>
      </c>
    </row>
    <row r="7" spans="1:40" ht="21" customHeight="1" x14ac:dyDescent="0.15">
      <c r="A7" s="16" t="str">
        <f t="shared" si="0"/>
        <v>60028_1-3/730&lt;lv60&gt;s1</v>
      </c>
      <c r="B7" s="22">
        <v>60028</v>
      </c>
      <c r="C7" s="21">
        <v>1</v>
      </c>
      <c r="D7" s="2" t="str">
        <f t="shared" si="1"/>
        <v>60028_1</v>
      </c>
      <c r="E7" s="4" t="str">
        <f ca="1">VLOOKUP($B7,OFFSET([2]quests!$A$1,0,0,COUNTA([2]quests!$A:$A),MATCH(E$1,[2]quests!$1:$1,0)-MATCH($B$1,[2]quests!$1:$1,0)+1),MATCH(E$1,[2]quests!$1:$1,0)-MATCH($B$1,[2]quests!$1:$1,0)+1,FALSE)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7" s="4" t="str">
        <f ca="1">VLOOKUP($D7,OFFSET([2]stages!$A$1,0,0,COUNTA([2]stages!$A:$A),MATCH(F$1,[2]stages!$2:$2,0)-MATCH($D$1,[2]stages!$2:$2,0)+1),MATCH(F$1,[2]stages!$2:$2,0)-MATCH($D$1,[2]stages!$2:$2,0)+1,FALSE)</f>
        <v>クロネッカーチャレンジ</v>
      </c>
      <c r="G7" s="21">
        <v>3</v>
      </c>
      <c r="H7" s="15" t="str">
        <f t="shared" si="2"/>
        <v>60028_1-3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730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ガラシャ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60</v>
      </c>
      <c r="S7" s="146">
        <v>3</v>
      </c>
      <c r="T7" s="25">
        <v>0.7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青パネルを吸収して全体攻撃</v>
      </c>
      <c r="W7" s="62">
        <v>60028003</v>
      </c>
      <c r="X7" s="6">
        <v>0</v>
      </c>
      <c r="Y7" s="6">
        <v>100</v>
      </c>
      <c r="Z7" s="6">
        <v>2</v>
      </c>
      <c r="AA7" s="17">
        <v>1</v>
      </c>
      <c r="AB7" s="24">
        <f t="shared" si="3"/>
        <v>730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ガラシャ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4">
        <f t="shared" ca="1" si="4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70">
        <v>1</v>
      </c>
    </row>
    <row r="8" spans="1:40" ht="21" customHeight="1" x14ac:dyDescent="0.15">
      <c r="A8" s="16" t="str">
        <f t="shared" si="0"/>
        <v>60028_1-4/312&lt;lv60&gt;s2</v>
      </c>
      <c r="B8" s="22">
        <v>60028</v>
      </c>
      <c r="C8" s="21">
        <v>1</v>
      </c>
      <c r="D8" s="2" t="str">
        <f t="shared" si="1"/>
        <v>60028_1</v>
      </c>
      <c r="E8" s="4" t="str">
        <f ca="1">VLOOKUP($B8,OFFSET([2]quests!$A$1,0,0,COUNTA([2]quests!$A:$A),MATCH(E$1,[2]quests!$1:$1,0)-MATCH($B$1,[2]quests!$1:$1,0)+1),MATCH(E$1,[2]quests!$1:$1,0)-MATCH($B$1,[2]quests!$1:$1,0)+1,FALSE)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8" s="4" t="str">
        <f ca="1">VLOOKUP($D8,OFFSET([2]stages!$A$1,0,0,COUNTA([2]stages!$A:$A),MATCH(F$1,[2]stages!$2:$2,0)-MATCH($D$1,[2]stages!$2:$2,0)+1),MATCH(F$1,[2]stages!$2:$2,0)-MATCH($D$1,[2]stages!$2:$2,0)+1,FALSE)</f>
        <v>クロネッカーチャレンジ</v>
      </c>
      <c r="G8" s="21">
        <v>4</v>
      </c>
      <c r="H8" s="15" t="str">
        <f t="shared" si="2"/>
        <v>60028_1-4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312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アノマロカリス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25">
        <v>2.7</v>
      </c>
      <c r="T8" s="146">
        <v>0.8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ランダムでお邪魔パネルに最大2個変換</v>
      </c>
      <c r="W8" s="62">
        <v>60028005</v>
      </c>
      <c r="X8" s="6">
        <v>0</v>
      </c>
      <c r="Y8" s="6">
        <v>100</v>
      </c>
      <c r="Z8" s="6">
        <v>2</v>
      </c>
      <c r="AA8" s="17">
        <v>2</v>
      </c>
      <c r="AB8" s="24">
        <f t="shared" si="3"/>
        <v>312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アノマロカリス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Drop2N</v>
      </c>
      <c r="AF8" s="7">
        <v>1</v>
      </c>
      <c r="AG8" s="24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70">
        <v>1</v>
      </c>
    </row>
    <row r="9" spans="1:40" ht="21" customHeight="1" x14ac:dyDescent="0.15">
      <c r="A9" s="16" t="str">
        <f t="shared" si="0"/>
        <v>60028_1-4/604&lt;lv60&gt;s2</v>
      </c>
      <c r="B9" s="22">
        <v>60028</v>
      </c>
      <c r="C9" s="21">
        <v>1</v>
      </c>
      <c r="D9" s="2" t="str">
        <f t="shared" si="1"/>
        <v>60028_1</v>
      </c>
      <c r="E9" s="4" t="str">
        <f ca="1">VLOOKUP($B9,OFFSET([2]quests!$A$1,0,0,COUNTA([2]quests!$A:$A),MATCH(E$1,[2]quests!$1:$1,0)-MATCH($B$1,[2]quests!$1:$1,0)+1),MATCH(E$1,[2]quests!$1:$1,0)-MATCH($B$1,[2]quests!$1:$1,0)+1,FALSE)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9" s="4" t="str">
        <f ca="1">VLOOKUP($D9,OFFSET([2]stages!$A$1,0,0,COUNTA([2]stages!$A:$A),MATCH(F$1,[2]stages!$2:$2,0)-MATCH($D$1,[2]stages!$2:$2,0)+1),MATCH(F$1,[2]stages!$2:$2,0)-MATCH($D$1,[2]stages!$2:$2,0)+1,FALSE)</f>
        <v>クロネッカーチャレンジ</v>
      </c>
      <c r="G9" s="21">
        <v>4</v>
      </c>
      <c r="H9" s="15" t="str">
        <f t="shared" si="2"/>
        <v>60028_1-4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20">
        <v>604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バルドル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25</v>
      </c>
      <c r="R9" s="5">
        <v>60</v>
      </c>
      <c r="S9" s="25">
        <v>2.7</v>
      </c>
      <c r="T9" s="25">
        <v>1.3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5ターン全ユニットのボムの爆風を20％DOWN</v>
      </c>
      <c r="W9" s="62">
        <v>60028004</v>
      </c>
      <c r="X9" s="6">
        <v>0</v>
      </c>
      <c r="Y9" s="6">
        <v>100</v>
      </c>
      <c r="Z9" s="6">
        <v>1</v>
      </c>
      <c r="AA9" s="17">
        <v>2</v>
      </c>
      <c r="AB9" s="24">
        <f t="shared" si="3"/>
        <v>604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バルドル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9" s="7">
        <v>1</v>
      </c>
      <c r="AG9" s="24">
        <f t="shared" ca="1" si="4"/>
        <v>3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70">
        <v>1</v>
      </c>
    </row>
    <row r="10" spans="1:40" ht="21" customHeight="1" x14ac:dyDescent="0.15">
      <c r="A10" s="16" t="str">
        <f t="shared" si="0"/>
        <v>60028_1-5/760&lt;lv60&gt;s2</v>
      </c>
      <c r="B10" s="22">
        <v>60028</v>
      </c>
      <c r="C10" s="21">
        <v>1</v>
      </c>
      <c r="D10" s="2" t="str">
        <f t="shared" si="1"/>
        <v>60028_1</v>
      </c>
      <c r="E10" s="4" t="str">
        <f ca="1">VLOOKUP($B10,OFFSET([2]quests!$A$1,0,0,COUNTA([2]quests!$A:$A),MATCH(E$1,[2]quests!$1:$1,0)-MATCH($B$1,[2]quests!$1:$1,0)+1),MATCH(E$1,[2]quests!$1:$1,0)-MATCH($B$1,[2]quests!$1:$1,0)+1,FALSE)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10" s="4" t="str">
        <f ca="1">VLOOKUP($D10,OFFSET([2]stages!$A$1,0,0,COUNTA([2]stages!$A:$A),MATCH(F$1,[2]stages!$2:$2,0)-MATCH($D$1,[2]stages!$2:$2,0)+1),MATCH(F$1,[2]stages!$2:$2,0)-MATCH($D$1,[2]stages!$2:$2,0)+1,FALSE)</f>
        <v>クロネッカーチャレンジ</v>
      </c>
      <c r="G10" s="21">
        <v>5</v>
      </c>
      <c r="H10" s="15" t="str">
        <f t="shared" si="2"/>
        <v>60028_1-5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3</v>
      </c>
      <c r="L10" s="20">
        <v>760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限論顕現 クロネッカー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60</v>
      </c>
      <c r="S10" s="146">
        <v>4.5</v>
      </c>
      <c r="T10" s="146">
        <v>0.7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状態異常耐性+_x000D_1ターン自身の攻撃頻度UP</v>
      </c>
      <c r="W10" s="62">
        <v>60028008</v>
      </c>
      <c r="X10" s="6">
        <v>0</v>
      </c>
      <c r="Y10" s="6">
        <v>100</v>
      </c>
      <c r="Z10" s="6">
        <v>1</v>
      </c>
      <c r="AA10" s="17">
        <v>2</v>
      </c>
      <c r="AB10" s="24">
        <f t="shared" si="3"/>
        <v>760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限論顕現 クロネッカー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10" s="7">
        <v>1</v>
      </c>
      <c r="AG10" s="24">
        <f t="shared" ca="1" si="4"/>
        <v>5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70">
        <v>1</v>
      </c>
    </row>
  </sheetData>
  <sheetProtection selectLockedCells="1" selectUnlockedCells="1"/>
  <autoFilter ref="B1:AH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75" zoomScaleNormal="75" zoomScalePageLayoutView="75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Q18" sqref="Q1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60028_1-4/312&lt;lv60&gt;sq1st2</v>
      </c>
      <c r="B2" s="22">
        <v>60028</v>
      </c>
      <c r="C2" s="21">
        <v>1</v>
      </c>
      <c r="D2" s="2" t="str">
        <f>B2&amp;"_"&amp;C2</f>
        <v>60028_1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2" s="4" t="str">
        <f ca="1">VLOOKUP($D2,OFFSET([2]stages!$A$1,0,0,COUNTA([2]stages!$A:$A),MATCH(F$1,[2]stages!$2:$2,0)-MATCH($D$1,[2]stages!$2:$2,0)+1),MATCH(F$1,[2]stages!$2:$2,0)-MATCH($D$1,[2]stages!$2:$2,0)+1,FALSE)</f>
        <v>クロネッカーチャレンジ</v>
      </c>
      <c r="G2" s="21">
        <v>4</v>
      </c>
      <c r="H2" s="15" t="str">
        <f>B2&amp;"_"&amp;C2&amp;"-"&amp;G2</f>
        <v>60028_1-4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312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アノマロカリス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60</v>
      </c>
      <c r="T2" s="25">
        <v>2.8</v>
      </c>
      <c r="U2" s="25">
        <v>1</v>
      </c>
      <c r="V2" s="5">
        <v>0</v>
      </c>
      <c r="W2" s="4"/>
      <c r="X2" s="4">
        <v>60028007</v>
      </c>
      <c r="Y2" s="71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60028_1-4/604&lt;lv60&gt;sq2st2</v>
      </c>
      <c r="B3" s="22">
        <v>60028</v>
      </c>
      <c r="C3" s="21">
        <v>1</v>
      </c>
      <c r="D3" s="2" t="str">
        <f t="shared" ref="D3:D4" si="1">B3&amp;"_"&amp;C3</f>
        <v>60028_1</v>
      </c>
      <c r="E3" s="4" t="str">
        <f ca="1">VLOOKUP($B3,OFFSET([2]quests!$A$1,0,0,COUNTA([2]quests!$A:$A),MATCH(E$1,[2]quests!$1:$1,0)-MATCH($B$1,[2]quests!$1:$1,0)+1),MATCH(E$1,[2]quests!$1:$1,0)-MATCH($B$1,[2]quests!$1:$1,0)+1,FALSE)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3" s="4" t="str">
        <f ca="1">VLOOKUP($D3,OFFSET([2]stages!$A$1,0,0,COUNTA([2]stages!$A:$A),MATCH(F$1,[2]stages!$2:$2,0)-MATCH($D$1,[2]stages!$2:$2,0)+1),MATCH(F$1,[2]stages!$2:$2,0)-MATCH($D$1,[2]stages!$2:$2,0)+1,FALSE)</f>
        <v>クロネッカーチャレンジ</v>
      </c>
      <c r="G3" s="21">
        <v>4</v>
      </c>
      <c r="H3" s="15" t="str">
        <f t="shared" ref="H3:H4" si="2">B3&amp;"_"&amp;C3&amp;"-"&amp;G3</f>
        <v>60028_1-4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604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バルドル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25</v>
      </c>
      <c r="S3" s="5">
        <v>60</v>
      </c>
      <c r="T3" s="25">
        <v>2.8</v>
      </c>
      <c r="U3" s="25">
        <v>1.3</v>
      </c>
      <c r="V3" s="5">
        <v>0</v>
      </c>
      <c r="W3" s="4"/>
      <c r="X3" s="4">
        <v>60028006</v>
      </c>
      <c r="Y3" s="71">
        <v>2</v>
      </c>
    </row>
    <row r="4" spans="1:25" ht="21" customHeight="1" x14ac:dyDescent="0.15">
      <c r="A4" s="16" t="str">
        <f t="shared" si="0"/>
        <v>60028_1-5/760&lt;lv60&gt;sq3st2</v>
      </c>
      <c r="B4" s="22">
        <v>60028</v>
      </c>
      <c r="C4" s="21">
        <v>1</v>
      </c>
      <c r="D4" s="2" t="str">
        <f t="shared" si="1"/>
        <v>60028_1</v>
      </c>
      <c r="E4" s="4" t="str">
        <f ca="1">VLOOKUP($B4,OFFSET([2]quests!$A$1,0,0,COUNTA([2]quests!$A:$A),MATCH(E$1,[2]quests!$1:$1,0)-MATCH($B$1,[2]quests!$1:$1,0)+1),MATCH(E$1,[2]quests!$1:$1,0)-MATCH($B$1,[2]quests!$1:$1,0)+1,FALSE)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4" s="4" t="str">
        <f ca="1">VLOOKUP($D4,OFFSET([2]stages!$A$1,0,0,COUNTA([2]stages!$A:$A),MATCH(F$1,[2]stages!$2:$2,0)-MATCH($D$1,[2]stages!$2:$2,0)+1),MATCH(F$1,[2]stages!$2:$2,0)-MATCH($D$1,[2]stages!$2:$2,0)+1,FALSE)</f>
        <v>クロネッカーチャレンジ</v>
      </c>
      <c r="G4" s="21">
        <v>5</v>
      </c>
      <c r="H4" s="15" t="str">
        <f t="shared" si="2"/>
        <v>60028_1-5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760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限論顕現 クロネッカー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146">
        <v>4.5</v>
      </c>
      <c r="U4" s="146">
        <v>0.7</v>
      </c>
      <c r="V4" s="5">
        <v>0</v>
      </c>
      <c r="W4" s="4"/>
      <c r="X4" s="4">
        <v>60028009</v>
      </c>
      <c r="Y4" s="71">
        <v>1</v>
      </c>
    </row>
    <row r="5" spans="1:25" ht="21" customHeight="1" x14ac:dyDescent="0.15">
      <c r="A5" s="16" t="str">
        <f t="shared" ref="A5" si="3">B5&amp;"_"&amp;C5&amp;"-"&amp;G5&amp;"/"&amp;M5&amp;"&lt;lv"&amp;S5&amp;"&gt;sq"&amp;K5&amp;"st"&amp;L5</f>
        <v>60028_1-5/761&lt;lv60&gt;sq3st3</v>
      </c>
      <c r="B5" s="22">
        <v>60028</v>
      </c>
      <c r="C5" s="21">
        <v>1</v>
      </c>
      <c r="D5" s="2" t="str">
        <f t="shared" ref="D5" si="4">B5&amp;"_"&amp;C5</f>
        <v>60028_1</v>
      </c>
      <c r="E5" s="4" t="str">
        <f ca="1">VLOOKUP($B5,OFFSET([2]quests!$A$1,0,0,COUNTA([2]quests!$A:$A),MATCH(E$1,[2]quests!$1:$1,0)-MATCH($B$1,[2]quests!$1:$1,0)+1),MATCH(E$1,[2]quests!$1:$1,0)-MATCH($B$1,[2]quests!$1:$1,0)+1,FALSE)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5" s="4" t="str">
        <f ca="1">VLOOKUP($D5,OFFSET([2]stages!$A$1,0,0,COUNTA([2]stages!$A:$A),MATCH(F$1,[2]stages!$2:$2,0)-MATCH($D$1,[2]stages!$2:$2,0)+1),MATCH(F$1,[2]stages!$2:$2,0)-MATCH($D$1,[2]stages!$2:$2,0)+1,FALSE)</f>
        <v>クロネッカーチャレンジ</v>
      </c>
      <c r="G5" s="21">
        <v>5</v>
      </c>
      <c r="H5" s="15" t="str">
        <f t="shared" ref="H5" si="5">B5&amp;"_"&amp;C5&amp;"-"&amp;G5</f>
        <v>60028_1-5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3</v>
      </c>
      <c r="M5" s="20">
        <v>761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唯限の崇嬢 クロネッカー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146">
        <v>4.5</v>
      </c>
      <c r="U5" s="146">
        <v>0.7</v>
      </c>
      <c r="V5" s="5">
        <v>0</v>
      </c>
      <c r="W5" s="4"/>
      <c r="X5" s="4">
        <v>60028010</v>
      </c>
      <c r="Y5" s="71">
        <v>1</v>
      </c>
    </row>
  </sheetData>
  <sheetProtection selectLockedCells="1" selectUnlockedCells="1"/>
  <autoFilter ref="B1:Y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6"/>
  <sheetViews>
    <sheetView showGridLines="0" zoomScale="117" zoomScaleNormal="117" zoomScalePageLayoutView="117" workbookViewId="0">
      <pane xSplit="5" ySplit="1" topLeftCell="F21" activePane="bottomRight" state="frozen"/>
      <selection pane="topRight"/>
      <selection pane="bottomLeft"/>
      <selection pane="bottomRight" activeCell="D25" sqref="D25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customWidth="1" outlineLevel="1"/>
    <col min="6" max="6" width="10.83203125" style="49" bestFit="1" customWidth="1"/>
    <col min="7" max="7" width="8.33203125" style="49" customWidth="1" outlineLevel="1"/>
    <col min="8" max="9" width="12.83203125" style="49" customWidth="1" outlineLevel="1"/>
    <col min="10" max="10" width="17.6640625" style="49" customWidth="1" outlineLevel="1"/>
    <col min="11" max="15" width="12.83203125" style="49" customWidth="1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60028001_60028001</v>
      </c>
      <c r="B2" s="47">
        <v>60028001</v>
      </c>
      <c r="C2" s="47">
        <v>60028001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ターゲット確認っ！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" s="47">
        <v>60028001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4" si="1">B3&amp;"_"&amp;C3</f>
        <v>60028001_60028042</v>
      </c>
      <c r="B3" s="47">
        <v>60028001</v>
      </c>
      <c r="C3" s="47">
        <v>60028042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作戦準備オーケー！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自身の攻撃頻度UP+単体攻撃</v>
      </c>
      <c r="F3" s="47">
        <v>60028042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60028001_60028043</v>
      </c>
      <c r="B4" s="47">
        <v>60028001</v>
      </c>
      <c r="C4" s="47">
        <v>60028043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全域にジャミングします！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4ターンハートパネル無効+単体攻撃_x000D_【！】次のターン超強力な攻撃【！】</v>
      </c>
      <c r="F4" s="47">
        <v>60028043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" si="2">B5&amp;"_"&amp;C5</f>
        <v>60028001_60028045</v>
      </c>
      <c r="B5" s="47">
        <v>60028001</v>
      </c>
      <c r="C5" s="47">
        <v>60028045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限界突破！殲滅します！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60000固定ダメージの単体攻撃</v>
      </c>
      <c r="F5" s="47">
        <v>60028044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60028002_60028003</v>
      </c>
      <c r="B6" s="47">
        <v>60028002</v>
      </c>
      <c r="C6" s="47">
        <v>60028003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チェーンブレード！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47">
        <v>60028003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6" s="47"/>
      <c r="Q6" s="47"/>
      <c r="R6" s="47"/>
    </row>
    <row r="7" spans="1:18" ht="21" customHeight="1" x14ac:dyDescent="0.15">
      <c r="A7" s="39" t="str">
        <f t="shared" si="1"/>
        <v>60028002_60028004</v>
      </c>
      <c r="B7" s="47">
        <v>60028002</v>
      </c>
      <c r="C7" s="47">
        <v>60028004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クラクラするでしょ？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" s="47">
        <v>60028004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60028003_60028005</v>
      </c>
      <c r="B8" s="47">
        <v>60028003</v>
      </c>
      <c r="C8" s="47">
        <v>60028005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奇跡を見せますっ！！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8" s="47">
        <v>60028005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8" s="47"/>
      <c r="Q8" s="47"/>
      <c r="R8" s="47"/>
    </row>
    <row r="9" spans="1:18" ht="21" customHeight="1" x14ac:dyDescent="0.15">
      <c r="A9" s="39" t="str">
        <f t="shared" si="1"/>
        <v>60028003_60028006</v>
      </c>
      <c r="B9" s="47">
        <v>60028003</v>
      </c>
      <c r="C9" s="47">
        <v>60028006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あなた達すごいですっ！！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次のターンに強力な攻撃</v>
      </c>
      <c r="F9" s="47">
        <v>60028006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60028003_60028007</v>
      </c>
      <c r="B10" s="47">
        <v>60028003</v>
      </c>
      <c r="C10" s="47">
        <v>60028007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祝福と洗礼ですっ！！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ランダムでハートパネルに最大12個変換 +_x000D_クリティカル！</v>
      </c>
      <c r="F10" s="47">
        <v>60028007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60028004_60028008</v>
      </c>
      <c r="B11" s="47">
        <v>60028004</v>
      </c>
      <c r="C11" s="47">
        <v>60028008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ここは…僕が守るから…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5ターン全ユニットのボムの爆風を20％DOWN</v>
      </c>
      <c r="F11" s="47">
        <v>60028008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60028004_60028009</v>
      </c>
      <c r="B12" s="47">
        <v>60028004</v>
      </c>
      <c r="C12" s="47">
        <v>60028009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作られたものは…脆弱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1ターン自身の防御力UP+_x000D_種族マシンのユニットに大ダメージの単体攻撃</v>
      </c>
      <c r="F12" s="47">
        <v>60028009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60028004_60028010</v>
      </c>
      <c r="B13" s="47">
        <v>60028004</v>
      </c>
      <c r="C13" s="47">
        <v>60028010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僕、強くなる…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1ターン全ユニットの攻撃をカウンター</v>
      </c>
      <c r="F13" s="47">
        <v>60028010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60028005_60028011</v>
      </c>
      <c r="B14" s="47">
        <v>60028005</v>
      </c>
      <c r="C14" s="47">
        <v>60028011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エッグ・フォッシル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</v>
      </c>
      <c r="F14" s="47">
        <v>60028011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4" s="47"/>
      <c r="Q14" s="47"/>
      <c r="R14" s="47"/>
    </row>
    <row r="15" spans="1:18" ht="21" customHeight="1" x14ac:dyDescent="0.15">
      <c r="A15" s="39" t="str">
        <f t="shared" si="1"/>
        <v>60028005_60028012</v>
      </c>
      <c r="B15" s="47">
        <v>60028005</v>
      </c>
      <c r="C15" s="47">
        <v>60028012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きみ、食べていーい？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" s="47">
        <v>60028012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60028005_60028013</v>
      </c>
      <c r="B16" s="47">
        <v>60028005</v>
      </c>
      <c r="C16" s="47">
        <v>60028013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ウォーターライド！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16" s="47">
        <v>60028013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60028006_60028014</v>
      </c>
      <c r="B17" s="47">
        <v>60028006</v>
      </c>
      <c r="C17" s="47">
        <v>60028014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僕がちゃんと守る…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5ターン全ユニットのボムの爆風を30％DOWN</v>
      </c>
      <c r="F17" s="47">
        <v>60028014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60028006_60028015</v>
      </c>
      <c r="B18" s="47">
        <v>60028006</v>
      </c>
      <c r="C18" s="47">
        <v>60028015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それ、壊さないで…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 xml:space="preserve">青パネルをプロテクト+単体攻撃 </v>
      </c>
      <c r="F18" s="47">
        <v>60028015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8" s="47"/>
      <c r="Q18" s="47"/>
      <c r="R18" s="47"/>
    </row>
    <row r="19" spans="1:18" ht="21" customHeight="1" x14ac:dyDescent="0.15">
      <c r="A19" s="39" t="str">
        <f t="shared" si="1"/>
        <v>60028006_60028016</v>
      </c>
      <c r="B19" s="47">
        <v>60028006</v>
      </c>
      <c r="C19" s="47">
        <v>60028016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ここで終われない…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1ターン自身の攻撃頻度UP</v>
      </c>
      <c r="F19" s="47">
        <v>60028016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60028006_60028017</v>
      </c>
      <c r="B20" s="47">
        <v>60028006</v>
      </c>
      <c r="C20" s="47">
        <v>60028017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癒しの光を…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青パネルを吸収して回復</v>
      </c>
      <c r="F20" s="47">
        <v>60028017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60028007_60028018</v>
      </c>
      <c r="B21" s="47">
        <v>60028007</v>
      </c>
      <c r="C21" s="47">
        <v>60028018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激流に乗ってこー！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21" s="47">
        <v>60028018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60028007_60028019</v>
      </c>
      <c r="B22" s="47">
        <v>60028007</v>
      </c>
      <c r="C22" s="47">
        <v>60028019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大事にしてね？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</v>
      </c>
      <c r="F22" s="47">
        <v>60028019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2" s="47"/>
      <c r="Q22" s="47"/>
      <c r="R22" s="47"/>
    </row>
    <row r="23" spans="1:18" ht="21" customHeight="1" x14ac:dyDescent="0.15">
      <c r="A23" s="39" t="str">
        <f t="shared" si="1"/>
        <v>60028007_60028020</v>
      </c>
      <c r="B23" s="47">
        <v>60028007</v>
      </c>
      <c r="C23" s="47">
        <v>60028020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きみたち食べちゃうぞ！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3" s="47">
        <v>60028020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60028007_60028021</v>
      </c>
      <c r="B24" s="47">
        <v>60028007</v>
      </c>
      <c r="C24" s="47">
        <v>60028021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本気、見せちゃう！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24" s="47">
        <v>60028021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60028008_60028022</v>
      </c>
      <c r="B25" s="47">
        <v>60028008</v>
      </c>
      <c r="C25" s="47">
        <v>60028022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あなたは[player_ranking_grade]なのね？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状態異常耐性+_x000D_1ターン自身の攻撃頻度UP</v>
      </c>
      <c r="F25" s="47">
        <v>60028022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60028008_60028023</v>
      </c>
      <c r="B26" s="47">
        <v>60028008</v>
      </c>
      <c r="C26" s="47">
        <v>60028023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容赦しないわよ！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5ターン全ユニットのボムの爆風を40％DOWN</v>
      </c>
      <c r="F26" s="47">
        <v>60028023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60028008_60028024</v>
      </c>
      <c r="B27" s="47">
        <v>60028008</v>
      </c>
      <c r="C27" s="47">
        <v>60028024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耐えられるかしら？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27" s="47">
        <v>60028024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60028008_60028025</v>
      </c>
      <c r="B28" s="47">
        <v>60028008</v>
      </c>
      <c r="C28" s="47">
        <v>60028025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デルタ・ウィップ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8" s="47">
        <v>60028025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60028008_60028026</v>
      </c>
      <c r="B29" s="47">
        <v>60028008</v>
      </c>
      <c r="C29" s="47">
        <v>60028026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思い通りにはさせないわ！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 xml:space="preserve">赤パネルをプロテクト </v>
      </c>
      <c r="F29" s="47">
        <v>60028026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60028009_60028027</v>
      </c>
      <c r="B30" s="47">
        <v>60028009</v>
      </c>
      <c r="C30" s="47">
        <v>60028027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なるほど…見えてきたわ！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状態異常耐性+_x000D_全ユニットの防御力UPを解除+_x000D_1ターン全属性ダメージ50％軽減</v>
      </c>
      <c r="F30" s="47">
        <v>60028027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60028009_60028028</v>
      </c>
      <c r="B31" s="47">
        <v>60028009</v>
      </c>
      <c r="C31" s="47">
        <v>60028028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フィールド・プロテクト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 xml:space="preserve">Cパネルはプロテクトされてドロップ </v>
      </c>
      <c r="F31" s="47">
        <v>60028028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60028009_60028029</v>
      </c>
      <c r="B32" s="47">
        <v>60028009</v>
      </c>
      <c r="C32" s="47">
        <v>60028029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壊れちゃうかしら？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32" s="47">
        <v>60028029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"/>
        <v>60028009_60028030</v>
      </c>
      <c r="B33" s="47">
        <v>60028009</v>
      </c>
      <c r="C33" s="47">
        <v>60028030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証明完了よ！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3" s="47">
        <v>60028030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60028009_60028031</v>
      </c>
      <c r="B34" s="47">
        <v>60028009</v>
      </c>
      <c r="C34" s="47">
        <v>60028031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ノイズが邪魔ね…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次のターンに赤パネル吸収攻撃</v>
      </c>
      <c r="F34" s="47">
        <v>60028031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ref="A35:A40" si="3">B35&amp;"_"&amp;C35</f>
        <v>60028009_60028032</v>
      </c>
      <c r="B35" s="47">
        <v>60028009</v>
      </c>
      <c r="C35" s="47">
        <v>60028032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残らずデリートするわ！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35" s="47">
        <v>60028032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83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3"/>
        <v>60028010_60028033</v>
      </c>
      <c r="B36" s="47">
        <v>60028010</v>
      </c>
      <c r="C36" s="47">
        <v>60028033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不意打ちさせてもらうわ！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状態異常耐性+_x000D_種族ヒューマンのユニットに大ダメージの2回連続攻撃+_x000D_種族マシンのユニットに大ダメージの2回連続攻撃+_x000D_種族ヒューマンと種族マシンに10ターンスキルバインド</v>
      </c>
      <c r="F36" s="47">
        <v>60028033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3"/>
        <v>60028010_60028034</v>
      </c>
      <c r="B37" s="47">
        <v>60028010</v>
      </c>
      <c r="C37" s="47">
        <v>60028034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食い止めてみせる…！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5ターン全ユニットのボムの爆風を50％DOWN</v>
      </c>
      <c r="F37" s="47">
        <v>60028034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3"/>
        <v>60028010_60028035</v>
      </c>
      <c r="B38" s="47">
        <v>60028010</v>
      </c>
      <c r="C38" s="47">
        <v>60028035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ビシバシいくわよ！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種族ヒューマンのユニットに大ダメージの2回連続攻撃+_x000D_種族マシンのユニットに大ダメージの2回連続攻撃</v>
      </c>
      <c r="F38" s="47">
        <v>60028035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3"/>
        <v>60028010_60028036</v>
      </c>
      <c r="B39" s="47">
        <v>60028010</v>
      </c>
      <c r="C39" s="47">
        <v>60028036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ピンと来たわ！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39" s="47">
        <v>60028036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3"/>
        <v>60028010_60028037</v>
      </c>
      <c r="B40" s="47">
        <v>60028010</v>
      </c>
      <c r="C40" s="47">
        <v>60028037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簡単には終わらせないわよ！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 xml:space="preserve">青パネルをプロテクト </v>
      </c>
      <c r="F40" s="47">
        <v>60028037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" si="4">B41&amp;"_"&amp;C41</f>
        <v>60028010_60028047</v>
      </c>
      <c r="B41" s="47">
        <v>60028010</v>
      </c>
      <c r="C41" s="47">
        <v>60028047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なかなかやるじゃない！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その顔が見たかったわ！</v>
      </c>
      <c r="F41" s="47">
        <v>60028047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ref="A42:A46" si="5">B42&amp;"_"&amp;C42</f>
        <v>60028011_60028038</v>
      </c>
      <c r="B42" s="47">
        <v>60028011</v>
      </c>
      <c r="C42" s="47">
        <v>60028038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シビれさせてあげるわ！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状態異常耐性+_x000D_種族ヒューマンと種族マシンに10ターンスキルバインド</v>
      </c>
      <c r="F42" s="47">
        <v>60028038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5"/>
        <v>60028011_60028039</v>
      </c>
      <c r="B43" s="47">
        <v>60028011</v>
      </c>
      <c r="C43" s="47">
        <v>60028039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耐性テストを開始するわ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種族ヒューマンのユニットに大ダメージの2回連続全体攻撃+_x000D_種族マシンのユニットに大ダメージの2回連続全体攻撃</v>
      </c>
      <c r="F43" s="47">
        <v>60028039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ref="A44" si="6">B44&amp;"_"&amp;C44</f>
        <v>60028011_60028046</v>
      </c>
      <c r="B44" s="47">
        <v>60028011</v>
      </c>
      <c r="C44" s="47">
        <v>60028046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どうかしら？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種族ヒューマンのユニットに大ダメージの2回連続全体攻撃+_x000D_種族マシンのユニットに大ダメージの2回連続全体攻撃+_x000D_種族ヒューマンと種族マシンに10ターンスキルバインド</v>
      </c>
      <c r="F44" s="47">
        <v>60028046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5"/>
        <v>60028011_60028040</v>
      </c>
      <c r="B45" s="47">
        <v>60028011</v>
      </c>
      <c r="C45" s="47">
        <v>60028040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アンチシールド・インパクト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6000固定ダメージの単体攻撃</v>
      </c>
      <c r="F45" s="47">
        <v>60028040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5"/>
        <v>60028011_60028041</v>
      </c>
      <c r="B46" s="47">
        <v>60028011</v>
      </c>
      <c r="C46" s="47">
        <v>60028041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奥で待ってるわ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早く来なさいよね！</v>
      </c>
      <c r="F46" s="47">
        <v>60028041</v>
      </c>
      <c r="G46" s="48">
        <v>0</v>
      </c>
      <c r="H46" s="48" t="s">
        <v>90</v>
      </c>
      <c r="I46" s="48">
        <v>100</v>
      </c>
      <c r="J46" s="48" t="s">
        <v>90</v>
      </c>
      <c r="K46" s="48" t="s">
        <v>90</v>
      </c>
      <c r="L46" s="48">
        <v>0</v>
      </c>
      <c r="M46" s="48" t="s">
        <v>90</v>
      </c>
      <c r="N46" s="48">
        <v>0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</sheetData>
  <autoFilter ref="A1:R1"/>
  <phoneticPr fontId="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46"/>
  <sheetViews>
    <sheetView showGridLines="0" tabSelected="1" workbookViewId="0">
      <pane ySplit="1" topLeftCell="A28" activePane="bottomLeft" state="frozenSplit"/>
      <selection pane="bottomLeft" activeCell="B46" sqref="B4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30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30" ht="21" customHeight="1" x14ac:dyDescent="0.15">
      <c r="A2" s="47">
        <v>60028001</v>
      </c>
      <c r="B2" s="47" t="s">
        <v>415</v>
      </c>
      <c r="C2" s="50">
        <v>3</v>
      </c>
      <c r="D2" s="50" t="s">
        <v>128</v>
      </c>
      <c r="E2" s="51" t="s">
        <v>375</v>
      </c>
      <c r="F2" s="51" t="s">
        <v>416</v>
      </c>
      <c r="G2" s="64" t="str">
        <f t="shared" ref="G2:G28" si="0">IFERROR(LEFT(B2,FIND("],",B2)),B2)</f>
        <v>[effect:enemy_message, val1:1.2, val2:1.2]</v>
      </c>
      <c r="H2" s="64">
        <f t="shared" ref="H2:H37" si="1">FIND("effect:",G2)+7</f>
        <v>9</v>
      </c>
      <c r="I2" s="64">
        <f t="shared" ref="I2:I28" si="2">IFERROR(FIND(",",G2),LEN(G2))</f>
        <v>22</v>
      </c>
      <c r="J2" s="64" t="e">
        <f t="shared" ref="J2:J28" si="3">FIND("target:",G2)+7</f>
        <v>#VALUE!</v>
      </c>
      <c r="K2" s="64">
        <f t="shared" ref="K2:K28" si="4">FIND(",",G2,I2+1)</f>
        <v>32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 t="shared" ref="M2:M28" si="5">IFERROR(RIGHT(B2,LEN(B2)-FIND("],",B2)-1),"none")</f>
        <v>[effect:fix_speed, target:myself, turn:2],[effect:tolerance, target:myself, turn:-1, count:-1, tolerance_effect:all, animation:enemy_tolerance]</v>
      </c>
      <c r="N2" s="48" t="str">
        <f>IFERROR(LEFT(M2,FIND("],",M2)+S11),M2)</f>
        <v>[effect:fix_speed, target:myself, turn:2],[effect:tolerance, target:myself, turn:-1, count:-1, tolerance_effect:all, animation:enemy_tolerance]</v>
      </c>
      <c r="O2" s="64">
        <f t="shared" ref="O2:O37" si="6">FIND("effect:",N2)+7</f>
        <v>9</v>
      </c>
      <c r="P2" s="64">
        <f t="shared" ref="P2:P28" si="7">IFERROR(FIND(",",N2),LEN(N2))</f>
        <v>18</v>
      </c>
      <c r="Q2" s="64">
        <f t="shared" ref="Q2:Q28" si="8">FIND("target:",N2)+7</f>
        <v>27</v>
      </c>
      <c r="R2" s="64">
        <f t="shared" ref="R2:R28" si="9">FIND(",",N2,P2+1)</f>
        <v>33</v>
      </c>
      <c r="S2" s="64" t="str">
        <f>IFERROR(VLOOKUP(MID(N2,Q2,R2-Q2),[6]skilldef!$C:$D,2,FALSE),"-") &amp; " / " &amp; IFERROR(VLOOKUP(MID(N2,O2,P2-O2),[6]skilldef!$A:$B,2,FALSE),"-")</f>
        <v>自分自身に / 行動値設定</v>
      </c>
      <c r="T2" s="48" t="str">
        <f t="shared" ref="T2:T28" si="10">IFERROR(RIGHT(M2,LEN(M2)-FIND("],",M2)-1),"none")</f>
        <v>[effect:tolerance, target:myself, turn:-1, count:-1, tolerance_effect:all, animation:enemy_tolerance]</v>
      </c>
      <c r="U2" s="64">
        <f t="shared" ref="U2:U37" si="11">FIND("effect:",T2)+7</f>
        <v>9</v>
      </c>
      <c r="V2" s="64">
        <f t="shared" ref="V2:V28" si="12">IFERROR(FIND(",",T2),LEN(T2))</f>
        <v>18</v>
      </c>
      <c r="W2" s="64">
        <f t="shared" ref="W2:W28" si="13">FIND("target:",T2)+7</f>
        <v>27</v>
      </c>
      <c r="X2" s="64">
        <f t="shared" ref="X2:X28" si="14">FIND(",",T2,V2+1)</f>
        <v>33</v>
      </c>
      <c r="Y2" s="64" t="str">
        <f>IFERROR(VLOOKUP(MID(T2,W2,X2-W2),[6]skilldef!$C:$D,2,FALSE),"-") &amp; " / " &amp; IFERROR(VLOOKUP(MID(T2,U2,V2-U2),[6]skilldef!$A:$B,2,FALSE),"-")</f>
        <v>自分自身に / 状態異常耐性</v>
      </c>
      <c r="Z2" s="50"/>
      <c r="AA2" s="52"/>
      <c r="AB2" s="50"/>
      <c r="AC2" s="49">
        <f>LEN(E2)</f>
        <v>9</v>
      </c>
      <c r="AD2" s="49">
        <f>LEN(F2)</f>
        <v>6</v>
      </c>
    </row>
    <row r="3" spans="1:30" ht="21" customHeight="1" x14ac:dyDescent="0.15">
      <c r="A3" s="47">
        <v>60028003</v>
      </c>
      <c r="B3" s="47" t="s">
        <v>408</v>
      </c>
      <c r="C3" s="50">
        <v>3</v>
      </c>
      <c r="D3" s="50" t="s">
        <v>128</v>
      </c>
      <c r="E3" s="51" t="s">
        <v>364</v>
      </c>
      <c r="F3" s="51" t="s">
        <v>417</v>
      </c>
      <c r="G3" s="64" t="str">
        <f t="shared" si="0"/>
        <v>[effect:enemy_message, val1:1.2, val2:1.2]</v>
      </c>
      <c r="H3" s="64">
        <f t="shared" si="1"/>
        <v>9</v>
      </c>
      <c r="I3" s="64">
        <f t="shared" si="2"/>
        <v>22</v>
      </c>
      <c r="J3" s="64" t="e">
        <f t="shared" si="3"/>
        <v>#VALUE!</v>
      </c>
      <c r="K3" s="64">
        <f t="shared" si="4"/>
        <v>32</v>
      </c>
      <c r="L3" s="64" t="str">
        <f>IFERROR(VLOOKUP(MID(G3,J3,K3-J3),[6]skilldef!$C:$D,2,FALSE),"-") &amp; " / " &amp; IFERROR(VLOOKUP(MID(G3,H3,I3-H3),[6]skilldef!$A:$B,2,FALSE),"-")</f>
        <v>- / -</v>
      </c>
      <c r="M3" s="64" t="str">
        <f t="shared" si="5"/>
        <v>[effect:spread, val:0.2]</v>
      </c>
      <c r="N3" s="48" t="str">
        <f t="shared" ref="N3:N27" si="15">IFERROR(LEFT(M3,FIND("],",M3)+S13),M3)</f>
        <v>[effect:spread, val:0.2]</v>
      </c>
      <c r="O3" s="64">
        <f t="shared" si="6"/>
        <v>9</v>
      </c>
      <c r="P3" s="64">
        <f t="shared" si="7"/>
        <v>15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IFERROR(VLOOKUP(MID(N3,Q3,R3-Q3),[6]skilldef!$C:$D,2,FALSE),"-") &amp; " / " &amp; IFERROR(VLOOKUP(MID(N3,O3,P3-O3),[6]skilldef!$A:$B,2,FALSE),"-")</f>
        <v>- / 全体攻撃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  <c r="AC3" s="49">
        <f t="shared" ref="AC3:AC46" si="16">LEN(E3)</f>
        <v>9</v>
      </c>
      <c r="AD3" s="49">
        <f t="shared" ref="AD3:AD46" si="17">LEN(F3)</f>
        <v>4</v>
      </c>
    </row>
    <row r="4" spans="1:30" ht="21" customHeight="1" x14ac:dyDescent="0.15">
      <c r="A4" s="47">
        <v>60028004</v>
      </c>
      <c r="B4" s="47" t="s">
        <v>439</v>
      </c>
      <c r="C4" s="50">
        <v>3</v>
      </c>
      <c r="D4" s="50" t="s">
        <v>128</v>
      </c>
      <c r="E4" s="51" t="s">
        <v>454</v>
      </c>
      <c r="F4" s="51" t="s">
        <v>418</v>
      </c>
      <c r="G4" s="64" t="str">
        <f t="shared" si="0"/>
        <v>[effect:enemy_message, val1:1.3, val2:1.2]</v>
      </c>
      <c r="H4" s="64">
        <f t="shared" si="1"/>
        <v>9</v>
      </c>
      <c r="I4" s="64">
        <f t="shared" si="2"/>
        <v>22</v>
      </c>
      <c r="J4" s="64" t="e">
        <f t="shared" si="3"/>
        <v>#VALUE!</v>
      </c>
      <c r="K4" s="64">
        <f t="shared" si="4"/>
        <v>32</v>
      </c>
      <c r="L4" s="64" t="str">
        <f>IFERROR(VLOOKUP(MID(G4,J4,K4-J4),[6]skilldef!$C:$D,2,FALSE),"-") &amp; " / " &amp; IFERROR(VLOOKUP(MID(G4,H4,I4-H4),[6]skilldef!$A:$B,2,FALSE),"-")</f>
        <v>- / -</v>
      </c>
      <c r="M4" s="64" t="str">
        <f t="shared" si="5"/>
        <v>[effect:critical, val:1.2]</v>
      </c>
      <c r="N4" s="48" t="str">
        <f t="shared" si="15"/>
        <v>[effect:critical, val:1.2]</v>
      </c>
      <c r="O4" s="64">
        <f t="shared" si="6"/>
        <v>9</v>
      </c>
      <c r="P4" s="64">
        <f t="shared" si="7"/>
        <v>17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IFERROR(VLOOKUP(MID(N4,Q4,R4-Q4),[6]skilldef!$C:$D,2,FALSE),"-") &amp; " / " &amp; IFERROR(VLOOKUP(MID(N4,O4,P4-O4),[6]skilldef!$A:$B,2,FALSE),"-")</f>
        <v>- / 大攻撃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  <c r="AC4" s="49">
        <f t="shared" si="16"/>
        <v>10</v>
      </c>
      <c r="AD4" s="49">
        <f t="shared" si="17"/>
        <v>7</v>
      </c>
    </row>
    <row r="5" spans="1:30" ht="21" customHeight="1" x14ac:dyDescent="0.15">
      <c r="A5" s="47">
        <v>60028005</v>
      </c>
      <c r="B5" s="47" t="s">
        <v>440</v>
      </c>
      <c r="C5" s="50">
        <v>3</v>
      </c>
      <c r="D5" s="50" t="s">
        <v>128</v>
      </c>
      <c r="E5" s="51" t="s">
        <v>362</v>
      </c>
      <c r="F5" s="51" t="s">
        <v>419</v>
      </c>
      <c r="G5" s="64" t="str">
        <f t="shared" si="0"/>
        <v>[effect:enemy_message, val1:1.2, val2:1.3]</v>
      </c>
      <c r="H5" s="64">
        <f t="shared" si="1"/>
        <v>9</v>
      </c>
      <c r="I5" s="64">
        <f t="shared" si="2"/>
        <v>22</v>
      </c>
      <c r="J5" s="64" t="e">
        <f t="shared" si="3"/>
        <v>#VALUE!</v>
      </c>
      <c r="K5" s="64">
        <f t="shared" si="4"/>
        <v>32</v>
      </c>
      <c r="L5" s="64" t="str">
        <f>IFERROR(VLOOKUP(MID(G5,J5,K5-J5),[6]skilldef!$C:$D,2,FALSE),"-") &amp; " / " &amp; IFERROR(VLOOKUP(MID(G5,H5,I5-H5),[6]skilldef!$A:$B,2,FALSE),"-")</f>
        <v>- / -</v>
      </c>
      <c r="M5" s="64" t="str">
        <f t="shared" si="5"/>
        <v>[effect:break_attack_fix, val:125, lowest_val:125, count:-1, block:block_blue, target:unit_all]</v>
      </c>
      <c r="N5" s="48" t="str">
        <f t="shared" si="15"/>
        <v>[effect:break_attack_fix, val:125, lowest_val:125, count:-1, block:block_blue, target:unit_all]</v>
      </c>
      <c r="O5" s="64">
        <f t="shared" si="6"/>
        <v>9</v>
      </c>
      <c r="P5" s="64">
        <f t="shared" si="7"/>
        <v>25</v>
      </c>
      <c r="Q5" s="64">
        <f t="shared" si="8"/>
        <v>87</v>
      </c>
      <c r="R5" s="64">
        <f t="shared" si="9"/>
        <v>34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  <c r="AC5" s="49">
        <f t="shared" si="16"/>
        <v>10</v>
      </c>
      <c r="AD5" s="49">
        <f t="shared" si="17"/>
        <v>13</v>
      </c>
    </row>
    <row r="6" spans="1:30" ht="21" customHeight="1" x14ac:dyDescent="0.15">
      <c r="A6" s="47">
        <v>60028006</v>
      </c>
      <c r="B6" s="47" t="s">
        <v>412</v>
      </c>
      <c r="C6" s="50">
        <v>3</v>
      </c>
      <c r="D6" s="50" t="s">
        <v>128</v>
      </c>
      <c r="E6" s="51" t="s">
        <v>363</v>
      </c>
      <c r="F6" s="51" t="s">
        <v>420</v>
      </c>
      <c r="G6" s="64" t="str">
        <f t="shared" si="0"/>
        <v>[effect:enemy_message, val1:1.2, val2:1.2]</v>
      </c>
      <c r="H6" s="64">
        <f t="shared" si="1"/>
        <v>9</v>
      </c>
      <c r="I6" s="64">
        <f t="shared" si="2"/>
        <v>22</v>
      </c>
      <c r="J6" s="64" t="e">
        <f t="shared" si="3"/>
        <v>#VALUE!</v>
      </c>
      <c r="K6" s="64">
        <f t="shared" si="4"/>
        <v>32</v>
      </c>
      <c r="L6" s="64" t="str">
        <f>IFERROR(VLOOKUP(MID(G6,J6,K6-J6),[6]skilldef!$C:$D,2,FALSE),"-") &amp; " / " &amp; IFERROR(VLOOKUP(MID(G6,H6,I6-H6),[6]skilldef!$A:$B,2,FALSE),"-")</f>
        <v>- / -</v>
      </c>
      <c r="M6" s="64" t="str">
        <f t="shared" si="5"/>
        <v>none</v>
      </c>
      <c r="N6" s="48" t="str">
        <f t="shared" si="15"/>
        <v>none</v>
      </c>
      <c r="O6" s="64" t="e">
        <f t="shared" si="6"/>
        <v>#VALUE!</v>
      </c>
      <c r="P6" s="64">
        <f t="shared" si="7"/>
        <v>4</v>
      </c>
      <c r="Q6" s="64" t="e">
        <f t="shared" si="8"/>
        <v>#VALUE!</v>
      </c>
      <c r="R6" s="64" t="e">
        <f t="shared" si="9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  <c r="AC6" s="49">
        <f t="shared" si="16"/>
        <v>12</v>
      </c>
      <c r="AD6" s="49">
        <f t="shared" si="17"/>
        <v>11</v>
      </c>
    </row>
    <row r="7" spans="1:30" ht="21" customHeight="1" x14ac:dyDescent="0.15">
      <c r="A7" s="47">
        <v>60028007</v>
      </c>
      <c r="B7" s="47" t="s">
        <v>496</v>
      </c>
      <c r="C7" s="50">
        <v>3</v>
      </c>
      <c r="D7" s="50" t="s">
        <v>128</v>
      </c>
      <c r="E7" s="51" t="s">
        <v>374</v>
      </c>
      <c r="F7" s="51" t="s">
        <v>495</v>
      </c>
      <c r="G7" s="64" t="str">
        <f t="shared" si="0"/>
        <v>[effect:enemy_message, val1:1.2, val2:2.9]</v>
      </c>
      <c r="H7" s="64">
        <f t="shared" si="1"/>
        <v>9</v>
      </c>
      <c r="I7" s="64">
        <f t="shared" si="2"/>
        <v>22</v>
      </c>
      <c r="J7" s="64" t="e">
        <f t="shared" si="3"/>
        <v>#VALUE!</v>
      </c>
      <c r="K7" s="64">
        <f t="shared" si="4"/>
        <v>32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5"/>
        <v>[effect:force_change_block, new_block:block_heart, target:block_all, ignore01:jammer, ignore02:crash, ignore03:crack_bomb, ignore04:time_bomb, ignore05:magnet, ignore06:damage, ignore07:color_break, count:12, val:0, animation:change_block],[effect:critical, val:1.5]</v>
      </c>
      <c r="N7" s="48" t="str">
        <f t="shared" si="15"/>
        <v>[effect:force_change_block, new_block:block_heart, target:block_all, ignore01:jammer, ignore02:crash, ignore03:crack_bomb, ignore04:time_bomb, ignore05:magnet, ignore06:damage, ignore07:color_break, count:12, val:0, animation:change_block],[effect:critical, val:1.5]</v>
      </c>
      <c r="O7" s="64">
        <f t="shared" si="6"/>
        <v>9</v>
      </c>
      <c r="P7" s="64">
        <f t="shared" si="7"/>
        <v>27</v>
      </c>
      <c r="Q7" s="64">
        <f t="shared" si="8"/>
        <v>59</v>
      </c>
      <c r="R7" s="64">
        <f t="shared" si="9"/>
        <v>50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[effect:critical, val:1.5]</v>
      </c>
      <c r="U7" s="64">
        <f t="shared" si="11"/>
        <v>9</v>
      </c>
      <c r="V7" s="64">
        <f t="shared" si="12"/>
        <v>17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IFERROR(VLOOKUP(MID(T7,W7,X7-W7),[6]skilldef!$C:$D,2,FALSE),"-") &amp; " / " &amp; IFERROR(VLOOKUP(MID(T7,U7,V7-U7),[6]skilldef!$A:$B,2,FALSE),"-")</f>
        <v>- / 大攻撃</v>
      </c>
      <c r="Z7" s="50"/>
      <c r="AA7" s="52"/>
      <c r="AB7" s="50"/>
      <c r="AC7" s="49">
        <f t="shared" si="16"/>
        <v>10</v>
      </c>
      <c r="AD7" s="49">
        <f t="shared" si="17"/>
        <v>29</v>
      </c>
    </row>
    <row r="8" spans="1:30" ht="21" customHeight="1" x14ac:dyDescent="0.15">
      <c r="A8" s="47">
        <v>60028008</v>
      </c>
      <c r="B8" s="47" t="s">
        <v>514</v>
      </c>
      <c r="C8" s="50">
        <v>3</v>
      </c>
      <c r="D8" s="50" t="s">
        <v>128</v>
      </c>
      <c r="E8" s="51" t="s">
        <v>370</v>
      </c>
      <c r="F8" s="51" t="s">
        <v>512</v>
      </c>
      <c r="G8" s="64" t="str">
        <f t="shared" si="0"/>
        <v>[effect:enemy_message, val1:1.2, val2:2.3]</v>
      </c>
      <c r="H8" s="64">
        <f t="shared" si="1"/>
        <v>9</v>
      </c>
      <c r="I8" s="64">
        <f t="shared" si="2"/>
        <v>22</v>
      </c>
      <c r="J8" s="64" t="e">
        <f t="shared" si="3"/>
        <v>#VALUE!</v>
      </c>
      <c r="K8" s="64">
        <f t="shared" si="4"/>
        <v>32</v>
      </c>
      <c r="L8" s="64" t="str">
        <f>IFERROR(VLOOKUP(MID(G8,J8,K8-J8),[6]skilldef!$C:$D,2,FALSE),"-") &amp; " / " &amp; IFERROR(VLOOKUP(MID(G8,H8,I8-H8),[6]skilldef!$A:$B,2,FALSE),"-")</f>
        <v>- / -</v>
      </c>
      <c r="M8" s="64" t="str">
        <f t="shared" si="5"/>
        <v xml:space="preserve">[effect:change_bomb_range, turn:5, target:unit_all, val:0.8, rate:1, animation:bomb_small]    </v>
      </c>
      <c r="N8" s="48" t="str">
        <f t="shared" si="15"/>
        <v xml:space="preserve">[effect:change_bomb_range, turn:5, target:unit_all, val:0.8, rate:1, animation:bomb_small]    </v>
      </c>
      <c r="O8" s="64">
        <f t="shared" si="6"/>
        <v>9</v>
      </c>
      <c r="P8" s="64">
        <f t="shared" si="7"/>
        <v>26</v>
      </c>
      <c r="Q8" s="64">
        <f t="shared" si="8"/>
        <v>43</v>
      </c>
      <c r="R8" s="64">
        <f t="shared" si="9"/>
        <v>34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  <c r="AC8" s="49">
        <f t="shared" si="16"/>
        <v>11</v>
      </c>
      <c r="AD8" s="49">
        <f t="shared" si="17"/>
        <v>23</v>
      </c>
    </row>
    <row r="9" spans="1:30" ht="21" customHeight="1" x14ac:dyDescent="0.15">
      <c r="A9" s="47">
        <v>60028009</v>
      </c>
      <c r="B9" s="47" t="s">
        <v>504</v>
      </c>
      <c r="C9" s="50">
        <v>3</v>
      </c>
      <c r="D9" s="50" t="s">
        <v>128</v>
      </c>
      <c r="E9" s="51" t="s">
        <v>365</v>
      </c>
      <c r="F9" s="51" t="s">
        <v>503</v>
      </c>
      <c r="G9" s="64" t="str">
        <f t="shared" si="0"/>
        <v>[effect:enemy_message, val1:1.2, val2:3.5]</v>
      </c>
      <c r="H9" s="64">
        <f t="shared" si="1"/>
        <v>9</v>
      </c>
      <c r="I9" s="64">
        <f t="shared" si="2"/>
        <v>22</v>
      </c>
      <c r="J9" s="64" t="e">
        <f t="shared" si="3"/>
        <v>#VALUE!</v>
      </c>
      <c r="K9" s="64">
        <f t="shared" si="4"/>
        <v>32</v>
      </c>
      <c r="L9" s="64" t="str">
        <f>IFERROR(VLOOKUP(MID(G9,J9,K9-J9),[6]skilldef!$C:$D,2,FALSE),"-") &amp; " / " &amp; IFERROR(VLOOKUP(MID(G9,H9,I9-H9),[6]skilldef!$A:$B,2,FALSE),"-")</f>
        <v>- / -</v>
      </c>
      <c r="M9" s="64" t="str">
        <f t="shared" si="5"/>
        <v>[effect:enhance_enemy, target:myself, turn:1, status:defense, val:500, calc:add, animation:enemy_enhance_defense],[effect:damage_anti_tribe, target:unit_one, tribe:machine, val1:1.5, val2:1]</v>
      </c>
      <c r="N9" s="48" t="str">
        <f t="shared" si="15"/>
        <v>[effect:enhance_enemy, target:myself, turn:1, status:defense, val:500, calc:add, animation:enemy_enhance_defense],[effect:damage_anti_tribe, target:unit_one, tribe:machine, val1:1.5, val2:1]</v>
      </c>
      <c r="O9" s="64">
        <f t="shared" si="6"/>
        <v>9</v>
      </c>
      <c r="P9" s="64">
        <f t="shared" si="7"/>
        <v>22</v>
      </c>
      <c r="Q9" s="64">
        <f t="shared" si="8"/>
        <v>31</v>
      </c>
      <c r="R9" s="64">
        <f t="shared" si="9"/>
        <v>37</v>
      </c>
      <c r="S9" s="64" t="str">
        <f>IFERROR(VLOOKUP(MID(N9,Q9,R9-Q9),[6]skilldef!$C:$D,2,FALSE),"-") &amp; " / " &amp; IFERROR(VLOOKUP(MID(N9,O9,P9-O9),[6]skilldef!$A:$B,2,FALSE),"-")</f>
        <v>自分自身に / ステータス強化</v>
      </c>
      <c r="T9" s="48" t="str">
        <f t="shared" si="10"/>
        <v>[effect:damage_anti_tribe, target:unit_one, tribe:machine, val1:1.5, val2:1]</v>
      </c>
      <c r="U9" s="64">
        <f t="shared" si="11"/>
        <v>9</v>
      </c>
      <c r="V9" s="64">
        <f t="shared" si="12"/>
        <v>26</v>
      </c>
      <c r="W9" s="64">
        <f t="shared" si="13"/>
        <v>35</v>
      </c>
      <c r="X9" s="64">
        <f t="shared" si="14"/>
        <v>43</v>
      </c>
      <c r="Y9" s="64" t="str">
        <f>IFERROR(VLOOKUP(MID(T9,W9,X9-W9),[6]skilldef!$C:$D,2,FALSE),"-") &amp; " / " &amp; IFERROR(VLOOKUP(MID(T9,U9,V9-U9),[6]skilldef!$A:$B,2,FALSE),"-")</f>
        <v>味方単体に / 種族キラー</v>
      </c>
      <c r="Z9" s="50"/>
      <c r="AA9" s="52"/>
      <c r="AB9" s="50"/>
      <c r="AC9" s="49">
        <f t="shared" si="16"/>
        <v>10</v>
      </c>
      <c r="AD9" s="49">
        <f t="shared" si="17"/>
        <v>35</v>
      </c>
    </row>
    <row r="10" spans="1:30" ht="21" customHeight="1" x14ac:dyDescent="0.15">
      <c r="A10" s="47">
        <v>60028010</v>
      </c>
      <c r="B10" s="47" t="s">
        <v>502</v>
      </c>
      <c r="C10" s="50">
        <v>3</v>
      </c>
      <c r="D10" s="50" t="s">
        <v>128</v>
      </c>
      <c r="E10" s="51" t="s">
        <v>371</v>
      </c>
      <c r="F10" s="51" t="s">
        <v>501</v>
      </c>
      <c r="G10" s="64" t="str">
        <f t="shared" si="0"/>
        <v>[effect:enemy_message, val1:1.2, val2:1.8]</v>
      </c>
      <c r="H10" s="64">
        <f t="shared" si="1"/>
        <v>9</v>
      </c>
      <c r="I10" s="64">
        <f t="shared" si="2"/>
        <v>22</v>
      </c>
      <c r="J10" s="64" t="e">
        <f t="shared" si="3"/>
        <v>#VALUE!</v>
      </c>
      <c r="K10" s="64">
        <f t="shared" si="4"/>
        <v>32</v>
      </c>
      <c r="L10" s="64" t="str">
        <f>IFERROR(VLOOKUP(MID(G10,J10,K10-J10),[6]skilldef!$C:$D,2,FALSE),"-") &amp; " / " &amp; IFERROR(VLOOKUP(MID(G10,H10,I10-H10),[6]skilldef!$A:$B,2,FALSE),"-")</f>
        <v>- / -</v>
      </c>
      <c r="M10" s="64" t="str">
        <f t="shared" si="5"/>
        <v>[effect:enemy_counter, target:myself, invoke_condition:unit_all, counter_target:attacker, turn:1, val:2, animation:enemy_counter]</v>
      </c>
      <c r="N10" s="48" t="str">
        <f t="shared" si="15"/>
        <v>[effect:enemy_counter, target:myself, invoke_condition:unit_all, counter_target:attacker, turn:1, val:2, animation:enemy_counter]</v>
      </c>
      <c r="O10" s="64">
        <f t="shared" si="6"/>
        <v>9</v>
      </c>
      <c r="P10" s="64">
        <f t="shared" si="7"/>
        <v>22</v>
      </c>
      <c r="Q10" s="64">
        <f t="shared" si="8"/>
        <v>31</v>
      </c>
      <c r="R10" s="64">
        <f t="shared" si="9"/>
        <v>37</v>
      </c>
      <c r="S10" s="64" t="str">
        <f>IFERROR(VLOOKUP(MID(N10,Q10,R10-Q10),[6]skilldef!$C:$D,2,FALSE),"-") &amp; " / " &amp; IFERROR(VLOOKUP(MID(N10,O10,P10-O10),[6]skilldef!$A:$B,2,FALSE),"-")</f>
        <v>自分自身に / カウンター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  <c r="AC10" s="49">
        <f t="shared" si="16"/>
        <v>7</v>
      </c>
      <c r="AD10" s="49">
        <f t="shared" si="17"/>
        <v>18</v>
      </c>
    </row>
    <row r="11" spans="1:30" s="136" customFormat="1" ht="21" customHeight="1" x14ac:dyDescent="0.15">
      <c r="A11" s="132">
        <v>60028011</v>
      </c>
      <c r="B11" s="47" t="s">
        <v>498</v>
      </c>
      <c r="C11" s="50">
        <v>3</v>
      </c>
      <c r="D11" s="50" t="s">
        <v>128</v>
      </c>
      <c r="E11" s="51" t="s">
        <v>455</v>
      </c>
      <c r="F11" s="51" t="s">
        <v>497</v>
      </c>
      <c r="G11" s="134" t="str">
        <f t="shared" si="0"/>
        <v>[effect:enemy_message, val1:1.3, val2:1.8]</v>
      </c>
      <c r="H11" s="134">
        <f t="shared" si="1"/>
        <v>9</v>
      </c>
      <c r="I11" s="134">
        <f t="shared" si="2"/>
        <v>22</v>
      </c>
      <c r="J11" s="134" t="e">
        <f t="shared" si="3"/>
        <v>#VALUE!</v>
      </c>
      <c r="K11" s="134">
        <f t="shared" si="4"/>
        <v>32</v>
      </c>
      <c r="L11" s="134" t="str">
        <f>IFERROR(VLOOKUP(MID(G11,J11,K11-J11),[6]skilldef!$C:$D,2,FALSE),"-") &amp; " / " &amp; IFERROR(VLOOKUP(MID(G11,H11,I11-H11),[6]skilldef!$A:$B,2,FALSE),"-")</f>
        <v>- / -</v>
      </c>
      <c r="M11" s="134" t="str">
        <f t="shared" si="5"/>
        <v xml:space="preserve">[effect:force_change_block, new_block:jammer, target:block_all, ignore01:jammer, ignore02:crash, ignore03:crack_bomb, ignore04:time_bomb, ignore05:magnet, ignore06:damage, ignore07:color_break, count:2, val:0, animation:change_block]    </v>
      </c>
      <c r="N11" s="132" t="str">
        <f t="shared" si="15"/>
        <v xml:space="preserve">[effect:force_change_block, new_block:jammer, target:block_all, ignore01:jammer, ignore02:crash, ignore03:crack_bomb, ignore04:time_bomb, ignore05:magnet, ignore06:damage, ignore07:color_break, count:2, val:0, animation:change_block]    </v>
      </c>
      <c r="O11" s="134">
        <f t="shared" si="6"/>
        <v>9</v>
      </c>
      <c r="P11" s="134">
        <f t="shared" si="7"/>
        <v>27</v>
      </c>
      <c r="Q11" s="134">
        <f t="shared" si="8"/>
        <v>54</v>
      </c>
      <c r="R11" s="134">
        <f t="shared" si="9"/>
        <v>45</v>
      </c>
      <c r="S11" s="134" t="str">
        <f>IFERROR(VLOOKUP(MID(N11,Q11,R11-Q11),[6]skilldef!$C:$D,2,FALSE),"-") &amp; " / " &amp; IFERROR(VLOOKUP(MID(N11,O11,P11-O11),[6]skilldef!$A:$B,2,FALSE),"-")</f>
        <v>- / -</v>
      </c>
      <c r="T11" s="132" t="str">
        <f t="shared" si="10"/>
        <v>none</v>
      </c>
      <c r="U11" s="134" t="e">
        <f t="shared" si="11"/>
        <v>#VALUE!</v>
      </c>
      <c r="V11" s="134">
        <f t="shared" si="12"/>
        <v>4</v>
      </c>
      <c r="W11" s="134" t="e">
        <f t="shared" si="13"/>
        <v>#VALUE!</v>
      </c>
      <c r="X11" s="134" t="e">
        <f t="shared" si="14"/>
        <v>#VALUE!</v>
      </c>
      <c r="Y11" s="134" t="str">
        <f>IFERROR(VLOOKUP(MID(T11,W11,X11-W11),[6]skilldef!$C:$D,2,FALSE),"-") &amp; " / " &amp; IFERROR(VLOOKUP(MID(T11,U11,V11-U11),[6]skilldef!$A:$B,2,FALSE),"-")</f>
        <v>- / -</v>
      </c>
      <c r="Z11" s="133"/>
      <c r="AA11" s="135"/>
      <c r="AB11" s="133"/>
      <c r="AC11" s="49">
        <f t="shared" si="16"/>
        <v>9</v>
      </c>
      <c r="AD11" s="49">
        <f t="shared" si="17"/>
        <v>18</v>
      </c>
    </row>
    <row r="12" spans="1:30" ht="21" customHeight="1" x14ac:dyDescent="0.15">
      <c r="A12" s="47">
        <v>60028012</v>
      </c>
      <c r="B12" s="47" t="s">
        <v>441</v>
      </c>
      <c r="C12" s="50">
        <v>3</v>
      </c>
      <c r="D12" s="50" t="s">
        <v>128</v>
      </c>
      <c r="E12" s="51" t="s">
        <v>366</v>
      </c>
      <c r="F12" s="51" t="s">
        <v>421</v>
      </c>
      <c r="G12" s="64" t="str">
        <f t="shared" si="0"/>
        <v>[effect:enemy_message, val1:1.2, val2:1.8]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 t="shared" si="5"/>
        <v>[effect:critical, val:1.2]</v>
      </c>
      <c r="N12" s="48" t="str">
        <f t="shared" si="15"/>
        <v>[effect:critical, val:1.2]</v>
      </c>
      <c r="O12" s="64">
        <f t="shared" si="6"/>
        <v>9</v>
      </c>
      <c r="P12" s="64">
        <f t="shared" si="7"/>
        <v>17</v>
      </c>
      <c r="Q12" s="64" t="e">
        <f t="shared" si="8"/>
        <v>#VALUE!</v>
      </c>
      <c r="R12" s="64" t="e">
        <f t="shared" si="9"/>
        <v>#VALUE!</v>
      </c>
      <c r="S12" s="64" t="str">
        <f>IFERROR(VLOOKUP(MID(N12,Q12,R12-Q12),[6]skilldef!$C:$D,2,FALSE),"-") &amp; " / " &amp; IFERROR(VLOOKUP(MID(N12,O12,P12-O12),[6]skilldef!$A:$B,2,FALSE),"-")</f>
        <v>- / 大攻撃</v>
      </c>
      <c r="T12" s="48" t="str">
        <f t="shared" si="10"/>
        <v>none</v>
      </c>
      <c r="U12" s="64" t="e">
        <f t="shared" si="11"/>
        <v>#VALUE!</v>
      </c>
      <c r="V12" s="64">
        <f t="shared" si="12"/>
        <v>4</v>
      </c>
      <c r="W12" s="64" t="e">
        <f t="shared" si="13"/>
        <v>#VALUE!</v>
      </c>
      <c r="X12" s="64" t="e">
        <f t="shared" si="14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  <c r="AC12" s="49">
        <f t="shared" si="16"/>
        <v>10</v>
      </c>
      <c r="AD12" s="49">
        <f t="shared" si="17"/>
        <v>7</v>
      </c>
    </row>
    <row r="13" spans="1:30" ht="21" customHeight="1" x14ac:dyDescent="0.15">
      <c r="A13" s="47">
        <v>60028013</v>
      </c>
      <c r="B13" s="47" t="s">
        <v>423</v>
      </c>
      <c r="C13" s="50">
        <v>3</v>
      </c>
      <c r="D13" s="50" t="s">
        <v>128</v>
      </c>
      <c r="E13" s="51" t="s">
        <v>367</v>
      </c>
      <c r="F13" s="51" t="s">
        <v>422</v>
      </c>
      <c r="G13" s="64" t="str">
        <f t="shared" si="0"/>
        <v>[effect:enemy_message, val1:1.2, val2:1.2]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>
        <f t="shared" si="4"/>
        <v>32</v>
      </c>
      <c r="L13" s="64" t="str">
        <f>IFERROR(VLOOKUP(MID(G13,J13,K13-J13),[6]skilldef!$C:$D,2,FALSE),"-") &amp; " / " &amp; IFERROR(VLOOKUP(MID(G13,H13,I13-H13),[6]skilldef!$A:$B,2,FALSE),"-")</f>
        <v>- / -</v>
      </c>
      <c r="M13" s="64" t="str">
        <f t="shared" si="5"/>
        <v xml:space="preserve">[effect:fix_speed, target:myself, turn:1] </v>
      </c>
      <c r="N13" s="48" t="str">
        <f t="shared" si="15"/>
        <v xml:space="preserve">[effect:fix_speed, target:myself, turn:1] </v>
      </c>
      <c r="O13" s="64">
        <f t="shared" si="6"/>
        <v>9</v>
      </c>
      <c r="P13" s="64">
        <f t="shared" si="7"/>
        <v>18</v>
      </c>
      <c r="Q13" s="64">
        <f t="shared" si="8"/>
        <v>27</v>
      </c>
      <c r="R13" s="64">
        <f t="shared" si="9"/>
        <v>33</v>
      </c>
      <c r="S13" s="64" t="str">
        <f>IFERROR(VLOOKUP(MID(N13,Q13,R13-Q13),[6]skilldef!$C:$D,2,FALSE),"-") &amp; " / " &amp; IFERROR(VLOOKUP(MID(N13,O13,P13-O13),[6]skilldef!$A:$B,2,FALSE),"-")</f>
        <v>自分自身に / 行動値設定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  <c r="AC13" s="49">
        <f t="shared" si="16"/>
        <v>9</v>
      </c>
      <c r="AD13" s="49">
        <f t="shared" si="17"/>
        <v>9</v>
      </c>
    </row>
    <row r="14" spans="1:30" ht="21" customHeight="1" x14ac:dyDescent="0.15">
      <c r="A14" s="47">
        <v>60028014</v>
      </c>
      <c r="B14" s="47" t="s">
        <v>515</v>
      </c>
      <c r="C14" s="50">
        <v>3</v>
      </c>
      <c r="D14" s="50" t="s">
        <v>128</v>
      </c>
      <c r="E14" s="51" t="s">
        <v>368</v>
      </c>
      <c r="F14" s="51" t="s">
        <v>513</v>
      </c>
      <c r="G14" s="64" t="str">
        <f t="shared" si="0"/>
        <v>[effect:enemy_message, val1:1.2, val2:2.3]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32</v>
      </c>
      <c r="L14" s="64" t="str">
        <f>IFERROR(VLOOKUP(MID(G14,J14,K14-J14),[6]skilldef!$C:$D,2,FALSE),"-") &amp; " / " &amp; IFERROR(VLOOKUP(MID(G14,H14,I14-H14),[6]skilldef!$A:$B,2,FALSE),"-")</f>
        <v>- / -</v>
      </c>
      <c r="M14" s="64" t="str">
        <f t="shared" si="5"/>
        <v>[effect:change_bomb_range, turn:5, target:unit_all, val:0.7, rate:1, animation:bomb_small]</v>
      </c>
      <c r="N14" s="48" t="str">
        <f t="shared" si="15"/>
        <v>[effect:change_bomb_range, turn:5, target:unit_all, val:0.7, rate:1, animation:bomb_small]</v>
      </c>
      <c r="O14" s="64">
        <f t="shared" si="6"/>
        <v>9</v>
      </c>
      <c r="P14" s="64">
        <f t="shared" si="7"/>
        <v>26</v>
      </c>
      <c r="Q14" s="64">
        <f t="shared" si="8"/>
        <v>43</v>
      </c>
      <c r="R14" s="64">
        <f t="shared" si="9"/>
        <v>34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  <c r="AC14" s="49">
        <f t="shared" si="16"/>
        <v>9</v>
      </c>
      <c r="AD14" s="49">
        <f t="shared" si="17"/>
        <v>23</v>
      </c>
    </row>
    <row r="15" spans="1:30" ht="21" customHeight="1" x14ac:dyDescent="0.15">
      <c r="A15" s="47">
        <v>60028015</v>
      </c>
      <c r="B15" s="47" t="s">
        <v>442</v>
      </c>
      <c r="C15" s="50">
        <v>3</v>
      </c>
      <c r="D15" s="50" t="s">
        <v>128</v>
      </c>
      <c r="E15" s="51" t="s">
        <v>414</v>
      </c>
      <c r="F15" s="51" t="s">
        <v>424</v>
      </c>
      <c r="G15" s="64" t="str">
        <f t="shared" si="0"/>
        <v>[effect:enemy_message, val1:1.2, val2:1.6]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32</v>
      </c>
      <c r="L15" s="64" t="str">
        <f>IFERROR(VLOOKUP(MID(G15,J15,K15-J15),[6]skilldef!$C:$D,2,FALSE),"-") &amp; " / " &amp; IFERROR(VLOOKUP(MID(G15,H15,I15-H15),[6]skilldef!$A:$B,2,FALSE),"-")</f>
        <v>- / -</v>
      </c>
      <c r="M15" s="64" t="str">
        <f t="shared" si="5"/>
        <v>[effect:panel_freeze, target:block_blue, count:-1, break_count:1],[effect:rush, count:1, val:1]</v>
      </c>
      <c r="N15" s="48" t="str">
        <f t="shared" si="15"/>
        <v>[effect:panel_freeze, target:block_blue, count:-1, break_count:1],[effect:rush, count:1, val:1]</v>
      </c>
      <c r="O15" s="64">
        <f t="shared" si="6"/>
        <v>9</v>
      </c>
      <c r="P15" s="64">
        <f t="shared" si="7"/>
        <v>21</v>
      </c>
      <c r="Q15" s="64">
        <f t="shared" si="8"/>
        <v>30</v>
      </c>
      <c r="R15" s="64">
        <f t="shared" si="9"/>
        <v>40</v>
      </c>
      <c r="S15" s="64" t="str">
        <f>IFERROR(VLOOKUP(MID(N15,Q15,R15-Q15),[6]skilldef!$C:$D,2,FALSE),"-") &amp; " / " &amp; IFERROR(VLOOKUP(MID(N15,O15,P15-O15),[6]skilldef!$A:$B,2,FALSE),"-")</f>
        <v>青パネルを / -</v>
      </c>
      <c r="T15" s="48" t="str">
        <f t="shared" si="10"/>
        <v>[effect:rush, count:1, val:1]</v>
      </c>
      <c r="U15" s="64">
        <f t="shared" si="11"/>
        <v>9</v>
      </c>
      <c r="V15" s="64">
        <f t="shared" si="12"/>
        <v>13</v>
      </c>
      <c r="W15" s="64" t="e">
        <f t="shared" si="13"/>
        <v>#VALUE!</v>
      </c>
      <c r="X15" s="64">
        <f t="shared" si="14"/>
        <v>22</v>
      </c>
      <c r="Y15" s="64" t="str">
        <f>IFERROR(VLOOKUP(MID(T15,W15,X15-W15),[6]skilldef!$C:$D,2,FALSE),"-") &amp; " / " &amp; IFERROR(VLOOKUP(MID(T15,U15,V15-U15),[6]skilldef!$A:$B,2,FALSE),"-")</f>
        <v>- / 連続攻撃</v>
      </c>
      <c r="Z15" s="50"/>
      <c r="AA15" s="52"/>
      <c r="AB15" s="50"/>
      <c r="AC15" s="49">
        <f t="shared" si="16"/>
        <v>9</v>
      </c>
      <c r="AD15" s="49">
        <f t="shared" si="17"/>
        <v>16</v>
      </c>
    </row>
    <row r="16" spans="1:30" ht="21" customHeight="1" x14ac:dyDescent="0.15">
      <c r="A16" s="47">
        <v>60028016</v>
      </c>
      <c r="B16" s="47" t="s">
        <v>443</v>
      </c>
      <c r="C16" s="50">
        <v>3</v>
      </c>
      <c r="D16" s="50" t="s">
        <v>128</v>
      </c>
      <c r="E16" s="51" t="s">
        <v>372</v>
      </c>
      <c r="F16" s="51" t="s">
        <v>425</v>
      </c>
      <c r="G16" s="64" t="str">
        <f t="shared" si="0"/>
        <v>[effect:enemy_message, val1:1.2, val2:1.3]</v>
      </c>
      <c r="H16" s="64">
        <f t="shared" si="1"/>
        <v>9</v>
      </c>
      <c r="I16" s="64">
        <f t="shared" si="2"/>
        <v>22</v>
      </c>
      <c r="J16" s="64" t="e">
        <f t="shared" si="3"/>
        <v>#VALUE!</v>
      </c>
      <c r="K16" s="64">
        <f t="shared" si="4"/>
        <v>32</v>
      </c>
      <c r="L16" s="64" t="str">
        <f>IFERROR(VLOOKUP(MID(G16,J16,K16-J16),[6]skilldef!$C:$D,2,FALSE),"-") &amp; " / " &amp; IFERROR(VLOOKUP(MID(G16,H16,I16-H16),[6]skilldef!$A:$B,2,FALSE),"-")</f>
        <v>- / -</v>
      </c>
      <c r="M16" s="64" t="str">
        <f t="shared" si="5"/>
        <v>[effect:freq_turn, target:myself, turn:1, val:1, animation:enemy_freq_turn]</v>
      </c>
      <c r="N16" s="48" t="str">
        <f t="shared" si="15"/>
        <v>[effect:freq_turn, target:myself, turn:1, val:1, animation:enemy_freq_turn]</v>
      </c>
      <c r="O16" s="64">
        <f t="shared" si="6"/>
        <v>9</v>
      </c>
      <c r="P16" s="64">
        <f t="shared" si="7"/>
        <v>18</v>
      </c>
      <c r="Q16" s="64">
        <f t="shared" si="8"/>
        <v>27</v>
      </c>
      <c r="R16" s="64">
        <f t="shared" si="9"/>
        <v>33</v>
      </c>
      <c r="S16" s="64" t="str">
        <f>IFERROR(VLOOKUP(MID(N16,Q16,R16-Q16),[6]skilldef!$C:$D,2,FALSE),"-") &amp; " / " &amp; IFERROR(VLOOKUP(MID(N16,O16,P16-O16),[6]skilldef!$A:$B,2,FALSE),"-")</f>
        <v>自分自身に / 攻撃頻度がUP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  <c r="AC16" s="49">
        <f t="shared" si="16"/>
        <v>9</v>
      </c>
      <c r="AD16" s="49">
        <f t="shared" si="17"/>
        <v>13</v>
      </c>
    </row>
    <row r="17" spans="1:30" ht="21" customHeight="1" x14ac:dyDescent="0.15">
      <c r="A17" s="47">
        <v>60028017</v>
      </c>
      <c r="B17" s="47" t="s">
        <v>426</v>
      </c>
      <c r="C17" s="50">
        <v>3</v>
      </c>
      <c r="D17" s="50" t="s">
        <v>128</v>
      </c>
      <c r="E17" s="51" t="s">
        <v>369</v>
      </c>
      <c r="F17" s="51" t="s">
        <v>427</v>
      </c>
      <c r="G17" s="64" t="str">
        <f t="shared" si="0"/>
        <v>[effect:enemy_message, val1:1.2, val2:1.2]</v>
      </c>
      <c r="H17" s="64">
        <f t="shared" si="1"/>
        <v>9</v>
      </c>
      <c r="I17" s="64">
        <f t="shared" si="2"/>
        <v>22</v>
      </c>
      <c r="J17" s="64" t="e">
        <f t="shared" si="3"/>
        <v>#VALUE!</v>
      </c>
      <c r="K17" s="64">
        <f t="shared" si="4"/>
        <v>32</v>
      </c>
      <c r="L17" s="64" t="str">
        <f>IFERROR(VLOOKUP(MID(G17,J17,K17-J17),[6]skilldef!$C:$D,2,FALSE),"-") &amp; " / " &amp; IFERROR(VLOOKUP(MID(G17,H17,I17-H17),[6]skilldef!$A:$B,2,FALSE),"-")</f>
        <v>- / -</v>
      </c>
      <c r="M17" s="64" t="str">
        <f t="shared" si="5"/>
        <v xml:space="preserve">[effect:break_heal_fix, val:5000, lowest_val:2000, count:-1, block01:block_blue, target:myself, animation:enemy_heal]    </v>
      </c>
      <c r="N17" s="48" t="str">
        <f t="shared" si="15"/>
        <v xml:space="preserve">[effect:break_heal_fix, val:5000, lowest_val:2000, count:-1, block01:block_blue, target:myself, animation:enemy_heal]    </v>
      </c>
      <c r="O17" s="64">
        <f t="shared" si="6"/>
        <v>9</v>
      </c>
      <c r="P17" s="64">
        <f t="shared" si="7"/>
        <v>23</v>
      </c>
      <c r="Q17" s="64">
        <f t="shared" si="8"/>
        <v>89</v>
      </c>
      <c r="R17" s="64">
        <f t="shared" si="9"/>
        <v>33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  <c r="AC17" s="49">
        <f t="shared" si="16"/>
        <v>6</v>
      </c>
      <c r="AD17" s="49">
        <f t="shared" si="17"/>
        <v>11</v>
      </c>
    </row>
    <row r="18" spans="1:30" ht="21" customHeight="1" x14ac:dyDescent="0.15">
      <c r="A18" s="47">
        <v>60028018</v>
      </c>
      <c r="B18" s="47" t="s">
        <v>428</v>
      </c>
      <c r="C18" s="50">
        <v>3</v>
      </c>
      <c r="D18" s="50" t="s">
        <v>128</v>
      </c>
      <c r="E18" s="51" t="s">
        <v>376</v>
      </c>
      <c r="F18" s="51" t="s">
        <v>422</v>
      </c>
      <c r="G18" s="64" t="str">
        <f t="shared" si="0"/>
        <v>[effect:enemy_message, val1:1.2, val2:1.2]</v>
      </c>
      <c r="H18" s="64">
        <f t="shared" si="1"/>
        <v>9</v>
      </c>
      <c r="I18" s="64">
        <f t="shared" si="2"/>
        <v>22</v>
      </c>
      <c r="J18" s="64" t="e">
        <f t="shared" si="3"/>
        <v>#VALUE!</v>
      </c>
      <c r="K18" s="64">
        <f t="shared" si="4"/>
        <v>32</v>
      </c>
      <c r="L18" s="64" t="str">
        <f>IFERROR(VLOOKUP(MID(G18,J18,K18-J18),[6]skilldef!$C:$D,2,FALSE),"-") &amp; " / " &amp; IFERROR(VLOOKUP(MID(G18,H18,I18-H18),[6]skilldef!$A:$B,2,FALSE),"-")</f>
        <v>- / -</v>
      </c>
      <c r="M18" s="64" t="str">
        <f t="shared" si="5"/>
        <v xml:space="preserve">[effect:fix_speed, target:myself, turn:1] </v>
      </c>
      <c r="N18" s="48" t="str">
        <f t="shared" si="15"/>
        <v xml:space="preserve">[effect:fix_speed, target:myself, turn:1] </v>
      </c>
      <c r="O18" s="64">
        <f t="shared" si="6"/>
        <v>9</v>
      </c>
      <c r="P18" s="64">
        <f t="shared" si="7"/>
        <v>18</v>
      </c>
      <c r="Q18" s="64">
        <f t="shared" si="8"/>
        <v>27</v>
      </c>
      <c r="R18" s="64">
        <f t="shared" si="9"/>
        <v>33</v>
      </c>
      <c r="S18" s="64" t="str">
        <f>IFERROR(VLOOKUP(MID(N18,Q18,R18-Q18),[6]skilldef!$C:$D,2,FALSE),"-") &amp; " / " &amp; IFERROR(VLOOKUP(MID(N18,O18,P18-O18),[6]skilldef!$A:$B,2,FALSE),"-")</f>
        <v>自分自身に / 行動値設定</v>
      </c>
      <c r="T18" s="48" t="str">
        <f t="shared" si="10"/>
        <v>none</v>
      </c>
      <c r="U18" s="64" t="e">
        <f t="shared" si="11"/>
        <v>#VALUE!</v>
      </c>
      <c r="V18" s="64">
        <f t="shared" si="12"/>
        <v>4</v>
      </c>
      <c r="W18" s="64" t="e">
        <f t="shared" si="13"/>
        <v>#VALUE!</v>
      </c>
      <c r="X18" s="64" t="e">
        <f t="shared" si="14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  <c r="AC18" s="49">
        <f t="shared" si="16"/>
        <v>9</v>
      </c>
      <c r="AD18" s="49">
        <f t="shared" si="17"/>
        <v>9</v>
      </c>
    </row>
    <row r="19" spans="1:30" s="136" customFormat="1" ht="21" customHeight="1" x14ac:dyDescent="0.15">
      <c r="A19" s="132">
        <v>60028019</v>
      </c>
      <c r="B19" s="47" t="s">
        <v>500</v>
      </c>
      <c r="C19" s="50">
        <v>3</v>
      </c>
      <c r="D19" s="50" t="s">
        <v>128</v>
      </c>
      <c r="E19" s="51" t="s">
        <v>373</v>
      </c>
      <c r="F19" s="51" t="s">
        <v>499</v>
      </c>
      <c r="G19" s="134" t="str">
        <f t="shared" si="0"/>
        <v>[effect:enemy_message, val1:1.2, val2:1.8]</v>
      </c>
      <c r="H19" s="134">
        <f t="shared" si="1"/>
        <v>9</v>
      </c>
      <c r="I19" s="134">
        <f t="shared" si="2"/>
        <v>22</v>
      </c>
      <c r="J19" s="134" t="e">
        <f t="shared" si="3"/>
        <v>#VALUE!</v>
      </c>
      <c r="K19" s="134">
        <f t="shared" si="4"/>
        <v>32</v>
      </c>
      <c r="L19" s="134" t="str">
        <f>IFERROR(VLOOKUP(MID(G19,J19,K19-J19),[6]skilldef!$C:$D,2,FALSE),"-") &amp; " / " &amp; IFERROR(VLOOKUP(MID(G19,H19,I19-H19),[6]skilldef!$A:$B,2,FALSE),"-")</f>
        <v>- / -</v>
      </c>
      <c r="M19" s="134" t="str">
        <f t="shared" si="5"/>
        <v xml:space="preserve">[effect:force_change_block, new_block:jammer, target:block_all, ignore01:jammer, ignore02:crash, ignore03:crack_bomb, ignore04:time_bomb, ignore05:magnet, ignore06:damage, ignore07:color_break, count:3, val:0, animation:change_block]    </v>
      </c>
      <c r="N19" s="132" t="str">
        <f t="shared" si="15"/>
        <v xml:space="preserve">[effect:force_change_block, new_block:jammer, target:block_all, ignore01:jammer, ignore02:crash, ignore03:crack_bomb, ignore04:time_bomb, ignore05:magnet, ignore06:damage, ignore07:color_break, count:3, val:0, animation:change_block]    </v>
      </c>
      <c r="O19" s="134">
        <f t="shared" si="6"/>
        <v>9</v>
      </c>
      <c r="P19" s="134">
        <f t="shared" si="7"/>
        <v>27</v>
      </c>
      <c r="Q19" s="134">
        <f t="shared" si="8"/>
        <v>54</v>
      </c>
      <c r="R19" s="134">
        <f t="shared" si="9"/>
        <v>45</v>
      </c>
      <c r="S19" s="134" t="str">
        <f>IFERROR(VLOOKUP(MID(N19,Q19,R19-Q19),[6]skilldef!$C:$D,2,FALSE),"-") &amp; " / " &amp; IFERROR(VLOOKUP(MID(N19,O19,P19-O19),[6]skilldef!$A:$B,2,FALSE),"-")</f>
        <v>- / -</v>
      </c>
      <c r="T19" s="132" t="str">
        <f t="shared" si="10"/>
        <v>none</v>
      </c>
      <c r="U19" s="134" t="e">
        <f t="shared" si="11"/>
        <v>#VALUE!</v>
      </c>
      <c r="V19" s="134">
        <f t="shared" si="12"/>
        <v>4</v>
      </c>
      <c r="W19" s="134" t="e">
        <f t="shared" si="13"/>
        <v>#VALUE!</v>
      </c>
      <c r="X19" s="134" t="e">
        <f t="shared" si="14"/>
        <v>#VALUE!</v>
      </c>
      <c r="Y19" s="134" t="str">
        <f>IFERROR(VLOOKUP(MID(T19,W19,X19-W19),[6]skilldef!$C:$D,2,FALSE),"-") &amp; " / " &amp; IFERROR(VLOOKUP(MID(T19,U19,V19-U19),[6]skilldef!$A:$B,2,FALSE),"-")</f>
        <v>- / -</v>
      </c>
      <c r="Z19" s="133"/>
      <c r="AA19" s="135"/>
      <c r="AB19" s="133"/>
      <c r="AC19" s="49">
        <f t="shared" si="16"/>
        <v>7</v>
      </c>
      <c r="AD19" s="49">
        <f t="shared" si="17"/>
        <v>18</v>
      </c>
    </row>
    <row r="20" spans="1:30" ht="21" customHeight="1" x14ac:dyDescent="0.15">
      <c r="A20" s="47">
        <v>60028020</v>
      </c>
      <c r="B20" s="47" t="s">
        <v>409</v>
      </c>
      <c r="C20" s="50">
        <v>3</v>
      </c>
      <c r="D20" s="50" t="s">
        <v>128</v>
      </c>
      <c r="E20" s="51" t="s">
        <v>457</v>
      </c>
      <c r="F20" s="51" t="s">
        <v>387</v>
      </c>
      <c r="G20" s="64" t="str">
        <f t="shared" si="0"/>
        <v>[effect:enemy_message, val1:1.2, val2:1.2]</v>
      </c>
      <c r="H20" s="64">
        <f t="shared" si="1"/>
        <v>9</v>
      </c>
      <c r="I20" s="64">
        <f t="shared" si="2"/>
        <v>22</v>
      </c>
      <c r="J20" s="64" t="e">
        <f t="shared" si="3"/>
        <v>#VALUE!</v>
      </c>
      <c r="K20" s="64">
        <f t="shared" si="4"/>
        <v>32</v>
      </c>
      <c r="L20" s="64" t="str">
        <f>IFERROR(VLOOKUP(MID(G20,J20,K20-J20),[6]skilldef!$C:$D,2,FALSE),"-") &amp; " / " &amp; IFERROR(VLOOKUP(MID(G20,H20,I20-H20),[6]skilldef!$A:$B,2,FALSE),"-")</f>
        <v>- / -</v>
      </c>
      <c r="M20" s="64" t="str">
        <f t="shared" si="5"/>
        <v>[effect:spread, val:0.25]</v>
      </c>
      <c r="N20" s="48" t="str">
        <f t="shared" si="15"/>
        <v>[effect:spread, val:0.25]</v>
      </c>
      <c r="O20" s="64">
        <f t="shared" si="6"/>
        <v>9</v>
      </c>
      <c r="P20" s="64">
        <f t="shared" si="7"/>
        <v>15</v>
      </c>
      <c r="Q20" s="64" t="e">
        <f t="shared" si="8"/>
        <v>#VALUE!</v>
      </c>
      <c r="R20" s="64" t="e">
        <f t="shared" si="9"/>
        <v>#VALUE!</v>
      </c>
      <c r="S20" s="64" t="str">
        <f>IFERROR(VLOOKUP(MID(N20,Q20,R20-Q20),[6]skilldef!$C:$D,2,FALSE),"-") &amp; " / " &amp; IFERROR(VLOOKUP(MID(N20,O20,P20-O20),[6]skilldef!$A:$B,2,FALSE),"-")</f>
        <v>- / 全体攻撃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  <c r="AC20" s="49">
        <f t="shared" si="16"/>
        <v>11</v>
      </c>
      <c r="AD20" s="49">
        <f t="shared" si="17"/>
        <v>4</v>
      </c>
    </row>
    <row r="21" spans="1:30" ht="21" customHeight="1" x14ac:dyDescent="0.15">
      <c r="A21" s="47">
        <v>60028021</v>
      </c>
      <c r="B21" s="47" t="s">
        <v>444</v>
      </c>
      <c r="C21" s="50">
        <v>3</v>
      </c>
      <c r="D21" s="50" t="s">
        <v>128</v>
      </c>
      <c r="E21" s="51" t="s">
        <v>456</v>
      </c>
      <c r="F21" s="51" t="s">
        <v>505</v>
      </c>
      <c r="G21" s="64" t="str">
        <f t="shared" si="0"/>
        <v>[effect:enemy_message, val1:1.3, val2:1.2]</v>
      </c>
      <c r="H21" s="64">
        <f t="shared" si="1"/>
        <v>9</v>
      </c>
      <c r="I21" s="64">
        <f t="shared" si="2"/>
        <v>22</v>
      </c>
      <c r="J21" s="64" t="e">
        <f t="shared" si="3"/>
        <v>#VALUE!</v>
      </c>
      <c r="K21" s="64">
        <f t="shared" si="4"/>
        <v>32</v>
      </c>
      <c r="L21" s="64" t="str">
        <f>IFERROR(VLOOKUP(MID(G21,J21,K21-J21),[6]skilldef!$C:$D,2,FALSE),"-") &amp; " / " &amp; IFERROR(VLOOKUP(MID(G21,H21,I21-H21),[6]skilldef!$A:$B,2,FALSE),"-")</f>
        <v>- / -</v>
      </c>
      <c r="M21" s="64" t="str">
        <f t="shared" si="5"/>
        <v xml:space="preserve">[effect:enhance_enemy, target:myself, turn:-1, status:attack, val:0.15, calc:mul, animation:enemy_enhance_attack]    </v>
      </c>
      <c r="N21" s="48" t="str">
        <f t="shared" si="15"/>
        <v xml:space="preserve">[effect:enhance_enemy, target:myself, turn:-1, status:attack, val:0.15, calc:mul, animation:enemy_enhance_attack]    </v>
      </c>
      <c r="O21" s="64">
        <f t="shared" si="6"/>
        <v>9</v>
      </c>
      <c r="P21" s="64">
        <f t="shared" si="7"/>
        <v>22</v>
      </c>
      <c r="Q21" s="64">
        <f t="shared" si="8"/>
        <v>31</v>
      </c>
      <c r="R21" s="64">
        <f t="shared" si="9"/>
        <v>37</v>
      </c>
      <c r="S21" s="64" t="str">
        <f>IFERROR(VLOOKUP(MID(N21,Q21,R21-Q21),[6]skilldef!$C:$D,2,FALSE),"-") &amp; " / " &amp; IFERROR(VLOOKUP(MID(N21,O21,P21-O21),[6]skilldef!$A:$B,2,FALSE),"-")</f>
        <v>自分自身に / ステータス強化</v>
      </c>
      <c r="T21" s="48" t="str">
        <f t="shared" si="10"/>
        <v>none</v>
      </c>
      <c r="U21" s="64" t="e">
        <f t="shared" si="11"/>
        <v>#VALUE!</v>
      </c>
      <c r="V21" s="64">
        <f t="shared" si="12"/>
        <v>4</v>
      </c>
      <c r="W21" s="64" t="e">
        <f t="shared" si="13"/>
        <v>#VALUE!</v>
      </c>
      <c r="X21" s="64" t="e">
        <f t="shared" si="14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  <c r="AC21" s="49">
        <f t="shared" si="16"/>
        <v>9</v>
      </c>
      <c r="AD21" s="49">
        <f t="shared" si="17"/>
        <v>8</v>
      </c>
    </row>
    <row r="22" spans="1:30" s="136" customFormat="1" ht="21" customHeight="1" x14ac:dyDescent="0.15">
      <c r="A22" s="132">
        <v>60028022</v>
      </c>
      <c r="B22" s="145" t="s">
        <v>523</v>
      </c>
      <c r="C22" s="50">
        <v>3</v>
      </c>
      <c r="D22" s="50" t="s">
        <v>128</v>
      </c>
      <c r="E22" s="144" t="s">
        <v>395</v>
      </c>
      <c r="F22" s="51" t="s">
        <v>492</v>
      </c>
      <c r="G22" s="134" t="str">
        <f t="shared" si="0"/>
        <v>[effect:enemy_message, val1:2.0, val2:2.1]</v>
      </c>
      <c r="H22" s="134">
        <f t="shared" si="1"/>
        <v>9</v>
      </c>
      <c r="I22" s="134">
        <f t="shared" si="2"/>
        <v>22</v>
      </c>
      <c r="J22" s="134" t="e">
        <f t="shared" si="3"/>
        <v>#VALUE!</v>
      </c>
      <c r="K22" s="134">
        <f t="shared" si="4"/>
        <v>32</v>
      </c>
      <c r="L22" s="134" t="str">
        <f>IFERROR(VLOOKUP(MID(G22,J22,K22-J22),[6]skilldef!$C:$D,2,FALSE),"-") &amp; " / " &amp; IFERROR(VLOOKUP(MID(G22,H22,I22-H22),[6]skilldef!$A:$B,2,FALSE),"-")</f>
        <v>- / -</v>
      </c>
      <c r="M22" s="134" t="str">
        <f t="shared" si="5"/>
        <v>[effect:tolerance, target:myself, turn:-1, count:-1, tolerance_effect:all, animation:enemy_tolerance],[effect:freq_turn, target:myself, turn:1, val:1, animation:enemy_freq_turn]</v>
      </c>
      <c r="N22" s="132" t="str">
        <f t="shared" si="15"/>
        <v>[effect:tolerance, target:myself, turn:-1, count:-1, tolerance_effect:all, animation:enemy_tolerance],[effect:freq_turn, target:myself, turn:1, val:1, animation:enemy_freq_turn]</v>
      </c>
      <c r="O22" s="134">
        <f t="shared" si="6"/>
        <v>9</v>
      </c>
      <c r="P22" s="134">
        <f t="shared" si="7"/>
        <v>18</v>
      </c>
      <c r="Q22" s="134">
        <f t="shared" si="8"/>
        <v>27</v>
      </c>
      <c r="R22" s="134">
        <f t="shared" si="9"/>
        <v>33</v>
      </c>
      <c r="S22" s="134" t="str">
        <f>IFERROR(VLOOKUP(MID(N22,Q22,R22-Q22),[6]skilldef!$C:$D,2,FALSE),"-") &amp; " / " &amp; IFERROR(VLOOKUP(MID(N22,O22,P22-O22),[6]skilldef!$A:$B,2,FALSE),"-")</f>
        <v>自分自身に / 状態異常耐性</v>
      </c>
      <c r="T22" s="132" t="str">
        <f t="shared" si="10"/>
        <v>[effect:freq_turn, target:myself, turn:1, val:1, animation:enemy_freq_turn]</v>
      </c>
      <c r="U22" s="134">
        <f t="shared" si="11"/>
        <v>9</v>
      </c>
      <c r="V22" s="134">
        <f t="shared" si="12"/>
        <v>18</v>
      </c>
      <c r="W22" s="134">
        <f t="shared" si="13"/>
        <v>27</v>
      </c>
      <c r="X22" s="134">
        <f t="shared" si="14"/>
        <v>33</v>
      </c>
      <c r="Y22" s="134" t="str">
        <f>IFERROR(VLOOKUP(MID(T22,W22,X22-W22),[6]skilldef!$C:$D,2,FALSE),"-") &amp; " / " &amp; IFERROR(VLOOKUP(MID(T22,U22,V22-U22),[6]skilldef!$A:$B,2,FALSE),"-")</f>
        <v>自分自身に / 攻撃頻度がUP</v>
      </c>
      <c r="Z22" s="133"/>
      <c r="AA22" s="135"/>
      <c r="AB22" s="133"/>
      <c r="AC22" s="49">
        <f t="shared" si="16"/>
        <v>30</v>
      </c>
      <c r="AD22" s="49">
        <f t="shared" si="17"/>
        <v>21</v>
      </c>
    </row>
    <row r="23" spans="1:30" s="136" customFormat="1" ht="21" customHeight="1" x14ac:dyDescent="0.15">
      <c r="A23" s="132">
        <v>60028023</v>
      </c>
      <c r="B23" s="47" t="s">
        <v>517</v>
      </c>
      <c r="C23" s="50">
        <v>3</v>
      </c>
      <c r="D23" s="50" t="s">
        <v>128</v>
      </c>
      <c r="E23" s="51" t="s">
        <v>391</v>
      </c>
      <c r="F23" s="51" t="s">
        <v>516</v>
      </c>
      <c r="G23" s="134" t="str">
        <f t="shared" si="0"/>
        <v>[effect:enemy_message, val1:1.2, val2:2.3]</v>
      </c>
      <c r="H23" s="134">
        <f t="shared" si="1"/>
        <v>9</v>
      </c>
      <c r="I23" s="134">
        <f t="shared" si="2"/>
        <v>22</v>
      </c>
      <c r="J23" s="134" t="e">
        <f t="shared" si="3"/>
        <v>#VALUE!</v>
      </c>
      <c r="K23" s="134">
        <f t="shared" si="4"/>
        <v>32</v>
      </c>
      <c r="L23" s="134" t="str">
        <f>IFERROR(VLOOKUP(MID(G23,J23,K23-J23),[6]skilldef!$C:$D,2,FALSE),"-") &amp; " / " &amp; IFERROR(VLOOKUP(MID(G23,H23,I23-H23),[6]skilldef!$A:$B,2,FALSE),"-")</f>
        <v>- / -</v>
      </c>
      <c r="M23" s="134" t="str">
        <f t="shared" si="5"/>
        <v xml:space="preserve">[effect:change_bomb_range, turn:5, target:unit_all, val:0.6, rate:1, animation:bomb_small]    </v>
      </c>
      <c r="N23" s="132" t="str">
        <f t="shared" si="15"/>
        <v xml:space="preserve">[effect:change_bomb_range, turn:5, target:unit_all, val:0.6, rate:1, animation:bomb_small]    </v>
      </c>
      <c r="O23" s="134">
        <f t="shared" si="6"/>
        <v>9</v>
      </c>
      <c r="P23" s="134">
        <f t="shared" si="7"/>
        <v>26</v>
      </c>
      <c r="Q23" s="134">
        <f t="shared" si="8"/>
        <v>43</v>
      </c>
      <c r="R23" s="134">
        <f t="shared" si="9"/>
        <v>34</v>
      </c>
      <c r="S23" s="134" t="str">
        <f>IFERROR(VLOOKUP(MID(N23,Q23,R23-Q23),[6]skilldef!$C:$D,2,FALSE),"-") &amp; " / " &amp; IFERROR(VLOOKUP(MID(N23,O23,P23-O23),[6]skilldef!$A:$B,2,FALSE),"-")</f>
        <v>- / -</v>
      </c>
      <c r="T23" s="132" t="str">
        <f t="shared" si="10"/>
        <v>none</v>
      </c>
      <c r="U23" s="134" t="e">
        <f t="shared" si="11"/>
        <v>#VALUE!</v>
      </c>
      <c r="V23" s="134">
        <f t="shared" si="12"/>
        <v>4</v>
      </c>
      <c r="W23" s="134" t="e">
        <f t="shared" si="13"/>
        <v>#VALUE!</v>
      </c>
      <c r="X23" s="134" t="e">
        <f t="shared" si="14"/>
        <v>#VALUE!</v>
      </c>
      <c r="Y23" s="134" t="str">
        <f>IFERROR(VLOOKUP(MID(T23,W23,X23-W23),[6]skilldef!$C:$D,2,FALSE),"-") &amp; " / " &amp; IFERROR(VLOOKUP(MID(T23,U23,V23-U23),[6]skilldef!$A:$B,2,FALSE),"-")</f>
        <v>- / -</v>
      </c>
      <c r="Z23" s="133"/>
      <c r="AA23" s="135"/>
      <c r="AB23" s="133"/>
      <c r="AC23" s="49">
        <f t="shared" si="16"/>
        <v>8</v>
      </c>
      <c r="AD23" s="49">
        <f t="shared" si="17"/>
        <v>23</v>
      </c>
    </row>
    <row r="24" spans="1:30" ht="21" customHeight="1" x14ac:dyDescent="0.15">
      <c r="A24" s="47">
        <v>60028024</v>
      </c>
      <c r="B24" s="47" t="s">
        <v>445</v>
      </c>
      <c r="C24" s="50">
        <v>3</v>
      </c>
      <c r="D24" s="50" t="s">
        <v>128</v>
      </c>
      <c r="E24" s="51" t="s">
        <v>384</v>
      </c>
      <c r="F24" s="51" t="s">
        <v>429</v>
      </c>
      <c r="G24" s="64" t="str">
        <f t="shared" si="0"/>
        <v>[effect:enemy_message, val1:1.2, val2:2.3]</v>
      </c>
      <c r="H24" s="64">
        <f t="shared" si="1"/>
        <v>9</v>
      </c>
      <c r="I24" s="64">
        <f t="shared" si="2"/>
        <v>22</v>
      </c>
      <c r="J24" s="64" t="e">
        <f t="shared" si="3"/>
        <v>#VALUE!</v>
      </c>
      <c r="K24" s="64">
        <f t="shared" si="4"/>
        <v>32</v>
      </c>
      <c r="L24" s="64" t="str">
        <f>IFERROR(VLOOKUP(MID(G24,J24,K24-J24),[6]skilldef!$C:$D,2,FALSE),"-") &amp; " / " &amp; IFERROR(VLOOKUP(MID(G24,H24,I24-H24),[6]skilldef!$A:$B,2,FALSE),"-")</f>
        <v>- / -</v>
      </c>
      <c r="M24" s="64" t="str">
        <f t="shared" si="5"/>
        <v xml:space="preserve">[effect:damage_anti_tribe, target:unit_all, tribe:human, val1:2, val2:0.25]    </v>
      </c>
      <c r="N24" s="48" t="str">
        <f t="shared" si="15"/>
        <v xml:space="preserve">[effect:damage_anti_tribe, target:unit_all, tribe:human, val1:2, val2:0.25]    </v>
      </c>
      <c r="O24" s="64">
        <f t="shared" si="6"/>
        <v>9</v>
      </c>
      <c r="P24" s="64">
        <f t="shared" si="7"/>
        <v>26</v>
      </c>
      <c r="Q24" s="64">
        <f t="shared" si="8"/>
        <v>35</v>
      </c>
      <c r="R24" s="64">
        <f t="shared" si="9"/>
        <v>43</v>
      </c>
      <c r="S24" s="64" t="str">
        <f>IFERROR(VLOOKUP(MID(N24,Q24,R24-Q24),[6]skilldef!$C:$D,2,FALSE),"-") &amp; " / " &amp; IFERROR(VLOOKUP(MID(N24,O24,P24-O24),[6]skilldef!$A:$B,2,FALSE),"-")</f>
        <v>味方全体に / 種族キラー</v>
      </c>
      <c r="T24" s="48" t="str">
        <f t="shared" si="10"/>
        <v>none</v>
      </c>
      <c r="U24" s="64" t="e">
        <f t="shared" si="11"/>
        <v>#VALUE!</v>
      </c>
      <c r="V24" s="64">
        <f t="shared" si="12"/>
        <v>4</v>
      </c>
      <c r="W24" s="64" t="e">
        <f t="shared" si="13"/>
        <v>#VALUE!</v>
      </c>
      <c r="X24" s="64" t="e">
        <f t="shared" si="14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  <c r="AC24" s="49">
        <f t="shared" si="16"/>
        <v>9</v>
      </c>
      <c r="AD24" s="49">
        <f t="shared" si="17"/>
        <v>23</v>
      </c>
    </row>
    <row r="25" spans="1:30" ht="21" customHeight="1" x14ac:dyDescent="0.15">
      <c r="A25" s="47">
        <v>60028025</v>
      </c>
      <c r="B25" s="47" t="s">
        <v>410</v>
      </c>
      <c r="C25" s="50">
        <v>3</v>
      </c>
      <c r="D25" s="50" t="s">
        <v>128</v>
      </c>
      <c r="E25" s="51" t="s">
        <v>383</v>
      </c>
      <c r="F25" s="51" t="s">
        <v>430</v>
      </c>
      <c r="G25" s="64" t="str">
        <f t="shared" si="0"/>
        <v>[effect:enemy_message, val1:1.2, val2:1.2]</v>
      </c>
      <c r="H25" s="64">
        <f t="shared" si="1"/>
        <v>9</v>
      </c>
      <c r="I25" s="64">
        <f t="shared" si="2"/>
        <v>22</v>
      </c>
      <c r="J25" s="64" t="e">
        <f t="shared" si="3"/>
        <v>#VALUE!</v>
      </c>
      <c r="K25" s="64">
        <f t="shared" si="4"/>
        <v>32</v>
      </c>
      <c r="L25" s="64" t="str">
        <f>IFERROR(VLOOKUP(MID(G25,J25,K25-J25),[6]skilldef!$C:$D,2,FALSE),"-") &amp; " / " &amp; IFERROR(VLOOKUP(MID(G25,H25,I25-H25),[6]skilldef!$A:$B,2,FALSE),"-")</f>
        <v>- / -</v>
      </c>
      <c r="M25" s="64" t="str">
        <f t="shared" si="5"/>
        <v xml:space="preserve">[effect:rush, count:3, val:0.3]    </v>
      </c>
      <c r="N25" s="48" t="str">
        <f t="shared" si="15"/>
        <v xml:space="preserve">[effect:rush, count:3, val:0.3]    </v>
      </c>
      <c r="O25" s="64">
        <f t="shared" si="6"/>
        <v>9</v>
      </c>
      <c r="P25" s="64">
        <f t="shared" si="7"/>
        <v>13</v>
      </c>
      <c r="Q25" s="64" t="e">
        <f t="shared" si="8"/>
        <v>#VALUE!</v>
      </c>
      <c r="R25" s="64">
        <f t="shared" si="9"/>
        <v>22</v>
      </c>
      <c r="S25" s="64" t="str">
        <f>IFERROR(VLOOKUP(MID(N25,Q25,R25-Q25),[6]skilldef!$C:$D,2,FALSE),"-") &amp; " / " &amp; IFERROR(VLOOKUP(MID(N25,O25,P25-O25),[6]skilldef!$A:$B,2,FALSE),"-")</f>
        <v>- / 連続攻撃</v>
      </c>
      <c r="T25" s="48" t="str">
        <f t="shared" si="10"/>
        <v>none</v>
      </c>
      <c r="U25" s="64" t="e">
        <f t="shared" si="11"/>
        <v>#VALUE!</v>
      </c>
      <c r="V25" s="64">
        <f t="shared" si="12"/>
        <v>4</v>
      </c>
      <c r="W25" s="64" t="e">
        <f t="shared" si="13"/>
        <v>#VALUE!</v>
      </c>
      <c r="X25" s="64" t="e">
        <f t="shared" si="14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  <c r="AC25" s="49">
        <f t="shared" si="16"/>
        <v>8</v>
      </c>
      <c r="AD25" s="49">
        <f t="shared" si="17"/>
        <v>6</v>
      </c>
    </row>
    <row r="26" spans="1:30" ht="21" customHeight="1" x14ac:dyDescent="0.15">
      <c r="A26" s="47">
        <v>60028026</v>
      </c>
      <c r="B26" s="47" t="s">
        <v>431</v>
      </c>
      <c r="C26" s="50">
        <v>3</v>
      </c>
      <c r="D26" s="50" t="s">
        <v>128</v>
      </c>
      <c r="E26" s="51" t="s">
        <v>379</v>
      </c>
      <c r="F26" s="51" t="s">
        <v>388</v>
      </c>
      <c r="G26" s="64" t="str">
        <f t="shared" si="0"/>
        <v>[effect:enemy_message, val1:1.2, val2:1.2]</v>
      </c>
      <c r="H26" s="64">
        <f t="shared" si="1"/>
        <v>9</v>
      </c>
      <c r="I26" s="64">
        <f t="shared" si="2"/>
        <v>22</v>
      </c>
      <c r="J26" s="64" t="e">
        <f t="shared" si="3"/>
        <v>#VALUE!</v>
      </c>
      <c r="K26" s="64">
        <f t="shared" si="4"/>
        <v>32</v>
      </c>
      <c r="L26" s="64" t="str">
        <f>IFERROR(VLOOKUP(MID(G26,J26,K26-J26),[6]skilldef!$C:$D,2,FALSE),"-") &amp; " / " &amp; IFERROR(VLOOKUP(MID(G26,H26,I26-H26),[6]skilldef!$A:$B,2,FALSE),"-")</f>
        <v>- / -</v>
      </c>
      <c r="M26" s="64" t="str">
        <f t="shared" si="5"/>
        <v>[effect:panel_freeze, target:block_red, count:-1, break_count:1]</v>
      </c>
      <c r="N26" s="48" t="str">
        <f t="shared" si="15"/>
        <v>[effect:panel_freeze, target:block_red, count:-1, break_count:1]</v>
      </c>
      <c r="O26" s="64">
        <f t="shared" si="6"/>
        <v>9</v>
      </c>
      <c r="P26" s="64">
        <f t="shared" si="7"/>
        <v>21</v>
      </c>
      <c r="Q26" s="64">
        <f t="shared" si="8"/>
        <v>30</v>
      </c>
      <c r="R26" s="64">
        <f t="shared" si="9"/>
        <v>39</v>
      </c>
      <c r="S26" s="64" t="str">
        <f>IFERROR(VLOOKUP(MID(N26,Q26,R26-Q26),[6]skilldef!$C:$D,2,FALSE),"-") &amp; " / " &amp; IFERROR(VLOOKUP(MID(N26,O26,P26-O26),[6]skilldef!$A:$B,2,FALSE),"-")</f>
        <v>赤パネルを / -</v>
      </c>
      <c r="T26" s="48" t="str">
        <f t="shared" si="10"/>
        <v>none</v>
      </c>
      <c r="U26" s="64" t="e">
        <f t="shared" si="11"/>
        <v>#VALUE!</v>
      </c>
      <c r="V26" s="64">
        <f t="shared" si="12"/>
        <v>4</v>
      </c>
      <c r="W26" s="64" t="e">
        <f t="shared" si="13"/>
        <v>#VALUE!</v>
      </c>
      <c r="X26" s="64" t="e">
        <f t="shared" si="14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  <c r="AC26" s="49">
        <f t="shared" si="16"/>
        <v>12</v>
      </c>
      <c r="AD26" s="49">
        <f t="shared" si="17"/>
        <v>11</v>
      </c>
    </row>
    <row r="27" spans="1:30" ht="21" customHeight="1" x14ac:dyDescent="0.15">
      <c r="A27" s="47">
        <v>60028027</v>
      </c>
      <c r="B27" s="47" t="s">
        <v>519</v>
      </c>
      <c r="C27" s="50">
        <v>3</v>
      </c>
      <c r="D27" s="50" t="s">
        <v>128</v>
      </c>
      <c r="E27" s="51" t="s">
        <v>392</v>
      </c>
      <c r="F27" s="51" t="s">
        <v>518</v>
      </c>
      <c r="G27" s="64" t="str">
        <f t="shared" si="0"/>
        <v>[effect:enemy_message, val1:1.2, val2:4.0]</v>
      </c>
      <c r="H27" s="64">
        <f t="shared" si="1"/>
        <v>9</v>
      </c>
      <c r="I27" s="64">
        <f t="shared" si="2"/>
        <v>22</v>
      </c>
      <c r="J27" s="64" t="e">
        <f t="shared" si="3"/>
        <v>#VALUE!</v>
      </c>
      <c r="K27" s="64">
        <f t="shared" si="4"/>
        <v>32</v>
      </c>
      <c r="L27" s="64" t="str">
        <f>IFERROR(VLOOKUP(MID(G27,J27,K27-J27),[6]skilldef!$C:$D,2,FALSE),"-") &amp; " / " &amp; IFERROR(VLOOKUP(MID(G27,H27,I27-H27),[6]skilldef!$A:$B,2,FALSE),"-")</f>
        <v>- / -</v>
      </c>
      <c r="M27" s="64" t="str">
        <f t="shared" si="5"/>
        <v>[effect:remove_enhancement, target:unit_all, target_effect:enhance, target_type:buff, status:defense],[effect:tolerance, target:myself, turn:-1, count:-1, tolerance_effect:all, animation:enemy_tolerance],[effect:reduction, target:myself, turn:1, color:all, val:0.5, animation:reduction_one01],[effect:fix_speed, target:myself, turn:1]</v>
      </c>
      <c r="N27" s="48" t="str">
        <f t="shared" si="15"/>
        <v>[effect:remove_enhancement, target:unit_all, target_effect:enhance, target_type:buff, status:defense],[effect:tolerance, target:myself, turn:-1, count:-1, tolerance_effect:all, animation:enemy_tolerance],[effect:reduction, target:myself, turn:1, color:all, val:0.5, animation:reduction_one01],[effect:fix_speed, target:myself, turn:1]</v>
      </c>
      <c r="O27" s="64">
        <f t="shared" si="6"/>
        <v>9</v>
      </c>
      <c r="P27" s="64">
        <f t="shared" si="7"/>
        <v>27</v>
      </c>
      <c r="Q27" s="64">
        <f t="shared" si="8"/>
        <v>36</v>
      </c>
      <c r="R27" s="64">
        <f t="shared" si="9"/>
        <v>44</v>
      </c>
      <c r="S27" s="64" t="str">
        <f>IFERROR(VLOOKUP(MID(N27,Q27,R27-Q27),[6]skilldef!$C:$D,2,FALSE),"-") &amp; " / " &amp; IFERROR(VLOOKUP(MID(N27,O27,P27-O27),[6]skilldef!$A:$B,2,FALSE),"-")</f>
        <v>味方全体に / -</v>
      </c>
      <c r="T27" s="48" t="str">
        <f t="shared" si="10"/>
        <v>[effect:tolerance, target:myself, turn:-1, count:-1, tolerance_effect:all, animation:enemy_tolerance],[effect:reduction, target:myself, turn:1, color:all, val:0.5, animation:reduction_one01],[effect:fix_speed, target:myself, turn:1]</v>
      </c>
      <c r="U27" s="64">
        <f t="shared" si="11"/>
        <v>9</v>
      </c>
      <c r="V27" s="64">
        <f t="shared" si="12"/>
        <v>18</v>
      </c>
      <c r="W27" s="64">
        <f t="shared" si="13"/>
        <v>27</v>
      </c>
      <c r="X27" s="64">
        <f t="shared" si="14"/>
        <v>33</v>
      </c>
      <c r="Y27" s="64" t="str">
        <f>IFERROR(VLOOKUP(MID(T27,W27,X27-W27),[6]skilldef!$C:$D,2,FALSE),"-") &amp; " / " &amp; IFERROR(VLOOKUP(MID(T27,U27,V27-U27),[6]skilldef!$A:$B,2,FALSE),"-")</f>
        <v>自分自身に / 状態異常耐性</v>
      </c>
      <c r="Z27" s="50"/>
      <c r="AA27" s="52"/>
      <c r="AB27" s="50"/>
      <c r="AC27" s="49">
        <f t="shared" si="16"/>
        <v>12</v>
      </c>
      <c r="AD27" s="49">
        <f t="shared" si="17"/>
        <v>40</v>
      </c>
    </row>
    <row r="28" spans="1:30" ht="21" customHeight="1" x14ac:dyDescent="0.15">
      <c r="A28" s="47">
        <v>60028028</v>
      </c>
      <c r="B28" s="47" t="s">
        <v>446</v>
      </c>
      <c r="C28" s="50">
        <v>3</v>
      </c>
      <c r="D28" s="50" t="s">
        <v>128</v>
      </c>
      <c r="E28" s="51" t="s">
        <v>380</v>
      </c>
      <c r="F28" s="51" t="s">
        <v>432</v>
      </c>
      <c r="G28" s="64" t="str">
        <f t="shared" si="0"/>
        <v>[effect:enemy_message, val1:1.2, val2:1.8]</v>
      </c>
      <c r="H28" s="64">
        <f t="shared" si="1"/>
        <v>9</v>
      </c>
      <c r="I28" s="64">
        <f t="shared" si="2"/>
        <v>22</v>
      </c>
      <c r="J28" s="64" t="e">
        <f t="shared" si="3"/>
        <v>#VALUE!</v>
      </c>
      <c r="K28" s="64">
        <f t="shared" si="4"/>
        <v>32</v>
      </c>
      <c r="L28" s="64" t="str">
        <f>IFERROR(VLOOKUP(MID(G28,J28,K28-J28),[6]skilldef!$C:$D,2,FALSE),"-") &amp; " / " &amp; IFERROR(VLOOKUP(MID(G28,H28,I28-H28),[6]skilldef!$A:$B,2,FALSE),"-")</f>
        <v>- / -</v>
      </c>
      <c r="M28" s="64" t="str">
        <f t="shared" si="5"/>
        <v xml:space="preserve">[effect:drop_freeze, block_type:crash, frozen_count:1, rate:1, turn:-1, animation:drop_protect]    </v>
      </c>
      <c r="N28" s="48" t="str">
        <f>IFERROR(LEFT(M28,FIND("],",M28)+#REF!),M28)</f>
        <v xml:space="preserve">[effect:drop_freeze, block_type:crash, frozen_count:1, rate:1, turn:-1, animation:drop_protect]    </v>
      </c>
      <c r="O28" s="64">
        <f t="shared" si="6"/>
        <v>9</v>
      </c>
      <c r="P28" s="64">
        <f t="shared" si="7"/>
        <v>20</v>
      </c>
      <c r="Q28" s="64" t="e">
        <f t="shared" si="8"/>
        <v>#VALUE!</v>
      </c>
      <c r="R28" s="64">
        <f t="shared" si="9"/>
        <v>38</v>
      </c>
      <c r="S28" s="64" t="str">
        <f>IFERROR(VLOOKUP(MID(N28,Q28,R28-Q28),[6]skilldef!$C:$D,2,FALSE),"-") &amp; " / " &amp; IFERROR(VLOOKUP(MID(N28,O28,P28-O28),[6]skilldef!$A:$B,2,FALSE),"-")</f>
        <v>- / -</v>
      </c>
      <c r="T28" s="48" t="str">
        <f t="shared" si="10"/>
        <v>none</v>
      </c>
      <c r="U28" s="64" t="e">
        <f t="shared" si="11"/>
        <v>#VALUE!</v>
      </c>
      <c r="V28" s="64">
        <f t="shared" si="12"/>
        <v>4</v>
      </c>
      <c r="W28" s="64" t="e">
        <f t="shared" si="13"/>
        <v>#VALUE!</v>
      </c>
      <c r="X28" s="64" t="e">
        <f t="shared" si="14"/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  <c r="AC28" s="49">
        <f t="shared" si="16"/>
        <v>11</v>
      </c>
      <c r="AD28" s="49">
        <f t="shared" si="17"/>
        <v>18</v>
      </c>
    </row>
    <row r="29" spans="1:30" ht="21" customHeight="1" x14ac:dyDescent="0.15">
      <c r="A29" s="47">
        <v>60028029</v>
      </c>
      <c r="B29" s="47" t="s">
        <v>447</v>
      </c>
      <c r="C29" s="50">
        <v>3</v>
      </c>
      <c r="D29" s="50" t="s">
        <v>128</v>
      </c>
      <c r="E29" s="51" t="s">
        <v>385</v>
      </c>
      <c r="F29" s="51" t="s">
        <v>433</v>
      </c>
      <c r="G29" s="64" t="str">
        <f t="shared" ref="G29:G34" si="18">IFERROR(LEFT(B29,FIND("],",B29)),B29)</f>
        <v>[effect:enemy_message, val1:1.2, val2:2.1]</v>
      </c>
      <c r="H29" s="64">
        <f t="shared" si="1"/>
        <v>9</v>
      </c>
      <c r="I29" s="64">
        <f t="shared" ref="I29:I34" si="19">IFERROR(FIND(",",G29),LEN(G29))</f>
        <v>22</v>
      </c>
      <c r="J29" s="64" t="e">
        <f t="shared" ref="J29:J34" si="20">FIND("target:",G29)+7</f>
        <v>#VALUE!</v>
      </c>
      <c r="K29" s="64">
        <f t="shared" ref="K29:K34" si="21">FIND(",",G29,I29+1)</f>
        <v>32</v>
      </c>
      <c r="L29" s="64" t="str">
        <f>IFERROR(VLOOKUP(MID(G29,J29,K29-J29),[6]skilldef!$C:$D,2,FALSE),"-") &amp; " / " &amp; IFERROR(VLOOKUP(MID(G29,H29,I29-H29),[6]skilldef!$A:$B,2,FALSE),"-")</f>
        <v>- / -</v>
      </c>
      <c r="M29" s="64" t="str">
        <f t="shared" ref="M29:M34" si="22">IFERROR(RIGHT(B29,LEN(B29)-FIND("],",B29)-1),"none")</f>
        <v xml:space="preserve">[effect:damage_anti_tribe, target:unit_all, tribe:machine, val1:2, val2:0.25]    </v>
      </c>
      <c r="N29" s="48" t="str">
        <f t="shared" ref="N29:N30" si="23">IFERROR(LEFT(M29,FIND("],",M29)+S38),M29)</f>
        <v xml:space="preserve">[effect:damage_anti_tribe, target:unit_all, tribe:machine, val1:2, val2:0.25]    </v>
      </c>
      <c r="O29" s="64">
        <f t="shared" si="6"/>
        <v>9</v>
      </c>
      <c r="P29" s="64">
        <f t="shared" ref="P29:P34" si="24">IFERROR(FIND(",",N29),LEN(N29))</f>
        <v>26</v>
      </c>
      <c r="Q29" s="64">
        <f t="shared" ref="Q29:Q34" si="25">FIND("target:",N29)+7</f>
        <v>35</v>
      </c>
      <c r="R29" s="64">
        <f t="shared" ref="R29:R34" si="26">FIND(",",N29,P29+1)</f>
        <v>43</v>
      </c>
      <c r="S29" s="64" t="str">
        <f>IFERROR(VLOOKUP(MID(N29,Q29,R29-Q29),[6]skilldef!$C:$D,2,FALSE),"-") &amp; " / " &amp; IFERROR(VLOOKUP(MID(N29,O29,P29-O29),[6]skilldef!$A:$B,2,FALSE),"-")</f>
        <v>味方全体に / 種族キラー</v>
      </c>
      <c r="T29" s="48" t="str">
        <f t="shared" ref="T29:T34" si="27">IFERROR(RIGHT(M29,LEN(M29)-FIND("],",M29)-1),"none")</f>
        <v>none</v>
      </c>
      <c r="U29" s="64" t="e">
        <f t="shared" si="11"/>
        <v>#VALUE!</v>
      </c>
      <c r="V29" s="64">
        <f t="shared" ref="V29:V34" si="28">IFERROR(FIND(",",T29),LEN(T29))</f>
        <v>4</v>
      </c>
      <c r="W29" s="64" t="e">
        <f t="shared" ref="W29:W34" si="29">FIND("target:",T29)+7</f>
        <v>#VALUE!</v>
      </c>
      <c r="X29" s="64" t="e">
        <f t="shared" ref="X29:X34" si="30">FIND(",",T29,V29+1)</f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  <c r="AC29" s="49">
        <f t="shared" si="16"/>
        <v>9</v>
      </c>
      <c r="AD29" s="49">
        <f t="shared" si="17"/>
        <v>21</v>
      </c>
    </row>
    <row r="30" spans="1:30" ht="21" customHeight="1" x14ac:dyDescent="0.15">
      <c r="A30" s="47">
        <v>60028030</v>
      </c>
      <c r="B30" s="47" t="s">
        <v>411</v>
      </c>
      <c r="C30" s="50">
        <v>3</v>
      </c>
      <c r="D30" s="50" t="s">
        <v>128</v>
      </c>
      <c r="E30" s="51" t="s">
        <v>378</v>
      </c>
      <c r="F30" s="51" t="s">
        <v>434</v>
      </c>
      <c r="G30" s="64" t="str">
        <f t="shared" si="18"/>
        <v>[effect:enemy_message, val1:1.2, val2:1.2]</v>
      </c>
      <c r="H30" s="64">
        <f t="shared" si="1"/>
        <v>9</v>
      </c>
      <c r="I30" s="64">
        <f t="shared" si="19"/>
        <v>22</v>
      </c>
      <c r="J30" s="64" t="e">
        <f t="shared" si="20"/>
        <v>#VALUE!</v>
      </c>
      <c r="K30" s="64">
        <f t="shared" si="21"/>
        <v>32</v>
      </c>
      <c r="L30" s="64" t="str">
        <f>IFERROR(VLOOKUP(MID(G30,J30,K30-J30),[6]skilldef!$C:$D,2,FALSE),"-") &amp; " / " &amp; IFERROR(VLOOKUP(MID(G30,H30,I30-H30),[6]skilldef!$A:$B,2,FALSE),"-")</f>
        <v>- / -</v>
      </c>
      <c r="M30" s="64" t="str">
        <f t="shared" si="22"/>
        <v>[effect:rush, count:5, val:0.2]</v>
      </c>
      <c r="N30" s="48" t="str">
        <f t="shared" si="23"/>
        <v>[effect:rush, count:5, val:0.2]</v>
      </c>
      <c r="O30" s="64">
        <f t="shared" si="6"/>
        <v>9</v>
      </c>
      <c r="P30" s="64">
        <f t="shared" si="24"/>
        <v>13</v>
      </c>
      <c r="Q30" s="64" t="e">
        <f t="shared" si="25"/>
        <v>#VALUE!</v>
      </c>
      <c r="R30" s="64">
        <f t="shared" si="26"/>
        <v>22</v>
      </c>
      <c r="S30" s="64" t="str">
        <f>IFERROR(VLOOKUP(MID(N30,Q30,R30-Q30),[6]skilldef!$C:$D,2,FALSE),"-") &amp; " / " &amp; IFERROR(VLOOKUP(MID(N30,O30,P30-O30),[6]skilldef!$A:$B,2,FALSE),"-")</f>
        <v>- / 連続攻撃</v>
      </c>
      <c r="T30" s="48" t="str">
        <f t="shared" si="27"/>
        <v>none</v>
      </c>
      <c r="U30" s="64" t="e">
        <f t="shared" si="11"/>
        <v>#VALUE!</v>
      </c>
      <c r="V30" s="64">
        <f t="shared" si="28"/>
        <v>4</v>
      </c>
      <c r="W30" s="64" t="e">
        <f t="shared" si="29"/>
        <v>#VALUE!</v>
      </c>
      <c r="X30" s="64" t="e">
        <f t="shared" si="30"/>
        <v>#VALUE!</v>
      </c>
      <c r="Y30" s="64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  <c r="AC30" s="49">
        <f t="shared" si="16"/>
        <v>6</v>
      </c>
      <c r="AD30" s="49">
        <f t="shared" si="17"/>
        <v>6</v>
      </c>
    </row>
    <row r="31" spans="1:30" ht="21" customHeight="1" x14ac:dyDescent="0.15">
      <c r="A31" s="47">
        <v>60028031</v>
      </c>
      <c r="B31" s="47" t="s">
        <v>448</v>
      </c>
      <c r="C31" s="50">
        <v>3</v>
      </c>
      <c r="D31" s="50" t="s">
        <v>128</v>
      </c>
      <c r="E31" s="51" t="s">
        <v>381</v>
      </c>
      <c r="F31" s="51" t="s">
        <v>389</v>
      </c>
      <c r="G31" s="64" t="str">
        <f t="shared" si="18"/>
        <v>[effect:enemy_message, val1:1.2, val2:1.4]</v>
      </c>
      <c r="H31" s="64">
        <f t="shared" si="1"/>
        <v>9</v>
      </c>
      <c r="I31" s="64">
        <f t="shared" si="19"/>
        <v>22</v>
      </c>
      <c r="J31" s="64" t="e">
        <f t="shared" si="20"/>
        <v>#VALUE!</v>
      </c>
      <c r="K31" s="64">
        <f t="shared" si="21"/>
        <v>32</v>
      </c>
      <c r="L31" s="64" t="str">
        <f>IFERROR(VLOOKUP(MID(G31,J31,K31-J31),[6]skilldef!$C:$D,2,FALSE),"-") &amp; " / " &amp; IFERROR(VLOOKUP(MID(G31,H31,I31-H31),[6]skilldef!$A:$B,2,FALSE),"-")</f>
        <v>- / -</v>
      </c>
      <c r="M31" s="64" t="str">
        <f t="shared" si="22"/>
        <v>none</v>
      </c>
      <c r="N31" s="48" t="str">
        <f t="shared" ref="N31:N33" si="31">IFERROR(LEFT(M31,FIND("],",M31)+S41),M31)</f>
        <v>none</v>
      </c>
      <c r="O31" s="64" t="e">
        <f t="shared" si="6"/>
        <v>#VALUE!</v>
      </c>
      <c r="P31" s="64">
        <f t="shared" si="24"/>
        <v>4</v>
      </c>
      <c r="Q31" s="64" t="e">
        <f t="shared" si="25"/>
        <v>#VALUE!</v>
      </c>
      <c r="R31" s="64" t="e">
        <f t="shared" si="26"/>
        <v>#VALUE!</v>
      </c>
      <c r="S31" s="64" t="str">
        <f>IFERROR(VLOOKUP(MID(N31,Q31,R31-Q31),[6]skilldef!$C:$D,2,FALSE),"-") &amp; " / " &amp; IFERROR(VLOOKUP(MID(N31,O31,P31-O31),[6]skilldef!$A:$B,2,FALSE),"-")</f>
        <v>- / -</v>
      </c>
      <c r="T31" s="48" t="str">
        <f t="shared" si="27"/>
        <v>none</v>
      </c>
      <c r="U31" s="64" t="e">
        <f t="shared" si="11"/>
        <v>#VALUE!</v>
      </c>
      <c r="V31" s="64">
        <f t="shared" si="28"/>
        <v>4</v>
      </c>
      <c r="W31" s="64" t="e">
        <f t="shared" si="29"/>
        <v>#VALUE!</v>
      </c>
      <c r="X31" s="64" t="e">
        <f t="shared" si="30"/>
        <v>#VALUE!</v>
      </c>
      <c r="Y31" s="64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  <c r="AC31" s="49">
        <f t="shared" si="16"/>
        <v>8</v>
      </c>
      <c r="AD31" s="49">
        <f t="shared" si="17"/>
        <v>14</v>
      </c>
    </row>
    <row r="32" spans="1:30" ht="21" customHeight="1" x14ac:dyDescent="0.15">
      <c r="A32" s="47">
        <v>60028032</v>
      </c>
      <c r="B32" s="47" t="s">
        <v>449</v>
      </c>
      <c r="C32" s="50">
        <v>3</v>
      </c>
      <c r="D32" s="50" t="s">
        <v>128</v>
      </c>
      <c r="E32" s="51" t="s">
        <v>382</v>
      </c>
      <c r="F32" s="51" t="s">
        <v>435</v>
      </c>
      <c r="G32" s="64" t="str">
        <f t="shared" si="18"/>
        <v>[effect:enemy_message, val1:1.2, val2:1.3]</v>
      </c>
      <c r="H32" s="64">
        <f t="shared" si="1"/>
        <v>9</v>
      </c>
      <c r="I32" s="64">
        <f t="shared" si="19"/>
        <v>22</v>
      </c>
      <c r="J32" s="64" t="e">
        <f t="shared" si="20"/>
        <v>#VALUE!</v>
      </c>
      <c r="K32" s="64">
        <f t="shared" si="21"/>
        <v>32</v>
      </c>
      <c r="L32" s="64" t="str">
        <f>IFERROR(VLOOKUP(MID(G32,J32,K32-J32),[6]skilldef!$C:$D,2,FALSE),"-") &amp; " / " &amp; IFERROR(VLOOKUP(MID(G32,H32,I32-H32),[6]skilldef!$A:$B,2,FALSE),"-")</f>
        <v>- / -</v>
      </c>
      <c r="M32" s="64" t="str">
        <f t="shared" si="22"/>
        <v>[effect:break_attack_fix, val:250, lowest_val:500, count:-1, block:block_red, target:unit_all]</v>
      </c>
      <c r="N32" s="48" t="str">
        <f t="shared" si="31"/>
        <v>[effect:break_attack_fix, val:250, lowest_val:500, count:-1, block:block_red, target:unit_all]</v>
      </c>
      <c r="O32" s="64">
        <f t="shared" si="6"/>
        <v>9</v>
      </c>
      <c r="P32" s="64">
        <f t="shared" si="24"/>
        <v>25</v>
      </c>
      <c r="Q32" s="64">
        <f t="shared" si="25"/>
        <v>86</v>
      </c>
      <c r="R32" s="64">
        <f t="shared" si="26"/>
        <v>34</v>
      </c>
      <c r="S32" s="64" t="str">
        <f>IFERROR(VLOOKUP(MID(N32,Q32,R32-Q32),[6]skilldef!$C:$D,2,FALSE),"-") &amp; " / " &amp; IFERROR(VLOOKUP(MID(N32,O32,P32-O32),[6]skilldef!$A:$B,2,FALSE),"-")</f>
        <v>- / -</v>
      </c>
      <c r="T32" s="48" t="str">
        <f t="shared" si="27"/>
        <v>none</v>
      </c>
      <c r="U32" s="64" t="e">
        <f t="shared" si="11"/>
        <v>#VALUE!</v>
      </c>
      <c r="V32" s="64">
        <f t="shared" si="28"/>
        <v>4</v>
      </c>
      <c r="W32" s="64" t="e">
        <f t="shared" si="29"/>
        <v>#VALUE!</v>
      </c>
      <c r="X32" s="64" t="e">
        <f t="shared" si="30"/>
        <v>#VALUE!</v>
      </c>
      <c r="Y32" s="64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  <c r="AC32" s="49">
        <f t="shared" si="16"/>
        <v>11</v>
      </c>
      <c r="AD32" s="49">
        <f t="shared" si="17"/>
        <v>13</v>
      </c>
    </row>
    <row r="33" spans="1:30" s="136" customFormat="1" ht="21" customHeight="1" x14ac:dyDescent="0.15">
      <c r="A33" s="132">
        <v>60028033</v>
      </c>
      <c r="B33" s="145" t="s">
        <v>531</v>
      </c>
      <c r="C33" s="50">
        <v>3</v>
      </c>
      <c r="D33" s="50" t="s">
        <v>128</v>
      </c>
      <c r="E33" s="51" t="s">
        <v>393</v>
      </c>
      <c r="F33" s="144" t="s">
        <v>527</v>
      </c>
      <c r="G33" s="134" t="str">
        <f t="shared" si="18"/>
        <v>[effect:enemy_message, val1:1.2, val2:8.6]</v>
      </c>
      <c r="H33" s="134">
        <f t="shared" si="1"/>
        <v>9</v>
      </c>
      <c r="I33" s="134">
        <f t="shared" si="19"/>
        <v>22</v>
      </c>
      <c r="J33" s="134" t="e">
        <f t="shared" si="20"/>
        <v>#VALUE!</v>
      </c>
      <c r="K33" s="134">
        <f t="shared" si="21"/>
        <v>32</v>
      </c>
      <c r="L33" s="134" t="str">
        <f>IFERROR(VLOOKUP(MID(G33,J33,K33-J33),[6]skilldef!$C:$D,2,FALSE),"-") &amp; " / " &amp; IFERROR(VLOOKUP(MID(G33,H33,I33-H33),[6]skilldef!$A:$B,2,FALSE),"-")</f>
        <v>- / -</v>
      </c>
      <c r="M33" s="134" t="str">
        <f t="shared" si="22"/>
        <v>[effect:tolerance, target:myself, turn:-1, count:-1, tolerance_effect:all, animation:enemy_tolerance],[effect:fix_speed, target:myself, turn:1],[effect:damage_anti_tribe, target:unit_one, tribe:human, val1:1, val2:0.1],[effect:damage_anti_tribe, target:unit_one, tribe:human, val1:1, val2:0.1],[effect:damage_anti_tribe, target:unit_one, tribe:machine, val1:1, val2:0.1],[effect:damage_anti_tribe, target:unit_one, tribe:machine, val1:1, val2:0.1],[effect:hungup, target:unit_human/unit_machine, turn:10, rate:1, animation:hungup01]</v>
      </c>
      <c r="N33" s="132" t="str">
        <f t="shared" si="31"/>
        <v>[effect:tolerance, target:myself, turn:-1, count:-1, tolerance_effect:all, animation:enemy_tolerance],[effect:fix_speed, target:myself, turn:1],[effect:damage_anti_tribe, target:unit_one, tribe:human, val1:1, val2:0.1],[effect:damage_anti_tribe, target:unit_one, tribe:human, val1:1, val2:0.1],[effect:damage_anti_tribe, target:unit_one, tribe:machine, val1:1, val2:0.1],[effect:damage_anti_tribe, target:unit_one, tribe:machine, val1:1, val2:0.1],[effect:hungup, target:unit_human/unit_machine, turn:10, rate:1, animation:hungup01]</v>
      </c>
      <c r="O33" s="134">
        <f t="shared" si="6"/>
        <v>9</v>
      </c>
      <c r="P33" s="134">
        <f t="shared" si="24"/>
        <v>18</v>
      </c>
      <c r="Q33" s="134">
        <f t="shared" si="25"/>
        <v>27</v>
      </c>
      <c r="R33" s="134">
        <f t="shared" si="26"/>
        <v>33</v>
      </c>
      <c r="S33" s="134" t="str">
        <f>IFERROR(VLOOKUP(MID(N33,Q33,R33-Q33),[6]skilldef!$C:$D,2,FALSE),"-") &amp; " / " &amp; IFERROR(VLOOKUP(MID(N33,O33,P33-O33),[6]skilldef!$A:$B,2,FALSE),"-")</f>
        <v>自分自身に / 状態異常耐性</v>
      </c>
      <c r="T33" s="132" t="str">
        <f t="shared" si="27"/>
        <v>[effect:fix_speed, target:myself, turn:1],[effect:damage_anti_tribe, target:unit_one, tribe:human, val1:1, val2:0.1],[effect:damage_anti_tribe, target:unit_one, tribe:human, val1:1, val2:0.1],[effect:damage_anti_tribe, target:unit_one, tribe:machine, val1:1, val2:0.1],[effect:damage_anti_tribe, target:unit_one, tribe:machine, val1:1, val2:0.1],[effect:hungup, target:unit_human/unit_machine, turn:10, rate:1, animation:hungup01]</v>
      </c>
      <c r="U33" s="134">
        <f t="shared" si="11"/>
        <v>9</v>
      </c>
      <c r="V33" s="134">
        <f t="shared" si="28"/>
        <v>18</v>
      </c>
      <c r="W33" s="134">
        <f t="shared" si="29"/>
        <v>27</v>
      </c>
      <c r="X33" s="134">
        <f t="shared" si="30"/>
        <v>33</v>
      </c>
      <c r="Y33" s="134" t="str">
        <f>IFERROR(VLOOKUP(MID(T33,W33,X33-W33),[6]skilldef!$C:$D,2,FALSE),"-") &amp; " / " &amp; IFERROR(VLOOKUP(MID(T33,U33,V33-U33),[6]skilldef!$A:$B,2,FALSE),"-")</f>
        <v>自分自身に / 行動値設定</v>
      </c>
      <c r="Z33" s="133"/>
      <c r="AA33" s="135"/>
      <c r="AB33" s="133"/>
      <c r="AC33" s="49">
        <f t="shared" si="16"/>
        <v>12</v>
      </c>
      <c r="AD33" s="49">
        <f t="shared" si="17"/>
        <v>86</v>
      </c>
    </row>
    <row r="34" spans="1:30" s="136" customFormat="1" ht="21" customHeight="1" x14ac:dyDescent="0.15">
      <c r="A34" s="132">
        <v>60028034</v>
      </c>
      <c r="B34" s="47" t="s">
        <v>521</v>
      </c>
      <c r="C34" s="50">
        <v>3</v>
      </c>
      <c r="D34" s="50" t="s">
        <v>128</v>
      </c>
      <c r="E34" s="51" t="s">
        <v>394</v>
      </c>
      <c r="F34" s="51" t="s">
        <v>520</v>
      </c>
      <c r="G34" s="134" t="str">
        <f t="shared" si="18"/>
        <v>[effect:enemy_message, val1:1.2, val2:2.3]</v>
      </c>
      <c r="H34" s="134">
        <f t="shared" si="1"/>
        <v>9</v>
      </c>
      <c r="I34" s="134">
        <f t="shared" si="19"/>
        <v>22</v>
      </c>
      <c r="J34" s="134" t="e">
        <f t="shared" si="20"/>
        <v>#VALUE!</v>
      </c>
      <c r="K34" s="134">
        <f t="shared" si="21"/>
        <v>32</v>
      </c>
      <c r="L34" s="134" t="str">
        <f>IFERROR(VLOOKUP(MID(G34,J34,K34-J34),[6]skilldef!$C:$D,2,FALSE),"-") &amp; " / " &amp; IFERROR(VLOOKUP(MID(G34,H34,I34-H34),[6]skilldef!$A:$B,2,FALSE),"-")</f>
        <v>- / -</v>
      </c>
      <c r="M34" s="134" t="str">
        <f t="shared" si="22"/>
        <v xml:space="preserve">[effect:change_bomb_range, turn:5, target:unit_all, val:0.5, rate:1, animation:bomb_small]    </v>
      </c>
      <c r="N34" s="132" t="str">
        <f>IFERROR(LEFT(M34,FIND("],",M34)+#REF!),M34)</f>
        <v xml:space="preserve">[effect:change_bomb_range, turn:5, target:unit_all, val:0.5, rate:1, animation:bomb_small]    </v>
      </c>
      <c r="O34" s="134">
        <f t="shared" si="6"/>
        <v>9</v>
      </c>
      <c r="P34" s="134">
        <f t="shared" si="24"/>
        <v>26</v>
      </c>
      <c r="Q34" s="134">
        <f t="shared" si="25"/>
        <v>43</v>
      </c>
      <c r="R34" s="134">
        <f t="shared" si="26"/>
        <v>34</v>
      </c>
      <c r="S34" s="134" t="str">
        <f>IFERROR(VLOOKUP(MID(N34,Q34,R34-Q34),[6]skilldef!$C:$D,2,FALSE),"-") &amp; " / " &amp; IFERROR(VLOOKUP(MID(N34,O34,P34-O34),[6]skilldef!$A:$B,2,FALSE),"-")</f>
        <v>- / -</v>
      </c>
      <c r="T34" s="132" t="str">
        <f t="shared" si="27"/>
        <v>none</v>
      </c>
      <c r="U34" s="134" t="e">
        <f t="shared" si="11"/>
        <v>#VALUE!</v>
      </c>
      <c r="V34" s="134">
        <f t="shared" si="28"/>
        <v>4</v>
      </c>
      <c r="W34" s="134" t="e">
        <f t="shared" si="29"/>
        <v>#VALUE!</v>
      </c>
      <c r="X34" s="134" t="e">
        <f t="shared" si="30"/>
        <v>#VALUE!</v>
      </c>
      <c r="Y34" s="134" t="str">
        <f>IFERROR(VLOOKUP(MID(T34,W34,X34-W34),[6]skilldef!$C:$D,2,FALSE),"-") &amp; " / " &amp; IFERROR(VLOOKUP(MID(T34,U34,V34-U34),[6]skilldef!$A:$B,2,FALSE),"-")</f>
        <v>- / -</v>
      </c>
      <c r="Z34" s="133"/>
      <c r="AA34" s="135"/>
      <c r="AB34" s="133"/>
      <c r="AC34" s="49">
        <f t="shared" si="16"/>
        <v>10</v>
      </c>
      <c r="AD34" s="49">
        <f t="shared" si="17"/>
        <v>23</v>
      </c>
    </row>
    <row r="35" spans="1:30" ht="21" customHeight="1" x14ac:dyDescent="0.15">
      <c r="A35" s="47">
        <v>60028035</v>
      </c>
      <c r="B35" s="145" t="s">
        <v>528</v>
      </c>
      <c r="C35" s="50">
        <v>3</v>
      </c>
      <c r="D35" s="50" t="s">
        <v>128</v>
      </c>
      <c r="E35" s="51" t="s">
        <v>494</v>
      </c>
      <c r="F35" s="51" t="s">
        <v>453</v>
      </c>
      <c r="G35" s="64" t="str">
        <f t="shared" ref="G35:G38" si="32">IFERROR(LEFT(B35,FIND("],",B35)),B35)</f>
        <v>[effect:enemy_message, val1:1.2, val2:5.0]</v>
      </c>
      <c r="H35" s="64">
        <f t="shared" si="1"/>
        <v>9</v>
      </c>
      <c r="I35" s="64">
        <f t="shared" ref="I35:I38" si="33">IFERROR(FIND(",",G35),LEN(G35))</f>
        <v>22</v>
      </c>
      <c r="J35" s="64" t="e">
        <f t="shared" ref="J35:J38" si="34">FIND("target:",G35)+7</f>
        <v>#VALUE!</v>
      </c>
      <c r="K35" s="64">
        <f t="shared" ref="K35:K38" si="35">FIND(",",G35,I35+1)</f>
        <v>32</v>
      </c>
      <c r="L35" s="64" t="str">
        <f>IFERROR(VLOOKUP(MID(G35,J35,K35-J35),[6]skilldef!$C:$D,2,FALSE),"-") &amp; " / " &amp; IFERROR(VLOOKUP(MID(G35,H35,I35-H35),[6]skilldef!$A:$B,2,FALSE),"-")</f>
        <v>- / -</v>
      </c>
      <c r="M35" s="64" t="str">
        <f t="shared" ref="M35:M38" si="36">IFERROR(RIGHT(B35,LEN(B35)-FIND("],",B35)-1),"none")</f>
        <v>[effect:damage_anti_tribe, target:unit_one, tribe:human, val1:1, val2:0.1],[effect:damage_anti_tribe, target:unit_one, tribe:human, val1:1, val2:0.1],[effect:damage_anti_tribe, target:unit_one, tribe:machine, val1:1, val2:0.1],[effect:damage_anti_tribe, target:unit_one, tribe:machine, val1:1, val2:0.1]</v>
      </c>
      <c r="N35" s="48" t="str">
        <f>IFERROR(LEFT(M35,FIND("],",M35)+S44),M35)</f>
        <v>[effect:damage_anti_tribe, target:unit_one, tribe:human, val1:1, val2:0.1],[effect:damage_anti_tribe, target:unit_one, tribe:human, val1:1, val2:0.1],[effect:damage_anti_tribe, target:unit_one, tribe:machine, val1:1, val2:0.1],[effect:damage_anti_tribe, target:unit_one, tribe:machine, val1:1, val2:0.1]</v>
      </c>
      <c r="O35" s="64">
        <f t="shared" si="6"/>
        <v>9</v>
      </c>
      <c r="P35" s="64">
        <f t="shared" ref="P35:P38" si="37">IFERROR(FIND(",",N35),LEN(N35))</f>
        <v>26</v>
      </c>
      <c r="Q35" s="64">
        <f t="shared" ref="Q35:Q38" si="38">FIND("target:",N35)+7</f>
        <v>35</v>
      </c>
      <c r="R35" s="64">
        <f t="shared" ref="R35:R38" si="39">FIND(",",N35,P35+1)</f>
        <v>43</v>
      </c>
      <c r="S35" s="64" t="str">
        <f>IFERROR(VLOOKUP(MID(N35,Q35,R35-Q35),[6]skilldef!$C:$D,2,FALSE),"-") &amp; " / " &amp; IFERROR(VLOOKUP(MID(N35,O35,P35-O35),[6]skilldef!$A:$B,2,FALSE),"-")</f>
        <v>味方単体に / 種族キラー</v>
      </c>
      <c r="T35" s="48" t="str">
        <f t="shared" ref="T35:T38" si="40">IFERROR(RIGHT(M35,LEN(M35)-FIND("],",M35)-1),"none")</f>
        <v>[effect:damage_anti_tribe, target:unit_one, tribe:human, val1:1, val2:0.1],[effect:damage_anti_tribe, target:unit_one, tribe:machine, val1:1, val2:0.1],[effect:damage_anti_tribe, target:unit_one, tribe:machine, val1:1, val2:0.1]</v>
      </c>
      <c r="U35" s="64">
        <f t="shared" si="11"/>
        <v>9</v>
      </c>
      <c r="V35" s="64">
        <f t="shared" ref="V35:V38" si="41">IFERROR(FIND(",",T35),LEN(T35))</f>
        <v>26</v>
      </c>
      <c r="W35" s="64">
        <f t="shared" ref="W35:W38" si="42">FIND("target:",T35)+7</f>
        <v>35</v>
      </c>
      <c r="X35" s="64">
        <f t="shared" ref="X35:X38" si="43">FIND(",",T35,V35+1)</f>
        <v>43</v>
      </c>
      <c r="Y35" s="64" t="str">
        <f>IFERROR(VLOOKUP(MID(T35,W35,X35-W35),[6]skilldef!$C:$D,2,FALSE),"-") &amp; " / " &amp; IFERROR(VLOOKUP(MID(T35,U35,V35-U35),[6]skilldef!$A:$B,2,FALSE),"-")</f>
        <v>味方単体に / 種族キラー</v>
      </c>
      <c r="Z35" s="50"/>
      <c r="AA35" s="52"/>
      <c r="AB35" s="50"/>
      <c r="AC35" s="49">
        <f t="shared" si="16"/>
        <v>9</v>
      </c>
      <c r="AD35" s="49">
        <f t="shared" si="17"/>
        <v>50</v>
      </c>
    </row>
    <row r="36" spans="1:30" ht="21" customHeight="1" x14ac:dyDescent="0.15">
      <c r="A36" s="47">
        <v>60028036</v>
      </c>
      <c r="B36" s="47" t="s">
        <v>413</v>
      </c>
      <c r="C36" s="50">
        <v>3</v>
      </c>
      <c r="D36" s="50" t="s">
        <v>128</v>
      </c>
      <c r="E36" s="51" t="s">
        <v>386</v>
      </c>
      <c r="F36" s="51" t="s">
        <v>436</v>
      </c>
      <c r="G36" s="64" t="str">
        <f t="shared" si="32"/>
        <v>[effect:enemy_message, val1:1.2, val2:1.2]</v>
      </c>
      <c r="H36" s="64">
        <f t="shared" si="1"/>
        <v>9</v>
      </c>
      <c r="I36" s="64">
        <f t="shared" si="33"/>
        <v>22</v>
      </c>
      <c r="J36" s="64" t="e">
        <f t="shared" si="34"/>
        <v>#VALUE!</v>
      </c>
      <c r="K36" s="64">
        <f t="shared" si="35"/>
        <v>32</v>
      </c>
      <c r="L36" s="64" t="str">
        <f>IFERROR(VLOOKUP(MID(G36,J36,K36-J36),[6]skilldef!$C:$D,2,FALSE),"-") &amp; " / " &amp; IFERROR(VLOOKUP(MID(G36,H36,I36-H36),[6]skilldef!$A:$B,2,FALSE),"-")</f>
        <v>- / -</v>
      </c>
      <c r="M36" s="64" t="str">
        <f t="shared" si="36"/>
        <v>[effect:spread, val:0.15],[effect:spread, val:0.15]</v>
      </c>
      <c r="N36" s="48" t="str">
        <f>IFERROR(LEFT(M36,FIND("],",M36)+S45),M36)</f>
        <v>[effect:spread, val:0.15],[effect:spread, val:0.15]</v>
      </c>
      <c r="O36" s="64">
        <f t="shared" si="6"/>
        <v>9</v>
      </c>
      <c r="P36" s="64">
        <f t="shared" si="37"/>
        <v>15</v>
      </c>
      <c r="Q36" s="64" t="e">
        <f t="shared" si="38"/>
        <v>#VALUE!</v>
      </c>
      <c r="R36" s="64">
        <f t="shared" si="39"/>
        <v>26</v>
      </c>
      <c r="S36" s="64" t="str">
        <f>IFERROR(VLOOKUP(MID(N36,Q36,R36-Q36),[6]skilldef!$C:$D,2,FALSE),"-") &amp; " / " &amp; IFERROR(VLOOKUP(MID(N36,O36,P36-O36),[6]skilldef!$A:$B,2,FALSE),"-")</f>
        <v>- / 全体攻撃</v>
      </c>
      <c r="T36" s="48" t="str">
        <f t="shared" si="40"/>
        <v>[effect:spread, val:0.15]</v>
      </c>
      <c r="U36" s="64">
        <f t="shared" si="11"/>
        <v>9</v>
      </c>
      <c r="V36" s="64">
        <f t="shared" si="41"/>
        <v>15</v>
      </c>
      <c r="W36" s="64" t="e">
        <f t="shared" si="42"/>
        <v>#VALUE!</v>
      </c>
      <c r="X36" s="64" t="e">
        <f t="shared" si="43"/>
        <v>#VALUE!</v>
      </c>
      <c r="Y36" s="64" t="str">
        <f>IFERROR(VLOOKUP(MID(T36,W36,X36-W36),[6]skilldef!$C:$D,2,FALSE),"-") &amp; " / " &amp; IFERROR(VLOOKUP(MID(T36,U36,V36-U36),[6]skilldef!$A:$B,2,FALSE),"-")</f>
        <v>- / 全体攻撃</v>
      </c>
      <c r="Z36" s="50"/>
      <c r="AA36" s="52"/>
      <c r="AB36" s="50"/>
      <c r="AC36" s="49">
        <f t="shared" si="16"/>
        <v>7</v>
      </c>
      <c r="AD36" s="49">
        <f t="shared" si="17"/>
        <v>8</v>
      </c>
    </row>
    <row r="37" spans="1:30" ht="21" customHeight="1" x14ac:dyDescent="0.15">
      <c r="A37" s="47">
        <v>60028037</v>
      </c>
      <c r="B37" s="47" t="s">
        <v>450</v>
      </c>
      <c r="C37" s="50">
        <v>3</v>
      </c>
      <c r="D37" s="50" t="s">
        <v>128</v>
      </c>
      <c r="E37" s="51" t="s">
        <v>377</v>
      </c>
      <c r="F37" s="51" t="s">
        <v>390</v>
      </c>
      <c r="G37" s="64" t="str">
        <f t="shared" si="32"/>
        <v>[effect:enemy_message, val1:1.3, val2:1.2]</v>
      </c>
      <c r="H37" s="64">
        <f t="shared" si="1"/>
        <v>9</v>
      </c>
      <c r="I37" s="64">
        <f t="shared" si="33"/>
        <v>22</v>
      </c>
      <c r="J37" s="64" t="e">
        <f t="shared" si="34"/>
        <v>#VALUE!</v>
      </c>
      <c r="K37" s="64">
        <f t="shared" si="35"/>
        <v>32</v>
      </c>
      <c r="L37" s="64" t="str">
        <f>IFERROR(VLOOKUP(MID(G37,J37,K37-J37),[6]skilldef!$C:$D,2,FALSE),"-") &amp; " / " &amp; IFERROR(VLOOKUP(MID(G37,H37,I37-H37),[6]skilldef!$A:$B,2,FALSE),"-")</f>
        <v>- / -</v>
      </c>
      <c r="M37" s="64" t="str">
        <f t="shared" si="36"/>
        <v>[effect:panel_freeze, target:block_blue, count:-1, break_count:1]</v>
      </c>
      <c r="N37" s="48" t="str">
        <f>IFERROR(LEFT(M37,FIND("],",M37)+S46),M37)</f>
        <v>[effect:panel_freeze, target:block_blue, count:-1, break_count:1]</v>
      </c>
      <c r="O37" s="64">
        <f t="shared" si="6"/>
        <v>9</v>
      </c>
      <c r="P37" s="64">
        <f t="shared" si="37"/>
        <v>21</v>
      </c>
      <c r="Q37" s="64">
        <f t="shared" si="38"/>
        <v>30</v>
      </c>
      <c r="R37" s="64">
        <f t="shared" si="39"/>
        <v>40</v>
      </c>
      <c r="S37" s="64" t="str">
        <f>IFERROR(VLOOKUP(MID(N37,Q37,R37-Q37),[6]skilldef!$C:$D,2,FALSE),"-") &amp; " / " &amp; IFERROR(VLOOKUP(MID(N37,O37,P37-O37),[6]skilldef!$A:$B,2,FALSE),"-")</f>
        <v>青パネルを / -</v>
      </c>
      <c r="T37" s="48" t="str">
        <f t="shared" si="40"/>
        <v>none</v>
      </c>
      <c r="U37" s="64" t="e">
        <f t="shared" si="11"/>
        <v>#VALUE!</v>
      </c>
      <c r="V37" s="64">
        <f t="shared" si="41"/>
        <v>4</v>
      </c>
      <c r="W37" s="64" t="e">
        <f t="shared" si="42"/>
        <v>#VALUE!</v>
      </c>
      <c r="X37" s="64" t="e">
        <f t="shared" si="43"/>
        <v>#VALUE!</v>
      </c>
      <c r="Y37" s="64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  <c r="AC37" s="49">
        <f t="shared" si="16"/>
        <v>13</v>
      </c>
      <c r="AD37" s="49">
        <f t="shared" si="17"/>
        <v>11</v>
      </c>
    </row>
    <row r="38" spans="1:30" s="136" customFormat="1" ht="21" customHeight="1" x14ac:dyDescent="0.15">
      <c r="A38" s="47">
        <v>60028038</v>
      </c>
      <c r="B38" s="145" t="s">
        <v>532</v>
      </c>
      <c r="C38" s="50">
        <v>3</v>
      </c>
      <c r="D38" s="50" t="s">
        <v>128</v>
      </c>
      <c r="E38" s="144" t="s">
        <v>524</v>
      </c>
      <c r="F38" s="144" t="s">
        <v>522</v>
      </c>
      <c r="G38" s="134" t="str">
        <f t="shared" si="32"/>
        <v>[effect:enemy_message, val1:1.2, val2:3.4]</v>
      </c>
      <c r="H38" s="134">
        <f t="shared" ref="H38" si="44">FIND("effect:",G38)+7</f>
        <v>9</v>
      </c>
      <c r="I38" s="134">
        <f t="shared" si="33"/>
        <v>22</v>
      </c>
      <c r="J38" s="134" t="e">
        <f t="shared" si="34"/>
        <v>#VALUE!</v>
      </c>
      <c r="K38" s="134">
        <f t="shared" si="35"/>
        <v>32</v>
      </c>
      <c r="L38" s="134" t="str">
        <f>IFERROR(VLOOKUP(MID(G38,J38,K38-J38),[6]skilldef!$C:$D,2,FALSE),"-") &amp; " / " &amp; IFERROR(VLOOKUP(MID(G38,H38,I38-H38),[6]skilldef!$A:$B,2,FALSE),"-")</f>
        <v>- / -</v>
      </c>
      <c r="M38" s="134" t="str">
        <f t="shared" si="36"/>
        <v>[effect:tolerance, target:myself, turn:-1, count:-1, tolerance_effect:all, animation:enemy_tolerance],[effect:fix_speed, target:myself, turn:1],[effect:hungup, target:unit_human/unit_machine, turn:10, rate:1, animation:hungup01]</v>
      </c>
      <c r="N38" s="132" t="str">
        <f>IFERROR(LEFT(M38,FIND("],",M38)+S48),M38)</f>
        <v>[effect:tolerance, target:myself, turn:-1, count:-1, tolerance_effect:all, animation:enemy_tolerance]</v>
      </c>
      <c r="O38" s="134">
        <f t="shared" ref="O38" si="45">FIND("effect:",N38)+7</f>
        <v>9</v>
      </c>
      <c r="P38" s="134">
        <f t="shared" si="37"/>
        <v>18</v>
      </c>
      <c r="Q38" s="134">
        <f t="shared" si="38"/>
        <v>27</v>
      </c>
      <c r="R38" s="134">
        <f t="shared" si="39"/>
        <v>33</v>
      </c>
      <c r="S38" s="134" t="str">
        <f>IFERROR(VLOOKUP(MID(N38,Q38,R38-Q38),[6]skilldef!$C:$D,2,FALSE),"-") &amp; " / " &amp; IFERROR(VLOOKUP(MID(N38,O38,P38-O38),[6]skilldef!$A:$B,2,FALSE),"-")</f>
        <v>自分自身に / 状態異常耐性</v>
      </c>
      <c r="T38" s="132" t="str">
        <f t="shared" si="40"/>
        <v>[effect:fix_speed, target:myself, turn:1],[effect:hungup, target:unit_human/unit_machine, turn:10, rate:1, animation:hungup01]</v>
      </c>
      <c r="U38" s="134">
        <f t="shared" ref="U38" si="46">FIND("effect:",T38)+7</f>
        <v>9</v>
      </c>
      <c r="V38" s="134">
        <f t="shared" si="41"/>
        <v>18</v>
      </c>
      <c r="W38" s="134">
        <f t="shared" si="42"/>
        <v>27</v>
      </c>
      <c r="X38" s="134">
        <f t="shared" si="43"/>
        <v>33</v>
      </c>
      <c r="Y38" s="134" t="str">
        <f>IFERROR(VLOOKUP(MID(T38,W38,X38-W38),[6]skilldef!$C:$D,2,FALSE),"-") &amp; " / " &amp; IFERROR(VLOOKUP(MID(T38,U38,V38-U38),[6]skilldef!$A:$B,2,FALSE),"-")</f>
        <v>自分自身に / 行動値設定</v>
      </c>
      <c r="Z38" s="133"/>
      <c r="AA38" s="135"/>
      <c r="AB38" s="133"/>
      <c r="AC38" s="49">
        <f t="shared" si="16"/>
        <v>11</v>
      </c>
      <c r="AD38" s="49">
        <f t="shared" si="17"/>
        <v>34</v>
      </c>
    </row>
    <row r="39" spans="1:30" ht="21" customHeight="1" x14ac:dyDescent="0.15">
      <c r="A39" s="47">
        <v>60028039</v>
      </c>
      <c r="B39" s="145" t="s">
        <v>525</v>
      </c>
      <c r="C39" s="50">
        <v>3</v>
      </c>
      <c r="D39" s="50" t="s">
        <v>128</v>
      </c>
      <c r="E39" s="51" t="s">
        <v>407</v>
      </c>
      <c r="F39" s="51" t="s">
        <v>493</v>
      </c>
      <c r="G39" s="64" t="str">
        <f t="shared" ref="G39" si="47">IFERROR(LEFT(B39,FIND("],",B39)),B39)</f>
        <v>[effect:enemy_message, val1:1.2, val2:5.4]</v>
      </c>
      <c r="H39" s="64">
        <f t="shared" ref="H39" si="48">FIND("effect:",G39)+7</f>
        <v>9</v>
      </c>
      <c r="I39" s="64">
        <f t="shared" ref="I39" si="49">IFERROR(FIND(",",G39),LEN(G39))</f>
        <v>22</v>
      </c>
      <c r="J39" s="64" t="e">
        <f t="shared" ref="J39" si="50">FIND("target:",G39)+7</f>
        <v>#VALUE!</v>
      </c>
      <c r="K39" s="64">
        <f t="shared" ref="K39" si="51">FIND(",",G39,I39+1)</f>
        <v>32</v>
      </c>
      <c r="L39" s="64" t="str">
        <f>IFERROR(VLOOKUP(MID(G39,J39,K39-J39),[6]skilldef!$C:$D,2,FALSE),"-") &amp; " / " &amp; IFERROR(VLOOKUP(MID(G39,H39,I39-H39),[6]skilldef!$A:$B,2,FALSE),"-")</f>
        <v>- / -</v>
      </c>
      <c r="M39" s="64" t="str">
        <f t="shared" ref="M39" si="52">IFERROR(RIGHT(B39,LEN(B39)-FIND("],",B39)-1),"none")</f>
        <v>[effect:damage_anti_tribe, target:unit_all, tribe:human, val1:3.5, val2:0.1],[effect:damage_anti_tribe, target:unit_all, tribe:human, val1:3.5, val2:0.1],[effect:damage_anti_tribe, target:unit_all, tribe:machine, val1:3.5, val2:0.1],[effect:damage_anti_tribe, target:unit_all, tribe:machine, val1:3.5, val2:0.1]</v>
      </c>
      <c r="N39" s="48" t="str">
        <f>IFERROR(LEFT(M39,FIND("],",M39)+S48),M39)</f>
        <v>[effect:damage_anti_tribe, target:unit_all, tribe:human, val1:3.5, val2:0.1]</v>
      </c>
      <c r="O39" s="64">
        <f t="shared" ref="O39" si="53">FIND("effect:",N39)+7</f>
        <v>9</v>
      </c>
      <c r="P39" s="64">
        <f t="shared" ref="P39" si="54">IFERROR(FIND(",",N39),LEN(N39))</f>
        <v>26</v>
      </c>
      <c r="Q39" s="64">
        <f t="shared" ref="Q39" si="55">FIND("target:",N39)+7</f>
        <v>35</v>
      </c>
      <c r="R39" s="64">
        <f t="shared" ref="R39" si="56">FIND(",",N39,P39+1)</f>
        <v>43</v>
      </c>
      <c r="S39" s="64" t="str">
        <f>IFERROR(VLOOKUP(MID(N39,Q39,R39-Q39),[6]skilldef!$C:$D,2,FALSE),"-") &amp; " / " &amp; IFERROR(VLOOKUP(MID(N39,O39,P39-O39),[6]skilldef!$A:$B,2,FALSE),"-")</f>
        <v>味方全体に / 種族キラー</v>
      </c>
      <c r="T39" s="48" t="str">
        <f t="shared" ref="T39" si="57">IFERROR(RIGHT(M39,LEN(M39)-FIND("],",M39)-1),"none")</f>
        <v>[effect:damage_anti_tribe, target:unit_all, tribe:human, val1:3.5, val2:0.1],[effect:damage_anti_tribe, target:unit_all, tribe:machine, val1:3.5, val2:0.1],[effect:damage_anti_tribe, target:unit_all, tribe:machine, val1:3.5, val2:0.1]</v>
      </c>
      <c r="U39" s="64">
        <f t="shared" ref="U39" si="58">FIND("effect:",T39)+7</f>
        <v>9</v>
      </c>
      <c r="V39" s="64">
        <f t="shared" ref="V39" si="59">IFERROR(FIND(",",T39),LEN(T39))</f>
        <v>26</v>
      </c>
      <c r="W39" s="64">
        <f t="shared" ref="W39" si="60">FIND("target:",T39)+7</f>
        <v>35</v>
      </c>
      <c r="X39" s="64">
        <f t="shared" ref="X39" si="61">FIND(",",T39,V39+1)</f>
        <v>43</v>
      </c>
      <c r="Y39" s="64" t="str">
        <f>IFERROR(VLOOKUP(MID(T39,W39,X39-W39),[6]skilldef!$C:$D,2,FALSE),"-") &amp; " / " &amp; IFERROR(VLOOKUP(MID(T39,U39,V39-U39),[6]skilldef!$A:$B,2,FALSE),"-")</f>
        <v>味方全体に / 種族キラー</v>
      </c>
      <c r="Z39" s="50"/>
      <c r="AA39" s="52"/>
      <c r="AB39" s="50"/>
      <c r="AC39" s="49">
        <f t="shared" si="16"/>
        <v>11</v>
      </c>
      <c r="AD39" s="49">
        <f t="shared" si="17"/>
        <v>54</v>
      </c>
    </row>
    <row r="40" spans="1:30" ht="21" customHeight="1" x14ac:dyDescent="0.15">
      <c r="A40" s="47">
        <v>60028040</v>
      </c>
      <c r="B40" s="47" t="s">
        <v>510</v>
      </c>
      <c r="C40" s="50">
        <v>3</v>
      </c>
      <c r="D40" s="50" t="s">
        <v>128</v>
      </c>
      <c r="E40" s="51" t="s">
        <v>396</v>
      </c>
      <c r="F40" s="51" t="s">
        <v>508</v>
      </c>
      <c r="G40" s="64" t="str">
        <f t="shared" ref="G40" si="62">IFERROR(LEFT(B40,FIND("],",B40)),B40)</f>
        <v>[effect:enemy_message, val1:1.3, val2:1.5]</v>
      </c>
      <c r="H40" s="64">
        <f t="shared" ref="H40" si="63">FIND("effect:",G40)+7</f>
        <v>9</v>
      </c>
      <c r="I40" s="64">
        <f t="shared" ref="I40" si="64">IFERROR(FIND(",",G40),LEN(G40))</f>
        <v>22</v>
      </c>
      <c r="J40" s="64" t="e">
        <f t="shared" ref="J40" si="65">FIND("target:",G40)+7</f>
        <v>#VALUE!</v>
      </c>
      <c r="K40" s="64">
        <f t="shared" ref="K40" si="66">FIND(",",G40,I40+1)</f>
        <v>32</v>
      </c>
      <c r="L40" s="64" t="str">
        <f>IFERROR(VLOOKUP(MID(G40,J40,K40-J40),[6]skilldef!$C:$D,2,FALSE),"-") &amp; " / " &amp; IFERROR(VLOOKUP(MID(G40,H40,I40-H40),[6]skilldef!$A:$B,2,FALSE),"-")</f>
        <v>- / -</v>
      </c>
      <c r="M40" s="64" t="str">
        <f t="shared" ref="M40" si="67">IFERROR(RIGHT(B40,LEN(B40)-FIND("],",B40)-1),"none")</f>
        <v>[effect:damage_fix_absolute, target:unit_one, val:6000]</v>
      </c>
      <c r="N40" s="48" t="str">
        <f>IFERROR(LEFT(M40,FIND("],",M40)+S49),M40)</f>
        <v>[effect:damage_fix_absolute, target:unit_one, val:6000]</v>
      </c>
      <c r="O40" s="64">
        <f t="shared" ref="O40" si="68">FIND("effect:",N40)+7</f>
        <v>9</v>
      </c>
      <c r="P40" s="64">
        <f t="shared" ref="P40" si="69">IFERROR(FIND(",",N40),LEN(N40))</f>
        <v>28</v>
      </c>
      <c r="Q40" s="64">
        <f t="shared" ref="Q40" si="70">FIND("target:",N40)+7</f>
        <v>37</v>
      </c>
      <c r="R40" s="64">
        <f t="shared" ref="R40" si="71">FIND(",",N40,P40+1)</f>
        <v>45</v>
      </c>
      <c r="S40" s="64" t="str">
        <f>IFERROR(VLOOKUP(MID(N40,Q40,R40-Q40),[6]skilldef!$C:$D,2,FALSE),"-") &amp; " / " &amp; IFERROR(VLOOKUP(MID(N40,O40,P40-O40),[6]skilldef!$A:$B,2,FALSE),"-")</f>
        <v>味方単体に / -</v>
      </c>
      <c r="T40" s="48" t="str">
        <f t="shared" ref="T40" si="72">IFERROR(RIGHT(M40,LEN(M40)-FIND("],",M40)-1),"none")</f>
        <v>none</v>
      </c>
      <c r="U40" s="64" t="e">
        <f t="shared" ref="U40" si="73">FIND("effect:",T40)+7</f>
        <v>#VALUE!</v>
      </c>
      <c r="V40" s="64">
        <f t="shared" ref="V40" si="74">IFERROR(FIND(",",T40),LEN(T40))</f>
        <v>4</v>
      </c>
      <c r="W40" s="64" t="e">
        <f t="shared" ref="W40" si="75">FIND("target:",T40)+7</f>
        <v>#VALUE!</v>
      </c>
      <c r="X40" s="64" t="e">
        <f t="shared" ref="X40" si="76">FIND(",",T40,V40+1)</f>
        <v>#VALUE!</v>
      </c>
      <c r="Y40" s="64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  <c r="AC40" s="49">
        <f t="shared" si="16"/>
        <v>13</v>
      </c>
      <c r="AD40" s="49">
        <f t="shared" si="17"/>
        <v>15</v>
      </c>
    </row>
    <row r="41" spans="1:30" ht="21" customHeight="1" x14ac:dyDescent="0.15">
      <c r="A41" s="47">
        <v>60028041</v>
      </c>
      <c r="B41" s="145" t="s">
        <v>529</v>
      </c>
      <c r="C41" s="50">
        <v>3</v>
      </c>
      <c r="D41" s="50" t="s">
        <v>128</v>
      </c>
      <c r="E41" s="51" t="s">
        <v>406</v>
      </c>
      <c r="F41" s="51" t="s">
        <v>400</v>
      </c>
      <c r="G41" s="64" t="str">
        <f t="shared" ref="G41" si="77">IFERROR(LEFT(B41,FIND("],",B41)),B41)</f>
        <v>[effect:enemy_message, val1:1.2, val2:1.2, dead_type:escape]</v>
      </c>
      <c r="H41" s="64">
        <f t="shared" ref="H41" si="78">FIND("effect:",G41)+7</f>
        <v>9</v>
      </c>
      <c r="I41" s="64">
        <f t="shared" ref="I41" si="79">IFERROR(FIND(",",G41),LEN(G41))</f>
        <v>22</v>
      </c>
      <c r="J41" s="64" t="e">
        <f t="shared" ref="J41" si="80">FIND("target:",G41)+7</f>
        <v>#VALUE!</v>
      </c>
      <c r="K41" s="64">
        <f t="shared" ref="K41" si="81">FIND(",",G41,I41+1)</f>
        <v>32</v>
      </c>
      <c r="L41" s="64" t="str">
        <f>IFERROR(VLOOKUP(MID(G41,J41,K41-J41),[6]skilldef!$C:$D,2,FALSE),"-") &amp; " / " &amp; IFERROR(VLOOKUP(MID(G41,H41,I41-H41),[6]skilldef!$A:$B,2,FALSE),"-")</f>
        <v>- / -</v>
      </c>
      <c r="M41" s="64" t="str">
        <f t="shared" ref="M41" si="82">IFERROR(RIGHT(B41,LEN(B41)-FIND("],",B41)-1),"none")</f>
        <v>none</v>
      </c>
      <c r="N41" s="48" t="str">
        <f>IFERROR(LEFT(M41,FIND("],",M41)+S49),M41)</f>
        <v>none</v>
      </c>
      <c r="O41" s="64" t="e">
        <f t="shared" ref="O41" si="83">FIND("effect:",N41)+7</f>
        <v>#VALUE!</v>
      </c>
      <c r="P41" s="64">
        <f t="shared" ref="P41" si="84">IFERROR(FIND(",",N41),LEN(N41))</f>
        <v>4</v>
      </c>
      <c r="Q41" s="64" t="e">
        <f t="shared" ref="Q41" si="85">FIND("target:",N41)+7</f>
        <v>#VALUE!</v>
      </c>
      <c r="R41" s="64" t="e">
        <f t="shared" ref="R41" si="86">FIND(",",N41,P41+1)</f>
        <v>#VALUE!</v>
      </c>
      <c r="S41" s="64" t="str">
        <f>IFERROR(VLOOKUP(MID(N41,Q41,R41-Q41),[6]skilldef!$C:$D,2,FALSE),"-") &amp; " / " &amp; IFERROR(VLOOKUP(MID(N41,O41,P41-O41),[6]skilldef!$A:$B,2,FALSE),"-")</f>
        <v>- / -</v>
      </c>
      <c r="T41" s="48" t="str">
        <f t="shared" ref="T41" si="87">IFERROR(RIGHT(M41,LEN(M41)-FIND("],",M41)-1),"none")</f>
        <v>none</v>
      </c>
      <c r="U41" s="64" t="e">
        <f t="shared" ref="U41" si="88">FIND("effect:",T41)+7</f>
        <v>#VALUE!</v>
      </c>
      <c r="V41" s="64">
        <f t="shared" ref="V41" si="89">IFERROR(FIND(",",T41),LEN(T41))</f>
        <v>4</v>
      </c>
      <c r="W41" s="64" t="e">
        <f t="shared" ref="W41" si="90">FIND("target:",T41)+7</f>
        <v>#VALUE!</v>
      </c>
      <c r="X41" s="64" t="e">
        <f t="shared" ref="X41" si="91">FIND(",",T41,V41+1)</f>
        <v>#VALUE!</v>
      </c>
      <c r="Y41" s="64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  <c r="AC41" s="49">
        <f t="shared" si="16"/>
        <v>7</v>
      </c>
      <c r="AD41" s="49">
        <f t="shared" si="17"/>
        <v>9</v>
      </c>
    </row>
    <row r="42" spans="1:30" ht="21" customHeight="1" x14ac:dyDescent="0.15">
      <c r="A42" s="47">
        <v>60028042</v>
      </c>
      <c r="B42" s="47" t="s">
        <v>507</v>
      </c>
      <c r="C42" s="50">
        <v>3</v>
      </c>
      <c r="D42" s="50" t="s">
        <v>128</v>
      </c>
      <c r="E42" s="51" t="s">
        <v>403</v>
      </c>
      <c r="F42" s="51" t="s">
        <v>506</v>
      </c>
      <c r="G42" s="64" t="str">
        <f t="shared" ref="G42:G43" si="92">IFERROR(LEFT(B42,FIND("],",B42)),B42)</f>
        <v>[effect:enemy_message, val1:1.2, val2:1.4]</v>
      </c>
      <c r="H42" s="64">
        <f t="shared" ref="H42:H43" si="93">FIND("effect:",G42)+7</f>
        <v>9</v>
      </c>
      <c r="I42" s="64">
        <f t="shared" ref="I42:I43" si="94">IFERROR(FIND(",",G42),LEN(G42))</f>
        <v>22</v>
      </c>
      <c r="J42" s="64" t="e">
        <f t="shared" ref="J42:J43" si="95">FIND("target:",G42)+7</f>
        <v>#VALUE!</v>
      </c>
      <c r="K42" s="64">
        <f t="shared" ref="K42:K43" si="96">FIND(",",G42,I42+1)</f>
        <v>32</v>
      </c>
      <c r="L42" s="64" t="str">
        <f>IFERROR(VLOOKUP(MID(G42,J42,K42-J42),[6]skilldef!$C:$D,2,FALSE),"-") &amp; " / " &amp; IFERROR(VLOOKUP(MID(G42,H42,I42-H42),[6]skilldef!$A:$B,2,FALSE),"-")</f>
        <v>- / -</v>
      </c>
      <c r="M42" s="64" t="str">
        <f t="shared" ref="M42:M43" si="97">IFERROR(RIGHT(B42,LEN(B42)-FIND("],",B42)-1),"none")</f>
        <v>[effect:freq_turn, target:myself, turn:-1, val:1, animation:enemy_freq_turn],[effect:rush, val:1, count:1]</v>
      </c>
      <c r="N42" s="48" t="str">
        <f>IFERROR(LEFT(M42,FIND("],",M42)+S50),M42)</f>
        <v>[effect:freq_turn, target:myself, turn:-1, val:1, animation:enemy_freq_turn]</v>
      </c>
      <c r="O42" s="64">
        <f t="shared" ref="O42:O43" si="98">FIND("effect:",N42)+7</f>
        <v>9</v>
      </c>
      <c r="P42" s="64">
        <f t="shared" ref="P42:P43" si="99">IFERROR(FIND(",",N42),LEN(N42))</f>
        <v>18</v>
      </c>
      <c r="Q42" s="64">
        <f t="shared" ref="Q42:Q43" si="100">FIND("target:",N42)+7</f>
        <v>27</v>
      </c>
      <c r="R42" s="64">
        <f t="shared" ref="R42:R43" si="101">FIND(",",N42,P42+1)</f>
        <v>33</v>
      </c>
      <c r="S42" s="64" t="str">
        <f>IFERROR(VLOOKUP(MID(N42,Q42,R42-Q42),[6]skilldef!$C:$D,2,FALSE),"-") &amp; " / " &amp; IFERROR(VLOOKUP(MID(N42,O42,P42-O42),[6]skilldef!$A:$B,2,FALSE),"-")</f>
        <v>自分自身に / 攻撃頻度がUP</v>
      </c>
      <c r="T42" s="48" t="str">
        <f t="shared" ref="T42:T43" si="102">IFERROR(RIGHT(M42,LEN(M42)-FIND("],",M42)-1),"none")</f>
        <v>[effect:rush, val:1, count:1]</v>
      </c>
      <c r="U42" s="64">
        <f t="shared" ref="U42:U43" si="103">FIND("effect:",T42)+7</f>
        <v>9</v>
      </c>
      <c r="V42" s="64">
        <f t="shared" ref="V42:V43" si="104">IFERROR(FIND(",",T42),LEN(T42))</f>
        <v>13</v>
      </c>
      <c r="W42" s="64" t="e">
        <f t="shared" ref="W42:W43" si="105">FIND("target:",T42)+7</f>
        <v>#VALUE!</v>
      </c>
      <c r="X42" s="64">
        <f t="shared" ref="X42:X43" si="106">FIND(",",T42,V42+1)</f>
        <v>20</v>
      </c>
      <c r="Y42" s="64" t="str">
        <f>IFERROR(VLOOKUP(MID(T42,W42,X42-W42),[6]skilldef!$C:$D,2,FALSE),"-") &amp; " / " &amp; IFERROR(VLOOKUP(MID(T42,U42,V42-U42),[6]skilldef!$A:$B,2,FALSE),"-")</f>
        <v>- / 連続攻撃</v>
      </c>
      <c r="Z42" s="50"/>
      <c r="AA42" s="52"/>
      <c r="AB42" s="50"/>
      <c r="AC42" s="49">
        <f t="shared" si="16"/>
        <v>9</v>
      </c>
      <c r="AD42" s="49">
        <f t="shared" si="17"/>
        <v>14</v>
      </c>
    </row>
    <row r="43" spans="1:30" ht="21" customHeight="1" x14ac:dyDescent="0.15">
      <c r="A43" s="47">
        <v>60028043</v>
      </c>
      <c r="B43" s="47" t="s">
        <v>451</v>
      </c>
      <c r="C43" s="50">
        <v>3</v>
      </c>
      <c r="D43" s="50" t="s">
        <v>128</v>
      </c>
      <c r="E43" s="51" t="s">
        <v>401</v>
      </c>
      <c r="F43" s="144" t="s">
        <v>530</v>
      </c>
      <c r="G43" s="64" t="str">
        <f t="shared" si="92"/>
        <v>[effect:enemy_message, val1:1.2, val2:3.5]</v>
      </c>
      <c r="H43" s="64">
        <f t="shared" si="93"/>
        <v>9</v>
      </c>
      <c r="I43" s="64">
        <f t="shared" si="94"/>
        <v>22</v>
      </c>
      <c r="J43" s="64" t="e">
        <f t="shared" si="95"/>
        <v>#VALUE!</v>
      </c>
      <c r="K43" s="64">
        <f t="shared" si="96"/>
        <v>32</v>
      </c>
      <c r="L43" s="64" t="str">
        <f>IFERROR(VLOOKUP(MID(G43,J43,K43-J43),[6]skilldef!$C:$D,2,FALSE),"-") &amp; " / " &amp; IFERROR(VLOOKUP(MID(G43,H43,I43-H43),[6]skilldef!$A:$B,2,FALSE),"-")</f>
        <v>- / -</v>
      </c>
      <c r="M43" s="64" t="str">
        <f t="shared" si="97"/>
        <v>[effect:dis_heart, turn:4, animation:enemy_dis_heart],[effect:rush, val:1, count:1]</v>
      </c>
      <c r="N43" s="48" t="str">
        <f>IFERROR(LEFT(M43,FIND("],",M43)+S51),M43)</f>
        <v>[effect:dis_heart, turn:4, animation:enemy_dis_heart]</v>
      </c>
      <c r="O43" s="64">
        <f t="shared" si="98"/>
        <v>9</v>
      </c>
      <c r="P43" s="64">
        <f t="shared" si="99"/>
        <v>18</v>
      </c>
      <c r="Q43" s="64" t="e">
        <f t="shared" si="100"/>
        <v>#VALUE!</v>
      </c>
      <c r="R43" s="64">
        <f t="shared" si="101"/>
        <v>26</v>
      </c>
      <c r="S43" s="64" t="str">
        <f>IFERROR(VLOOKUP(MID(N43,Q43,R43-Q43),[6]skilldef!$C:$D,2,FALSE),"-") &amp; " / " &amp; IFERROR(VLOOKUP(MID(N43,O43,P43-O43),[6]skilldef!$A:$B,2,FALSE),"-")</f>
        <v>- / ディスハート</v>
      </c>
      <c r="T43" s="48" t="str">
        <f t="shared" si="102"/>
        <v>[effect:rush, val:1, count:1]</v>
      </c>
      <c r="U43" s="64">
        <f t="shared" si="103"/>
        <v>9</v>
      </c>
      <c r="V43" s="64">
        <f t="shared" si="104"/>
        <v>13</v>
      </c>
      <c r="W43" s="64" t="e">
        <f t="shared" si="105"/>
        <v>#VALUE!</v>
      </c>
      <c r="X43" s="64">
        <f t="shared" si="106"/>
        <v>20</v>
      </c>
      <c r="Y43" s="64" t="str">
        <f>IFERROR(VLOOKUP(MID(T43,W43,X43-W43),[6]skilldef!$C:$D,2,FALSE),"-") &amp; " / " &amp; IFERROR(VLOOKUP(MID(T43,U43,V43-U43),[6]skilldef!$A:$B,2,FALSE),"-")</f>
        <v>- / 連続攻撃</v>
      </c>
      <c r="Z43" s="50"/>
      <c r="AA43" s="52"/>
      <c r="AB43" s="50"/>
      <c r="AC43" s="49">
        <f t="shared" si="16"/>
        <v>12</v>
      </c>
      <c r="AD43" s="49">
        <f t="shared" si="17"/>
        <v>35</v>
      </c>
    </row>
    <row r="44" spans="1:30" ht="21" customHeight="1" x14ac:dyDescent="0.15">
      <c r="A44" s="47">
        <v>60028045</v>
      </c>
      <c r="B44" s="47" t="s">
        <v>511</v>
      </c>
      <c r="C44" s="50">
        <v>3</v>
      </c>
      <c r="D44" s="50" t="s">
        <v>128</v>
      </c>
      <c r="E44" s="51" t="s">
        <v>402</v>
      </c>
      <c r="F44" s="51" t="s">
        <v>509</v>
      </c>
      <c r="G44" s="64" t="str">
        <f t="shared" ref="G44:G45" si="107">IFERROR(LEFT(B44,FIND("],",B44)),B44)</f>
        <v>[effect:enemy_message, val1:1.2, val2:1.6]</v>
      </c>
      <c r="H44" s="64">
        <f t="shared" ref="H44:H45" si="108">FIND("effect:",G44)+7</f>
        <v>9</v>
      </c>
      <c r="I44" s="64">
        <f t="shared" ref="I44:I45" si="109">IFERROR(FIND(",",G44),LEN(G44))</f>
        <v>22</v>
      </c>
      <c r="J44" s="64" t="e">
        <f t="shared" ref="J44:J45" si="110">FIND("target:",G44)+7</f>
        <v>#VALUE!</v>
      </c>
      <c r="K44" s="64">
        <f t="shared" ref="K44:K45" si="111">FIND(",",G44,I44+1)</f>
        <v>32</v>
      </c>
      <c r="L44" s="64" t="str">
        <f>IFERROR(VLOOKUP(MID(G44,J44,K44-J44),[6]skilldef!$C:$D,2,FALSE),"-") &amp; " / " &amp; IFERROR(VLOOKUP(MID(G44,H44,I44-H44),[6]skilldef!$A:$B,2,FALSE),"-")</f>
        <v>- / -</v>
      </c>
      <c r="M44" s="64" t="str">
        <f t="shared" ref="M44:M45" si="112">IFERROR(RIGHT(B44,LEN(B44)-FIND("],",B44)-1),"none")</f>
        <v>[effect:damage_fix_absolute, target:unit_one, val:60000]</v>
      </c>
      <c r="N44" s="48" t="str">
        <f t="shared" ref="N44" si="113">IFERROR(LEFT(M44,FIND("],",M44)+S53),M44)</f>
        <v>[effect:damage_fix_absolute, target:unit_one, val:60000]</v>
      </c>
      <c r="O44" s="64">
        <f t="shared" ref="O44:O45" si="114">FIND("effect:",N44)+7</f>
        <v>9</v>
      </c>
      <c r="P44" s="64">
        <f t="shared" ref="P44:P45" si="115">IFERROR(FIND(",",N44),LEN(N44))</f>
        <v>28</v>
      </c>
      <c r="Q44" s="64">
        <f t="shared" ref="Q44:Q45" si="116">FIND("target:",N44)+7</f>
        <v>37</v>
      </c>
      <c r="R44" s="64">
        <f t="shared" ref="R44:R45" si="117">FIND(",",N44,P44+1)</f>
        <v>45</v>
      </c>
      <c r="S44" s="64" t="str">
        <f>IFERROR(VLOOKUP(MID(N44,Q44,R44-Q44),[6]skilldef!$C:$D,2,FALSE),"-") &amp; " / " &amp; IFERROR(VLOOKUP(MID(N44,O44,P44-O44),[6]skilldef!$A:$B,2,FALSE),"-")</f>
        <v>味方単体に / -</v>
      </c>
      <c r="T44" s="48" t="str">
        <f t="shared" ref="T44:T45" si="118">IFERROR(RIGHT(M44,LEN(M44)-FIND("],",M44)-1),"none")</f>
        <v>none</v>
      </c>
      <c r="U44" s="64" t="e">
        <f t="shared" ref="U44:U45" si="119">FIND("effect:",T44)+7</f>
        <v>#VALUE!</v>
      </c>
      <c r="V44" s="64">
        <f t="shared" ref="V44:V45" si="120">IFERROR(FIND(",",T44),LEN(T44))</f>
        <v>4</v>
      </c>
      <c r="W44" s="64" t="e">
        <f t="shared" ref="W44:W45" si="121">FIND("target:",T44)+7</f>
        <v>#VALUE!</v>
      </c>
      <c r="X44" s="64" t="e">
        <f t="shared" ref="X44:X45" si="122">FIND(",",T44,V44+1)</f>
        <v>#VALUE!</v>
      </c>
      <c r="Y44" s="64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  <c r="AC44" s="49">
        <f t="shared" si="16"/>
        <v>11</v>
      </c>
      <c r="AD44" s="49">
        <f t="shared" si="17"/>
        <v>16</v>
      </c>
    </row>
    <row r="45" spans="1:30" ht="21" customHeight="1" x14ac:dyDescent="0.15">
      <c r="A45" s="47">
        <v>60028046</v>
      </c>
      <c r="B45" s="145" t="s">
        <v>533</v>
      </c>
      <c r="C45" s="50">
        <v>3</v>
      </c>
      <c r="D45" s="50" t="s">
        <v>128</v>
      </c>
      <c r="E45" s="51" t="s">
        <v>404</v>
      </c>
      <c r="F45" s="144" t="s">
        <v>526</v>
      </c>
      <c r="G45" s="64" t="str">
        <f t="shared" si="107"/>
        <v>[effect:enemy_message, val1:1.2, val2:8.2]</v>
      </c>
      <c r="H45" s="64">
        <f t="shared" si="108"/>
        <v>9</v>
      </c>
      <c r="I45" s="64">
        <f t="shared" si="109"/>
        <v>22</v>
      </c>
      <c r="J45" s="64" t="e">
        <f t="shared" si="110"/>
        <v>#VALUE!</v>
      </c>
      <c r="K45" s="64">
        <f t="shared" si="111"/>
        <v>32</v>
      </c>
      <c r="L45" s="64" t="str">
        <f>IFERROR(VLOOKUP(MID(G45,J45,K45-J45),[6]skilldef!$C:$D,2,FALSE),"-") &amp; " / " &amp; IFERROR(VLOOKUP(MID(G45,H45,I45-H45),[6]skilldef!$A:$B,2,FALSE),"-")</f>
        <v>- / -</v>
      </c>
      <c r="M45" s="64" t="str">
        <f t="shared" si="112"/>
        <v>[effect:damage_anti_tribe, target:unit_all, tribe:human, val1:3.5, val2:0.1],[effect:damage_anti_tribe, target:unit_all, tribe:human, val1:3.5, val2:0.1],[effect:damage_anti_tribe, target:unit_all, tribe:machine, val1:3.5, val2:0.1],[effect:damage_anti_tribe, target:unit_all, tribe:machine, val1:3.5, val2:0.1],[effect:hungup, target:unit_human/unit_machine, turn:10, rate:1, animation:hungup01]</v>
      </c>
      <c r="N45" s="48" t="str">
        <f t="shared" ref="N45" si="123">IFERROR(LEFT(M45,FIND("],",M45)+S55),M45)</f>
        <v>[effect:damage_anti_tribe, target:unit_all, tribe:human, val1:3.5, val2:0.1]</v>
      </c>
      <c r="O45" s="64">
        <f t="shared" si="114"/>
        <v>9</v>
      </c>
      <c r="P45" s="64">
        <f t="shared" si="115"/>
        <v>26</v>
      </c>
      <c r="Q45" s="64">
        <f t="shared" si="116"/>
        <v>35</v>
      </c>
      <c r="R45" s="64">
        <f t="shared" si="117"/>
        <v>43</v>
      </c>
      <c r="S45" s="64" t="str">
        <f>IFERROR(VLOOKUP(MID(N45,Q45,R45-Q45),[6]skilldef!$C:$D,2,FALSE),"-") &amp; " / " &amp; IFERROR(VLOOKUP(MID(N45,O45,P45-O45),[6]skilldef!$A:$B,2,FALSE),"-")</f>
        <v>味方全体に / 種族キラー</v>
      </c>
      <c r="T45" s="48" t="str">
        <f t="shared" si="118"/>
        <v>[effect:damage_anti_tribe, target:unit_all, tribe:human, val1:3.5, val2:0.1],[effect:damage_anti_tribe, target:unit_all, tribe:machine, val1:3.5, val2:0.1],[effect:damage_anti_tribe, target:unit_all, tribe:machine, val1:3.5, val2:0.1],[effect:hungup, target:unit_human/unit_machine, turn:10, rate:1, animation:hungup01]</v>
      </c>
      <c r="U45" s="64">
        <f t="shared" si="119"/>
        <v>9</v>
      </c>
      <c r="V45" s="64">
        <f t="shared" si="120"/>
        <v>26</v>
      </c>
      <c r="W45" s="64">
        <f t="shared" si="121"/>
        <v>35</v>
      </c>
      <c r="X45" s="64">
        <f t="shared" si="122"/>
        <v>43</v>
      </c>
      <c r="Y45" s="64" t="str">
        <f>IFERROR(VLOOKUP(MID(T45,W45,X45-W45),[6]skilldef!$C:$D,2,FALSE),"-") &amp; " / " &amp; IFERROR(VLOOKUP(MID(T45,U45,V45-U45),[6]skilldef!$A:$B,2,FALSE),"-")</f>
        <v>味方全体に / 種族キラー</v>
      </c>
      <c r="Z45" s="50"/>
      <c r="AA45" s="52"/>
      <c r="AB45" s="50"/>
      <c r="AC45" s="49">
        <f t="shared" si="16"/>
        <v>6</v>
      </c>
      <c r="AD45" s="49">
        <f t="shared" si="17"/>
        <v>82</v>
      </c>
    </row>
    <row r="46" spans="1:30" ht="21" customHeight="1" x14ac:dyDescent="0.15">
      <c r="A46" s="47">
        <v>60028047</v>
      </c>
      <c r="B46" s="47" t="s">
        <v>452</v>
      </c>
      <c r="C46" s="50">
        <v>3</v>
      </c>
      <c r="D46" s="50" t="s">
        <v>128</v>
      </c>
      <c r="E46" s="51" t="s">
        <v>437</v>
      </c>
      <c r="F46" s="51" t="s">
        <v>438</v>
      </c>
      <c r="G46" s="64" t="str">
        <f t="shared" ref="G46" si="124">IFERROR(LEFT(B46,FIND("],",B46)),B46)</f>
        <v>[effect:enemy_message, val1:1.7, val2:1.7]</v>
      </c>
      <c r="H46" s="64">
        <f t="shared" ref="H46" si="125">FIND("effect:",G46)+7</f>
        <v>9</v>
      </c>
      <c r="I46" s="64">
        <f t="shared" ref="I46" si="126">IFERROR(FIND(",",G46),LEN(G46))</f>
        <v>22</v>
      </c>
      <c r="J46" s="64" t="e">
        <f t="shared" ref="J46" si="127">FIND("target:",G46)+7</f>
        <v>#VALUE!</v>
      </c>
      <c r="K46" s="64">
        <f t="shared" ref="K46" si="128">FIND(",",G46,I46+1)</f>
        <v>32</v>
      </c>
      <c r="L46" s="64" t="str">
        <f>IFERROR(VLOOKUP(MID(G46,J46,K46-J46),[6]skilldef!$C:$D,2,FALSE),"-") &amp; " / " &amp; IFERROR(VLOOKUP(MID(G46,H46,I46-H46),[6]skilldef!$A:$B,2,FALSE),"-")</f>
        <v>- / -</v>
      </c>
      <c r="M46" s="64" t="str">
        <f t="shared" ref="M46" si="129">IFERROR(RIGHT(B46,LEN(B46)-FIND("],",B46)-1),"none")</f>
        <v>none</v>
      </c>
      <c r="N46" s="48" t="str">
        <f t="shared" ref="N46" si="130">IFERROR(LEFT(M46,FIND("],",M46)+S56),M46)</f>
        <v>none</v>
      </c>
      <c r="O46" s="64" t="e">
        <f t="shared" ref="O46" si="131">FIND("effect:",N46)+7</f>
        <v>#VALUE!</v>
      </c>
      <c r="P46" s="64">
        <f t="shared" ref="P46" si="132">IFERROR(FIND(",",N46),LEN(N46))</f>
        <v>4</v>
      </c>
      <c r="Q46" s="64" t="e">
        <f t="shared" ref="Q46" si="133">FIND("target:",N46)+7</f>
        <v>#VALUE!</v>
      </c>
      <c r="R46" s="64" t="e">
        <f t="shared" ref="R46" si="134">FIND(",",N46,P46+1)</f>
        <v>#VALUE!</v>
      </c>
      <c r="S46" s="64" t="str">
        <f>IFERROR(VLOOKUP(MID(N46,Q46,R46-Q46),[6]skilldef!$C:$D,2,FALSE),"-") &amp; " / " &amp; IFERROR(VLOOKUP(MID(N46,O46,P46-O46),[6]skilldef!$A:$B,2,FALSE),"-")</f>
        <v>- / -</v>
      </c>
      <c r="T46" s="48" t="str">
        <f t="shared" ref="T46" si="135">IFERROR(RIGHT(M46,LEN(M46)-FIND("],",M46)-1),"none")</f>
        <v>none</v>
      </c>
      <c r="U46" s="64" t="e">
        <f t="shared" ref="U46" si="136">FIND("effect:",T46)+7</f>
        <v>#VALUE!</v>
      </c>
      <c r="V46" s="64">
        <f t="shared" ref="V46" si="137">IFERROR(FIND(",",T46),LEN(T46))</f>
        <v>4</v>
      </c>
      <c r="W46" s="64" t="e">
        <f t="shared" ref="W46" si="138">FIND("target:",T46)+7</f>
        <v>#VALUE!</v>
      </c>
      <c r="X46" s="64" t="e">
        <f t="shared" ref="X46" si="139">FIND(",",T46,V46+1)</f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  <c r="AC46" s="49">
        <f t="shared" si="16"/>
        <v>11</v>
      </c>
      <c r="AD46" s="49">
        <f t="shared" si="17"/>
        <v>11</v>
      </c>
    </row>
  </sheetData>
  <autoFilter ref="A1:AB1"/>
  <phoneticPr fontId="8"/>
  <pageMargins left="0.75" right="0.75" top="1" bottom="1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8"/>
  <sheetViews>
    <sheetView showGridLines="0" zoomScale="109" zoomScaleNormal="109" zoomScalePageLayoutView="109" workbookViewId="0">
      <pane ySplit="1" topLeftCell="A34" activePane="bottomLeft" state="frozenSplit"/>
      <selection pane="bottomLeft" activeCell="H51" sqref="H51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60028001</v>
      </c>
      <c r="B2" s="47">
        <v>1</v>
      </c>
      <c r="C2" s="47">
        <v>100</v>
      </c>
      <c r="D2" s="47">
        <v>100</v>
      </c>
      <c r="E2" s="47" t="s">
        <v>359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:J47" si="0">D2</f>
        <v>100</v>
      </c>
    </row>
    <row r="3" spans="1:11" ht="21" customHeight="1" x14ac:dyDescent="0.15">
      <c r="A3" s="47">
        <v>60028002</v>
      </c>
      <c r="B3" s="47">
        <v>0</v>
      </c>
      <c r="C3" s="47">
        <v>100</v>
      </c>
      <c r="D3" s="47">
        <v>100</v>
      </c>
      <c r="E3" s="47" t="s">
        <v>356</v>
      </c>
      <c r="F3" s="47" t="s">
        <v>357</v>
      </c>
      <c r="G3" s="47" t="s">
        <v>358</v>
      </c>
      <c r="H3" s="47">
        <v>2</v>
      </c>
      <c r="I3" s="47" t="s">
        <v>357</v>
      </c>
      <c r="J3" s="48">
        <f t="shared" si="0"/>
        <v>100</v>
      </c>
    </row>
    <row r="4" spans="1:11" ht="21" customHeight="1" x14ac:dyDescent="0.15">
      <c r="A4" s="47">
        <v>60028003</v>
      </c>
      <c r="B4" s="47">
        <v>0</v>
      </c>
      <c r="C4" s="47">
        <v>10</v>
      </c>
      <c r="D4" s="47">
        <v>70</v>
      </c>
      <c r="E4" s="47" t="s">
        <v>359</v>
      </c>
      <c r="F4" s="47" t="s">
        <v>357</v>
      </c>
      <c r="G4" s="47" t="s">
        <v>359</v>
      </c>
      <c r="H4" s="47" t="s">
        <v>360</v>
      </c>
      <c r="I4" s="47" t="s">
        <v>360</v>
      </c>
      <c r="J4" s="48">
        <f t="shared" si="0"/>
        <v>70</v>
      </c>
    </row>
    <row r="5" spans="1:11" ht="21" customHeight="1" x14ac:dyDescent="0.15">
      <c r="A5" s="47">
        <v>60028004</v>
      </c>
      <c r="B5" s="47">
        <v>0</v>
      </c>
      <c r="C5" s="47">
        <v>100</v>
      </c>
      <c r="D5" s="47">
        <v>100</v>
      </c>
      <c r="E5" s="47" t="s">
        <v>357</v>
      </c>
      <c r="F5" s="47" t="s">
        <v>359</v>
      </c>
      <c r="G5" s="47" t="s">
        <v>357</v>
      </c>
      <c r="H5" s="47">
        <v>3</v>
      </c>
      <c r="I5" s="47" t="s">
        <v>357</v>
      </c>
      <c r="J5" s="48">
        <f t="shared" si="0"/>
        <v>100</v>
      </c>
    </row>
    <row r="6" spans="1:11" ht="21" customHeight="1" x14ac:dyDescent="0.15">
      <c r="A6" s="47">
        <v>60028005</v>
      </c>
      <c r="B6" s="47">
        <v>0</v>
      </c>
      <c r="C6" s="47">
        <v>10</v>
      </c>
      <c r="D6" s="47">
        <v>70</v>
      </c>
      <c r="E6" s="47" t="s">
        <v>359</v>
      </c>
      <c r="F6" s="47" t="s">
        <v>357</v>
      </c>
      <c r="G6" s="47" t="s">
        <v>359</v>
      </c>
      <c r="H6" s="47" t="s">
        <v>360</v>
      </c>
      <c r="I6" s="47" t="s">
        <v>360</v>
      </c>
      <c r="J6" s="48">
        <f t="shared" si="0"/>
        <v>70</v>
      </c>
    </row>
    <row r="7" spans="1:11" ht="21" customHeight="1" x14ac:dyDescent="0.15">
      <c r="A7" s="47">
        <v>60028006</v>
      </c>
      <c r="B7" s="47">
        <v>0</v>
      </c>
      <c r="C7" s="47">
        <v>100</v>
      </c>
      <c r="D7" s="47">
        <v>100</v>
      </c>
      <c r="E7" s="47">
        <v>30</v>
      </c>
      <c r="F7" s="47" t="s">
        <v>357</v>
      </c>
      <c r="G7" s="47">
        <v>1</v>
      </c>
      <c r="H7" s="47" t="s">
        <v>357</v>
      </c>
      <c r="I7" s="47" t="s">
        <v>89</v>
      </c>
      <c r="J7" s="48">
        <f t="shared" si="0"/>
        <v>100</v>
      </c>
    </row>
    <row r="8" spans="1:11" ht="21" customHeight="1" x14ac:dyDescent="0.15">
      <c r="A8" s="47">
        <v>60028007</v>
      </c>
      <c r="B8" s="47">
        <v>0</v>
      </c>
      <c r="C8" s="47">
        <v>80</v>
      </c>
      <c r="D8" s="47">
        <v>100</v>
      </c>
      <c r="E8" s="47">
        <v>30</v>
      </c>
      <c r="F8" s="47" t="s">
        <v>357</v>
      </c>
      <c r="G8" s="47">
        <v>1</v>
      </c>
      <c r="H8" s="47" t="s">
        <v>357</v>
      </c>
      <c r="I8" s="47" t="s">
        <v>89</v>
      </c>
      <c r="J8" s="48">
        <f t="shared" si="0"/>
        <v>100</v>
      </c>
    </row>
    <row r="9" spans="1:11" ht="21" customHeight="1" x14ac:dyDescent="0.15">
      <c r="A9" s="47">
        <v>60028008</v>
      </c>
      <c r="B9" s="47">
        <v>1</v>
      </c>
      <c r="C9" s="47">
        <v>100</v>
      </c>
      <c r="D9" s="47">
        <v>100</v>
      </c>
      <c r="E9" s="47" t="s">
        <v>359</v>
      </c>
      <c r="F9" s="47" t="s">
        <v>357</v>
      </c>
      <c r="G9" s="47">
        <v>1</v>
      </c>
      <c r="H9" s="47" t="s">
        <v>360</v>
      </c>
      <c r="I9" s="47" t="s">
        <v>360</v>
      </c>
      <c r="J9" s="48">
        <f t="shared" si="0"/>
        <v>100</v>
      </c>
    </row>
    <row r="10" spans="1:11" ht="21" customHeight="1" x14ac:dyDescent="0.15">
      <c r="A10" s="47">
        <v>60028009</v>
      </c>
      <c r="B10" s="47">
        <v>0</v>
      </c>
      <c r="C10" s="47">
        <v>10</v>
      </c>
      <c r="D10" s="47">
        <v>100</v>
      </c>
      <c r="E10" s="47" t="s">
        <v>359</v>
      </c>
      <c r="F10" s="47" t="s">
        <v>357</v>
      </c>
      <c r="G10" s="47" t="s">
        <v>359</v>
      </c>
      <c r="H10" s="47" t="s">
        <v>360</v>
      </c>
      <c r="I10" s="47" t="s">
        <v>360</v>
      </c>
      <c r="J10" s="48">
        <f t="shared" si="0"/>
        <v>100</v>
      </c>
    </row>
    <row r="11" spans="1:11" ht="21" customHeight="1" x14ac:dyDescent="0.15">
      <c r="A11" s="47">
        <v>60028010</v>
      </c>
      <c r="B11" s="47">
        <v>0</v>
      </c>
      <c r="C11" s="47">
        <v>80</v>
      </c>
      <c r="D11" s="47">
        <v>100</v>
      </c>
      <c r="E11" s="47">
        <v>30</v>
      </c>
      <c r="F11" s="47" t="s">
        <v>357</v>
      </c>
      <c r="G11" s="47">
        <v>1</v>
      </c>
      <c r="H11" s="47" t="s">
        <v>357</v>
      </c>
      <c r="I11" s="47" t="s">
        <v>89</v>
      </c>
      <c r="J11" s="48">
        <f t="shared" si="0"/>
        <v>100</v>
      </c>
    </row>
    <row r="12" spans="1:11" ht="21" customHeight="1" x14ac:dyDescent="0.15">
      <c r="A12" s="47">
        <v>60028011</v>
      </c>
      <c r="B12" s="47">
        <v>0</v>
      </c>
      <c r="C12" s="47">
        <v>10</v>
      </c>
      <c r="D12" s="47">
        <v>70</v>
      </c>
      <c r="E12" s="47" t="s">
        <v>359</v>
      </c>
      <c r="F12" s="47" t="s">
        <v>357</v>
      </c>
      <c r="G12" s="47" t="s">
        <v>359</v>
      </c>
      <c r="H12" s="47" t="s">
        <v>360</v>
      </c>
      <c r="I12" s="47" t="s">
        <v>360</v>
      </c>
      <c r="J12" s="48">
        <f t="shared" si="0"/>
        <v>70</v>
      </c>
    </row>
    <row r="13" spans="1:11" ht="21" customHeight="1" x14ac:dyDescent="0.15">
      <c r="A13" s="47">
        <v>60028012</v>
      </c>
      <c r="B13" s="47">
        <v>0</v>
      </c>
      <c r="C13" s="47">
        <v>100</v>
      </c>
      <c r="D13" s="47">
        <v>100</v>
      </c>
      <c r="E13" s="47" t="s">
        <v>357</v>
      </c>
      <c r="F13" s="47" t="s">
        <v>359</v>
      </c>
      <c r="G13" s="47" t="s">
        <v>357</v>
      </c>
      <c r="H13" s="47">
        <v>3</v>
      </c>
      <c r="I13" s="47" t="s">
        <v>357</v>
      </c>
      <c r="J13" s="48">
        <f t="shared" si="0"/>
        <v>100</v>
      </c>
    </row>
    <row r="14" spans="1:11" ht="21" customHeight="1" x14ac:dyDescent="0.15">
      <c r="A14" s="47">
        <v>60028013</v>
      </c>
      <c r="B14" s="47">
        <v>0</v>
      </c>
      <c r="C14" s="47">
        <v>120</v>
      </c>
      <c r="D14" s="47">
        <v>100</v>
      </c>
      <c r="E14" s="47">
        <v>50</v>
      </c>
      <c r="F14" s="47" t="s">
        <v>357</v>
      </c>
      <c r="G14" s="47">
        <v>1</v>
      </c>
      <c r="H14" s="47" t="s">
        <v>357</v>
      </c>
      <c r="I14" s="47" t="s">
        <v>89</v>
      </c>
      <c r="J14" s="48">
        <f t="shared" si="0"/>
        <v>100</v>
      </c>
    </row>
    <row r="15" spans="1:11" ht="21" customHeight="1" x14ac:dyDescent="0.15">
      <c r="A15" s="47">
        <v>60028014</v>
      </c>
      <c r="B15" s="47">
        <v>1</v>
      </c>
      <c r="C15" s="47">
        <v>100</v>
      </c>
      <c r="D15" s="47">
        <v>100</v>
      </c>
      <c r="E15" s="47" t="s">
        <v>359</v>
      </c>
      <c r="F15" s="47" t="s">
        <v>357</v>
      </c>
      <c r="G15" s="47">
        <v>1</v>
      </c>
      <c r="H15" s="47" t="s">
        <v>360</v>
      </c>
      <c r="I15" s="47" t="s">
        <v>360</v>
      </c>
      <c r="J15" s="48">
        <f t="shared" si="0"/>
        <v>100</v>
      </c>
    </row>
    <row r="16" spans="1:11" ht="21" customHeight="1" x14ac:dyDescent="0.15">
      <c r="A16" s="47">
        <v>60028015</v>
      </c>
      <c r="B16" s="47">
        <v>0</v>
      </c>
      <c r="C16" s="47">
        <v>10</v>
      </c>
      <c r="D16" s="47">
        <v>70</v>
      </c>
      <c r="E16" s="47" t="s">
        <v>359</v>
      </c>
      <c r="F16" s="47" t="s">
        <v>357</v>
      </c>
      <c r="G16" s="47" t="s">
        <v>359</v>
      </c>
      <c r="H16" s="47" t="s">
        <v>360</v>
      </c>
      <c r="I16" s="47" t="s">
        <v>360</v>
      </c>
      <c r="J16" s="48">
        <f t="shared" si="0"/>
        <v>70</v>
      </c>
    </row>
    <row r="17" spans="1:10" ht="21" customHeight="1" x14ac:dyDescent="0.15">
      <c r="A17" s="47">
        <v>60028016</v>
      </c>
      <c r="B17" s="47">
        <v>0</v>
      </c>
      <c r="C17" s="47">
        <v>80</v>
      </c>
      <c r="D17" s="47">
        <v>100</v>
      </c>
      <c r="E17" s="47">
        <v>30</v>
      </c>
      <c r="F17" s="47" t="s">
        <v>357</v>
      </c>
      <c r="G17" s="47">
        <v>1</v>
      </c>
      <c r="H17" s="47" t="s">
        <v>357</v>
      </c>
      <c r="I17" s="47" t="s">
        <v>89</v>
      </c>
      <c r="J17" s="48">
        <f t="shared" si="0"/>
        <v>100</v>
      </c>
    </row>
    <row r="18" spans="1:10" ht="21" customHeight="1" x14ac:dyDescent="0.15">
      <c r="A18" s="47">
        <v>60028017</v>
      </c>
      <c r="B18" s="47">
        <v>0</v>
      </c>
      <c r="C18" s="47">
        <v>50</v>
      </c>
      <c r="D18" s="47">
        <v>100</v>
      </c>
      <c r="E18" s="47">
        <v>30</v>
      </c>
      <c r="F18" s="47" t="s">
        <v>357</v>
      </c>
      <c r="G18" s="47">
        <v>1</v>
      </c>
      <c r="H18" s="47" t="s">
        <v>357</v>
      </c>
      <c r="I18" s="47" t="s">
        <v>89</v>
      </c>
      <c r="J18" s="48">
        <f t="shared" si="0"/>
        <v>100</v>
      </c>
    </row>
    <row r="19" spans="1:10" ht="21" customHeight="1" x14ac:dyDescent="0.15">
      <c r="A19" s="47">
        <v>60028018</v>
      </c>
      <c r="B19" s="47">
        <v>1</v>
      </c>
      <c r="C19" s="47">
        <v>100</v>
      </c>
      <c r="D19" s="47">
        <v>100</v>
      </c>
      <c r="E19" s="47" t="s">
        <v>359</v>
      </c>
      <c r="F19" s="47" t="s">
        <v>357</v>
      </c>
      <c r="G19" s="47">
        <v>1</v>
      </c>
      <c r="H19" s="47" t="s">
        <v>360</v>
      </c>
      <c r="I19" s="47" t="s">
        <v>360</v>
      </c>
      <c r="J19" s="48">
        <f t="shared" si="0"/>
        <v>100</v>
      </c>
    </row>
    <row r="20" spans="1:10" ht="21" customHeight="1" x14ac:dyDescent="0.15">
      <c r="A20" s="47">
        <v>60028019</v>
      </c>
      <c r="B20" s="47">
        <v>0</v>
      </c>
      <c r="C20" s="47">
        <v>10</v>
      </c>
      <c r="D20" s="47">
        <v>70</v>
      </c>
      <c r="E20" s="47" t="s">
        <v>359</v>
      </c>
      <c r="F20" s="47" t="s">
        <v>357</v>
      </c>
      <c r="G20" s="47" t="s">
        <v>359</v>
      </c>
      <c r="H20" s="47" t="s">
        <v>360</v>
      </c>
      <c r="I20" s="47" t="s">
        <v>360</v>
      </c>
      <c r="J20" s="48">
        <f t="shared" si="0"/>
        <v>70</v>
      </c>
    </row>
    <row r="21" spans="1:10" ht="21" customHeight="1" x14ac:dyDescent="0.15">
      <c r="A21" s="47">
        <v>60028020</v>
      </c>
      <c r="B21" s="47">
        <v>0</v>
      </c>
      <c r="C21" s="47">
        <v>100</v>
      </c>
      <c r="D21" s="47">
        <v>100</v>
      </c>
      <c r="E21" s="47" t="s">
        <v>357</v>
      </c>
      <c r="F21" s="47" t="s">
        <v>359</v>
      </c>
      <c r="G21" s="47" t="s">
        <v>357</v>
      </c>
      <c r="H21" s="47">
        <v>3</v>
      </c>
      <c r="I21" s="47" t="s">
        <v>360</v>
      </c>
      <c r="J21" s="48">
        <f t="shared" si="0"/>
        <v>100</v>
      </c>
    </row>
    <row r="22" spans="1:10" ht="21" customHeight="1" x14ac:dyDescent="0.15">
      <c r="A22" s="47">
        <v>60028021</v>
      </c>
      <c r="B22" s="47">
        <v>0</v>
      </c>
      <c r="C22" s="47">
        <v>120</v>
      </c>
      <c r="D22" s="47">
        <v>100</v>
      </c>
      <c r="E22" s="47">
        <v>30</v>
      </c>
      <c r="F22" s="47" t="s">
        <v>357</v>
      </c>
      <c r="G22" s="47">
        <v>1</v>
      </c>
      <c r="H22" s="47" t="s">
        <v>357</v>
      </c>
      <c r="I22" s="47" t="s">
        <v>89</v>
      </c>
      <c r="J22" s="48">
        <f t="shared" si="0"/>
        <v>100</v>
      </c>
    </row>
    <row r="23" spans="1:10" ht="21" customHeight="1" x14ac:dyDescent="0.15">
      <c r="A23" s="47">
        <v>60028022</v>
      </c>
      <c r="B23" s="47">
        <v>1</v>
      </c>
      <c r="C23" s="47">
        <v>100</v>
      </c>
      <c r="D23" s="47">
        <v>100</v>
      </c>
      <c r="E23" s="47" t="s">
        <v>359</v>
      </c>
      <c r="F23" s="47" t="s">
        <v>357</v>
      </c>
      <c r="G23" s="47">
        <v>1</v>
      </c>
      <c r="H23" s="47" t="s">
        <v>360</v>
      </c>
      <c r="I23" s="47" t="s">
        <v>360</v>
      </c>
      <c r="J23" s="48">
        <f t="shared" si="0"/>
        <v>100</v>
      </c>
    </row>
    <row r="24" spans="1:10" ht="21" customHeight="1" x14ac:dyDescent="0.15">
      <c r="A24" s="47">
        <v>60028023</v>
      </c>
      <c r="B24" s="47">
        <v>0</v>
      </c>
      <c r="C24" s="47">
        <v>90</v>
      </c>
      <c r="D24" s="47">
        <v>100</v>
      </c>
      <c r="E24" s="47" t="s">
        <v>359</v>
      </c>
      <c r="F24" s="47" t="s">
        <v>357</v>
      </c>
      <c r="G24" s="47">
        <v>1</v>
      </c>
      <c r="H24" s="47">
        <v>1</v>
      </c>
      <c r="I24" s="47" t="s">
        <v>360</v>
      </c>
      <c r="J24" s="48">
        <f t="shared" si="0"/>
        <v>100</v>
      </c>
    </row>
    <row r="25" spans="1:10" ht="21" customHeight="1" x14ac:dyDescent="0.15">
      <c r="A25" s="47">
        <v>60028024</v>
      </c>
      <c r="B25" s="47">
        <v>0</v>
      </c>
      <c r="C25" s="47">
        <v>80</v>
      </c>
      <c r="D25" s="47">
        <v>100</v>
      </c>
      <c r="E25" s="47" t="s">
        <v>357</v>
      </c>
      <c r="F25" s="47" t="s">
        <v>359</v>
      </c>
      <c r="G25" s="47" t="s">
        <v>357</v>
      </c>
      <c r="H25" s="47">
        <v>2</v>
      </c>
      <c r="I25" s="47" t="s">
        <v>357</v>
      </c>
      <c r="J25" s="48">
        <f t="shared" si="0"/>
        <v>100</v>
      </c>
    </row>
    <row r="26" spans="1:10" ht="21" customHeight="1" x14ac:dyDescent="0.15">
      <c r="A26" s="47">
        <v>60028025</v>
      </c>
      <c r="B26" s="47">
        <v>0</v>
      </c>
      <c r="C26" s="47">
        <v>70</v>
      </c>
      <c r="D26" s="47">
        <v>100</v>
      </c>
      <c r="E26" s="47" t="s">
        <v>357</v>
      </c>
      <c r="F26" s="47" t="s">
        <v>359</v>
      </c>
      <c r="G26" s="47" t="s">
        <v>357</v>
      </c>
      <c r="H26" s="47">
        <v>1</v>
      </c>
      <c r="I26" s="47" t="s">
        <v>361</v>
      </c>
      <c r="J26" s="48">
        <f t="shared" si="0"/>
        <v>100</v>
      </c>
    </row>
    <row r="27" spans="1:10" ht="21" customHeight="1" x14ac:dyDescent="0.15">
      <c r="A27" s="47">
        <v>60028026</v>
      </c>
      <c r="B27" s="47">
        <v>0</v>
      </c>
      <c r="C27" s="47">
        <v>85</v>
      </c>
      <c r="D27" s="47">
        <v>100</v>
      </c>
      <c r="E27" s="47">
        <v>50</v>
      </c>
      <c r="F27" s="47" t="s">
        <v>357</v>
      </c>
      <c r="G27" s="47">
        <v>1</v>
      </c>
      <c r="H27" s="47">
        <v>1</v>
      </c>
      <c r="I27" s="47" t="s">
        <v>89</v>
      </c>
      <c r="J27" s="48">
        <f t="shared" si="0"/>
        <v>100</v>
      </c>
    </row>
    <row r="28" spans="1:10" ht="21" customHeight="1" x14ac:dyDescent="0.15">
      <c r="A28" s="47">
        <v>60028027</v>
      </c>
      <c r="B28" s="47">
        <v>1</v>
      </c>
      <c r="C28" s="47">
        <v>100</v>
      </c>
      <c r="D28" s="47">
        <v>100</v>
      </c>
      <c r="E28" s="47" t="s">
        <v>359</v>
      </c>
      <c r="F28" s="47" t="s">
        <v>357</v>
      </c>
      <c r="G28" s="47">
        <v>1</v>
      </c>
      <c r="H28" s="47" t="s">
        <v>89</v>
      </c>
      <c r="I28" s="47" t="s">
        <v>360</v>
      </c>
      <c r="J28" s="48">
        <f t="shared" si="0"/>
        <v>100</v>
      </c>
    </row>
    <row r="29" spans="1:10" ht="21" customHeight="1" x14ac:dyDescent="0.15">
      <c r="A29" s="47">
        <v>60028028</v>
      </c>
      <c r="B29" s="47">
        <v>0</v>
      </c>
      <c r="C29" s="47">
        <v>90</v>
      </c>
      <c r="D29" s="47">
        <v>100</v>
      </c>
      <c r="E29" s="47" t="s">
        <v>359</v>
      </c>
      <c r="F29" s="47" t="s">
        <v>357</v>
      </c>
      <c r="G29" s="47">
        <v>1</v>
      </c>
      <c r="H29" s="47">
        <v>1</v>
      </c>
      <c r="I29" s="47" t="s">
        <v>360</v>
      </c>
      <c r="J29" s="48">
        <f t="shared" si="0"/>
        <v>100</v>
      </c>
    </row>
    <row r="30" spans="1:10" ht="21" customHeight="1" x14ac:dyDescent="0.15">
      <c r="A30" s="47">
        <v>60028029</v>
      </c>
      <c r="B30" s="47">
        <v>0</v>
      </c>
      <c r="C30" s="47">
        <v>80</v>
      </c>
      <c r="D30" s="47">
        <v>100</v>
      </c>
      <c r="E30" s="47" t="s">
        <v>357</v>
      </c>
      <c r="F30" s="47" t="s">
        <v>359</v>
      </c>
      <c r="G30" s="47" t="s">
        <v>357</v>
      </c>
      <c r="H30" s="47">
        <v>2</v>
      </c>
      <c r="I30" s="47" t="s">
        <v>357</v>
      </c>
      <c r="J30" s="48">
        <f t="shared" si="0"/>
        <v>100</v>
      </c>
    </row>
    <row r="31" spans="1:10" ht="21" customHeight="1" x14ac:dyDescent="0.15">
      <c r="A31" s="47">
        <v>60028030</v>
      </c>
      <c r="B31" s="47">
        <v>0</v>
      </c>
      <c r="C31" s="47">
        <v>70</v>
      </c>
      <c r="D31" s="47">
        <v>100</v>
      </c>
      <c r="E31" s="47" t="s">
        <v>357</v>
      </c>
      <c r="F31" s="47" t="s">
        <v>359</v>
      </c>
      <c r="G31" s="47" t="s">
        <v>357</v>
      </c>
      <c r="H31" s="47">
        <v>1</v>
      </c>
      <c r="I31" s="47" t="s">
        <v>361</v>
      </c>
      <c r="J31" s="48">
        <f t="shared" si="0"/>
        <v>100</v>
      </c>
    </row>
    <row r="32" spans="1:10" ht="21" customHeight="1" x14ac:dyDescent="0.15">
      <c r="A32" s="47">
        <v>60028031</v>
      </c>
      <c r="B32" s="47">
        <v>0</v>
      </c>
      <c r="C32" s="47">
        <v>85</v>
      </c>
      <c r="D32" s="47">
        <v>100</v>
      </c>
      <c r="E32" s="47">
        <v>50</v>
      </c>
      <c r="F32" s="47" t="s">
        <v>357</v>
      </c>
      <c r="G32" s="47">
        <v>1</v>
      </c>
      <c r="H32" s="47">
        <v>1</v>
      </c>
      <c r="I32" s="47" t="s">
        <v>89</v>
      </c>
      <c r="J32" s="48">
        <f t="shared" si="0"/>
        <v>100</v>
      </c>
    </row>
    <row r="33" spans="1:10" ht="21" customHeight="1" x14ac:dyDescent="0.15">
      <c r="A33" s="47">
        <v>60028032</v>
      </c>
      <c r="B33" s="47">
        <v>0</v>
      </c>
      <c r="C33" s="47">
        <v>83</v>
      </c>
      <c r="D33" s="47">
        <v>100</v>
      </c>
      <c r="E33" s="47">
        <v>50</v>
      </c>
      <c r="F33" s="47" t="s">
        <v>357</v>
      </c>
      <c r="G33" s="47">
        <v>1</v>
      </c>
      <c r="H33" s="47">
        <v>1</v>
      </c>
      <c r="I33" s="47" t="s">
        <v>89</v>
      </c>
      <c r="J33" s="48">
        <f t="shared" si="0"/>
        <v>100</v>
      </c>
    </row>
    <row r="34" spans="1:10" ht="21" customHeight="1" x14ac:dyDescent="0.15">
      <c r="A34" s="47">
        <v>60028033</v>
      </c>
      <c r="B34" s="47">
        <v>1</v>
      </c>
      <c r="C34" s="47">
        <v>100</v>
      </c>
      <c r="D34" s="47">
        <v>100</v>
      </c>
      <c r="E34" s="47" t="s">
        <v>359</v>
      </c>
      <c r="F34" s="47" t="s">
        <v>357</v>
      </c>
      <c r="G34" s="47">
        <v>1</v>
      </c>
      <c r="H34" s="47" t="s">
        <v>360</v>
      </c>
      <c r="I34" s="47" t="s">
        <v>360</v>
      </c>
      <c r="J34" s="48">
        <f t="shared" si="0"/>
        <v>100</v>
      </c>
    </row>
    <row r="35" spans="1:10" ht="21" customHeight="1" x14ac:dyDescent="0.15">
      <c r="A35" s="47">
        <v>60028034</v>
      </c>
      <c r="B35" s="47">
        <v>0</v>
      </c>
      <c r="C35" s="47">
        <v>90</v>
      </c>
      <c r="D35" s="47">
        <v>100</v>
      </c>
      <c r="E35" s="47" t="s">
        <v>359</v>
      </c>
      <c r="F35" s="47" t="s">
        <v>357</v>
      </c>
      <c r="G35" s="47">
        <v>1</v>
      </c>
      <c r="H35" s="47">
        <v>1</v>
      </c>
      <c r="I35" s="47" t="s">
        <v>360</v>
      </c>
      <c r="J35" s="48">
        <f t="shared" si="0"/>
        <v>100</v>
      </c>
    </row>
    <row r="36" spans="1:10" ht="21" customHeight="1" x14ac:dyDescent="0.15">
      <c r="A36" s="47">
        <v>60028035</v>
      </c>
      <c r="B36" s="47">
        <v>0</v>
      </c>
      <c r="C36" s="47">
        <v>80</v>
      </c>
      <c r="D36" s="47">
        <v>100</v>
      </c>
      <c r="E36" s="47" t="s">
        <v>357</v>
      </c>
      <c r="F36" s="47" t="s">
        <v>359</v>
      </c>
      <c r="G36" s="47" t="s">
        <v>357</v>
      </c>
      <c r="H36" s="47">
        <v>2</v>
      </c>
      <c r="I36" s="47" t="s">
        <v>357</v>
      </c>
      <c r="J36" s="48">
        <f t="shared" si="0"/>
        <v>100</v>
      </c>
    </row>
    <row r="37" spans="1:10" ht="21" customHeight="1" x14ac:dyDescent="0.15">
      <c r="A37" s="47">
        <v>60028036</v>
      </c>
      <c r="B37" s="47">
        <v>0</v>
      </c>
      <c r="C37" s="47">
        <v>70</v>
      </c>
      <c r="D37" s="47">
        <v>100</v>
      </c>
      <c r="E37" s="47" t="s">
        <v>357</v>
      </c>
      <c r="F37" s="47" t="s">
        <v>359</v>
      </c>
      <c r="G37" s="47" t="s">
        <v>357</v>
      </c>
      <c r="H37" s="47">
        <v>1</v>
      </c>
      <c r="I37" s="47" t="s">
        <v>361</v>
      </c>
      <c r="J37" s="48">
        <f t="shared" si="0"/>
        <v>100</v>
      </c>
    </row>
    <row r="38" spans="1:10" ht="21" customHeight="1" x14ac:dyDescent="0.15">
      <c r="A38" s="47">
        <v>60028037</v>
      </c>
      <c r="B38" s="47">
        <v>0</v>
      </c>
      <c r="C38" s="47">
        <v>85</v>
      </c>
      <c r="D38" s="47">
        <v>100</v>
      </c>
      <c r="E38" s="47">
        <v>50</v>
      </c>
      <c r="F38" s="47" t="s">
        <v>357</v>
      </c>
      <c r="G38" s="47">
        <v>1</v>
      </c>
      <c r="H38" s="47">
        <v>1</v>
      </c>
      <c r="I38" s="47" t="s">
        <v>89</v>
      </c>
      <c r="J38" s="48">
        <f t="shared" si="0"/>
        <v>100</v>
      </c>
    </row>
    <row r="39" spans="1:10" ht="21" customHeight="1" x14ac:dyDescent="0.15">
      <c r="A39" s="47">
        <v>60028038</v>
      </c>
      <c r="B39" s="48">
        <v>1</v>
      </c>
      <c r="C39" s="48">
        <v>100</v>
      </c>
      <c r="D39" s="48">
        <v>100</v>
      </c>
      <c r="E39" s="48" t="s">
        <v>90</v>
      </c>
      <c r="F39" s="48" t="s">
        <v>398</v>
      </c>
      <c r="G39" s="48">
        <v>1</v>
      </c>
      <c r="H39" s="48" t="s">
        <v>399</v>
      </c>
      <c r="I39" s="48" t="s">
        <v>90</v>
      </c>
      <c r="J39" s="48">
        <f t="shared" si="0"/>
        <v>100</v>
      </c>
    </row>
    <row r="40" spans="1:10" ht="21" customHeight="1" x14ac:dyDescent="0.15">
      <c r="A40" s="47">
        <v>60028039</v>
      </c>
      <c r="B40" s="48">
        <v>0</v>
      </c>
      <c r="C40" s="48">
        <v>80</v>
      </c>
      <c r="D40" s="48">
        <v>100</v>
      </c>
      <c r="E40" s="48" t="s">
        <v>90</v>
      </c>
      <c r="F40" s="48" t="s">
        <v>398</v>
      </c>
      <c r="G40" s="48">
        <v>1</v>
      </c>
      <c r="H40" s="48">
        <v>1</v>
      </c>
      <c r="I40" s="48" t="s">
        <v>90</v>
      </c>
      <c r="J40" s="48">
        <f t="shared" si="0"/>
        <v>100</v>
      </c>
    </row>
    <row r="41" spans="1:10" ht="21" customHeight="1" x14ac:dyDescent="0.15">
      <c r="A41" s="47">
        <v>60028040</v>
      </c>
      <c r="B41" s="48">
        <v>0</v>
      </c>
      <c r="C41" s="48">
        <v>90</v>
      </c>
      <c r="D41" s="48">
        <v>100</v>
      </c>
      <c r="E41" s="48" t="s">
        <v>90</v>
      </c>
      <c r="F41" s="48" t="s">
        <v>398</v>
      </c>
      <c r="G41" s="48" t="s">
        <v>90</v>
      </c>
      <c r="H41" s="48">
        <v>2</v>
      </c>
      <c r="I41" s="48" t="s">
        <v>90</v>
      </c>
      <c r="J41" s="48">
        <f t="shared" si="0"/>
        <v>100</v>
      </c>
    </row>
    <row r="42" spans="1:10" ht="21" customHeight="1" x14ac:dyDescent="0.15">
      <c r="A42" s="47">
        <v>60028041</v>
      </c>
      <c r="B42" s="48">
        <v>0</v>
      </c>
      <c r="C42" s="48" t="s">
        <v>90</v>
      </c>
      <c r="D42" s="48">
        <v>100</v>
      </c>
      <c r="E42" s="48" t="s">
        <v>90</v>
      </c>
      <c r="F42" s="48" t="s">
        <v>90</v>
      </c>
      <c r="G42" s="48">
        <v>0</v>
      </c>
      <c r="H42" s="48" t="s">
        <v>90</v>
      </c>
      <c r="I42" s="48">
        <v>0</v>
      </c>
      <c r="J42" s="48">
        <f t="shared" si="0"/>
        <v>100</v>
      </c>
    </row>
    <row r="43" spans="1:10" ht="21" customHeight="1" x14ac:dyDescent="0.15">
      <c r="A43" s="47">
        <v>60028042</v>
      </c>
      <c r="B43" s="48">
        <v>0</v>
      </c>
      <c r="C43" s="48">
        <v>95</v>
      </c>
      <c r="D43" s="48">
        <v>100</v>
      </c>
      <c r="E43" s="48" t="s">
        <v>397</v>
      </c>
      <c r="F43" s="48" t="s">
        <v>397</v>
      </c>
      <c r="G43" s="48">
        <v>1</v>
      </c>
      <c r="H43" s="48">
        <v>2</v>
      </c>
      <c r="I43" s="48" t="s">
        <v>90</v>
      </c>
      <c r="J43" s="48">
        <f t="shared" si="0"/>
        <v>100</v>
      </c>
    </row>
    <row r="44" spans="1:10" ht="21" customHeight="1" x14ac:dyDescent="0.15">
      <c r="A44" s="47">
        <v>60028043</v>
      </c>
      <c r="B44" s="48">
        <v>0</v>
      </c>
      <c r="C44" s="48">
        <v>90</v>
      </c>
      <c r="D44" s="48">
        <v>100</v>
      </c>
      <c r="E44" s="48" t="s">
        <v>397</v>
      </c>
      <c r="F44" s="48" t="s">
        <v>397</v>
      </c>
      <c r="G44" s="48">
        <v>1</v>
      </c>
      <c r="H44" s="48">
        <v>3</v>
      </c>
      <c r="I44" s="48" t="s">
        <v>90</v>
      </c>
      <c r="J44" s="48">
        <f t="shared" si="0"/>
        <v>100</v>
      </c>
    </row>
    <row r="45" spans="1:10" ht="21" customHeight="1" x14ac:dyDescent="0.15">
      <c r="A45" s="47">
        <v>60028044</v>
      </c>
      <c r="B45" s="48">
        <v>0</v>
      </c>
      <c r="C45" s="48">
        <v>80</v>
      </c>
      <c r="D45" s="48">
        <v>100</v>
      </c>
      <c r="E45" s="48" t="s">
        <v>397</v>
      </c>
      <c r="F45" s="48" t="s">
        <v>397</v>
      </c>
      <c r="G45" s="48">
        <v>1</v>
      </c>
      <c r="H45" s="48">
        <v>4</v>
      </c>
      <c r="I45" s="48" t="s">
        <v>90</v>
      </c>
      <c r="J45" s="48">
        <f t="shared" si="0"/>
        <v>100</v>
      </c>
    </row>
    <row r="46" spans="1:10" ht="21" customHeight="1" x14ac:dyDescent="0.15">
      <c r="A46" s="47">
        <v>60028045</v>
      </c>
      <c r="B46" s="48">
        <v>0</v>
      </c>
      <c r="C46" s="48">
        <v>70</v>
      </c>
      <c r="D46" s="48">
        <v>100</v>
      </c>
      <c r="E46" s="48" t="s">
        <v>397</v>
      </c>
      <c r="F46" s="48" t="s">
        <v>397</v>
      </c>
      <c r="G46" s="48">
        <v>1</v>
      </c>
      <c r="H46" s="48">
        <v>5</v>
      </c>
      <c r="I46" s="48" t="s">
        <v>397</v>
      </c>
      <c r="J46" s="48">
        <f t="shared" si="0"/>
        <v>100</v>
      </c>
    </row>
    <row r="47" spans="1:10" ht="21" customHeight="1" x14ac:dyDescent="0.15">
      <c r="A47" s="47">
        <v>60028046</v>
      </c>
      <c r="B47" s="48">
        <v>0</v>
      </c>
      <c r="C47" s="48">
        <v>70</v>
      </c>
      <c r="D47" s="48">
        <v>100</v>
      </c>
      <c r="E47" s="48" t="s">
        <v>90</v>
      </c>
      <c r="F47" s="48" t="s">
        <v>398</v>
      </c>
      <c r="G47" s="48" t="s">
        <v>398</v>
      </c>
      <c r="H47" s="48">
        <v>1</v>
      </c>
      <c r="I47" s="48" t="s">
        <v>90</v>
      </c>
      <c r="J47" s="48">
        <f t="shared" si="0"/>
        <v>100</v>
      </c>
    </row>
    <row r="48" spans="1:10" ht="21" customHeight="1" x14ac:dyDescent="0.15">
      <c r="A48" s="47">
        <v>60028047</v>
      </c>
      <c r="B48" s="48">
        <v>0</v>
      </c>
      <c r="C48" s="48">
        <v>200</v>
      </c>
      <c r="D48" s="48">
        <v>100</v>
      </c>
      <c r="E48" s="48" t="s">
        <v>90</v>
      </c>
      <c r="F48" s="48" t="s">
        <v>90</v>
      </c>
      <c r="G48" s="48">
        <v>0</v>
      </c>
      <c r="H48" s="48" t="s">
        <v>90</v>
      </c>
      <c r="I48" s="48">
        <v>0</v>
      </c>
      <c r="J48" s="48">
        <f t="shared" ref="J48" si="1">D48</f>
        <v>100</v>
      </c>
    </row>
  </sheetData>
  <autoFilter ref="A1:G1"/>
  <phoneticPr fontId="8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"/>
  <sheetViews>
    <sheetView workbookViewId="0">
      <selection activeCell="G11" sqref="G1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</sheetData>
  <phoneticPr fontId="8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134" sqref="L134"/>
    </sheetView>
  </sheetViews>
  <sheetFormatPr baseColWidth="12" defaultColWidth="13" defaultRowHeight="15" outlineLevelCol="1" x14ac:dyDescent="0.15"/>
  <cols>
    <col min="1" max="1" width="13" style="82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186</v>
      </c>
      <c r="B1" s="73" t="s">
        <v>187</v>
      </c>
      <c r="C1" s="78" t="s">
        <v>188</v>
      </c>
      <c r="D1" s="78" t="s">
        <v>33</v>
      </c>
      <c r="E1" s="73" t="s">
        <v>189</v>
      </c>
      <c r="F1" s="78" t="s">
        <v>190</v>
      </c>
      <c r="G1" s="78" t="s">
        <v>33</v>
      </c>
      <c r="H1" s="73" t="s">
        <v>191</v>
      </c>
      <c r="I1" s="84" t="s">
        <v>193</v>
      </c>
      <c r="J1" s="80" t="s">
        <v>127</v>
      </c>
      <c r="K1" s="79" t="s">
        <v>184</v>
      </c>
      <c r="L1" s="85" t="s">
        <v>183</v>
      </c>
      <c r="M1" s="81" t="s">
        <v>194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"/>
  <sheetViews>
    <sheetView showGridLines="0" workbookViewId="0">
      <pane ySplit="1" topLeftCell="A2" activePane="bottomLeft" state="frozen"/>
      <selection pane="bottomLeft" activeCell="A2" sqref="A2:XFD2"/>
    </sheetView>
  </sheetViews>
  <sheetFormatPr baseColWidth="12" defaultColWidth="13" defaultRowHeight="15" outlineLevelCol="1" x14ac:dyDescent="0.15"/>
  <cols>
    <col min="1" max="1" width="13" style="82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186</v>
      </c>
      <c r="B1" s="73" t="s">
        <v>151</v>
      </c>
      <c r="C1" s="78" t="s">
        <v>188</v>
      </c>
      <c r="D1" s="78" t="s">
        <v>33</v>
      </c>
      <c r="E1" s="73" t="s">
        <v>189</v>
      </c>
      <c r="F1" s="78" t="s">
        <v>18</v>
      </c>
      <c r="G1" s="78" t="s">
        <v>33</v>
      </c>
      <c r="H1" s="73" t="s">
        <v>191</v>
      </c>
      <c r="I1" s="83" t="s">
        <v>192</v>
      </c>
      <c r="J1" s="84" t="s">
        <v>193</v>
      </c>
      <c r="K1" s="80" t="s">
        <v>127</v>
      </c>
      <c r="L1" s="79" t="s">
        <v>184</v>
      </c>
      <c r="M1" s="85" t="s">
        <v>183</v>
      </c>
      <c r="N1" s="81" t="s">
        <v>194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2017-03-02T06:50:14Z</dcterms:modified>
</cp:coreProperties>
</file>