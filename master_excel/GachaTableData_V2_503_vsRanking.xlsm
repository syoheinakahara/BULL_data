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03101" sheetId="106" r:id="rId4"/>
    <sheet name="tables_503101" sheetId="82" r:id="rId5"/>
    <sheet name="input_503103" sheetId="147" r:id="rId6"/>
    <sheet name="tables_503103" sheetId="148" r:id="rId7"/>
    <sheet name="input_503104" sheetId="149" r:id="rId8"/>
    <sheet name="tables_503104" sheetId="150" r:id="rId9"/>
    <sheet name="tables_settle_503104" sheetId="157" r:id="rId10"/>
    <sheet name="input_503105" sheetId="158" r:id="rId11"/>
    <sheet name="tables_503105" sheetId="159" r:id="rId12"/>
    <sheet name="input_503106" sheetId="153" r:id="rId13"/>
    <sheet name="tables_503106" sheetId="154" r:id="rId14"/>
    <sheet name="input_503100" sheetId="162" r:id="rId15"/>
    <sheet name="tables_503100" sheetId="163" r:id="rId16"/>
    <sheet name="gacha_bonus_tables" sheetId="98" r:id="rId17"/>
    <sheet name="R6追加前" sheetId="111" r:id="rId18"/>
    <sheet name="R6開放" sheetId="112" r:id="rId19"/>
  </sheets>
  <externalReferences>
    <externalReference r:id="rId20"/>
  </externalReferences>
  <definedNames>
    <definedName name="_xlnm._FilterDatabase" localSheetId="16" hidden="1">gacha_bonus_tables!$A$1:$F$1</definedName>
    <definedName name="_xlnm._FilterDatabase" localSheetId="15" hidden="1">tables_503100!$A$1:$V$300</definedName>
    <definedName name="_xlnm._FilterDatabase" localSheetId="4" hidden="1">tables_503101!$A$1:$V$1</definedName>
    <definedName name="_xlnm._FilterDatabase" localSheetId="6" hidden="1">tables_503103!$A$1:$V$300</definedName>
    <definedName name="_xlnm._FilterDatabase" localSheetId="8" hidden="1">tables_503104!$A$1:$V$294</definedName>
    <definedName name="_xlnm._FilterDatabase" localSheetId="11" hidden="1">tables_503105!$A$1:$V$300</definedName>
    <definedName name="_xlnm._FilterDatabase" localSheetId="13" hidden="1">tables_503106!$A$1:$V$300</definedName>
    <definedName name="_xlnm._FilterDatabase" localSheetId="9" hidden="1">tables_settle_503104!$A$1:$V$3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103" l="1"/>
  <c r="E10" i="103"/>
  <c r="E9" i="103"/>
  <c r="C8" i="103"/>
  <c r="E8" i="103"/>
  <c r="C7" i="103"/>
  <c r="E7" i="103"/>
  <c r="C6" i="103"/>
  <c r="E6" i="103"/>
  <c r="C5" i="103"/>
  <c r="E5" i="103"/>
  <c r="C4" i="103"/>
  <c r="E4" i="103"/>
  <c r="C3" i="103"/>
  <c r="E3" i="103"/>
  <c r="C2" i="103"/>
  <c r="E2" i="103"/>
  <c r="B18" i="162"/>
  <c r="B21" i="162"/>
  <c r="B26" i="162"/>
  <c r="B23" i="162"/>
  <c r="B20" i="162"/>
  <c r="B44" i="162"/>
  <c r="A2" i="162"/>
  <c r="O44" i="163"/>
  <c r="G26" i="162"/>
  <c r="H26" i="162"/>
  <c r="O47" i="163"/>
  <c r="O50" i="163"/>
  <c r="G21" i="162"/>
  <c r="H21" i="162"/>
  <c r="O53" i="163"/>
  <c r="O2" i="163"/>
  <c r="O3" i="163"/>
  <c r="O4" i="163"/>
  <c r="G18" i="162"/>
  <c r="H18" i="162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O42" i="163"/>
  <c r="O43" i="163"/>
  <c r="O45" i="163"/>
  <c r="O46" i="163"/>
  <c r="O48" i="163"/>
  <c r="O49" i="163"/>
  <c r="O51" i="163"/>
  <c r="G20" i="162"/>
  <c r="H20" i="162"/>
  <c r="O52" i="163"/>
  <c r="O54" i="163"/>
  <c r="B35" i="162"/>
  <c r="G35" i="162"/>
  <c r="H35" i="162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O138" i="163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O215" i="163"/>
  <c r="G23" i="162"/>
  <c r="H23" i="162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B37" i="162"/>
  <c r="G37" i="162"/>
  <c r="H37" i="162"/>
  <c r="O262" i="163"/>
  <c r="O263" i="163"/>
  <c r="B22" i="162"/>
  <c r="G22" i="162"/>
  <c r="H22" i="162"/>
  <c r="O264" i="163"/>
  <c r="O265" i="163"/>
  <c r="B29" i="162"/>
  <c r="G29" i="162"/>
  <c r="H29" i="162"/>
  <c r="O266" i="163"/>
  <c r="O267" i="163"/>
  <c r="G44" i="162"/>
  <c r="H44" i="162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O346" i="163"/>
  <c r="F57" i="162"/>
  <c r="G57" i="162"/>
  <c r="G50" i="162"/>
  <c r="C49" i="162"/>
  <c r="B50" i="162"/>
  <c r="F56" i="162"/>
  <c r="G56" i="162"/>
  <c r="G49" i="162"/>
  <c r="B46" i="162"/>
  <c r="B43" i="162"/>
  <c r="B42" i="162"/>
  <c r="B41" i="162"/>
  <c r="B40" i="162"/>
  <c r="B39" i="162"/>
  <c r="B38" i="162"/>
  <c r="B36" i="162"/>
  <c r="B34" i="162"/>
  <c r="B32" i="162"/>
  <c r="B33" i="162"/>
  <c r="B28" i="162"/>
  <c r="B27" i="162"/>
  <c r="B25" i="162"/>
  <c r="B24" i="162"/>
  <c r="B19" i="162"/>
  <c r="B17" i="162"/>
  <c r="I342" i="163"/>
  <c r="D342" i="163"/>
  <c r="J342" i="163"/>
  <c r="E342" i="163"/>
  <c r="F342" i="163"/>
  <c r="K342" i="163"/>
  <c r="G342" i="163"/>
  <c r="C342" i="163"/>
  <c r="H342" i="163"/>
  <c r="L342" i="163"/>
  <c r="M342" i="163"/>
  <c r="N342" i="163"/>
  <c r="I343" i="163"/>
  <c r="D343" i="163"/>
  <c r="J343" i="163"/>
  <c r="E343" i="163"/>
  <c r="F343" i="163"/>
  <c r="K343" i="163"/>
  <c r="G343" i="163"/>
  <c r="C343" i="163"/>
  <c r="I344" i="163"/>
  <c r="D344" i="163"/>
  <c r="J344" i="163"/>
  <c r="E344" i="163"/>
  <c r="F344" i="163"/>
  <c r="K344" i="163"/>
  <c r="G344" i="163"/>
  <c r="C344" i="163"/>
  <c r="I345" i="163"/>
  <c r="D345" i="163"/>
  <c r="J345" i="163"/>
  <c r="E345" i="163"/>
  <c r="F345" i="163"/>
  <c r="K345" i="163"/>
  <c r="G345" i="163"/>
  <c r="C345" i="163"/>
  <c r="I346" i="163"/>
  <c r="D346" i="163"/>
  <c r="J346" i="163"/>
  <c r="E346" i="163"/>
  <c r="F346" i="163"/>
  <c r="K346" i="163"/>
  <c r="G346" i="163"/>
  <c r="C346" i="163"/>
  <c r="F5" i="162"/>
  <c r="F7" i="162"/>
  <c r="A51" i="162"/>
  <c r="E5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29" i="162"/>
  <c r="F8" i="162"/>
  <c r="B10" i="162"/>
  <c r="E8" i="162"/>
  <c r="E34" i="162"/>
  <c r="E39" i="162"/>
  <c r="G32" i="162"/>
  <c r="E32" i="162"/>
  <c r="H32" i="162"/>
  <c r="E33" i="162"/>
  <c r="G33" i="162"/>
  <c r="H33" i="162"/>
  <c r="E7" i="162"/>
  <c r="E19" i="162"/>
  <c r="E24" i="162"/>
  <c r="G17" i="162"/>
  <c r="E17" i="162"/>
  <c r="H17" i="162"/>
  <c r="E18" i="162"/>
  <c r="G39" i="162"/>
  <c r="H39" i="162"/>
  <c r="E40" i="162"/>
  <c r="G40" i="162"/>
  <c r="H40" i="162"/>
  <c r="E41" i="162"/>
  <c r="G41" i="162"/>
  <c r="H41" i="162"/>
  <c r="G24" i="162"/>
  <c r="H24" i="162"/>
  <c r="E25" i="162"/>
  <c r="G25" i="162"/>
  <c r="H25" i="162"/>
  <c r="E26" i="162"/>
  <c r="G19" i="162"/>
  <c r="H19" i="162"/>
  <c r="E20" i="162"/>
  <c r="E21" i="162"/>
  <c r="G34" i="162"/>
  <c r="H34" i="162"/>
  <c r="E35" i="162"/>
  <c r="E36" i="162"/>
  <c r="G36" i="162"/>
  <c r="H36" i="162"/>
  <c r="F6" i="162"/>
  <c r="E6" i="162"/>
  <c r="E42" i="162"/>
  <c r="G42" i="162"/>
  <c r="H42" i="162"/>
  <c r="E43" i="162"/>
  <c r="G43" i="162"/>
  <c r="H43" i="162"/>
  <c r="E27" i="162"/>
  <c r="G27" i="162"/>
  <c r="H27" i="162"/>
  <c r="E28" i="162"/>
  <c r="G28" i="162"/>
  <c r="H28" i="162"/>
  <c r="E38" i="162"/>
  <c r="G38" i="162"/>
  <c r="H38" i="162"/>
  <c r="E23" i="162"/>
  <c r="E37" i="162"/>
  <c r="E22" i="162"/>
  <c r="E44" i="162"/>
  <c r="G46" i="162"/>
  <c r="E46" i="162"/>
  <c r="H46" i="162"/>
  <c r="R3" i="162"/>
  <c r="P342" i="163"/>
  <c r="H343" i="163"/>
  <c r="L343" i="163"/>
  <c r="M343" i="163"/>
  <c r="N343" i="163"/>
  <c r="P343" i="163"/>
  <c r="H344" i="163"/>
  <c r="L344" i="163"/>
  <c r="M344" i="163"/>
  <c r="N344" i="163"/>
  <c r="P344" i="163"/>
  <c r="H345" i="163"/>
  <c r="L345" i="163"/>
  <c r="M345" i="163"/>
  <c r="N345" i="163"/>
  <c r="P345" i="163"/>
  <c r="H346" i="163"/>
  <c r="L346" i="163"/>
  <c r="M346" i="163"/>
  <c r="N346" i="163"/>
  <c r="P346" i="163"/>
  <c r="A342" i="163"/>
  <c r="A343" i="163"/>
  <c r="A344" i="163"/>
  <c r="A345" i="163"/>
  <c r="A346" i="163"/>
  <c r="B21" i="153"/>
  <c r="B23" i="153"/>
  <c r="B42" i="153"/>
  <c r="B44" i="153"/>
  <c r="B20" i="153"/>
  <c r="B46" i="153"/>
  <c r="Q3" i="153"/>
  <c r="E44" i="153"/>
  <c r="E6" i="153"/>
  <c r="E43" i="153"/>
  <c r="B43" i="153"/>
  <c r="E42" i="153"/>
  <c r="E41" i="153"/>
  <c r="B10" i="153"/>
  <c r="E8" i="153"/>
  <c r="B41" i="153"/>
  <c r="E40" i="153"/>
  <c r="B40" i="153"/>
  <c r="E39" i="153"/>
  <c r="B39" i="153"/>
  <c r="E38" i="153"/>
  <c r="B38" i="153"/>
  <c r="E37" i="153"/>
  <c r="B37" i="153"/>
  <c r="E36" i="153"/>
  <c r="B36" i="153"/>
  <c r="E35" i="153"/>
  <c r="B35" i="153"/>
  <c r="E34" i="153"/>
  <c r="B34" i="153"/>
  <c r="B32" i="153"/>
  <c r="E33" i="153"/>
  <c r="B33" i="153"/>
  <c r="E29" i="153"/>
  <c r="E5" i="153"/>
  <c r="B29" i="153"/>
  <c r="E28" i="153"/>
  <c r="B28" i="153"/>
  <c r="E27" i="153"/>
  <c r="B27" i="153"/>
  <c r="E26" i="153"/>
  <c r="E7" i="153"/>
  <c r="B26" i="153"/>
  <c r="E25" i="153"/>
  <c r="B25" i="153"/>
  <c r="E24" i="153"/>
  <c r="B24" i="153"/>
  <c r="E23" i="153"/>
  <c r="E22" i="153"/>
  <c r="B22" i="153"/>
  <c r="E21" i="153"/>
  <c r="E20" i="153"/>
  <c r="E19" i="153"/>
  <c r="B19" i="153"/>
  <c r="B17" i="153"/>
  <c r="E18" i="153"/>
  <c r="B18" i="153"/>
  <c r="A2" i="153"/>
  <c r="A51" i="153"/>
  <c r="G41" i="153"/>
  <c r="H41" i="153"/>
  <c r="O44" i="154"/>
  <c r="G26" i="153"/>
  <c r="H26" i="153"/>
  <c r="O47" i="154"/>
  <c r="O50" i="154"/>
  <c r="G21" i="153"/>
  <c r="H21" i="153"/>
  <c r="O53" i="154"/>
  <c r="G32" i="153"/>
  <c r="E32" i="153"/>
  <c r="H32" i="153"/>
  <c r="O2" i="154"/>
  <c r="G33" i="153"/>
  <c r="H33" i="153"/>
  <c r="O3" i="154"/>
  <c r="G17" i="153"/>
  <c r="E17" i="153"/>
  <c r="H17" i="153"/>
  <c r="O4" i="154"/>
  <c r="G18" i="153"/>
  <c r="H18" i="153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39" i="153"/>
  <c r="H39" i="153"/>
  <c r="O42" i="154"/>
  <c r="G40" i="153"/>
  <c r="H40" i="153"/>
  <c r="O43" i="154"/>
  <c r="G24" i="153"/>
  <c r="H24" i="153"/>
  <c r="O45" i="154"/>
  <c r="G25" i="153"/>
  <c r="H25" i="153"/>
  <c r="O46" i="154"/>
  <c r="O48" i="154"/>
  <c r="O49" i="154"/>
  <c r="G19" i="153"/>
  <c r="H19" i="153"/>
  <c r="O51" i="154"/>
  <c r="G20" i="153"/>
  <c r="H20" i="153"/>
  <c r="O52" i="154"/>
  <c r="G34" i="153"/>
  <c r="H34" i="153"/>
  <c r="O54" i="154"/>
  <c r="G35" i="153"/>
  <c r="H35" i="153"/>
  <c r="O55" i="154"/>
  <c r="G36" i="153"/>
  <c r="H36" i="153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42" i="153"/>
  <c r="H42" i="153"/>
  <c r="O138" i="154"/>
  <c r="G43" i="153"/>
  <c r="H43" i="153"/>
  <c r="O139" i="154"/>
  <c r="G27" i="153"/>
  <c r="H27" i="153"/>
  <c r="O140" i="154"/>
  <c r="G28" i="153"/>
  <c r="H28" i="153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38" i="153"/>
  <c r="H38" i="153"/>
  <c r="O215" i="154"/>
  <c r="G23" i="153"/>
  <c r="H23" i="153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37" i="153"/>
  <c r="H37" i="153"/>
  <c r="O262" i="154"/>
  <c r="O263" i="154"/>
  <c r="G22" i="153"/>
  <c r="H22" i="153"/>
  <c r="O264" i="154"/>
  <c r="O265" i="154"/>
  <c r="G29" i="153"/>
  <c r="H29" i="153"/>
  <c r="O266" i="154"/>
  <c r="O267" i="154"/>
  <c r="G44" i="153"/>
  <c r="H44" i="153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G46" i="153"/>
  <c r="E46" i="153"/>
  <c r="H46" i="153"/>
  <c r="R3" i="153"/>
  <c r="O346" i="154"/>
  <c r="F57" i="153"/>
  <c r="G57" i="153"/>
  <c r="G50" i="153"/>
  <c r="C49" i="153"/>
  <c r="B50" i="153"/>
  <c r="F56" i="153"/>
  <c r="G56" i="153"/>
  <c r="G49" i="153"/>
  <c r="I342" i="154"/>
  <c r="D342" i="154"/>
  <c r="J342" i="154"/>
  <c r="E342" i="154"/>
  <c r="F342" i="154"/>
  <c r="K342" i="154"/>
  <c r="G342" i="154"/>
  <c r="C342" i="154"/>
  <c r="H342" i="154"/>
  <c r="L342" i="154"/>
  <c r="M342" i="154"/>
  <c r="N342" i="154"/>
  <c r="I343" i="154"/>
  <c r="D343" i="154"/>
  <c r="J343" i="154"/>
  <c r="E343" i="154"/>
  <c r="F343" i="154"/>
  <c r="K343" i="154"/>
  <c r="G343" i="154"/>
  <c r="C343" i="154"/>
  <c r="I344" i="154"/>
  <c r="D344" i="154"/>
  <c r="J344" i="154"/>
  <c r="E344" i="154"/>
  <c r="F344" i="154"/>
  <c r="K344" i="154"/>
  <c r="G344" i="154"/>
  <c r="C344" i="154"/>
  <c r="I345" i="154"/>
  <c r="D345" i="154"/>
  <c r="J345" i="154"/>
  <c r="E345" i="154"/>
  <c r="F345" i="154"/>
  <c r="K345" i="154"/>
  <c r="G345" i="154"/>
  <c r="C345" i="154"/>
  <c r="I346" i="154"/>
  <c r="D346" i="154"/>
  <c r="J346" i="154"/>
  <c r="E346" i="154"/>
  <c r="F346" i="154"/>
  <c r="K346" i="154"/>
  <c r="G346" i="154"/>
  <c r="C346" i="154"/>
  <c r="F5" i="153"/>
  <c r="F7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F8" i="153"/>
  <c r="F6" i="153"/>
  <c r="P342" i="154"/>
  <c r="H343" i="154"/>
  <c r="L343" i="154"/>
  <c r="M343" i="154"/>
  <c r="N343" i="154"/>
  <c r="P343" i="154"/>
  <c r="H344" i="154"/>
  <c r="L344" i="154"/>
  <c r="M344" i="154"/>
  <c r="N344" i="154"/>
  <c r="P344" i="154"/>
  <c r="H345" i="154"/>
  <c r="L345" i="154"/>
  <c r="M345" i="154"/>
  <c r="N345" i="154"/>
  <c r="P345" i="154"/>
  <c r="H346" i="154"/>
  <c r="L346" i="154"/>
  <c r="M346" i="154"/>
  <c r="N346" i="154"/>
  <c r="P346" i="154"/>
  <c r="A342" i="154"/>
  <c r="A343" i="154"/>
  <c r="A344" i="154"/>
  <c r="A345" i="154"/>
  <c r="A346" i="154"/>
  <c r="B18" i="158"/>
  <c r="B21" i="158"/>
  <c r="B23" i="158"/>
  <c r="B46" i="158"/>
  <c r="B44" i="158"/>
  <c r="B43" i="158"/>
  <c r="B42" i="158"/>
  <c r="B41" i="158"/>
  <c r="B40" i="158"/>
  <c r="B39" i="158"/>
  <c r="B38" i="158"/>
  <c r="B37" i="158"/>
  <c r="B36" i="158"/>
  <c r="B35" i="158"/>
  <c r="B34" i="158"/>
  <c r="B32" i="158"/>
  <c r="B33" i="158"/>
  <c r="B29" i="158"/>
  <c r="B28" i="158"/>
  <c r="B27" i="158"/>
  <c r="B26" i="158"/>
  <c r="B25" i="158"/>
  <c r="B24" i="158"/>
  <c r="B22" i="158"/>
  <c r="B20" i="158"/>
  <c r="B19" i="158"/>
  <c r="B17" i="158"/>
  <c r="A2" i="158"/>
  <c r="G41" i="158"/>
  <c r="H41" i="158"/>
  <c r="O44" i="159"/>
  <c r="G26" i="158"/>
  <c r="H26" i="158"/>
  <c r="O47" i="159"/>
  <c r="O50" i="159"/>
  <c r="G21" i="158"/>
  <c r="H21" i="158"/>
  <c r="O53" i="159"/>
  <c r="G32" i="158"/>
  <c r="H32" i="158"/>
  <c r="O2" i="159"/>
  <c r="G33" i="158"/>
  <c r="H33" i="158"/>
  <c r="O3" i="159"/>
  <c r="G17" i="158"/>
  <c r="H17" i="158"/>
  <c r="O4" i="159"/>
  <c r="G18" i="158"/>
  <c r="H18" i="158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39" i="158"/>
  <c r="H39" i="158"/>
  <c r="O42" i="159"/>
  <c r="G40" i="158"/>
  <c r="H40" i="158"/>
  <c r="O43" i="159"/>
  <c r="G24" i="158"/>
  <c r="H24" i="158"/>
  <c r="O45" i="159"/>
  <c r="G25" i="158"/>
  <c r="H25" i="158"/>
  <c r="O46" i="159"/>
  <c r="O48" i="159"/>
  <c r="O49" i="159"/>
  <c r="G19" i="158"/>
  <c r="H19" i="158"/>
  <c r="O51" i="159"/>
  <c r="G20" i="158"/>
  <c r="H20" i="158"/>
  <c r="O52" i="159"/>
  <c r="G34" i="158"/>
  <c r="H34" i="158"/>
  <c r="O54" i="159"/>
  <c r="G35" i="158"/>
  <c r="H35" i="158"/>
  <c r="O55" i="159"/>
  <c r="G36" i="158"/>
  <c r="H36" i="158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G42" i="158"/>
  <c r="H42" i="158"/>
  <c r="O138" i="159"/>
  <c r="G43" i="158"/>
  <c r="H43" i="158"/>
  <c r="O139" i="159"/>
  <c r="G27" i="158"/>
  <c r="H27" i="158"/>
  <c r="O140" i="159"/>
  <c r="G28" i="158"/>
  <c r="H28" i="158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G38" i="158"/>
  <c r="H38" i="158"/>
  <c r="O215" i="159"/>
  <c r="G23" i="158"/>
  <c r="H23" i="158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G37" i="158"/>
  <c r="H37" i="158"/>
  <c r="O262" i="159"/>
  <c r="O263" i="159"/>
  <c r="G22" i="158"/>
  <c r="H22" i="158"/>
  <c r="O264" i="159"/>
  <c r="O265" i="159"/>
  <c r="G29" i="158"/>
  <c r="H29" i="158"/>
  <c r="O266" i="159"/>
  <c r="O267" i="159"/>
  <c r="G44" i="158"/>
  <c r="H44" i="158"/>
  <c r="O268" i="159"/>
  <c r="O269" i="159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O341" i="159"/>
  <c r="O342" i="159"/>
  <c r="O343" i="159"/>
  <c r="O344" i="159"/>
  <c r="O345" i="159"/>
  <c r="O346" i="159"/>
  <c r="F57" i="158"/>
  <c r="G57" i="158"/>
  <c r="G50" i="158"/>
  <c r="C49" i="158"/>
  <c r="B50" i="158"/>
  <c r="F56" i="158"/>
  <c r="G56" i="158"/>
  <c r="G49" i="158"/>
  <c r="I342" i="159"/>
  <c r="D342" i="159"/>
  <c r="J342" i="159"/>
  <c r="E342" i="159"/>
  <c r="F342" i="159"/>
  <c r="K342" i="159"/>
  <c r="G342" i="159"/>
  <c r="C342" i="159"/>
  <c r="H342" i="159"/>
  <c r="L342" i="159"/>
  <c r="M342" i="159"/>
  <c r="N342" i="159"/>
  <c r="I343" i="159"/>
  <c r="D343" i="159"/>
  <c r="J343" i="159"/>
  <c r="E343" i="159"/>
  <c r="F343" i="159"/>
  <c r="K343" i="159"/>
  <c r="G343" i="159"/>
  <c r="C343" i="159"/>
  <c r="I344" i="159"/>
  <c r="D344" i="159"/>
  <c r="J344" i="159"/>
  <c r="E344" i="159"/>
  <c r="F344" i="159"/>
  <c r="K344" i="159"/>
  <c r="G344" i="159"/>
  <c r="C344" i="159"/>
  <c r="I345" i="159"/>
  <c r="D345" i="159"/>
  <c r="J345" i="159"/>
  <c r="E345" i="159"/>
  <c r="F345" i="159"/>
  <c r="K345" i="159"/>
  <c r="G345" i="159"/>
  <c r="C345" i="159"/>
  <c r="I346" i="159"/>
  <c r="D346" i="159"/>
  <c r="J346" i="159"/>
  <c r="E346" i="159"/>
  <c r="F346" i="159"/>
  <c r="K346" i="159"/>
  <c r="G346" i="159"/>
  <c r="C346" i="159"/>
  <c r="F5" i="158"/>
  <c r="F7" i="158"/>
  <c r="A51" i="158"/>
  <c r="E5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29" i="158"/>
  <c r="F8" i="158"/>
  <c r="B10" i="158"/>
  <c r="E8" i="158"/>
  <c r="E34" i="158"/>
  <c r="E39" i="158"/>
  <c r="E32" i="158"/>
  <c r="E33" i="158"/>
  <c r="E7" i="158"/>
  <c r="E19" i="158"/>
  <c r="E24" i="158"/>
  <c r="E17" i="158"/>
  <c r="E18" i="158"/>
  <c r="E40" i="158"/>
  <c r="E41" i="158"/>
  <c r="E25" i="158"/>
  <c r="E26" i="158"/>
  <c r="E20" i="158"/>
  <c r="E21" i="158"/>
  <c r="E35" i="158"/>
  <c r="E36" i="158"/>
  <c r="F6" i="158"/>
  <c r="E6" i="158"/>
  <c r="E42" i="158"/>
  <c r="E43" i="158"/>
  <c r="E27" i="158"/>
  <c r="E28" i="158"/>
  <c r="E38" i="158"/>
  <c r="E23" i="158"/>
  <c r="E37" i="158"/>
  <c r="E22" i="158"/>
  <c r="E44" i="158"/>
  <c r="G46" i="158"/>
  <c r="E46" i="158"/>
  <c r="H46" i="158"/>
  <c r="R3" i="158"/>
  <c r="P342" i="159"/>
  <c r="H343" i="159"/>
  <c r="L343" i="159"/>
  <c r="M343" i="159"/>
  <c r="N343" i="159"/>
  <c r="P343" i="159"/>
  <c r="H344" i="159"/>
  <c r="L344" i="159"/>
  <c r="M344" i="159"/>
  <c r="N344" i="159"/>
  <c r="P344" i="159"/>
  <c r="H345" i="159"/>
  <c r="L345" i="159"/>
  <c r="M345" i="159"/>
  <c r="N345" i="159"/>
  <c r="P345" i="159"/>
  <c r="H346" i="159"/>
  <c r="L346" i="159"/>
  <c r="M346" i="159"/>
  <c r="N346" i="159"/>
  <c r="P346" i="159"/>
  <c r="A342" i="159"/>
  <c r="A343" i="159"/>
  <c r="A344" i="159"/>
  <c r="A345" i="159"/>
  <c r="A346" i="159"/>
  <c r="B18" i="149"/>
  <c r="B21" i="149"/>
  <c r="B23" i="149"/>
  <c r="B46" i="149"/>
  <c r="B44" i="149"/>
  <c r="B43" i="149"/>
  <c r="B42" i="149"/>
  <c r="B41" i="149"/>
  <c r="B40" i="149"/>
  <c r="B39" i="149"/>
  <c r="B38" i="149"/>
  <c r="B37" i="149"/>
  <c r="B36" i="149"/>
  <c r="B35" i="149"/>
  <c r="B34" i="149"/>
  <c r="B32" i="149"/>
  <c r="B33" i="149"/>
  <c r="B29" i="149"/>
  <c r="B28" i="149"/>
  <c r="B27" i="149"/>
  <c r="B26" i="149"/>
  <c r="B25" i="149"/>
  <c r="B24" i="149"/>
  <c r="B22" i="149"/>
  <c r="B20" i="149"/>
  <c r="B19" i="149"/>
  <c r="B17" i="149"/>
  <c r="A2" i="149"/>
  <c r="G41" i="149"/>
  <c r="H41" i="149"/>
  <c r="O44" i="150"/>
  <c r="G26" i="149"/>
  <c r="H26" i="149"/>
  <c r="O47" i="150"/>
  <c r="O50" i="150"/>
  <c r="G21" i="149"/>
  <c r="H21" i="149"/>
  <c r="O53" i="150"/>
  <c r="G32" i="149"/>
  <c r="H32" i="149"/>
  <c r="O2" i="150"/>
  <c r="G33" i="149"/>
  <c r="H33" i="149"/>
  <c r="O3" i="150"/>
  <c r="G17" i="149"/>
  <c r="H17" i="149"/>
  <c r="O4" i="150"/>
  <c r="G18" i="149"/>
  <c r="H18" i="149"/>
  <c r="O5" i="150"/>
  <c r="O6" i="150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39" i="149"/>
  <c r="H39" i="149"/>
  <c r="O42" i="150"/>
  <c r="G40" i="149"/>
  <c r="H40" i="149"/>
  <c r="O43" i="150"/>
  <c r="G24" i="149"/>
  <c r="H24" i="149"/>
  <c r="O45" i="150"/>
  <c r="G25" i="149"/>
  <c r="H25" i="149"/>
  <c r="O46" i="150"/>
  <c r="O48" i="150"/>
  <c r="O49" i="150"/>
  <c r="G19" i="149"/>
  <c r="H19" i="149"/>
  <c r="O51" i="150"/>
  <c r="G20" i="149"/>
  <c r="H20" i="149"/>
  <c r="O52" i="150"/>
  <c r="G34" i="149"/>
  <c r="H34" i="149"/>
  <c r="O54" i="150"/>
  <c r="G35" i="149"/>
  <c r="H35" i="149"/>
  <c r="O55" i="150"/>
  <c r="G36" i="149"/>
  <c r="H36" i="149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G42" i="149"/>
  <c r="H42" i="149"/>
  <c r="O138" i="150"/>
  <c r="G43" i="149"/>
  <c r="H43" i="149"/>
  <c r="O139" i="150"/>
  <c r="G27" i="149"/>
  <c r="H27" i="149"/>
  <c r="O140" i="150"/>
  <c r="G28" i="149"/>
  <c r="H28" i="149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G38" i="149"/>
  <c r="H38" i="149"/>
  <c r="O215" i="150"/>
  <c r="G23" i="149"/>
  <c r="H23" i="149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G37" i="149"/>
  <c r="H37" i="149"/>
  <c r="O262" i="150"/>
  <c r="O263" i="150"/>
  <c r="G22" i="149"/>
  <c r="H22" i="149"/>
  <c r="O264" i="150"/>
  <c r="O265" i="150"/>
  <c r="G29" i="149"/>
  <c r="H29" i="149"/>
  <c r="O266" i="150"/>
  <c r="O267" i="150"/>
  <c r="G44" i="149"/>
  <c r="H44" i="149"/>
  <c r="O268" i="150"/>
  <c r="O269" i="150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O341" i="150"/>
  <c r="O342" i="150"/>
  <c r="O343" i="150"/>
  <c r="O344" i="150"/>
  <c r="O345" i="150"/>
  <c r="O346" i="150"/>
  <c r="F57" i="149"/>
  <c r="G57" i="149"/>
  <c r="G50" i="149"/>
  <c r="C49" i="149"/>
  <c r="B50" i="149"/>
  <c r="F56" i="149"/>
  <c r="G56" i="149"/>
  <c r="G49" i="149"/>
  <c r="K3" i="163"/>
  <c r="G3" i="163"/>
  <c r="K4" i="163"/>
  <c r="G4" i="163"/>
  <c r="K5" i="163"/>
  <c r="G5" i="163"/>
  <c r="K6" i="163"/>
  <c r="G6" i="163"/>
  <c r="K7" i="163"/>
  <c r="G7" i="163"/>
  <c r="K8" i="163"/>
  <c r="G8" i="163"/>
  <c r="K9" i="163"/>
  <c r="G9" i="163"/>
  <c r="K10" i="163"/>
  <c r="G10" i="163"/>
  <c r="K11" i="163"/>
  <c r="G11" i="163"/>
  <c r="K12" i="163"/>
  <c r="G12" i="163"/>
  <c r="K13" i="163"/>
  <c r="G13" i="163"/>
  <c r="K14" i="163"/>
  <c r="G14" i="163"/>
  <c r="K15" i="163"/>
  <c r="G15" i="163"/>
  <c r="K16" i="163"/>
  <c r="G16" i="163"/>
  <c r="K17" i="163"/>
  <c r="G17" i="163"/>
  <c r="K18" i="163"/>
  <c r="G18" i="163"/>
  <c r="K19" i="163"/>
  <c r="G19" i="163"/>
  <c r="K20" i="163"/>
  <c r="G20" i="163"/>
  <c r="K21" i="163"/>
  <c r="G21" i="163"/>
  <c r="K22" i="163"/>
  <c r="G22" i="163"/>
  <c r="K23" i="163"/>
  <c r="G23" i="163"/>
  <c r="K24" i="163"/>
  <c r="G24" i="163"/>
  <c r="K25" i="163"/>
  <c r="G25" i="163"/>
  <c r="K26" i="163"/>
  <c r="G26" i="163"/>
  <c r="K27" i="163"/>
  <c r="G27" i="163"/>
  <c r="K28" i="163"/>
  <c r="G28" i="163"/>
  <c r="K29" i="163"/>
  <c r="G29" i="163"/>
  <c r="K30" i="163"/>
  <c r="G30" i="163"/>
  <c r="K31" i="163"/>
  <c r="G31" i="163"/>
  <c r="K32" i="163"/>
  <c r="G32" i="163"/>
  <c r="K33" i="163"/>
  <c r="G33" i="163"/>
  <c r="K34" i="163"/>
  <c r="G34" i="163"/>
  <c r="K35" i="163"/>
  <c r="G35" i="163"/>
  <c r="K36" i="163"/>
  <c r="G36" i="163"/>
  <c r="K37" i="163"/>
  <c r="G37" i="163"/>
  <c r="K38" i="163"/>
  <c r="G38" i="163"/>
  <c r="K39" i="163"/>
  <c r="G39" i="163"/>
  <c r="K40" i="163"/>
  <c r="G40" i="163"/>
  <c r="K41" i="163"/>
  <c r="G41" i="163"/>
  <c r="K42" i="163"/>
  <c r="G42" i="163"/>
  <c r="K43" i="163"/>
  <c r="G43" i="163"/>
  <c r="K44" i="163"/>
  <c r="G44" i="163"/>
  <c r="K45" i="163"/>
  <c r="G45" i="163"/>
  <c r="K46" i="163"/>
  <c r="G46" i="163"/>
  <c r="K47" i="163"/>
  <c r="G47" i="163"/>
  <c r="K48" i="163"/>
  <c r="G48" i="163"/>
  <c r="K49" i="163"/>
  <c r="G49" i="163"/>
  <c r="K50" i="163"/>
  <c r="G50" i="163"/>
  <c r="K51" i="163"/>
  <c r="G51" i="163"/>
  <c r="K52" i="163"/>
  <c r="G52" i="163"/>
  <c r="K53" i="163"/>
  <c r="G53" i="163"/>
  <c r="K54" i="163"/>
  <c r="G54" i="163"/>
  <c r="K55" i="163"/>
  <c r="G55" i="163"/>
  <c r="K56" i="163"/>
  <c r="G56" i="163"/>
  <c r="K57" i="163"/>
  <c r="G57" i="163"/>
  <c r="K58" i="163"/>
  <c r="G58" i="163"/>
  <c r="K59" i="163"/>
  <c r="G59" i="163"/>
  <c r="K60" i="163"/>
  <c r="G60" i="163"/>
  <c r="K61" i="163"/>
  <c r="G61" i="163"/>
  <c r="K62" i="163"/>
  <c r="G62" i="163"/>
  <c r="K63" i="163"/>
  <c r="G63" i="163"/>
  <c r="K64" i="163"/>
  <c r="G64" i="163"/>
  <c r="K65" i="163"/>
  <c r="G65" i="163"/>
  <c r="K66" i="163"/>
  <c r="G66" i="163"/>
  <c r="K67" i="163"/>
  <c r="G67" i="163"/>
  <c r="K68" i="163"/>
  <c r="G68" i="163"/>
  <c r="K69" i="163"/>
  <c r="G69" i="163"/>
  <c r="K70" i="163"/>
  <c r="G70" i="163"/>
  <c r="K71" i="163"/>
  <c r="G71" i="163"/>
  <c r="K72" i="163"/>
  <c r="G72" i="163"/>
  <c r="K73" i="163"/>
  <c r="G73" i="163"/>
  <c r="K74" i="163"/>
  <c r="G74" i="163"/>
  <c r="K75" i="163"/>
  <c r="G75" i="163"/>
  <c r="K76" i="163"/>
  <c r="G76" i="163"/>
  <c r="K77" i="163"/>
  <c r="G77" i="163"/>
  <c r="K78" i="163"/>
  <c r="G78" i="163"/>
  <c r="K79" i="163"/>
  <c r="G79" i="163"/>
  <c r="K80" i="163"/>
  <c r="G80" i="163"/>
  <c r="K81" i="163"/>
  <c r="G81" i="163"/>
  <c r="K82" i="163"/>
  <c r="G82" i="163"/>
  <c r="K83" i="163"/>
  <c r="G83" i="163"/>
  <c r="K84" i="163"/>
  <c r="G84" i="163"/>
  <c r="K85" i="163"/>
  <c r="G85" i="163"/>
  <c r="K86" i="163"/>
  <c r="G86" i="163"/>
  <c r="K87" i="163"/>
  <c r="G87" i="163"/>
  <c r="K88" i="163"/>
  <c r="G88" i="163"/>
  <c r="K89" i="163"/>
  <c r="G89" i="163"/>
  <c r="K90" i="163"/>
  <c r="G90" i="163"/>
  <c r="K91" i="163"/>
  <c r="G91" i="163"/>
  <c r="K92" i="163"/>
  <c r="G92" i="163"/>
  <c r="K93" i="163"/>
  <c r="G93" i="163"/>
  <c r="K94" i="163"/>
  <c r="G94" i="163"/>
  <c r="K95" i="163"/>
  <c r="G95" i="163"/>
  <c r="K96" i="163"/>
  <c r="G96" i="163"/>
  <c r="K97" i="163"/>
  <c r="G97" i="163"/>
  <c r="K98" i="163"/>
  <c r="G98" i="163"/>
  <c r="K99" i="163"/>
  <c r="G99" i="163"/>
  <c r="K100" i="163"/>
  <c r="G100" i="163"/>
  <c r="K101" i="163"/>
  <c r="G101" i="163"/>
  <c r="K102" i="163"/>
  <c r="G102" i="163"/>
  <c r="K103" i="163"/>
  <c r="G103" i="163"/>
  <c r="K104" i="163"/>
  <c r="G104" i="163"/>
  <c r="K105" i="163"/>
  <c r="G105" i="163"/>
  <c r="K106" i="163"/>
  <c r="G106" i="163"/>
  <c r="K107" i="163"/>
  <c r="G107" i="163"/>
  <c r="K108" i="163"/>
  <c r="G108" i="163"/>
  <c r="K109" i="163"/>
  <c r="G109" i="163"/>
  <c r="K110" i="163"/>
  <c r="G110" i="163"/>
  <c r="K111" i="163"/>
  <c r="G111" i="163"/>
  <c r="K112" i="163"/>
  <c r="G112" i="163"/>
  <c r="K113" i="163"/>
  <c r="G113" i="163"/>
  <c r="K114" i="163"/>
  <c r="G114" i="163"/>
  <c r="K115" i="163"/>
  <c r="G115" i="163"/>
  <c r="K116" i="163"/>
  <c r="G116" i="163"/>
  <c r="K117" i="163"/>
  <c r="G117" i="163"/>
  <c r="K118" i="163"/>
  <c r="G118" i="163"/>
  <c r="K119" i="163"/>
  <c r="G119" i="163"/>
  <c r="K120" i="163"/>
  <c r="G120" i="163"/>
  <c r="K121" i="163"/>
  <c r="G121" i="163"/>
  <c r="K122" i="163"/>
  <c r="G122" i="163"/>
  <c r="K123" i="163"/>
  <c r="G123" i="163"/>
  <c r="K124" i="163"/>
  <c r="G124" i="163"/>
  <c r="K125" i="163"/>
  <c r="G125" i="163"/>
  <c r="K126" i="163"/>
  <c r="G126" i="163"/>
  <c r="K127" i="163"/>
  <c r="G127" i="163"/>
  <c r="K128" i="163"/>
  <c r="G128" i="163"/>
  <c r="K129" i="163"/>
  <c r="G129" i="163"/>
  <c r="K130" i="163"/>
  <c r="G130" i="163"/>
  <c r="K131" i="163"/>
  <c r="G131" i="163"/>
  <c r="K132" i="163"/>
  <c r="G132" i="163"/>
  <c r="K133" i="163"/>
  <c r="G133" i="163"/>
  <c r="K134" i="163"/>
  <c r="G134" i="163"/>
  <c r="K135" i="163"/>
  <c r="G135" i="163"/>
  <c r="K136" i="163"/>
  <c r="G136" i="163"/>
  <c r="K137" i="163"/>
  <c r="G137" i="163"/>
  <c r="K138" i="163"/>
  <c r="G138" i="163"/>
  <c r="K139" i="163"/>
  <c r="G139" i="163"/>
  <c r="K140" i="163"/>
  <c r="G140" i="163"/>
  <c r="K141" i="163"/>
  <c r="G141" i="163"/>
  <c r="K142" i="163"/>
  <c r="G142" i="163"/>
  <c r="K143" i="163"/>
  <c r="G143" i="163"/>
  <c r="K144" i="163"/>
  <c r="G144" i="163"/>
  <c r="K145" i="163"/>
  <c r="G145" i="163"/>
  <c r="K146" i="163"/>
  <c r="G146" i="163"/>
  <c r="K147" i="163"/>
  <c r="G147" i="163"/>
  <c r="K148" i="163"/>
  <c r="G148" i="163"/>
  <c r="K149" i="163"/>
  <c r="G149" i="163"/>
  <c r="K150" i="163"/>
  <c r="G150" i="163"/>
  <c r="K151" i="163"/>
  <c r="G151" i="163"/>
  <c r="K152" i="163"/>
  <c r="G152" i="163"/>
  <c r="K153" i="163"/>
  <c r="G153" i="163"/>
  <c r="K154" i="163"/>
  <c r="G154" i="163"/>
  <c r="K155" i="163"/>
  <c r="G155" i="163"/>
  <c r="K156" i="163"/>
  <c r="G156" i="163"/>
  <c r="K157" i="163"/>
  <c r="G157" i="163"/>
  <c r="K158" i="163"/>
  <c r="G158" i="163"/>
  <c r="K159" i="163"/>
  <c r="G159" i="163"/>
  <c r="K160" i="163"/>
  <c r="G160" i="163"/>
  <c r="K161" i="163"/>
  <c r="G161" i="163"/>
  <c r="K162" i="163"/>
  <c r="G162" i="163"/>
  <c r="K163" i="163"/>
  <c r="G163" i="163"/>
  <c r="K164" i="163"/>
  <c r="G164" i="163"/>
  <c r="K165" i="163"/>
  <c r="G165" i="163"/>
  <c r="K166" i="163"/>
  <c r="G166" i="163"/>
  <c r="K167" i="163"/>
  <c r="G167" i="163"/>
  <c r="K168" i="163"/>
  <c r="G168" i="163"/>
  <c r="K169" i="163"/>
  <c r="G169" i="163"/>
  <c r="K170" i="163"/>
  <c r="G170" i="163"/>
  <c r="K171" i="163"/>
  <c r="G171" i="163"/>
  <c r="K172" i="163"/>
  <c r="G172" i="163"/>
  <c r="K173" i="163"/>
  <c r="G173" i="163"/>
  <c r="K174" i="163"/>
  <c r="G174" i="163"/>
  <c r="K175" i="163"/>
  <c r="G175" i="163"/>
  <c r="K176" i="163"/>
  <c r="G176" i="163"/>
  <c r="K177" i="163"/>
  <c r="G177" i="163"/>
  <c r="K178" i="163"/>
  <c r="G178" i="163"/>
  <c r="K179" i="163"/>
  <c r="G179" i="163"/>
  <c r="K180" i="163"/>
  <c r="G180" i="163"/>
  <c r="K181" i="163"/>
  <c r="G181" i="163"/>
  <c r="K182" i="163"/>
  <c r="G182" i="163"/>
  <c r="K183" i="163"/>
  <c r="G183" i="163"/>
  <c r="K184" i="163"/>
  <c r="G184" i="163"/>
  <c r="K185" i="163"/>
  <c r="G185" i="163"/>
  <c r="K186" i="163"/>
  <c r="G186" i="163"/>
  <c r="K187" i="163"/>
  <c r="G187" i="163"/>
  <c r="K188" i="163"/>
  <c r="G188" i="163"/>
  <c r="K189" i="163"/>
  <c r="G189" i="163"/>
  <c r="K190" i="163"/>
  <c r="G190" i="163"/>
  <c r="K191" i="163"/>
  <c r="G191" i="163"/>
  <c r="K192" i="163"/>
  <c r="G192" i="163"/>
  <c r="K193" i="163"/>
  <c r="G193" i="163"/>
  <c r="K194" i="163"/>
  <c r="G194" i="163"/>
  <c r="K195" i="163"/>
  <c r="G195" i="163"/>
  <c r="K196" i="163"/>
  <c r="G196" i="163"/>
  <c r="K197" i="163"/>
  <c r="G197" i="163"/>
  <c r="K198" i="163"/>
  <c r="G198" i="163"/>
  <c r="K199" i="163"/>
  <c r="G199" i="163"/>
  <c r="K200" i="163"/>
  <c r="G200" i="163"/>
  <c r="K201" i="163"/>
  <c r="G201" i="163"/>
  <c r="K202" i="163"/>
  <c r="G202" i="163"/>
  <c r="K203" i="163"/>
  <c r="G203" i="163"/>
  <c r="K204" i="163"/>
  <c r="G204" i="163"/>
  <c r="K205" i="163"/>
  <c r="G205" i="163"/>
  <c r="K206" i="163"/>
  <c r="G206" i="163"/>
  <c r="K207" i="163"/>
  <c r="G207" i="163"/>
  <c r="K208" i="163"/>
  <c r="G208" i="163"/>
  <c r="K209" i="163"/>
  <c r="G209" i="163"/>
  <c r="K210" i="163"/>
  <c r="G210" i="163"/>
  <c r="K211" i="163"/>
  <c r="G211" i="163"/>
  <c r="K212" i="163"/>
  <c r="G212" i="163"/>
  <c r="K213" i="163"/>
  <c r="G213" i="163"/>
  <c r="K214" i="163"/>
  <c r="G214" i="163"/>
  <c r="K215" i="163"/>
  <c r="G215" i="163"/>
  <c r="K216" i="163"/>
  <c r="G216" i="163"/>
  <c r="K217" i="163"/>
  <c r="G217" i="163"/>
  <c r="K218" i="163"/>
  <c r="G218" i="163"/>
  <c r="K219" i="163"/>
  <c r="G219" i="163"/>
  <c r="K220" i="163"/>
  <c r="G220" i="163"/>
  <c r="K221" i="163"/>
  <c r="G221" i="163"/>
  <c r="K222" i="163"/>
  <c r="G222" i="163"/>
  <c r="K223" i="163"/>
  <c r="G223" i="163"/>
  <c r="K224" i="163"/>
  <c r="G224" i="163"/>
  <c r="K225" i="163"/>
  <c r="G225" i="163"/>
  <c r="K226" i="163"/>
  <c r="G226" i="163"/>
  <c r="K227" i="163"/>
  <c r="G227" i="163"/>
  <c r="K228" i="163"/>
  <c r="G228" i="163"/>
  <c r="K229" i="163"/>
  <c r="G229" i="163"/>
  <c r="K230" i="163"/>
  <c r="G230" i="163"/>
  <c r="K231" i="163"/>
  <c r="G231" i="163"/>
  <c r="K232" i="163"/>
  <c r="G232" i="163"/>
  <c r="K233" i="163"/>
  <c r="G233" i="163"/>
  <c r="K234" i="163"/>
  <c r="G234" i="163"/>
  <c r="K235" i="163"/>
  <c r="G235" i="163"/>
  <c r="K236" i="163"/>
  <c r="G236" i="163"/>
  <c r="K237" i="163"/>
  <c r="G237" i="163"/>
  <c r="K238" i="163"/>
  <c r="G238" i="163"/>
  <c r="K239" i="163"/>
  <c r="G239" i="163"/>
  <c r="K240" i="163"/>
  <c r="G240" i="163"/>
  <c r="K241" i="163"/>
  <c r="G241" i="163"/>
  <c r="K242" i="163"/>
  <c r="G242" i="163"/>
  <c r="K243" i="163"/>
  <c r="G243" i="163"/>
  <c r="K244" i="163"/>
  <c r="G244" i="163"/>
  <c r="K245" i="163"/>
  <c r="G245" i="163"/>
  <c r="K246" i="163"/>
  <c r="G246" i="163"/>
  <c r="K247" i="163"/>
  <c r="G247" i="163"/>
  <c r="K248" i="163"/>
  <c r="G248" i="163"/>
  <c r="K249" i="163"/>
  <c r="G249" i="163"/>
  <c r="K250" i="163"/>
  <c r="G250" i="163"/>
  <c r="K251" i="163"/>
  <c r="G251" i="163"/>
  <c r="K252" i="163"/>
  <c r="G252" i="163"/>
  <c r="K253" i="163"/>
  <c r="G253" i="163"/>
  <c r="K254" i="163"/>
  <c r="G254" i="163"/>
  <c r="K255" i="163"/>
  <c r="G255" i="163"/>
  <c r="K256" i="163"/>
  <c r="G256" i="163"/>
  <c r="K257" i="163"/>
  <c r="G257" i="163"/>
  <c r="K258" i="163"/>
  <c r="G258" i="163"/>
  <c r="K259" i="163"/>
  <c r="G259" i="163"/>
  <c r="K260" i="163"/>
  <c r="G260" i="163"/>
  <c r="K261" i="163"/>
  <c r="G261" i="163"/>
  <c r="K262" i="163"/>
  <c r="G262" i="163"/>
  <c r="K263" i="163"/>
  <c r="G263" i="163"/>
  <c r="K264" i="163"/>
  <c r="G264" i="163"/>
  <c r="K265" i="163"/>
  <c r="G265" i="163"/>
  <c r="K266" i="163"/>
  <c r="G266" i="163"/>
  <c r="K267" i="163"/>
  <c r="G267" i="163"/>
  <c r="K268" i="163"/>
  <c r="G268" i="163"/>
  <c r="K269" i="163"/>
  <c r="G269" i="163"/>
  <c r="K270" i="163"/>
  <c r="G270" i="163"/>
  <c r="K271" i="163"/>
  <c r="G271" i="163"/>
  <c r="K272" i="163"/>
  <c r="G272" i="163"/>
  <c r="K273" i="163"/>
  <c r="G273" i="163"/>
  <c r="K274" i="163"/>
  <c r="G274" i="163"/>
  <c r="K275" i="163"/>
  <c r="G275" i="163"/>
  <c r="K276" i="163"/>
  <c r="G276" i="163"/>
  <c r="K277" i="163"/>
  <c r="G277" i="163"/>
  <c r="K278" i="163"/>
  <c r="G278" i="163"/>
  <c r="K279" i="163"/>
  <c r="G279" i="163"/>
  <c r="K280" i="163"/>
  <c r="G280" i="163"/>
  <c r="K281" i="163"/>
  <c r="G281" i="163"/>
  <c r="K282" i="163"/>
  <c r="G282" i="163"/>
  <c r="K283" i="163"/>
  <c r="G283" i="163"/>
  <c r="K284" i="163"/>
  <c r="G284" i="163"/>
  <c r="K285" i="163"/>
  <c r="G285" i="163"/>
  <c r="K286" i="163"/>
  <c r="G286" i="163"/>
  <c r="K287" i="163"/>
  <c r="G287" i="163"/>
  <c r="K288" i="163"/>
  <c r="G288" i="163"/>
  <c r="K289" i="163"/>
  <c r="G289" i="163"/>
  <c r="K290" i="163"/>
  <c r="G290" i="163"/>
  <c r="K291" i="163"/>
  <c r="G291" i="163"/>
  <c r="K292" i="163"/>
  <c r="G292" i="163"/>
  <c r="K293" i="163"/>
  <c r="G293" i="163"/>
  <c r="K294" i="163"/>
  <c r="G294" i="163"/>
  <c r="K295" i="163"/>
  <c r="G295" i="163"/>
  <c r="K296" i="163"/>
  <c r="G296" i="163"/>
  <c r="K297" i="163"/>
  <c r="G297" i="163"/>
  <c r="K298" i="163"/>
  <c r="G298" i="163"/>
  <c r="K299" i="163"/>
  <c r="G299" i="163"/>
  <c r="K300" i="163"/>
  <c r="G300" i="163"/>
  <c r="K301" i="163"/>
  <c r="G301" i="163"/>
  <c r="K302" i="163"/>
  <c r="G302" i="163"/>
  <c r="K303" i="163"/>
  <c r="G303" i="163"/>
  <c r="K304" i="163"/>
  <c r="G304" i="163"/>
  <c r="K305" i="163"/>
  <c r="G305" i="163"/>
  <c r="K306" i="163"/>
  <c r="G306" i="163"/>
  <c r="K307" i="163"/>
  <c r="G307" i="163"/>
  <c r="K308" i="163"/>
  <c r="G308" i="163"/>
  <c r="K309" i="163"/>
  <c r="G309" i="163"/>
  <c r="K310" i="163"/>
  <c r="G310" i="163"/>
  <c r="K311" i="163"/>
  <c r="G311" i="163"/>
  <c r="K312" i="163"/>
  <c r="G312" i="163"/>
  <c r="K313" i="163"/>
  <c r="G313" i="163"/>
  <c r="K314" i="163"/>
  <c r="G314" i="163"/>
  <c r="K315" i="163"/>
  <c r="G315" i="163"/>
  <c r="K316" i="163"/>
  <c r="G316" i="163"/>
  <c r="K317" i="163"/>
  <c r="G317" i="163"/>
  <c r="K318" i="163"/>
  <c r="G318" i="163"/>
  <c r="K319" i="163"/>
  <c r="G319" i="163"/>
  <c r="K320" i="163"/>
  <c r="G320" i="163"/>
  <c r="K321" i="163"/>
  <c r="G321" i="163"/>
  <c r="K322" i="163"/>
  <c r="G322" i="163"/>
  <c r="K323" i="163"/>
  <c r="G323" i="163"/>
  <c r="K324" i="163"/>
  <c r="G324" i="163"/>
  <c r="K325" i="163"/>
  <c r="G325" i="163"/>
  <c r="K326" i="163"/>
  <c r="G326" i="163"/>
  <c r="K327" i="163"/>
  <c r="G327" i="163"/>
  <c r="K328" i="163"/>
  <c r="G328" i="163"/>
  <c r="K329" i="163"/>
  <c r="G329" i="163"/>
  <c r="K330" i="163"/>
  <c r="G330" i="163"/>
  <c r="K331" i="163"/>
  <c r="G331" i="163"/>
  <c r="K332" i="163"/>
  <c r="G332" i="163"/>
  <c r="K333" i="163"/>
  <c r="G333" i="163"/>
  <c r="K334" i="163"/>
  <c r="G334" i="163"/>
  <c r="K335" i="163"/>
  <c r="G335" i="163"/>
  <c r="K336" i="163"/>
  <c r="G336" i="163"/>
  <c r="K337" i="163"/>
  <c r="G337" i="163"/>
  <c r="K338" i="163"/>
  <c r="G338" i="163"/>
  <c r="K339" i="163"/>
  <c r="G339" i="163"/>
  <c r="K340" i="163"/>
  <c r="G340" i="163"/>
  <c r="K341" i="163"/>
  <c r="G341" i="163"/>
  <c r="K2" i="163"/>
  <c r="G2" i="163"/>
  <c r="K3" i="154"/>
  <c r="G3" i="154"/>
  <c r="K4" i="154"/>
  <c r="G4" i="154"/>
  <c r="K5" i="154"/>
  <c r="G5" i="154"/>
  <c r="K6" i="154"/>
  <c r="G6" i="154"/>
  <c r="K7" i="154"/>
  <c r="G7" i="154"/>
  <c r="K8" i="154"/>
  <c r="G8" i="154"/>
  <c r="K9" i="154"/>
  <c r="G9" i="154"/>
  <c r="K10" i="154"/>
  <c r="G10" i="154"/>
  <c r="K11" i="154"/>
  <c r="G11" i="154"/>
  <c r="K12" i="154"/>
  <c r="G12" i="154"/>
  <c r="K13" i="154"/>
  <c r="G13" i="154"/>
  <c r="K14" i="154"/>
  <c r="G14" i="154"/>
  <c r="K15" i="154"/>
  <c r="G15" i="154"/>
  <c r="K16" i="154"/>
  <c r="G16" i="154"/>
  <c r="K17" i="154"/>
  <c r="G17" i="154"/>
  <c r="K18" i="154"/>
  <c r="G18" i="154"/>
  <c r="K19" i="154"/>
  <c r="G19" i="154"/>
  <c r="K20" i="154"/>
  <c r="G20" i="154"/>
  <c r="K21" i="154"/>
  <c r="G21" i="154"/>
  <c r="K22" i="154"/>
  <c r="G22" i="154"/>
  <c r="K23" i="154"/>
  <c r="G23" i="154"/>
  <c r="K24" i="154"/>
  <c r="G24" i="154"/>
  <c r="K25" i="154"/>
  <c r="G25" i="154"/>
  <c r="K26" i="154"/>
  <c r="G26" i="154"/>
  <c r="K27" i="154"/>
  <c r="G27" i="154"/>
  <c r="K28" i="154"/>
  <c r="G28" i="154"/>
  <c r="K29" i="154"/>
  <c r="G29" i="154"/>
  <c r="K30" i="154"/>
  <c r="G30" i="154"/>
  <c r="K31" i="154"/>
  <c r="G31" i="154"/>
  <c r="K32" i="154"/>
  <c r="G32" i="154"/>
  <c r="K33" i="154"/>
  <c r="G33" i="154"/>
  <c r="K34" i="154"/>
  <c r="G34" i="154"/>
  <c r="K35" i="154"/>
  <c r="G35" i="154"/>
  <c r="K36" i="154"/>
  <c r="G36" i="154"/>
  <c r="K37" i="154"/>
  <c r="G37" i="154"/>
  <c r="K38" i="154"/>
  <c r="G38" i="154"/>
  <c r="K39" i="154"/>
  <c r="G39" i="154"/>
  <c r="K40" i="154"/>
  <c r="G40" i="154"/>
  <c r="K41" i="154"/>
  <c r="G41" i="154"/>
  <c r="K42" i="154"/>
  <c r="G42" i="154"/>
  <c r="K43" i="154"/>
  <c r="G43" i="154"/>
  <c r="K44" i="154"/>
  <c r="G44" i="154"/>
  <c r="K45" i="154"/>
  <c r="G45" i="154"/>
  <c r="K46" i="154"/>
  <c r="G46" i="154"/>
  <c r="K47" i="154"/>
  <c r="G47" i="154"/>
  <c r="K48" i="154"/>
  <c r="G48" i="154"/>
  <c r="K49" i="154"/>
  <c r="G49" i="154"/>
  <c r="K50" i="154"/>
  <c r="G50" i="154"/>
  <c r="K51" i="154"/>
  <c r="G51" i="154"/>
  <c r="K52" i="154"/>
  <c r="G52" i="154"/>
  <c r="K53" i="154"/>
  <c r="G53" i="154"/>
  <c r="K54" i="154"/>
  <c r="G54" i="154"/>
  <c r="K55" i="154"/>
  <c r="G55" i="154"/>
  <c r="K56" i="154"/>
  <c r="G56" i="154"/>
  <c r="K57" i="154"/>
  <c r="G57" i="154"/>
  <c r="K58" i="154"/>
  <c r="G58" i="154"/>
  <c r="K59" i="154"/>
  <c r="G59" i="154"/>
  <c r="K60" i="154"/>
  <c r="G60" i="154"/>
  <c r="K61" i="154"/>
  <c r="G61" i="154"/>
  <c r="K62" i="154"/>
  <c r="G62" i="154"/>
  <c r="K63" i="154"/>
  <c r="G63" i="154"/>
  <c r="K64" i="154"/>
  <c r="G64" i="154"/>
  <c r="K65" i="154"/>
  <c r="G65" i="154"/>
  <c r="K66" i="154"/>
  <c r="G66" i="154"/>
  <c r="K67" i="154"/>
  <c r="G67" i="154"/>
  <c r="K68" i="154"/>
  <c r="G68" i="154"/>
  <c r="K69" i="154"/>
  <c r="G69" i="154"/>
  <c r="K70" i="154"/>
  <c r="G70" i="154"/>
  <c r="K71" i="154"/>
  <c r="G71" i="154"/>
  <c r="K72" i="154"/>
  <c r="G72" i="154"/>
  <c r="K73" i="154"/>
  <c r="G73" i="154"/>
  <c r="K74" i="154"/>
  <c r="G74" i="154"/>
  <c r="K75" i="154"/>
  <c r="G75" i="154"/>
  <c r="K76" i="154"/>
  <c r="G76" i="154"/>
  <c r="K77" i="154"/>
  <c r="G77" i="154"/>
  <c r="K78" i="154"/>
  <c r="G78" i="154"/>
  <c r="K79" i="154"/>
  <c r="G79" i="154"/>
  <c r="K80" i="154"/>
  <c r="G80" i="154"/>
  <c r="K81" i="154"/>
  <c r="G81" i="154"/>
  <c r="K82" i="154"/>
  <c r="G82" i="154"/>
  <c r="K83" i="154"/>
  <c r="G83" i="154"/>
  <c r="K84" i="154"/>
  <c r="G84" i="154"/>
  <c r="K85" i="154"/>
  <c r="G85" i="154"/>
  <c r="K86" i="154"/>
  <c r="G86" i="154"/>
  <c r="K87" i="154"/>
  <c r="G87" i="154"/>
  <c r="K88" i="154"/>
  <c r="G88" i="154"/>
  <c r="K89" i="154"/>
  <c r="G89" i="154"/>
  <c r="K90" i="154"/>
  <c r="G90" i="154"/>
  <c r="K91" i="154"/>
  <c r="G91" i="154"/>
  <c r="K92" i="154"/>
  <c r="G92" i="154"/>
  <c r="K93" i="154"/>
  <c r="G93" i="154"/>
  <c r="K94" i="154"/>
  <c r="G94" i="154"/>
  <c r="K95" i="154"/>
  <c r="G95" i="154"/>
  <c r="K96" i="154"/>
  <c r="G96" i="154"/>
  <c r="K97" i="154"/>
  <c r="G97" i="154"/>
  <c r="K98" i="154"/>
  <c r="G98" i="154"/>
  <c r="K99" i="154"/>
  <c r="G99" i="154"/>
  <c r="K100" i="154"/>
  <c r="G100" i="154"/>
  <c r="K101" i="154"/>
  <c r="G101" i="154"/>
  <c r="K102" i="154"/>
  <c r="G102" i="154"/>
  <c r="K103" i="154"/>
  <c r="G103" i="154"/>
  <c r="K104" i="154"/>
  <c r="G104" i="154"/>
  <c r="K105" i="154"/>
  <c r="G105" i="154"/>
  <c r="K106" i="154"/>
  <c r="G106" i="154"/>
  <c r="K107" i="154"/>
  <c r="G107" i="154"/>
  <c r="K108" i="154"/>
  <c r="G108" i="154"/>
  <c r="K109" i="154"/>
  <c r="G109" i="154"/>
  <c r="K110" i="154"/>
  <c r="G110" i="154"/>
  <c r="K111" i="154"/>
  <c r="G111" i="154"/>
  <c r="K112" i="154"/>
  <c r="G112" i="154"/>
  <c r="K113" i="154"/>
  <c r="G113" i="154"/>
  <c r="K114" i="154"/>
  <c r="G114" i="154"/>
  <c r="K115" i="154"/>
  <c r="G115" i="154"/>
  <c r="K116" i="154"/>
  <c r="G116" i="154"/>
  <c r="K117" i="154"/>
  <c r="G117" i="154"/>
  <c r="K118" i="154"/>
  <c r="G118" i="154"/>
  <c r="K119" i="154"/>
  <c r="G119" i="154"/>
  <c r="K120" i="154"/>
  <c r="G120" i="154"/>
  <c r="K121" i="154"/>
  <c r="G121" i="154"/>
  <c r="K122" i="154"/>
  <c r="G122" i="154"/>
  <c r="K123" i="154"/>
  <c r="G123" i="154"/>
  <c r="K124" i="154"/>
  <c r="G124" i="154"/>
  <c r="K125" i="154"/>
  <c r="G125" i="154"/>
  <c r="K126" i="154"/>
  <c r="G126" i="154"/>
  <c r="K127" i="154"/>
  <c r="G127" i="154"/>
  <c r="K128" i="154"/>
  <c r="G128" i="154"/>
  <c r="K129" i="154"/>
  <c r="G129" i="154"/>
  <c r="K130" i="154"/>
  <c r="G130" i="154"/>
  <c r="K131" i="154"/>
  <c r="G131" i="154"/>
  <c r="K132" i="154"/>
  <c r="G132" i="154"/>
  <c r="K133" i="154"/>
  <c r="G133" i="154"/>
  <c r="K134" i="154"/>
  <c r="G134" i="154"/>
  <c r="K135" i="154"/>
  <c r="G135" i="154"/>
  <c r="K136" i="154"/>
  <c r="G136" i="154"/>
  <c r="K137" i="154"/>
  <c r="G137" i="154"/>
  <c r="K138" i="154"/>
  <c r="G138" i="154"/>
  <c r="K139" i="154"/>
  <c r="G139" i="154"/>
  <c r="K140" i="154"/>
  <c r="G140" i="154"/>
  <c r="K141" i="154"/>
  <c r="G141" i="154"/>
  <c r="K142" i="154"/>
  <c r="G142" i="154"/>
  <c r="K143" i="154"/>
  <c r="G143" i="154"/>
  <c r="K144" i="154"/>
  <c r="G144" i="154"/>
  <c r="K145" i="154"/>
  <c r="G145" i="154"/>
  <c r="K146" i="154"/>
  <c r="G146" i="154"/>
  <c r="K147" i="154"/>
  <c r="G147" i="154"/>
  <c r="K148" i="154"/>
  <c r="G148" i="154"/>
  <c r="K149" i="154"/>
  <c r="G149" i="154"/>
  <c r="K150" i="154"/>
  <c r="G150" i="154"/>
  <c r="K151" i="154"/>
  <c r="G151" i="154"/>
  <c r="K152" i="154"/>
  <c r="G152" i="154"/>
  <c r="K153" i="154"/>
  <c r="G153" i="154"/>
  <c r="K154" i="154"/>
  <c r="G154" i="154"/>
  <c r="K155" i="154"/>
  <c r="G155" i="154"/>
  <c r="K156" i="154"/>
  <c r="G156" i="154"/>
  <c r="K157" i="154"/>
  <c r="G157" i="154"/>
  <c r="K158" i="154"/>
  <c r="G158" i="154"/>
  <c r="K159" i="154"/>
  <c r="G159" i="154"/>
  <c r="K160" i="154"/>
  <c r="G160" i="154"/>
  <c r="K161" i="154"/>
  <c r="G161" i="154"/>
  <c r="K162" i="154"/>
  <c r="G162" i="154"/>
  <c r="K163" i="154"/>
  <c r="G163" i="154"/>
  <c r="K164" i="154"/>
  <c r="G164" i="154"/>
  <c r="K165" i="154"/>
  <c r="G165" i="154"/>
  <c r="K166" i="154"/>
  <c r="G166" i="154"/>
  <c r="K167" i="154"/>
  <c r="G167" i="154"/>
  <c r="K168" i="154"/>
  <c r="G168" i="154"/>
  <c r="K169" i="154"/>
  <c r="G169" i="154"/>
  <c r="K170" i="154"/>
  <c r="G170" i="154"/>
  <c r="K171" i="154"/>
  <c r="G171" i="154"/>
  <c r="K172" i="154"/>
  <c r="G172" i="154"/>
  <c r="K173" i="154"/>
  <c r="G173" i="154"/>
  <c r="K174" i="154"/>
  <c r="G174" i="154"/>
  <c r="K175" i="154"/>
  <c r="G175" i="154"/>
  <c r="K176" i="154"/>
  <c r="G176" i="154"/>
  <c r="K177" i="154"/>
  <c r="G177" i="154"/>
  <c r="K178" i="154"/>
  <c r="G178" i="154"/>
  <c r="K179" i="154"/>
  <c r="G179" i="154"/>
  <c r="K180" i="154"/>
  <c r="G180" i="154"/>
  <c r="K181" i="154"/>
  <c r="G181" i="154"/>
  <c r="K182" i="154"/>
  <c r="G182" i="154"/>
  <c r="K183" i="154"/>
  <c r="G183" i="154"/>
  <c r="K184" i="154"/>
  <c r="G184" i="154"/>
  <c r="K185" i="154"/>
  <c r="G185" i="154"/>
  <c r="K186" i="154"/>
  <c r="G186" i="154"/>
  <c r="K187" i="154"/>
  <c r="G187" i="154"/>
  <c r="K188" i="154"/>
  <c r="G188" i="154"/>
  <c r="K189" i="154"/>
  <c r="G189" i="154"/>
  <c r="K190" i="154"/>
  <c r="G190" i="154"/>
  <c r="K191" i="154"/>
  <c r="G191" i="154"/>
  <c r="K192" i="154"/>
  <c r="G192" i="154"/>
  <c r="K193" i="154"/>
  <c r="G193" i="154"/>
  <c r="K194" i="154"/>
  <c r="G194" i="154"/>
  <c r="K195" i="154"/>
  <c r="G195" i="154"/>
  <c r="K196" i="154"/>
  <c r="G196" i="154"/>
  <c r="K197" i="154"/>
  <c r="G197" i="154"/>
  <c r="K198" i="154"/>
  <c r="G198" i="154"/>
  <c r="K199" i="154"/>
  <c r="G199" i="154"/>
  <c r="K200" i="154"/>
  <c r="G200" i="154"/>
  <c r="K201" i="154"/>
  <c r="G201" i="154"/>
  <c r="K202" i="154"/>
  <c r="G202" i="154"/>
  <c r="K203" i="154"/>
  <c r="G203" i="154"/>
  <c r="K204" i="154"/>
  <c r="G204" i="154"/>
  <c r="K205" i="154"/>
  <c r="G205" i="154"/>
  <c r="K206" i="154"/>
  <c r="G206" i="154"/>
  <c r="K207" i="154"/>
  <c r="G207" i="154"/>
  <c r="K208" i="154"/>
  <c r="G208" i="154"/>
  <c r="K209" i="154"/>
  <c r="G209" i="154"/>
  <c r="K210" i="154"/>
  <c r="G210" i="154"/>
  <c r="K211" i="154"/>
  <c r="G211" i="154"/>
  <c r="K212" i="154"/>
  <c r="G212" i="154"/>
  <c r="K213" i="154"/>
  <c r="G213" i="154"/>
  <c r="K214" i="154"/>
  <c r="G214" i="154"/>
  <c r="K215" i="154"/>
  <c r="G215" i="154"/>
  <c r="K216" i="154"/>
  <c r="G216" i="154"/>
  <c r="K217" i="154"/>
  <c r="G217" i="154"/>
  <c r="K218" i="154"/>
  <c r="G218" i="154"/>
  <c r="K219" i="154"/>
  <c r="G219" i="154"/>
  <c r="K220" i="154"/>
  <c r="G220" i="154"/>
  <c r="K221" i="154"/>
  <c r="G221" i="154"/>
  <c r="K222" i="154"/>
  <c r="G222" i="154"/>
  <c r="K223" i="154"/>
  <c r="G223" i="154"/>
  <c r="K224" i="154"/>
  <c r="G224" i="154"/>
  <c r="K225" i="154"/>
  <c r="G225" i="154"/>
  <c r="K226" i="154"/>
  <c r="G226" i="154"/>
  <c r="K227" i="154"/>
  <c r="G227" i="154"/>
  <c r="K228" i="154"/>
  <c r="G228" i="154"/>
  <c r="K229" i="154"/>
  <c r="G229" i="154"/>
  <c r="K230" i="154"/>
  <c r="G230" i="154"/>
  <c r="K231" i="154"/>
  <c r="G231" i="154"/>
  <c r="K232" i="154"/>
  <c r="G232" i="154"/>
  <c r="K233" i="154"/>
  <c r="G233" i="154"/>
  <c r="K234" i="154"/>
  <c r="G234" i="154"/>
  <c r="K235" i="154"/>
  <c r="G235" i="154"/>
  <c r="K236" i="154"/>
  <c r="G236" i="154"/>
  <c r="K237" i="154"/>
  <c r="G237" i="154"/>
  <c r="K238" i="154"/>
  <c r="G238" i="154"/>
  <c r="K239" i="154"/>
  <c r="G239" i="154"/>
  <c r="K240" i="154"/>
  <c r="G240" i="154"/>
  <c r="K241" i="154"/>
  <c r="G241" i="154"/>
  <c r="K242" i="154"/>
  <c r="G242" i="154"/>
  <c r="K243" i="154"/>
  <c r="G243" i="154"/>
  <c r="K244" i="154"/>
  <c r="G244" i="154"/>
  <c r="K245" i="154"/>
  <c r="G245" i="154"/>
  <c r="K246" i="154"/>
  <c r="G246" i="154"/>
  <c r="K247" i="154"/>
  <c r="G247" i="154"/>
  <c r="K248" i="154"/>
  <c r="G248" i="154"/>
  <c r="K249" i="154"/>
  <c r="G249" i="154"/>
  <c r="K250" i="154"/>
  <c r="G250" i="154"/>
  <c r="K251" i="154"/>
  <c r="G251" i="154"/>
  <c r="K252" i="154"/>
  <c r="G252" i="154"/>
  <c r="K253" i="154"/>
  <c r="G253" i="154"/>
  <c r="K254" i="154"/>
  <c r="G254" i="154"/>
  <c r="K255" i="154"/>
  <c r="G255" i="154"/>
  <c r="K256" i="154"/>
  <c r="G256" i="154"/>
  <c r="K257" i="154"/>
  <c r="G257" i="154"/>
  <c r="K258" i="154"/>
  <c r="G258" i="154"/>
  <c r="K259" i="154"/>
  <c r="G259" i="154"/>
  <c r="K260" i="154"/>
  <c r="G260" i="154"/>
  <c r="K261" i="154"/>
  <c r="G261" i="154"/>
  <c r="K262" i="154"/>
  <c r="G262" i="154"/>
  <c r="K263" i="154"/>
  <c r="G263" i="154"/>
  <c r="K264" i="154"/>
  <c r="G264" i="154"/>
  <c r="K265" i="154"/>
  <c r="G265" i="154"/>
  <c r="K266" i="154"/>
  <c r="G266" i="154"/>
  <c r="K267" i="154"/>
  <c r="G267" i="154"/>
  <c r="K268" i="154"/>
  <c r="G268" i="154"/>
  <c r="K269" i="154"/>
  <c r="G269" i="154"/>
  <c r="K270" i="154"/>
  <c r="G270" i="154"/>
  <c r="K271" i="154"/>
  <c r="G271" i="154"/>
  <c r="K272" i="154"/>
  <c r="G272" i="154"/>
  <c r="K273" i="154"/>
  <c r="G273" i="154"/>
  <c r="K274" i="154"/>
  <c r="G274" i="154"/>
  <c r="K275" i="154"/>
  <c r="G275" i="154"/>
  <c r="K276" i="154"/>
  <c r="G276" i="154"/>
  <c r="K277" i="154"/>
  <c r="G277" i="154"/>
  <c r="K278" i="154"/>
  <c r="G278" i="154"/>
  <c r="K279" i="154"/>
  <c r="G279" i="154"/>
  <c r="K280" i="154"/>
  <c r="G280" i="154"/>
  <c r="K281" i="154"/>
  <c r="G281" i="154"/>
  <c r="K282" i="154"/>
  <c r="G282" i="154"/>
  <c r="K283" i="154"/>
  <c r="G283" i="154"/>
  <c r="K284" i="154"/>
  <c r="G284" i="154"/>
  <c r="K285" i="154"/>
  <c r="G285" i="154"/>
  <c r="K286" i="154"/>
  <c r="G286" i="154"/>
  <c r="K287" i="154"/>
  <c r="G287" i="154"/>
  <c r="K288" i="154"/>
  <c r="G288" i="154"/>
  <c r="K289" i="154"/>
  <c r="G289" i="154"/>
  <c r="K290" i="154"/>
  <c r="G290" i="154"/>
  <c r="K291" i="154"/>
  <c r="G291" i="154"/>
  <c r="K292" i="154"/>
  <c r="G292" i="154"/>
  <c r="K293" i="154"/>
  <c r="G293" i="154"/>
  <c r="K294" i="154"/>
  <c r="G294" i="154"/>
  <c r="K295" i="154"/>
  <c r="G295" i="154"/>
  <c r="K296" i="154"/>
  <c r="G296" i="154"/>
  <c r="K297" i="154"/>
  <c r="G297" i="154"/>
  <c r="K298" i="154"/>
  <c r="G298" i="154"/>
  <c r="K299" i="154"/>
  <c r="G299" i="154"/>
  <c r="K300" i="154"/>
  <c r="G300" i="154"/>
  <c r="K301" i="154"/>
  <c r="G301" i="154"/>
  <c r="K302" i="154"/>
  <c r="G302" i="154"/>
  <c r="K303" i="154"/>
  <c r="G303" i="154"/>
  <c r="K304" i="154"/>
  <c r="G304" i="154"/>
  <c r="K305" i="154"/>
  <c r="G305" i="154"/>
  <c r="K306" i="154"/>
  <c r="G306" i="154"/>
  <c r="K307" i="154"/>
  <c r="G307" i="154"/>
  <c r="K308" i="154"/>
  <c r="G308" i="154"/>
  <c r="K309" i="154"/>
  <c r="G309" i="154"/>
  <c r="K310" i="154"/>
  <c r="G310" i="154"/>
  <c r="K311" i="154"/>
  <c r="G311" i="154"/>
  <c r="K312" i="154"/>
  <c r="G312" i="154"/>
  <c r="K313" i="154"/>
  <c r="G313" i="154"/>
  <c r="K314" i="154"/>
  <c r="G314" i="154"/>
  <c r="K315" i="154"/>
  <c r="G315" i="154"/>
  <c r="K316" i="154"/>
  <c r="G316" i="154"/>
  <c r="K317" i="154"/>
  <c r="G317" i="154"/>
  <c r="K318" i="154"/>
  <c r="G318" i="154"/>
  <c r="K319" i="154"/>
  <c r="G319" i="154"/>
  <c r="K320" i="154"/>
  <c r="G320" i="154"/>
  <c r="K321" i="154"/>
  <c r="G321" i="154"/>
  <c r="K322" i="154"/>
  <c r="G322" i="154"/>
  <c r="K323" i="154"/>
  <c r="G323" i="154"/>
  <c r="K324" i="154"/>
  <c r="G324" i="154"/>
  <c r="K325" i="154"/>
  <c r="G325" i="154"/>
  <c r="K326" i="154"/>
  <c r="G326" i="154"/>
  <c r="K327" i="154"/>
  <c r="G327" i="154"/>
  <c r="K328" i="154"/>
  <c r="G328" i="154"/>
  <c r="K329" i="154"/>
  <c r="G329" i="154"/>
  <c r="K330" i="154"/>
  <c r="G330" i="154"/>
  <c r="K331" i="154"/>
  <c r="G331" i="154"/>
  <c r="K332" i="154"/>
  <c r="G332" i="154"/>
  <c r="K333" i="154"/>
  <c r="G333" i="154"/>
  <c r="K334" i="154"/>
  <c r="G334" i="154"/>
  <c r="K335" i="154"/>
  <c r="G335" i="154"/>
  <c r="K336" i="154"/>
  <c r="G336" i="154"/>
  <c r="K337" i="154"/>
  <c r="G337" i="154"/>
  <c r="K338" i="154"/>
  <c r="G338" i="154"/>
  <c r="K339" i="154"/>
  <c r="G339" i="154"/>
  <c r="K340" i="154"/>
  <c r="G340" i="154"/>
  <c r="K341" i="154"/>
  <c r="G341" i="154"/>
  <c r="K2" i="154"/>
  <c r="G2" i="154"/>
  <c r="K3" i="159"/>
  <c r="G3" i="159"/>
  <c r="K4" i="159"/>
  <c r="G4" i="159"/>
  <c r="K5" i="159"/>
  <c r="G5" i="159"/>
  <c r="K6" i="159"/>
  <c r="G6" i="159"/>
  <c r="K7" i="159"/>
  <c r="G7" i="159"/>
  <c r="K8" i="159"/>
  <c r="G8" i="159"/>
  <c r="K9" i="159"/>
  <c r="G9" i="159"/>
  <c r="K10" i="159"/>
  <c r="G10" i="159"/>
  <c r="K11" i="159"/>
  <c r="G11" i="159"/>
  <c r="K12" i="159"/>
  <c r="G12" i="159"/>
  <c r="K13" i="159"/>
  <c r="G13" i="159"/>
  <c r="K14" i="159"/>
  <c r="G14" i="159"/>
  <c r="K15" i="159"/>
  <c r="G15" i="159"/>
  <c r="K16" i="159"/>
  <c r="G16" i="159"/>
  <c r="K17" i="159"/>
  <c r="G17" i="159"/>
  <c r="K18" i="159"/>
  <c r="G18" i="159"/>
  <c r="K19" i="159"/>
  <c r="G19" i="159"/>
  <c r="K20" i="159"/>
  <c r="G20" i="159"/>
  <c r="K21" i="159"/>
  <c r="G21" i="159"/>
  <c r="K22" i="159"/>
  <c r="G22" i="159"/>
  <c r="K23" i="159"/>
  <c r="G23" i="159"/>
  <c r="K24" i="159"/>
  <c r="G24" i="159"/>
  <c r="K25" i="159"/>
  <c r="G25" i="159"/>
  <c r="K26" i="159"/>
  <c r="G26" i="159"/>
  <c r="K27" i="159"/>
  <c r="G27" i="159"/>
  <c r="K28" i="159"/>
  <c r="G28" i="159"/>
  <c r="K29" i="159"/>
  <c r="G29" i="159"/>
  <c r="K30" i="159"/>
  <c r="G30" i="159"/>
  <c r="K31" i="159"/>
  <c r="G31" i="159"/>
  <c r="K32" i="159"/>
  <c r="G32" i="159"/>
  <c r="K33" i="159"/>
  <c r="G33" i="159"/>
  <c r="K34" i="159"/>
  <c r="G34" i="159"/>
  <c r="K35" i="159"/>
  <c r="G35" i="159"/>
  <c r="K36" i="159"/>
  <c r="G36" i="159"/>
  <c r="K37" i="159"/>
  <c r="G37" i="159"/>
  <c r="K38" i="159"/>
  <c r="G38" i="159"/>
  <c r="K39" i="159"/>
  <c r="G39" i="159"/>
  <c r="K40" i="159"/>
  <c r="G40" i="159"/>
  <c r="K41" i="159"/>
  <c r="G41" i="159"/>
  <c r="K42" i="159"/>
  <c r="G42" i="159"/>
  <c r="K43" i="159"/>
  <c r="G43" i="159"/>
  <c r="K44" i="159"/>
  <c r="G44" i="159"/>
  <c r="K45" i="159"/>
  <c r="G45" i="159"/>
  <c r="K46" i="159"/>
  <c r="G46" i="159"/>
  <c r="K47" i="159"/>
  <c r="G47" i="159"/>
  <c r="K48" i="159"/>
  <c r="G48" i="159"/>
  <c r="K49" i="159"/>
  <c r="G49" i="159"/>
  <c r="K50" i="159"/>
  <c r="G50" i="159"/>
  <c r="K51" i="159"/>
  <c r="G51" i="159"/>
  <c r="K52" i="159"/>
  <c r="G52" i="159"/>
  <c r="K53" i="159"/>
  <c r="G53" i="159"/>
  <c r="K54" i="159"/>
  <c r="G54" i="159"/>
  <c r="K55" i="159"/>
  <c r="G55" i="159"/>
  <c r="K56" i="159"/>
  <c r="G56" i="159"/>
  <c r="K57" i="159"/>
  <c r="G57" i="159"/>
  <c r="K58" i="159"/>
  <c r="G58" i="159"/>
  <c r="K59" i="159"/>
  <c r="G59" i="159"/>
  <c r="K60" i="159"/>
  <c r="G60" i="159"/>
  <c r="K61" i="159"/>
  <c r="G61" i="159"/>
  <c r="K62" i="159"/>
  <c r="G62" i="159"/>
  <c r="K63" i="159"/>
  <c r="G63" i="159"/>
  <c r="K64" i="159"/>
  <c r="G64" i="159"/>
  <c r="K65" i="159"/>
  <c r="G65" i="159"/>
  <c r="K66" i="159"/>
  <c r="G66" i="159"/>
  <c r="K67" i="159"/>
  <c r="G67" i="159"/>
  <c r="K68" i="159"/>
  <c r="G68" i="159"/>
  <c r="K69" i="159"/>
  <c r="G69" i="159"/>
  <c r="K70" i="159"/>
  <c r="G70" i="159"/>
  <c r="K71" i="159"/>
  <c r="G71" i="159"/>
  <c r="K72" i="159"/>
  <c r="G72" i="159"/>
  <c r="K73" i="159"/>
  <c r="G73" i="159"/>
  <c r="K74" i="159"/>
  <c r="G74" i="159"/>
  <c r="K75" i="159"/>
  <c r="G75" i="159"/>
  <c r="K76" i="159"/>
  <c r="G76" i="159"/>
  <c r="K77" i="159"/>
  <c r="G77" i="159"/>
  <c r="K78" i="159"/>
  <c r="G78" i="159"/>
  <c r="K79" i="159"/>
  <c r="G79" i="159"/>
  <c r="K80" i="159"/>
  <c r="G80" i="159"/>
  <c r="K81" i="159"/>
  <c r="G81" i="159"/>
  <c r="K82" i="159"/>
  <c r="G82" i="159"/>
  <c r="K83" i="159"/>
  <c r="G83" i="159"/>
  <c r="K84" i="159"/>
  <c r="G84" i="159"/>
  <c r="K85" i="159"/>
  <c r="G85" i="159"/>
  <c r="K86" i="159"/>
  <c r="G86" i="159"/>
  <c r="K87" i="159"/>
  <c r="G87" i="159"/>
  <c r="K88" i="159"/>
  <c r="G88" i="159"/>
  <c r="K89" i="159"/>
  <c r="G89" i="159"/>
  <c r="K90" i="159"/>
  <c r="G90" i="159"/>
  <c r="K91" i="159"/>
  <c r="G91" i="159"/>
  <c r="K92" i="159"/>
  <c r="G92" i="159"/>
  <c r="K93" i="159"/>
  <c r="G93" i="159"/>
  <c r="K94" i="159"/>
  <c r="G94" i="159"/>
  <c r="K95" i="159"/>
  <c r="G95" i="159"/>
  <c r="K96" i="159"/>
  <c r="G96" i="159"/>
  <c r="K97" i="159"/>
  <c r="G97" i="159"/>
  <c r="K98" i="159"/>
  <c r="G98" i="159"/>
  <c r="K99" i="159"/>
  <c r="G99" i="159"/>
  <c r="K100" i="159"/>
  <c r="G100" i="159"/>
  <c r="K101" i="159"/>
  <c r="G101" i="159"/>
  <c r="K102" i="159"/>
  <c r="G102" i="159"/>
  <c r="K103" i="159"/>
  <c r="G103" i="159"/>
  <c r="K104" i="159"/>
  <c r="G104" i="159"/>
  <c r="K105" i="159"/>
  <c r="G105" i="159"/>
  <c r="K106" i="159"/>
  <c r="G106" i="159"/>
  <c r="K107" i="159"/>
  <c r="G107" i="159"/>
  <c r="K108" i="159"/>
  <c r="G108" i="159"/>
  <c r="K109" i="159"/>
  <c r="G109" i="159"/>
  <c r="K110" i="159"/>
  <c r="G110" i="159"/>
  <c r="K111" i="159"/>
  <c r="G111" i="159"/>
  <c r="K112" i="159"/>
  <c r="G112" i="159"/>
  <c r="K113" i="159"/>
  <c r="G113" i="159"/>
  <c r="K114" i="159"/>
  <c r="G114" i="159"/>
  <c r="K115" i="159"/>
  <c r="G115" i="159"/>
  <c r="K116" i="159"/>
  <c r="G116" i="159"/>
  <c r="K117" i="159"/>
  <c r="G117" i="159"/>
  <c r="K118" i="159"/>
  <c r="G118" i="159"/>
  <c r="K119" i="159"/>
  <c r="G119" i="159"/>
  <c r="K120" i="159"/>
  <c r="G120" i="159"/>
  <c r="K121" i="159"/>
  <c r="G121" i="159"/>
  <c r="K122" i="159"/>
  <c r="G122" i="159"/>
  <c r="K123" i="159"/>
  <c r="G123" i="159"/>
  <c r="K124" i="159"/>
  <c r="G124" i="159"/>
  <c r="K125" i="159"/>
  <c r="G125" i="159"/>
  <c r="K126" i="159"/>
  <c r="G126" i="159"/>
  <c r="K127" i="159"/>
  <c r="G127" i="159"/>
  <c r="K128" i="159"/>
  <c r="G128" i="159"/>
  <c r="K129" i="159"/>
  <c r="G129" i="159"/>
  <c r="K130" i="159"/>
  <c r="G130" i="159"/>
  <c r="K131" i="159"/>
  <c r="G131" i="159"/>
  <c r="K132" i="159"/>
  <c r="G132" i="159"/>
  <c r="K133" i="159"/>
  <c r="G133" i="159"/>
  <c r="K134" i="159"/>
  <c r="G134" i="159"/>
  <c r="K135" i="159"/>
  <c r="G135" i="159"/>
  <c r="K136" i="159"/>
  <c r="G136" i="159"/>
  <c r="K137" i="159"/>
  <c r="G137" i="159"/>
  <c r="K138" i="159"/>
  <c r="G138" i="159"/>
  <c r="K139" i="159"/>
  <c r="G139" i="159"/>
  <c r="K140" i="159"/>
  <c r="G140" i="159"/>
  <c r="K141" i="159"/>
  <c r="G141" i="159"/>
  <c r="K142" i="159"/>
  <c r="G142" i="159"/>
  <c r="K143" i="159"/>
  <c r="G143" i="159"/>
  <c r="K144" i="159"/>
  <c r="G144" i="159"/>
  <c r="K145" i="159"/>
  <c r="G145" i="159"/>
  <c r="K146" i="159"/>
  <c r="G146" i="159"/>
  <c r="K147" i="159"/>
  <c r="G147" i="159"/>
  <c r="K148" i="159"/>
  <c r="G148" i="159"/>
  <c r="K149" i="159"/>
  <c r="G149" i="159"/>
  <c r="K150" i="159"/>
  <c r="G150" i="159"/>
  <c r="K151" i="159"/>
  <c r="G151" i="159"/>
  <c r="K152" i="159"/>
  <c r="G152" i="159"/>
  <c r="K153" i="159"/>
  <c r="G153" i="159"/>
  <c r="K154" i="159"/>
  <c r="G154" i="159"/>
  <c r="K155" i="159"/>
  <c r="G155" i="159"/>
  <c r="K156" i="159"/>
  <c r="G156" i="159"/>
  <c r="K157" i="159"/>
  <c r="G157" i="159"/>
  <c r="K158" i="159"/>
  <c r="G158" i="159"/>
  <c r="K159" i="159"/>
  <c r="G159" i="159"/>
  <c r="K160" i="159"/>
  <c r="G160" i="159"/>
  <c r="K161" i="159"/>
  <c r="G161" i="159"/>
  <c r="K162" i="159"/>
  <c r="G162" i="159"/>
  <c r="K163" i="159"/>
  <c r="G163" i="159"/>
  <c r="K164" i="159"/>
  <c r="G164" i="159"/>
  <c r="K165" i="159"/>
  <c r="G165" i="159"/>
  <c r="K166" i="159"/>
  <c r="G166" i="159"/>
  <c r="K167" i="159"/>
  <c r="G167" i="159"/>
  <c r="K168" i="159"/>
  <c r="G168" i="159"/>
  <c r="K169" i="159"/>
  <c r="G169" i="159"/>
  <c r="K170" i="159"/>
  <c r="G170" i="159"/>
  <c r="K171" i="159"/>
  <c r="G171" i="159"/>
  <c r="K172" i="159"/>
  <c r="G172" i="159"/>
  <c r="K173" i="159"/>
  <c r="G173" i="159"/>
  <c r="K174" i="159"/>
  <c r="G174" i="159"/>
  <c r="K175" i="159"/>
  <c r="G175" i="159"/>
  <c r="K176" i="159"/>
  <c r="G176" i="159"/>
  <c r="K177" i="159"/>
  <c r="G177" i="159"/>
  <c r="K178" i="159"/>
  <c r="G178" i="159"/>
  <c r="K179" i="159"/>
  <c r="G179" i="159"/>
  <c r="K180" i="159"/>
  <c r="G180" i="159"/>
  <c r="K181" i="159"/>
  <c r="G181" i="159"/>
  <c r="K182" i="159"/>
  <c r="G182" i="159"/>
  <c r="K183" i="159"/>
  <c r="G183" i="159"/>
  <c r="K184" i="159"/>
  <c r="G184" i="159"/>
  <c r="K185" i="159"/>
  <c r="G185" i="159"/>
  <c r="K186" i="159"/>
  <c r="G186" i="159"/>
  <c r="K187" i="159"/>
  <c r="G187" i="159"/>
  <c r="K188" i="159"/>
  <c r="G188" i="159"/>
  <c r="K189" i="159"/>
  <c r="G189" i="159"/>
  <c r="K190" i="159"/>
  <c r="G190" i="159"/>
  <c r="K191" i="159"/>
  <c r="G191" i="159"/>
  <c r="K192" i="159"/>
  <c r="G192" i="159"/>
  <c r="K193" i="159"/>
  <c r="G193" i="159"/>
  <c r="K194" i="159"/>
  <c r="G194" i="159"/>
  <c r="K195" i="159"/>
  <c r="G195" i="159"/>
  <c r="K196" i="159"/>
  <c r="G196" i="159"/>
  <c r="K197" i="159"/>
  <c r="G197" i="159"/>
  <c r="K198" i="159"/>
  <c r="G198" i="159"/>
  <c r="K199" i="159"/>
  <c r="G199" i="159"/>
  <c r="K200" i="159"/>
  <c r="G200" i="159"/>
  <c r="K201" i="159"/>
  <c r="G201" i="159"/>
  <c r="K202" i="159"/>
  <c r="G202" i="159"/>
  <c r="K203" i="159"/>
  <c r="G203" i="159"/>
  <c r="K204" i="159"/>
  <c r="G204" i="159"/>
  <c r="K205" i="159"/>
  <c r="G205" i="159"/>
  <c r="K206" i="159"/>
  <c r="G206" i="159"/>
  <c r="K207" i="159"/>
  <c r="G207" i="159"/>
  <c r="K208" i="159"/>
  <c r="G208" i="159"/>
  <c r="K209" i="159"/>
  <c r="G209" i="159"/>
  <c r="K210" i="159"/>
  <c r="G210" i="159"/>
  <c r="K211" i="159"/>
  <c r="G211" i="159"/>
  <c r="K212" i="159"/>
  <c r="G212" i="159"/>
  <c r="K213" i="159"/>
  <c r="G213" i="159"/>
  <c r="K214" i="159"/>
  <c r="G214" i="159"/>
  <c r="K215" i="159"/>
  <c r="G215" i="159"/>
  <c r="K216" i="159"/>
  <c r="G216" i="159"/>
  <c r="K217" i="159"/>
  <c r="G217" i="159"/>
  <c r="K218" i="159"/>
  <c r="G218" i="159"/>
  <c r="K219" i="159"/>
  <c r="G219" i="159"/>
  <c r="K220" i="159"/>
  <c r="G220" i="159"/>
  <c r="K221" i="159"/>
  <c r="G221" i="159"/>
  <c r="K222" i="159"/>
  <c r="G222" i="159"/>
  <c r="K223" i="159"/>
  <c r="G223" i="159"/>
  <c r="K224" i="159"/>
  <c r="G224" i="159"/>
  <c r="K225" i="159"/>
  <c r="G225" i="159"/>
  <c r="K226" i="159"/>
  <c r="G226" i="159"/>
  <c r="K227" i="159"/>
  <c r="G227" i="159"/>
  <c r="K228" i="159"/>
  <c r="G228" i="159"/>
  <c r="K229" i="159"/>
  <c r="G229" i="159"/>
  <c r="K230" i="159"/>
  <c r="G230" i="159"/>
  <c r="K231" i="159"/>
  <c r="G231" i="159"/>
  <c r="K232" i="159"/>
  <c r="G232" i="159"/>
  <c r="K233" i="159"/>
  <c r="G233" i="159"/>
  <c r="K234" i="159"/>
  <c r="G234" i="159"/>
  <c r="K235" i="159"/>
  <c r="G235" i="159"/>
  <c r="K236" i="159"/>
  <c r="G236" i="159"/>
  <c r="K237" i="159"/>
  <c r="G237" i="159"/>
  <c r="K238" i="159"/>
  <c r="G238" i="159"/>
  <c r="K239" i="159"/>
  <c r="G239" i="159"/>
  <c r="K240" i="159"/>
  <c r="G240" i="159"/>
  <c r="K241" i="159"/>
  <c r="G241" i="159"/>
  <c r="K242" i="159"/>
  <c r="G242" i="159"/>
  <c r="K243" i="159"/>
  <c r="G243" i="159"/>
  <c r="K244" i="159"/>
  <c r="G244" i="159"/>
  <c r="K245" i="159"/>
  <c r="G245" i="159"/>
  <c r="K246" i="159"/>
  <c r="G246" i="159"/>
  <c r="K247" i="159"/>
  <c r="G247" i="159"/>
  <c r="K248" i="159"/>
  <c r="G248" i="159"/>
  <c r="K249" i="159"/>
  <c r="G249" i="159"/>
  <c r="K250" i="159"/>
  <c r="G250" i="159"/>
  <c r="K251" i="159"/>
  <c r="G251" i="159"/>
  <c r="K252" i="159"/>
  <c r="G252" i="159"/>
  <c r="K253" i="159"/>
  <c r="G253" i="159"/>
  <c r="K254" i="159"/>
  <c r="G254" i="159"/>
  <c r="K255" i="159"/>
  <c r="G255" i="159"/>
  <c r="K256" i="159"/>
  <c r="G256" i="159"/>
  <c r="K257" i="159"/>
  <c r="G257" i="159"/>
  <c r="K258" i="159"/>
  <c r="G258" i="159"/>
  <c r="K259" i="159"/>
  <c r="G259" i="159"/>
  <c r="K260" i="159"/>
  <c r="G260" i="159"/>
  <c r="K261" i="159"/>
  <c r="G261" i="159"/>
  <c r="K262" i="159"/>
  <c r="G262" i="159"/>
  <c r="K263" i="159"/>
  <c r="G263" i="159"/>
  <c r="K264" i="159"/>
  <c r="G264" i="159"/>
  <c r="K265" i="159"/>
  <c r="G265" i="159"/>
  <c r="K266" i="159"/>
  <c r="G266" i="159"/>
  <c r="K267" i="159"/>
  <c r="G267" i="159"/>
  <c r="K268" i="159"/>
  <c r="G268" i="159"/>
  <c r="K269" i="159"/>
  <c r="G269" i="159"/>
  <c r="K270" i="159"/>
  <c r="G270" i="159"/>
  <c r="K271" i="159"/>
  <c r="G271" i="159"/>
  <c r="K272" i="159"/>
  <c r="G272" i="159"/>
  <c r="K273" i="159"/>
  <c r="G273" i="159"/>
  <c r="K274" i="159"/>
  <c r="G274" i="159"/>
  <c r="K275" i="159"/>
  <c r="G275" i="159"/>
  <c r="K276" i="159"/>
  <c r="G276" i="159"/>
  <c r="K277" i="159"/>
  <c r="G277" i="159"/>
  <c r="K278" i="159"/>
  <c r="G278" i="159"/>
  <c r="K279" i="159"/>
  <c r="G279" i="159"/>
  <c r="K280" i="159"/>
  <c r="G280" i="159"/>
  <c r="K281" i="159"/>
  <c r="G281" i="159"/>
  <c r="K282" i="159"/>
  <c r="G282" i="159"/>
  <c r="K283" i="159"/>
  <c r="G283" i="159"/>
  <c r="K284" i="159"/>
  <c r="G284" i="159"/>
  <c r="K285" i="159"/>
  <c r="G285" i="159"/>
  <c r="K286" i="159"/>
  <c r="G286" i="159"/>
  <c r="K287" i="159"/>
  <c r="G287" i="159"/>
  <c r="K288" i="159"/>
  <c r="G288" i="159"/>
  <c r="K289" i="159"/>
  <c r="G289" i="159"/>
  <c r="K290" i="159"/>
  <c r="G290" i="159"/>
  <c r="K291" i="159"/>
  <c r="G291" i="159"/>
  <c r="K292" i="159"/>
  <c r="G292" i="159"/>
  <c r="K293" i="159"/>
  <c r="G293" i="159"/>
  <c r="K294" i="159"/>
  <c r="G294" i="159"/>
  <c r="K295" i="159"/>
  <c r="G295" i="159"/>
  <c r="K296" i="159"/>
  <c r="G296" i="159"/>
  <c r="K297" i="159"/>
  <c r="G297" i="159"/>
  <c r="K298" i="159"/>
  <c r="G298" i="159"/>
  <c r="K299" i="159"/>
  <c r="G299" i="159"/>
  <c r="K300" i="159"/>
  <c r="G300" i="159"/>
  <c r="K301" i="159"/>
  <c r="G301" i="159"/>
  <c r="K302" i="159"/>
  <c r="G302" i="159"/>
  <c r="K303" i="159"/>
  <c r="G303" i="159"/>
  <c r="K304" i="159"/>
  <c r="G304" i="159"/>
  <c r="K305" i="159"/>
  <c r="G305" i="159"/>
  <c r="K306" i="159"/>
  <c r="G306" i="159"/>
  <c r="K307" i="159"/>
  <c r="G307" i="159"/>
  <c r="K308" i="159"/>
  <c r="G308" i="159"/>
  <c r="K309" i="159"/>
  <c r="G309" i="159"/>
  <c r="K310" i="159"/>
  <c r="G310" i="159"/>
  <c r="K311" i="159"/>
  <c r="G311" i="159"/>
  <c r="K312" i="159"/>
  <c r="G312" i="159"/>
  <c r="K313" i="159"/>
  <c r="G313" i="159"/>
  <c r="K314" i="159"/>
  <c r="G314" i="159"/>
  <c r="K315" i="159"/>
  <c r="G315" i="159"/>
  <c r="K316" i="159"/>
  <c r="G316" i="159"/>
  <c r="K317" i="159"/>
  <c r="G317" i="159"/>
  <c r="K318" i="159"/>
  <c r="G318" i="159"/>
  <c r="K319" i="159"/>
  <c r="G319" i="159"/>
  <c r="K320" i="159"/>
  <c r="G320" i="159"/>
  <c r="K321" i="159"/>
  <c r="G321" i="159"/>
  <c r="K322" i="159"/>
  <c r="G322" i="159"/>
  <c r="K323" i="159"/>
  <c r="G323" i="159"/>
  <c r="K324" i="159"/>
  <c r="G324" i="159"/>
  <c r="K325" i="159"/>
  <c r="G325" i="159"/>
  <c r="K326" i="159"/>
  <c r="G326" i="159"/>
  <c r="K327" i="159"/>
  <c r="G327" i="159"/>
  <c r="K328" i="159"/>
  <c r="G328" i="159"/>
  <c r="K329" i="159"/>
  <c r="G329" i="159"/>
  <c r="K330" i="159"/>
  <c r="G330" i="159"/>
  <c r="K331" i="159"/>
  <c r="G331" i="159"/>
  <c r="K332" i="159"/>
  <c r="G332" i="159"/>
  <c r="K333" i="159"/>
  <c r="G333" i="159"/>
  <c r="K334" i="159"/>
  <c r="G334" i="159"/>
  <c r="K335" i="159"/>
  <c r="G335" i="159"/>
  <c r="K336" i="159"/>
  <c r="G336" i="159"/>
  <c r="K337" i="159"/>
  <c r="G337" i="159"/>
  <c r="K338" i="159"/>
  <c r="G338" i="159"/>
  <c r="K339" i="159"/>
  <c r="G339" i="159"/>
  <c r="K340" i="159"/>
  <c r="G340" i="159"/>
  <c r="K341" i="159"/>
  <c r="G341" i="159"/>
  <c r="K2" i="159"/>
  <c r="G2" i="159"/>
  <c r="G3" i="150"/>
  <c r="G4" i="150"/>
  <c r="G5" i="150"/>
  <c r="G6" i="150"/>
  <c r="G7" i="150"/>
  <c r="G8" i="150"/>
  <c r="G9" i="150"/>
  <c r="G10" i="150"/>
  <c r="G11" i="150"/>
  <c r="G12" i="150"/>
  <c r="G13" i="150"/>
  <c r="G14" i="150"/>
  <c r="G15" i="150"/>
  <c r="G16" i="150"/>
  <c r="G17" i="150"/>
  <c r="G18" i="150"/>
  <c r="G19" i="150"/>
  <c r="G20" i="150"/>
  <c r="G21" i="150"/>
  <c r="G22" i="150"/>
  <c r="G23" i="150"/>
  <c r="G24" i="150"/>
  <c r="G25" i="150"/>
  <c r="G26" i="150"/>
  <c r="G27" i="150"/>
  <c r="G28" i="150"/>
  <c r="G29" i="150"/>
  <c r="G30" i="150"/>
  <c r="G31" i="150"/>
  <c r="G32" i="150"/>
  <c r="G33" i="150"/>
  <c r="G34" i="150"/>
  <c r="G35" i="150"/>
  <c r="G36" i="150"/>
  <c r="G37" i="150"/>
  <c r="G38" i="150"/>
  <c r="G39" i="150"/>
  <c r="G40" i="150"/>
  <c r="G41" i="150"/>
  <c r="G42" i="150"/>
  <c r="G43" i="150"/>
  <c r="G44" i="150"/>
  <c r="G45" i="150"/>
  <c r="G46" i="150"/>
  <c r="G47" i="150"/>
  <c r="G48" i="150"/>
  <c r="G49" i="150"/>
  <c r="G50" i="150"/>
  <c r="G51" i="150"/>
  <c r="G52" i="150"/>
  <c r="G53" i="150"/>
  <c r="G54" i="150"/>
  <c r="G55" i="150"/>
  <c r="G56" i="150"/>
  <c r="G57" i="150"/>
  <c r="G58" i="150"/>
  <c r="G59" i="150"/>
  <c r="G60" i="150"/>
  <c r="G61" i="150"/>
  <c r="G62" i="150"/>
  <c r="G63" i="150"/>
  <c r="G64" i="150"/>
  <c r="G65" i="150"/>
  <c r="G66" i="150"/>
  <c r="G67" i="150"/>
  <c r="G68" i="150"/>
  <c r="G69" i="150"/>
  <c r="G70" i="150"/>
  <c r="G71" i="150"/>
  <c r="G72" i="150"/>
  <c r="G73" i="150"/>
  <c r="G74" i="150"/>
  <c r="G75" i="150"/>
  <c r="G76" i="150"/>
  <c r="G77" i="150"/>
  <c r="G78" i="150"/>
  <c r="G79" i="150"/>
  <c r="G80" i="150"/>
  <c r="G81" i="150"/>
  <c r="G82" i="150"/>
  <c r="G83" i="150"/>
  <c r="G84" i="150"/>
  <c r="G85" i="150"/>
  <c r="G86" i="150"/>
  <c r="G87" i="150"/>
  <c r="G88" i="150"/>
  <c r="G89" i="150"/>
  <c r="G90" i="150"/>
  <c r="G91" i="150"/>
  <c r="G92" i="150"/>
  <c r="G93" i="150"/>
  <c r="G94" i="150"/>
  <c r="G95" i="150"/>
  <c r="G96" i="150"/>
  <c r="G97" i="150"/>
  <c r="G98" i="150"/>
  <c r="G99" i="150"/>
  <c r="G100" i="150"/>
  <c r="G101" i="150"/>
  <c r="G102" i="150"/>
  <c r="G103" i="150"/>
  <c r="G104" i="150"/>
  <c r="G105" i="150"/>
  <c r="G106" i="150"/>
  <c r="G107" i="150"/>
  <c r="G108" i="150"/>
  <c r="G109" i="150"/>
  <c r="G110" i="150"/>
  <c r="G111" i="150"/>
  <c r="G112" i="150"/>
  <c r="G113" i="150"/>
  <c r="G114" i="150"/>
  <c r="G115" i="150"/>
  <c r="G116" i="150"/>
  <c r="G117" i="150"/>
  <c r="G118" i="150"/>
  <c r="G119" i="150"/>
  <c r="G120" i="150"/>
  <c r="G121" i="150"/>
  <c r="G122" i="150"/>
  <c r="G123" i="150"/>
  <c r="G124" i="150"/>
  <c r="G125" i="150"/>
  <c r="G126" i="150"/>
  <c r="G127" i="150"/>
  <c r="G128" i="150"/>
  <c r="G129" i="150"/>
  <c r="G130" i="150"/>
  <c r="G131" i="150"/>
  <c r="G132" i="150"/>
  <c r="G133" i="150"/>
  <c r="G134" i="150"/>
  <c r="G135" i="150"/>
  <c r="G136" i="150"/>
  <c r="G137" i="150"/>
  <c r="G138" i="150"/>
  <c r="G139" i="150"/>
  <c r="G140" i="150"/>
  <c r="G141" i="150"/>
  <c r="G142" i="150"/>
  <c r="G143" i="150"/>
  <c r="G144" i="150"/>
  <c r="G145" i="150"/>
  <c r="G146" i="150"/>
  <c r="G147" i="150"/>
  <c r="G148" i="150"/>
  <c r="G149" i="150"/>
  <c r="G150" i="150"/>
  <c r="G151" i="150"/>
  <c r="G152" i="150"/>
  <c r="G153" i="150"/>
  <c r="G154" i="150"/>
  <c r="G155" i="150"/>
  <c r="G156" i="150"/>
  <c r="G157" i="150"/>
  <c r="G158" i="150"/>
  <c r="G159" i="150"/>
  <c r="G160" i="150"/>
  <c r="G161" i="150"/>
  <c r="G162" i="150"/>
  <c r="G163" i="150"/>
  <c r="G164" i="150"/>
  <c r="G165" i="150"/>
  <c r="G166" i="150"/>
  <c r="G167" i="150"/>
  <c r="G168" i="150"/>
  <c r="G169" i="150"/>
  <c r="G170" i="150"/>
  <c r="G171" i="150"/>
  <c r="G172" i="150"/>
  <c r="G173" i="150"/>
  <c r="G174" i="150"/>
  <c r="G175" i="150"/>
  <c r="G176" i="150"/>
  <c r="G177" i="150"/>
  <c r="G178" i="150"/>
  <c r="G179" i="150"/>
  <c r="G180" i="150"/>
  <c r="G181" i="150"/>
  <c r="G182" i="150"/>
  <c r="G183" i="150"/>
  <c r="G184" i="150"/>
  <c r="G185" i="150"/>
  <c r="G186" i="150"/>
  <c r="G187" i="150"/>
  <c r="G188" i="150"/>
  <c r="G189" i="150"/>
  <c r="G190" i="150"/>
  <c r="G191" i="150"/>
  <c r="G192" i="150"/>
  <c r="G193" i="150"/>
  <c r="G194" i="150"/>
  <c r="G195" i="150"/>
  <c r="G196" i="150"/>
  <c r="G197" i="150"/>
  <c r="G198" i="150"/>
  <c r="G199" i="150"/>
  <c r="G200" i="150"/>
  <c r="G201" i="150"/>
  <c r="G202" i="150"/>
  <c r="G203" i="150"/>
  <c r="G204" i="150"/>
  <c r="G205" i="150"/>
  <c r="G206" i="150"/>
  <c r="G207" i="150"/>
  <c r="G208" i="150"/>
  <c r="G209" i="150"/>
  <c r="G210" i="150"/>
  <c r="G211" i="150"/>
  <c r="G212" i="150"/>
  <c r="G213" i="150"/>
  <c r="G214" i="150"/>
  <c r="G215" i="150"/>
  <c r="G216" i="150"/>
  <c r="G217" i="150"/>
  <c r="G218" i="150"/>
  <c r="G219" i="150"/>
  <c r="G220" i="150"/>
  <c r="G221" i="150"/>
  <c r="G222" i="150"/>
  <c r="G223" i="150"/>
  <c r="G224" i="150"/>
  <c r="G225" i="150"/>
  <c r="G226" i="150"/>
  <c r="G227" i="150"/>
  <c r="G228" i="150"/>
  <c r="G229" i="150"/>
  <c r="G230" i="150"/>
  <c r="G231" i="150"/>
  <c r="G232" i="150"/>
  <c r="G233" i="150"/>
  <c r="G234" i="150"/>
  <c r="G235" i="150"/>
  <c r="G236" i="150"/>
  <c r="G237" i="150"/>
  <c r="G238" i="150"/>
  <c r="G239" i="150"/>
  <c r="G240" i="150"/>
  <c r="G241" i="150"/>
  <c r="G242" i="150"/>
  <c r="G243" i="150"/>
  <c r="G244" i="150"/>
  <c r="G245" i="150"/>
  <c r="G246" i="150"/>
  <c r="G247" i="150"/>
  <c r="G248" i="150"/>
  <c r="G249" i="150"/>
  <c r="G250" i="150"/>
  <c r="G251" i="150"/>
  <c r="G252" i="150"/>
  <c r="G253" i="150"/>
  <c r="G254" i="150"/>
  <c r="G255" i="150"/>
  <c r="G256" i="150"/>
  <c r="G257" i="150"/>
  <c r="G258" i="150"/>
  <c r="G259" i="150"/>
  <c r="G260" i="150"/>
  <c r="G261" i="150"/>
  <c r="G262" i="150"/>
  <c r="G263" i="150"/>
  <c r="G264" i="150"/>
  <c r="G265" i="150"/>
  <c r="G266" i="150"/>
  <c r="G267" i="150"/>
  <c r="G268" i="150"/>
  <c r="G269" i="150"/>
  <c r="G270" i="150"/>
  <c r="G271" i="150"/>
  <c r="G272" i="150"/>
  <c r="G273" i="150"/>
  <c r="G274" i="150"/>
  <c r="G275" i="150"/>
  <c r="G276" i="150"/>
  <c r="G277" i="150"/>
  <c r="G278" i="150"/>
  <c r="G279" i="150"/>
  <c r="G280" i="150"/>
  <c r="G281" i="150"/>
  <c r="G282" i="150"/>
  <c r="G283" i="150"/>
  <c r="G284" i="150"/>
  <c r="G285" i="150"/>
  <c r="G286" i="150"/>
  <c r="G287" i="150"/>
  <c r="G288" i="150"/>
  <c r="G289" i="150"/>
  <c r="G290" i="150"/>
  <c r="G291" i="150"/>
  <c r="G292" i="150"/>
  <c r="G293" i="150"/>
  <c r="G294" i="150"/>
  <c r="G295" i="150"/>
  <c r="G296" i="150"/>
  <c r="G297" i="150"/>
  <c r="G298" i="150"/>
  <c r="G299" i="150"/>
  <c r="G300" i="150"/>
  <c r="G301" i="150"/>
  <c r="G302" i="150"/>
  <c r="G303" i="150"/>
  <c r="G304" i="150"/>
  <c r="G305" i="150"/>
  <c r="G306" i="150"/>
  <c r="G307" i="150"/>
  <c r="G308" i="150"/>
  <c r="G309" i="150"/>
  <c r="G310" i="150"/>
  <c r="G311" i="150"/>
  <c r="G312" i="150"/>
  <c r="G313" i="150"/>
  <c r="G314" i="150"/>
  <c r="G315" i="150"/>
  <c r="G316" i="150"/>
  <c r="G317" i="150"/>
  <c r="G318" i="150"/>
  <c r="G319" i="150"/>
  <c r="G320" i="150"/>
  <c r="G321" i="150"/>
  <c r="G322" i="150"/>
  <c r="G323" i="150"/>
  <c r="G324" i="150"/>
  <c r="G325" i="150"/>
  <c r="G326" i="150"/>
  <c r="G327" i="150"/>
  <c r="G328" i="150"/>
  <c r="G329" i="150"/>
  <c r="G330" i="150"/>
  <c r="G331" i="150"/>
  <c r="G332" i="150"/>
  <c r="G333" i="150"/>
  <c r="G334" i="150"/>
  <c r="G335" i="150"/>
  <c r="G336" i="150"/>
  <c r="G337" i="150"/>
  <c r="G338" i="150"/>
  <c r="G339" i="150"/>
  <c r="G340" i="150"/>
  <c r="G341" i="150"/>
  <c r="G342" i="150"/>
  <c r="G343" i="150"/>
  <c r="G344" i="150"/>
  <c r="G345" i="150"/>
  <c r="G346" i="150"/>
  <c r="G2" i="150"/>
  <c r="G3" i="148"/>
  <c r="G4" i="148"/>
  <c r="G5" i="148"/>
  <c r="G6" i="148"/>
  <c r="G7" i="148"/>
  <c r="G8" i="148"/>
  <c r="G9" i="148"/>
  <c r="G10" i="148"/>
  <c r="G11" i="148"/>
  <c r="G12" i="148"/>
  <c r="G13" i="148"/>
  <c r="G14" i="148"/>
  <c r="G15" i="148"/>
  <c r="G16" i="148"/>
  <c r="G17" i="148"/>
  <c r="G18" i="148"/>
  <c r="G19" i="148"/>
  <c r="G20" i="148"/>
  <c r="G21" i="148"/>
  <c r="G22" i="148"/>
  <c r="G23" i="148"/>
  <c r="G24" i="148"/>
  <c r="G25" i="148"/>
  <c r="G26" i="148"/>
  <c r="G27" i="148"/>
  <c r="G28" i="148"/>
  <c r="G29" i="148"/>
  <c r="G30" i="148"/>
  <c r="G31" i="148"/>
  <c r="G32" i="148"/>
  <c r="G33" i="148"/>
  <c r="G34" i="148"/>
  <c r="G35" i="148"/>
  <c r="G36" i="148"/>
  <c r="G37" i="148"/>
  <c r="G38" i="148"/>
  <c r="G39" i="148"/>
  <c r="G40" i="148"/>
  <c r="G41" i="148"/>
  <c r="G42" i="148"/>
  <c r="G43" i="148"/>
  <c r="G44" i="148"/>
  <c r="G45" i="148"/>
  <c r="G46" i="148"/>
  <c r="G47" i="148"/>
  <c r="G48" i="148"/>
  <c r="G49" i="148"/>
  <c r="G50" i="148"/>
  <c r="G51" i="148"/>
  <c r="G52" i="148"/>
  <c r="G53" i="148"/>
  <c r="G54" i="148"/>
  <c r="G55" i="148"/>
  <c r="G56" i="148"/>
  <c r="G57" i="148"/>
  <c r="G58" i="148"/>
  <c r="G59" i="148"/>
  <c r="G60" i="148"/>
  <c r="G61" i="148"/>
  <c r="G62" i="148"/>
  <c r="G63" i="148"/>
  <c r="G64" i="148"/>
  <c r="G65" i="148"/>
  <c r="G66" i="148"/>
  <c r="G67" i="148"/>
  <c r="G68" i="148"/>
  <c r="G69" i="148"/>
  <c r="G70" i="148"/>
  <c r="G71" i="148"/>
  <c r="G72" i="148"/>
  <c r="G73" i="148"/>
  <c r="G74" i="148"/>
  <c r="G75" i="148"/>
  <c r="G76" i="148"/>
  <c r="G77" i="148"/>
  <c r="G78" i="148"/>
  <c r="G79" i="148"/>
  <c r="G80" i="148"/>
  <c r="G81" i="148"/>
  <c r="G82" i="148"/>
  <c r="G83" i="148"/>
  <c r="G84" i="148"/>
  <c r="G85" i="148"/>
  <c r="G86" i="148"/>
  <c r="G87" i="148"/>
  <c r="G88" i="148"/>
  <c r="G89" i="148"/>
  <c r="G90" i="148"/>
  <c r="G91" i="148"/>
  <c r="G92" i="148"/>
  <c r="G93" i="148"/>
  <c r="G94" i="148"/>
  <c r="G95" i="148"/>
  <c r="G96" i="148"/>
  <c r="G97" i="148"/>
  <c r="G98" i="148"/>
  <c r="G99" i="148"/>
  <c r="G100" i="148"/>
  <c r="G101" i="148"/>
  <c r="G102" i="148"/>
  <c r="G103" i="148"/>
  <c r="G104" i="148"/>
  <c r="G105" i="148"/>
  <c r="G106" i="148"/>
  <c r="G107" i="148"/>
  <c r="G108" i="148"/>
  <c r="G109" i="148"/>
  <c r="G110" i="148"/>
  <c r="G111" i="148"/>
  <c r="G112" i="148"/>
  <c r="G113" i="148"/>
  <c r="G114" i="148"/>
  <c r="G115" i="148"/>
  <c r="G116" i="148"/>
  <c r="G117" i="148"/>
  <c r="G118" i="148"/>
  <c r="G119" i="148"/>
  <c r="G120" i="148"/>
  <c r="G121" i="148"/>
  <c r="G122" i="148"/>
  <c r="G123" i="148"/>
  <c r="G124" i="148"/>
  <c r="G125" i="148"/>
  <c r="G126" i="148"/>
  <c r="G127" i="148"/>
  <c r="G128" i="148"/>
  <c r="G129" i="148"/>
  <c r="G130" i="148"/>
  <c r="G131" i="148"/>
  <c r="G132" i="148"/>
  <c r="G133" i="148"/>
  <c r="G134" i="148"/>
  <c r="G135" i="148"/>
  <c r="G136" i="148"/>
  <c r="G137" i="148"/>
  <c r="G138" i="148"/>
  <c r="G139" i="148"/>
  <c r="G140" i="148"/>
  <c r="G141" i="148"/>
  <c r="G142" i="148"/>
  <c r="G143" i="148"/>
  <c r="G144" i="148"/>
  <c r="G145" i="148"/>
  <c r="G146" i="148"/>
  <c r="G147" i="148"/>
  <c r="G148" i="148"/>
  <c r="G149" i="148"/>
  <c r="G150" i="148"/>
  <c r="G151" i="148"/>
  <c r="G152" i="148"/>
  <c r="G153" i="148"/>
  <c r="G154" i="148"/>
  <c r="G155" i="148"/>
  <c r="G156" i="148"/>
  <c r="G157" i="148"/>
  <c r="G158" i="148"/>
  <c r="G159" i="148"/>
  <c r="G160" i="148"/>
  <c r="G161" i="148"/>
  <c r="G162" i="148"/>
  <c r="G163" i="148"/>
  <c r="G164" i="148"/>
  <c r="G165" i="148"/>
  <c r="G166" i="148"/>
  <c r="G167" i="148"/>
  <c r="G168" i="148"/>
  <c r="G169" i="148"/>
  <c r="G170" i="148"/>
  <c r="G171" i="148"/>
  <c r="G172" i="148"/>
  <c r="G173" i="148"/>
  <c r="G174" i="148"/>
  <c r="G175" i="148"/>
  <c r="G176" i="148"/>
  <c r="G177" i="148"/>
  <c r="G178" i="148"/>
  <c r="G179" i="148"/>
  <c r="G180" i="148"/>
  <c r="G181" i="148"/>
  <c r="G182" i="148"/>
  <c r="G183" i="148"/>
  <c r="G184" i="148"/>
  <c r="G185" i="148"/>
  <c r="G186" i="148"/>
  <c r="G187" i="148"/>
  <c r="G188" i="148"/>
  <c r="G189" i="148"/>
  <c r="G190" i="148"/>
  <c r="G191" i="148"/>
  <c r="G192" i="148"/>
  <c r="G193" i="148"/>
  <c r="G194" i="148"/>
  <c r="G195" i="148"/>
  <c r="G196" i="148"/>
  <c r="G197" i="148"/>
  <c r="G198" i="148"/>
  <c r="G199" i="148"/>
  <c r="G200" i="148"/>
  <c r="G201" i="148"/>
  <c r="G202" i="148"/>
  <c r="G203" i="148"/>
  <c r="G204" i="148"/>
  <c r="G205" i="148"/>
  <c r="G206" i="148"/>
  <c r="G207" i="148"/>
  <c r="G208" i="148"/>
  <c r="G209" i="148"/>
  <c r="G210" i="148"/>
  <c r="G211" i="148"/>
  <c r="G212" i="148"/>
  <c r="G213" i="148"/>
  <c r="G214" i="148"/>
  <c r="G215" i="148"/>
  <c r="G216" i="148"/>
  <c r="G217" i="148"/>
  <c r="G218" i="148"/>
  <c r="G219" i="148"/>
  <c r="G220" i="148"/>
  <c r="G221" i="148"/>
  <c r="G222" i="148"/>
  <c r="G223" i="148"/>
  <c r="G224" i="148"/>
  <c r="G225" i="148"/>
  <c r="G226" i="148"/>
  <c r="G227" i="148"/>
  <c r="G228" i="148"/>
  <c r="G229" i="148"/>
  <c r="G230" i="148"/>
  <c r="G231" i="148"/>
  <c r="G232" i="148"/>
  <c r="G233" i="148"/>
  <c r="G234" i="148"/>
  <c r="G235" i="148"/>
  <c r="G236" i="148"/>
  <c r="G237" i="148"/>
  <c r="G238" i="148"/>
  <c r="G239" i="148"/>
  <c r="G240" i="148"/>
  <c r="G241" i="148"/>
  <c r="G242" i="148"/>
  <c r="G243" i="148"/>
  <c r="G244" i="148"/>
  <c r="G245" i="148"/>
  <c r="G246" i="148"/>
  <c r="G247" i="148"/>
  <c r="G248" i="148"/>
  <c r="G249" i="148"/>
  <c r="G250" i="148"/>
  <c r="G251" i="148"/>
  <c r="G252" i="148"/>
  <c r="G253" i="148"/>
  <c r="G254" i="148"/>
  <c r="G255" i="148"/>
  <c r="G256" i="148"/>
  <c r="G257" i="148"/>
  <c r="G258" i="148"/>
  <c r="G259" i="148"/>
  <c r="G260" i="148"/>
  <c r="G261" i="148"/>
  <c r="G262" i="148"/>
  <c r="G263" i="148"/>
  <c r="G264" i="148"/>
  <c r="G265" i="148"/>
  <c r="G266" i="148"/>
  <c r="G267" i="148"/>
  <c r="G268" i="148"/>
  <c r="G269" i="148"/>
  <c r="G270" i="148"/>
  <c r="G271" i="148"/>
  <c r="G272" i="148"/>
  <c r="G273" i="148"/>
  <c r="G274" i="148"/>
  <c r="G275" i="148"/>
  <c r="G276" i="148"/>
  <c r="G277" i="148"/>
  <c r="G278" i="148"/>
  <c r="G279" i="148"/>
  <c r="G280" i="148"/>
  <c r="G281" i="148"/>
  <c r="G282" i="148"/>
  <c r="G283" i="148"/>
  <c r="G284" i="148"/>
  <c r="G285" i="148"/>
  <c r="G286" i="148"/>
  <c r="G287" i="148"/>
  <c r="G288" i="148"/>
  <c r="G289" i="148"/>
  <c r="G290" i="148"/>
  <c r="G291" i="148"/>
  <c r="G292" i="148"/>
  <c r="G293" i="148"/>
  <c r="G294" i="148"/>
  <c r="G295" i="148"/>
  <c r="G296" i="148"/>
  <c r="G297" i="148"/>
  <c r="G298" i="148"/>
  <c r="G299" i="148"/>
  <c r="G300" i="148"/>
  <c r="G301" i="148"/>
  <c r="G302" i="148"/>
  <c r="G303" i="148"/>
  <c r="G304" i="148"/>
  <c r="G305" i="148"/>
  <c r="G306" i="148"/>
  <c r="G307" i="148"/>
  <c r="G308" i="148"/>
  <c r="G309" i="148"/>
  <c r="G310" i="148"/>
  <c r="G311" i="148"/>
  <c r="G312" i="148"/>
  <c r="G313" i="148"/>
  <c r="G314" i="148"/>
  <c r="G315" i="148"/>
  <c r="G316" i="148"/>
  <c r="G317" i="148"/>
  <c r="G318" i="148"/>
  <c r="G319" i="148"/>
  <c r="G320" i="148"/>
  <c r="G321" i="148"/>
  <c r="G322" i="148"/>
  <c r="G323" i="148"/>
  <c r="G324" i="148"/>
  <c r="G325" i="148"/>
  <c r="G326" i="148"/>
  <c r="G327" i="148"/>
  <c r="G328" i="148"/>
  <c r="G329" i="148"/>
  <c r="G330" i="148"/>
  <c r="G331" i="148"/>
  <c r="G332" i="148"/>
  <c r="G333" i="148"/>
  <c r="G334" i="148"/>
  <c r="G335" i="148"/>
  <c r="G336" i="148"/>
  <c r="G337" i="148"/>
  <c r="G338" i="148"/>
  <c r="G339" i="148"/>
  <c r="G340" i="148"/>
  <c r="G341" i="148"/>
  <c r="G342" i="148"/>
  <c r="G343" i="148"/>
  <c r="G344" i="148"/>
  <c r="G345" i="148"/>
  <c r="G346" i="148"/>
  <c r="G2" i="148"/>
  <c r="I342" i="150"/>
  <c r="D342" i="150"/>
  <c r="J342" i="150"/>
  <c r="E342" i="150"/>
  <c r="F342" i="150"/>
  <c r="K342" i="150"/>
  <c r="C342" i="150"/>
  <c r="H342" i="150"/>
  <c r="L342" i="150"/>
  <c r="M342" i="150"/>
  <c r="N342" i="150"/>
  <c r="I343" i="150"/>
  <c r="D343" i="150"/>
  <c r="J343" i="150"/>
  <c r="E343" i="150"/>
  <c r="F343" i="150"/>
  <c r="K343" i="150"/>
  <c r="C343" i="150"/>
  <c r="I344" i="150"/>
  <c r="D344" i="150"/>
  <c r="J344" i="150"/>
  <c r="E344" i="150"/>
  <c r="F344" i="150"/>
  <c r="K344" i="150"/>
  <c r="C344" i="150"/>
  <c r="I345" i="150"/>
  <c r="D345" i="150"/>
  <c r="J345" i="150"/>
  <c r="E345" i="150"/>
  <c r="F345" i="150"/>
  <c r="K345" i="150"/>
  <c r="C345" i="150"/>
  <c r="I346" i="150"/>
  <c r="D346" i="150"/>
  <c r="J346" i="150"/>
  <c r="E346" i="150"/>
  <c r="F346" i="150"/>
  <c r="K346" i="150"/>
  <c r="C346" i="150"/>
  <c r="C2" i="150"/>
  <c r="C3" i="150"/>
  <c r="C4" i="150"/>
  <c r="C5" i="150"/>
  <c r="C6" i="150"/>
  <c r="C7" i="150"/>
  <c r="C8" i="150"/>
  <c r="C9" i="150"/>
  <c r="C10" i="150"/>
  <c r="C11" i="150"/>
  <c r="C12" i="150"/>
  <c r="C13" i="150"/>
  <c r="C14" i="150"/>
  <c r="C15" i="150"/>
  <c r="C16" i="150"/>
  <c r="C17" i="150"/>
  <c r="C18" i="150"/>
  <c r="C19" i="150"/>
  <c r="C20" i="150"/>
  <c r="C21" i="150"/>
  <c r="C22" i="150"/>
  <c r="C23" i="150"/>
  <c r="C24" i="150"/>
  <c r="C25" i="150"/>
  <c r="C26" i="150"/>
  <c r="C27" i="150"/>
  <c r="C28" i="150"/>
  <c r="C29" i="150"/>
  <c r="C30" i="150"/>
  <c r="C31" i="150"/>
  <c r="C32" i="150"/>
  <c r="C33" i="150"/>
  <c r="C34" i="150"/>
  <c r="C35" i="150"/>
  <c r="C36" i="150"/>
  <c r="C37" i="150"/>
  <c r="C38" i="150"/>
  <c r="C39" i="150"/>
  <c r="C40" i="150"/>
  <c r="C41" i="150"/>
  <c r="C42" i="150"/>
  <c r="C43" i="150"/>
  <c r="C44" i="150"/>
  <c r="C45" i="150"/>
  <c r="C46" i="150"/>
  <c r="C47" i="150"/>
  <c r="C48" i="150"/>
  <c r="C49" i="150"/>
  <c r="C50" i="150"/>
  <c r="C51" i="150"/>
  <c r="C52" i="150"/>
  <c r="C53" i="150"/>
  <c r="C54" i="150"/>
  <c r="C55" i="150"/>
  <c r="C56" i="150"/>
  <c r="C57" i="150"/>
  <c r="C58" i="150"/>
  <c r="C59" i="150"/>
  <c r="C60" i="150"/>
  <c r="C61" i="150"/>
  <c r="C62" i="150"/>
  <c r="C63" i="150"/>
  <c r="C64" i="150"/>
  <c r="C65" i="150"/>
  <c r="C66" i="150"/>
  <c r="C67" i="150"/>
  <c r="C68" i="150"/>
  <c r="C69" i="150"/>
  <c r="C70" i="150"/>
  <c r="C71" i="150"/>
  <c r="C72" i="150"/>
  <c r="C73" i="150"/>
  <c r="C74" i="150"/>
  <c r="C75" i="150"/>
  <c r="C76" i="150"/>
  <c r="C77" i="150"/>
  <c r="C78" i="150"/>
  <c r="C79" i="150"/>
  <c r="C80" i="150"/>
  <c r="C81" i="150"/>
  <c r="C82" i="150"/>
  <c r="C83" i="150"/>
  <c r="C84" i="150"/>
  <c r="C85" i="150"/>
  <c r="C86" i="150"/>
  <c r="C87" i="150"/>
  <c r="C88" i="150"/>
  <c r="C89" i="150"/>
  <c r="C90" i="150"/>
  <c r="C91" i="150"/>
  <c r="C92" i="150"/>
  <c r="C93" i="150"/>
  <c r="C94" i="150"/>
  <c r="C95" i="150"/>
  <c r="C96" i="150"/>
  <c r="C97" i="150"/>
  <c r="C98" i="150"/>
  <c r="C99" i="150"/>
  <c r="C100" i="150"/>
  <c r="C101" i="150"/>
  <c r="C102" i="150"/>
  <c r="C103" i="150"/>
  <c r="C104" i="150"/>
  <c r="C105" i="150"/>
  <c r="C106" i="150"/>
  <c r="C107" i="150"/>
  <c r="C108" i="150"/>
  <c r="C109" i="150"/>
  <c r="C110" i="150"/>
  <c r="C111" i="150"/>
  <c r="C112" i="150"/>
  <c r="C113" i="150"/>
  <c r="C114" i="150"/>
  <c r="C115" i="150"/>
  <c r="C116" i="150"/>
  <c r="C117" i="150"/>
  <c r="C118" i="150"/>
  <c r="C119" i="150"/>
  <c r="C120" i="150"/>
  <c r="C121" i="150"/>
  <c r="C122" i="150"/>
  <c r="C123" i="150"/>
  <c r="C124" i="150"/>
  <c r="C125" i="150"/>
  <c r="C126" i="150"/>
  <c r="C127" i="150"/>
  <c r="C128" i="150"/>
  <c r="C129" i="150"/>
  <c r="C130" i="150"/>
  <c r="C131" i="150"/>
  <c r="C132" i="150"/>
  <c r="C133" i="150"/>
  <c r="C134" i="150"/>
  <c r="C135" i="150"/>
  <c r="C136" i="150"/>
  <c r="C137" i="150"/>
  <c r="C138" i="150"/>
  <c r="C139" i="150"/>
  <c r="C140" i="150"/>
  <c r="C141" i="150"/>
  <c r="C142" i="150"/>
  <c r="C143" i="150"/>
  <c r="C144" i="150"/>
  <c r="C145" i="150"/>
  <c r="C146" i="150"/>
  <c r="C147" i="150"/>
  <c r="C148" i="150"/>
  <c r="C149" i="150"/>
  <c r="C150" i="150"/>
  <c r="C151" i="150"/>
  <c r="C152" i="150"/>
  <c r="C153" i="150"/>
  <c r="C154" i="150"/>
  <c r="C155" i="150"/>
  <c r="C156" i="150"/>
  <c r="C157" i="150"/>
  <c r="C158" i="150"/>
  <c r="C159" i="150"/>
  <c r="C160" i="150"/>
  <c r="C161" i="150"/>
  <c r="C162" i="150"/>
  <c r="C163" i="150"/>
  <c r="C164" i="150"/>
  <c r="C165" i="150"/>
  <c r="C166" i="150"/>
  <c r="C167" i="150"/>
  <c r="C168" i="150"/>
  <c r="C169" i="150"/>
  <c r="C170" i="150"/>
  <c r="C171" i="150"/>
  <c r="C172" i="150"/>
  <c r="C173" i="150"/>
  <c r="C174" i="150"/>
  <c r="C175" i="150"/>
  <c r="C176" i="150"/>
  <c r="C177" i="150"/>
  <c r="C178" i="150"/>
  <c r="C179" i="150"/>
  <c r="C180" i="150"/>
  <c r="C181" i="150"/>
  <c r="C182" i="150"/>
  <c r="C183" i="150"/>
  <c r="C184" i="150"/>
  <c r="C185" i="150"/>
  <c r="C186" i="150"/>
  <c r="C187" i="150"/>
  <c r="C188" i="150"/>
  <c r="C189" i="150"/>
  <c r="C190" i="150"/>
  <c r="C191" i="150"/>
  <c r="C192" i="150"/>
  <c r="C193" i="150"/>
  <c r="C194" i="150"/>
  <c r="C195" i="150"/>
  <c r="C196" i="150"/>
  <c r="C197" i="150"/>
  <c r="C198" i="150"/>
  <c r="C199" i="150"/>
  <c r="C200" i="150"/>
  <c r="C201" i="150"/>
  <c r="C202" i="150"/>
  <c r="C203" i="150"/>
  <c r="C204" i="150"/>
  <c r="C205" i="150"/>
  <c r="C206" i="150"/>
  <c r="C207" i="150"/>
  <c r="C208" i="150"/>
  <c r="C209" i="150"/>
  <c r="C210" i="150"/>
  <c r="C211" i="150"/>
  <c r="C212" i="150"/>
  <c r="C213" i="150"/>
  <c r="C214" i="150"/>
  <c r="C215" i="150"/>
  <c r="C216" i="150"/>
  <c r="C217" i="150"/>
  <c r="C218" i="150"/>
  <c r="C219" i="150"/>
  <c r="C220" i="150"/>
  <c r="C221" i="150"/>
  <c r="C222" i="150"/>
  <c r="C223" i="150"/>
  <c r="C224" i="150"/>
  <c r="C225" i="150"/>
  <c r="C226" i="150"/>
  <c r="C227" i="150"/>
  <c r="C228" i="150"/>
  <c r="C229" i="150"/>
  <c r="C230" i="150"/>
  <c r="C231" i="150"/>
  <c r="C232" i="150"/>
  <c r="C233" i="150"/>
  <c r="C234" i="150"/>
  <c r="C235" i="150"/>
  <c r="C236" i="150"/>
  <c r="C237" i="150"/>
  <c r="C238" i="150"/>
  <c r="C239" i="150"/>
  <c r="C240" i="150"/>
  <c r="C241" i="150"/>
  <c r="C242" i="150"/>
  <c r="C243" i="150"/>
  <c r="C244" i="150"/>
  <c r="C245" i="150"/>
  <c r="C246" i="150"/>
  <c r="C247" i="150"/>
  <c r="C248" i="150"/>
  <c r="C249" i="150"/>
  <c r="C250" i="150"/>
  <c r="C251" i="150"/>
  <c r="C252" i="150"/>
  <c r="C253" i="150"/>
  <c r="C254" i="150"/>
  <c r="C255" i="150"/>
  <c r="C256" i="150"/>
  <c r="C257" i="150"/>
  <c r="C258" i="150"/>
  <c r="C259" i="150"/>
  <c r="C260" i="150"/>
  <c r="C261" i="150"/>
  <c r="C262" i="150"/>
  <c r="C263" i="150"/>
  <c r="C264" i="150"/>
  <c r="C265" i="150"/>
  <c r="C266" i="150"/>
  <c r="C267" i="150"/>
  <c r="C268" i="150"/>
  <c r="C269" i="150"/>
  <c r="C270" i="150"/>
  <c r="C271" i="150"/>
  <c r="C272" i="150"/>
  <c r="C273" i="150"/>
  <c r="C274" i="150"/>
  <c r="C275" i="150"/>
  <c r="C276" i="150"/>
  <c r="C277" i="150"/>
  <c r="C278" i="150"/>
  <c r="C279" i="150"/>
  <c r="C280" i="150"/>
  <c r="C281" i="150"/>
  <c r="C282" i="150"/>
  <c r="C283" i="150"/>
  <c r="C284" i="150"/>
  <c r="C285" i="150"/>
  <c r="C286" i="150"/>
  <c r="C287" i="150"/>
  <c r="C288" i="150"/>
  <c r="C289" i="150"/>
  <c r="C290" i="150"/>
  <c r="C291" i="150"/>
  <c r="C292" i="150"/>
  <c r="C293" i="150"/>
  <c r="C294" i="150"/>
  <c r="C295" i="150"/>
  <c r="C296" i="150"/>
  <c r="C297" i="150"/>
  <c r="C298" i="150"/>
  <c r="C299" i="150"/>
  <c r="C300" i="150"/>
  <c r="C301" i="150"/>
  <c r="C302" i="150"/>
  <c r="C303" i="150"/>
  <c r="C304" i="150"/>
  <c r="C305" i="150"/>
  <c r="C306" i="150"/>
  <c r="C307" i="150"/>
  <c r="C308" i="150"/>
  <c r="C309" i="150"/>
  <c r="C310" i="150"/>
  <c r="C311" i="150"/>
  <c r="C312" i="150"/>
  <c r="C313" i="150"/>
  <c r="C314" i="150"/>
  <c r="C315" i="150"/>
  <c r="C316" i="150"/>
  <c r="C317" i="150"/>
  <c r="C318" i="150"/>
  <c r="C319" i="150"/>
  <c r="C320" i="150"/>
  <c r="C321" i="150"/>
  <c r="C322" i="150"/>
  <c r="C323" i="150"/>
  <c r="C324" i="150"/>
  <c r="C325" i="150"/>
  <c r="C326" i="150"/>
  <c r="C327" i="150"/>
  <c r="C328" i="150"/>
  <c r="C329" i="150"/>
  <c r="C330" i="150"/>
  <c r="C331" i="150"/>
  <c r="C332" i="150"/>
  <c r="C333" i="150"/>
  <c r="C334" i="150"/>
  <c r="C335" i="150"/>
  <c r="C336" i="150"/>
  <c r="C337" i="150"/>
  <c r="C338" i="150"/>
  <c r="C339" i="150"/>
  <c r="C340" i="150"/>
  <c r="C341" i="150"/>
  <c r="F5" i="149"/>
  <c r="F7" i="149"/>
  <c r="A51" i="149"/>
  <c r="E5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29" i="149"/>
  <c r="E7" i="149"/>
  <c r="E19" i="149"/>
  <c r="E24" i="149"/>
  <c r="E17" i="149"/>
  <c r="F8" i="149"/>
  <c r="E8" i="149"/>
  <c r="E34" i="149"/>
  <c r="E39" i="149"/>
  <c r="E32" i="149"/>
  <c r="E18" i="149"/>
  <c r="E33" i="149"/>
  <c r="E25" i="149"/>
  <c r="E40" i="149"/>
  <c r="E26" i="149"/>
  <c r="E41" i="149"/>
  <c r="E35" i="149"/>
  <c r="E20" i="149"/>
  <c r="E36" i="149"/>
  <c r="E21" i="149"/>
  <c r="E27" i="149"/>
  <c r="F6" i="149"/>
  <c r="E6" i="149"/>
  <c r="E42" i="149"/>
  <c r="E28" i="149"/>
  <c r="E43" i="149"/>
  <c r="E23" i="149"/>
  <c r="E38" i="149"/>
  <c r="E22" i="149"/>
  <c r="E37" i="149"/>
  <c r="E44" i="149"/>
  <c r="R3" i="149"/>
  <c r="P342" i="150"/>
  <c r="H343" i="150"/>
  <c r="L343" i="150"/>
  <c r="M343" i="150"/>
  <c r="N343" i="150"/>
  <c r="P343" i="150"/>
  <c r="H344" i="150"/>
  <c r="L344" i="150"/>
  <c r="M344" i="150"/>
  <c r="N344" i="150"/>
  <c r="P344" i="150"/>
  <c r="H345" i="150"/>
  <c r="L345" i="150"/>
  <c r="M345" i="150"/>
  <c r="N345" i="150"/>
  <c r="P345" i="150"/>
  <c r="H346" i="150"/>
  <c r="L346" i="150"/>
  <c r="M346" i="150"/>
  <c r="N346" i="150"/>
  <c r="P346" i="150"/>
  <c r="A342" i="150"/>
  <c r="A343" i="150"/>
  <c r="A344" i="150"/>
  <c r="A345" i="150"/>
  <c r="A346" i="150"/>
  <c r="A2" i="147"/>
  <c r="C2" i="148"/>
  <c r="C3" i="148"/>
  <c r="C4" i="148"/>
  <c r="C5" i="148"/>
  <c r="C6" i="148"/>
  <c r="C7" i="148"/>
  <c r="C8" i="148"/>
  <c r="C9" i="148"/>
  <c r="C10" i="148"/>
  <c r="C11" i="148"/>
  <c r="C12" i="148"/>
  <c r="C13" i="148"/>
  <c r="C14" i="148"/>
  <c r="C15" i="148"/>
  <c r="C16" i="148"/>
  <c r="C17" i="148"/>
  <c r="C18" i="148"/>
  <c r="C19" i="148"/>
  <c r="C20" i="148"/>
  <c r="C21" i="148"/>
  <c r="C22" i="148"/>
  <c r="C23" i="148"/>
  <c r="C24" i="148"/>
  <c r="C25" i="148"/>
  <c r="C26" i="148"/>
  <c r="C27" i="148"/>
  <c r="C28" i="148"/>
  <c r="C29" i="148"/>
  <c r="C30" i="148"/>
  <c r="C31" i="148"/>
  <c r="C32" i="148"/>
  <c r="C33" i="148"/>
  <c r="C34" i="148"/>
  <c r="C35" i="148"/>
  <c r="C36" i="148"/>
  <c r="C37" i="148"/>
  <c r="C38" i="148"/>
  <c r="C39" i="148"/>
  <c r="C40" i="148"/>
  <c r="C41" i="148"/>
  <c r="C42" i="148"/>
  <c r="C43" i="148"/>
  <c r="C44" i="148"/>
  <c r="C45" i="148"/>
  <c r="C46" i="148"/>
  <c r="C47" i="148"/>
  <c r="C48" i="148"/>
  <c r="C49" i="148"/>
  <c r="C50" i="148"/>
  <c r="C51" i="148"/>
  <c r="C52" i="148"/>
  <c r="C53" i="148"/>
  <c r="C54" i="148"/>
  <c r="C55" i="148"/>
  <c r="C56" i="148"/>
  <c r="C57" i="148"/>
  <c r="C58" i="148"/>
  <c r="C59" i="148"/>
  <c r="C60" i="148"/>
  <c r="C61" i="148"/>
  <c r="C62" i="148"/>
  <c r="C63" i="148"/>
  <c r="C64" i="148"/>
  <c r="C65" i="148"/>
  <c r="C66" i="148"/>
  <c r="C67" i="148"/>
  <c r="C68" i="148"/>
  <c r="C69" i="148"/>
  <c r="C70" i="148"/>
  <c r="C71" i="148"/>
  <c r="C72" i="148"/>
  <c r="C73" i="148"/>
  <c r="C74" i="148"/>
  <c r="C75" i="148"/>
  <c r="C76" i="148"/>
  <c r="C77" i="148"/>
  <c r="C78" i="148"/>
  <c r="C79" i="148"/>
  <c r="C80" i="148"/>
  <c r="C81" i="148"/>
  <c r="C82" i="148"/>
  <c r="C83" i="148"/>
  <c r="C84" i="148"/>
  <c r="C85" i="148"/>
  <c r="C86" i="148"/>
  <c r="C87" i="148"/>
  <c r="C88" i="148"/>
  <c r="C89" i="148"/>
  <c r="C90" i="148"/>
  <c r="C91" i="148"/>
  <c r="C92" i="148"/>
  <c r="C93" i="148"/>
  <c r="C94" i="148"/>
  <c r="C95" i="148"/>
  <c r="C96" i="148"/>
  <c r="C97" i="148"/>
  <c r="C98" i="148"/>
  <c r="C99" i="148"/>
  <c r="C100" i="148"/>
  <c r="C101" i="148"/>
  <c r="C102" i="148"/>
  <c r="C103" i="148"/>
  <c r="C104" i="148"/>
  <c r="C105" i="148"/>
  <c r="C106" i="148"/>
  <c r="C107" i="148"/>
  <c r="C108" i="148"/>
  <c r="C109" i="148"/>
  <c r="C110" i="148"/>
  <c r="C111" i="148"/>
  <c r="C112" i="148"/>
  <c r="C113" i="148"/>
  <c r="C114" i="148"/>
  <c r="C115" i="148"/>
  <c r="C116" i="148"/>
  <c r="C117" i="148"/>
  <c r="C118" i="148"/>
  <c r="C119" i="148"/>
  <c r="C120" i="148"/>
  <c r="C121" i="148"/>
  <c r="C122" i="148"/>
  <c r="C123" i="148"/>
  <c r="C124" i="148"/>
  <c r="C125" i="148"/>
  <c r="C126" i="148"/>
  <c r="C127" i="148"/>
  <c r="C128" i="148"/>
  <c r="C129" i="148"/>
  <c r="C130" i="148"/>
  <c r="C131" i="148"/>
  <c r="C132" i="148"/>
  <c r="C133" i="148"/>
  <c r="C134" i="148"/>
  <c r="C135" i="148"/>
  <c r="C136" i="148"/>
  <c r="C137" i="148"/>
  <c r="C138" i="148"/>
  <c r="C139" i="148"/>
  <c r="C140" i="148"/>
  <c r="C141" i="148"/>
  <c r="C142" i="148"/>
  <c r="C143" i="148"/>
  <c r="C144" i="148"/>
  <c r="C145" i="148"/>
  <c r="C146" i="148"/>
  <c r="C147" i="148"/>
  <c r="C148" i="148"/>
  <c r="C149" i="148"/>
  <c r="C150" i="148"/>
  <c r="C151" i="148"/>
  <c r="C152" i="148"/>
  <c r="C153" i="148"/>
  <c r="C154" i="148"/>
  <c r="C155" i="148"/>
  <c r="C156" i="148"/>
  <c r="C157" i="148"/>
  <c r="C158" i="148"/>
  <c r="C159" i="148"/>
  <c r="C160" i="148"/>
  <c r="C161" i="148"/>
  <c r="C162" i="148"/>
  <c r="C163" i="148"/>
  <c r="C164" i="148"/>
  <c r="C165" i="148"/>
  <c r="C166" i="148"/>
  <c r="C167" i="148"/>
  <c r="C168" i="148"/>
  <c r="C169" i="148"/>
  <c r="C170" i="148"/>
  <c r="C171" i="148"/>
  <c r="C172" i="148"/>
  <c r="C173" i="148"/>
  <c r="C174" i="148"/>
  <c r="C175" i="148"/>
  <c r="C176" i="148"/>
  <c r="C177" i="148"/>
  <c r="C178" i="148"/>
  <c r="C179" i="148"/>
  <c r="C180" i="148"/>
  <c r="C181" i="148"/>
  <c r="C182" i="148"/>
  <c r="C183" i="148"/>
  <c r="C184" i="148"/>
  <c r="C185" i="148"/>
  <c r="C186" i="148"/>
  <c r="C187" i="148"/>
  <c r="C188" i="148"/>
  <c r="C189" i="148"/>
  <c r="C190" i="148"/>
  <c r="C191" i="148"/>
  <c r="C192" i="148"/>
  <c r="C193" i="148"/>
  <c r="C194" i="148"/>
  <c r="C195" i="148"/>
  <c r="C196" i="148"/>
  <c r="C197" i="148"/>
  <c r="C198" i="148"/>
  <c r="C199" i="148"/>
  <c r="C200" i="148"/>
  <c r="C201" i="148"/>
  <c r="C202" i="148"/>
  <c r="C203" i="148"/>
  <c r="C204" i="148"/>
  <c r="C205" i="148"/>
  <c r="C206" i="148"/>
  <c r="C207" i="148"/>
  <c r="C208" i="148"/>
  <c r="C209" i="148"/>
  <c r="C210" i="148"/>
  <c r="C211" i="148"/>
  <c r="C212" i="148"/>
  <c r="C213" i="148"/>
  <c r="C214" i="148"/>
  <c r="C215" i="148"/>
  <c r="C216" i="148"/>
  <c r="C217" i="148"/>
  <c r="C218" i="148"/>
  <c r="C219" i="148"/>
  <c r="C220" i="148"/>
  <c r="C221" i="148"/>
  <c r="C222" i="148"/>
  <c r="C223" i="148"/>
  <c r="C224" i="148"/>
  <c r="C225" i="148"/>
  <c r="C226" i="148"/>
  <c r="C227" i="148"/>
  <c r="C228" i="148"/>
  <c r="C229" i="148"/>
  <c r="C230" i="148"/>
  <c r="C231" i="148"/>
  <c r="C232" i="148"/>
  <c r="C233" i="148"/>
  <c r="C234" i="148"/>
  <c r="C235" i="148"/>
  <c r="C236" i="148"/>
  <c r="C237" i="148"/>
  <c r="C238" i="148"/>
  <c r="C239" i="148"/>
  <c r="C240" i="148"/>
  <c r="C241" i="148"/>
  <c r="C242" i="148"/>
  <c r="C243" i="148"/>
  <c r="C244" i="148"/>
  <c r="C245" i="148"/>
  <c r="C246" i="148"/>
  <c r="C247" i="148"/>
  <c r="C248" i="148"/>
  <c r="C249" i="148"/>
  <c r="C250" i="148"/>
  <c r="C251" i="148"/>
  <c r="C252" i="148"/>
  <c r="C253" i="148"/>
  <c r="C254" i="148"/>
  <c r="C255" i="148"/>
  <c r="C256" i="148"/>
  <c r="C257" i="148"/>
  <c r="C258" i="148"/>
  <c r="C259" i="148"/>
  <c r="C260" i="148"/>
  <c r="C261" i="148"/>
  <c r="C262" i="148"/>
  <c r="C263" i="148"/>
  <c r="C264" i="148"/>
  <c r="C265" i="148"/>
  <c r="C266" i="148"/>
  <c r="C267" i="148"/>
  <c r="C268" i="148"/>
  <c r="C269" i="148"/>
  <c r="C270" i="148"/>
  <c r="C271" i="148"/>
  <c r="C272" i="148"/>
  <c r="C273" i="148"/>
  <c r="C274" i="148"/>
  <c r="C275" i="148"/>
  <c r="C276" i="148"/>
  <c r="C277" i="148"/>
  <c r="C278" i="148"/>
  <c r="C279" i="148"/>
  <c r="C280" i="148"/>
  <c r="C281" i="148"/>
  <c r="C282" i="148"/>
  <c r="C283" i="148"/>
  <c r="C284" i="148"/>
  <c r="C285" i="148"/>
  <c r="C286" i="148"/>
  <c r="C287" i="148"/>
  <c r="C288" i="148"/>
  <c r="C289" i="148"/>
  <c r="C290" i="148"/>
  <c r="C291" i="148"/>
  <c r="C292" i="148"/>
  <c r="C293" i="148"/>
  <c r="C294" i="148"/>
  <c r="C295" i="148"/>
  <c r="C296" i="148"/>
  <c r="C297" i="148"/>
  <c r="C298" i="148"/>
  <c r="C299" i="148"/>
  <c r="C300" i="148"/>
  <c r="C301" i="148"/>
  <c r="C302" i="148"/>
  <c r="C303" i="148"/>
  <c r="C304" i="148"/>
  <c r="C305" i="148"/>
  <c r="C306" i="148"/>
  <c r="C307" i="148"/>
  <c r="C308" i="148"/>
  <c r="C309" i="148"/>
  <c r="C310" i="148"/>
  <c r="C311" i="148"/>
  <c r="C312" i="148"/>
  <c r="C313" i="148"/>
  <c r="C314" i="148"/>
  <c r="C315" i="148"/>
  <c r="C316" i="148"/>
  <c r="C317" i="148"/>
  <c r="C318" i="148"/>
  <c r="C319" i="148"/>
  <c r="C320" i="148"/>
  <c r="C321" i="148"/>
  <c r="C322" i="148"/>
  <c r="C323" i="148"/>
  <c r="C324" i="148"/>
  <c r="C325" i="148"/>
  <c r="C326" i="148"/>
  <c r="C327" i="148"/>
  <c r="C328" i="148"/>
  <c r="C329" i="148"/>
  <c r="C330" i="148"/>
  <c r="C331" i="148"/>
  <c r="C332" i="148"/>
  <c r="C333" i="148"/>
  <c r="C334" i="148"/>
  <c r="C335" i="148"/>
  <c r="C336" i="148"/>
  <c r="C337" i="148"/>
  <c r="C338" i="148"/>
  <c r="C339" i="148"/>
  <c r="C340" i="148"/>
  <c r="C341" i="148"/>
  <c r="C342" i="148"/>
  <c r="C343" i="148"/>
  <c r="C344" i="148"/>
  <c r="C345" i="148"/>
  <c r="C346" i="148"/>
  <c r="F5" i="147"/>
  <c r="F7" i="147"/>
  <c r="A51" i="147"/>
  <c r="E7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18" i="147"/>
  <c r="E19" i="147"/>
  <c r="B19" i="147"/>
  <c r="E24" i="147"/>
  <c r="B24" i="147"/>
  <c r="B17" i="147"/>
  <c r="B18" i="147"/>
  <c r="G18" i="147"/>
  <c r="H18" i="147"/>
  <c r="F8" i="147"/>
  <c r="E8" i="147"/>
  <c r="E33" i="147"/>
  <c r="E34" i="147"/>
  <c r="B34" i="147"/>
  <c r="E39" i="147"/>
  <c r="B39" i="147"/>
  <c r="B32" i="147"/>
  <c r="B33" i="147"/>
  <c r="G33" i="147"/>
  <c r="H33" i="147"/>
  <c r="O3" i="148"/>
  <c r="O5" i="148"/>
  <c r="O7" i="148"/>
  <c r="O9" i="148"/>
  <c r="G32" i="147"/>
  <c r="E32" i="147"/>
  <c r="H32" i="147"/>
  <c r="O2" i="148"/>
  <c r="G17" i="147"/>
  <c r="E17" i="147"/>
  <c r="H17" i="147"/>
  <c r="O4" i="148"/>
  <c r="O6" i="148"/>
  <c r="O8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G39" i="147"/>
  <c r="H39" i="147"/>
  <c r="O42" i="148"/>
  <c r="E25" i="147"/>
  <c r="B25" i="147"/>
  <c r="G25" i="147"/>
  <c r="H25" i="147"/>
  <c r="E40" i="147"/>
  <c r="B40" i="147"/>
  <c r="G40" i="147"/>
  <c r="H40" i="147"/>
  <c r="O43" i="148"/>
  <c r="E26" i="147"/>
  <c r="B26" i="147"/>
  <c r="G26" i="147"/>
  <c r="H26" i="147"/>
  <c r="E41" i="147"/>
  <c r="B41" i="147"/>
  <c r="G41" i="147"/>
  <c r="H41" i="147"/>
  <c r="O44" i="148"/>
  <c r="O45" i="148"/>
  <c r="O46" i="148"/>
  <c r="O47" i="148"/>
  <c r="O48" i="148"/>
  <c r="O49" i="148"/>
  <c r="O50" i="148"/>
  <c r="G34" i="147"/>
  <c r="H34" i="147"/>
  <c r="G19" i="147"/>
  <c r="H19" i="147"/>
  <c r="O51" i="148"/>
  <c r="E35" i="147"/>
  <c r="B35" i="147"/>
  <c r="G35" i="147"/>
  <c r="H35" i="147"/>
  <c r="E20" i="147"/>
  <c r="B20" i="147"/>
  <c r="G20" i="147"/>
  <c r="H20" i="147"/>
  <c r="O52" i="148"/>
  <c r="E36" i="147"/>
  <c r="B36" i="147"/>
  <c r="G36" i="147"/>
  <c r="H36" i="147"/>
  <c r="E21" i="147"/>
  <c r="B21" i="147"/>
  <c r="G21" i="147"/>
  <c r="H21" i="147"/>
  <c r="O53" i="148"/>
  <c r="O54" i="148"/>
  <c r="O55" i="148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5" i="147"/>
  <c r="E27" i="147"/>
  <c r="B27" i="147"/>
  <c r="G27" i="147"/>
  <c r="H27" i="147"/>
  <c r="F6" i="147"/>
  <c r="E6" i="147"/>
  <c r="E42" i="147"/>
  <c r="B42" i="147"/>
  <c r="G42" i="147"/>
  <c r="H42" i="147"/>
  <c r="O138" i="148"/>
  <c r="E28" i="147"/>
  <c r="B28" i="147"/>
  <c r="G28" i="147"/>
  <c r="H28" i="147"/>
  <c r="E43" i="147"/>
  <c r="B43" i="147"/>
  <c r="G43" i="147"/>
  <c r="H43" i="147"/>
  <c r="O139" i="148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E23" i="147"/>
  <c r="B23" i="147"/>
  <c r="G23" i="147"/>
  <c r="H23" i="147"/>
  <c r="E38" i="147"/>
  <c r="B38" i="147"/>
  <c r="G38" i="147"/>
  <c r="H38" i="147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E22" i="147"/>
  <c r="B22" i="147"/>
  <c r="G22" i="147"/>
  <c r="H22" i="147"/>
  <c r="E37" i="147"/>
  <c r="B37" i="147"/>
  <c r="G37" i="147"/>
  <c r="H37" i="147"/>
  <c r="O262" i="148"/>
  <c r="O263" i="148"/>
  <c r="O264" i="148"/>
  <c r="O265" i="148"/>
  <c r="E29" i="147"/>
  <c r="B29" i="147"/>
  <c r="G29" i="147"/>
  <c r="H29" i="147"/>
  <c r="O266" i="148"/>
  <c r="E44" i="147"/>
  <c r="B44" i="147"/>
  <c r="G44" i="147"/>
  <c r="H44" i="147"/>
  <c r="O267" i="148"/>
  <c r="O268" i="148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O341" i="148"/>
  <c r="O342" i="148"/>
  <c r="O343" i="148"/>
  <c r="O344" i="148"/>
  <c r="O345" i="148"/>
  <c r="R3" i="147"/>
  <c r="O346" i="148"/>
  <c r="F56" i="147"/>
  <c r="G56" i="147"/>
  <c r="G49" i="147"/>
  <c r="A341" i="148"/>
  <c r="I341" i="148"/>
  <c r="D341" i="148"/>
  <c r="J341" i="148"/>
  <c r="E341" i="148"/>
  <c r="F341" i="148"/>
  <c r="K341" i="148"/>
  <c r="H341" i="148"/>
  <c r="L341" i="148"/>
  <c r="M341" i="148"/>
  <c r="N341" i="148"/>
  <c r="I342" i="148"/>
  <c r="D342" i="148"/>
  <c r="J342" i="148"/>
  <c r="E342" i="148"/>
  <c r="F342" i="148"/>
  <c r="K342" i="148"/>
  <c r="I343" i="148"/>
  <c r="D343" i="148"/>
  <c r="J343" i="148"/>
  <c r="E343" i="148"/>
  <c r="F343" i="148"/>
  <c r="K343" i="148"/>
  <c r="I344" i="148"/>
  <c r="D344" i="148"/>
  <c r="J344" i="148"/>
  <c r="E344" i="148"/>
  <c r="F344" i="148"/>
  <c r="K344" i="148"/>
  <c r="I345" i="148"/>
  <c r="D345" i="148"/>
  <c r="J345" i="148"/>
  <c r="E345" i="148"/>
  <c r="F345" i="148"/>
  <c r="K345" i="148"/>
  <c r="P341" i="148"/>
  <c r="A342" i="148"/>
  <c r="H342" i="148"/>
  <c r="L342" i="148"/>
  <c r="M342" i="148"/>
  <c r="N342" i="148"/>
  <c r="P342" i="148"/>
  <c r="A343" i="148"/>
  <c r="H343" i="148"/>
  <c r="L343" i="148"/>
  <c r="M343" i="148"/>
  <c r="N343" i="148"/>
  <c r="P343" i="148"/>
  <c r="A344" i="148"/>
  <c r="H344" i="148"/>
  <c r="L344" i="148"/>
  <c r="M344" i="148"/>
  <c r="N344" i="148"/>
  <c r="P344" i="148"/>
  <c r="A345" i="148"/>
  <c r="H345" i="148"/>
  <c r="L345" i="148"/>
  <c r="M345" i="148"/>
  <c r="N345" i="148"/>
  <c r="P345" i="148"/>
  <c r="I44" i="148"/>
  <c r="D44" i="148"/>
  <c r="J44" i="148"/>
  <c r="E44" i="148"/>
  <c r="F44" i="148"/>
  <c r="K44" i="148"/>
  <c r="I2" i="148"/>
  <c r="J2" i="148"/>
  <c r="D2" i="148"/>
  <c r="E2" i="148"/>
  <c r="F2" i="148"/>
  <c r="K2" i="148"/>
  <c r="I3" i="148"/>
  <c r="J3" i="148"/>
  <c r="D3" i="148"/>
  <c r="E3" i="148"/>
  <c r="F3" i="148"/>
  <c r="K3" i="148"/>
  <c r="I4" i="148"/>
  <c r="J4" i="148"/>
  <c r="D4" i="148"/>
  <c r="E4" i="148"/>
  <c r="F4" i="148"/>
  <c r="K4" i="148"/>
  <c r="I5" i="148"/>
  <c r="J5" i="148"/>
  <c r="D5" i="148"/>
  <c r="E5" i="148"/>
  <c r="F5" i="148"/>
  <c r="K5" i="148"/>
  <c r="I6" i="148"/>
  <c r="J6" i="148"/>
  <c r="D6" i="148"/>
  <c r="E6" i="148"/>
  <c r="F6" i="148"/>
  <c r="K6" i="148"/>
  <c r="I7" i="148"/>
  <c r="J7" i="148"/>
  <c r="D7" i="148"/>
  <c r="E7" i="148"/>
  <c r="F7" i="148"/>
  <c r="K7" i="148"/>
  <c r="I8" i="148"/>
  <c r="J8" i="148"/>
  <c r="D8" i="148"/>
  <c r="E8" i="148"/>
  <c r="F8" i="148"/>
  <c r="K8" i="148"/>
  <c r="I9" i="148"/>
  <c r="J9" i="148"/>
  <c r="D9" i="148"/>
  <c r="E9" i="148"/>
  <c r="F9" i="148"/>
  <c r="K9" i="148"/>
  <c r="I10" i="148"/>
  <c r="J10" i="148"/>
  <c r="D10" i="148"/>
  <c r="E10" i="148"/>
  <c r="F10" i="148"/>
  <c r="K10" i="148"/>
  <c r="I11" i="148"/>
  <c r="J11" i="148"/>
  <c r="D11" i="148"/>
  <c r="E11" i="148"/>
  <c r="F11" i="148"/>
  <c r="K11" i="148"/>
  <c r="I12" i="148"/>
  <c r="J12" i="148"/>
  <c r="D12" i="148"/>
  <c r="E12" i="148"/>
  <c r="F12" i="148"/>
  <c r="K12" i="148"/>
  <c r="I13" i="148"/>
  <c r="J13" i="148"/>
  <c r="D13" i="148"/>
  <c r="E13" i="148"/>
  <c r="F13" i="148"/>
  <c r="K13" i="148"/>
  <c r="I14" i="148"/>
  <c r="J14" i="148"/>
  <c r="D14" i="148"/>
  <c r="E14" i="148"/>
  <c r="F14" i="148"/>
  <c r="K14" i="148"/>
  <c r="I15" i="148"/>
  <c r="J15" i="148"/>
  <c r="D15" i="148"/>
  <c r="E15" i="148"/>
  <c r="F15" i="148"/>
  <c r="K15" i="148"/>
  <c r="I16" i="148"/>
  <c r="J16" i="148"/>
  <c r="D16" i="148"/>
  <c r="E16" i="148"/>
  <c r="F16" i="148"/>
  <c r="K16" i="148"/>
  <c r="I17" i="148"/>
  <c r="J17" i="148"/>
  <c r="D17" i="148"/>
  <c r="E17" i="148"/>
  <c r="F17" i="148"/>
  <c r="K17" i="148"/>
  <c r="I18" i="148"/>
  <c r="J18" i="148"/>
  <c r="D18" i="148"/>
  <c r="E18" i="148"/>
  <c r="F18" i="148"/>
  <c r="K18" i="148"/>
  <c r="I19" i="148"/>
  <c r="J19" i="148"/>
  <c r="D19" i="148"/>
  <c r="E19" i="148"/>
  <c r="F19" i="148"/>
  <c r="K19" i="148"/>
  <c r="I20" i="148"/>
  <c r="J20" i="148"/>
  <c r="D20" i="148"/>
  <c r="E20" i="148"/>
  <c r="F20" i="148"/>
  <c r="K20" i="148"/>
  <c r="I21" i="148"/>
  <c r="J21" i="148"/>
  <c r="D21" i="148"/>
  <c r="E21" i="148"/>
  <c r="F21" i="148"/>
  <c r="K21" i="148"/>
  <c r="I22" i="148"/>
  <c r="J22" i="148"/>
  <c r="D22" i="148"/>
  <c r="E22" i="148"/>
  <c r="F22" i="148"/>
  <c r="K22" i="148"/>
  <c r="I23" i="148"/>
  <c r="J23" i="148"/>
  <c r="D23" i="148"/>
  <c r="E23" i="148"/>
  <c r="F23" i="148"/>
  <c r="K23" i="148"/>
  <c r="I24" i="148"/>
  <c r="J24" i="148"/>
  <c r="D24" i="148"/>
  <c r="E24" i="148"/>
  <c r="F24" i="148"/>
  <c r="K24" i="148"/>
  <c r="I25" i="148"/>
  <c r="J25" i="148"/>
  <c r="D25" i="148"/>
  <c r="E25" i="148"/>
  <c r="F25" i="148"/>
  <c r="K25" i="148"/>
  <c r="I26" i="148"/>
  <c r="J26" i="148"/>
  <c r="D26" i="148"/>
  <c r="E26" i="148"/>
  <c r="F26" i="148"/>
  <c r="K26" i="148"/>
  <c r="I27" i="148"/>
  <c r="J27" i="148"/>
  <c r="D27" i="148"/>
  <c r="E27" i="148"/>
  <c r="F27" i="148"/>
  <c r="K27" i="148"/>
  <c r="I28" i="148"/>
  <c r="J28" i="148"/>
  <c r="D28" i="148"/>
  <c r="E28" i="148"/>
  <c r="F28" i="148"/>
  <c r="K28" i="148"/>
  <c r="I29" i="148"/>
  <c r="J29" i="148"/>
  <c r="D29" i="148"/>
  <c r="E29" i="148"/>
  <c r="F29" i="148"/>
  <c r="K29" i="148"/>
  <c r="I30" i="148"/>
  <c r="J30" i="148"/>
  <c r="D30" i="148"/>
  <c r="E30" i="148"/>
  <c r="F30" i="148"/>
  <c r="K30" i="148"/>
  <c r="I31" i="148"/>
  <c r="J31" i="148"/>
  <c r="D31" i="148"/>
  <c r="E31" i="148"/>
  <c r="F31" i="148"/>
  <c r="K31" i="148"/>
  <c r="I32" i="148"/>
  <c r="J32" i="148"/>
  <c r="D32" i="148"/>
  <c r="E32" i="148"/>
  <c r="F32" i="148"/>
  <c r="K32" i="148"/>
  <c r="I33" i="148"/>
  <c r="J33" i="148"/>
  <c r="D33" i="148"/>
  <c r="E33" i="148"/>
  <c r="F33" i="148"/>
  <c r="K33" i="148"/>
  <c r="I34" i="148"/>
  <c r="J34" i="148"/>
  <c r="D34" i="148"/>
  <c r="E34" i="148"/>
  <c r="F34" i="148"/>
  <c r="K34" i="148"/>
  <c r="I35" i="148"/>
  <c r="J35" i="148"/>
  <c r="D35" i="148"/>
  <c r="E35" i="148"/>
  <c r="F35" i="148"/>
  <c r="K35" i="148"/>
  <c r="I36" i="148"/>
  <c r="J36" i="148"/>
  <c r="D36" i="148"/>
  <c r="E36" i="148"/>
  <c r="F36" i="148"/>
  <c r="K36" i="148"/>
  <c r="I37" i="148"/>
  <c r="J37" i="148"/>
  <c r="D37" i="148"/>
  <c r="E37" i="148"/>
  <c r="F37" i="148"/>
  <c r="K37" i="148"/>
  <c r="I38" i="148"/>
  <c r="J38" i="148"/>
  <c r="D38" i="148"/>
  <c r="E38" i="148"/>
  <c r="F38" i="148"/>
  <c r="K38" i="148"/>
  <c r="I39" i="148"/>
  <c r="J39" i="148"/>
  <c r="D39" i="148"/>
  <c r="E39" i="148"/>
  <c r="F39" i="148"/>
  <c r="K39" i="148"/>
  <c r="I40" i="148"/>
  <c r="J40" i="148"/>
  <c r="D40" i="148"/>
  <c r="E40" i="148"/>
  <c r="F40" i="148"/>
  <c r="K40" i="148"/>
  <c r="I41" i="148"/>
  <c r="J41" i="148"/>
  <c r="D41" i="148"/>
  <c r="E41" i="148"/>
  <c r="F41" i="148"/>
  <c r="K41" i="148"/>
  <c r="I42" i="148"/>
  <c r="D42" i="148"/>
  <c r="J42" i="148"/>
  <c r="E42" i="148"/>
  <c r="F42" i="148"/>
  <c r="K42" i="148"/>
  <c r="I43" i="148"/>
  <c r="D43" i="148"/>
  <c r="J43" i="148"/>
  <c r="E43" i="148"/>
  <c r="F43" i="148"/>
  <c r="K43" i="148"/>
  <c r="I45" i="148"/>
  <c r="D45" i="148"/>
  <c r="J45" i="148"/>
  <c r="E45" i="148"/>
  <c r="F45" i="148"/>
  <c r="K45" i="148"/>
  <c r="I46" i="148"/>
  <c r="D46" i="148"/>
  <c r="J46" i="148"/>
  <c r="E46" i="148"/>
  <c r="F46" i="148"/>
  <c r="K46" i="148"/>
  <c r="I47" i="148"/>
  <c r="D47" i="148"/>
  <c r="J47" i="148"/>
  <c r="E47" i="148"/>
  <c r="F47" i="148"/>
  <c r="K47" i="148"/>
  <c r="I48" i="148"/>
  <c r="D48" i="148"/>
  <c r="J48" i="148"/>
  <c r="E48" i="148"/>
  <c r="F48" i="148"/>
  <c r="K48" i="148"/>
  <c r="I49" i="148"/>
  <c r="D49" i="148"/>
  <c r="J49" i="148"/>
  <c r="E49" i="148"/>
  <c r="F49" i="148"/>
  <c r="K49" i="148"/>
  <c r="I50" i="148"/>
  <c r="D50" i="148"/>
  <c r="J50" i="148"/>
  <c r="E50" i="148"/>
  <c r="F50" i="148"/>
  <c r="K50" i="148"/>
  <c r="I51" i="148"/>
  <c r="D51" i="148"/>
  <c r="J51" i="148"/>
  <c r="E51" i="148"/>
  <c r="F51" i="148"/>
  <c r="K51" i="148"/>
  <c r="I52" i="148"/>
  <c r="D52" i="148"/>
  <c r="J52" i="148"/>
  <c r="E52" i="148"/>
  <c r="F52" i="148"/>
  <c r="K52" i="148"/>
  <c r="I53" i="148"/>
  <c r="D53" i="148"/>
  <c r="J53" i="148"/>
  <c r="E53" i="148"/>
  <c r="F53" i="148"/>
  <c r="K53" i="148"/>
  <c r="I54" i="148"/>
  <c r="D54" i="148"/>
  <c r="J54" i="148"/>
  <c r="E54" i="148"/>
  <c r="F54" i="148"/>
  <c r="K54" i="148"/>
  <c r="I55" i="148"/>
  <c r="D55" i="148"/>
  <c r="J55" i="148"/>
  <c r="E55" i="148"/>
  <c r="F55" i="148"/>
  <c r="K55" i="148"/>
  <c r="I56" i="148"/>
  <c r="D56" i="148"/>
  <c r="J56" i="148"/>
  <c r="E56" i="148"/>
  <c r="F56" i="148"/>
  <c r="K56" i="148"/>
  <c r="I57" i="148"/>
  <c r="D57" i="148"/>
  <c r="J57" i="148"/>
  <c r="E57" i="148"/>
  <c r="F57" i="148"/>
  <c r="K57" i="148"/>
  <c r="I58" i="148"/>
  <c r="D58" i="148"/>
  <c r="J58" i="148"/>
  <c r="E58" i="148"/>
  <c r="F58" i="148"/>
  <c r="K58" i="148"/>
  <c r="I59" i="148"/>
  <c r="D59" i="148"/>
  <c r="J59" i="148"/>
  <c r="E59" i="148"/>
  <c r="F59" i="148"/>
  <c r="K59" i="148"/>
  <c r="I60" i="148"/>
  <c r="D60" i="148"/>
  <c r="J60" i="148"/>
  <c r="E60" i="148"/>
  <c r="F60" i="148"/>
  <c r="K60" i="148"/>
  <c r="I61" i="148"/>
  <c r="D61" i="148"/>
  <c r="J61" i="148"/>
  <c r="E61" i="148"/>
  <c r="F61" i="148"/>
  <c r="K61" i="148"/>
  <c r="I62" i="148"/>
  <c r="D62" i="148"/>
  <c r="J62" i="148"/>
  <c r="E62" i="148"/>
  <c r="F62" i="148"/>
  <c r="K62" i="148"/>
  <c r="I63" i="148"/>
  <c r="D63" i="148"/>
  <c r="J63" i="148"/>
  <c r="E63" i="148"/>
  <c r="F63" i="148"/>
  <c r="K63" i="148"/>
  <c r="I64" i="148"/>
  <c r="D64" i="148"/>
  <c r="J64" i="148"/>
  <c r="E64" i="148"/>
  <c r="F64" i="148"/>
  <c r="K64" i="148"/>
  <c r="I65" i="148"/>
  <c r="D65" i="148"/>
  <c r="J65" i="148"/>
  <c r="E65" i="148"/>
  <c r="F65" i="148"/>
  <c r="K65" i="148"/>
  <c r="I66" i="148"/>
  <c r="D66" i="148"/>
  <c r="J66" i="148"/>
  <c r="E66" i="148"/>
  <c r="F66" i="148"/>
  <c r="K66" i="148"/>
  <c r="I67" i="148"/>
  <c r="D67" i="148"/>
  <c r="J67" i="148"/>
  <c r="E67" i="148"/>
  <c r="F67" i="148"/>
  <c r="K67" i="148"/>
  <c r="I68" i="148"/>
  <c r="D68" i="148"/>
  <c r="J68" i="148"/>
  <c r="E68" i="148"/>
  <c r="F68" i="148"/>
  <c r="K68" i="148"/>
  <c r="I69" i="148"/>
  <c r="D69" i="148"/>
  <c r="J69" i="148"/>
  <c r="E69" i="148"/>
  <c r="F69" i="148"/>
  <c r="K69" i="148"/>
  <c r="I70" i="148"/>
  <c r="D70" i="148"/>
  <c r="J70" i="148"/>
  <c r="E70" i="148"/>
  <c r="F70" i="148"/>
  <c r="K70" i="148"/>
  <c r="I71" i="148"/>
  <c r="D71" i="148"/>
  <c r="J71" i="148"/>
  <c r="E71" i="148"/>
  <c r="F71" i="148"/>
  <c r="K71" i="148"/>
  <c r="I72" i="148"/>
  <c r="D72" i="148"/>
  <c r="J72" i="148"/>
  <c r="E72" i="148"/>
  <c r="F72" i="148"/>
  <c r="K72" i="148"/>
  <c r="I73" i="148"/>
  <c r="D73" i="148"/>
  <c r="J73" i="148"/>
  <c r="E73" i="148"/>
  <c r="F73" i="148"/>
  <c r="K73" i="148"/>
  <c r="I74" i="148"/>
  <c r="D74" i="148"/>
  <c r="J74" i="148"/>
  <c r="E74" i="148"/>
  <c r="F74" i="148"/>
  <c r="K74" i="148"/>
  <c r="I75" i="148"/>
  <c r="D75" i="148"/>
  <c r="J75" i="148"/>
  <c r="E75" i="148"/>
  <c r="F75" i="148"/>
  <c r="K75" i="148"/>
  <c r="I76" i="148"/>
  <c r="D76" i="148"/>
  <c r="J76" i="148"/>
  <c r="E76" i="148"/>
  <c r="F76" i="148"/>
  <c r="K76" i="148"/>
  <c r="I77" i="148"/>
  <c r="D77" i="148"/>
  <c r="J77" i="148"/>
  <c r="E77" i="148"/>
  <c r="F77" i="148"/>
  <c r="K77" i="148"/>
  <c r="I78" i="148"/>
  <c r="D78" i="148"/>
  <c r="J78" i="148"/>
  <c r="E78" i="148"/>
  <c r="F78" i="148"/>
  <c r="K78" i="148"/>
  <c r="I79" i="148"/>
  <c r="D79" i="148"/>
  <c r="J79" i="148"/>
  <c r="E79" i="148"/>
  <c r="F79" i="148"/>
  <c r="K79" i="148"/>
  <c r="I80" i="148"/>
  <c r="D80" i="148"/>
  <c r="J80" i="148"/>
  <c r="E80" i="148"/>
  <c r="F80" i="148"/>
  <c r="K80" i="148"/>
  <c r="I81" i="148"/>
  <c r="D81" i="148"/>
  <c r="J81" i="148"/>
  <c r="E81" i="148"/>
  <c r="F81" i="148"/>
  <c r="K81" i="148"/>
  <c r="I82" i="148"/>
  <c r="D82" i="148"/>
  <c r="J82" i="148"/>
  <c r="E82" i="148"/>
  <c r="F82" i="148"/>
  <c r="K82" i="148"/>
  <c r="I83" i="148"/>
  <c r="D83" i="148"/>
  <c r="J83" i="148"/>
  <c r="E83" i="148"/>
  <c r="F83" i="148"/>
  <c r="K83" i="148"/>
  <c r="I84" i="148"/>
  <c r="D84" i="148"/>
  <c r="J84" i="148"/>
  <c r="E84" i="148"/>
  <c r="F84" i="148"/>
  <c r="K84" i="148"/>
  <c r="I85" i="148"/>
  <c r="D85" i="148"/>
  <c r="J85" i="148"/>
  <c r="E85" i="148"/>
  <c r="F85" i="148"/>
  <c r="K85" i="148"/>
  <c r="I86" i="148"/>
  <c r="D86" i="148"/>
  <c r="J86" i="148"/>
  <c r="E86" i="148"/>
  <c r="F86" i="148"/>
  <c r="K86" i="148"/>
  <c r="I87" i="148"/>
  <c r="D87" i="148"/>
  <c r="J87" i="148"/>
  <c r="E87" i="148"/>
  <c r="F87" i="148"/>
  <c r="K87" i="148"/>
  <c r="I88" i="148"/>
  <c r="D88" i="148"/>
  <c r="J88" i="148"/>
  <c r="E88" i="148"/>
  <c r="F88" i="148"/>
  <c r="K88" i="148"/>
  <c r="I89" i="148"/>
  <c r="D89" i="148"/>
  <c r="J89" i="148"/>
  <c r="E89" i="148"/>
  <c r="F89" i="148"/>
  <c r="K89" i="148"/>
  <c r="I90" i="148"/>
  <c r="D90" i="148"/>
  <c r="J90" i="148"/>
  <c r="E90" i="148"/>
  <c r="F90" i="148"/>
  <c r="K90" i="148"/>
  <c r="I91" i="148"/>
  <c r="D91" i="148"/>
  <c r="J91" i="148"/>
  <c r="E91" i="148"/>
  <c r="F91" i="148"/>
  <c r="K91" i="148"/>
  <c r="I92" i="148"/>
  <c r="D92" i="148"/>
  <c r="J92" i="148"/>
  <c r="E92" i="148"/>
  <c r="F92" i="148"/>
  <c r="K92" i="148"/>
  <c r="I93" i="148"/>
  <c r="D93" i="148"/>
  <c r="J93" i="148"/>
  <c r="E93" i="148"/>
  <c r="F93" i="148"/>
  <c r="K93" i="148"/>
  <c r="I94" i="148"/>
  <c r="D94" i="148"/>
  <c r="J94" i="148"/>
  <c r="E94" i="148"/>
  <c r="F94" i="148"/>
  <c r="K94" i="148"/>
  <c r="I95" i="148"/>
  <c r="D95" i="148"/>
  <c r="J95" i="148"/>
  <c r="E95" i="148"/>
  <c r="F95" i="148"/>
  <c r="K95" i="148"/>
  <c r="I96" i="148"/>
  <c r="D96" i="148"/>
  <c r="J96" i="148"/>
  <c r="E96" i="148"/>
  <c r="F96" i="148"/>
  <c r="K96" i="148"/>
  <c r="I97" i="148"/>
  <c r="D97" i="148"/>
  <c r="J97" i="148"/>
  <c r="E97" i="148"/>
  <c r="F97" i="148"/>
  <c r="K97" i="148"/>
  <c r="I98" i="148"/>
  <c r="D98" i="148"/>
  <c r="J98" i="148"/>
  <c r="E98" i="148"/>
  <c r="F98" i="148"/>
  <c r="K98" i="148"/>
  <c r="I99" i="148"/>
  <c r="D99" i="148"/>
  <c r="J99" i="148"/>
  <c r="E99" i="148"/>
  <c r="F99" i="148"/>
  <c r="K99" i="148"/>
  <c r="I100" i="148"/>
  <c r="D100" i="148"/>
  <c r="J100" i="148"/>
  <c r="E100" i="148"/>
  <c r="F100" i="148"/>
  <c r="K100" i="148"/>
  <c r="I101" i="148"/>
  <c r="D101" i="148"/>
  <c r="J101" i="148"/>
  <c r="E101" i="148"/>
  <c r="F101" i="148"/>
  <c r="K101" i="148"/>
  <c r="I102" i="148"/>
  <c r="D102" i="148"/>
  <c r="J102" i="148"/>
  <c r="E102" i="148"/>
  <c r="F102" i="148"/>
  <c r="K102" i="148"/>
  <c r="I103" i="148"/>
  <c r="D103" i="148"/>
  <c r="J103" i="148"/>
  <c r="E103" i="148"/>
  <c r="F103" i="148"/>
  <c r="K103" i="148"/>
  <c r="I104" i="148"/>
  <c r="D104" i="148"/>
  <c r="J104" i="148"/>
  <c r="E104" i="148"/>
  <c r="F104" i="148"/>
  <c r="K104" i="148"/>
  <c r="I105" i="148"/>
  <c r="D105" i="148"/>
  <c r="J105" i="148"/>
  <c r="E105" i="148"/>
  <c r="F105" i="148"/>
  <c r="K105" i="148"/>
  <c r="I106" i="148"/>
  <c r="D106" i="148"/>
  <c r="J106" i="148"/>
  <c r="E106" i="148"/>
  <c r="F106" i="148"/>
  <c r="K106" i="148"/>
  <c r="I107" i="148"/>
  <c r="D107" i="148"/>
  <c r="J107" i="148"/>
  <c r="E107" i="148"/>
  <c r="F107" i="148"/>
  <c r="K107" i="148"/>
  <c r="I108" i="148"/>
  <c r="D108" i="148"/>
  <c r="J108" i="148"/>
  <c r="E108" i="148"/>
  <c r="F108" i="148"/>
  <c r="K108" i="148"/>
  <c r="I109" i="148"/>
  <c r="D109" i="148"/>
  <c r="J109" i="148"/>
  <c r="E109" i="148"/>
  <c r="F109" i="148"/>
  <c r="K109" i="148"/>
  <c r="I110" i="148"/>
  <c r="D110" i="148"/>
  <c r="J110" i="148"/>
  <c r="E110" i="148"/>
  <c r="F110" i="148"/>
  <c r="K110" i="148"/>
  <c r="I111" i="148"/>
  <c r="D111" i="148"/>
  <c r="J111" i="148"/>
  <c r="E111" i="148"/>
  <c r="F111" i="148"/>
  <c r="K111" i="148"/>
  <c r="I112" i="148"/>
  <c r="D112" i="148"/>
  <c r="J112" i="148"/>
  <c r="E112" i="148"/>
  <c r="F112" i="148"/>
  <c r="K112" i="148"/>
  <c r="I113" i="148"/>
  <c r="D113" i="148"/>
  <c r="J113" i="148"/>
  <c r="E113" i="148"/>
  <c r="F113" i="148"/>
  <c r="K113" i="148"/>
  <c r="I114" i="148"/>
  <c r="D114" i="148"/>
  <c r="J114" i="148"/>
  <c r="E114" i="148"/>
  <c r="F114" i="148"/>
  <c r="K114" i="148"/>
  <c r="I115" i="148"/>
  <c r="D115" i="148"/>
  <c r="J115" i="148"/>
  <c r="E115" i="148"/>
  <c r="F115" i="148"/>
  <c r="K115" i="148"/>
  <c r="I116" i="148"/>
  <c r="D116" i="148"/>
  <c r="J116" i="148"/>
  <c r="E116" i="148"/>
  <c r="F116" i="148"/>
  <c r="K116" i="148"/>
  <c r="I117" i="148"/>
  <c r="D117" i="148"/>
  <c r="J117" i="148"/>
  <c r="E117" i="148"/>
  <c r="F117" i="148"/>
  <c r="K117" i="148"/>
  <c r="I118" i="148"/>
  <c r="D118" i="148"/>
  <c r="J118" i="148"/>
  <c r="E118" i="148"/>
  <c r="F118" i="148"/>
  <c r="K118" i="148"/>
  <c r="I119" i="148"/>
  <c r="D119" i="148"/>
  <c r="J119" i="148"/>
  <c r="E119" i="148"/>
  <c r="F119" i="148"/>
  <c r="K119" i="148"/>
  <c r="I120" i="148"/>
  <c r="D120" i="148"/>
  <c r="J120" i="148"/>
  <c r="E120" i="148"/>
  <c r="F120" i="148"/>
  <c r="K120" i="148"/>
  <c r="I121" i="148"/>
  <c r="D121" i="148"/>
  <c r="J121" i="148"/>
  <c r="E121" i="148"/>
  <c r="F121" i="148"/>
  <c r="K121" i="148"/>
  <c r="I122" i="148"/>
  <c r="D122" i="148"/>
  <c r="J122" i="148"/>
  <c r="E122" i="148"/>
  <c r="F122" i="148"/>
  <c r="K122" i="148"/>
  <c r="I123" i="148"/>
  <c r="D123" i="148"/>
  <c r="J123" i="148"/>
  <c r="E123" i="148"/>
  <c r="F123" i="148"/>
  <c r="K123" i="148"/>
  <c r="I124" i="148"/>
  <c r="D124" i="148"/>
  <c r="J124" i="148"/>
  <c r="E124" i="148"/>
  <c r="F124" i="148"/>
  <c r="K124" i="148"/>
  <c r="I125" i="148"/>
  <c r="D125" i="148"/>
  <c r="J125" i="148"/>
  <c r="E125" i="148"/>
  <c r="F125" i="148"/>
  <c r="K125" i="148"/>
  <c r="I126" i="148"/>
  <c r="D126" i="148"/>
  <c r="J126" i="148"/>
  <c r="E126" i="148"/>
  <c r="F126" i="148"/>
  <c r="K126" i="148"/>
  <c r="I127" i="148"/>
  <c r="D127" i="148"/>
  <c r="J127" i="148"/>
  <c r="E127" i="148"/>
  <c r="F127" i="148"/>
  <c r="K127" i="148"/>
  <c r="I128" i="148"/>
  <c r="D128" i="148"/>
  <c r="J128" i="148"/>
  <c r="E128" i="148"/>
  <c r="F128" i="148"/>
  <c r="K128" i="148"/>
  <c r="I129" i="148"/>
  <c r="D129" i="148"/>
  <c r="J129" i="148"/>
  <c r="E129" i="148"/>
  <c r="F129" i="148"/>
  <c r="K129" i="148"/>
  <c r="I130" i="148"/>
  <c r="D130" i="148"/>
  <c r="J130" i="148"/>
  <c r="E130" i="148"/>
  <c r="F130" i="148"/>
  <c r="K130" i="148"/>
  <c r="I131" i="148"/>
  <c r="D131" i="148"/>
  <c r="J131" i="148"/>
  <c r="E131" i="148"/>
  <c r="F131" i="148"/>
  <c r="K131" i="148"/>
  <c r="I132" i="148"/>
  <c r="D132" i="148"/>
  <c r="J132" i="148"/>
  <c r="E132" i="148"/>
  <c r="F132" i="148"/>
  <c r="K132" i="148"/>
  <c r="I133" i="148"/>
  <c r="D133" i="148"/>
  <c r="J133" i="148"/>
  <c r="E133" i="148"/>
  <c r="F133" i="148"/>
  <c r="K133" i="148"/>
  <c r="I134" i="148"/>
  <c r="D134" i="148"/>
  <c r="J134" i="148"/>
  <c r="E134" i="148"/>
  <c r="F134" i="148"/>
  <c r="K134" i="148"/>
  <c r="I135" i="148"/>
  <c r="D135" i="148"/>
  <c r="J135" i="148"/>
  <c r="E135" i="148"/>
  <c r="F135" i="148"/>
  <c r="K135" i="148"/>
  <c r="I136" i="148"/>
  <c r="D136" i="148"/>
  <c r="J136" i="148"/>
  <c r="E136" i="148"/>
  <c r="F136" i="148"/>
  <c r="K136" i="148"/>
  <c r="I137" i="148"/>
  <c r="D137" i="148"/>
  <c r="J137" i="148"/>
  <c r="E137" i="148"/>
  <c r="F137" i="148"/>
  <c r="K137" i="148"/>
  <c r="I138" i="148"/>
  <c r="D138" i="148"/>
  <c r="J138" i="148"/>
  <c r="E138" i="148"/>
  <c r="F138" i="148"/>
  <c r="K138" i="148"/>
  <c r="I139" i="148"/>
  <c r="D139" i="148"/>
  <c r="J139" i="148"/>
  <c r="E139" i="148"/>
  <c r="F139" i="148"/>
  <c r="K139" i="148"/>
  <c r="I140" i="148"/>
  <c r="D140" i="148"/>
  <c r="J140" i="148"/>
  <c r="E140" i="148"/>
  <c r="F140" i="148"/>
  <c r="K140" i="148"/>
  <c r="I141" i="148"/>
  <c r="D141" i="148"/>
  <c r="J141" i="148"/>
  <c r="E141" i="148"/>
  <c r="F141" i="148"/>
  <c r="K141" i="148"/>
  <c r="I142" i="148"/>
  <c r="D142" i="148"/>
  <c r="J142" i="148"/>
  <c r="E142" i="148"/>
  <c r="F142" i="148"/>
  <c r="K142" i="148"/>
  <c r="I143" i="148"/>
  <c r="D143" i="148"/>
  <c r="J143" i="148"/>
  <c r="E143" i="148"/>
  <c r="F143" i="148"/>
  <c r="K143" i="148"/>
  <c r="I144" i="148"/>
  <c r="D144" i="148"/>
  <c r="J144" i="148"/>
  <c r="E144" i="148"/>
  <c r="F144" i="148"/>
  <c r="K144" i="148"/>
  <c r="I145" i="148"/>
  <c r="D145" i="148"/>
  <c r="J145" i="148"/>
  <c r="E145" i="148"/>
  <c r="F145" i="148"/>
  <c r="K145" i="148"/>
  <c r="I146" i="148"/>
  <c r="D146" i="148"/>
  <c r="J146" i="148"/>
  <c r="E146" i="148"/>
  <c r="F146" i="148"/>
  <c r="K146" i="148"/>
  <c r="I147" i="148"/>
  <c r="D147" i="148"/>
  <c r="J147" i="148"/>
  <c r="E147" i="148"/>
  <c r="F147" i="148"/>
  <c r="K147" i="148"/>
  <c r="I148" i="148"/>
  <c r="D148" i="148"/>
  <c r="J148" i="148"/>
  <c r="E148" i="148"/>
  <c r="F148" i="148"/>
  <c r="K148" i="148"/>
  <c r="I149" i="148"/>
  <c r="D149" i="148"/>
  <c r="J149" i="148"/>
  <c r="E149" i="148"/>
  <c r="F149" i="148"/>
  <c r="K149" i="148"/>
  <c r="I150" i="148"/>
  <c r="D150" i="148"/>
  <c r="J150" i="148"/>
  <c r="E150" i="148"/>
  <c r="F150" i="148"/>
  <c r="K150" i="148"/>
  <c r="I151" i="148"/>
  <c r="D151" i="148"/>
  <c r="J151" i="148"/>
  <c r="E151" i="148"/>
  <c r="F151" i="148"/>
  <c r="K151" i="148"/>
  <c r="I152" i="148"/>
  <c r="D152" i="148"/>
  <c r="J152" i="148"/>
  <c r="E152" i="148"/>
  <c r="F152" i="148"/>
  <c r="K152" i="148"/>
  <c r="I153" i="148"/>
  <c r="D153" i="148"/>
  <c r="J153" i="148"/>
  <c r="E153" i="148"/>
  <c r="F153" i="148"/>
  <c r="K153" i="148"/>
  <c r="I154" i="148"/>
  <c r="D154" i="148"/>
  <c r="J154" i="148"/>
  <c r="E154" i="148"/>
  <c r="F154" i="148"/>
  <c r="K154" i="148"/>
  <c r="I155" i="148"/>
  <c r="D155" i="148"/>
  <c r="J155" i="148"/>
  <c r="E155" i="148"/>
  <c r="F155" i="148"/>
  <c r="K155" i="148"/>
  <c r="I156" i="148"/>
  <c r="D156" i="148"/>
  <c r="J156" i="148"/>
  <c r="E156" i="148"/>
  <c r="F156" i="148"/>
  <c r="K156" i="148"/>
  <c r="I157" i="148"/>
  <c r="D157" i="148"/>
  <c r="J157" i="148"/>
  <c r="E157" i="148"/>
  <c r="F157" i="148"/>
  <c r="K157" i="148"/>
  <c r="I158" i="148"/>
  <c r="D158" i="148"/>
  <c r="J158" i="148"/>
  <c r="E158" i="148"/>
  <c r="F158" i="148"/>
  <c r="K158" i="148"/>
  <c r="I159" i="148"/>
  <c r="D159" i="148"/>
  <c r="J159" i="148"/>
  <c r="E159" i="148"/>
  <c r="F159" i="148"/>
  <c r="K159" i="148"/>
  <c r="I160" i="148"/>
  <c r="D160" i="148"/>
  <c r="J160" i="148"/>
  <c r="E160" i="148"/>
  <c r="F160" i="148"/>
  <c r="K160" i="148"/>
  <c r="I161" i="148"/>
  <c r="D161" i="148"/>
  <c r="J161" i="148"/>
  <c r="E161" i="148"/>
  <c r="F161" i="148"/>
  <c r="K161" i="148"/>
  <c r="I162" i="148"/>
  <c r="D162" i="148"/>
  <c r="J162" i="148"/>
  <c r="E162" i="148"/>
  <c r="F162" i="148"/>
  <c r="K162" i="148"/>
  <c r="I163" i="148"/>
  <c r="D163" i="148"/>
  <c r="J163" i="148"/>
  <c r="E163" i="148"/>
  <c r="F163" i="148"/>
  <c r="K163" i="148"/>
  <c r="I164" i="148"/>
  <c r="D164" i="148"/>
  <c r="J164" i="148"/>
  <c r="E164" i="148"/>
  <c r="F164" i="148"/>
  <c r="K164" i="148"/>
  <c r="I165" i="148"/>
  <c r="D165" i="148"/>
  <c r="J165" i="148"/>
  <c r="E165" i="148"/>
  <c r="F165" i="148"/>
  <c r="K165" i="148"/>
  <c r="I166" i="148"/>
  <c r="D166" i="148"/>
  <c r="J166" i="148"/>
  <c r="E166" i="148"/>
  <c r="F166" i="148"/>
  <c r="K166" i="148"/>
  <c r="I167" i="148"/>
  <c r="D167" i="148"/>
  <c r="J167" i="148"/>
  <c r="E167" i="148"/>
  <c r="F167" i="148"/>
  <c r="K167" i="148"/>
  <c r="I168" i="148"/>
  <c r="D168" i="148"/>
  <c r="J168" i="148"/>
  <c r="E168" i="148"/>
  <c r="F168" i="148"/>
  <c r="K168" i="148"/>
  <c r="I169" i="148"/>
  <c r="D169" i="148"/>
  <c r="J169" i="148"/>
  <c r="E169" i="148"/>
  <c r="F169" i="148"/>
  <c r="K169" i="148"/>
  <c r="I170" i="148"/>
  <c r="D170" i="148"/>
  <c r="J170" i="148"/>
  <c r="E170" i="148"/>
  <c r="F170" i="148"/>
  <c r="K170" i="148"/>
  <c r="I171" i="148"/>
  <c r="D171" i="148"/>
  <c r="J171" i="148"/>
  <c r="E171" i="148"/>
  <c r="F171" i="148"/>
  <c r="K171" i="148"/>
  <c r="I172" i="148"/>
  <c r="D172" i="148"/>
  <c r="J172" i="148"/>
  <c r="E172" i="148"/>
  <c r="F172" i="148"/>
  <c r="K172" i="148"/>
  <c r="I173" i="148"/>
  <c r="D173" i="148"/>
  <c r="J173" i="148"/>
  <c r="E173" i="148"/>
  <c r="F173" i="148"/>
  <c r="K173" i="148"/>
  <c r="I174" i="148"/>
  <c r="D174" i="148"/>
  <c r="J174" i="148"/>
  <c r="E174" i="148"/>
  <c r="F174" i="148"/>
  <c r="K174" i="148"/>
  <c r="I175" i="148"/>
  <c r="D175" i="148"/>
  <c r="J175" i="148"/>
  <c r="E175" i="148"/>
  <c r="F175" i="148"/>
  <c r="K175" i="148"/>
  <c r="I176" i="148"/>
  <c r="D176" i="148"/>
  <c r="J176" i="148"/>
  <c r="E176" i="148"/>
  <c r="F176" i="148"/>
  <c r="K176" i="148"/>
  <c r="I177" i="148"/>
  <c r="D177" i="148"/>
  <c r="J177" i="148"/>
  <c r="E177" i="148"/>
  <c r="F177" i="148"/>
  <c r="K177" i="148"/>
  <c r="I178" i="148"/>
  <c r="D178" i="148"/>
  <c r="J178" i="148"/>
  <c r="E178" i="148"/>
  <c r="F178" i="148"/>
  <c r="K178" i="148"/>
  <c r="I179" i="148"/>
  <c r="D179" i="148"/>
  <c r="J179" i="148"/>
  <c r="E179" i="148"/>
  <c r="F179" i="148"/>
  <c r="K179" i="148"/>
  <c r="I180" i="148"/>
  <c r="D180" i="148"/>
  <c r="J180" i="148"/>
  <c r="E180" i="148"/>
  <c r="F180" i="148"/>
  <c r="K180" i="148"/>
  <c r="I181" i="148"/>
  <c r="D181" i="148"/>
  <c r="J181" i="148"/>
  <c r="E181" i="148"/>
  <c r="F181" i="148"/>
  <c r="K181" i="148"/>
  <c r="I182" i="148"/>
  <c r="D182" i="148"/>
  <c r="J182" i="148"/>
  <c r="E182" i="148"/>
  <c r="F182" i="148"/>
  <c r="K182" i="148"/>
  <c r="I183" i="148"/>
  <c r="D183" i="148"/>
  <c r="J183" i="148"/>
  <c r="E183" i="148"/>
  <c r="F183" i="148"/>
  <c r="K183" i="148"/>
  <c r="I184" i="148"/>
  <c r="D184" i="148"/>
  <c r="J184" i="148"/>
  <c r="E184" i="148"/>
  <c r="F184" i="148"/>
  <c r="K184" i="148"/>
  <c r="I185" i="148"/>
  <c r="D185" i="148"/>
  <c r="J185" i="148"/>
  <c r="E185" i="148"/>
  <c r="F185" i="148"/>
  <c r="K185" i="148"/>
  <c r="I186" i="148"/>
  <c r="D186" i="148"/>
  <c r="J186" i="148"/>
  <c r="E186" i="148"/>
  <c r="F186" i="148"/>
  <c r="K186" i="148"/>
  <c r="I187" i="148"/>
  <c r="D187" i="148"/>
  <c r="J187" i="148"/>
  <c r="E187" i="148"/>
  <c r="F187" i="148"/>
  <c r="K187" i="148"/>
  <c r="I188" i="148"/>
  <c r="D188" i="148"/>
  <c r="J188" i="148"/>
  <c r="E188" i="148"/>
  <c r="F188" i="148"/>
  <c r="K188" i="148"/>
  <c r="I189" i="148"/>
  <c r="D189" i="148"/>
  <c r="J189" i="148"/>
  <c r="E189" i="148"/>
  <c r="F189" i="148"/>
  <c r="K189" i="148"/>
  <c r="I190" i="148"/>
  <c r="D190" i="148"/>
  <c r="J190" i="148"/>
  <c r="E190" i="148"/>
  <c r="F190" i="148"/>
  <c r="K190" i="148"/>
  <c r="I191" i="148"/>
  <c r="D191" i="148"/>
  <c r="J191" i="148"/>
  <c r="E191" i="148"/>
  <c r="F191" i="148"/>
  <c r="K191" i="148"/>
  <c r="I192" i="148"/>
  <c r="D192" i="148"/>
  <c r="J192" i="148"/>
  <c r="E192" i="148"/>
  <c r="F192" i="148"/>
  <c r="K192" i="148"/>
  <c r="I193" i="148"/>
  <c r="D193" i="148"/>
  <c r="J193" i="148"/>
  <c r="E193" i="148"/>
  <c r="F193" i="148"/>
  <c r="K193" i="148"/>
  <c r="I194" i="148"/>
  <c r="D194" i="148"/>
  <c r="J194" i="148"/>
  <c r="E194" i="148"/>
  <c r="F194" i="148"/>
  <c r="K194" i="148"/>
  <c r="I195" i="148"/>
  <c r="D195" i="148"/>
  <c r="J195" i="148"/>
  <c r="E195" i="148"/>
  <c r="F195" i="148"/>
  <c r="K195" i="148"/>
  <c r="I196" i="148"/>
  <c r="D196" i="148"/>
  <c r="J196" i="148"/>
  <c r="E196" i="148"/>
  <c r="F196" i="148"/>
  <c r="K196" i="148"/>
  <c r="I197" i="148"/>
  <c r="D197" i="148"/>
  <c r="J197" i="148"/>
  <c r="E197" i="148"/>
  <c r="F197" i="148"/>
  <c r="K197" i="148"/>
  <c r="I198" i="148"/>
  <c r="D198" i="148"/>
  <c r="J198" i="148"/>
  <c r="E198" i="148"/>
  <c r="F198" i="148"/>
  <c r="K198" i="148"/>
  <c r="I199" i="148"/>
  <c r="D199" i="148"/>
  <c r="J199" i="148"/>
  <c r="E199" i="148"/>
  <c r="F199" i="148"/>
  <c r="K199" i="148"/>
  <c r="I200" i="148"/>
  <c r="D200" i="148"/>
  <c r="J200" i="148"/>
  <c r="E200" i="148"/>
  <c r="F200" i="148"/>
  <c r="K200" i="148"/>
  <c r="I201" i="148"/>
  <c r="D201" i="148"/>
  <c r="J201" i="148"/>
  <c r="E201" i="148"/>
  <c r="F201" i="148"/>
  <c r="K201" i="148"/>
  <c r="I202" i="148"/>
  <c r="D202" i="148"/>
  <c r="J202" i="148"/>
  <c r="E202" i="148"/>
  <c r="F202" i="148"/>
  <c r="K202" i="148"/>
  <c r="I203" i="148"/>
  <c r="D203" i="148"/>
  <c r="J203" i="148"/>
  <c r="E203" i="148"/>
  <c r="F203" i="148"/>
  <c r="K203" i="148"/>
  <c r="I204" i="148"/>
  <c r="D204" i="148"/>
  <c r="J204" i="148"/>
  <c r="E204" i="148"/>
  <c r="F204" i="148"/>
  <c r="K204" i="148"/>
  <c r="I205" i="148"/>
  <c r="D205" i="148"/>
  <c r="J205" i="148"/>
  <c r="E205" i="148"/>
  <c r="F205" i="148"/>
  <c r="K205" i="148"/>
  <c r="I206" i="148"/>
  <c r="D206" i="148"/>
  <c r="J206" i="148"/>
  <c r="E206" i="148"/>
  <c r="F206" i="148"/>
  <c r="K206" i="148"/>
  <c r="I207" i="148"/>
  <c r="D207" i="148"/>
  <c r="J207" i="148"/>
  <c r="E207" i="148"/>
  <c r="F207" i="148"/>
  <c r="K207" i="148"/>
  <c r="I208" i="148"/>
  <c r="D208" i="148"/>
  <c r="J208" i="148"/>
  <c r="E208" i="148"/>
  <c r="F208" i="148"/>
  <c r="K208" i="148"/>
  <c r="I209" i="148"/>
  <c r="D209" i="148"/>
  <c r="J209" i="148"/>
  <c r="E209" i="148"/>
  <c r="F209" i="148"/>
  <c r="K209" i="148"/>
  <c r="I210" i="148"/>
  <c r="D210" i="148"/>
  <c r="J210" i="148"/>
  <c r="E210" i="148"/>
  <c r="F210" i="148"/>
  <c r="K210" i="148"/>
  <c r="I211" i="148"/>
  <c r="D211" i="148"/>
  <c r="J211" i="148"/>
  <c r="E211" i="148"/>
  <c r="F211" i="148"/>
  <c r="K211" i="148"/>
  <c r="I212" i="148"/>
  <c r="D212" i="148"/>
  <c r="J212" i="148"/>
  <c r="E212" i="148"/>
  <c r="F212" i="148"/>
  <c r="K212" i="148"/>
  <c r="I213" i="148"/>
  <c r="D213" i="148"/>
  <c r="J213" i="148"/>
  <c r="E213" i="148"/>
  <c r="F213" i="148"/>
  <c r="K213" i="148"/>
  <c r="I214" i="148"/>
  <c r="D214" i="148"/>
  <c r="J214" i="148"/>
  <c r="E214" i="148"/>
  <c r="F214" i="148"/>
  <c r="K214" i="148"/>
  <c r="I215" i="148"/>
  <c r="J215" i="148"/>
  <c r="D215" i="148"/>
  <c r="E215" i="148"/>
  <c r="F215" i="148"/>
  <c r="K215" i="148"/>
  <c r="I216" i="148"/>
  <c r="J216" i="148"/>
  <c r="D216" i="148"/>
  <c r="E216" i="148"/>
  <c r="F216" i="148"/>
  <c r="K216" i="148"/>
  <c r="I217" i="148"/>
  <c r="J217" i="148"/>
  <c r="D217" i="148"/>
  <c r="E217" i="148"/>
  <c r="F217" i="148"/>
  <c r="K217" i="148"/>
  <c r="I218" i="148"/>
  <c r="J218" i="148"/>
  <c r="D218" i="148"/>
  <c r="E218" i="148"/>
  <c r="F218" i="148"/>
  <c r="K218" i="148"/>
  <c r="I219" i="148"/>
  <c r="J219" i="148"/>
  <c r="D219" i="148"/>
  <c r="E219" i="148"/>
  <c r="F219" i="148"/>
  <c r="K219" i="148"/>
  <c r="I220" i="148"/>
  <c r="J220" i="148"/>
  <c r="D220" i="148"/>
  <c r="E220" i="148"/>
  <c r="F220" i="148"/>
  <c r="K220" i="148"/>
  <c r="I221" i="148"/>
  <c r="D221" i="148"/>
  <c r="J221" i="148"/>
  <c r="E221" i="148"/>
  <c r="F221" i="148"/>
  <c r="K221" i="148"/>
  <c r="I222" i="148"/>
  <c r="D222" i="148"/>
  <c r="J222" i="148"/>
  <c r="E222" i="148"/>
  <c r="F222" i="148"/>
  <c r="K222" i="148"/>
  <c r="I223" i="148"/>
  <c r="D223" i="148"/>
  <c r="J223" i="148"/>
  <c r="E223" i="148"/>
  <c r="F223" i="148"/>
  <c r="K223" i="148"/>
  <c r="I224" i="148"/>
  <c r="D224" i="148"/>
  <c r="J224" i="148"/>
  <c r="E224" i="148"/>
  <c r="F224" i="148"/>
  <c r="K224" i="148"/>
  <c r="I225" i="148"/>
  <c r="D225" i="148"/>
  <c r="J225" i="148"/>
  <c r="E225" i="148"/>
  <c r="F225" i="148"/>
  <c r="K225" i="148"/>
  <c r="I226" i="148"/>
  <c r="D226" i="148"/>
  <c r="J226" i="148"/>
  <c r="E226" i="148"/>
  <c r="F226" i="148"/>
  <c r="K226" i="148"/>
  <c r="I227" i="148"/>
  <c r="D227" i="148"/>
  <c r="J227" i="148"/>
  <c r="E227" i="148"/>
  <c r="F227" i="148"/>
  <c r="K227" i="148"/>
  <c r="I228" i="148"/>
  <c r="D228" i="148"/>
  <c r="J228" i="148"/>
  <c r="E228" i="148"/>
  <c r="F228" i="148"/>
  <c r="K228" i="148"/>
  <c r="I229" i="148"/>
  <c r="D229" i="148"/>
  <c r="J229" i="148"/>
  <c r="E229" i="148"/>
  <c r="F229" i="148"/>
  <c r="K229" i="148"/>
  <c r="I230" i="148"/>
  <c r="D230" i="148"/>
  <c r="J230" i="148"/>
  <c r="E230" i="148"/>
  <c r="F230" i="148"/>
  <c r="K230" i="148"/>
  <c r="I231" i="148"/>
  <c r="D231" i="148"/>
  <c r="J231" i="148"/>
  <c r="E231" i="148"/>
  <c r="F231" i="148"/>
  <c r="K231" i="148"/>
  <c r="I232" i="148"/>
  <c r="D232" i="148"/>
  <c r="J232" i="148"/>
  <c r="E232" i="148"/>
  <c r="F232" i="148"/>
  <c r="K232" i="148"/>
  <c r="I233" i="148"/>
  <c r="D233" i="148"/>
  <c r="J233" i="148"/>
  <c r="E233" i="148"/>
  <c r="F233" i="148"/>
  <c r="K233" i="148"/>
  <c r="I234" i="148"/>
  <c r="D234" i="148"/>
  <c r="J234" i="148"/>
  <c r="E234" i="148"/>
  <c r="F234" i="148"/>
  <c r="K234" i="148"/>
  <c r="I235" i="148"/>
  <c r="D235" i="148"/>
  <c r="J235" i="148"/>
  <c r="E235" i="148"/>
  <c r="F235" i="148"/>
  <c r="K235" i="148"/>
  <c r="I236" i="148"/>
  <c r="D236" i="148"/>
  <c r="J236" i="148"/>
  <c r="E236" i="148"/>
  <c r="F236" i="148"/>
  <c r="K236" i="148"/>
  <c r="I237" i="148"/>
  <c r="D237" i="148"/>
  <c r="J237" i="148"/>
  <c r="E237" i="148"/>
  <c r="F237" i="148"/>
  <c r="K237" i="148"/>
  <c r="I238" i="148"/>
  <c r="D238" i="148"/>
  <c r="J238" i="148"/>
  <c r="E238" i="148"/>
  <c r="F238" i="148"/>
  <c r="K238" i="148"/>
  <c r="I239" i="148"/>
  <c r="D239" i="148"/>
  <c r="J239" i="148"/>
  <c r="E239" i="148"/>
  <c r="F239" i="148"/>
  <c r="K239" i="148"/>
  <c r="I240" i="148"/>
  <c r="D240" i="148"/>
  <c r="J240" i="148"/>
  <c r="E240" i="148"/>
  <c r="F240" i="148"/>
  <c r="K240" i="148"/>
  <c r="I241" i="148"/>
  <c r="D241" i="148"/>
  <c r="J241" i="148"/>
  <c r="E241" i="148"/>
  <c r="F241" i="148"/>
  <c r="K241" i="148"/>
  <c r="I242" i="148"/>
  <c r="D242" i="148"/>
  <c r="J242" i="148"/>
  <c r="E242" i="148"/>
  <c r="F242" i="148"/>
  <c r="K242" i="148"/>
  <c r="I243" i="148"/>
  <c r="D243" i="148"/>
  <c r="J243" i="148"/>
  <c r="E243" i="148"/>
  <c r="F243" i="148"/>
  <c r="K243" i="148"/>
  <c r="I244" i="148"/>
  <c r="D244" i="148"/>
  <c r="J244" i="148"/>
  <c r="E244" i="148"/>
  <c r="F244" i="148"/>
  <c r="K244" i="148"/>
  <c r="I245" i="148"/>
  <c r="D245" i="148"/>
  <c r="J245" i="148"/>
  <c r="E245" i="148"/>
  <c r="F245" i="148"/>
  <c r="K245" i="148"/>
  <c r="I246" i="148"/>
  <c r="D246" i="148"/>
  <c r="J246" i="148"/>
  <c r="E246" i="148"/>
  <c r="F246" i="148"/>
  <c r="K246" i="148"/>
  <c r="I247" i="148"/>
  <c r="D247" i="148"/>
  <c r="J247" i="148"/>
  <c r="E247" i="148"/>
  <c r="F247" i="148"/>
  <c r="K247" i="148"/>
  <c r="I248" i="148"/>
  <c r="D248" i="148"/>
  <c r="J248" i="148"/>
  <c r="E248" i="148"/>
  <c r="F248" i="148"/>
  <c r="K248" i="148"/>
  <c r="I249" i="148"/>
  <c r="D249" i="148"/>
  <c r="J249" i="148"/>
  <c r="E249" i="148"/>
  <c r="F249" i="148"/>
  <c r="K249" i="148"/>
  <c r="I250" i="148"/>
  <c r="D250" i="148"/>
  <c r="J250" i="148"/>
  <c r="E250" i="148"/>
  <c r="F250" i="148"/>
  <c r="K250" i="148"/>
  <c r="I251" i="148"/>
  <c r="D251" i="148"/>
  <c r="J251" i="148"/>
  <c r="E251" i="148"/>
  <c r="F251" i="148"/>
  <c r="K251" i="148"/>
  <c r="I252" i="148"/>
  <c r="D252" i="148"/>
  <c r="J252" i="148"/>
  <c r="E252" i="148"/>
  <c r="F252" i="148"/>
  <c r="K252" i="148"/>
  <c r="I253" i="148"/>
  <c r="D253" i="148"/>
  <c r="J253" i="148"/>
  <c r="E253" i="148"/>
  <c r="F253" i="148"/>
  <c r="K253" i="148"/>
  <c r="I254" i="148"/>
  <c r="D254" i="148"/>
  <c r="J254" i="148"/>
  <c r="E254" i="148"/>
  <c r="F254" i="148"/>
  <c r="K254" i="148"/>
  <c r="I255" i="148"/>
  <c r="D255" i="148"/>
  <c r="J255" i="148"/>
  <c r="E255" i="148"/>
  <c r="F255" i="148"/>
  <c r="K255" i="148"/>
  <c r="I256" i="148"/>
  <c r="D256" i="148"/>
  <c r="J256" i="148"/>
  <c r="E256" i="148"/>
  <c r="F256" i="148"/>
  <c r="K256" i="148"/>
  <c r="I257" i="148"/>
  <c r="D257" i="148"/>
  <c r="J257" i="148"/>
  <c r="E257" i="148"/>
  <c r="F257" i="148"/>
  <c r="K257" i="148"/>
  <c r="I258" i="148"/>
  <c r="D258" i="148"/>
  <c r="J258" i="148"/>
  <c r="E258" i="148"/>
  <c r="F258" i="148"/>
  <c r="K258" i="148"/>
  <c r="I259" i="148"/>
  <c r="D259" i="148"/>
  <c r="J259" i="148"/>
  <c r="E259" i="148"/>
  <c r="F259" i="148"/>
  <c r="K259" i="148"/>
  <c r="I260" i="148"/>
  <c r="D260" i="148"/>
  <c r="J260" i="148"/>
  <c r="E260" i="148"/>
  <c r="F260" i="148"/>
  <c r="K260" i="148"/>
  <c r="I261" i="148"/>
  <c r="D261" i="148"/>
  <c r="J261" i="148"/>
  <c r="E261" i="148"/>
  <c r="F261" i="148"/>
  <c r="K261" i="148"/>
  <c r="I262" i="148"/>
  <c r="D262" i="148"/>
  <c r="J262" i="148"/>
  <c r="E262" i="148"/>
  <c r="F262" i="148"/>
  <c r="K262" i="148"/>
  <c r="I263" i="148"/>
  <c r="D263" i="148"/>
  <c r="J263" i="148"/>
  <c r="E263" i="148"/>
  <c r="F263" i="148"/>
  <c r="K263" i="148"/>
  <c r="I264" i="148"/>
  <c r="D264" i="148"/>
  <c r="J264" i="148"/>
  <c r="E264" i="148"/>
  <c r="F264" i="148"/>
  <c r="K264" i="148"/>
  <c r="I265" i="148"/>
  <c r="D265" i="148"/>
  <c r="J265" i="148"/>
  <c r="E265" i="148"/>
  <c r="F265" i="148"/>
  <c r="K265" i="148"/>
  <c r="I266" i="148"/>
  <c r="D266" i="148"/>
  <c r="J266" i="148"/>
  <c r="E266" i="148"/>
  <c r="F266" i="148"/>
  <c r="K266" i="148"/>
  <c r="I267" i="148"/>
  <c r="D267" i="148"/>
  <c r="J267" i="148"/>
  <c r="E267" i="148"/>
  <c r="F267" i="148"/>
  <c r="K267" i="148"/>
  <c r="I268" i="148"/>
  <c r="D268" i="148"/>
  <c r="J268" i="148"/>
  <c r="E268" i="148"/>
  <c r="F268" i="148"/>
  <c r="K268" i="148"/>
  <c r="I269" i="148"/>
  <c r="D269" i="148"/>
  <c r="J269" i="148"/>
  <c r="E269" i="148"/>
  <c r="F269" i="148"/>
  <c r="K269" i="148"/>
  <c r="I270" i="148"/>
  <c r="D270" i="148"/>
  <c r="J270" i="148"/>
  <c r="E270" i="148"/>
  <c r="F270" i="148"/>
  <c r="K270" i="148"/>
  <c r="I271" i="148"/>
  <c r="D271" i="148"/>
  <c r="J271" i="148"/>
  <c r="E271" i="148"/>
  <c r="F271" i="148"/>
  <c r="K271" i="148"/>
  <c r="I272" i="148"/>
  <c r="D272" i="148"/>
  <c r="J272" i="148"/>
  <c r="E272" i="148"/>
  <c r="F272" i="148"/>
  <c r="K272" i="148"/>
  <c r="I273" i="148"/>
  <c r="D273" i="148"/>
  <c r="J273" i="148"/>
  <c r="E273" i="148"/>
  <c r="F273" i="148"/>
  <c r="K273" i="148"/>
  <c r="I274" i="148"/>
  <c r="D274" i="148"/>
  <c r="J274" i="148"/>
  <c r="E274" i="148"/>
  <c r="F274" i="148"/>
  <c r="K274" i="148"/>
  <c r="I275" i="148"/>
  <c r="D275" i="148"/>
  <c r="J275" i="148"/>
  <c r="E275" i="148"/>
  <c r="F275" i="148"/>
  <c r="K275" i="148"/>
  <c r="I276" i="148"/>
  <c r="D276" i="148"/>
  <c r="J276" i="148"/>
  <c r="E276" i="148"/>
  <c r="F276" i="148"/>
  <c r="K276" i="148"/>
  <c r="I277" i="148"/>
  <c r="D277" i="148"/>
  <c r="J277" i="148"/>
  <c r="E277" i="148"/>
  <c r="F277" i="148"/>
  <c r="K277" i="148"/>
  <c r="I278" i="148"/>
  <c r="D278" i="148"/>
  <c r="J278" i="148"/>
  <c r="E278" i="148"/>
  <c r="F278" i="148"/>
  <c r="K278" i="148"/>
  <c r="I279" i="148"/>
  <c r="D279" i="148"/>
  <c r="J279" i="148"/>
  <c r="E279" i="148"/>
  <c r="F279" i="148"/>
  <c r="K279" i="148"/>
  <c r="I280" i="148"/>
  <c r="D280" i="148"/>
  <c r="J280" i="148"/>
  <c r="E280" i="148"/>
  <c r="F280" i="148"/>
  <c r="K280" i="148"/>
  <c r="I281" i="148"/>
  <c r="D281" i="148"/>
  <c r="J281" i="148"/>
  <c r="E281" i="148"/>
  <c r="F281" i="148"/>
  <c r="K281" i="148"/>
  <c r="I282" i="148"/>
  <c r="D282" i="148"/>
  <c r="J282" i="148"/>
  <c r="E282" i="148"/>
  <c r="F282" i="148"/>
  <c r="K282" i="148"/>
  <c r="I283" i="148"/>
  <c r="D283" i="148"/>
  <c r="J283" i="148"/>
  <c r="E283" i="148"/>
  <c r="F283" i="148"/>
  <c r="K283" i="148"/>
  <c r="I284" i="148"/>
  <c r="D284" i="148"/>
  <c r="J284" i="148"/>
  <c r="E284" i="148"/>
  <c r="F284" i="148"/>
  <c r="K284" i="148"/>
  <c r="I285" i="148"/>
  <c r="D285" i="148"/>
  <c r="J285" i="148"/>
  <c r="E285" i="148"/>
  <c r="F285" i="148"/>
  <c r="K285" i="148"/>
  <c r="I286" i="148"/>
  <c r="D286" i="148"/>
  <c r="J286" i="148"/>
  <c r="E286" i="148"/>
  <c r="F286" i="148"/>
  <c r="K286" i="148"/>
  <c r="I287" i="148"/>
  <c r="D287" i="148"/>
  <c r="J287" i="148"/>
  <c r="E287" i="148"/>
  <c r="F287" i="148"/>
  <c r="K287" i="148"/>
  <c r="I288" i="148"/>
  <c r="D288" i="148"/>
  <c r="J288" i="148"/>
  <c r="E288" i="148"/>
  <c r="F288" i="148"/>
  <c r="K288" i="148"/>
  <c r="I289" i="148"/>
  <c r="D289" i="148"/>
  <c r="J289" i="148"/>
  <c r="E289" i="148"/>
  <c r="F289" i="148"/>
  <c r="K289" i="148"/>
  <c r="I290" i="148"/>
  <c r="D290" i="148"/>
  <c r="J290" i="148"/>
  <c r="E290" i="148"/>
  <c r="F290" i="148"/>
  <c r="K290" i="148"/>
  <c r="I291" i="148"/>
  <c r="D291" i="148"/>
  <c r="J291" i="148"/>
  <c r="E291" i="148"/>
  <c r="F291" i="148"/>
  <c r="K291" i="148"/>
  <c r="I292" i="148"/>
  <c r="D292" i="148"/>
  <c r="J292" i="148"/>
  <c r="E292" i="148"/>
  <c r="F292" i="148"/>
  <c r="K292" i="148"/>
  <c r="I293" i="148"/>
  <c r="D293" i="148"/>
  <c r="J293" i="148"/>
  <c r="E293" i="148"/>
  <c r="F293" i="148"/>
  <c r="K293" i="148"/>
  <c r="I294" i="148"/>
  <c r="D294" i="148"/>
  <c r="J294" i="148"/>
  <c r="E294" i="148"/>
  <c r="F294" i="148"/>
  <c r="K294" i="148"/>
  <c r="I295" i="148"/>
  <c r="D295" i="148"/>
  <c r="J295" i="148"/>
  <c r="E295" i="148"/>
  <c r="F295" i="148"/>
  <c r="K295" i="148"/>
  <c r="I296" i="148"/>
  <c r="D296" i="148"/>
  <c r="J296" i="148"/>
  <c r="E296" i="148"/>
  <c r="F296" i="148"/>
  <c r="K296" i="148"/>
  <c r="I297" i="148"/>
  <c r="D297" i="148"/>
  <c r="J297" i="148"/>
  <c r="E297" i="148"/>
  <c r="F297" i="148"/>
  <c r="K297" i="148"/>
  <c r="I298" i="148"/>
  <c r="D298" i="148"/>
  <c r="J298" i="148"/>
  <c r="E298" i="148"/>
  <c r="F298" i="148"/>
  <c r="K298" i="148"/>
  <c r="I299" i="148"/>
  <c r="D299" i="148"/>
  <c r="J299" i="148"/>
  <c r="E299" i="148"/>
  <c r="F299" i="148"/>
  <c r="K299" i="148"/>
  <c r="I300" i="148"/>
  <c r="D300" i="148"/>
  <c r="J300" i="148"/>
  <c r="E300" i="148"/>
  <c r="F300" i="148"/>
  <c r="K300" i="148"/>
  <c r="I301" i="148"/>
  <c r="D301" i="148"/>
  <c r="J301" i="148"/>
  <c r="E301" i="148"/>
  <c r="F301" i="148"/>
  <c r="K301" i="148"/>
  <c r="I302" i="148"/>
  <c r="D302" i="148"/>
  <c r="J302" i="148"/>
  <c r="E302" i="148"/>
  <c r="F302" i="148"/>
  <c r="K302" i="148"/>
  <c r="I303" i="148"/>
  <c r="D303" i="148"/>
  <c r="J303" i="148"/>
  <c r="E303" i="148"/>
  <c r="F303" i="148"/>
  <c r="K303" i="148"/>
  <c r="I304" i="148"/>
  <c r="D304" i="148"/>
  <c r="J304" i="148"/>
  <c r="E304" i="148"/>
  <c r="F304" i="148"/>
  <c r="K304" i="148"/>
  <c r="I305" i="148"/>
  <c r="D305" i="148"/>
  <c r="J305" i="148"/>
  <c r="E305" i="148"/>
  <c r="F305" i="148"/>
  <c r="K305" i="148"/>
  <c r="I306" i="148"/>
  <c r="D306" i="148"/>
  <c r="J306" i="148"/>
  <c r="E306" i="148"/>
  <c r="F306" i="148"/>
  <c r="K306" i="148"/>
  <c r="I307" i="148"/>
  <c r="D307" i="148"/>
  <c r="J307" i="148"/>
  <c r="E307" i="148"/>
  <c r="F307" i="148"/>
  <c r="K307" i="148"/>
  <c r="I308" i="148"/>
  <c r="D308" i="148"/>
  <c r="J308" i="148"/>
  <c r="E308" i="148"/>
  <c r="F308" i="148"/>
  <c r="K308" i="148"/>
  <c r="I309" i="148"/>
  <c r="D309" i="148"/>
  <c r="J309" i="148"/>
  <c r="E309" i="148"/>
  <c r="F309" i="148"/>
  <c r="K309" i="148"/>
  <c r="I310" i="148"/>
  <c r="D310" i="148"/>
  <c r="J310" i="148"/>
  <c r="E310" i="148"/>
  <c r="F310" i="148"/>
  <c r="K310" i="148"/>
  <c r="I311" i="148"/>
  <c r="D311" i="148"/>
  <c r="J311" i="148"/>
  <c r="E311" i="148"/>
  <c r="F311" i="148"/>
  <c r="K311" i="148"/>
  <c r="I312" i="148"/>
  <c r="D312" i="148"/>
  <c r="J312" i="148"/>
  <c r="E312" i="148"/>
  <c r="F312" i="148"/>
  <c r="K312" i="148"/>
  <c r="I313" i="148"/>
  <c r="D313" i="148"/>
  <c r="J313" i="148"/>
  <c r="E313" i="148"/>
  <c r="F313" i="148"/>
  <c r="K313" i="148"/>
  <c r="I314" i="148"/>
  <c r="D314" i="148"/>
  <c r="J314" i="148"/>
  <c r="E314" i="148"/>
  <c r="F314" i="148"/>
  <c r="K314" i="148"/>
  <c r="I315" i="148"/>
  <c r="D315" i="148"/>
  <c r="J315" i="148"/>
  <c r="E315" i="148"/>
  <c r="F315" i="148"/>
  <c r="K315" i="148"/>
  <c r="I316" i="148"/>
  <c r="D316" i="148"/>
  <c r="J316" i="148"/>
  <c r="E316" i="148"/>
  <c r="F316" i="148"/>
  <c r="K316" i="148"/>
  <c r="I317" i="148"/>
  <c r="D317" i="148"/>
  <c r="J317" i="148"/>
  <c r="E317" i="148"/>
  <c r="F317" i="148"/>
  <c r="K317" i="148"/>
  <c r="I318" i="148"/>
  <c r="D318" i="148"/>
  <c r="J318" i="148"/>
  <c r="E318" i="148"/>
  <c r="F318" i="148"/>
  <c r="K318" i="148"/>
  <c r="I319" i="148"/>
  <c r="D319" i="148"/>
  <c r="J319" i="148"/>
  <c r="E319" i="148"/>
  <c r="F319" i="148"/>
  <c r="K319" i="148"/>
  <c r="I320" i="148"/>
  <c r="D320" i="148"/>
  <c r="J320" i="148"/>
  <c r="E320" i="148"/>
  <c r="F320" i="148"/>
  <c r="K320" i="148"/>
  <c r="I321" i="148"/>
  <c r="D321" i="148"/>
  <c r="J321" i="148"/>
  <c r="E321" i="148"/>
  <c r="F321" i="148"/>
  <c r="K321" i="148"/>
  <c r="I322" i="148"/>
  <c r="D322" i="148"/>
  <c r="J322" i="148"/>
  <c r="E322" i="148"/>
  <c r="F322" i="148"/>
  <c r="K322" i="148"/>
  <c r="I323" i="148"/>
  <c r="D323" i="148"/>
  <c r="J323" i="148"/>
  <c r="E323" i="148"/>
  <c r="F323" i="148"/>
  <c r="K323" i="148"/>
  <c r="I324" i="148"/>
  <c r="D324" i="148"/>
  <c r="J324" i="148"/>
  <c r="E324" i="148"/>
  <c r="F324" i="148"/>
  <c r="K324" i="148"/>
  <c r="I325" i="148"/>
  <c r="D325" i="148"/>
  <c r="J325" i="148"/>
  <c r="E325" i="148"/>
  <c r="F325" i="148"/>
  <c r="K325" i="148"/>
  <c r="I326" i="148"/>
  <c r="D326" i="148"/>
  <c r="J326" i="148"/>
  <c r="E326" i="148"/>
  <c r="F326" i="148"/>
  <c r="K326" i="148"/>
  <c r="I327" i="148"/>
  <c r="D327" i="148"/>
  <c r="J327" i="148"/>
  <c r="E327" i="148"/>
  <c r="F327" i="148"/>
  <c r="K327" i="148"/>
  <c r="I328" i="148"/>
  <c r="D328" i="148"/>
  <c r="J328" i="148"/>
  <c r="E328" i="148"/>
  <c r="F328" i="148"/>
  <c r="K328" i="148"/>
  <c r="I329" i="148"/>
  <c r="D329" i="148"/>
  <c r="J329" i="148"/>
  <c r="E329" i="148"/>
  <c r="F329" i="148"/>
  <c r="K329" i="148"/>
  <c r="I330" i="148"/>
  <c r="D330" i="148"/>
  <c r="J330" i="148"/>
  <c r="E330" i="148"/>
  <c r="F330" i="148"/>
  <c r="K330" i="148"/>
  <c r="I331" i="148"/>
  <c r="D331" i="148"/>
  <c r="J331" i="148"/>
  <c r="E331" i="148"/>
  <c r="F331" i="148"/>
  <c r="K331" i="148"/>
  <c r="I332" i="148"/>
  <c r="D332" i="148"/>
  <c r="J332" i="148"/>
  <c r="E332" i="148"/>
  <c r="F332" i="148"/>
  <c r="K332" i="148"/>
  <c r="I333" i="148"/>
  <c r="D333" i="148"/>
  <c r="J333" i="148"/>
  <c r="E333" i="148"/>
  <c r="F333" i="148"/>
  <c r="K333" i="148"/>
  <c r="I334" i="148"/>
  <c r="D334" i="148"/>
  <c r="J334" i="148"/>
  <c r="E334" i="148"/>
  <c r="F334" i="148"/>
  <c r="K334" i="148"/>
  <c r="I335" i="148"/>
  <c r="D335" i="148"/>
  <c r="J335" i="148"/>
  <c r="E335" i="148"/>
  <c r="F335" i="148"/>
  <c r="K335" i="148"/>
  <c r="I336" i="148"/>
  <c r="D336" i="148"/>
  <c r="J336" i="148"/>
  <c r="E336" i="148"/>
  <c r="F336" i="148"/>
  <c r="K336" i="148"/>
  <c r="I337" i="148"/>
  <c r="D337" i="148"/>
  <c r="J337" i="148"/>
  <c r="E337" i="148"/>
  <c r="F337" i="148"/>
  <c r="K337" i="148"/>
  <c r="I338" i="148"/>
  <c r="D338" i="148"/>
  <c r="J338" i="148"/>
  <c r="E338" i="148"/>
  <c r="F338" i="148"/>
  <c r="K338" i="148"/>
  <c r="I339" i="148"/>
  <c r="D339" i="148"/>
  <c r="J339" i="148"/>
  <c r="E339" i="148"/>
  <c r="F339" i="148"/>
  <c r="K339" i="148"/>
  <c r="I340" i="148"/>
  <c r="D340" i="148"/>
  <c r="J340" i="148"/>
  <c r="E340" i="148"/>
  <c r="F340" i="148"/>
  <c r="K340" i="148"/>
  <c r="I346" i="148"/>
  <c r="D346" i="148"/>
  <c r="J346" i="148"/>
  <c r="E346" i="148"/>
  <c r="F346" i="148"/>
  <c r="K346" i="148"/>
  <c r="F57" i="147"/>
  <c r="G57" i="147"/>
  <c r="G50" i="147"/>
  <c r="C49" i="147"/>
  <c r="B50" i="147"/>
  <c r="A2" i="106"/>
  <c r="A341" i="82"/>
  <c r="I341" i="82"/>
  <c r="D341" i="82"/>
  <c r="J341" i="82"/>
  <c r="E341" i="82"/>
  <c r="F341" i="82"/>
  <c r="K341" i="82"/>
  <c r="G341" i="82"/>
  <c r="C341" i="82"/>
  <c r="H341" i="82"/>
  <c r="L341" i="82"/>
  <c r="M341" i="82"/>
  <c r="N341" i="82"/>
  <c r="I342" i="82"/>
  <c r="D342" i="82"/>
  <c r="J342" i="82"/>
  <c r="E342" i="82"/>
  <c r="F342" i="82"/>
  <c r="K342" i="82"/>
  <c r="G342" i="82"/>
  <c r="C342" i="82"/>
  <c r="I343" i="82"/>
  <c r="D343" i="82"/>
  <c r="J343" i="82"/>
  <c r="E343" i="82"/>
  <c r="F343" i="82"/>
  <c r="K343" i="82"/>
  <c r="G343" i="82"/>
  <c r="C343" i="82"/>
  <c r="I344" i="82"/>
  <c r="D344" i="82"/>
  <c r="J344" i="82"/>
  <c r="E344" i="82"/>
  <c r="F344" i="82"/>
  <c r="K344" i="82"/>
  <c r="G344" i="82"/>
  <c r="C344" i="82"/>
  <c r="I345" i="82"/>
  <c r="D345" i="82"/>
  <c r="J345" i="82"/>
  <c r="E345" i="82"/>
  <c r="F345" i="82"/>
  <c r="K345" i="82"/>
  <c r="G345" i="82"/>
  <c r="C345" i="82"/>
  <c r="F5" i="106"/>
  <c r="F7" i="106"/>
  <c r="A51" i="106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G29" i="106"/>
  <c r="H29" i="106"/>
  <c r="F6" i="106"/>
  <c r="E6" i="106"/>
  <c r="E44" i="106"/>
  <c r="B44" i="106"/>
  <c r="G44" i="106"/>
  <c r="H44" i="106"/>
  <c r="O341" i="82"/>
  <c r="F8" i="106"/>
  <c r="E8" i="106"/>
  <c r="E34" i="106"/>
  <c r="B34" i="106"/>
  <c r="E39" i="106"/>
  <c r="B39" i="106"/>
  <c r="B32" i="106"/>
  <c r="G32" i="106"/>
  <c r="E32" i="106"/>
  <c r="H32" i="106"/>
  <c r="O2" i="82"/>
  <c r="E33" i="106"/>
  <c r="B33" i="106"/>
  <c r="G33" i="106"/>
  <c r="H33" i="106"/>
  <c r="O3" i="82"/>
  <c r="E7" i="106"/>
  <c r="E19" i="106"/>
  <c r="B19" i="106"/>
  <c r="E24" i="106"/>
  <c r="B24" i="106"/>
  <c r="B17" i="106"/>
  <c r="G17" i="106"/>
  <c r="E17" i="106"/>
  <c r="H17" i="106"/>
  <c r="O4" i="82"/>
  <c r="E18" i="106"/>
  <c r="B18" i="106"/>
  <c r="G18" i="106"/>
  <c r="H18" i="106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39" i="106"/>
  <c r="H39" i="106"/>
  <c r="O42" i="82"/>
  <c r="E40" i="106"/>
  <c r="B40" i="106"/>
  <c r="G40" i="106"/>
  <c r="H40" i="106"/>
  <c r="O43" i="82"/>
  <c r="E41" i="106"/>
  <c r="B41" i="106"/>
  <c r="G41" i="106"/>
  <c r="H41" i="106"/>
  <c r="O44" i="82"/>
  <c r="G24" i="106"/>
  <c r="H24" i="106"/>
  <c r="O45" i="82"/>
  <c r="E25" i="106"/>
  <c r="B25" i="106"/>
  <c r="G25" i="106"/>
  <c r="H25" i="106"/>
  <c r="O46" i="82"/>
  <c r="E26" i="106"/>
  <c r="B26" i="106"/>
  <c r="G26" i="106"/>
  <c r="H26" i="106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G34" i="106"/>
  <c r="H34" i="106"/>
  <c r="O54" i="82"/>
  <c r="E35" i="106"/>
  <c r="B35" i="106"/>
  <c r="G35" i="106"/>
  <c r="H35" i="106"/>
  <c r="O55" i="82"/>
  <c r="E36" i="106"/>
  <c r="B36" i="106"/>
  <c r="G36" i="106"/>
  <c r="H36" i="106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42" i="106"/>
  <c r="B42" i="106"/>
  <c r="G42" i="106"/>
  <c r="H42" i="106"/>
  <c r="O138" i="82"/>
  <c r="E43" i="106"/>
  <c r="B43" i="106"/>
  <c r="G43" i="106"/>
  <c r="H43" i="106"/>
  <c r="O139" i="82"/>
  <c r="E27" i="106"/>
  <c r="B27" i="106"/>
  <c r="G27" i="106"/>
  <c r="H27" i="106"/>
  <c r="O140" i="82"/>
  <c r="E28" i="106"/>
  <c r="B28" i="106"/>
  <c r="G28" i="106"/>
  <c r="H28" i="106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E38" i="106"/>
  <c r="B38" i="106"/>
  <c r="G38" i="106"/>
  <c r="H38" i="106"/>
  <c r="O215" i="82"/>
  <c r="E23" i="106"/>
  <c r="B23" i="106"/>
  <c r="G23" i="106"/>
  <c r="H23" i="106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E37" i="106"/>
  <c r="B37" i="106"/>
  <c r="G37" i="106"/>
  <c r="H37" i="106"/>
  <c r="O262" i="82"/>
  <c r="O263" i="82"/>
  <c r="E22" i="106"/>
  <c r="B22" i="106"/>
  <c r="G22" i="106"/>
  <c r="H22" i="106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2" i="82"/>
  <c r="O343" i="82"/>
  <c r="O344" i="82"/>
  <c r="O345" i="82"/>
  <c r="R3" i="106"/>
  <c r="O346" i="82"/>
  <c r="P341" i="82"/>
  <c r="A342" i="82"/>
  <c r="H342" i="82"/>
  <c r="L342" i="82"/>
  <c r="M342" i="82"/>
  <c r="N342" i="82"/>
  <c r="P342" i="82"/>
  <c r="A343" i="82"/>
  <c r="H343" i="82"/>
  <c r="L343" i="82"/>
  <c r="M343" i="82"/>
  <c r="N343" i="82"/>
  <c r="P343" i="82"/>
  <c r="A344" i="82"/>
  <c r="H344" i="82"/>
  <c r="L344" i="82"/>
  <c r="M344" i="82"/>
  <c r="N344" i="82"/>
  <c r="P344" i="82"/>
  <c r="A345" i="82"/>
  <c r="H345" i="82"/>
  <c r="L345" i="82"/>
  <c r="M345" i="82"/>
  <c r="N345" i="82"/>
  <c r="P345" i="82"/>
  <c r="B10" i="147"/>
  <c r="B46" i="147"/>
  <c r="G46" i="147"/>
  <c r="E46" i="147"/>
  <c r="H46" i="147"/>
  <c r="B11" i="147"/>
  <c r="I2" i="82"/>
  <c r="J2" i="82"/>
  <c r="D2" i="82"/>
  <c r="E2" i="82"/>
  <c r="F2" i="82"/>
  <c r="K2" i="82"/>
  <c r="G2" i="82"/>
  <c r="C2" i="82"/>
  <c r="I3" i="82"/>
  <c r="J3" i="82"/>
  <c r="D3" i="82"/>
  <c r="E3" i="82"/>
  <c r="F3" i="82"/>
  <c r="K3" i="82"/>
  <c r="G3" i="82"/>
  <c r="C3" i="82"/>
  <c r="I4" i="82"/>
  <c r="J4" i="82"/>
  <c r="D4" i="82"/>
  <c r="E4" i="82"/>
  <c r="F4" i="82"/>
  <c r="K4" i="82"/>
  <c r="G4" i="82"/>
  <c r="C4" i="82"/>
  <c r="I5" i="82"/>
  <c r="J5" i="82"/>
  <c r="D5" i="82"/>
  <c r="E5" i="82"/>
  <c r="F5" i="82"/>
  <c r="K5" i="82"/>
  <c r="G5" i="82"/>
  <c r="C5" i="82"/>
  <c r="I6" i="82"/>
  <c r="J6" i="82"/>
  <c r="D6" i="82"/>
  <c r="E6" i="82"/>
  <c r="F6" i="82"/>
  <c r="K6" i="82"/>
  <c r="G6" i="82"/>
  <c r="C6" i="82"/>
  <c r="I7" i="82"/>
  <c r="J7" i="82"/>
  <c r="D7" i="82"/>
  <c r="E7" i="82"/>
  <c r="F7" i="82"/>
  <c r="K7" i="82"/>
  <c r="G7" i="82"/>
  <c r="C7" i="82"/>
  <c r="I8" i="82"/>
  <c r="J8" i="82"/>
  <c r="D8" i="82"/>
  <c r="E8" i="82"/>
  <c r="F8" i="82"/>
  <c r="K8" i="82"/>
  <c r="G8" i="82"/>
  <c r="C8" i="82"/>
  <c r="I9" i="82"/>
  <c r="J9" i="82"/>
  <c r="D9" i="82"/>
  <c r="E9" i="82"/>
  <c r="F9" i="82"/>
  <c r="K9" i="82"/>
  <c r="G9" i="82"/>
  <c r="C9" i="82"/>
  <c r="I10" i="82"/>
  <c r="J10" i="82"/>
  <c r="D10" i="82"/>
  <c r="E10" i="82"/>
  <c r="F10" i="82"/>
  <c r="K10" i="82"/>
  <c r="G10" i="82"/>
  <c r="C10" i="82"/>
  <c r="I11" i="82"/>
  <c r="J11" i="82"/>
  <c r="D11" i="82"/>
  <c r="E11" i="82"/>
  <c r="F11" i="82"/>
  <c r="K11" i="82"/>
  <c r="G11" i="82"/>
  <c r="C11" i="82"/>
  <c r="I12" i="82"/>
  <c r="J12" i="82"/>
  <c r="D12" i="82"/>
  <c r="E12" i="82"/>
  <c r="F12" i="82"/>
  <c r="K12" i="82"/>
  <c r="G12" i="82"/>
  <c r="C12" i="82"/>
  <c r="I13" i="82"/>
  <c r="J13" i="82"/>
  <c r="D13" i="82"/>
  <c r="E13" i="82"/>
  <c r="F13" i="82"/>
  <c r="K13" i="82"/>
  <c r="G13" i="82"/>
  <c r="C13" i="82"/>
  <c r="I14" i="82"/>
  <c r="J14" i="82"/>
  <c r="D14" i="82"/>
  <c r="E14" i="82"/>
  <c r="F14" i="82"/>
  <c r="K14" i="82"/>
  <c r="G14" i="82"/>
  <c r="C14" i="82"/>
  <c r="I15" i="82"/>
  <c r="J15" i="82"/>
  <c r="D15" i="82"/>
  <c r="E15" i="82"/>
  <c r="F15" i="82"/>
  <c r="K15" i="82"/>
  <c r="G15" i="82"/>
  <c r="C15" i="82"/>
  <c r="I16" i="82"/>
  <c r="J16" i="82"/>
  <c r="D16" i="82"/>
  <c r="E16" i="82"/>
  <c r="F16" i="82"/>
  <c r="K16" i="82"/>
  <c r="G16" i="82"/>
  <c r="C16" i="82"/>
  <c r="I17" i="82"/>
  <c r="J17" i="82"/>
  <c r="D17" i="82"/>
  <c r="E17" i="82"/>
  <c r="F17" i="82"/>
  <c r="K17" i="82"/>
  <c r="G17" i="82"/>
  <c r="C17" i="82"/>
  <c r="I18" i="82"/>
  <c r="J18" i="82"/>
  <c r="D18" i="82"/>
  <c r="E18" i="82"/>
  <c r="F18" i="82"/>
  <c r="K18" i="82"/>
  <c r="G18" i="82"/>
  <c r="C18" i="82"/>
  <c r="I19" i="82"/>
  <c r="J19" i="82"/>
  <c r="D19" i="82"/>
  <c r="E19" i="82"/>
  <c r="F19" i="82"/>
  <c r="K19" i="82"/>
  <c r="G19" i="82"/>
  <c r="C19" i="82"/>
  <c r="I20" i="82"/>
  <c r="J20" i="82"/>
  <c r="D20" i="82"/>
  <c r="E20" i="82"/>
  <c r="F20" i="82"/>
  <c r="K20" i="82"/>
  <c r="G20" i="82"/>
  <c r="C20" i="82"/>
  <c r="I21" i="82"/>
  <c r="J21" i="82"/>
  <c r="D21" i="82"/>
  <c r="E21" i="82"/>
  <c r="F21" i="82"/>
  <c r="K21" i="82"/>
  <c r="G21" i="82"/>
  <c r="C21" i="82"/>
  <c r="I22" i="82"/>
  <c r="J22" i="82"/>
  <c r="D22" i="82"/>
  <c r="E22" i="82"/>
  <c r="F22" i="82"/>
  <c r="K22" i="82"/>
  <c r="G22" i="82"/>
  <c r="C22" i="82"/>
  <c r="I23" i="82"/>
  <c r="J23" i="82"/>
  <c r="D23" i="82"/>
  <c r="E23" i="82"/>
  <c r="F23" i="82"/>
  <c r="K23" i="82"/>
  <c r="G23" i="82"/>
  <c r="C23" i="82"/>
  <c r="I24" i="82"/>
  <c r="J24" i="82"/>
  <c r="D24" i="82"/>
  <c r="E24" i="82"/>
  <c r="F24" i="82"/>
  <c r="K24" i="82"/>
  <c r="G24" i="82"/>
  <c r="C24" i="82"/>
  <c r="I25" i="82"/>
  <c r="J25" i="82"/>
  <c r="D25" i="82"/>
  <c r="E25" i="82"/>
  <c r="F25" i="82"/>
  <c r="K25" i="82"/>
  <c r="G25" i="82"/>
  <c r="C25" i="82"/>
  <c r="I26" i="82"/>
  <c r="J26" i="82"/>
  <c r="D26" i="82"/>
  <c r="E26" i="82"/>
  <c r="F26" i="82"/>
  <c r="K26" i="82"/>
  <c r="G26" i="82"/>
  <c r="C26" i="82"/>
  <c r="I27" i="82"/>
  <c r="J27" i="82"/>
  <c r="D27" i="82"/>
  <c r="E27" i="82"/>
  <c r="F27" i="82"/>
  <c r="K27" i="82"/>
  <c r="G27" i="82"/>
  <c r="C27" i="82"/>
  <c r="I28" i="82"/>
  <c r="J28" i="82"/>
  <c r="D28" i="82"/>
  <c r="E28" i="82"/>
  <c r="F28" i="82"/>
  <c r="K28" i="82"/>
  <c r="G28" i="82"/>
  <c r="C28" i="82"/>
  <c r="I29" i="82"/>
  <c r="J29" i="82"/>
  <c r="D29" i="82"/>
  <c r="E29" i="82"/>
  <c r="F29" i="82"/>
  <c r="K29" i="82"/>
  <c r="G29" i="82"/>
  <c r="C29" i="82"/>
  <c r="I30" i="82"/>
  <c r="J30" i="82"/>
  <c r="D30" i="82"/>
  <c r="E30" i="82"/>
  <c r="F30" i="82"/>
  <c r="K30" i="82"/>
  <c r="G30" i="82"/>
  <c r="C30" i="82"/>
  <c r="I31" i="82"/>
  <c r="J31" i="82"/>
  <c r="D31" i="82"/>
  <c r="E31" i="82"/>
  <c r="F31" i="82"/>
  <c r="K31" i="82"/>
  <c r="G31" i="82"/>
  <c r="C31" i="82"/>
  <c r="I32" i="82"/>
  <c r="J32" i="82"/>
  <c r="D32" i="82"/>
  <c r="E32" i="82"/>
  <c r="F32" i="82"/>
  <c r="K32" i="82"/>
  <c r="G32" i="82"/>
  <c r="C32" i="82"/>
  <c r="I33" i="82"/>
  <c r="J33" i="82"/>
  <c r="D33" i="82"/>
  <c r="E33" i="82"/>
  <c r="F33" i="82"/>
  <c r="K33" i="82"/>
  <c r="G33" i="82"/>
  <c r="C33" i="82"/>
  <c r="I34" i="82"/>
  <c r="J34" i="82"/>
  <c r="D34" i="82"/>
  <c r="E34" i="82"/>
  <c r="F34" i="82"/>
  <c r="K34" i="82"/>
  <c r="G34" i="82"/>
  <c r="C34" i="82"/>
  <c r="I35" i="82"/>
  <c r="J35" i="82"/>
  <c r="D35" i="82"/>
  <c r="E35" i="82"/>
  <c r="F35" i="82"/>
  <c r="K35" i="82"/>
  <c r="G35" i="82"/>
  <c r="C35" i="82"/>
  <c r="I36" i="82"/>
  <c r="J36" i="82"/>
  <c r="D36" i="82"/>
  <c r="E36" i="82"/>
  <c r="F36" i="82"/>
  <c r="K36" i="82"/>
  <c r="G36" i="82"/>
  <c r="C36" i="82"/>
  <c r="I37" i="82"/>
  <c r="J37" i="82"/>
  <c r="D37" i="82"/>
  <c r="E37" i="82"/>
  <c r="F37" i="82"/>
  <c r="K37" i="82"/>
  <c r="G37" i="82"/>
  <c r="C37" i="82"/>
  <c r="I38" i="82"/>
  <c r="J38" i="82"/>
  <c r="D38" i="82"/>
  <c r="E38" i="82"/>
  <c r="F38" i="82"/>
  <c r="K38" i="82"/>
  <c r="G38" i="82"/>
  <c r="C38" i="82"/>
  <c r="I39" i="82"/>
  <c r="J39" i="82"/>
  <c r="D39" i="82"/>
  <c r="E39" i="82"/>
  <c r="F39" i="82"/>
  <c r="K39" i="82"/>
  <c r="G39" i="82"/>
  <c r="C39" i="82"/>
  <c r="I40" i="82"/>
  <c r="J40" i="82"/>
  <c r="D40" i="82"/>
  <c r="E40" i="82"/>
  <c r="F40" i="82"/>
  <c r="K40" i="82"/>
  <c r="G40" i="82"/>
  <c r="C40" i="82"/>
  <c r="I41" i="82"/>
  <c r="J41" i="82"/>
  <c r="D41" i="82"/>
  <c r="E41" i="82"/>
  <c r="F41" i="82"/>
  <c r="K41" i="82"/>
  <c r="G41" i="82"/>
  <c r="C41" i="82"/>
  <c r="I42" i="82"/>
  <c r="D42" i="82"/>
  <c r="J42" i="82"/>
  <c r="E42" i="82"/>
  <c r="F42" i="82"/>
  <c r="K42" i="82"/>
  <c r="G42" i="82"/>
  <c r="C42" i="82"/>
  <c r="I43" i="82"/>
  <c r="D43" i="82"/>
  <c r="J43" i="82"/>
  <c r="E43" i="82"/>
  <c r="F43" i="82"/>
  <c r="K43" i="82"/>
  <c r="G43" i="82"/>
  <c r="C43" i="82"/>
  <c r="I44" i="82"/>
  <c r="D44" i="82"/>
  <c r="J44" i="82"/>
  <c r="E44" i="82"/>
  <c r="F44" i="82"/>
  <c r="K44" i="82"/>
  <c r="G44" i="82"/>
  <c r="C44" i="82"/>
  <c r="I45" i="82"/>
  <c r="D45" i="82"/>
  <c r="J45" i="82"/>
  <c r="E45" i="82"/>
  <c r="F45" i="82"/>
  <c r="K45" i="82"/>
  <c r="G45" i="82"/>
  <c r="C45" i="82"/>
  <c r="I46" i="82"/>
  <c r="D46" i="82"/>
  <c r="J46" i="82"/>
  <c r="E46" i="82"/>
  <c r="F46" i="82"/>
  <c r="K46" i="82"/>
  <c r="G46" i="82"/>
  <c r="C46" i="82"/>
  <c r="I47" i="82"/>
  <c r="D47" i="82"/>
  <c r="J47" i="82"/>
  <c r="E47" i="82"/>
  <c r="F47" i="82"/>
  <c r="K47" i="82"/>
  <c r="G47" i="82"/>
  <c r="C47" i="82"/>
  <c r="I48" i="82"/>
  <c r="D48" i="82"/>
  <c r="J48" i="82"/>
  <c r="E48" i="82"/>
  <c r="F48" i="82"/>
  <c r="K48" i="82"/>
  <c r="G48" i="82"/>
  <c r="C48" i="82"/>
  <c r="I49" i="82"/>
  <c r="D49" i="82"/>
  <c r="J49" i="82"/>
  <c r="E49" i="82"/>
  <c r="F49" i="82"/>
  <c r="K49" i="82"/>
  <c r="G49" i="82"/>
  <c r="C49" i="82"/>
  <c r="I50" i="82"/>
  <c r="D50" i="82"/>
  <c r="J50" i="82"/>
  <c r="E50" i="82"/>
  <c r="F50" i="82"/>
  <c r="K50" i="82"/>
  <c r="G50" i="82"/>
  <c r="C50" i="82"/>
  <c r="I51" i="82"/>
  <c r="D51" i="82"/>
  <c r="J51" i="82"/>
  <c r="E51" i="82"/>
  <c r="F51" i="82"/>
  <c r="K51" i="82"/>
  <c r="G51" i="82"/>
  <c r="C51" i="82"/>
  <c r="I52" i="82"/>
  <c r="D52" i="82"/>
  <c r="J52" i="82"/>
  <c r="E52" i="82"/>
  <c r="F52" i="82"/>
  <c r="K52" i="82"/>
  <c r="G52" i="82"/>
  <c r="C52" i="82"/>
  <c r="I53" i="82"/>
  <c r="D53" i="82"/>
  <c r="J53" i="82"/>
  <c r="E53" i="82"/>
  <c r="F53" i="82"/>
  <c r="K53" i="82"/>
  <c r="G53" i="82"/>
  <c r="C53" i="82"/>
  <c r="I54" i="82"/>
  <c r="D54" i="82"/>
  <c r="J54" i="82"/>
  <c r="E54" i="82"/>
  <c r="F54" i="82"/>
  <c r="K54" i="82"/>
  <c r="G54" i="82"/>
  <c r="C54" i="82"/>
  <c r="I55" i="82"/>
  <c r="D55" i="82"/>
  <c r="J55" i="82"/>
  <c r="E55" i="82"/>
  <c r="F55" i="82"/>
  <c r="K55" i="82"/>
  <c r="G55" i="82"/>
  <c r="C55" i="82"/>
  <c r="I56" i="82"/>
  <c r="D56" i="82"/>
  <c r="J56" i="82"/>
  <c r="E56" i="82"/>
  <c r="F56" i="82"/>
  <c r="K56" i="82"/>
  <c r="G56" i="82"/>
  <c r="C56" i="82"/>
  <c r="I57" i="82"/>
  <c r="D57" i="82"/>
  <c r="J57" i="82"/>
  <c r="E57" i="82"/>
  <c r="F57" i="82"/>
  <c r="K57" i="82"/>
  <c r="G57" i="82"/>
  <c r="C57" i="82"/>
  <c r="I58" i="82"/>
  <c r="D58" i="82"/>
  <c r="J58" i="82"/>
  <c r="E58" i="82"/>
  <c r="F58" i="82"/>
  <c r="K58" i="82"/>
  <c r="G58" i="82"/>
  <c r="C58" i="82"/>
  <c r="I59" i="82"/>
  <c r="D59" i="82"/>
  <c r="J59" i="82"/>
  <c r="E59" i="82"/>
  <c r="F59" i="82"/>
  <c r="K59" i="82"/>
  <c r="G59" i="82"/>
  <c r="C59" i="82"/>
  <c r="I60" i="82"/>
  <c r="D60" i="82"/>
  <c r="J60" i="82"/>
  <c r="E60" i="82"/>
  <c r="F60" i="82"/>
  <c r="K60" i="82"/>
  <c r="G60" i="82"/>
  <c r="C60" i="82"/>
  <c r="I61" i="82"/>
  <c r="D61" i="82"/>
  <c r="J61" i="82"/>
  <c r="E61" i="82"/>
  <c r="F61" i="82"/>
  <c r="K61" i="82"/>
  <c r="G61" i="82"/>
  <c r="C61" i="82"/>
  <c r="I62" i="82"/>
  <c r="D62" i="82"/>
  <c r="J62" i="82"/>
  <c r="E62" i="82"/>
  <c r="F62" i="82"/>
  <c r="K62" i="82"/>
  <c r="G62" i="82"/>
  <c r="C62" i="82"/>
  <c r="I63" i="82"/>
  <c r="D63" i="82"/>
  <c r="J63" i="82"/>
  <c r="E63" i="82"/>
  <c r="F63" i="82"/>
  <c r="K63" i="82"/>
  <c r="G63" i="82"/>
  <c r="C63" i="82"/>
  <c r="I64" i="82"/>
  <c r="D64" i="82"/>
  <c r="J64" i="82"/>
  <c r="E64" i="82"/>
  <c r="F64" i="82"/>
  <c r="K64" i="82"/>
  <c r="G64" i="82"/>
  <c r="C64" i="82"/>
  <c r="I65" i="82"/>
  <c r="D65" i="82"/>
  <c r="J65" i="82"/>
  <c r="E65" i="82"/>
  <c r="F65" i="82"/>
  <c r="K65" i="82"/>
  <c r="G65" i="82"/>
  <c r="C65" i="82"/>
  <c r="I66" i="82"/>
  <c r="D66" i="82"/>
  <c r="J66" i="82"/>
  <c r="E66" i="82"/>
  <c r="F66" i="82"/>
  <c r="K66" i="82"/>
  <c r="G66" i="82"/>
  <c r="C66" i="82"/>
  <c r="I67" i="82"/>
  <c r="D67" i="82"/>
  <c r="J67" i="82"/>
  <c r="E67" i="82"/>
  <c r="F67" i="82"/>
  <c r="K67" i="82"/>
  <c r="G67" i="82"/>
  <c r="C67" i="82"/>
  <c r="I68" i="82"/>
  <c r="D68" i="82"/>
  <c r="J68" i="82"/>
  <c r="E68" i="82"/>
  <c r="F68" i="82"/>
  <c r="K68" i="82"/>
  <c r="G68" i="82"/>
  <c r="C68" i="82"/>
  <c r="I69" i="82"/>
  <c r="D69" i="82"/>
  <c r="J69" i="82"/>
  <c r="E69" i="82"/>
  <c r="F69" i="82"/>
  <c r="K69" i="82"/>
  <c r="G69" i="82"/>
  <c r="C69" i="82"/>
  <c r="I70" i="82"/>
  <c r="D70" i="82"/>
  <c r="J70" i="82"/>
  <c r="E70" i="82"/>
  <c r="F70" i="82"/>
  <c r="K70" i="82"/>
  <c r="G70" i="82"/>
  <c r="C70" i="82"/>
  <c r="I71" i="82"/>
  <c r="D71" i="82"/>
  <c r="J71" i="82"/>
  <c r="E71" i="82"/>
  <c r="F71" i="82"/>
  <c r="K71" i="82"/>
  <c r="G71" i="82"/>
  <c r="C71" i="82"/>
  <c r="I72" i="82"/>
  <c r="D72" i="82"/>
  <c r="J72" i="82"/>
  <c r="E72" i="82"/>
  <c r="F72" i="82"/>
  <c r="K72" i="82"/>
  <c r="G72" i="82"/>
  <c r="C72" i="82"/>
  <c r="I73" i="82"/>
  <c r="D73" i="82"/>
  <c r="J73" i="82"/>
  <c r="E73" i="82"/>
  <c r="F73" i="82"/>
  <c r="K73" i="82"/>
  <c r="G73" i="82"/>
  <c r="C73" i="82"/>
  <c r="I74" i="82"/>
  <c r="D74" i="82"/>
  <c r="J74" i="82"/>
  <c r="E74" i="82"/>
  <c r="F74" i="82"/>
  <c r="K74" i="82"/>
  <c r="G74" i="82"/>
  <c r="C74" i="82"/>
  <c r="I75" i="82"/>
  <c r="D75" i="82"/>
  <c r="J75" i="82"/>
  <c r="E75" i="82"/>
  <c r="F75" i="82"/>
  <c r="K75" i="82"/>
  <c r="G75" i="82"/>
  <c r="C75" i="82"/>
  <c r="I76" i="82"/>
  <c r="D76" i="82"/>
  <c r="J76" i="82"/>
  <c r="E76" i="82"/>
  <c r="F76" i="82"/>
  <c r="K76" i="82"/>
  <c r="G76" i="82"/>
  <c r="C76" i="82"/>
  <c r="I77" i="82"/>
  <c r="D77" i="82"/>
  <c r="J77" i="82"/>
  <c r="E77" i="82"/>
  <c r="F77" i="82"/>
  <c r="K77" i="82"/>
  <c r="G77" i="82"/>
  <c r="C77" i="82"/>
  <c r="I78" i="82"/>
  <c r="D78" i="82"/>
  <c r="J78" i="82"/>
  <c r="E78" i="82"/>
  <c r="F78" i="82"/>
  <c r="K78" i="82"/>
  <c r="G78" i="82"/>
  <c r="C78" i="82"/>
  <c r="I79" i="82"/>
  <c r="D79" i="82"/>
  <c r="J79" i="82"/>
  <c r="E79" i="82"/>
  <c r="F79" i="82"/>
  <c r="K79" i="82"/>
  <c r="G79" i="82"/>
  <c r="C79" i="82"/>
  <c r="I80" i="82"/>
  <c r="D80" i="82"/>
  <c r="J80" i="82"/>
  <c r="E80" i="82"/>
  <c r="F80" i="82"/>
  <c r="K80" i="82"/>
  <c r="G80" i="82"/>
  <c r="C80" i="82"/>
  <c r="I81" i="82"/>
  <c r="D81" i="82"/>
  <c r="J81" i="82"/>
  <c r="E81" i="82"/>
  <c r="F81" i="82"/>
  <c r="K81" i="82"/>
  <c r="G81" i="82"/>
  <c r="C81" i="82"/>
  <c r="I82" i="82"/>
  <c r="D82" i="82"/>
  <c r="J82" i="82"/>
  <c r="E82" i="82"/>
  <c r="F82" i="82"/>
  <c r="K82" i="82"/>
  <c r="G82" i="82"/>
  <c r="C82" i="82"/>
  <c r="I83" i="82"/>
  <c r="D83" i="82"/>
  <c r="J83" i="82"/>
  <c r="E83" i="82"/>
  <c r="F83" i="82"/>
  <c r="K83" i="82"/>
  <c r="G83" i="82"/>
  <c r="C83" i="82"/>
  <c r="I84" i="82"/>
  <c r="D84" i="82"/>
  <c r="J84" i="82"/>
  <c r="E84" i="82"/>
  <c r="F84" i="82"/>
  <c r="K84" i="82"/>
  <c r="G84" i="82"/>
  <c r="C84" i="82"/>
  <c r="I85" i="82"/>
  <c r="D85" i="82"/>
  <c r="J85" i="82"/>
  <c r="E85" i="82"/>
  <c r="F85" i="82"/>
  <c r="K85" i="82"/>
  <c r="G85" i="82"/>
  <c r="C85" i="82"/>
  <c r="I86" i="82"/>
  <c r="D86" i="82"/>
  <c r="J86" i="82"/>
  <c r="E86" i="82"/>
  <c r="F86" i="82"/>
  <c r="K86" i="82"/>
  <c r="G86" i="82"/>
  <c r="C86" i="82"/>
  <c r="I87" i="82"/>
  <c r="D87" i="82"/>
  <c r="J87" i="82"/>
  <c r="E87" i="82"/>
  <c r="F87" i="82"/>
  <c r="K87" i="82"/>
  <c r="G87" i="82"/>
  <c r="C87" i="82"/>
  <c r="I88" i="82"/>
  <c r="D88" i="82"/>
  <c r="J88" i="82"/>
  <c r="E88" i="82"/>
  <c r="F88" i="82"/>
  <c r="K88" i="82"/>
  <c r="G88" i="82"/>
  <c r="C88" i="82"/>
  <c r="I89" i="82"/>
  <c r="D89" i="82"/>
  <c r="J89" i="82"/>
  <c r="E89" i="82"/>
  <c r="F89" i="82"/>
  <c r="K89" i="82"/>
  <c r="G89" i="82"/>
  <c r="C89" i="82"/>
  <c r="I90" i="82"/>
  <c r="D90" i="82"/>
  <c r="J90" i="82"/>
  <c r="E90" i="82"/>
  <c r="F90" i="82"/>
  <c r="K90" i="82"/>
  <c r="G90" i="82"/>
  <c r="C90" i="82"/>
  <c r="I91" i="82"/>
  <c r="D91" i="82"/>
  <c r="J91" i="82"/>
  <c r="E91" i="82"/>
  <c r="F91" i="82"/>
  <c r="K91" i="82"/>
  <c r="G91" i="82"/>
  <c r="C91" i="82"/>
  <c r="I92" i="82"/>
  <c r="D92" i="82"/>
  <c r="J92" i="82"/>
  <c r="E92" i="82"/>
  <c r="F92" i="82"/>
  <c r="K92" i="82"/>
  <c r="G92" i="82"/>
  <c r="C92" i="82"/>
  <c r="I93" i="82"/>
  <c r="D93" i="82"/>
  <c r="J93" i="82"/>
  <c r="E93" i="82"/>
  <c r="F93" i="82"/>
  <c r="K93" i="82"/>
  <c r="G93" i="82"/>
  <c r="C93" i="82"/>
  <c r="I94" i="82"/>
  <c r="D94" i="82"/>
  <c r="J94" i="82"/>
  <c r="E94" i="82"/>
  <c r="F94" i="82"/>
  <c r="K94" i="82"/>
  <c r="G94" i="82"/>
  <c r="C94" i="82"/>
  <c r="I95" i="82"/>
  <c r="D95" i="82"/>
  <c r="J95" i="82"/>
  <c r="E95" i="82"/>
  <c r="F95" i="82"/>
  <c r="K95" i="82"/>
  <c r="G95" i="82"/>
  <c r="C95" i="82"/>
  <c r="I96" i="82"/>
  <c r="D96" i="82"/>
  <c r="J96" i="82"/>
  <c r="E96" i="82"/>
  <c r="F96" i="82"/>
  <c r="K96" i="82"/>
  <c r="G96" i="82"/>
  <c r="C96" i="82"/>
  <c r="I97" i="82"/>
  <c r="D97" i="82"/>
  <c r="J97" i="82"/>
  <c r="E97" i="82"/>
  <c r="F97" i="82"/>
  <c r="K97" i="82"/>
  <c r="G97" i="82"/>
  <c r="C97" i="82"/>
  <c r="I98" i="82"/>
  <c r="D98" i="82"/>
  <c r="J98" i="82"/>
  <c r="E98" i="82"/>
  <c r="F98" i="82"/>
  <c r="K98" i="82"/>
  <c r="G98" i="82"/>
  <c r="C98" i="82"/>
  <c r="I99" i="82"/>
  <c r="D99" i="82"/>
  <c r="J99" i="82"/>
  <c r="E99" i="82"/>
  <c r="F99" i="82"/>
  <c r="K99" i="82"/>
  <c r="G99" i="82"/>
  <c r="C99" i="82"/>
  <c r="I100" i="82"/>
  <c r="D100" i="82"/>
  <c r="J100" i="82"/>
  <c r="E100" i="82"/>
  <c r="F100" i="82"/>
  <c r="K100" i="82"/>
  <c r="G100" i="82"/>
  <c r="C100" i="82"/>
  <c r="I101" i="82"/>
  <c r="D101" i="82"/>
  <c r="J101" i="82"/>
  <c r="E101" i="82"/>
  <c r="F101" i="82"/>
  <c r="K101" i="82"/>
  <c r="G101" i="82"/>
  <c r="C101" i="82"/>
  <c r="I102" i="82"/>
  <c r="D102" i="82"/>
  <c r="J102" i="82"/>
  <c r="E102" i="82"/>
  <c r="F102" i="82"/>
  <c r="K102" i="82"/>
  <c r="G102" i="82"/>
  <c r="C102" i="82"/>
  <c r="I103" i="82"/>
  <c r="D103" i="82"/>
  <c r="J103" i="82"/>
  <c r="E103" i="82"/>
  <c r="F103" i="82"/>
  <c r="K103" i="82"/>
  <c r="G103" i="82"/>
  <c r="C103" i="82"/>
  <c r="I104" i="82"/>
  <c r="D104" i="82"/>
  <c r="J104" i="82"/>
  <c r="E104" i="82"/>
  <c r="F104" i="82"/>
  <c r="K104" i="82"/>
  <c r="G104" i="82"/>
  <c r="C104" i="82"/>
  <c r="I105" i="82"/>
  <c r="D105" i="82"/>
  <c r="J105" i="82"/>
  <c r="E105" i="82"/>
  <c r="F105" i="82"/>
  <c r="K105" i="82"/>
  <c r="G105" i="82"/>
  <c r="C105" i="82"/>
  <c r="I106" i="82"/>
  <c r="D106" i="82"/>
  <c r="J106" i="82"/>
  <c r="E106" i="82"/>
  <c r="F106" i="82"/>
  <c r="K106" i="82"/>
  <c r="G106" i="82"/>
  <c r="C106" i="82"/>
  <c r="I107" i="82"/>
  <c r="D107" i="82"/>
  <c r="J107" i="82"/>
  <c r="E107" i="82"/>
  <c r="F107" i="82"/>
  <c r="K107" i="82"/>
  <c r="G107" i="82"/>
  <c r="C107" i="82"/>
  <c r="I108" i="82"/>
  <c r="D108" i="82"/>
  <c r="J108" i="82"/>
  <c r="E108" i="82"/>
  <c r="F108" i="82"/>
  <c r="K108" i="82"/>
  <c r="G108" i="82"/>
  <c r="C108" i="82"/>
  <c r="I109" i="82"/>
  <c r="D109" i="82"/>
  <c r="J109" i="82"/>
  <c r="E109" i="82"/>
  <c r="F109" i="82"/>
  <c r="K109" i="82"/>
  <c r="G109" i="82"/>
  <c r="C109" i="82"/>
  <c r="I110" i="82"/>
  <c r="D110" i="82"/>
  <c r="J110" i="82"/>
  <c r="E110" i="82"/>
  <c r="F110" i="82"/>
  <c r="K110" i="82"/>
  <c r="G110" i="82"/>
  <c r="C110" i="82"/>
  <c r="I111" i="82"/>
  <c r="D111" i="82"/>
  <c r="J111" i="82"/>
  <c r="E111" i="82"/>
  <c r="F111" i="82"/>
  <c r="K111" i="82"/>
  <c r="G111" i="82"/>
  <c r="C111" i="82"/>
  <c r="I112" i="82"/>
  <c r="D112" i="82"/>
  <c r="J112" i="82"/>
  <c r="E112" i="82"/>
  <c r="F112" i="82"/>
  <c r="K112" i="82"/>
  <c r="G112" i="82"/>
  <c r="C112" i="82"/>
  <c r="I113" i="82"/>
  <c r="D113" i="82"/>
  <c r="J113" i="82"/>
  <c r="E113" i="82"/>
  <c r="F113" i="82"/>
  <c r="K113" i="82"/>
  <c r="G113" i="82"/>
  <c r="C113" i="82"/>
  <c r="I114" i="82"/>
  <c r="D114" i="82"/>
  <c r="J114" i="82"/>
  <c r="E114" i="82"/>
  <c r="F114" i="82"/>
  <c r="K114" i="82"/>
  <c r="G114" i="82"/>
  <c r="C114" i="82"/>
  <c r="I115" i="82"/>
  <c r="D115" i="82"/>
  <c r="J115" i="82"/>
  <c r="E115" i="82"/>
  <c r="F115" i="82"/>
  <c r="K115" i="82"/>
  <c r="G115" i="82"/>
  <c r="C115" i="82"/>
  <c r="I116" i="82"/>
  <c r="D116" i="82"/>
  <c r="J116" i="82"/>
  <c r="E116" i="82"/>
  <c r="F116" i="82"/>
  <c r="K116" i="82"/>
  <c r="G116" i="82"/>
  <c r="C116" i="82"/>
  <c r="I117" i="82"/>
  <c r="D117" i="82"/>
  <c r="J117" i="82"/>
  <c r="E117" i="82"/>
  <c r="F117" i="82"/>
  <c r="K117" i="82"/>
  <c r="G117" i="82"/>
  <c r="C117" i="82"/>
  <c r="I118" i="82"/>
  <c r="D118" i="82"/>
  <c r="J118" i="82"/>
  <c r="E118" i="82"/>
  <c r="F118" i="82"/>
  <c r="K118" i="82"/>
  <c r="G118" i="82"/>
  <c r="C118" i="82"/>
  <c r="I119" i="82"/>
  <c r="D119" i="82"/>
  <c r="J119" i="82"/>
  <c r="E119" i="82"/>
  <c r="F119" i="82"/>
  <c r="K119" i="82"/>
  <c r="G119" i="82"/>
  <c r="C119" i="82"/>
  <c r="I120" i="82"/>
  <c r="D120" i="82"/>
  <c r="J120" i="82"/>
  <c r="E120" i="82"/>
  <c r="F120" i="82"/>
  <c r="K120" i="82"/>
  <c r="G120" i="82"/>
  <c r="C120" i="82"/>
  <c r="I121" i="82"/>
  <c r="D121" i="82"/>
  <c r="J121" i="82"/>
  <c r="E121" i="82"/>
  <c r="F121" i="82"/>
  <c r="K121" i="82"/>
  <c r="G121" i="82"/>
  <c r="C121" i="82"/>
  <c r="I122" i="82"/>
  <c r="D122" i="82"/>
  <c r="J122" i="82"/>
  <c r="E122" i="82"/>
  <c r="F122" i="82"/>
  <c r="K122" i="82"/>
  <c r="G122" i="82"/>
  <c r="C122" i="82"/>
  <c r="I123" i="82"/>
  <c r="D123" i="82"/>
  <c r="J123" i="82"/>
  <c r="E123" i="82"/>
  <c r="F123" i="82"/>
  <c r="K123" i="82"/>
  <c r="G123" i="82"/>
  <c r="C123" i="82"/>
  <c r="I124" i="82"/>
  <c r="D124" i="82"/>
  <c r="J124" i="82"/>
  <c r="E124" i="82"/>
  <c r="F124" i="82"/>
  <c r="K124" i="82"/>
  <c r="G124" i="82"/>
  <c r="C124" i="82"/>
  <c r="I125" i="82"/>
  <c r="D125" i="82"/>
  <c r="J125" i="82"/>
  <c r="E125" i="82"/>
  <c r="F125" i="82"/>
  <c r="K125" i="82"/>
  <c r="G125" i="82"/>
  <c r="C125" i="82"/>
  <c r="I126" i="82"/>
  <c r="D126" i="82"/>
  <c r="J126" i="82"/>
  <c r="E126" i="82"/>
  <c r="F126" i="82"/>
  <c r="K126" i="82"/>
  <c r="G126" i="82"/>
  <c r="C126" i="82"/>
  <c r="I127" i="82"/>
  <c r="D127" i="82"/>
  <c r="J127" i="82"/>
  <c r="E127" i="82"/>
  <c r="F127" i="82"/>
  <c r="K127" i="82"/>
  <c r="G127" i="82"/>
  <c r="C127" i="82"/>
  <c r="I128" i="82"/>
  <c r="D128" i="82"/>
  <c r="J128" i="82"/>
  <c r="E128" i="82"/>
  <c r="F128" i="82"/>
  <c r="K128" i="82"/>
  <c r="G128" i="82"/>
  <c r="C128" i="82"/>
  <c r="I129" i="82"/>
  <c r="D129" i="82"/>
  <c r="J129" i="82"/>
  <c r="E129" i="82"/>
  <c r="F129" i="82"/>
  <c r="K129" i="82"/>
  <c r="G129" i="82"/>
  <c r="C129" i="82"/>
  <c r="I130" i="82"/>
  <c r="D130" i="82"/>
  <c r="J130" i="82"/>
  <c r="E130" i="82"/>
  <c r="F130" i="82"/>
  <c r="K130" i="82"/>
  <c r="G130" i="82"/>
  <c r="C130" i="82"/>
  <c r="I131" i="82"/>
  <c r="D131" i="82"/>
  <c r="J131" i="82"/>
  <c r="E131" i="82"/>
  <c r="F131" i="82"/>
  <c r="K131" i="82"/>
  <c r="G131" i="82"/>
  <c r="C131" i="82"/>
  <c r="I132" i="82"/>
  <c r="D132" i="82"/>
  <c r="J132" i="82"/>
  <c r="E132" i="82"/>
  <c r="F132" i="82"/>
  <c r="K132" i="82"/>
  <c r="G132" i="82"/>
  <c r="C132" i="82"/>
  <c r="I133" i="82"/>
  <c r="D133" i="82"/>
  <c r="J133" i="82"/>
  <c r="E133" i="82"/>
  <c r="F133" i="82"/>
  <c r="K133" i="82"/>
  <c r="G133" i="82"/>
  <c r="C133" i="82"/>
  <c r="I134" i="82"/>
  <c r="D134" i="82"/>
  <c r="J134" i="82"/>
  <c r="E134" i="82"/>
  <c r="F134" i="82"/>
  <c r="K134" i="82"/>
  <c r="G134" i="82"/>
  <c r="C134" i="82"/>
  <c r="I135" i="82"/>
  <c r="D135" i="82"/>
  <c r="J135" i="82"/>
  <c r="E135" i="82"/>
  <c r="F135" i="82"/>
  <c r="K135" i="82"/>
  <c r="G135" i="82"/>
  <c r="C135" i="82"/>
  <c r="I136" i="82"/>
  <c r="D136" i="82"/>
  <c r="J136" i="82"/>
  <c r="E136" i="82"/>
  <c r="F136" i="82"/>
  <c r="K136" i="82"/>
  <c r="G136" i="82"/>
  <c r="C136" i="82"/>
  <c r="I137" i="82"/>
  <c r="D137" i="82"/>
  <c r="J137" i="82"/>
  <c r="E137" i="82"/>
  <c r="F137" i="82"/>
  <c r="K137" i="82"/>
  <c r="G137" i="82"/>
  <c r="C137" i="82"/>
  <c r="I138" i="82"/>
  <c r="D138" i="82"/>
  <c r="J138" i="82"/>
  <c r="E138" i="82"/>
  <c r="F138" i="82"/>
  <c r="K138" i="82"/>
  <c r="G138" i="82"/>
  <c r="C138" i="82"/>
  <c r="I139" i="82"/>
  <c r="D139" i="82"/>
  <c r="J139" i="82"/>
  <c r="E139" i="82"/>
  <c r="F139" i="82"/>
  <c r="K139" i="82"/>
  <c r="G139" i="82"/>
  <c r="C139" i="82"/>
  <c r="I140" i="82"/>
  <c r="D140" i="82"/>
  <c r="J140" i="82"/>
  <c r="E140" i="82"/>
  <c r="F140" i="82"/>
  <c r="K140" i="82"/>
  <c r="G140" i="82"/>
  <c r="C140" i="82"/>
  <c r="I141" i="82"/>
  <c r="D141" i="82"/>
  <c r="J141" i="82"/>
  <c r="E141" i="82"/>
  <c r="F141" i="82"/>
  <c r="K141" i="82"/>
  <c r="G141" i="82"/>
  <c r="C141" i="82"/>
  <c r="I142" i="82"/>
  <c r="D142" i="82"/>
  <c r="J142" i="82"/>
  <c r="E142" i="82"/>
  <c r="F142" i="82"/>
  <c r="K142" i="82"/>
  <c r="G142" i="82"/>
  <c r="C142" i="82"/>
  <c r="I143" i="82"/>
  <c r="D143" i="82"/>
  <c r="J143" i="82"/>
  <c r="E143" i="82"/>
  <c r="F143" i="82"/>
  <c r="K143" i="82"/>
  <c r="G143" i="82"/>
  <c r="C143" i="82"/>
  <c r="I144" i="82"/>
  <c r="D144" i="82"/>
  <c r="J144" i="82"/>
  <c r="E144" i="82"/>
  <c r="F144" i="82"/>
  <c r="K144" i="82"/>
  <c r="G144" i="82"/>
  <c r="C144" i="82"/>
  <c r="I145" i="82"/>
  <c r="D145" i="82"/>
  <c r="J145" i="82"/>
  <c r="E145" i="82"/>
  <c r="F145" i="82"/>
  <c r="K145" i="82"/>
  <c r="G145" i="82"/>
  <c r="C145" i="82"/>
  <c r="I146" i="82"/>
  <c r="D146" i="82"/>
  <c r="J146" i="82"/>
  <c r="E146" i="82"/>
  <c r="F146" i="82"/>
  <c r="K146" i="82"/>
  <c r="G146" i="82"/>
  <c r="C146" i="82"/>
  <c r="I147" i="82"/>
  <c r="D147" i="82"/>
  <c r="J147" i="82"/>
  <c r="E147" i="82"/>
  <c r="F147" i="82"/>
  <c r="K147" i="82"/>
  <c r="G147" i="82"/>
  <c r="C147" i="82"/>
  <c r="I148" i="82"/>
  <c r="D148" i="82"/>
  <c r="J148" i="82"/>
  <c r="E148" i="82"/>
  <c r="F148" i="82"/>
  <c r="K148" i="82"/>
  <c r="G148" i="82"/>
  <c r="C148" i="82"/>
  <c r="I149" i="82"/>
  <c r="D149" i="82"/>
  <c r="J149" i="82"/>
  <c r="E149" i="82"/>
  <c r="F149" i="82"/>
  <c r="K149" i="82"/>
  <c r="G149" i="82"/>
  <c r="C149" i="82"/>
  <c r="I150" i="82"/>
  <c r="D150" i="82"/>
  <c r="J150" i="82"/>
  <c r="E150" i="82"/>
  <c r="F150" i="82"/>
  <c r="K150" i="82"/>
  <c r="G150" i="82"/>
  <c r="C150" i="82"/>
  <c r="I151" i="82"/>
  <c r="D151" i="82"/>
  <c r="J151" i="82"/>
  <c r="E151" i="82"/>
  <c r="F151" i="82"/>
  <c r="K151" i="82"/>
  <c r="G151" i="82"/>
  <c r="C151" i="82"/>
  <c r="I152" i="82"/>
  <c r="D152" i="82"/>
  <c r="J152" i="82"/>
  <c r="E152" i="82"/>
  <c r="F152" i="82"/>
  <c r="K152" i="82"/>
  <c r="G152" i="82"/>
  <c r="C152" i="82"/>
  <c r="I153" i="82"/>
  <c r="D153" i="82"/>
  <c r="J153" i="82"/>
  <c r="E153" i="82"/>
  <c r="F153" i="82"/>
  <c r="K153" i="82"/>
  <c r="G153" i="82"/>
  <c r="C153" i="82"/>
  <c r="I154" i="82"/>
  <c r="D154" i="82"/>
  <c r="J154" i="82"/>
  <c r="E154" i="82"/>
  <c r="F154" i="82"/>
  <c r="K154" i="82"/>
  <c r="G154" i="82"/>
  <c r="C154" i="82"/>
  <c r="I155" i="82"/>
  <c r="D155" i="82"/>
  <c r="J155" i="82"/>
  <c r="E155" i="82"/>
  <c r="F155" i="82"/>
  <c r="K155" i="82"/>
  <c r="G155" i="82"/>
  <c r="C155" i="82"/>
  <c r="I156" i="82"/>
  <c r="D156" i="82"/>
  <c r="J156" i="82"/>
  <c r="E156" i="82"/>
  <c r="F156" i="82"/>
  <c r="K156" i="82"/>
  <c r="G156" i="82"/>
  <c r="C156" i="82"/>
  <c r="I157" i="82"/>
  <c r="D157" i="82"/>
  <c r="J157" i="82"/>
  <c r="E157" i="82"/>
  <c r="F157" i="82"/>
  <c r="K157" i="82"/>
  <c r="G157" i="82"/>
  <c r="C157" i="82"/>
  <c r="I158" i="82"/>
  <c r="D158" i="82"/>
  <c r="J158" i="82"/>
  <c r="E158" i="82"/>
  <c r="F158" i="82"/>
  <c r="K158" i="82"/>
  <c r="G158" i="82"/>
  <c r="C158" i="82"/>
  <c r="I159" i="82"/>
  <c r="D159" i="82"/>
  <c r="J159" i="82"/>
  <c r="E159" i="82"/>
  <c r="F159" i="82"/>
  <c r="K159" i="82"/>
  <c r="G159" i="82"/>
  <c r="C159" i="82"/>
  <c r="I160" i="82"/>
  <c r="D160" i="82"/>
  <c r="J160" i="82"/>
  <c r="E160" i="82"/>
  <c r="F160" i="82"/>
  <c r="K160" i="82"/>
  <c r="G160" i="82"/>
  <c r="C160" i="82"/>
  <c r="I161" i="82"/>
  <c r="D161" i="82"/>
  <c r="J161" i="82"/>
  <c r="E161" i="82"/>
  <c r="F161" i="82"/>
  <c r="K161" i="82"/>
  <c r="G161" i="82"/>
  <c r="C161" i="82"/>
  <c r="I162" i="82"/>
  <c r="D162" i="82"/>
  <c r="J162" i="82"/>
  <c r="E162" i="82"/>
  <c r="F162" i="82"/>
  <c r="K162" i="82"/>
  <c r="G162" i="82"/>
  <c r="C162" i="82"/>
  <c r="I163" i="82"/>
  <c r="D163" i="82"/>
  <c r="J163" i="82"/>
  <c r="E163" i="82"/>
  <c r="F163" i="82"/>
  <c r="K163" i="82"/>
  <c r="G163" i="82"/>
  <c r="C163" i="82"/>
  <c r="I164" i="82"/>
  <c r="D164" i="82"/>
  <c r="J164" i="82"/>
  <c r="E164" i="82"/>
  <c r="F164" i="82"/>
  <c r="K164" i="82"/>
  <c r="G164" i="82"/>
  <c r="C164" i="82"/>
  <c r="I165" i="82"/>
  <c r="D165" i="82"/>
  <c r="J165" i="82"/>
  <c r="E165" i="82"/>
  <c r="F165" i="82"/>
  <c r="K165" i="82"/>
  <c r="G165" i="82"/>
  <c r="C165" i="82"/>
  <c r="I166" i="82"/>
  <c r="D166" i="82"/>
  <c r="J166" i="82"/>
  <c r="E166" i="82"/>
  <c r="F166" i="82"/>
  <c r="K166" i="82"/>
  <c r="G166" i="82"/>
  <c r="C166" i="82"/>
  <c r="I167" i="82"/>
  <c r="D167" i="82"/>
  <c r="J167" i="82"/>
  <c r="E167" i="82"/>
  <c r="F167" i="82"/>
  <c r="K167" i="82"/>
  <c r="G167" i="82"/>
  <c r="C167" i="82"/>
  <c r="I168" i="82"/>
  <c r="D168" i="82"/>
  <c r="J168" i="82"/>
  <c r="E168" i="82"/>
  <c r="F168" i="82"/>
  <c r="K168" i="82"/>
  <c r="G168" i="82"/>
  <c r="C168" i="82"/>
  <c r="I169" i="82"/>
  <c r="D169" i="82"/>
  <c r="J169" i="82"/>
  <c r="E169" i="82"/>
  <c r="F169" i="82"/>
  <c r="K169" i="82"/>
  <c r="G169" i="82"/>
  <c r="C169" i="82"/>
  <c r="I170" i="82"/>
  <c r="D170" i="82"/>
  <c r="J170" i="82"/>
  <c r="E170" i="82"/>
  <c r="F170" i="82"/>
  <c r="K170" i="82"/>
  <c r="G170" i="82"/>
  <c r="C170" i="82"/>
  <c r="I171" i="82"/>
  <c r="D171" i="82"/>
  <c r="J171" i="82"/>
  <c r="E171" i="82"/>
  <c r="F171" i="82"/>
  <c r="K171" i="82"/>
  <c r="G171" i="82"/>
  <c r="C171" i="82"/>
  <c r="I172" i="82"/>
  <c r="D172" i="82"/>
  <c r="J172" i="82"/>
  <c r="E172" i="82"/>
  <c r="F172" i="82"/>
  <c r="K172" i="82"/>
  <c r="G172" i="82"/>
  <c r="C172" i="82"/>
  <c r="I173" i="82"/>
  <c r="D173" i="82"/>
  <c r="J173" i="82"/>
  <c r="E173" i="82"/>
  <c r="F173" i="82"/>
  <c r="K173" i="82"/>
  <c r="G173" i="82"/>
  <c r="C173" i="82"/>
  <c r="I174" i="82"/>
  <c r="D174" i="82"/>
  <c r="J174" i="82"/>
  <c r="E174" i="82"/>
  <c r="F174" i="82"/>
  <c r="K174" i="82"/>
  <c r="G174" i="82"/>
  <c r="C174" i="82"/>
  <c r="I175" i="82"/>
  <c r="D175" i="82"/>
  <c r="J175" i="82"/>
  <c r="E175" i="82"/>
  <c r="F175" i="82"/>
  <c r="K175" i="82"/>
  <c r="G175" i="82"/>
  <c r="C175" i="82"/>
  <c r="I176" i="82"/>
  <c r="D176" i="82"/>
  <c r="J176" i="82"/>
  <c r="E176" i="82"/>
  <c r="F176" i="82"/>
  <c r="K176" i="82"/>
  <c r="G176" i="82"/>
  <c r="C176" i="82"/>
  <c r="I177" i="82"/>
  <c r="D177" i="82"/>
  <c r="J177" i="82"/>
  <c r="E177" i="82"/>
  <c r="F177" i="82"/>
  <c r="K177" i="82"/>
  <c r="G177" i="82"/>
  <c r="C177" i="82"/>
  <c r="I178" i="82"/>
  <c r="D178" i="82"/>
  <c r="J178" i="82"/>
  <c r="E178" i="82"/>
  <c r="F178" i="82"/>
  <c r="K178" i="82"/>
  <c r="G178" i="82"/>
  <c r="C178" i="82"/>
  <c r="I179" i="82"/>
  <c r="D179" i="82"/>
  <c r="J179" i="82"/>
  <c r="E179" i="82"/>
  <c r="F179" i="82"/>
  <c r="K179" i="82"/>
  <c r="G179" i="82"/>
  <c r="C179" i="82"/>
  <c r="I180" i="82"/>
  <c r="D180" i="82"/>
  <c r="J180" i="82"/>
  <c r="E180" i="82"/>
  <c r="F180" i="82"/>
  <c r="K180" i="82"/>
  <c r="G180" i="82"/>
  <c r="C180" i="82"/>
  <c r="I181" i="82"/>
  <c r="D181" i="82"/>
  <c r="J181" i="82"/>
  <c r="E181" i="82"/>
  <c r="F181" i="82"/>
  <c r="K181" i="82"/>
  <c r="G181" i="82"/>
  <c r="C181" i="82"/>
  <c r="I182" i="82"/>
  <c r="D182" i="82"/>
  <c r="J182" i="82"/>
  <c r="E182" i="82"/>
  <c r="F182" i="82"/>
  <c r="K182" i="82"/>
  <c r="G182" i="82"/>
  <c r="C182" i="82"/>
  <c r="I183" i="82"/>
  <c r="D183" i="82"/>
  <c r="J183" i="82"/>
  <c r="E183" i="82"/>
  <c r="F183" i="82"/>
  <c r="K183" i="82"/>
  <c r="G183" i="82"/>
  <c r="C183" i="82"/>
  <c r="I184" i="82"/>
  <c r="D184" i="82"/>
  <c r="J184" i="82"/>
  <c r="E184" i="82"/>
  <c r="F184" i="82"/>
  <c r="K184" i="82"/>
  <c r="G184" i="82"/>
  <c r="C184" i="82"/>
  <c r="I185" i="82"/>
  <c r="D185" i="82"/>
  <c r="J185" i="82"/>
  <c r="E185" i="82"/>
  <c r="F185" i="82"/>
  <c r="K185" i="82"/>
  <c r="G185" i="82"/>
  <c r="C185" i="82"/>
  <c r="I186" i="82"/>
  <c r="D186" i="82"/>
  <c r="J186" i="82"/>
  <c r="E186" i="82"/>
  <c r="F186" i="82"/>
  <c r="K186" i="82"/>
  <c r="G186" i="82"/>
  <c r="C186" i="82"/>
  <c r="I187" i="82"/>
  <c r="D187" i="82"/>
  <c r="J187" i="82"/>
  <c r="E187" i="82"/>
  <c r="F187" i="82"/>
  <c r="K187" i="82"/>
  <c r="G187" i="82"/>
  <c r="C187" i="82"/>
  <c r="I188" i="82"/>
  <c r="D188" i="82"/>
  <c r="J188" i="82"/>
  <c r="E188" i="82"/>
  <c r="F188" i="82"/>
  <c r="K188" i="82"/>
  <c r="G188" i="82"/>
  <c r="C188" i="82"/>
  <c r="I189" i="82"/>
  <c r="D189" i="82"/>
  <c r="J189" i="82"/>
  <c r="E189" i="82"/>
  <c r="F189" i="82"/>
  <c r="K189" i="82"/>
  <c r="G189" i="82"/>
  <c r="C189" i="82"/>
  <c r="I190" i="82"/>
  <c r="D190" i="82"/>
  <c r="J190" i="82"/>
  <c r="E190" i="82"/>
  <c r="F190" i="82"/>
  <c r="K190" i="82"/>
  <c r="G190" i="82"/>
  <c r="C190" i="82"/>
  <c r="I191" i="82"/>
  <c r="D191" i="82"/>
  <c r="J191" i="82"/>
  <c r="E191" i="82"/>
  <c r="F191" i="82"/>
  <c r="K191" i="82"/>
  <c r="G191" i="82"/>
  <c r="C191" i="82"/>
  <c r="I192" i="82"/>
  <c r="D192" i="82"/>
  <c r="J192" i="82"/>
  <c r="E192" i="82"/>
  <c r="F192" i="82"/>
  <c r="K192" i="82"/>
  <c r="G192" i="82"/>
  <c r="C192" i="82"/>
  <c r="I193" i="82"/>
  <c r="D193" i="82"/>
  <c r="J193" i="82"/>
  <c r="E193" i="82"/>
  <c r="F193" i="82"/>
  <c r="K193" i="82"/>
  <c r="G193" i="82"/>
  <c r="C193" i="82"/>
  <c r="I194" i="82"/>
  <c r="D194" i="82"/>
  <c r="J194" i="82"/>
  <c r="E194" i="82"/>
  <c r="F194" i="82"/>
  <c r="K194" i="82"/>
  <c r="G194" i="82"/>
  <c r="C194" i="82"/>
  <c r="I195" i="82"/>
  <c r="D195" i="82"/>
  <c r="J195" i="82"/>
  <c r="E195" i="82"/>
  <c r="F195" i="82"/>
  <c r="K195" i="82"/>
  <c r="G195" i="82"/>
  <c r="C195" i="82"/>
  <c r="I196" i="82"/>
  <c r="D196" i="82"/>
  <c r="J196" i="82"/>
  <c r="E196" i="82"/>
  <c r="F196" i="82"/>
  <c r="K196" i="82"/>
  <c r="G196" i="82"/>
  <c r="C196" i="82"/>
  <c r="I197" i="82"/>
  <c r="D197" i="82"/>
  <c r="J197" i="82"/>
  <c r="E197" i="82"/>
  <c r="F197" i="82"/>
  <c r="K197" i="82"/>
  <c r="G197" i="82"/>
  <c r="C197" i="82"/>
  <c r="I198" i="82"/>
  <c r="D198" i="82"/>
  <c r="J198" i="82"/>
  <c r="E198" i="82"/>
  <c r="F198" i="82"/>
  <c r="K198" i="82"/>
  <c r="G198" i="82"/>
  <c r="C198" i="82"/>
  <c r="I199" i="82"/>
  <c r="D199" i="82"/>
  <c r="J199" i="82"/>
  <c r="E199" i="82"/>
  <c r="F199" i="82"/>
  <c r="K199" i="82"/>
  <c r="G199" i="82"/>
  <c r="C199" i="82"/>
  <c r="I200" i="82"/>
  <c r="D200" i="82"/>
  <c r="J200" i="82"/>
  <c r="E200" i="82"/>
  <c r="F200" i="82"/>
  <c r="K200" i="82"/>
  <c r="G200" i="82"/>
  <c r="C200" i="82"/>
  <c r="I201" i="82"/>
  <c r="D201" i="82"/>
  <c r="J201" i="82"/>
  <c r="E201" i="82"/>
  <c r="F201" i="82"/>
  <c r="K201" i="82"/>
  <c r="G201" i="82"/>
  <c r="C201" i="82"/>
  <c r="I202" i="82"/>
  <c r="D202" i="82"/>
  <c r="J202" i="82"/>
  <c r="E202" i="82"/>
  <c r="F202" i="82"/>
  <c r="K202" i="82"/>
  <c r="G202" i="82"/>
  <c r="C202" i="82"/>
  <c r="I203" i="82"/>
  <c r="D203" i="82"/>
  <c r="J203" i="82"/>
  <c r="E203" i="82"/>
  <c r="F203" i="82"/>
  <c r="K203" i="82"/>
  <c r="G203" i="82"/>
  <c r="C203" i="82"/>
  <c r="I204" i="82"/>
  <c r="D204" i="82"/>
  <c r="J204" i="82"/>
  <c r="E204" i="82"/>
  <c r="F204" i="82"/>
  <c r="K204" i="82"/>
  <c r="G204" i="82"/>
  <c r="C204" i="82"/>
  <c r="I205" i="82"/>
  <c r="D205" i="82"/>
  <c r="J205" i="82"/>
  <c r="E205" i="82"/>
  <c r="F205" i="82"/>
  <c r="K205" i="82"/>
  <c r="G205" i="82"/>
  <c r="C205" i="82"/>
  <c r="I206" i="82"/>
  <c r="D206" i="82"/>
  <c r="J206" i="82"/>
  <c r="E206" i="82"/>
  <c r="F206" i="82"/>
  <c r="K206" i="82"/>
  <c r="G206" i="82"/>
  <c r="C206" i="82"/>
  <c r="I207" i="82"/>
  <c r="D207" i="82"/>
  <c r="J207" i="82"/>
  <c r="E207" i="82"/>
  <c r="F207" i="82"/>
  <c r="K207" i="82"/>
  <c r="G207" i="82"/>
  <c r="C207" i="82"/>
  <c r="I208" i="82"/>
  <c r="D208" i="82"/>
  <c r="J208" i="82"/>
  <c r="E208" i="82"/>
  <c r="F208" i="82"/>
  <c r="K208" i="82"/>
  <c r="G208" i="82"/>
  <c r="C208" i="82"/>
  <c r="I209" i="82"/>
  <c r="D209" i="82"/>
  <c r="J209" i="82"/>
  <c r="E209" i="82"/>
  <c r="F209" i="82"/>
  <c r="K209" i="82"/>
  <c r="G209" i="82"/>
  <c r="C209" i="82"/>
  <c r="I210" i="82"/>
  <c r="D210" i="82"/>
  <c r="J210" i="82"/>
  <c r="E210" i="82"/>
  <c r="F210" i="82"/>
  <c r="K210" i="82"/>
  <c r="G210" i="82"/>
  <c r="C210" i="82"/>
  <c r="I211" i="82"/>
  <c r="D211" i="82"/>
  <c r="J211" i="82"/>
  <c r="E211" i="82"/>
  <c r="F211" i="82"/>
  <c r="K211" i="82"/>
  <c r="G211" i="82"/>
  <c r="C211" i="82"/>
  <c r="I212" i="82"/>
  <c r="D212" i="82"/>
  <c r="J212" i="82"/>
  <c r="E212" i="82"/>
  <c r="F212" i="82"/>
  <c r="K212" i="82"/>
  <c r="G212" i="82"/>
  <c r="C212" i="82"/>
  <c r="I213" i="82"/>
  <c r="D213" i="82"/>
  <c r="J213" i="82"/>
  <c r="E213" i="82"/>
  <c r="F213" i="82"/>
  <c r="K213" i="82"/>
  <c r="G213" i="82"/>
  <c r="C213" i="82"/>
  <c r="I214" i="82"/>
  <c r="D214" i="82"/>
  <c r="J214" i="82"/>
  <c r="E214" i="82"/>
  <c r="F214" i="82"/>
  <c r="K214" i="82"/>
  <c r="G214" i="82"/>
  <c r="C214" i="82"/>
  <c r="I215" i="82"/>
  <c r="J215" i="82"/>
  <c r="D215" i="82"/>
  <c r="E215" i="82"/>
  <c r="F215" i="82"/>
  <c r="K215" i="82"/>
  <c r="G215" i="82"/>
  <c r="C215" i="82"/>
  <c r="I216" i="82"/>
  <c r="J216" i="82"/>
  <c r="D216" i="82"/>
  <c r="E216" i="82"/>
  <c r="F216" i="82"/>
  <c r="K216" i="82"/>
  <c r="G216" i="82"/>
  <c r="C216" i="82"/>
  <c r="I217" i="82"/>
  <c r="J217" i="82"/>
  <c r="D217" i="82"/>
  <c r="E217" i="82"/>
  <c r="F217" i="82"/>
  <c r="K217" i="82"/>
  <c r="G217" i="82"/>
  <c r="C217" i="82"/>
  <c r="I218" i="82"/>
  <c r="J218" i="82"/>
  <c r="D218" i="82"/>
  <c r="E218" i="82"/>
  <c r="F218" i="82"/>
  <c r="K218" i="82"/>
  <c r="G218" i="82"/>
  <c r="C218" i="82"/>
  <c r="I219" i="82"/>
  <c r="J219" i="82"/>
  <c r="D219" i="82"/>
  <c r="E219" i="82"/>
  <c r="F219" i="82"/>
  <c r="K219" i="82"/>
  <c r="G219" i="82"/>
  <c r="C219" i="82"/>
  <c r="I220" i="82"/>
  <c r="J220" i="82"/>
  <c r="D220" i="82"/>
  <c r="E220" i="82"/>
  <c r="F220" i="82"/>
  <c r="K220" i="82"/>
  <c r="G220" i="82"/>
  <c r="C220" i="82"/>
  <c r="I221" i="82"/>
  <c r="D221" i="82"/>
  <c r="J221" i="82"/>
  <c r="E221" i="82"/>
  <c r="F221" i="82"/>
  <c r="K221" i="82"/>
  <c r="G221" i="82"/>
  <c r="C221" i="82"/>
  <c r="I222" i="82"/>
  <c r="D222" i="82"/>
  <c r="J222" i="82"/>
  <c r="E222" i="82"/>
  <c r="F222" i="82"/>
  <c r="K222" i="82"/>
  <c r="G222" i="82"/>
  <c r="C222" i="82"/>
  <c r="I223" i="82"/>
  <c r="D223" i="82"/>
  <c r="J223" i="82"/>
  <c r="E223" i="82"/>
  <c r="F223" i="82"/>
  <c r="K223" i="82"/>
  <c r="G223" i="82"/>
  <c r="C223" i="82"/>
  <c r="I224" i="82"/>
  <c r="D224" i="82"/>
  <c r="J224" i="82"/>
  <c r="E224" i="82"/>
  <c r="F224" i="82"/>
  <c r="K224" i="82"/>
  <c r="G224" i="82"/>
  <c r="C224" i="82"/>
  <c r="I225" i="82"/>
  <c r="D225" i="82"/>
  <c r="J225" i="82"/>
  <c r="E225" i="82"/>
  <c r="F225" i="82"/>
  <c r="K225" i="82"/>
  <c r="G225" i="82"/>
  <c r="C225" i="82"/>
  <c r="I226" i="82"/>
  <c r="D226" i="82"/>
  <c r="J226" i="82"/>
  <c r="E226" i="82"/>
  <c r="F226" i="82"/>
  <c r="K226" i="82"/>
  <c r="G226" i="82"/>
  <c r="C226" i="82"/>
  <c r="I227" i="82"/>
  <c r="D227" i="82"/>
  <c r="J227" i="82"/>
  <c r="E227" i="82"/>
  <c r="F227" i="82"/>
  <c r="K227" i="82"/>
  <c r="G227" i="82"/>
  <c r="C227" i="82"/>
  <c r="I228" i="82"/>
  <c r="D228" i="82"/>
  <c r="J228" i="82"/>
  <c r="E228" i="82"/>
  <c r="F228" i="82"/>
  <c r="K228" i="82"/>
  <c r="G228" i="82"/>
  <c r="C228" i="82"/>
  <c r="I229" i="82"/>
  <c r="D229" i="82"/>
  <c r="J229" i="82"/>
  <c r="E229" i="82"/>
  <c r="F229" i="82"/>
  <c r="K229" i="82"/>
  <c r="G229" i="82"/>
  <c r="C229" i="82"/>
  <c r="I230" i="82"/>
  <c r="D230" i="82"/>
  <c r="J230" i="82"/>
  <c r="E230" i="82"/>
  <c r="F230" i="82"/>
  <c r="K230" i="82"/>
  <c r="G230" i="82"/>
  <c r="C230" i="82"/>
  <c r="I231" i="82"/>
  <c r="D231" i="82"/>
  <c r="J231" i="82"/>
  <c r="E231" i="82"/>
  <c r="F231" i="82"/>
  <c r="K231" i="82"/>
  <c r="G231" i="82"/>
  <c r="C231" i="82"/>
  <c r="I232" i="82"/>
  <c r="D232" i="82"/>
  <c r="J232" i="82"/>
  <c r="E232" i="82"/>
  <c r="F232" i="82"/>
  <c r="K232" i="82"/>
  <c r="G232" i="82"/>
  <c r="C232" i="82"/>
  <c r="I233" i="82"/>
  <c r="D233" i="82"/>
  <c r="J233" i="82"/>
  <c r="E233" i="82"/>
  <c r="F233" i="82"/>
  <c r="K233" i="82"/>
  <c r="G233" i="82"/>
  <c r="C233" i="82"/>
  <c r="I234" i="82"/>
  <c r="D234" i="82"/>
  <c r="J234" i="82"/>
  <c r="E234" i="82"/>
  <c r="F234" i="82"/>
  <c r="K234" i="82"/>
  <c r="G234" i="82"/>
  <c r="C234" i="82"/>
  <c r="I235" i="82"/>
  <c r="D235" i="82"/>
  <c r="J235" i="82"/>
  <c r="E235" i="82"/>
  <c r="F235" i="82"/>
  <c r="K235" i="82"/>
  <c r="G235" i="82"/>
  <c r="C235" i="82"/>
  <c r="I236" i="82"/>
  <c r="D236" i="82"/>
  <c r="J236" i="82"/>
  <c r="E236" i="82"/>
  <c r="F236" i="82"/>
  <c r="K236" i="82"/>
  <c r="G236" i="82"/>
  <c r="C236" i="82"/>
  <c r="I237" i="82"/>
  <c r="D237" i="82"/>
  <c r="J237" i="82"/>
  <c r="E237" i="82"/>
  <c r="F237" i="82"/>
  <c r="K237" i="82"/>
  <c r="G237" i="82"/>
  <c r="C237" i="82"/>
  <c r="I238" i="82"/>
  <c r="D238" i="82"/>
  <c r="J238" i="82"/>
  <c r="E238" i="82"/>
  <c r="F238" i="82"/>
  <c r="K238" i="82"/>
  <c r="G238" i="82"/>
  <c r="C238" i="82"/>
  <c r="I239" i="82"/>
  <c r="D239" i="82"/>
  <c r="J239" i="82"/>
  <c r="E239" i="82"/>
  <c r="F239" i="82"/>
  <c r="K239" i="82"/>
  <c r="G239" i="82"/>
  <c r="C239" i="82"/>
  <c r="I240" i="82"/>
  <c r="D240" i="82"/>
  <c r="J240" i="82"/>
  <c r="E240" i="82"/>
  <c r="F240" i="82"/>
  <c r="K240" i="82"/>
  <c r="G240" i="82"/>
  <c r="C240" i="82"/>
  <c r="I241" i="82"/>
  <c r="D241" i="82"/>
  <c r="J241" i="82"/>
  <c r="E241" i="82"/>
  <c r="F241" i="82"/>
  <c r="K241" i="82"/>
  <c r="G241" i="82"/>
  <c r="C241" i="82"/>
  <c r="I242" i="82"/>
  <c r="D242" i="82"/>
  <c r="J242" i="82"/>
  <c r="E242" i="82"/>
  <c r="F242" i="82"/>
  <c r="K242" i="82"/>
  <c r="G242" i="82"/>
  <c r="C242" i="82"/>
  <c r="I243" i="82"/>
  <c r="D243" i="82"/>
  <c r="J243" i="82"/>
  <c r="E243" i="82"/>
  <c r="F243" i="82"/>
  <c r="K243" i="82"/>
  <c r="G243" i="82"/>
  <c r="C243" i="82"/>
  <c r="I244" i="82"/>
  <c r="D244" i="82"/>
  <c r="J244" i="82"/>
  <c r="E244" i="82"/>
  <c r="F244" i="82"/>
  <c r="K244" i="82"/>
  <c r="G244" i="82"/>
  <c r="C244" i="82"/>
  <c r="I245" i="82"/>
  <c r="D245" i="82"/>
  <c r="J245" i="82"/>
  <c r="E245" i="82"/>
  <c r="F245" i="82"/>
  <c r="K245" i="82"/>
  <c r="G245" i="82"/>
  <c r="C245" i="82"/>
  <c r="I246" i="82"/>
  <c r="D246" i="82"/>
  <c r="J246" i="82"/>
  <c r="E246" i="82"/>
  <c r="F246" i="82"/>
  <c r="K246" i="82"/>
  <c r="G246" i="82"/>
  <c r="C246" i="82"/>
  <c r="I247" i="82"/>
  <c r="D247" i="82"/>
  <c r="J247" i="82"/>
  <c r="E247" i="82"/>
  <c r="F247" i="82"/>
  <c r="K247" i="82"/>
  <c r="G247" i="82"/>
  <c r="C247" i="82"/>
  <c r="I248" i="82"/>
  <c r="D248" i="82"/>
  <c r="J248" i="82"/>
  <c r="E248" i="82"/>
  <c r="F248" i="82"/>
  <c r="K248" i="82"/>
  <c r="G248" i="82"/>
  <c r="C248" i="82"/>
  <c r="I249" i="82"/>
  <c r="D249" i="82"/>
  <c r="J249" i="82"/>
  <c r="E249" i="82"/>
  <c r="F249" i="82"/>
  <c r="K249" i="82"/>
  <c r="G249" i="82"/>
  <c r="C249" i="82"/>
  <c r="I250" i="82"/>
  <c r="D250" i="82"/>
  <c r="J250" i="82"/>
  <c r="E250" i="82"/>
  <c r="F250" i="82"/>
  <c r="K250" i="82"/>
  <c r="G250" i="82"/>
  <c r="C250" i="82"/>
  <c r="I251" i="82"/>
  <c r="D251" i="82"/>
  <c r="J251" i="82"/>
  <c r="E251" i="82"/>
  <c r="F251" i="82"/>
  <c r="K251" i="82"/>
  <c r="G251" i="82"/>
  <c r="C251" i="82"/>
  <c r="I252" i="82"/>
  <c r="D252" i="82"/>
  <c r="J252" i="82"/>
  <c r="E252" i="82"/>
  <c r="F252" i="82"/>
  <c r="K252" i="82"/>
  <c r="G252" i="82"/>
  <c r="C252" i="82"/>
  <c r="I253" i="82"/>
  <c r="D253" i="82"/>
  <c r="J253" i="82"/>
  <c r="E253" i="82"/>
  <c r="F253" i="82"/>
  <c r="K253" i="82"/>
  <c r="G253" i="82"/>
  <c r="C253" i="82"/>
  <c r="I254" i="82"/>
  <c r="D254" i="82"/>
  <c r="J254" i="82"/>
  <c r="E254" i="82"/>
  <c r="F254" i="82"/>
  <c r="K254" i="82"/>
  <c r="G254" i="82"/>
  <c r="C254" i="82"/>
  <c r="I255" i="82"/>
  <c r="D255" i="82"/>
  <c r="J255" i="82"/>
  <c r="E255" i="82"/>
  <c r="F255" i="82"/>
  <c r="K255" i="82"/>
  <c r="G255" i="82"/>
  <c r="C255" i="82"/>
  <c r="I256" i="82"/>
  <c r="D256" i="82"/>
  <c r="J256" i="82"/>
  <c r="E256" i="82"/>
  <c r="F256" i="82"/>
  <c r="K256" i="82"/>
  <c r="G256" i="82"/>
  <c r="C256" i="82"/>
  <c r="I257" i="82"/>
  <c r="D257" i="82"/>
  <c r="J257" i="82"/>
  <c r="E257" i="82"/>
  <c r="F257" i="82"/>
  <c r="K257" i="82"/>
  <c r="G257" i="82"/>
  <c r="C257" i="82"/>
  <c r="I258" i="82"/>
  <c r="D258" i="82"/>
  <c r="J258" i="82"/>
  <c r="E258" i="82"/>
  <c r="F258" i="82"/>
  <c r="K258" i="82"/>
  <c r="G258" i="82"/>
  <c r="C258" i="82"/>
  <c r="I259" i="82"/>
  <c r="D259" i="82"/>
  <c r="J259" i="82"/>
  <c r="E259" i="82"/>
  <c r="F259" i="82"/>
  <c r="K259" i="82"/>
  <c r="G259" i="82"/>
  <c r="C259" i="82"/>
  <c r="I260" i="82"/>
  <c r="D260" i="82"/>
  <c r="J260" i="82"/>
  <c r="E260" i="82"/>
  <c r="F260" i="82"/>
  <c r="K260" i="82"/>
  <c r="G260" i="82"/>
  <c r="C260" i="82"/>
  <c r="I261" i="82"/>
  <c r="D261" i="82"/>
  <c r="J261" i="82"/>
  <c r="E261" i="82"/>
  <c r="F261" i="82"/>
  <c r="K261" i="82"/>
  <c r="G261" i="82"/>
  <c r="C261" i="82"/>
  <c r="I262" i="82"/>
  <c r="D262" i="82"/>
  <c r="J262" i="82"/>
  <c r="E262" i="82"/>
  <c r="F262" i="82"/>
  <c r="K262" i="82"/>
  <c r="G262" i="82"/>
  <c r="C262" i="82"/>
  <c r="I263" i="82"/>
  <c r="D263" i="82"/>
  <c r="J263" i="82"/>
  <c r="E263" i="82"/>
  <c r="F263" i="82"/>
  <c r="K263" i="82"/>
  <c r="G263" i="82"/>
  <c r="C263" i="82"/>
  <c r="I264" i="82"/>
  <c r="D264" i="82"/>
  <c r="J264" i="82"/>
  <c r="E264" i="82"/>
  <c r="F264" i="82"/>
  <c r="K264" i="82"/>
  <c r="G264" i="82"/>
  <c r="C264" i="82"/>
  <c r="I265" i="82"/>
  <c r="D265" i="82"/>
  <c r="J265" i="82"/>
  <c r="E265" i="82"/>
  <c r="F265" i="82"/>
  <c r="K265" i="82"/>
  <c r="G265" i="82"/>
  <c r="C265" i="82"/>
  <c r="I266" i="82"/>
  <c r="D266" i="82"/>
  <c r="J266" i="82"/>
  <c r="E266" i="82"/>
  <c r="F266" i="82"/>
  <c r="K266" i="82"/>
  <c r="G266" i="82"/>
  <c r="C266" i="82"/>
  <c r="I267" i="82"/>
  <c r="D267" i="82"/>
  <c r="J267" i="82"/>
  <c r="E267" i="82"/>
  <c r="F267" i="82"/>
  <c r="K267" i="82"/>
  <c r="G267" i="82"/>
  <c r="C267" i="82"/>
  <c r="I268" i="82"/>
  <c r="D268" i="82"/>
  <c r="J268" i="82"/>
  <c r="E268" i="82"/>
  <c r="F268" i="82"/>
  <c r="K268" i="82"/>
  <c r="G268" i="82"/>
  <c r="C268" i="82"/>
  <c r="I269" i="82"/>
  <c r="D269" i="82"/>
  <c r="J269" i="82"/>
  <c r="E269" i="82"/>
  <c r="F269" i="82"/>
  <c r="K269" i="82"/>
  <c r="G269" i="82"/>
  <c r="C269" i="82"/>
  <c r="I270" i="82"/>
  <c r="D270" i="82"/>
  <c r="J270" i="82"/>
  <c r="E270" i="82"/>
  <c r="F270" i="82"/>
  <c r="K270" i="82"/>
  <c r="G270" i="82"/>
  <c r="C270" i="82"/>
  <c r="I271" i="82"/>
  <c r="D271" i="82"/>
  <c r="J271" i="82"/>
  <c r="E271" i="82"/>
  <c r="F271" i="82"/>
  <c r="K271" i="82"/>
  <c r="G271" i="82"/>
  <c r="C271" i="82"/>
  <c r="I272" i="82"/>
  <c r="D272" i="82"/>
  <c r="J272" i="82"/>
  <c r="E272" i="82"/>
  <c r="F272" i="82"/>
  <c r="K272" i="82"/>
  <c r="G272" i="82"/>
  <c r="C272" i="82"/>
  <c r="I273" i="82"/>
  <c r="D273" i="82"/>
  <c r="J273" i="82"/>
  <c r="E273" i="82"/>
  <c r="F273" i="82"/>
  <c r="K273" i="82"/>
  <c r="G273" i="82"/>
  <c r="C273" i="82"/>
  <c r="I274" i="82"/>
  <c r="D274" i="82"/>
  <c r="J274" i="82"/>
  <c r="E274" i="82"/>
  <c r="F274" i="82"/>
  <c r="K274" i="82"/>
  <c r="G274" i="82"/>
  <c r="C274" i="82"/>
  <c r="I275" i="82"/>
  <c r="D275" i="82"/>
  <c r="J275" i="82"/>
  <c r="E275" i="82"/>
  <c r="F275" i="82"/>
  <c r="K275" i="82"/>
  <c r="G275" i="82"/>
  <c r="C275" i="82"/>
  <c r="I276" i="82"/>
  <c r="D276" i="82"/>
  <c r="J276" i="82"/>
  <c r="E276" i="82"/>
  <c r="F276" i="82"/>
  <c r="K276" i="82"/>
  <c r="G276" i="82"/>
  <c r="C276" i="82"/>
  <c r="I277" i="82"/>
  <c r="D277" i="82"/>
  <c r="J277" i="82"/>
  <c r="E277" i="82"/>
  <c r="F277" i="82"/>
  <c r="K277" i="82"/>
  <c r="G277" i="82"/>
  <c r="C277" i="82"/>
  <c r="I278" i="82"/>
  <c r="D278" i="82"/>
  <c r="J278" i="82"/>
  <c r="E278" i="82"/>
  <c r="F278" i="82"/>
  <c r="K278" i="82"/>
  <c r="G278" i="82"/>
  <c r="C278" i="82"/>
  <c r="I279" i="82"/>
  <c r="D279" i="82"/>
  <c r="J279" i="82"/>
  <c r="E279" i="82"/>
  <c r="F279" i="82"/>
  <c r="K279" i="82"/>
  <c r="G279" i="82"/>
  <c r="C279" i="82"/>
  <c r="I280" i="82"/>
  <c r="D280" i="82"/>
  <c r="J280" i="82"/>
  <c r="E280" i="82"/>
  <c r="F280" i="82"/>
  <c r="K280" i="82"/>
  <c r="G280" i="82"/>
  <c r="C280" i="82"/>
  <c r="I281" i="82"/>
  <c r="D281" i="82"/>
  <c r="J281" i="82"/>
  <c r="E281" i="82"/>
  <c r="F281" i="82"/>
  <c r="K281" i="82"/>
  <c r="G281" i="82"/>
  <c r="C281" i="82"/>
  <c r="I282" i="82"/>
  <c r="D282" i="82"/>
  <c r="J282" i="82"/>
  <c r="E282" i="82"/>
  <c r="F282" i="82"/>
  <c r="K282" i="82"/>
  <c r="G282" i="82"/>
  <c r="C282" i="82"/>
  <c r="I283" i="82"/>
  <c r="D283" i="82"/>
  <c r="J283" i="82"/>
  <c r="E283" i="82"/>
  <c r="F283" i="82"/>
  <c r="K283" i="82"/>
  <c r="G283" i="82"/>
  <c r="C283" i="82"/>
  <c r="I284" i="82"/>
  <c r="D284" i="82"/>
  <c r="J284" i="82"/>
  <c r="E284" i="82"/>
  <c r="F284" i="82"/>
  <c r="K284" i="82"/>
  <c r="G284" i="82"/>
  <c r="C284" i="82"/>
  <c r="I285" i="82"/>
  <c r="D285" i="82"/>
  <c r="J285" i="82"/>
  <c r="E285" i="82"/>
  <c r="F285" i="82"/>
  <c r="K285" i="82"/>
  <c r="G285" i="82"/>
  <c r="C285" i="82"/>
  <c r="I286" i="82"/>
  <c r="D286" i="82"/>
  <c r="J286" i="82"/>
  <c r="E286" i="82"/>
  <c r="F286" i="82"/>
  <c r="K286" i="82"/>
  <c r="G286" i="82"/>
  <c r="C286" i="82"/>
  <c r="I287" i="82"/>
  <c r="D287" i="82"/>
  <c r="J287" i="82"/>
  <c r="E287" i="82"/>
  <c r="F287" i="82"/>
  <c r="K287" i="82"/>
  <c r="G287" i="82"/>
  <c r="C287" i="82"/>
  <c r="I288" i="82"/>
  <c r="D288" i="82"/>
  <c r="J288" i="82"/>
  <c r="E288" i="82"/>
  <c r="F288" i="82"/>
  <c r="K288" i="82"/>
  <c r="G288" i="82"/>
  <c r="C288" i="82"/>
  <c r="I289" i="82"/>
  <c r="D289" i="82"/>
  <c r="J289" i="82"/>
  <c r="E289" i="82"/>
  <c r="F289" i="82"/>
  <c r="K289" i="82"/>
  <c r="G289" i="82"/>
  <c r="C289" i="82"/>
  <c r="I290" i="82"/>
  <c r="D290" i="82"/>
  <c r="J290" i="82"/>
  <c r="E290" i="82"/>
  <c r="F290" i="82"/>
  <c r="K290" i="82"/>
  <c r="G290" i="82"/>
  <c r="C290" i="82"/>
  <c r="I291" i="82"/>
  <c r="D291" i="82"/>
  <c r="J291" i="82"/>
  <c r="E291" i="82"/>
  <c r="F291" i="82"/>
  <c r="K291" i="82"/>
  <c r="G291" i="82"/>
  <c r="C291" i="82"/>
  <c r="I292" i="82"/>
  <c r="D292" i="82"/>
  <c r="J292" i="82"/>
  <c r="E292" i="82"/>
  <c r="F292" i="82"/>
  <c r="K292" i="82"/>
  <c r="G292" i="82"/>
  <c r="C292" i="82"/>
  <c r="I293" i="82"/>
  <c r="D293" i="82"/>
  <c r="J293" i="82"/>
  <c r="E293" i="82"/>
  <c r="F293" i="82"/>
  <c r="K293" i="82"/>
  <c r="G293" i="82"/>
  <c r="C293" i="82"/>
  <c r="I294" i="82"/>
  <c r="D294" i="82"/>
  <c r="J294" i="82"/>
  <c r="E294" i="82"/>
  <c r="F294" i="82"/>
  <c r="K294" i="82"/>
  <c r="G294" i="82"/>
  <c r="C294" i="82"/>
  <c r="I295" i="82"/>
  <c r="D295" i="82"/>
  <c r="J295" i="82"/>
  <c r="E295" i="82"/>
  <c r="F295" i="82"/>
  <c r="K295" i="82"/>
  <c r="G295" i="82"/>
  <c r="C295" i="82"/>
  <c r="I296" i="82"/>
  <c r="D296" i="82"/>
  <c r="J296" i="82"/>
  <c r="E296" i="82"/>
  <c r="F296" i="82"/>
  <c r="K296" i="82"/>
  <c r="G296" i="82"/>
  <c r="C296" i="82"/>
  <c r="I297" i="82"/>
  <c r="D297" i="82"/>
  <c r="J297" i="82"/>
  <c r="E297" i="82"/>
  <c r="F297" i="82"/>
  <c r="K297" i="82"/>
  <c r="G297" i="82"/>
  <c r="C297" i="82"/>
  <c r="I298" i="82"/>
  <c r="D298" i="82"/>
  <c r="J298" i="82"/>
  <c r="E298" i="82"/>
  <c r="F298" i="82"/>
  <c r="K298" i="82"/>
  <c r="G298" i="82"/>
  <c r="C298" i="82"/>
  <c r="I299" i="82"/>
  <c r="D299" i="82"/>
  <c r="J299" i="82"/>
  <c r="E299" i="82"/>
  <c r="F299" i="82"/>
  <c r="K299" i="82"/>
  <c r="G299" i="82"/>
  <c r="C299" i="82"/>
  <c r="I300" i="82"/>
  <c r="D300" i="82"/>
  <c r="J300" i="82"/>
  <c r="E300" i="82"/>
  <c r="F300" i="82"/>
  <c r="K300" i="82"/>
  <c r="G300" i="82"/>
  <c r="C300" i="82"/>
  <c r="I301" i="82"/>
  <c r="D301" i="82"/>
  <c r="J301" i="82"/>
  <c r="E301" i="82"/>
  <c r="F301" i="82"/>
  <c r="K301" i="82"/>
  <c r="G301" i="82"/>
  <c r="C301" i="82"/>
  <c r="I302" i="82"/>
  <c r="D302" i="82"/>
  <c r="J302" i="82"/>
  <c r="E302" i="82"/>
  <c r="F302" i="82"/>
  <c r="K302" i="82"/>
  <c r="G302" i="82"/>
  <c r="C302" i="82"/>
  <c r="I303" i="82"/>
  <c r="D303" i="82"/>
  <c r="J303" i="82"/>
  <c r="E303" i="82"/>
  <c r="F303" i="82"/>
  <c r="K303" i="82"/>
  <c r="G303" i="82"/>
  <c r="C303" i="82"/>
  <c r="I304" i="82"/>
  <c r="D304" i="82"/>
  <c r="J304" i="82"/>
  <c r="E304" i="82"/>
  <c r="F304" i="82"/>
  <c r="K304" i="82"/>
  <c r="G304" i="82"/>
  <c r="C304" i="82"/>
  <c r="I305" i="82"/>
  <c r="D305" i="82"/>
  <c r="J305" i="82"/>
  <c r="E305" i="82"/>
  <c r="F305" i="82"/>
  <c r="K305" i="82"/>
  <c r="G305" i="82"/>
  <c r="C305" i="82"/>
  <c r="I306" i="82"/>
  <c r="D306" i="82"/>
  <c r="J306" i="82"/>
  <c r="E306" i="82"/>
  <c r="F306" i="82"/>
  <c r="K306" i="82"/>
  <c r="G306" i="82"/>
  <c r="C306" i="82"/>
  <c r="I307" i="82"/>
  <c r="D307" i="82"/>
  <c r="J307" i="82"/>
  <c r="E307" i="82"/>
  <c r="F307" i="82"/>
  <c r="K307" i="82"/>
  <c r="G307" i="82"/>
  <c r="C307" i="82"/>
  <c r="I308" i="82"/>
  <c r="D308" i="82"/>
  <c r="J308" i="82"/>
  <c r="E308" i="82"/>
  <c r="F308" i="82"/>
  <c r="K308" i="82"/>
  <c r="G308" i="82"/>
  <c r="C308" i="82"/>
  <c r="I309" i="82"/>
  <c r="D309" i="82"/>
  <c r="J309" i="82"/>
  <c r="E309" i="82"/>
  <c r="F309" i="82"/>
  <c r="K309" i="82"/>
  <c r="G309" i="82"/>
  <c r="C309" i="82"/>
  <c r="I310" i="82"/>
  <c r="D310" i="82"/>
  <c r="J310" i="82"/>
  <c r="E310" i="82"/>
  <c r="F310" i="82"/>
  <c r="K310" i="82"/>
  <c r="G310" i="82"/>
  <c r="C310" i="82"/>
  <c r="I311" i="82"/>
  <c r="D311" i="82"/>
  <c r="J311" i="82"/>
  <c r="E311" i="82"/>
  <c r="F311" i="82"/>
  <c r="K311" i="82"/>
  <c r="G311" i="82"/>
  <c r="C311" i="82"/>
  <c r="I312" i="82"/>
  <c r="D312" i="82"/>
  <c r="J312" i="82"/>
  <c r="E312" i="82"/>
  <c r="F312" i="82"/>
  <c r="K312" i="82"/>
  <c r="G312" i="82"/>
  <c r="C312" i="82"/>
  <c r="I313" i="82"/>
  <c r="D313" i="82"/>
  <c r="J313" i="82"/>
  <c r="E313" i="82"/>
  <c r="F313" i="82"/>
  <c r="K313" i="82"/>
  <c r="G313" i="82"/>
  <c r="C313" i="82"/>
  <c r="I314" i="82"/>
  <c r="D314" i="82"/>
  <c r="J314" i="82"/>
  <c r="E314" i="82"/>
  <c r="F314" i="82"/>
  <c r="K314" i="82"/>
  <c r="G314" i="82"/>
  <c r="C314" i="82"/>
  <c r="I315" i="82"/>
  <c r="D315" i="82"/>
  <c r="J315" i="82"/>
  <c r="E315" i="82"/>
  <c r="F315" i="82"/>
  <c r="K315" i="82"/>
  <c r="G315" i="82"/>
  <c r="C315" i="82"/>
  <c r="I316" i="82"/>
  <c r="D316" i="82"/>
  <c r="J316" i="82"/>
  <c r="E316" i="82"/>
  <c r="F316" i="82"/>
  <c r="K316" i="82"/>
  <c r="G316" i="82"/>
  <c r="C316" i="82"/>
  <c r="I317" i="82"/>
  <c r="D317" i="82"/>
  <c r="J317" i="82"/>
  <c r="E317" i="82"/>
  <c r="F317" i="82"/>
  <c r="K317" i="82"/>
  <c r="G317" i="82"/>
  <c r="C317" i="82"/>
  <c r="I318" i="82"/>
  <c r="D318" i="82"/>
  <c r="J318" i="82"/>
  <c r="E318" i="82"/>
  <c r="F318" i="82"/>
  <c r="K318" i="82"/>
  <c r="G318" i="82"/>
  <c r="C318" i="82"/>
  <c r="I319" i="82"/>
  <c r="D319" i="82"/>
  <c r="J319" i="82"/>
  <c r="E319" i="82"/>
  <c r="F319" i="82"/>
  <c r="K319" i="82"/>
  <c r="G319" i="82"/>
  <c r="C319" i="82"/>
  <c r="I320" i="82"/>
  <c r="D320" i="82"/>
  <c r="J320" i="82"/>
  <c r="E320" i="82"/>
  <c r="F320" i="82"/>
  <c r="K320" i="82"/>
  <c r="G320" i="82"/>
  <c r="C320" i="82"/>
  <c r="I321" i="82"/>
  <c r="D321" i="82"/>
  <c r="J321" i="82"/>
  <c r="E321" i="82"/>
  <c r="F321" i="82"/>
  <c r="K321" i="82"/>
  <c r="G321" i="82"/>
  <c r="C321" i="82"/>
  <c r="I322" i="82"/>
  <c r="D322" i="82"/>
  <c r="J322" i="82"/>
  <c r="E322" i="82"/>
  <c r="F322" i="82"/>
  <c r="K322" i="82"/>
  <c r="G322" i="82"/>
  <c r="C322" i="82"/>
  <c r="I323" i="82"/>
  <c r="D323" i="82"/>
  <c r="J323" i="82"/>
  <c r="E323" i="82"/>
  <c r="F323" i="82"/>
  <c r="K323" i="82"/>
  <c r="G323" i="82"/>
  <c r="C323" i="82"/>
  <c r="I324" i="82"/>
  <c r="D324" i="82"/>
  <c r="J324" i="82"/>
  <c r="E324" i="82"/>
  <c r="F324" i="82"/>
  <c r="K324" i="82"/>
  <c r="G324" i="82"/>
  <c r="C324" i="82"/>
  <c r="I325" i="82"/>
  <c r="D325" i="82"/>
  <c r="J325" i="82"/>
  <c r="E325" i="82"/>
  <c r="F325" i="82"/>
  <c r="K325" i="82"/>
  <c r="G325" i="82"/>
  <c r="C325" i="82"/>
  <c r="I326" i="82"/>
  <c r="D326" i="82"/>
  <c r="J326" i="82"/>
  <c r="E326" i="82"/>
  <c r="F326" i="82"/>
  <c r="K326" i="82"/>
  <c r="G326" i="82"/>
  <c r="C326" i="82"/>
  <c r="I327" i="82"/>
  <c r="D327" i="82"/>
  <c r="J327" i="82"/>
  <c r="E327" i="82"/>
  <c r="F327" i="82"/>
  <c r="K327" i="82"/>
  <c r="G327" i="82"/>
  <c r="C327" i="82"/>
  <c r="I328" i="82"/>
  <c r="D328" i="82"/>
  <c r="J328" i="82"/>
  <c r="E328" i="82"/>
  <c r="F328" i="82"/>
  <c r="K328" i="82"/>
  <c r="G328" i="82"/>
  <c r="C328" i="82"/>
  <c r="I329" i="82"/>
  <c r="D329" i="82"/>
  <c r="J329" i="82"/>
  <c r="E329" i="82"/>
  <c r="F329" i="82"/>
  <c r="K329" i="82"/>
  <c r="G329" i="82"/>
  <c r="C329" i="82"/>
  <c r="I330" i="82"/>
  <c r="D330" i="82"/>
  <c r="J330" i="82"/>
  <c r="E330" i="82"/>
  <c r="F330" i="82"/>
  <c r="K330" i="82"/>
  <c r="G330" i="82"/>
  <c r="C330" i="82"/>
  <c r="I331" i="82"/>
  <c r="D331" i="82"/>
  <c r="J331" i="82"/>
  <c r="E331" i="82"/>
  <c r="F331" i="82"/>
  <c r="K331" i="82"/>
  <c r="G331" i="82"/>
  <c r="C331" i="82"/>
  <c r="I332" i="82"/>
  <c r="D332" i="82"/>
  <c r="J332" i="82"/>
  <c r="E332" i="82"/>
  <c r="F332" i="82"/>
  <c r="K332" i="82"/>
  <c r="G332" i="82"/>
  <c r="C332" i="82"/>
  <c r="I333" i="82"/>
  <c r="D333" i="82"/>
  <c r="J333" i="82"/>
  <c r="E333" i="82"/>
  <c r="F333" i="82"/>
  <c r="K333" i="82"/>
  <c r="G333" i="82"/>
  <c r="C333" i="82"/>
  <c r="I334" i="82"/>
  <c r="D334" i="82"/>
  <c r="J334" i="82"/>
  <c r="E334" i="82"/>
  <c r="F334" i="82"/>
  <c r="K334" i="82"/>
  <c r="G334" i="82"/>
  <c r="C334" i="82"/>
  <c r="I335" i="82"/>
  <c r="D335" i="82"/>
  <c r="J335" i="82"/>
  <c r="E335" i="82"/>
  <c r="F335" i="82"/>
  <c r="K335" i="82"/>
  <c r="G335" i="82"/>
  <c r="C335" i="82"/>
  <c r="I336" i="82"/>
  <c r="D336" i="82"/>
  <c r="J336" i="82"/>
  <c r="E336" i="82"/>
  <c r="F336" i="82"/>
  <c r="K336" i="82"/>
  <c r="G336" i="82"/>
  <c r="C336" i="82"/>
  <c r="I337" i="82"/>
  <c r="D337" i="82"/>
  <c r="J337" i="82"/>
  <c r="E337" i="82"/>
  <c r="F337" i="82"/>
  <c r="K337" i="82"/>
  <c r="G337" i="82"/>
  <c r="C337" i="82"/>
  <c r="I338" i="82"/>
  <c r="D338" i="82"/>
  <c r="J338" i="82"/>
  <c r="E338" i="82"/>
  <c r="F338" i="82"/>
  <c r="K338" i="82"/>
  <c r="G338" i="82"/>
  <c r="C338" i="82"/>
  <c r="I339" i="82"/>
  <c r="D339" i="82"/>
  <c r="J339" i="82"/>
  <c r="E339" i="82"/>
  <c r="F339" i="82"/>
  <c r="K339" i="82"/>
  <c r="G339" i="82"/>
  <c r="C339" i="82"/>
  <c r="I340" i="82"/>
  <c r="D340" i="82"/>
  <c r="J340" i="82"/>
  <c r="E340" i="82"/>
  <c r="F340" i="82"/>
  <c r="K340" i="82"/>
  <c r="G340" i="82"/>
  <c r="C340" i="82"/>
  <c r="I346" i="82"/>
  <c r="D346" i="82"/>
  <c r="J346" i="82"/>
  <c r="E346" i="82"/>
  <c r="F346" i="82"/>
  <c r="K346" i="82"/>
  <c r="G346" i="82"/>
  <c r="C346" i="82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6" i="82"/>
  <c r="F63" i="106"/>
  <c r="F64" i="106"/>
  <c r="G63" i="106"/>
  <c r="F56" i="106"/>
  <c r="G56" i="106"/>
  <c r="G49" i="106"/>
  <c r="F57" i="106"/>
  <c r="G57" i="106"/>
  <c r="G50" i="106"/>
  <c r="B5" i="106"/>
  <c r="C49" i="106"/>
  <c r="B50" i="106"/>
  <c r="M3" i="106"/>
  <c r="I3" i="157"/>
  <c r="D3" i="157"/>
  <c r="I2" i="157"/>
  <c r="D2" i="157"/>
  <c r="I2" i="163"/>
  <c r="J2" i="163"/>
  <c r="D2" i="163"/>
  <c r="E2" i="163"/>
  <c r="F2" i="163"/>
  <c r="C2" i="163"/>
  <c r="I3" i="163"/>
  <c r="J3" i="163"/>
  <c r="D3" i="163"/>
  <c r="E3" i="163"/>
  <c r="F3" i="163"/>
  <c r="C3" i="163"/>
  <c r="I4" i="163"/>
  <c r="J4" i="163"/>
  <c r="D4" i="163"/>
  <c r="E4" i="163"/>
  <c r="F4" i="163"/>
  <c r="C4" i="163"/>
  <c r="I5" i="163"/>
  <c r="J5" i="163"/>
  <c r="D5" i="163"/>
  <c r="E5" i="163"/>
  <c r="F5" i="163"/>
  <c r="C5" i="163"/>
  <c r="I6" i="163"/>
  <c r="J6" i="163"/>
  <c r="D6" i="163"/>
  <c r="E6" i="163"/>
  <c r="F6" i="163"/>
  <c r="C6" i="163"/>
  <c r="I7" i="163"/>
  <c r="J7" i="163"/>
  <c r="D7" i="163"/>
  <c r="E7" i="163"/>
  <c r="F7" i="163"/>
  <c r="C7" i="163"/>
  <c r="I8" i="163"/>
  <c r="J8" i="163"/>
  <c r="D8" i="163"/>
  <c r="E8" i="163"/>
  <c r="F8" i="163"/>
  <c r="C8" i="163"/>
  <c r="I9" i="163"/>
  <c r="J9" i="163"/>
  <c r="D9" i="163"/>
  <c r="E9" i="163"/>
  <c r="F9" i="163"/>
  <c r="C9" i="163"/>
  <c r="I10" i="163"/>
  <c r="J10" i="163"/>
  <c r="D10" i="163"/>
  <c r="E10" i="163"/>
  <c r="F10" i="163"/>
  <c r="C10" i="163"/>
  <c r="I11" i="163"/>
  <c r="J11" i="163"/>
  <c r="D11" i="163"/>
  <c r="E11" i="163"/>
  <c r="F11" i="163"/>
  <c r="C11" i="163"/>
  <c r="I12" i="163"/>
  <c r="J12" i="163"/>
  <c r="D12" i="163"/>
  <c r="E12" i="163"/>
  <c r="F12" i="163"/>
  <c r="C12" i="163"/>
  <c r="I13" i="163"/>
  <c r="J13" i="163"/>
  <c r="D13" i="163"/>
  <c r="E13" i="163"/>
  <c r="F13" i="163"/>
  <c r="C13" i="163"/>
  <c r="I14" i="163"/>
  <c r="J14" i="163"/>
  <c r="D14" i="163"/>
  <c r="E14" i="163"/>
  <c r="F14" i="163"/>
  <c r="C14" i="163"/>
  <c r="I15" i="163"/>
  <c r="J15" i="163"/>
  <c r="D15" i="163"/>
  <c r="E15" i="163"/>
  <c r="F15" i="163"/>
  <c r="C15" i="163"/>
  <c r="I16" i="163"/>
  <c r="J16" i="163"/>
  <c r="D16" i="163"/>
  <c r="E16" i="163"/>
  <c r="F16" i="163"/>
  <c r="C16" i="163"/>
  <c r="I17" i="163"/>
  <c r="J17" i="163"/>
  <c r="D17" i="163"/>
  <c r="E17" i="163"/>
  <c r="F17" i="163"/>
  <c r="C17" i="163"/>
  <c r="I18" i="163"/>
  <c r="J18" i="163"/>
  <c r="D18" i="163"/>
  <c r="E18" i="163"/>
  <c r="F18" i="163"/>
  <c r="C18" i="163"/>
  <c r="I19" i="163"/>
  <c r="J19" i="163"/>
  <c r="D19" i="163"/>
  <c r="E19" i="163"/>
  <c r="F19" i="163"/>
  <c r="C19" i="163"/>
  <c r="I20" i="163"/>
  <c r="J20" i="163"/>
  <c r="D20" i="163"/>
  <c r="E20" i="163"/>
  <c r="F20" i="163"/>
  <c r="C20" i="163"/>
  <c r="I21" i="163"/>
  <c r="J21" i="163"/>
  <c r="D21" i="163"/>
  <c r="E21" i="163"/>
  <c r="F21" i="163"/>
  <c r="C21" i="163"/>
  <c r="I22" i="163"/>
  <c r="J22" i="163"/>
  <c r="D22" i="163"/>
  <c r="E22" i="163"/>
  <c r="F22" i="163"/>
  <c r="C22" i="163"/>
  <c r="I23" i="163"/>
  <c r="J23" i="163"/>
  <c r="D23" i="163"/>
  <c r="E23" i="163"/>
  <c r="F23" i="163"/>
  <c r="C23" i="163"/>
  <c r="I24" i="163"/>
  <c r="J24" i="163"/>
  <c r="D24" i="163"/>
  <c r="E24" i="163"/>
  <c r="F24" i="163"/>
  <c r="C24" i="163"/>
  <c r="I25" i="163"/>
  <c r="J25" i="163"/>
  <c r="D25" i="163"/>
  <c r="E25" i="163"/>
  <c r="F25" i="163"/>
  <c r="C25" i="163"/>
  <c r="I26" i="163"/>
  <c r="J26" i="163"/>
  <c r="D26" i="163"/>
  <c r="E26" i="163"/>
  <c r="F26" i="163"/>
  <c r="C26" i="163"/>
  <c r="I27" i="163"/>
  <c r="J27" i="163"/>
  <c r="D27" i="163"/>
  <c r="E27" i="163"/>
  <c r="F27" i="163"/>
  <c r="C27" i="163"/>
  <c r="I28" i="163"/>
  <c r="J28" i="163"/>
  <c r="D28" i="163"/>
  <c r="E28" i="163"/>
  <c r="F28" i="163"/>
  <c r="C28" i="163"/>
  <c r="I29" i="163"/>
  <c r="J29" i="163"/>
  <c r="D29" i="163"/>
  <c r="E29" i="163"/>
  <c r="F29" i="163"/>
  <c r="C29" i="163"/>
  <c r="I30" i="163"/>
  <c r="J30" i="163"/>
  <c r="D30" i="163"/>
  <c r="E30" i="163"/>
  <c r="F30" i="163"/>
  <c r="C30" i="163"/>
  <c r="I31" i="163"/>
  <c r="J31" i="163"/>
  <c r="D31" i="163"/>
  <c r="E31" i="163"/>
  <c r="F31" i="163"/>
  <c r="C31" i="163"/>
  <c r="I32" i="163"/>
  <c r="J32" i="163"/>
  <c r="D32" i="163"/>
  <c r="E32" i="163"/>
  <c r="F32" i="163"/>
  <c r="C32" i="163"/>
  <c r="I33" i="163"/>
  <c r="J33" i="163"/>
  <c r="D33" i="163"/>
  <c r="E33" i="163"/>
  <c r="F33" i="163"/>
  <c r="C33" i="163"/>
  <c r="I34" i="163"/>
  <c r="J34" i="163"/>
  <c r="D34" i="163"/>
  <c r="E34" i="163"/>
  <c r="F34" i="163"/>
  <c r="C34" i="163"/>
  <c r="I35" i="163"/>
  <c r="J35" i="163"/>
  <c r="D35" i="163"/>
  <c r="E35" i="163"/>
  <c r="F35" i="163"/>
  <c r="C35" i="163"/>
  <c r="I36" i="163"/>
  <c r="J36" i="163"/>
  <c r="D36" i="163"/>
  <c r="E36" i="163"/>
  <c r="F36" i="163"/>
  <c r="C36" i="163"/>
  <c r="I37" i="163"/>
  <c r="J37" i="163"/>
  <c r="D37" i="163"/>
  <c r="E37" i="163"/>
  <c r="F37" i="163"/>
  <c r="C37" i="163"/>
  <c r="I38" i="163"/>
  <c r="J38" i="163"/>
  <c r="D38" i="163"/>
  <c r="E38" i="163"/>
  <c r="F38" i="163"/>
  <c r="C38" i="163"/>
  <c r="I39" i="163"/>
  <c r="J39" i="163"/>
  <c r="D39" i="163"/>
  <c r="E39" i="163"/>
  <c r="F39" i="163"/>
  <c r="C39" i="163"/>
  <c r="I40" i="163"/>
  <c r="J40" i="163"/>
  <c r="D40" i="163"/>
  <c r="E40" i="163"/>
  <c r="F40" i="163"/>
  <c r="C40" i="163"/>
  <c r="I41" i="163"/>
  <c r="J41" i="163"/>
  <c r="D41" i="163"/>
  <c r="E41" i="163"/>
  <c r="F41" i="163"/>
  <c r="C41" i="163"/>
  <c r="I42" i="163"/>
  <c r="D42" i="163"/>
  <c r="J42" i="163"/>
  <c r="E42" i="163"/>
  <c r="F42" i="163"/>
  <c r="C42" i="163"/>
  <c r="I43" i="163"/>
  <c r="D43" i="163"/>
  <c r="J43" i="163"/>
  <c r="E43" i="163"/>
  <c r="F43" i="163"/>
  <c r="C43" i="163"/>
  <c r="I44" i="163"/>
  <c r="D44" i="163"/>
  <c r="J44" i="163"/>
  <c r="E44" i="163"/>
  <c r="F44" i="163"/>
  <c r="C44" i="163"/>
  <c r="I45" i="163"/>
  <c r="D45" i="163"/>
  <c r="J45" i="163"/>
  <c r="E45" i="163"/>
  <c r="F45" i="163"/>
  <c r="C45" i="163"/>
  <c r="I46" i="163"/>
  <c r="D46" i="163"/>
  <c r="J46" i="163"/>
  <c r="E46" i="163"/>
  <c r="F46" i="163"/>
  <c r="C46" i="163"/>
  <c r="I47" i="163"/>
  <c r="D47" i="163"/>
  <c r="J47" i="163"/>
  <c r="E47" i="163"/>
  <c r="F47" i="163"/>
  <c r="C47" i="163"/>
  <c r="I48" i="163"/>
  <c r="D48" i="163"/>
  <c r="J48" i="163"/>
  <c r="E48" i="163"/>
  <c r="F48" i="163"/>
  <c r="C48" i="163"/>
  <c r="I49" i="163"/>
  <c r="D49" i="163"/>
  <c r="J49" i="163"/>
  <c r="E49" i="163"/>
  <c r="F49" i="163"/>
  <c r="C49" i="163"/>
  <c r="I50" i="163"/>
  <c r="D50" i="163"/>
  <c r="J50" i="163"/>
  <c r="E50" i="163"/>
  <c r="F50" i="163"/>
  <c r="C50" i="163"/>
  <c r="I51" i="163"/>
  <c r="D51" i="163"/>
  <c r="J51" i="163"/>
  <c r="E51" i="163"/>
  <c r="F51" i="163"/>
  <c r="C51" i="163"/>
  <c r="I52" i="163"/>
  <c r="D52" i="163"/>
  <c r="J52" i="163"/>
  <c r="E52" i="163"/>
  <c r="F52" i="163"/>
  <c r="C52" i="163"/>
  <c r="I53" i="163"/>
  <c r="D53" i="163"/>
  <c r="J53" i="163"/>
  <c r="E53" i="163"/>
  <c r="F53" i="163"/>
  <c r="C53" i="163"/>
  <c r="I54" i="163"/>
  <c r="D54" i="163"/>
  <c r="J54" i="163"/>
  <c r="E54" i="163"/>
  <c r="F54" i="163"/>
  <c r="C54" i="163"/>
  <c r="I55" i="163"/>
  <c r="D55" i="163"/>
  <c r="J55" i="163"/>
  <c r="E55" i="163"/>
  <c r="F55" i="163"/>
  <c r="C55" i="163"/>
  <c r="I56" i="163"/>
  <c r="D56" i="163"/>
  <c r="J56" i="163"/>
  <c r="E56" i="163"/>
  <c r="F56" i="163"/>
  <c r="C56" i="163"/>
  <c r="I57" i="163"/>
  <c r="D57" i="163"/>
  <c r="J57" i="163"/>
  <c r="E57" i="163"/>
  <c r="F57" i="163"/>
  <c r="C57" i="163"/>
  <c r="I58" i="163"/>
  <c r="D58" i="163"/>
  <c r="J58" i="163"/>
  <c r="E58" i="163"/>
  <c r="F58" i="163"/>
  <c r="C58" i="163"/>
  <c r="I59" i="163"/>
  <c r="D59" i="163"/>
  <c r="J59" i="163"/>
  <c r="E59" i="163"/>
  <c r="F59" i="163"/>
  <c r="C59" i="163"/>
  <c r="I60" i="163"/>
  <c r="D60" i="163"/>
  <c r="J60" i="163"/>
  <c r="E60" i="163"/>
  <c r="F60" i="163"/>
  <c r="C60" i="163"/>
  <c r="I61" i="163"/>
  <c r="D61" i="163"/>
  <c r="J61" i="163"/>
  <c r="E61" i="163"/>
  <c r="F61" i="163"/>
  <c r="C61" i="163"/>
  <c r="I62" i="163"/>
  <c r="D62" i="163"/>
  <c r="J62" i="163"/>
  <c r="E62" i="163"/>
  <c r="F62" i="163"/>
  <c r="C62" i="163"/>
  <c r="I63" i="163"/>
  <c r="D63" i="163"/>
  <c r="J63" i="163"/>
  <c r="E63" i="163"/>
  <c r="F63" i="163"/>
  <c r="C63" i="163"/>
  <c r="I64" i="163"/>
  <c r="D64" i="163"/>
  <c r="J64" i="163"/>
  <c r="E64" i="163"/>
  <c r="F64" i="163"/>
  <c r="C64" i="163"/>
  <c r="I65" i="163"/>
  <c r="D65" i="163"/>
  <c r="J65" i="163"/>
  <c r="E65" i="163"/>
  <c r="F65" i="163"/>
  <c r="C65" i="163"/>
  <c r="I66" i="163"/>
  <c r="D66" i="163"/>
  <c r="J66" i="163"/>
  <c r="E66" i="163"/>
  <c r="F66" i="163"/>
  <c r="C66" i="163"/>
  <c r="I67" i="163"/>
  <c r="D67" i="163"/>
  <c r="J67" i="163"/>
  <c r="E67" i="163"/>
  <c r="F67" i="163"/>
  <c r="C67" i="163"/>
  <c r="I68" i="163"/>
  <c r="D68" i="163"/>
  <c r="J68" i="163"/>
  <c r="E68" i="163"/>
  <c r="F68" i="163"/>
  <c r="C68" i="163"/>
  <c r="I69" i="163"/>
  <c r="D69" i="163"/>
  <c r="J69" i="163"/>
  <c r="E69" i="163"/>
  <c r="F69" i="163"/>
  <c r="C69" i="163"/>
  <c r="I70" i="163"/>
  <c r="D70" i="163"/>
  <c r="J70" i="163"/>
  <c r="E70" i="163"/>
  <c r="F70" i="163"/>
  <c r="C70" i="163"/>
  <c r="I71" i="163"/>
  <c r="D71" i="163"/>
  <c r="J71" i="163"/>
  <c r="E71" i="163"/>
  <c r="F71" i="163"/>
  <c r="C71" i="163"/>
  <c r="I72" i="163"/>
  <c r="D72" i="163"/>
  <c r="J72" i="163"/>
  <c r="E72" i="163"/>
  <c r="F72" i="163"/>
  <c r="C72" i="163"/>
  <c r="I73" i="163"/>
  <c r="D73" i="163"/>
  <c r="J73" i="163"/>
  <c r="E73" i="163"/>
  <c r="F73" i="163"/>
  <c r="C73" i="163"/>
  <c r="I74" i="163"/>
  <c r="D74" i="163"/>
  <c r="J74" i="163"/>
  <c r="E74" i="163"/>
  <c r="F74" i="163"/>
  <c r="C74" i="163"/>
  <c r="I75" i="163"/>
  <c r="D75" i="163"/>
  <c r="J75" i="163"/>
  <c r="E75" i="163"/>
  <c r="F75" i="163"/>
  <c r="C75" i="163"/>
  <c r="I76" i="163"/>
  <c r="D76" i="163"/>
  <c r="J76" i="163"/>
  <c r="E76" i="163"/>
  <c r="F76" i="163"/>
  <c r="C76" i="163"/>
  <c r="I77" i="163"/>
  <c r="D77" i="163"/>
  <c r="J77" i="163"/>
  <c r="E77" i="163"/>
  <c r="F77" i="163"/>
  <c r="C77" i="163"/>
  <c r="I78" i="163"/>
  <c r="D78" i="163"/>
  <c r="J78" i="163"/>
  <c r="E78" i="163"/>
  <c r="F78" i="163"/>
  <c r="C78" i="163"/>
  <c r="I79" i="163"/>
  <c r="D79" i="163"/>
  <c r="J79" i="163"/>
  <c r="E79" i="163"/>
  <c r="F79" i="163"/>
  <c r="C79" i="163"/>
  <c r="I80" i="163"/>
  <c r="D80" i="163"/>
  <c r="J80" i="163"/>
  <c r="E80" i="163"/>
  <c r="F80" i="163"/>
  <c r="C80" i="163"/>
  <c r="I81" i="163"/>
  <c r="D81" i="163"/>
  <c r="J81" i="163"/>
  <c r="E81" i="163"/>
  <c r="F81" i="163"/>
  <c r="C81" i="163"/>
  <c r="I82" i="163"/>
  <c r="D82" i="163"/>
  <c r="J82" i="163"/>
  <c r="E82" i="163"/>
  <c r="F82" i="163"/>
  <c r="C82" i="163"/>
  <c r="I83" i="163"/>
  <c r="D83" i="163"/>
  <c r="J83" i="163"/>
  <c r="E83" i="163"/>
  <c r="F83" i="163"/>
  <c r="C83" i="163"/>
  <c r="I84" i="163"/>
  <c r="D84" i="163"/>
  <c r="J84" i="163"/>
  <c r="E84" i="163"/>
  <c r="F84" i="163"/>
  <c r="C84" i="163"/>
  <c r="I85" i="163"/>
  <c r="D85" i="163"/>
  <c r="J85" i="163"/>
  <c r="E85" i="163"/>
  <c r="F85" i="163"/>
  <c r="C85" i="163"/>
  <c r="I86" i="163"/>
  <c r="D86" i="163"/>
  <c r="J86" i="163"/>
  <c r="E86" i="163"/>
  <c r="F86" i="163"/>
  <c r="C86" i="163"/>
  <c r="I87" i="163"/>
  <c r="D87" i="163"/>
  <c r="J87" i="163"/>
  <c r="E87" i="163"/>
  <c r="F87" i="163"/>
  <c r="C87" i="163"/>
  <c r="I88" i="163"/>
  <c r="D88" i="163"/>
  <c r="J88" i="163"/>
  <c r="E88" i="163"/>
  <c r="F88" i="163"/>
  <c r="C88" i="163"/>
  <c r="I89" i="163"/>
  <c r="D89" i="163"/>
  <c r="J89" i="163"/>
  <c r="E89" i="163"/>
  <c r="F89" i="163"/>
  <c r="C89" i="163"/>
  <c r="I90" i="163"/>
  <c r="D90" i="163"/>
  <c r="J90" i="163"/>
  <c r="E90" i="163"/>
  <c r="F90" i="163"/>
  <c r="C90" i="163"/>
  <c r="I91" i="163"/>
  <c r="D91" i="163"/>
  <c r="J91" i="163"/>
  <c r="E91" i="163"/>
  <c r="F91" i="163"/>
  <c r="C91" i="163"/>
  <c r="I92" i="163"/>
  <c r="D92" i="163"/>
  <c r="J92" i="163"/>
  <c r="E92" i="163"/>
  <c r="F92" i="163"/>
  <c r="C92" i="163"/>
  <c r="I93" i="163"/>
  <c r="D93" i="163"/>
  <c r="J93" i="163"/>
  <c r="E93" i="163"/>
  <c r="F93" i="163"/>
  <c r="C93" i="163"/>
  <c r="I94" i="163"/>
  <c r="D94" i="163"/>
  <c r="J94" i="163"/>
  <c r="E94" i="163"/>
  <c r="F94" i="163"/>
  <c r="C94" i="163"/>
  <c r="I95" i="163"/>
  <c r="D95" i="163"/>
  <c r="J95" i="163"/>
  <c r="E95" i="163"/>
  <c r="F95" i="163"/>
  <c r="C95" i="163"/>
  <c r="I96" i="163"/>
  <c r="D96" i="163"/>
  <c r="J96" i="163"/>
  <c r="E96" i="163"/>
  <c r="F96" i="163"/>
  <c r="C96" i="163"/>
  <c r="I97" i="163"/>
  <c r="D97" i="163"/>
  <c r="J97" i="163"/>
  <c r="E97" i="163"/>
  <c r="F97" i="163"/>
  <c r="C97" i="163"/>
  <c r="I98" i="163"/>
  <c r="D98" i="163"/>
  <c r="J98" i="163"/>
  <c r="E98" i="163"/>
  <c r="F98" i="163"/>
  <c r="C98" i="163"/>
  <c r="I99" i="163"/>
  <c r="D99" i="163"/>
  <c r="J99" i="163"/>
  <c r="E99" i="163"/>
  <c r="F99" i="163"/>
  <c r="C99" i="163"/>
  <c r="I100" i="163"/>
  <c r="D100" i="163"/>
  <c r="J100" i="163"/>
  <c r="E100" i="163"/>
  <c r="F100" i="163"/>
  <c r="C100" i="163"/>
  <c r="I101" i="163"/>
  <c r="D101" i="163"/>
  <c r="J101" i="163"/>
  <c r="E101" i="163"/>
  <c r="F101" i="163"/>
  <c r="C101" i="163"/>
  <c r="I102" i="163"/>
  <c r="D102" i="163"/>
  <c r="J102" i="163"/>
  <c r="E102" i="163"/>
  <c r="F102" i="163"/>
  <c r="C102" i="163"/>
  <c r="I103" i="163"/>
  <c r="D103" i="163"/>
  <c r="J103" i="163"/>
  <c r="E103" i="163"/>
  <c r="F103" i="163"/>
  <c r="C103" i="163"/>
  <c r="I104" i="163"/>
  <c r="D104" i="163"/>
  <c r="J104" i="163"/>
  <c r="E104" i="163"/>
  <c r="F104" i="163"/>
  <c r="C104" i="163"/>
  <c r="I105" i="163"/>
  <c r="D105" i="163"/>
  <c r="J105" i="163"/>
  <c r="E105" i="163"/>
  <c r="F105" i="163"/>
  <c r="C105" i="163"/>
  <c r="I106" i="163"/>
  <c r="D106" i="163"/>
  <c r="J106" i="163"/>
  <c r="E106" i="163"/>
  <c r="F106" i="163"/>
  <c r="C106" i="163"/>
  <c r="I107" i="163"/>
  <c r="D107" i="163"/>
  <c r="J107" i="163"/>
  <c r="E107" i="163"/>
  <c r="F107" i="163"/>
  <c r="C107" i="163"/>
  <c r="I108" i="163"/>
  <c r="D108" i="163"/>
  <c r="J108" i="163"/>
  <c r="E108" i="163"/>
  <c r="F108" i="163"/>
  <c r="C108" i="163"/>
  <c r="I109" i="163"/>
  <c r="D109" i="163"/>
  <c r="J109" i="163"/>
  <c r="E109" i="163"/>
  <c r="F109" i="163"/>
  <c r="C109" i="163"/>
  <c r="I110" i="163"/>
  <c r="D110" i="163"/>
  <c r="J110" i="163"/>
  <c r="E110" i="163"/>
  <c r="F110" i="163"/>
  <c r="C110" i="163"/>
  <c r="I111" i="163"/>
  <c r="D111" i="163"/>
  <c r="J111" i="163"/>
  <c r="E111" i="163"/>
  <c r="F111" i="163"/>
  <c r="C111" i="163"/>
  <c r="I112" i="163"/>
  <c r="D112" i="163"/>
  <c r="J112" i="163"/>
  <c r="E112" i="163"/>
  <c r="F112" i="163"/>
  <c r="C112" i="163"/>
  <c r="I113" i="163"/>
  <c r="D113" i="163"/>
  <c r="J113" i="163"/>
  <c r="E113" i="163"/>
  <c r="F113" i="163"/>
  <c r="C113" i="163"/>
  <c r="I114" i="163"/>
  <c r="D114" i="163"/>
  <c r="J114" i="163"/>
  <c r="E114" i="163"/>
  <c r="F114" i="163"/>
  <c r="C114" i="163"/>
  <c r="I115" i="163"/>
  <c r="D115" i="163"/>
  <c r="J115" i="163"/>
  <c r="E115" i="163"/>
  <c r="F115" i="163"/>
  <c r="C115" i="163"/>
  <c r="I116" i="163"/>
  <c r="D116" i="163"/>
  <c r="J116" i="163"/>
  <c r="E116" i="163"/>
  <c r="F116" i="163"/>
  <c r="C116" i="163"/>
  <c r="I117" i="163"/>
  <c r="D117" i="163"/>
  <c r="J117" i="163"/>
  <c r="E117" i="163"/>
  <c r="F117" i="163"/>
  <c r="C117" i="163"/>
  <c r="I118" i="163"/>
  <c r="D118" i="163"/>
  <c r="J118" i="163"/>
  <c r="E118" i="163"/>
  <c r="F118" i="163"/>
  <c r="C118" i="163"/>
  <c r="I119" i="163"/>
  <c r="D119" i="163"/>
  <c r="J119" i="163"/>
  <c r="E119" i="163"/>
  <c r="F119" i="163"/>
  <c r="C119" i="163"/>
  <c r="I120" i="163"/>
  <c r="D120" i="163"/>
  <c r="J120" i="163"/>
  <c r="E120" i="163"/>
  <c r="F120" i="163"/>
  <c r="C120" i="163"/>
  <c r="I121" i="163"/>
  <c r="D121" i="163"/>
  <c r="J121" i="163"/>
  <c r="E121" i="163"/>
  <c r="F121" i="163"/>
  <c r="C121" i="163"/>
  <c r="I122" i="163"/>
  <c r="D122" i="163"/>
  <c r="J122" i="163"/>
  <c r="E122" i="163"/>
  <c r="F122" i="163"/>
  <c r="C122" i="163"/>
  <c r="I123" i="163"/>
  <c r="D123" i="163"/>
  <c r="J123" i="163"/>
  <c r="E123" i="163"/>
  <c r="F123" i="163"/>
  <c r="C123" i="163"/>
  <c r="I124" i="163"/>
  <c r="D124" i="163"/>
  <c r="J124" i="163"/>
  <c r="E124" i="163"/>
  <c r="F124" i="163"/>
  <c r="C124" i="163"/>
  <c r="I125" i="163"/>
  <c r="D125" i="163"/>
  <c r="J125" i="163"/>
  <c r="E125" i="163"/>
  <c r="F125" i="163"/>
  <c r="C125" i="163"/>
  <c r="I126" i="163"/>
  <c r="D126" i="163"/>
  <c r="J126" i="163"/>
  <c r="E126" i="163"/>
  <c r="F126" i="163"/>
  <c r="C126" i="163"/>
  <c r="I127" i="163"/>
  <c r="D127" i="163"/>
  <c r="J127" i="163"/>
  <c r="E127" i="163"/>
  <c r="F127" i="163"/>
  <c r="C127" i="163"/>
  <c r="I128" i="163"/>
  <c r="D128" i="163"/>
  <c r="J128" i="163"/>
  <c r="E128" i="163"/>
  <c r="F128" i="163"/>
  <c r="C128" i="163"/>
  <c r="I129" i="163"/>
  <c r="D129" i="163"/>
  <c r="J129" i="163"/>
  <c r="E129" i="163"/>
  <c r="F129" i="163"/>
  <c r="C129" i="163"/>
  <c r="I130" i="163"/>
  <c r="D130" i="163"/>
  <c r="J130" i="163"/>
  <c r="E130" i="163"/>
  <c r="F130" i="163"/>
  <c r="C130" i="163"/>
  <c r="I131" i="163"/>
  <c r="D131" i="163"/>
  <c r="J131" i="163"/>
  <c r="E131" i="163"/>
  <c r="F131" i="163"/>
  <c r="C131" i="163"/>
  <c r="I132" i="163"/>
  <c r="D132" i="163"/>
  <c r="J132" i="163"/>
  <c r="E132" i="163"/>
  <c r="F132" i="163"/>
  <c r="C132" i="163"/>
  <c r="I133" i="163"/>
  <c r="D133" i="163"/>
  <c r="J133" i="163"/>
  <c r="E133" i="163"/>
  <c r="F133" i="163"/>
  <c r="C133" i="163"/>
  <c r="I134" i="163"/>
  <c r="D134" i="163"/>
  <c r="J134" i="163"/>
  <c r="E134" i="163"/>
  <c r="F134" i="163"/>
  <c r="C134" i="163"/>
  <c r="I135" i="163"/>
  <c r="D135" i="163"/>
  <c r="J135" i="163"/>
  <c r="E135" i="163"/>
  <c r="F135" i="163"/>
  <c r="C135" i="163"/>
  <c r="I136" i="163"/>
  <c r="D136" i="163"/>
  <c r="J136" i="163"/>
  <c r="E136" i="163"/>
  <c r="F136" i="163"/>
  <c r="C136" i="163"/>
  <c r="I137" i="163"/>
  <c r="D137" i="163"/>
  <c r="J137" i="163"/>
  <c r="E137" i="163"/>
  <c r="F137" i="163"/>
  <c r="C137" i="163"/>
  <c r="I138" i="163"/>
  <c r="D138" i="163"/>
  <c r="J138" i="163"/>
  <c r="E138" i="163"/>
  <c r="F138" i="163"/>
  <c r="C138" i="163"/>
  <c r="I139" i="163"/>
  <c r="D139" i="163"/>
  <c r="J139" i="163"/>
  <c r="E139" i="163"/>
  <c r="F139" i="163"/>
  <c r="C139" i="163"/>
  <c r="I140" i="163"/>
  <c r="D140" i="163"/>
  <c r="J140" i="163"/>
  <c r="E140" i="163"/>
  <c r="F140" i="163"/>
  <c r="C140" i="163"/>
  <c r="I141" i="163"/>
  <c r="D141" i="163"/>
  <c r="J141" i="163"/>
  <c r="E141" i="163"/>
  <c r="F141" i="163"/>
  <c r="C141" i="163"/>
  <c r="I142" i="163"/>
  <c r="D142" i="163"/>
  <c r="J142" i="163"/>
  <c r="E142" i="163"/>
  <c r="F142" i="163"/>
  <c r="C142" i="163"/>
  <c r="I143" i="163"/>
  <c r="D143" i="163"/>
  <c r="J143" i="163"/>
  <c r="E143" i="163"/>
  <c r="F143" i="163"/>
  <c r="C143" i="163"/>
  <c r="I144" i="163"/>
  <c r="D144" i="163"/>
  <c r="J144" i="163"/>
  <c r="E144" i="163"/>
  <c r="F144" i="163"/>
  <c r="C144" i="163"/>
  <c r="I145" i="163"/>
  <c r="D145" i="163"/>
  <c r="J145" i="163"/>
  <c r="E145" i="163"/>
  <c r="F145" i="163"/>
  <c r="C145" i="163"/>
  <c r="I146" i="163"/>
  <c r="D146" i="163"/>
  <c r="J146" i="163"/>
  <c r="E146" i="163"/>
  <c r="F146" i="163"/>
  <c r="C146" i="163"/>
  <c r="I147" i="163"/>
  <c r="D147" i="163"/>
  <c r="J147" i="163"/>
  <c r="E147" i="163"/>
  <c r="F147" i="163"/>
  <c r="C147" i="163"/>
  <c r="I148" i="163"/>
  <c r="D148" i="163"/>
  <c r="J148" i="163"/>
  <c r="E148" i="163"/>
  <c r="F148" i="163"/>
  <c r="C148" i="163"/>
  <c r="I149" i="163"/>
  <c r="D149" i="163"/>
  <c r="J149" i="163"/>
  <c r="E149" i="163"/>
  <c r="F149" i="163"/>
  <c r="C149" i="163"/>
  <c r="I150" i="163"/>
  <c r="D150" i="163"/>
  <c r="J150" i="163"/>
  <c r="E150" i="163"/>
  <c r="F150" i="163"/>
  <c r="C150" i="163"/>
  <c r="I151" i="163"/>
  <c r="D151" i="163"/>
  <c r="J151" i="163"/>
  <c r="E151" i="163"/>
  <c r="F151" i="163"/>
  <c r="C151" i="163"/>
  <c r="I152" i="163"/>
  <c r="D152" i="163"/>
  <c r="J152" i="163"/>
  <c r="E152" i="163"/>
  <c r="F152" i="163"/>
  <c r="C152" i="163"/>
  <c r="I153" i="163"/>
  <c r="D153" i="163"/>
  <c r="J153" i="163"/>
  <c r="E153" i="163"/>
  <c r="F153" i="163"/>
  <c r="C153" i="163"/>
  <c r="I154" i="163"/>
  <c r="D154" i="163"/>
  <c r="J154" i="163"/>
  <c r="E154" i="163"/>
  <c r="F154" i="163"/>
  <c r="C154" i="163"/>
  <c r="I155" i="163"/>
  <c r="D155" i="163"/>
  <c r="J155" i="163"/>
  <c r="E155" i="163"/>
  <c r="F155" i="163"/>
  <c r="C155" i="163"/>
  <c r="I156" i="163"/>
  <c r="D156" i="163"/>
  <c r="J156" i="163"/>
  <c r="E156" i="163"/>
  <c r="F156" i="163"/>
  <c r="C156" i="163"/>
  <c r="I157" i="163"/>
  <c r="D157" i="163"/>
  <c r="J157" i="163"/>
  <c r="E157" i="163"/>
  <c r="F157" i="163"/>
  <c r="C157" i="163"/>
  <c r="I158" i="163"/>
  <c r="D158" i="163"/>
  <c r="J158" i="163"/>
  <c r="E158" i="163"/>
  <c r="F158" i="163"/>
  <c r="C158" i="163"/>
  <c r="I159" i="163"/>
  <c r="D159" i="163"/>
  <c r="J159" i="163"/>
  <c r="E159" i="163"/>
  <c r="F159" i="163"/>
  <c r="C159" i="163"/>
  <c r="I160" i="163"/>
  <c r="D160" i="163"/>
  <c r="J160" i="163"/>
  <c r="E160" i="163"/>
  <c r="F160" i="163"/>
  <c r="C160" i="163"/>
  <c r="I161" i="163"/>
  <c r="D161" i="163"/>
  <c r="J161" i="163"/>
  <c r="E161" i="163"/>
  <c r="F161" i="163"/>
  <c r="C161" i="163"/>
  <c r="I162" i="163"/>
  <c r="D162" i="163"/>
  <c r="J162" i="163"/>
  <c r="E162" i="163"/>
  <c r="F162" i="163"/>
  <c r="C162" i="163"/>
  <c r="I163" i="163"/>
  <c r="D163" i="163"/>
  <c r="J163" i="163"/>
  <c r="E163" i="163"/>
  <c r="F163" i="163"/>
  <c r="C163" i="163"/>
  <c r="I164" i="163"/>
  <c r="D164" i="163"/>
  <c r="J164" i="163"/>
  <c r="E164" i="163"/>
  <c r="F164" i="163"/>
  <c r="C164" i="163"/>
  <c r="I165" i="163"/>
  <c r="D165" i="163"/>
  <c r="J165" i="163"/>
  <c r="E165" i="163"/>
  <c r="F165" i="163"/>
  <c r="C165" i="163"/>
  <c r="I166" i="163"/>
  <c r="D166" i="163"/>
  <c r="J166" i="163"/>
  <c r="E166" i="163"/>
  <c r="F166" i="163"/>
  <c r="C166" i="163"/>
  <c r="I167" i="163"/>
  <c r="D167" i="163"/>
  <c r="J167" i="163"/>
  <c r="E167" i="163"/>
  <c r="F167" i="163"/>
  <c r="C167" i="163"/>
  <c r="I168" i="163"/>
  <c r="D168" i="163"/>
  <c r="J168" i="163"/>
  <c r="E168" i="163"/>
  <c r="F168" i="163"/>
  <c r="C168" i="163"/>
  <c r="I169" i="163"/>
  <c r="D169" i="163"/>
  <c r="J169" i="163"/>
  <c r="E169" i="163"/>
  <c r="F169" i="163"/>
  <c r="C169" i="163"/>
  <c r="I170" i="163"/>
  <c r="D170" i="163"/>
  <c r="J170" i="163"/>
  <c r="E170" i="163"/>
  <c r="F170" i="163"/>
  <c r="C170" i="163"/>
  <c r="I171" i="163"/>
  <c r="D171" i="163"/>
  <c r="J171" i="163"/>
  <c r="E171" i="163"/>
  <c r="F171" i="163"/>
  <c r="C171" i="163"/>
  <c r="I172" i="163"/>
  <c r="D172" i="163"/>
  <c r="J172" i="163"/>
  <c r="E172" i="163"/>
  <c r="F172" i="163"/>
  <c r="C172" i="163"/>
  <c r="I173" i="163"/>
  <c r="D173" i="163"/>
  <c r="J173" i="163"/>
  <c r="E173" i="163"/>
  <c r="F173" i="163"/>
  <c r="C173" i="163"/>
  <c r="I174" i="163"/>
  <c r="D174" i="163"/>
  <c r="J174" i="163"/>
  <c r="E174" i="163"/>
  <c r="F174" i="163"/>
  <c r="C174" i="163"/>
  <c r="I175" i="163"/>
  <c r="D175" i="163"/>
  <c r="J175" i="163"/>
  <c r="E175" i="163"/>
  <c r="F175" i="163"/>
  <c r="C175" i="163"/>
  <c r="I176" i="163"/>
  <c r="D176" i="163"/>
  <c r="J176" i="163"/>
  <c r="E176" i="163"/>
  <c r="F176" i="163"/>
  <c r="C176" i="163"/>
  <c r="I177" i="163"/>
  <c r="D177" i="163"/>
  <c r="J177" i="163"/>
  <c r="E177" i="163"/>
  <c r="F177" i="163"/>
  <c r="C177" i="163"/>
  <c r="I178" i="163"/>
  <c r="D178" i="163"/>
  <c r="J178" i="163"/>
  <c r="E178" i="163"/>
  <c r="F178" i="163"/>
  <c r="C178" i="163"/>
  <c r="I179" i="163"/>
  <c r="D179" i="163"/>
  <c r="J179" i="163"/>
  <c r="E179" i="163"/>
  <c r="F179" i="163"/>
  <c r="C179" i="163"/>
  <c r="I180" i="163"/>
  <c r="D180" i="163"/>
  <c r="J180" i="163"/>
  <c r="E180" i="163"/>
  <c r="F180" i="163"/>
  <c r="C180" i="163"/>
  <c r="I181" i="163"/>
  <c r="D181" i="163"/>
  <c r="J181" i="163"/>
  <c r="E181" i="163"/>
  <c r="F181" i="163"/>
  <c r="C181" i="163"/>
  <c r="I182" i="163"/>
  <c r="D182" i="163"/>
  <c r="J182" i="163"/>
  <c r="E182" i="163"/>
  <c r="F182" i="163"/>
  <c r="C182" i="163"/>
  <c r="I183" i="163"/>
  <c r="D183" i="163"/>
  <c r="J183" i="163"/>
  <c r="E183" i="163"/>
  <c r="F183" i="163"/>
  <c r="C183" i="163"/>
  <c r="I184" i="163"/>
  <c r="D184" i="163"/>
  <c r="J184" i="163"/>
  <c r="E184" i="163"/>
  <c r="F184" i="163"/>
  <c r="C184" i="163"/>
  <c r="I185" i="163"/>
  <c r="D185" i="163"/>
  <c r="J185" i="163"/>
  <c r="E185" i="163"/>
  <c r="F185" i="163"/>
  <c r="C185" i="163"/>
  <c r="I186" i="163"/>
  <c r="D186" i="163"/>
  <c r="J186" i="163"/>
  <c r="E186" i="163"/>
  <c r="F186" i="163"/>
  <c r="C186" i="163"/>
  <c r="I187" i="163"/>
  <c r="D187" i="163"/>
  <c r="J187" i="163"/>
  <c r="E187" i="163"/>
  <c r="F187" i="163"/>
  <c r="C187" i="163"/>
  <c r="I188" i="163"/>
  <c r="D188" i="163"/>
  <c r="J188" i="163"/>
  <c r="E188" i="163"/>
  <c r="F188" i="163"/>
  <c r="C188" i="163"/>
  <c r="I189" i="163"/>
  <c r="D189" i="163"/>
  <c r="J189" i="163"/>
  <c r="E189" i="163"/>
  <c r="F189" i="163"/>
  <c r="C189" i="163"/>
  <c r="I190" i="163"/>
  <c r="D190" i="163"/>
  <c r="J190" i="163"/>
  <c r="E190" i="163"/>
  <c r="F190" i="163"/>
  <c r="C190" i="163"/>
  <c r="I191" i="163"/>
  <c r="D191" i="163"/>
  <c r="J191" i="163"/>
  <c r="E191" i="163"/>
  <c r="F191" i="163"/>
  <c r="C191" i="163"/>
  <c r="I192" i="163"/>
  <c r="D192" i="163"/>
  <c r="J192" i="163"/>
  <c r="E192" i="163"/>
  <c r="F192" i="163"/>
  <c r="C192" i="163"/>
  <c r="I193" i="163"/>
  <c r="D193" i="163"/>
  <c r="J193" i="163"/>
  <c r="E193" i="163"/>
  <c r="F193" i="163"/>
  <c r="C193" i="163"/>
  <c r="I194" i="163"/>
  <c r="D194" i="163"/>
  <c r="J194" i="163"/>
  <c r="E194" i="163"/>
  <c r="F194" i="163"/>
  <c r="C194" i="163"/>
  <c r="I195" i="163"/>
  <c r="D195" i="163"/>
  <c r="J195" i="163"/>
  <c r="E195" i="163"/>
  <c r="F195" i="163"/>
  <c r="C195" i="163"/>
  <c r="I196" i="163"/>
  <c r="D196" i="163"/>
  <c r="J196" i="163"/>
  <c r="E196" i="163"/>
  <c r="F196" i="163"/>
  <c r="C196" i="163"/>
  <c r="I197" i="163"/>
  <c r="D197" i="163"/>
  <c r="J197" i="163"/>
  <c r="E197" i="163"/>
  <c r="F197" i="163"/>
  <c r="C197" i="163"/>
  <c r="I198" i="163"/>
  <c r="D198" i="163"/>
  <c r="J198" i="163"/>
  <c r="E198" i="163"/>
  <c r="F198" i="163"/>
  <c r="C198" i="163"/>
  <c r="I199" i="163"/>
  <c r="D199" i="163"/>
  <c r="J199" i="163"/>
  <c r="E199" i="163"/>
  <c r="F199" i="163"/>
  <c r="C199" i="163"/>
  <c r="I200" i="163"/>
  <c r="D200" i="163"/>
  <c r="J200" i="163"/>
  <c r="E200" i="163"/>
  <c r="F200" i="163"/>
  <c r="C200" i="163"/>
  <c r="I201" i="163"/>
  <c r="D201" i="163"/>
  <c r="J201" i="163"/>
  <c r="E201" i="163"/>
  <c r="F201" i="163"/>
  <c r="C201" i="163"/>
  <c r="I202" i="163"/>
  <c r="D202" i="163"/>
  <c r="J202" i="163"/>
  <c r="E202" i="163"/>
  <c r="F202" i="163"/>
  <c r="C202" i="163"/>
  <c r="I203" i="163"/>
  <c r="D203" i="163"/>
  <c r="J203" i="163"/>
  <c r="E203" i="163"/>
  <c r="F203" i="163"/>
  <c r="C203" i="163"/>
  <c r="I204" i="163"/>
  <c r="D204" i="163"/>
  <c r="J204" i="163"/>
  <c r="E204" i="163"/>
  <c r="F204" i="163"/>
  <c r="C204" i="163"/>
  <c r="I205" i="163"/>
  <c r="D205" i="163"/>
  <c r="J205" i="163"/>
  <c r="E205" i="163"/>
  <c r="F205" i="163"/>
  <c r="C205" i="163"/>
  <c r="I206" i="163"/>
  <c r="D206" i="163"/>
  <c r="J206" i="163"/>
  <c r="E206" i="163"/>
  <c r="F206" i="163"/>
  <c r="C206" i="163"/>
  <c r="I207" i="163"/>
  <c r="D207" i="163"/>
  <c r="J207" i="163"/>
  <c r="E207" i="163"/>
  <c r="F207" i="163"/>
  <c r="C207" i="163"/>
  <c r="I208" i="163"/>
  <c r="D208" i="163"/>
  <c r="J208" i="163"/>
  <c r="E208" i="163"/>
  <c r="F208" i="163"/>
  <c r="C208" i="163"/>
  <c r="I209" i="163"/>
  <c r="D209" i="163"/>
  <c r="J209" i="163"/>
  <c r="E209" i="163"/>
  <c r="F209" i="163"/>
  <c r="C209" i="163"/>
  <c r="I210" i="163"/>
  <c r="D210" i="163"/>
  <c r="J210" i="163"/>
  <c r="E210" i="163"/>
  <c r="F210" i="163"/>
  <c r="C210" i="163"/>
  <c r="I211" i="163"/>
  <c r="D211" i="163"/>
  <c r="J211" i="163"/>
  <c r="E211" i="163"/>
  <c r="F211" i="163"/>
  <c r="C211" i="163"/>
  <c r="I212" i="163"/>
  <c r="D212" i="163"/>
  <c r="J212" i="163"/>
  <c r="E212" i="163"/>
  <c r="F212" i="163"/>
  <c r="C212" i="163"/>
  <c r="I213" i="163"/>
  <c r="D213" i="163"/>
  <c r="J213" i="163"/>
  <c r="E213" i="163"/>
  <c r="F213" i="163"/>
  <c r="C213" i="163"/>
  <c r="I214" i="163"/>
  <c r="D214" i="163"/>
  <c r="J214" i="163"/>
  <c r="E214" i="163"/>
  <c r="F214" i="163"/>
  <c r="C214" i="163"/>
  <c r="I215" i="163"/>
  <c r="J215" i="163"/>
  <c r="D215" i="163"/>
  <c r="E215" i="163"/>
  <c r="F215" i="163"/>
  <c r="C215" i="163"/>
  <c r="I216" i="163"/>
  <c r="J216" i="163"/>
  <c r="D216" i="163"/>
  <c r="E216" i="163"/>
  <c r="F216" i="163"/>
  <c r="C216" i="163"/>
  <c r="I217" i="163"/>
  <c r="J217" i="163"/>
  <c r="D217" i="163"/>
  <c r="E217" i="163"/>
  <c r="F217" i="163"/>
  <c r="C217" i="163"/>
  <c r="I218" i="163"/>
  <c r="J218" i="163"/>
  <c r="D218" i="163"/>
  <c r="E218" i="163"/>
  <c r="F218" i="163"/>
  <c r="C218" i="163"/>
  <c r="I219" i="163"/>
  <c r="J219" i="163"/>
  <c r="D219" i="163"/>
  <c r="E219" i="163"/>
  <c r="F219" i="163"/>
  <c r="C219" i="163"/>
  <c r="I220" i="163"/>
  <c r="J220" i="163"/>
  <c r="D220" i="163"/>
  <c r="E220" i="163"/>
  <c r="F220" i="163"/>
  <c r="C220" i="163"/>
  <c r="I221" i="163"/>
  <c r="D221" i="163"/>
  <c r="J221" i="163"/>
  <c r="E221" i="163"/>
  <c r="F221" i="163"/>
  <c r="C221" i="163"/>
  <c r="I222" i="163"/>
  <c r="D222" i="163"/>
  <c r="J222" i="163"/>
  <c r="E222" i="163"/>
  <c r="F222" i="163"/>
  <c r="C222" i="163"/>
  <c r="I223" i="163"/>
  <c r="D223" i="163"/>
  <c r="J223" i="163"/>
  <c r="E223" i="163"/>
  <c r="F223" i="163"/>
  <c r="C223" i="163"/>
  <c r="I224" i="163"/>
  <c r="D224" i="163"/>
  <c r="J224" i="163"/>
  <c r="E224" i="163"/>
  <c r="F224" i="163"/>
  <c r="C224" i="163"/>
  <c r="I225" i="163"/>
  <c r="D225" i="163"/>
  <c r="J225" i="163"/>
  <c r="E225" i="163"/>
  <c r="F225" i="163"/>
  <c r="C225" i="163"/>
  <c r="I226" i="163"/>
  <c r="D226" i="163"/>
  <c r="J226" i="163"/>
  <c r="E226" i="163"/>
  <c r="F226" i="163"/>
  <c r="C226" i="163"/>
  <c r="I227" i="163"/>
  <c r="D227" i="163"/>
  <c r="J227" i="163"/>
  <c r="E227" i="163"/>
  <c r="F227" i="163"/>
  <c r="C227" i="163"/>
  <c r="I228" i="163"/>
  <c r="D228" i="163"/>
  <c r="J228" i="163"/>
  <c r="E228" i="163"/>
  <c r="F228" i="163"/>
  <c r="C228" i="163"/>
  <c r="I229" i="163"/>
  <c r="D229" i="163"/>
  <c r="J229" i="163"/>
  <c r="E229" i="163"/>
  <c r="F229" i="163"/>
  <c r="C229" i="163"/>
  <c r="I230" i="163"/>
  <c r="D230" i="163"/>
  <c r="J230" i="163"/>
  <c r="E230" i="163"/>
  <c r="F230" i="163"/>
  <c r="C230" i="163"/>
  <c r="I231" i="163"/>
  <c r="D231" i="163"/>
  <c r="J231" i="163"/>
  <c r="E231" i="163"/>
  <c r="F231" i="163"/>
  <c r="C231" i="163"/>
  <c r="I232" i="163"/>
  <c r="D232" i="163"/>
  <c r="J232" i="163"/>
  <c r="E232" i="163"/>
  <c r="F232" i="163"/>
  <c r="C232" i="163"/>
  <c r="I233" i="163"/>
  <c r="D233" i="163"/>
  <c r="J233" i="163"/>
  <c r="E233" i="163"/>
  <c r="F233" i="163"/>
  <c r="C233" i="163"/>
  <c r="I234" i="163"/>
  <c r="D234" i="163"/>
  <c r="J234" i="163"/>
  <c r="E234" i="163"/>
  <c r="F234" i="163"/>
  <c r="C234" i="163"/>
  <c r="I235" i="163"/>
  <c r="D235" i="163"/>
  <c r="J235" i="163"/>
  <c r="E235" i="163"/>
  <c r="F235" i="163"/>
  <c r="C235" i="163"/>
  <c r="I236" i="163"/>
  <c r="D236" i="163"/>
  <c r="J236" i="163"/>
  <c r="E236" i="163"/>
  <c r="F236" i="163"/>
  <c r="C236" i="163"/>
  <c r="I237" i="163"/>
  <c r="D237" i="163"/>
  <c r="J237" i="163"/>
  <c r="E237" i="163"/>
  <c r="F237" i="163"/>
  <c r="C237" i="163"/>
  <c r="I238" i="163"/>
  <c r="D238" i="163"/>
  <c r="J238" i="163"/>
  <c r="E238" i="163"/>
  <c r="F238" i="163"/>
  <c r="C238" i="163"/>
  <c r="I239" i="163"/>
  <c r="D239" i="163"/>
  <c r="J239" i="163"/>
  <c r="E239" i="163"/>
  <c r="F239" i="163"/>
  <c r="C239" i="163"/>
  <c r="I240" i="163"/>
  <c r="D240" i="163"/>
  <c r="J240" i="163"/>
  <c r="E240" i="163"/>
  <c r="F240" i="163"/>
  <c r="C240" i="163"/>
  <c r="I241" i="163"/>
  <c r="D241" i="163"/>
  <c r="J241" i="163"/>
  <c r="E241" i="163"/>
  <c r="F241" i="163"/>
  <c r="C241" i="163"/>
  <c r="I242" i="163"/>
  <c r="D242" i="163"/>
  <c r="J242" i="163"/>
  <c r="E242" i="163"/>
  <c r="F242" i="163"/>
  <c r="C242" i="163"/>
  <c r="I243" i="163"/>
  <c r="D243" i="163"/>
  <c r="J243" i="163"/>
  <c r="E243" i="163"/>
  <c r="F243" i="163"/>
  <c r="C243" i="163"/>
  <c r="I244" i="163"/>
  <c r="D244" i="163"/>
  <c r="J244" i="163"/>
  <c r="E244" i="163"/>
  <c r="F244" i="163"/>
  <c r="C244" i="163"/>
  <c r="I245" i="163"/>
  <c r="D245" i="163"/>
  <c r="J245" i="163"/>
  <c r="E245" i="163"/>
  <c r="F245" i="163"/>
  <c r="C245" i="163"/>
  <c r="I246" i="163"/>
  <c r="D246" i="163"/>
  <c r="J246" i="163"/>
  <c r="E246" i="163"/>
  <c r="F246" i="163"/>
  <c r="C246" i="163"/>
  <c r="I247" i="163"/>
  <c r="D247" i="163"/>
  <c r="J247" i="163"/>
  <c r="E247" i="163"/>
  <c r="F247" i="163"/>
  <c r="C247" i="163"/>
  <c r="I248" i="163"/>
  <c r="D248" i="163"/>
  <c r="J248" i="163"/>
  <c r="E248" i="163"/>
  <c r="F248" i="163"/>
  <c r="C248" i="163"/>
  <c r="I249" i="163"/>
  <c r="D249" i="163"/>
  <c r="J249" i="163"/>
  <c r="E249" i="163"/>
  <c r="F249" i="163"/>
  <c r="C249" i="163"/>
  <c r="I250" i="163"/>
  <c r="D250" i="163"/>
  <c r="J250" i="163"/>
  <c r="E250" i="163"/>
  <c r="F250" i="163"/>
  <c r="C250" i="163"/>
  <c r="I251" i="163"/>
  <c r="D251" i="163"/>
  <c r="J251" i="163"/>
  <c r="E251" i="163"/>
  <c r="F251" i="163"/>
  <c r="C251" i="163"/>
  <c r="I252" i="163"/>
  <c r="D252" i="163"/>
  <c r="J252" i="163"/>
  <c r="E252" i="163"/>
  <c r="F252" i="163"/>
  <c r="C252" i="163"/>
  <c r="I253" i="163"/>
  <c r="D253" i="163"/>
  <c r="J253" i="163"/>
  <c r="E253" i="163"/>
  <c r="F253" i="163"/>
  <c r="C253" i="163"/>
  <c r="I254" i="163"/>
  <c r="D254" i="163"/>
  <c r="J254" i="163"/>
  <c r="E254" i="163"/>
  <c r="F254" i="163"/>
  <c r="C254" i="163"/>
  <c r="I255" i="163"/>
  <c r="D255" i="163"/>
  <c r="J255" i="163"/>
  <c r="E255" i="163"/>
  <c r="F255" i="163"/>
  <c r="C255" i="163"/>
  <c r="I256" i="163"/>
  <c r="D256" i="163"/>
  <c r="J256" i="163"/>
  <c r="E256" i="163"/>
  <c r="F256" i="163"/>
  <c r="C256" i="163"/>
  <c r="I257" i="163"/>
  <c r="D257" i="163"/>
  <c r="J257" i="163"/>
  <c r="E257" i="163"/>
  <c r="F257" i="163"/>
  <c r="C257" i="163"/>
  <c r="I258" i="163"/>
  <c r="D258" i="163"/>
  <c r="J258" i="163"/>
  <c r="E258" i="163"/>
  <c r="F258" i="163"/>
  <c r="C258" i="163"/>
  <c r="I259" i="163"/>
  <c r="D259" i="163"/>
  <c r="J259" i="163"/>
  <c r="E259" i="163"/>
  <c r="F259" i="163"/>
  <c r="C259" i="163"/>
  <c r="I260" i="163"/>
  <c r="D260" i="163"/>
  <c r="J260" i="163"/>
  <c r="E260" i="163"/>
  <c r="F260" i="163"/>
  <c r="C260" i="163"/>
  <c r="I261" i="163"/>
  <c r="D261" i="163"/>
  <c r="J261" i="163"/>
  <c r="E261" i="163"/>
  <c r="F261" i="163"/>
  <c r="C261" i="163"/>
  <c r="I262" i="163"/>
  <c r="D262" i="163"/>
  <c r="J262" i="163"/>
  <c r="E262" i="163"/>
  <c r="F262" i="163"/>
  <c r="C262" i="163"/>
  <c r="I263" i="163"/>
  <c r="D263" i="163"/>
  <c r="J263" i="163"/>
  <c r="E263" i="163"/>
  <c r="F263" i="163"/>
  <c r="C263" i="163"/>
  <c r="I264" i="163"/>
  <c r="D264" i="163"/>
  <c r="J264" i="163"/>
  <c r="E264" i="163"/>
  <c r="F264" i="163"/>
  <c r="C264" i="163"/>
  <c r="I265" i="163"/>
  <c r="D265" i="163"/>
  <c r="J265" i="163"/>
  <c r="E265" i="163"/>
  <c r="F265" i="163"/>
  <c r="C265" i="163"/>
  <c r="I266" i="163"/>
  <c r="D266" i="163"/>
  <c r="J266" i="163"/>
  <c r="E266" i="163"/>
  <c r="F266" i="163"/>
  <c r="C266" i="163"/>
  <c r="I267" i="163"/>
  <c r="D267" i="163"/>
  <c r="J267" i="163"/>
  <c r="E267" i="163"/>
  <c r="F267" i="163"/>
  <c r="C267" i="163"/>
  <c r="I268" i="163"/>
  <c r="D268" i="163"/>
  <c r="J268" i="163"/>
  <c r="E268" i="163"/>
  <c r="F268" i="163"/>
  <c r="C268" i="163"/>
  <c r="I269" i="163"/>
  <c r="D269" i="163"/>
  <c r="J269" i="163"/>
  <c r="E269" i="163"/>
  <c r="F269" i="163"/>
  <c r="C269" i="163"/>
  <c r="I270" i="163"/>
  <c r="D270" i="163"/>
  <c r="J270" i="163"/>
  <c r="E270" i="163"/>
  <c r="F270" i="163"/>
  <c r="C270" i="163"/>
  <c r="I271" i="163"/>
  <c r="D271" i="163"/>
  <c r="J271" i="163"/>
  <c r="E271" i="163"/>
  <c r="F271" i="163"/>
  <c r="C271" i="163"/>
  <c r="I272" i="163"/>
  <c r="D272" i="163"/>
  <c r="J272" i="163"/>
  <c r="E272" i="163"/>
  <c r="F272" i="163"/>
  <c r="C272" i="163"/>
  <c r="I273" i="163"/>
  <c r="D273" i="163"/>
  <c r="J273" i="163"/>
  <c r="E273" i="163"/>
  <c r="F273" i="163"/>
  <c r="C273" i="163"/>
  <c r="I274" i="163"/>
  <c r="D274" i="163"/>
  <c r="J274" i="163"/>
  <c r="E274" i="163"/>
  <c r="F274" i="163"/>
  <c r="C274" i="163"/>
  <c r="I275" i="163"/>
  <c r="D275" i="163"/>
  <c r="J275" i="163"/>
  <c r="E275" i="163"/>
  <c r="F275" i="163"/>
  <c r="C275" i="163"/>
  <c r="I276" i="163"/>
  <c r="D276" i="163"/>
  <c r="J276" i="163"/>
  <c r="E276" i="163"/>
  <c r="F276" i="163"/>
  <c r="C276" i="163"/>
  <c r="I277" i="163"/>
  <c r="D277" i="163"/>
  <c r="J277" i="163"/>
  <c r="E277" i="163"/>
  <c r="F277" i="163"/>
  <c r="C277" i="163"/>
  <c r="I278" i="163"/>
  <c r="D278" i="163"/>
  <c r="J278" i="163"/>
  <c r="E278" i="163"/>
  <c r="F278" i="163"/>
  <c r="C278" i="163"/>
  <c r="I279" i="163"/>
  <c r="D279" i="163"/>
  <c r="J279" i="163"/>
  <c r="E279" i="163"/>
  <c r="F279" i="163"/>
  <c r="C279" i="163"/>
  <c r="I280" i="163"/>
  <c r="D280" i="163"/>
  <c r="J280" i="163"/>
  <c r="E280" i="163"/>
  <c r="F280" i="163"/>
  <c r="C280" i="163"/>
  <c r="I281" i="163"/>
  <c r="D281" i="163"/>
  <c r="J281" i="163"/>
  <c r="E281" i="163"/>
  <c r="F281" i="163"/>
  <c r="C281" i="163"/>
  <c r="I282" i="163"/>
  <c r="D282" i="163"/>
  <c r="J282" i="163"/>
  <c r="E282" i="163"/>
  <c r="F282" i="163"/>
  <c r="C282" i="163"/>
  <c r="I283" i="163"/>
  <c r="D283" i="163"/>
  <c r="J283" i="163"/>
  <c r="E283" i="163"/>
  <c r="F283" i="163"/>
  <c r="C283" i="163"/>
  <c r="I284" i="163"/>
  <c r="D284" i="163"/>
  <c r="J284" i="163"/>
  <c r="E284" i="163"/>
  <c r="F284" i="163"/>
  <c r="C284" i="163"/>
  <c r="I285" i="163"/>
  <c r="D285" i="163"/>
  <c r="J285" i="163"/>
  <c r="E285" i="163"/>
  <c r="F285" i="163"/>
  <c r="C285" i="163"/>
  <c r="I286" i="163"/>
  <c r="D286" i="163"/>
  <c r="J286" i="163"/>
  <c r="E286" i="163"/>
  <c r="F286" i="163"/>
  <c r="C286" i="163"/>
  <c r="I287" i="163"/>
  <c r="D287" i="163"/>
  <c r="J287" i="163"/>
  <c r="E287" i="163"/>
  <c r="F287" i="163"/>
  <c r="C287" i="163"/>
  <c r="I288" i="163"/>
  <c r="D288" i="163"/>
  <c r="J288" i="163"/>
  <c r="E288" i="163"/>
  <c r="F288" i="163"/>
  <c r="C288" i="163"/>
  <c r="I289" i="163"/>
  <c r="D289" i="163"/>
  <c r="J289" i="163"/>
  <c r="E289" i="163"/>
  <c r="F289" i="163"/>
  <c r="C289" i="163"/>
  <c r="I290" i="163"/>
  <c r="D290" i="163"/>
  <c r="J290" i="163"/>
  <c r="E290" i="163"/>
  <c r="F290" i="163"/>
  <c r="C290" i="163"/>
  <c r="I291" i="163"/>
  <c r="D291" i="163"/>
  <c r="J291" i="163"/>
  <c r="E291" i="163"/>
  <c r="F291" i="163"/>
  <c r="C291" i="163"/>
  <c r="I292" i="163"/>
  <c r="D292" i="163"/>
  <c r="J292" i="163"/>
  <c r="E292" i="163"/>
  <c r="F292" i="163"/>
  <c r="C292" i="163"/>
  <c r="I293" i="163"/>
  <c r="D293" i="163"/>
  <c r="J293" i="163"/>
  <c r="E293" i="163"/>
  <c r="F293" i="163"/>
  <c r="C293" i="163"/>
  <c r="I294" i="163"/>
  <c r="D294" i="163"/>
  <c r="J294" i="163"/>
  <c r="E294" i="163"/>
  <c r="F294" i="163"/>
  <c r="C294" i="163"/>
  <c r="I295" i="163"/>
  <c r="D295" i="163"/>
  <c r="J295" i="163"/>
  <c r="E295" i="163"/>
  <c r="F295" i="163"/>
  <c r="C295" i="163"/>
  <c r="I296" i="163"/>
  <c r="D296" i="163"/>
  <c r="J296" i="163"/>
  <c r="E296" i="163"/>
  <c r="F296" i="163"/>
  <c r="C296" i="163"/>
  <c r="I297" i="163"/>
  <c r="D297" i="163"/>
  <c r="J297" i="163"/>
  <c r="E297" i="163"/>
  <c r="F297" i="163"/>
  <c r="C297" i="163"/>
  <c r="I298" i="163"/>
  <c r="D298" i="163"/>
  <c r="J298" i="163"/>
  <c r="E298" i="163"/>
  <c r="F298" i="163"/>
  <c r="C298" i="163"/>
  <c r="I299" i="163"/>
  <c r="D299" i="163"/>
  <c r="J299" i="163"/>
  <c r="E299" i="163"/>
  <c r="F299" i="163"/>
  <c r="C299" i="163"/>
  <c r="I300" i="163"/>
  <c r="D300" i="163"/>
  <c r="J300" i="163"/>
  <c r="E300" i="163"/>
  <c r="F300" i="163"/>
  <c r="C300" i="163"/>
  <c r="I301" i="163"/>
  <c r="D301" i="163"/>
  <c r="J301" i="163"/>
  <c r="E301" i="163"/>
  <c r="F301" i="163"/>
  <c r="C301" i="163"/>
  <c r="I302" i="163"/>
  <c r="D302" i="163"/>
  <c r="J302" i="163"/>
  <c r="E302" i="163"/>
  <c r="F302" i="163"/>
  <c r="C302" i="163"/>
  <c r="I303" i="163"/>
  <c r="D303" i="163"/>
  <c r="J303" i="163"/>
  <c r="E303" i="163"/>
  <c r="F303" i="163"/>
  <c r="C303" i="163"/>
  <c r="I304" i="163"/>
  <c r="D304" i="163"/>
  <c r="J304" i="163"/>
  <c r="E304" i="163"/>
  <c r="F304" i="163"/>
  <c r="C304" i="163"/>
  <c r="I305" i="163"/>
  <c r="D305" i="163"/>
  <c r="J305" i="163"/>
  <c r="E305" i="163"/>
  <c r="F305" i="163"/>
  <c r="C305" i="163"/>
  <c r="I306" i="163"/>
  <c r="D306" i="163"/>
  <c r="J306" i="163"/>
  <c r="E306" i="163"/>
  <c r="F306" i="163"/>
  <c r="C306" i="163"/>
  <c r="I307" i="163"/>
  <c r="D307" i="163"/>
  <c r="J307" i="163"/>
  <c r="E307" i="163"/>
  <c r="F307" i="163"/>
  <c r="C307" i="163"/>
  <c r="I308" i="163"/>
  <c r="D308" i="163"/>
  <c r="J308" i="163"/>
  <c r="E308" i="163"/>
  <c r="F308" i="163"/>
  <c r="C308" i="163"/>
  <c r="I309" i="163"/>
  <c r="D309" i="163"/>
  <c r="J309" i="163"/>
  <c r="E309" i="163"/>
  <c r="F309" i="163"/>
  <c r="C309" i="163"/>
  <c r="I310" i="163"/>
  <c r="D310" i="163"/>
  <c r="J310" i="163"/>
  <c r="E310" i="163"/>
  <c r="F310" i="163"/>
  <c r="C310" i="163"/>
  <c r="I311" i="163"/>
  <c r="D311" i="163"/>
  <c r="J311" i="163"/>
  <c r="E311" i="163"/>
  <c r="F311" i="163"/>
  <c r="C311" i="163"/>
  <c r="I312" i="163"/>
  <c r="D312" i="163"/>
  <c r="J312" i="163"/>
  <c r="E312" i="163"/>
  <c r="F312" i="163"/>
  <c r="C312" i="163"/>
  <c r="I313" i="163"/>
  <c r="D313" i="163"/>
  <c r="J313" i="163"/>
  <c r="E313" i="163"/>
  <c r="F313" i="163"/>
  <c r="C313" i="163"/>
  <c r="I314" i="163"/>
  <c r="D314" i="163"/>
  <c r="J314" i="163"/>
  <c r="E314" i="163"/>
  <c r="F314" i="163"/>
  <c r="C314" i="163"/>
  <c r="I315" i="163"/>
  <c r="D315" i="163"/>
  <c r="J315" i="163"/>
  <c r="E315" i="163"/>
  <c r="F315" i="163"/>
  <c r="C315" i="163"/>
  <c r="I316" i="163"/>
  <c r="D316" i="163"/>
  <c r="J316" i="163"/>
  <c r="E316" i="163"/>
  <c r="F316" i="163"/>
  <c r="C316" i="163"/>
  <c r="I317" i="163"/>
  <c r="D317" i="163"/>
  <c r="J317" i="163"/>
  <c r="E317" i="163"/>
  <c r="F317" i="163"/>
  <c r="C317" i="163"/>
  <c r="I318" i="163"/>
  <c r="D318" i="163"/>
  <c r="J318" i="163"/>
  <c r="E318" i="163"/>
  <c r="F318" i="163"/>
  <c r="C318" i="163"/>
  <c r="I319" i="163"/>
  <c r="D319" i="163"/>
  <c r="J319" i="163"/>
  <c r="E319" i="163"/>
  <c r="F319" i="163"/>
  <c r="C319" i="163"/>
  <c r="I320" i="163"/>
  <c r="D320" i="163"/>
  <c r="J320" i="163"/>
  <c r="E320" i="163"/>
  <c r="F320" i="163"/>
  <c r="C320" i="163"/>
  <c r="I321" i="163"/>
  <c r="D321" i="163"/>
  <c r="J321" i="163"/>
  <c r="E321" i="163"/>
  <c r="F321" i="163"/>
  <c r="C321" i="163"/>
  <c r="I322" i="163"/>
  <c r="D322" i="163"/>
  <c r="J322" i="163"/>
  <c r="E322" i="163"/>
  <c r="F322" i="163"/>
  <c r="C322" i="163"/>
  <c r="I323" i="163"/>
  <c r="D323" i="163"/>
  <c r="J323" i="163"/>
  <c r="E323" i="163"/>
  <c r="F323" i="163"/>
  <c r="C323" i="163"/>
  <c r="I324" i="163"/>
  <c r="D324" i="163"/>
  <c r="J324" i="163"/>
  <c r="E324" i="163"/>
  <c r="F324" i="163"/>
  <c r="C324" i="163"/>
  <c r="I325" i="163"/>
  <c r="D325" i="163"/>
  <c r="J325" i="163"/>
  <c r="E325" i="163"/>
  <c r="F325" i="163"/>
  <c r="C325" i="163"/>
  <c r="I326" i="163"/>
  <c r="D326" i="163"/>
  <c r="J326" i="163"/>
  <c r="E326" i="163"/>
  <c r="F326" i="163"/>
  <c r="C326" i="163"/>
  <c r="I327" i="163"/>
  <c r="D327" i="163"/>
  <c r="J327" i="163"/>
  <c r="E327" i="163"/>
  <c r="F327" i="163"/>
  <c r="C327" i="163"/>
  <c r="I328" i="163"/>
  <c r="D328" i="163"/>
  <c r="J328" i="163"/>
  <c r="E328" i="163"/>
  <c r="F328" i="163"/>
  <c r="C328" i="163"/>
  <c r="I329" i="163"/>
  <c r="D329" i="163"/>
  <c r="J329" i="163"/>
  <c r="E329" i="163"/>
  <c r="F329" i="163"/>
  <c r="C329" i="163"/>
  <c r="I330" i="163"/>
  <c r="D330" i="163"/>
  <c r="J330" i="163"/>
  <c r="E330" i="163"/>
  <c r="F330" i="163"/>
  <c r="C330" i="163"/>
  <c r="I331" i="163"/>
  <c r="D331" i="163"/>
  <c r="J331" i="163"/>
  <c r="E331" i="163"/>
  <c r="F331" i="163"/>
  <c r="C331" i="163"/>
  <c r="I332" i="163"/>
  <c r="D332" i="163"/>
  <c r="J332" i="163"/>
  <c r="E332" i="163"/>
  <c r="F332" i="163"/>
  <c r="C332" i="163"/>
  <c r="I333" i="163"/>
  <c r="D333" i="163"/>
  <c r="J333" i="163"/>
  <c r="E333" i="163"/>
  <c r="F333" i="163"/>
  <c r="C333" i="163"/>
  <c r="I334" i="163"/>
  <c r="D334" i="163"/>
  <c r="J334" i="163"/>
  <c r="E334" i="163"/>
  <c r="F334" i="163"/>
  <c r="C334" i="163"/>
  <c r="I335" i="163"/>
  <c r="D335" i="163"/>
  <c r="J335" i="163"/>
  <c r="E335" i="163"/>
  <c r="F335" i="163"/>
  <c r="C335" i="163"/>
  <c r="I336" i="163"/>
  <c r="D336" i="163"/>
  <c r="J336" i="163"/>
  <c r="E336" i="163"/>
  <c r="F336" i="163"/>
  <c r="C336" i="163"/>
  <c r="I337" i="163"/>
  <c r="D337" i="163"/>
  <c r="J337" i="163"/>
  <c r="E337" i="163"/>
  <c r="F337" i="163"/>
  <c r="C337" i="163"/>
  <c r="I338" i="163"/>
  <c r="D338" i="163"/>
  <c r="J338" i="163"/>
  <c r="E338" i="163"/>
  <c r="F338" i="163"/>
  <c r="C338" i="163"/>
  <c r="I339" i="163"/>
  <c r="D339" i="163"/>
  <c r="J339" i="163"/>
  <c r="E339" i="163"/>
  <c r="F339" i="163"/>
  <c r="C339" i="163"/>
  <c r="I340" i="163"/>
  <c r="D340" i="163"/>
  <c r="J340" i="163"/>
  <c r="E340" i="163"/>
  <c r="F340" i="163"/>
  <c r="C340" i="163"/>
  <c r="I341" i="163"/>
  <c r="D341" i="163"/>
  <c r="J341" i="163"/>
  <c r="E341" i="163"/>
  <c r="F341" i="163"/>
  <c r="C341" i="16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B10" i="106"/>
  <c r="B46" i="106"/>
  <c r="G46" i="106"/>
  <c r="E46" i="106"/>
  <c r="H46" i="106"/>
  <c r="G31" i="106"/>
  <c r="E31" i="106"/>
  <c r="H31" i="106"/>
  <c r="G31" i="162"/>
  <c r="E31" i="162"/>
  <c r="H31" i="162"/>
  <c r="B11" i="162"/>
  <c r="P341" i="163"/>
  <c r="N341" i="163"/>
  <c r="M341" i="163"/>
  <c r="L341" i="163"/>
  <c r="H341" i="163"/>
  <c r="A341" i="163"/>
  <c r="P340" i="163"/>
  <c r="N340" i="163"/>
  <c r="M340" i="163"/>
  <c r="L340" i="163"/>
  <c r="H340" i="163"/>
  <c r="A340" i="163"/>
  <c r="P339" i="163"/>
  <c r="N339" i="163"/>
  <c r="M339" i="163"/>
  <c r="L339" i="163"/>
  <c r="H339" i="163"/>
  <c r="A339" i="163"/>
  <c r="P338" i="163"/>
  <c r="N338" i="163"/>
  <c r="M338" i="163"/>
  <c r="L338" i="163"/>
  <c r="H338" i="163"/>
  <c r="A338" i="163"/>
  <c r="P337" i="163"/>
  <c r="N337" i="163"/>
  <c r="M337" i="163"/>
  <c r="L337" i="163"/>
  <c r="H337" i="163"/>
  <c r="A337" i="163"/>
  <c r="P336" i="163"/>
  <c r="N336" i="163"/>
  <c r="M336" i="163"/>
  <c r="L336" i="163"/>
  <c r="H336" i="163"/>
  <c r="A336" i="163"/>
  <c r="P335" i="163"/>
  <c r="N335" i="163"/>
  <c r="M335" i="163"/>
  <c r="L335" i="163"/>
  <c r="H335" i="163"/>
  <c r="A335" i="163"/>
  <c r="P334" i="163"/>
  <c r="N334" i="163"/>
  <c r="M334" i="163"/>
  <c r="L334" i="163"/>
  <c r="H334" i="163"/>
  <c r="A334" i="163"/>
  <c r="P333" i="163"/>
  <c r="N333" i="163"/>
  <c r="M333" i="163"/>
  <c r="L333" i="163"/>
  <c r="H333" i="163"/>
  <c r="A333" i="163"/>
  <c r="P332" i="163"/>
  <c r="N332" i="163"/>
  <c r="M332" i="163"/>
  <c r="L332" i="163"/>
  <c r="H332" i="163"/>
  <c r="A332" i="163"/>
  <c r="P331" i="163"/>
  <c r="N331" i="163"/>
  <c r="M331" i="163"/>
  <c r="L331" i="163"/>
  <c r="H331" i="163"/>
  <c r="A331" i="163"/>
  <c r="P330" i="163"/>
  <c r="N330" i="163"/>
  <c r="M330" i="163"/>
  <c r="L330" i="163"/>
  <c r="H330" i="163"/>
  <c r="A330" i="163"/>
  <c r="P329" i="163"/>
  <c r="N329" i="163"/>
  <c r="M329" i="163"/>
  <c r="L329" i="163"/>
  <c r="H329" i="163"/>
  <c r="A329" i="163"/>
  <c r="P328" i="163"/>
  <c r="N328" i="163"/>
  <c r="M328" i="163"/>
  <c r="L328" i="163"/>
  <c r="H328" i="163"/>
  <c r="A328" i="163"/>
  <c r="P327" i="163"/>
  <c r="N327" i="163"/>
  <c r="M327" i="163"/>
  <c r="L327" i="163"/>
  <c r="H327" i="163"/>
  <c r="A327" i="163"/>
  <c r="P326" i="163"/>
  <c r="N326" i="163"/>
  <c r="M326" i="163"/>
  <c r="L326" i="163"/>
  <c r="H326" i="163"/>
  <c r="A326" i="163"/>
  <c r="P325" i="163"/>
  <c r="N325" i="163"/>
  <c r="M325" i="163"/>
  <c r="L325" i="163"/>
  <c r="H325" i="163"/>
  <c r="A325" i="163"/>
  <c r="P324" i="163"/>
  <c r="N324" i="163"/>
  <c r="M324" i="163"/>
  <c r="L324" i="163"/>
  <c r="H324" i="163"/>
  <c r="A324" i="163"/>
  <c r="P323" i="163"/>
  <c r="N323" i="163"/>
  <c r="M323" i="163"/>
  <c r="L323" i="163"/>
  <c r="H323" i="163"/>
  <c r="A323" i="163"/>
  <c r="P322" i="163"/>
  <c r="N322" i="163"/>
  <c r="M322" i="163"/>
  <c r="L322" i="163"/>
  <c r="H322" i="163"/>
  <c r="A322" i="163"/>
  <c r="P321" i="163"/>
  <c r="N321" i="163"/>
  <c r="M321" i="163"/>
  <c r="L321" i="163"/>
  <c r="H321" i="163"/>
  <c r="A321" i="163"/>
  <c r="P320" i="163"/>
  <c r="N320" i="163"/>
  <c r="M320" i="163"/>
  <c r="L320" i="163"/>
  <c r="H320" i="163"/>
  <c r="A320" i="163"/>
  <c r="P319" i="163"/>
  <c r="N319" i="163"/>
  <c r="M319" i="163"/>
  <c r="L319" i="163"/>
  <c r="H319" i="163"/>
  <c r="A319" i="163"/>
  <c r="P318" i="163"/>
  <c r="N318" i="163"/>
  <c r="M318" i="163"/>
  <c r="L318" i="163"/>
  <c r="H318" i="163"/>
  <c r="A318" i="163"/>
  <c r="P317" i="163"/>
  <c r="N317" i="163"/>
  <c r="M317" i="163"/>
  <c r="L317" i="163"/>
  <c r="H317" i="163"/>
  <c r="A317" i="163"/>
  <c r="P316" i="163"/>
  <c r="N316" i="163"/>
  <c r="M316" i="163"/>
  <c r="L316" i="163"/>
  <c r="H316" i="163"/>
  <c r="A316" i="163"/>
  <c r="P315" i="163"/>
  <c r="N315" i="163"/>
  <c r="M315" i="163"/>
  <c r="L315" i="163"/>
  <c r="H315" i="163"/>
  <c r="A315" i="163"/>
  <c r="P314" i="163"/>
  <c r="N314" i="163"/>
  <c r="M314" i="163"/>
  <c r="L314" i="163"/>
  <c r="H314" i="163"/>
  <c r="A314" i="163"/>
  <c r="P313" i="163"/>
  <c r="N313" i="163"/>
  <c r="M313" i="163"/>
  <c r="L313" i="163"/>
  <c r="H313" i="163"/>
  <c r="A313" i="163"/>
  <c r="P312" i="163"/>
  <c r="N312" i="163"/>
  <c r="M312" i="163"/>
  <c r="L312" i="163"/>
  <c r="H312" i="163"/>
  <c r="A312" i="163"/>
  <c r="P311" i="163"/>
  <c r="N311" i="163"/>
  <c r="M311" i="163"/>
  <c r="L311" i="163"/>
  <c r="H311" i="163"/>
  <c r="A311" i="163"/>
  <c r="P310" i="163"/>
  <c r="N310" i="163"/>
  <c r="M310" i="163"/>
  <c r="L310" i="163"/>
  <c r="H310" i="163"/>
  <c r="A310" i="163"/>
  <c r="P309" i="163"/>
  <c r="N309" i="163"/>
  <c r="M309" i="163"/>
  <c r="L309" i="163"/>
  <c r="H309" i="163"/>
  <c r="A309" i="163"/>
  <c r="P308" i="163"/>
  <c r="N308" i="163"/>
  <c r="M308" i="163"/>
  <c r="L308" i="163"/>
  <c r="H308" i="163"/>
  <c r="A308" i="163"/>
  <c r="P307" i="163"/>
  <c r="N307" i="163"/>
  <c r="M307" i="163"/>
  <c r="L307" i="163"/>
  <c r="H307" i="163"/>
  <c r="A307" i="163"/>
  <c r="P306" i="163"/>
  <c r="N306" i="163"/>
  <c r="M306" i="163"/>
  <c r="L306" i="163"/>
  <c r="H306" i="163"/>
  <c r="A306" i="163"/>
  <c r="P305" i="163"/>
  <c r="N305" i="163"/>
  <c r="M305" i="163"/>
  <c r="L305" i="163"/>
  <c r="H305" i="163"/>
  <c r="A305" i="163"/>
  <c r="P304" i="163"/>
  <c r="N304" i="163"/>
  <c r="M304" i="163"/>
  <c r="L304" i="163"/>
  <c r="H304" i="163"/>
  <c r="A304" i="163"/>
  <c r="P303" i="163"/>
  <c r="N303" i="163"/>
  <c r="M303" i="163"/>
  <c r="L303" i="163"/>
  <c r="H303" i="163"/>
  <c r="A303" i="163"/>
  <c r="P302" i="163"/>
  <c r="N302" i="163"/>
  <c r="M302" i="163"/>
  <c r="L302" i="163"/>
  <c r="H302" i="163"/>
  <c r="A302" i="163"/>
  <c r="P301" i="163"/>
  <c r="N301" i="163"/>
  <c r="M301" i="163"/>
  <c r="L301" i="163"/>
  <c r="H301" i="163"/>
  <c r="A301" i="163"/>
  <c r="P300" i="163"/>
  <c r="N300" i="163"/>
  <c r="M300" i="163"/>
  <c r="L300" i="163"/>
  <c r="H300" i="163"/>
  <c r="A300" i="163"/>
  <c r="P299" i="163"/>
  <c r="N299" i="163"/>
  <c r="M299" i="163"/>
  <c r="L299" i="163"/>
  <c r="H299" i="163"/>
  <c r="A299" i="163"/>
  <c r="P298" i="163"/>
  <c r="N298" i="163"/>
  <c r="M298" i="163"/>
  <c r="L298" i="163"/>
  <c r="H298" i="163"/>
  <c r="A298" i="163"/>
  <c r="P297" i="163"/>
  <c r="N297" i="163"/>
  <c r="M297" i="163"/>
  <c r="L297" i="163"/>
  <c r="H297" i="163"/>
  <c r="A297" i="163"/>
  <c r="P296" i="163"/>
  <c r="N296" i="163"/>
  <c r="M296" i="163"/>
  <c r="L296" i="163"/>
  <c r="H296" i="163"/>
  <c r="A296" i="163"/>
  <c r="P295" i="163"/>
  <c r="N295" i="163"/>
  <c r="M295" i="163"/>
  <c r="L295" i="163"/>
  <c r="H295" i="163"/>
  <c r="A295" i="163"/>
  <c r="P294" i="163"/>
  <c r="N294" i="163"/>
  <c r="M294" i="163"/>
  <c r="L294" i="163"/>
  <c r="H294" i="163"/>
  <c r="A294" i="163"/>
  <c r="P293" i="163"/>
  <c r="N293" i="163"/>
  <c r="M293" i="163"/>
  <c r="L293" i="163"/>
  <c r="H293" i="163"/>
  <c r="A293" i="163"/>
  <c r="P292" i="163"/>
  <c r="N292" i="163"/>
  <c r="M292" i="163"/>
  <c r="L292" i="163"/>
  <c r="H292" i="163"/>
  <c r="A292" i="163"/>
  <c r="P291" i="163"/>
  <c r="N291" i="163"/>
  <c r="M291" i="163"/>
  <c r="L291" i="163"/>
  <c r="H291" i="163"/>
  <c r="A291" i="163"/>
  <c r="P290" i="163"/>
  <c r="N290" i="163"/>
  <c r="M290" i="163"/>
  <c r="L290" i="163"/>
  <c r="H290" i="163"/>
  <c r="A290" i="163"/>
  <c r="P289" i="163"/>
  <c r="N289" i="163"/>
  <c r="M289" i="163"/>
  <c r="L289" i="163"/>
  <c r="H289" i="163"/>
  <c r="A289" i="163"/>
  <c r="P288" i="163"/>
  <c r="N288" i="163"/>
  <c r="M288" i="163"/>
  <c r="L288" i="163"/>
  <c r="H288" i="163"/>
  <c r="A288" i="163"/>
  <c r="P287" i="163"/>
  <c r="N287" i="163"/>
  <c r="M287" i="163"/>
  <c r="L287" i="163"/>
  <c r="H287" i="163"/>
  <c r="A287" i="163"/>
  <c r="P286" i="163"/>
  <c r="N286" i="163"/>
  <c r="M286" i="163"/>
  <c r="L286" i="163"/>
  <c r="H286" i="163"/>
  <c r="A286" i="163"/>
  <c r="P285" i="163"/>
  <c r="N285" i="163"/>
  <c r="M285" i="163"/>
  <c r="L285" i="163"/>
  <c r="H285" i="163"/>
  <c r="A285" i="163"/>
  <c r="P284" i="163"/>
  <c r="N284" i="163"/>
  <c r="M284" i="163"/>
  <c r="L284" i="163"/>
  <c r="H284" i="163"/>
  <c r="A284" i="163"/>
  <c r="P283" i="163"/>
  <c r="N283" i="163"/>
  <c r="M283" i="163"/>
  <c r="L283" i="163"/>
  <c r="H283" i="163"/>
  <c r="A283" i="163"/>
  <c r="P282" i="163"/>
  <c r="N282" i="163"/>
  <c r="M282" i="163"/>
  <c r="L282" i="163"/>
  <c r="H282" i="163"/>
  <c r="A282" i="163"/>
  <c r="P281" i="163"/>
  <c r="N281" i="163"/>
  <c r="M281" i="163"/>
  <c r="L281" i="163"/>
  <c r="H281" i="163"/>
  <c r="A281" i="163"/>
  <c r="P280" i="163"/>
  <c r="N280" i="163"/>
  <c r="M280" i="163"/>
  <c r="L280" i="163"/>
  <c r="H280" i="163"/>
  <c r="A280" i="163"/>
  <c r="P279" i="163"/>
  <c r="N279" i="163"/>
  <c r="M279" i="163"/>
  <c r="L279" i="163"/>
  <c r="H279" i="163"/>
  <c r="A279" i="163"/>
  <c r="P278" i="163"/>
  <c r="N278" i="163"/>
  <c r="M278" i="163"/>
  <c r="L278" i="163"/>
  <c r="H278" i="163"/>
  <c r="A278" i="163"/>
  <c r="P277" i="163"/>
  <c r="N277" i="163"/>
  <c r="M277" i="163"/>
  <c r="L277" i="163"/>
  <c r="H277" i="163"/>
  <c r="A277" i="163"/>
  <c r="P276" i="163"/>
  <c r="N276" i="163"/>
  <c r="M276" i="163"/>
  <c r="L276" i="163"/>
  <c r="H276" i="163"/>
  <c r="A276" i="163"/>
  <c r="P275" i="163"/>
  <c r="N275" i="163"/>
  <c r="M275" i="163"/>
  <c r="L275" i="163"/>
  <c r="H275" i="163"/>
  <c r="A275" i="163"/>
  <c r="P274" i="163"/>
  <c r="N274" i="163"/>
  <c r="M274" i="163"/>
  <c r="L274" i="163"/>
  <c r="H274" i="163"/>
  <c r="A274" i="163"/>
  <c r="P273" i="163"/>
  <c r="N273" i="163"/>
  <c r="M273" i="163"/>
  <c r="L273" i="163"/>
  <c r="H273" i="163"/>
  <c r="A273" i="163"/>
  <c r="P272" i="163"/>
  <c r="N272" i="163"/>
  <c r="M272" i="163"/>
  <c r="L272" i="163"/>
  <c r="H272" i="163"/>
  <c r="A272" i="163"/>
  <c r="P271" i="163"/>
  <c r="N271" i="163"/>
  <c r="M271" i="163"/>
  <c r="L271" i="163"/>
  <c r="H271" i="163"/>
  <c r="A271" i="163"/>
  <c r="P270" i="163"/>
  <c r="N270" i="163"/>
  <c r="M270" i="163"/>
  <c r="L270" i="163"/>
  <c r="H270" i="163"/>
  <c r="A270" i="163"/>
  <c r="P269" i="163"/>
  <c r="N269" i="163"/>
  <c r="M269" i="163"/>
  <c r="L269" i="163"/>
  <c r="H269" i="163"/>
  <c r="A269" i="163"/>
  <c r="P268" i="163"/>
  <c r="N268" i="163"/>
  <c r="M268" i="163"/>
  <c r="L268" i="163"/>
  <c r="H268" i="163"/>
  <c r="A268" i="163"/>
  <c r="P267" i="163"/>
  <c r="N267" i="163"/>
  <c r="M267" i="163"/>
  <c r="L267" i="163"/>
  <c r="H267" i="163"/>
  <c r="A267" i="163"/>
  <c r="P266" i="163"/>
  <c r="N266" i="163"/>
  <c r="M266" i="163"/>
  <c r="L266" i="163"/>
  <c r="H266" i="163"/>
  <c r="A266" i="163"/>
  <c r="P265" i="163"/>
  <c r="N265" i="163"/>
  <c r="M265" i="163"/>
  <c r="L265" i="163"/>
  <c r="H265" i="163"/>
  <c r="A265" i="163"/>
  <c r="P264" i="163"/>
  <c r="N264" i="163"/>
  <c r="M264" i="163"/>
  <c r="L264" i="163"/>
  <c r="H264" i="163"/>
  <c r="A264" i="163"/>
  <c r="P263" i="163"/>
  <c r="N263" i="163"/>
  <c r="M263" i="163"/>
  <c r="L263" i="163"/>
  <c r="H263" i="163"/>
  <c r="A263" i="163"/>
  <c r="P262" i="163"/>
  <c r="N262" i="163"/>
  <c r="M262" i="163"/>
  <c r="L262" i="163"/>
  <c r="H262" i="163"/>
  <c r="A262" i="163"/>
  <c r="P261" i="163"/>
  <c r="N261" i="163"/>
  <c r="M261" i="163"/>
  <c r="L261" i="163"/>
  <c r="H261" i="163"/>
  <c r="A261" i="163"/>
  <c r="P260" i="163"/>
  <c r="N260" i="163"/>
  <c r="M260" i="163"/>
  <c r="L260" i="163"/>
  <c r="H260" i="163"/>
  <c r="A260" i="163"/>
  <c r="P259" i="163"/>
  <c r="N259" i="163"/>
  <c r="M259" i="163"/>
  <c r="L259" i="163"/>
  <c r="H259" i="163"/>
  <c r="A259" i="163"/>
  <c r="P258" i="163"/>
  <c r="N258" i="163"/>
  <c r="M258" i="163"/>
  <c r="L258" i="163"/>
  <c r="H258" i="163"/>
  <c r="A258" i="163"/>
  <c r="P257" i="163"/>
  <c r="N257" i="163"/>
  <c r="M257" i="163"/>
  <c r="L257" i="163"/>
  <c r="H257" i="163"/>
  <c r="A257" i="163"/>
  <c r="P256" i="163"/>
  <c r="N256" i="163"/>
  <c r="M256" i="163"/>
  <c r="L256" i="163"/>
  <c r="H256" i="163"/>
  <c r="A256" i="163"/>
  <c r="P255" i="163"/>
  <c r="N255" i="163"/>
  <c r="M255" i="163"/>
  <c r="L255" i="163"/>
  <c r="H255" i="163"/>
  <c r="A255" i="163"/>
  <c r="P254" i="163"/>
  <c r="N254" i="163"/>
  <c r="M254" i="163"/>
  <c r="L254" i="163"/>
  <c r="H254" i="163"/>
  <c r="A254" i="163"/>
  <c r="P253" i="163"/>
  <c r="N253" i="163"/>
  <c r="M253" i="163"/>
  <c r="L253" i="163"/>
  <c r="H253" i="163"/>
  <c r="A253" i="163"/>
  <c r="P252" i="163"/>
  <c r="N252" i="163"/>
  <c r="M252" i="163"/>
  <c r="L252" i="163"/>
  <c r="H252" i="163"/>
  <c r="A252" i="163"/>
  <c r="P251" i="163"/>
  <c r="N251" i="163"/>
  <c r="M251" i="163"/>
  <c r="L251" i="163"/>
  <c r="H251" i="163"/>
  <c r="A251" i="163"/>
  <c r="P250" i="163"/>
  <c r="N250" i="163"/>
  <c r="M250" i="163"/>
  <c r="L250" i="163"/>
  <c r="H250" i="163"/>
  <c r="A250" i="163"/>
  <c r="P249" i="163"/>
  <c r="N249" i="163"/>
  <c r="M249" i="163"/>
  <c r="L249" i="163"/>
  <c r="H249" i="163"/>
  <c r="A249" i="163"/>
  <c r="P248" i="163"/>
  <c r="N248" i="163"/>
  <c r="M248" i="163"/>
  <c r="L248" i="163"/>
  <c r="H248" i="163"/>
  <c r="A248" i="163"/>
  <c r="P247" i="163"/>
  <c r="N247" i="163"/>
  <c r="M247" i="163"/>
  <c r="L247" i="163"/>
  <c r="H247" i="163"/>
  <c r="A247" i="163"/>
  <c r="P246" i="163"/>
  <c r="N246" i="163"/>
  <c r="M246" i="163"/>
  <c r="L246" i="163"/>
  <c r="H246" i="163"/>
  <c r="A246" i="163"/>
  <c r="P245" i="163"/>
  <c r="N245" i="163"/>
  <c r="M245" i="163"/>
  <c r="L245" i="163"/>
  <c r="H245" i="163"/>
  <c r="A245" i="163"/>
  <c r="P244" i="163"/>
  <c r="N244" i="163"/>
  <c r="M244" i="163"/>
  <c r="L244" i="163"/>
  <c r="H244" i="163"/>
  <c r="A244" i="163"/>
  <c r="P243" i="163"/>
  <c r="N243" i="163"/>
  <c r="M243" i="163"/>
  <c r="L243" i="163"/>
  <c r="H243" i="163"/>
  <c r="A243" i="163"/>
  <c r="P242" i="163"/>
  <c r="N242" i="163"/>
  <c r="M242" i="163"/>
  <c r="L242" i="163"/>
  <c r="H242" i="163"/>
  <c r="A242" i="163"/>
  <c r="P241" i="163"/>
  <c r="N241" i="163"/>
  <c r="M241" i="163"/>
  <c r="L241" i="163"/>
  <c r="H241" i="163"/>
  <c r="A241" i="163"/>
  <c r="P240" i="163"/>
  <c r="N240" i="163"/>
  <c r="M240" i="163"/>
  <c r="L240" i="163"/>
  <c r="H240" i="163"/>
  <c r="A240" i="163"/>
  <c r="P239" i="163"/>
  <c r="N239" i="163"/>
  <c r="M239" i="163"/>
  <c r="L239" i="163"/>
  <c r="H239" i="163"/>
  <c r="A239" i="163"/>
  <c r="P238" i="163"/>
  <c r="N238" i="163"/>
  <c r="M238" i="163"/>
  <c r="L238" i="163"/>
  <c r="H238" i="163"/>
  <c r="A238" i="163"/>
  <c r="P237" i="163"/>
  <c r="N237" i="163"/>
  <c r="M237" i="163"/>
  <c r="L237" i="163"/>
  <c r="H237" i="163"/>
  <c r="A237" i="163"/>
  <c r="P236" i="163"/>
  <c r="N236" i="163"/>
  <c r="M236" i="163"/>
  <c r="L236" i="163"/>
  <c r="H236" i="163"/>
  <c r="A236" i="163"/>
  <c r="P235" i="163"/>
  <c r="N235" i="163"/>
  <c r="M235" i="163"/>
  <c r="L235" i="163"/>
  <c r="H235" i="163"/>
  <c r="A235" i="163"/>
  <c r="P234" i="163"/>
  <c r="N234" i="163"/>
  <c r="M234" i="163"/>
  <c r="L234" i="163"/>
  <c r="H234" i="163"/>
  <c r="A234" i="163"/>
  <c r="P233" i="163"/>
  <c r="N233" i="163"/>
  <c r="M233" i="163"/>
  <c r="L233" i="163"/>
  <c r="H233" i="163"/>
  <c r="A233" i="163"/>
  <c r="P232" i="163"/>
  <c r="N232" i="163"/>
  <c r="M232" i="163"/>
  <c r="L232" i="163"/>
  <c r="H232" i="163"/>
  <c r="A232" i="163"/>
  <c r="P231" i="163"/>
  <c r="N231" i="163"/>
  <c r="M231" i="163"/>
  <c r="L231" i="163"/>
  <c r="H231" i="163"/>
  <c r="A231" i="163"/>
  <c r="P230" i="163"/>
  <c r="N230" i="163"/>
  <c r="M230" i="163"/>
  <c r="L230" i="163"/>
  <c r="H230" i="163"/>
  <c r="A230" i="163"/>
  <c r="P229" i="163"/>
  <c r="N229" i="163"/>
  <c r="M229" i="163"/>
  <c r="L229" i="163"/>
  <c r="H229" i="163"/>
  <c r="A229" i="163"/>
  <c r="P228" i="163"/>
  <c r="N228" i="163"/>
  <c r="M228" i="163"/>
  <c r="L228" i="163"/>
  <c r="H228" i="163"/>
  <c r="A228" i="163"/>
  <c r="P227" i="163"/>
  <c r="N227" i="163"/>
  <c r="M227" i="163"/>
  <c r="L227" i="163"/>
  <c r="H227" i="163"/>
  <c r="A227" i="163"/>
  <c r="P226" i="163"/>
  <c r="N226" i="163"/>
  <c r="M226" i="163"/>
  <c r="L226" i="163"/>
  <c r="H226" i="163"/>
  <c r="A226" i="163"/>
  <c r="P225" i="163"/>
  <c r="N225" i="163"/>
  <c r="M225" i="163"/>
  <c r="L225" i="163"/>
  <c r="H225" i="163"/>
  <c r="A225" i="163"/>
  <c r="P224" i="163"/>
  <c r="N224" i="163"/>
  <c r="M224" i="163"/>
  <c r="L224" i="163"/>
  <c r="H224" i="163"/>
  <c r="A224" i="163"/>
  <c r="P223" i="163"/>
  <c r="N223" i="163"/>
  <c r="M223" i="163"/>
  <c r="L223" i="163"/>
  <c r="H223" i="163"/>
  <c r="A223" i="163"/>
  <c r="P222" i="163"/>
  <c r="N222" i="163"/>
  <c r="M222" i="163"/>
  <c r="L222" i="163"/>
  <c r="H222" i="163"/>
  <c r="A222" i="163"/>
  <c r="P221" i="163"/>
  <c r="N221" i="163"/>
  <c r="M221" i="163"/>
  <c r="L221" i="163"/>
  <c r="H221" i="163"/>
  <c r="A221" i="163"/>
  <c r="P220" i="163"/>
  <c r="N220" i="163"/>
  <c r="M220" i="163"/>
  <c r="L220" i="163"/>
  <c r="H220" i="163"/>
  <c r="A220" i="163"/>
  <c r="P219" i="163"/>
  <c r="N219" i="163"/>
  <c r="M219" i="163"/>
  <c r="L219" i="163"/>
  <c r="H219" i="163"/>
  <c r="A219" i="163"/>
  <c r="P218" i="163"/>
  <c r="N218" i="163"/>
  <c r="M218" i="163"/>
  <c r="L218" i="163"/>
  <c r="H218" i="163"/>
  <c r="A218" i="163"/>
  <c r="P217" i="163"/>
  <c r="N217" i="163"/>
  <c r="M217" i="163"/>
  <c r="L217" i="163"/>
  <c r="H217" i="163"/>
  <c r="A217" i="163"/>
  <c r="P216" i="163"/>
  <c r="N216" i="163"/>
  <c r="M216" i="163"/>
  <c r="L216" i="163"/>
  <c r="H216" i="163"/>
  <c r="A216" i="163"/>
  <c r="P215" i="163"/>
  <c r="N215" i="163"/>
  <c r="M215" i="163"/>
  <c r="L215" i="163"/>
  <c r="H215" i="163"/>
  <c r="A215" i="163"/>
  <c r="P214" i="163"/>
  <c r="N214" i="163"/>
  <c r="M214" i="163"/>
  <c r="L214" i="163"/>
  <c r="H214" i="163"/>
  <c r="A214" i="163"/>
  <c r="P213" i="163"/>
  <c r="N213" i="163"/>
  <c r="M213" i="163"/>
  <c r="L213" i="163"/>
  <c r="H213" i="163"/>
  <c r="A213" i="163"/>
  <c r="P212" i="163"/>
  <c r="N212" i="163"/>
  <c r="M212" i="163"/>
  <c r="L212" i="163"/>
  <c r="H212" i="163"/>
  <c r="A212" i="163"/>
  <c r="P211" i="163"/>
  <c r="N211" i="163"/>
  <c r="M211" i="163"/>
  <c r="L211" i="163"/>
  <c r="H211" i="163"/>
  <c r="A211" i="163"/>
  <c r="P210" i="163"/>
  <c r="N210" i="163"/>
  <c r="M210" i="163"/>
  <c r="L210" i="163"/>
  <c r="H210" i="163"/>
  <c r="A210" i="163"/>
  <c r="P209" i="163"/>
  <c r="N209" i="163"/>
  <c r="M209" i="163"/>
  <c r="L209" i="163"/>
  <c r="H209" i="163"/>
  <c r="A209" i="163"/>
  <c r="P208" i="163"/>
  <c r="N208" i="163"/>
  <c r="M208" i="163"/>
  <c r="L208" i="163"/>
  <c r="H208" i="163"/>
  <c r="A208" i="163"/>
  <c r="P207" i="163"/>
  <c r="N207" i="163"/>
  <c r="M207" i="163"/>
  <c r="L207" i="163"/>
  <c r="H207" i="163"/>
  <c r="A207" i="163"/>
  <c r="P206" i="163"/>
  <c r="N206" i="163"/>
  <c r="M206" i="163"/>
  <c r="L206" i="163"/>
  <c r="H206" i="163"/>
  <c r="A206" i="163"/>
  <c r="P205" i="163"/>
  <c r="N205" i="163"/>
  <c r="M205" i="163"/>
  <c r="L205" i="163"/>
  <c r="H205" i="163"/>
  <c r="A205" i="163"/>
  <c r="P204" i="163"/>
  <c r="N204" i="163"/>
  <c r="M204" i="163"/>
  <c r="L204" i="163"/>
  <c r="H204" i="163"/>
  <c r="A204" i="163"/>
  <c r="P203" i="163"/>
  <c r="N203" i="163"/>
  <c r="M203" i="163"/>
  <c r="L203" i="163"/>
  <c r="H203" i="163"/>
  <c r="A203" i="163"/>
  <c r="P202" i="163"/>
  <c r="N202" i="163"/>
  <c r="M202" i="163"/>
  <c r="L202" i="163"/>
  <c r="H202" i="163"/>
  <c r="A202" i="163"/>
  <c r="P201" i="163"/>
  <c r="N201" i="163"/>
  <c r="M201" i="163"/>
  <c r="L201" i="163"/>
  <c r="H201" i="163"/>
  <c r="A201" i="163"/>
  <c r="P200" i="163"/>
  <c r="N200" i="163"/>
  <c r="M200" i="163"/>
  <c r="L200" i="163"/>
  <c r="H200" i="163"/>
  <c r="A200" i="163"/>
  <c r="P199" i="163"/>
  <c r="N199" i="163"/>
  <c r="M199" i="163"/>
  <c r="L199" i="163"/>
  <c r="H199" i="163"/>
  <c r="A199" i="163"/>
  <c r="P198" i="163"/>
  <c r="N198" i="163"/>
  <c r="M198" i="163"/>
  <c r="L198" i="163"/>
  <c r="H198" i="163"/>
  <c r="A198" i="163"/>
  <c r="P197" i="163"/>
  <c r="N197" i="163"/>
  <c r="M197" i="163"/>
  <c r="L197" i="163"/>
  <c r="H197" i="163"/>
  <c r="A197" i="163"/>
  <c r="P196" i="163"/>
  <c r="N196" i="163"/>
  <c r="M196" i="163"/>
  <c r="L196" i="163"/>
  <c r="H196" i="163"/>
  <c r="A196" i="163"/>
  <c r="P195" i="163"/>
  <c r="N195" i="163"/>
  <c r="M195" i="163"/>
  <c r="L195" i="163"/>
  <c r="H195" i="163"/>
  <c r="A195" i="163"/>
  <c r="P194" i="163"/>
  <c r="N194" i="163"/>
  <c r="M194" i="163"/>
  <c r="L194" i="163"/>
  <c r="H194" i="163"/>
  <c r="A194" i="163"/>
  <c r="P193" i="163"/>
  <c r="N193" i="163"/>
  <c r="M193" i="163"/>
  <c r="L193" i="163"/>
  <c r="H193" i="163"/>
  <c r="A193" i="163"/>
  <c r="P192" i="163"/>
  <c r="N192" i="163"/>
  <c r="M192" i="163"/>
  <c r="L192" i="163"/>
  <c r="H192" i="163"/>
  <c r="A192" i="163"/>
  <c r="P191" i="163"/>
  <c r="N191" i="163"/>
  <c r="M191" i="163"/>
  <c r="L191" i="163"/>
  <c r="H191" i="163"/>
  <c r="A191" i="163"/>
  <c r="P190" i="163"/>
  <c r="N190" i="163"/>
  <c r="M190" i="163"/>
  <c r="L190" i="163"/>
  <c r="H190" i="163"/>
  <c r="A190" i="163"/>
  <c r="P189" i="163"/>
  <c r="N189" i="163"/>
  <c r="M189" i="163"/>
  <c r="L189" i="163"/>
  <c r="H189" i="163"/>
  <c r="A189" i="163"/>
  <c r="P188" i="163"/>
  <c r="N188" i="163"/>
  <c r="M188" i="163"/>
  <c r="L188" i="163"/>
  <c r="H188" i="163"/>
  <c r="A188" i="163"/>
  <c r="P187" i="163"/>
  <c r="N187" i="163"/>
  <c r="M187" i="163"/>
  <c r="L187" i="163"/>
  <c r="H187" i="163"/>
  <c r="A187" i="163"/>
  <c r="P186" i="163"/>
  <c r="N186" i="163"/>
  <c r="M186" i="163"/>
  <c r="L186" i="163"/>
  <c r="H186" i="163"/>
  <c r="A186" i="163"/>
  <c r="P185" i="163"/>
  <c r="N185" i="163"/>
  <c r="M185" i="163"/>
  <c r="L185" i="163"/>
  <c r="H185" i="163"/>
  <c r="A185" i="163"/>
  <c r="P184" i="163"/>
  <c r="N184" i="163"/>
  <c r="M184" i="163"/>
  <c r="L184" i="163"/>
  <c r="H184" i="163"/>
  <c r="A184" i="163"/>
  <c r="P183" i="163"/>
  <c r="N183" i="163"/>
  <c r="M183" i="163"/>
  <c r="L183" i="163"/>
  <c r="H183" i="163"/>
  <c r="A183" i="163"/>
  <c r="P182" i="163"/>
  <c r="N182" i="163"/>
  <c r="M182" i="163"/>
  <c r="L182" i="163"/>
  <c r="H182" i="163"/>
  <c r="A182" i="163"/>
  <c r="P181" i="163"/>
  <c r="N181" i="163"/>
  <c r="M181" i="163"/>
  <c r="L181" i="163"/>
  <c r="H181" i="163"/>
  <c r="A181" i="163"/>
  <c r="P180" i="163"/>
  <c r="N180" i="163"/>
  <c r="M180" i="163"/>
  <c r="L180" i="163"/>
  <c r="H180" i="163"/>
  <c r="A180" i="163"/>
  <c r="P179" i="163"/>
  <c r="N179" i="163"/>
  <c r="M179" i="163"/>
  <c r="L179" i="163"/>
  <c r="H179" i="163"/>
  <c r="A179" i="163"/>
  <c r="P178" i="163"/>
  <c r="N178" i="163"/>
  <c r="M178" i="163"/>
  <c r="L178" i="163"/>
  <c r="H178" i="163"/>
  <c r="A178" i="163"/>
  <c r="P177" i="163"/>
  <c r="N177" i="163"/>
  <c r="M177" i="163"/>
  <c r="L177" i="163"/>
  <c r="H177" i="163"/>
  <c r="A177" i="163"/>
  <c r="P176" i="163"/>
  <c r="N176" i="163"/>
  <c r="M176" i="163"/>
  <c r="L176" i="163"/>
  <c r="H176" i="163"/>
  <c r="A176" i="163"/>
  <c r="P175" i="163"/>
  <c r="N175" i="163"/>
  <c r="M175" i="163"/>
  <c r="L175" i="163"/>
  <c r="H175" i="163"/>
  <c r="A175" i="163"/>
  <c r="P174" i="163"/>
  <c r="N174" i="163"/>
  <c r="M174" i="163"/>
  <c r="L174" i="163"/>
  <c r="H174" i="163"/>
  <c r="A174" i="163"/>
  <c r="P173" i="163"/>
  <c r="N173" i="163"/>
  <c r="M173" i="163"/>
  <c r="L173" i="163"/>
  <c r="H173" i="163"/>
  <c r="A173" i="163"/>
  <c r="P172" i="163"/>
  <c r="N172" i="163"/>
  <c r="M172" i="163"/>
  <c r="L172" i="163"/>
  <c r="H172" i="163"/>
  <c r="A172" i="163"/>
  <c r="P171" i="163"/>
  <c r="N171" i="163"/>
  <c r="M171" i="163"/>
  <c r="L171" i="163"/>
  <c r="H171" i="163"/>
  <c r="A171" i="163"/>
  <c r="P170" i="163"/>
  <c r="N170" i="163"/>
  <c r="M170" i="163"/>
  <c r="L170" i="163"/>
  <c r="H170" i="163"/>
  <c r="A170" i="163"/>
  <c r="P169" i="163"/>
  <c r="N169" i="163"/>
  <c r="M169" i="163"/>
  <c r="L169" i="163"/>
  <c r="H169" i="163"/>
  <c r="A169" i="163"/>
  <c r="P168" i="163"/>
  <c r="N168" i="163"/>
  <c r="M168" i="163"/>
  <c r="L168" i="163"/>
  <c r="H168" i="163"/>
  <c r="A168" i="163"/>
  <c r="P167" i="163"/>
  <c r="N167" i="163"/>
  <c r="M167" i="163"/>
  <c r="L167" i="163"/>
  <c r="H167" i="163"/>
  <c r="A167" i="163"/>
  <c r="P166" i="163"/>
  <c r="N166" i="163"/>
  <c r="M166" i="163"/>
  <c r="L166" i="163"/>
  <c r="H166" i="163"/>
  <c r="A166" i="163"/>
  <c r="P165" i="163"/>
  <c r="N165" i="163"/>
  <c r="M165" i="163"/>
  <c r="L165" i="163"/>
  <c r="H165" i="163"/>
  <c r="A165" i="163"/>
  <c r="P164" i="163"/>
  <c r="N164" i="163"/>
  <c r="M164" i="163"/>
  <c r="L164" i="163"/>
  <c r="H164" i="163"/>
  <c r="A164" i="163"/>
  <c r="P163" i="163"/>
  <c r="N163" i="163"/>
  <c r="M163" i="163"/>
  <c r="L163" i="163"/>
  <c r="H163" i="163"/>
  <c r="A163" i="163"/>
  <c r="P162" i="163"/>
  <c r="N162" i="163"/>
  <c r="M162" i="163"/>
  <c r="L162" i="163"/>
  <c r="H162" i="163"/>
  <c r="A162" i="163"/>
  <c r="P161" i="163"/>
  <c r="N161" i="163"/>
  <c r="M161" i="163"/>
  <c r="L161" i="163"/>
  <c r="H161" i="163"/>
  <c r="A161" i="163"/>
  <c r="P160" i="163"/>
  <c r="N160" i="163"/>
  <c r="M160" i="163"/>
  <c r="L160" i="163"/>
  <c r="H160" i="163"/>
  <c r="A160" i="163"/>
  <c r="P159" i="163"/>
  <c r="N159" i="163"/>
  <c r="M159" i="163"/>
  <c r="L159" i="163"/>
  <c r="H159" i="163"/>
  <c r="A159" i="163"/>
  <c r="P158" i="163"/>
  <c r="N158" i="163"/>
  <c r="M158" i="163"/>
  <c r="L158" i="163"/>
  <c r="H158" i="163"/>
  <c r="A158" i="163"/>
  <c r="P157" i="163"/>
  <c r="N157" i="163"/>
  <c r="M157" i="163"/>
  <c r="L157" i="163"/>
  <c r="H157" i="163"/>
  <c r="A157" i="163"/>
  <c r="P156" i="163"/>
  <c r="N156" i="163"/>
  <c r="M156" i="163"/>
  <c r="L156" i="163"/>
  <c r="H156" i="163"/>
  <c r="A156" i="163"/>
  <c r="P155" i="163"/>
  <c r="N155" i="163"/>
  <c r="M155" i="163"/>
  <c r="L155" i="163"/>
  <c r="H155" i="163"/>
  <c r="A155" i="163"/>
  <c r="P154" i="163"/>
  <c r="N154" i="163"/>
  <c r="M154" i="163"/>
  <c r="L154" i="163"/>
  <c r="H154" i="163"/>
  <c r="A154" i="163"/>
  <c r="P153" i="163"/>
  <c r="N153" i="163"/>
  <c r="M153" i="163"/>
  <c r="L153" i="163"/>
  <c r="H153" i="163"/>
  <c r="A153" i="163"/>
  <c r="P152" i="163"/>
  <c r="N152" i="163"/>
  <c r="M152" i="163"/>
  <c r="L152" i="163"/>
  <c r="H152" i="163"/>
  <c r="A152" i="163"/>
  <c r="P151" i="163"/>
  <c r="N151" i="163"/>
  <c r="M151" i="163"/>
  <c r="L151" i="163"/>
  <c r="H151" i="163"/>
  <c r="A151" i="163"/>
  <c r="P150" i="163"/>
  <c r="N150" i="163"/>
  <c r="M150" i="163"/>
  <c r="L150" i="163"/>
  <c r="H150" i="163"/>
  <c r="A150" i="163"/>
  <c r="P149" i="163"/>
  <c r="N149" i="163"/>
  <c r="M149" i="163"/>
  <c r="L149" i="163"/>
  <c r="H149" i="163"/>
  <c r="A149" i="163"/>
  <c r="P148" i="163"/>
  <c r="N148" i="163"/>
  <c r="M148" i="163"/>
  <c r="L148" i="163"/>
  <c r="H148" i="163"/>
  <c r="A148" i="163"/>
  <c r="P147" i="163"/>
  <c r="N147" i="163"/>
  <c r="M147" i="163"/>
  <c r="L147" i="163"/>
  <c r="H147" i="163"/>
  <c r="A147" i="163"/>
  <c r="P146" i="163"/>
  <c r="N146" i="163"/>
  <c r="M146" i="163"/>
  <c r="L146" i="163"/>
  <c r="H146" i="163"/>
  <c r="A146" i="163"/>
  <c r="P145" i="163"/>
  <c r="N145" i="163"/>
  <c r="M145" i="163"/>
  <c r="L145" i="163"/>
  <c r="H145" i="163"/>
  <c r="A145" i="163"/>
  <c r="P144" i="163"/>
  <c r="N144" i="163"/>
  <c r="M144" i="163"/>
  <c r="L144" i="163"/>
  <c r="H144" i="163"/>
  <c r="A144" i="163"/>
  <c r="P143" i="163"/>
  <c r="N143" i="163"/>
  <c r="M143" i="163"/>
  <c r="L143" i="163"/>
  <c r="H143" i="163"/>
  <c r="A143" i="163"/>
  <c r="P142" i="163"/>
  <c r="N142" i="163"/>
  <c r="M142" i="163"/>
  <c r="L142" i="163"/>
  <c r="H142" i="163"/>
  <c r="A142" i="163"/>
  <c r="P141" i="163"/>
  <c r="N141" i="163"/>
  <c r="M141" i="163"/>
  <c r="L141" i="163"/>
  <c r="H141" i="163"/>
  <c r="A141" i="163"/>
  <c r="P140" i="163"/>
  <c r="N140" i="163"/>
  <c r="M140" i="163"/>
  <c r="L140" i="163"/>
  <c r="H140" i="163"/>
  <c r="A140" i="163"/>
  <c r="P139" i="163"/>
  <c r="N139" i="163"/>
  <c r="M139" i="163"/>
  <c r="L139" i="163"/>
  <c r="H139" i="163"/>
  <c r="A139" i="163"/>
  <c r="P138" i="163"/>
  <c r="N138" i="163"/>
  <c r="M138" i="163"/>
  <c r="L138" i="163"/>
  <c r="H138" i="163"/>
  <c r="A138" i="163"/>
  <c r="P137" i="163"/>
  <c r="N137" i="163"/>
  <c r="M137" i="163"/>
  <c r="L137" i="163"/>
  <c r="H137" i="163"/>
  <c r="A137" i="163"/>
  <c r="P136" i="163"/>
  <c r="N136" i="163"/>
  <c r="M136" i="163"/>
  <c r="L136" i="163"/>
  <c r="H136" i="163"/>
  <c r="A136" i="163"/>
  <c r="P135" i="163"/>
  <c r="N135" i="163"/>
  <c r="M135" i="163"/>
  <c r="L135" i="163"/>
  <c r="H135" i="163"/>
  <c r="A135" i="163"/>
  <c r="P134" i="163"/>
  <c r="N134" i="163"/>
  <c r="M134" i="163"/>
  <c r="L134" i="163"/>
  <c r="H134" i="163"/>
  <c r="A134" i="163"/>
  <c r="P133" i="163"/>
  <c r="N133" i="163"/>
  <c r="M133" i="163"/>
  <c r="L133" i="163"/>
  <c r="H133" i="163"/>
  <c r="A133" i="163"/>
  <c r="P132" i="163"/>
  <c r="N132" i="163"/>
  <c r="M132" i="163"/>
  <c r="L132" i="163"/>
  <c r="H132" i="163"/>
  <c r="A132" i="163"/>
  <c r="P131" i="163"/>
  <c r="N131" i="163"/>
  <c r="M131" i="163"/>
  <c r="L131" i="163"/>
  <c r="H131" i="163"/>
  <c r="A131" i="163"/>
  <c r="P130" i="163"/>
  <c r="N130" i="163"/>
  <c r="M130" i="163"/>
  <c r="L130" i="163"/>
  <c r="H130" i="163"/>
  <c r="A130" i="163"/>
  <c r="P129" i="163"/>
  <c r="N129" i="163"/>
  <c r="M129" i="163"/>
  <c r="L129" i="163"/>
  <c r="H129" i="163"/>
  <c r="A129" i="163"/>
  <c r="P128" i="163"/>
  <c r="N128" i="163"/>
  <c r="M128" i="163"/>
  <c r="L128" i="163"/>
  <c r="H128" i="163"/>
  <c r="A128" i="163"/>
  <c r="P127" i="163"/>
  <c r="N127" i="163"/>
  <c r="M127" i="163"/>
  <c r="L127" i="163"/>
  <c r="H127" i="163"/>
  <c r="A127" i="163"/>
  <c r="P126" i="163"/>
  <c r="N126" i="163"/>
  <c r="M126" i="163"/>
  <c r="L126" i="163"/>
  <c r="H126" i="163"/>
  <c r="A126" i="163"/>
  <c r="P125" i="163"/>
  <c r="N125" i="163"/>
  <c r="M125" i="163"/>
  <c r="L125" i="163"/>
  <c r="H125" i="163"/>
  <c r="A125" i="163"/>
  <c r="P124" i="163"/>
  <c r="N124" i="163"/>
  <c r="M124" i="163"/>
  <c r="L124" i="163"/>
  <c r="H124" i="163"/>
  <c r="A124" i="163"/>
  <c r="P123" i="163"/>
  <c r="N123" i="163"/>
  <c r="M123" i="163"/>
  <c r="L123" i="163"/>
  <c r="H123" i="163"/>
  <c r="A123" i="163"/>
  <c r="P122" i="163"/>
  <c r="N122" i="163"/>
  <c r="M122" i="163"/>
  <c r="L122" i="163"/>
  <c r="H122" i="163"/>
  <c r="A122" i="163"/>
  <c r="P121" i="163"/>
  <c r="N121" i="163"/>
  <c r="M121" i="163"/>
  <c r="L121" i="163"/>
  <c r="H121" i="163"/>
  <c r="A121" i="163"/>
  <c r="P120" i="163"/>
  <c r="N120" i="163"/>
  <c r="M120" i="163"/>
  <c r="L120" i="163"/>
  <c r="H120" i="163"/>
  <c r="A120" i="163"/>
  <c r="P119" i="163"/>
  <c r="N119" i="163"/>
  <c r="M119" i="163"/>
  <c r="L119" i="163"/>
  <c r="H119" i="163"/>
  <c r="A119" i="163"/>
  <c r="P118" i="163"/>
  <c r="N118" i="163"/>
  <c r="M118" i="163"/>
  <c r="L118" i="163"/>
  <c r="H118" i="163"/>
  <c r="A118" i="163"/>
  <c r="P117" i="163"/>
  <c r="N117" i="163"/>
  <c r="M117" i="163"/>
  <c r="L117" i="163"/>
  <c r="H117" i="163"/>
  <c r="A117" i="163"/>
  <c r="P116" i="163"/>
  <c r="N116" i="163"/>
  <c r="M116" i="163"/>
  <c r="L116" i="163"/>
  <c r="H116" i="163"/>
  <c r="A116" i="163"/>
  <c r="P115" i="163"/>
  <c r="N115" i="163"/>
  <c r="M115" i="163"/>
  <c r="L115" i="163"/>
  <c r="H115" i="163"/>
  <c r="A115" i="163"/>
  <c r="P114" i="163"/>
  <c r="N114" i="163"/>
  <c r="M114" i="163"/>
  <c r="L114" i="163"/>
  <c r="H114" i="163"/>
  <c r="A114" i="163"/>
  <c r="P113" i="163"/>
  <c r="N113" i="163"/>
  <c r="M113" i="163"/>
  <c r="L113" i="163"/>
  <c r="H113" i="163"/>
  <c r="A113" i="163"/>
  <c r="P112" i="163"/>
  <c r="N112" i="163"/>
  <c r="M112" i="163"/>
  <c r="L112" i="163"/>
  <c r="H112" i="163"/>
  <c r="A112" i="163"/>
  <c r="P111" i="163"/>
  <c r="N111" i="163"/>
  <c r="M111" i="163"/>
  <c r="L111" i="163"/>
  <c r="H111" i="163"/>
  <c r="A111" i="163"/>
  <c r="P110" i="163"/>
  <c r="N110" i="163"/>
  <c r="M110" i="163"/>
  <c r="L110" i="163"/>
  <c r="H110" i="163"/>
  <c r="A110" i="163"/>
  <c r="P109" i="163"/>
  <c r="N109" i="163"/>
  <c r="M109" i="163"/>
  <c r="L109" i="163"/>
  <c r="H109" i="163"/>
  <c r="A109" i="163"/>
  <c r="P108" i="163"/>
  <c r="N108" i="163"/>
  <c r="M108" i="163"/>
  <c r="L108" i="163"/>
  <c r="H108" i="163"/>
  <c r="A108" i="163"/>
  <c r="P107" i="163"/>
  <c r="N107" i="163"/>
  <c r="M107" i="163"/>
  <c r="L107" i="163"/>
  <c r="H107" i="163"/>
  <c r="A107" i="163"/>
  <c r="P106" i="163"/>
  <c r="N106" i="163"/>
  <c r="M106" i="163"/>
  <c r="L106" i="163"/>
  <c r="H106" i="163"/>
  <c r="A106" i="163"/>
  <c r="P105" i="163"/>
  <c r="N105" i="163"/>
  <c r="M105" i="163"/>
  <c r="L105" i="163"/>
  <c r="H105" i="163"/>
  <c r="A105" i="163"/>
  <c r="P104" i="163"/>
  <c r="N104" i="163"/>
  <c r="M104" i="163"/>
  <c r="L104" i="163"/>
  <c r="H104" i="163"/>
  <c r="A104" i="163"/>
  <c r="P103" i="163"/>
  <c r="N103" i="163"/>
  <c r="M103" i="163"/>
  <c r="L103" i="163"/>
  <c r="H103" i="163"/>
  <c r="A103" i="163"/>
  <c r="P102" i="163"/>
  <c r="N102" i="163"/>
  <c r="M102" i="163"/>
  <c r="L102" i="163"/>
  <c r="H102" i="163"/>
  <c r="A102" i="163"/>
  <c r="P101" i="163"/>
  <c r="N101" i="163"/>
  <c r="M101" i="163"/>
  <c r="L101" i="163"/>
  <c r="H101" i="163"/>
  <c r="A101" i="163"/>
  <c r="P100" i="163"/>
  <c r="N100" i="163"/>
  <c r="M100" i="163"/>
  <c r="L100" i="163"/>
  <c r="H100" i="163"/>
  <c r="A100" i="163"/>
  <c r="P99" i="163"/>
  <c r="N99" i="163"/>
  <c r="M99" i="163"/>
  <c r="L99" i="163"/>
  <c r="H99" i="163"/>
  <c r="A99" i="163"/>
  <c r="P98" i="163"/>
  <c r="N98" i="163"/>
  <c r="M98" i="163"/>
  <c r="L98" i="163"/>
  <c r="H98" i="163"/>
  <c r="A98" i="163"/>
  <c r="P97" i="163"/>
  <c r="N97" i="163"/>
  <c r="M97" i="163"/>
  <c r="L97" i="163"/>
  <c r="H97" i="163"/>
  <c r="A97" i="163"/>
  <c r="P96" i="163"/>
  <c r="N96" i="163"/>
  <c r="M96" i="163"/>
  <c r="L96" i="163"/>
  <c r="H96" i="163"/>
  <c r="A96" i="163"/>
  <c r="P95" i="163"/>
  <c r="N95" i="163"/>
  <c r="M95" i="163"/>
  <c r="L95" i="163"/>
  <c r="H95" i="163"/>
  <c r="A95" i="163"/>
  <c r="P94" i="163"/>
  <c r="N94" i="163"/>
  <c r="M94" i="163"/>
  <c r="L94" i="163"/>
  <c r="H94" i="163"/>
  <c r="A94" i="163"/>
  <c r="P93" i="163"/>
  <c r="N93" i="163"/>
  <c r="M93" i="163"/>
  <c r="L93" i="163"/>
  <c r="H93" i="163"/>
  <c r="A93" i="163"/>
  <c r="P92" i="163"/>
  <c r="N92" i="163"/>
  <c r="M92" i="163"/>
  <c r="L92" i="163"/>
  <c r="H92" i="163"/>
  <c r="A92" i="163"/>
  <c r="P91" i="163"/>
  <c r="N91" i="163"/>
  <c r="M91" i="163"/>
  <c r="L91" i="163"/>
  <c r="H91" i="163"/>
  <c r="A91" i="163"/>
  <c r="P90" i="163"/>
  <c r="N90" i="163"/>
  <c r="M90" i="163"/>
  <c r="L90" i="163"/>
  <c r="H90" i="163"/>
  <c r="A90" i="163"/>
  <c r="P89" i="163"/>
  <c r="N89" i="163"/>
  <c r="M89" i="163"/>
  <c r="L89" i="163"/>
  <c r="H89" i="163"/>
  <c r="A89" i="163"/>
  <c r="P88" i="163"/>
  <c r="N88" i="163"/>
  <c r="M88" i="163"/>
  <c r="L88" i="163"/>
  <c r="H88" i="163"/>
  <c r="A88" i="163"/>
  <c r="P87" i="163"/>
  <c r="N87" i="163"/>
  <c r="M87" i="163"/>
  <c r="L87" i="163"/>
  <c r="H87" i="163"/>
  <c r="A87" i="163"/>
  <c r="P86" i="163"/>
  <c r="N86" i="163"/>
  <c r="M86" i="163"/>
  <c r="L86" i="163"/>
  <c r="H86" i="163"/>
  <c r="A86" i="163"/>
  <c r="P85" i="163"/>
  <c r="N85" i="163"/>
  <c r="M85" i="163"/>
  <c r="L85" i="163"/>
  <c r="H85" i="163"/>
  <c r="A85" i="163"/>
  <c r="P84" i="163"/>
  <c r="N84" i="163"/>
  <c r="M84" i="163"/>
  <c r="L84" i="163"/>
  <c r="H84" i="163"/>
  <c r="A84" i="163"/>
  <c r="P83" i="163"/>
  <c r="N83" i="163"/>
  <c r="M83" i="163"/>
  <c r="L83" i="163"/>
  <c r="H83" i="163"/>
  <c r="A83" i="163"/>
  <c r="P82" i="163"/>
  <c r="N82" i="163"/>
  <c r="M82" i="163"/>
  <c r="L82" i="163"/>
  <c r="H82" i="163"/>
  <c r="A82" i="163"/>
  <c r="P81" i="163"/>
  <c r="N81" i="163"/>
  <c r="M81" i="163"/>
  <c r="L81" i="163"/>
  <c r="H81" i="163"/>
  <c r="A81" i="163"/>
  <c r="P80" i="163"/>
  <c r="N80" i="163"/>
  <c r="M80" i="163"/>
  <c r="L80" i="163"/>
  <c r="H80" i="163"/>
  <c r="A80" i="163"/>
  <c r="P79" i="163"/>
  <c r="N79" i="163"/>
  <c r="M79" i="163"/>
  <c r="L79" i="163"/>
  <c r="H79" i="163"/>
  <c r="A79" i="163"/>
  <c r="P78" i="163"/>
  <c r="N78" i="163"/>
  <c r="M78" i="163"/>
  <c r="L78" i="163"/>
  <c r="H78" i="163"/>
  <c r="A78" i="163"/>
  <c r="P77" i="163"/>
  <c r="N77" i="163"/>
  <c r="M77" i="163"/>
  <c r="L77" i="163"/>
  <c r="H77" i="163"/>
  <c r="A77" i="163"/>
  <c r="P76" i="163"/>
  <c r="N76" i="163"/>
  <c r="M76" i="163"/>
  <c r="L76" i="163"/>
  <c r="H76" i="163"/>
  <c r="A76" i="163"/>
  <c r="P75" i="163"/>
  <c r="N75" i="163"/>
  <c r="M75" i="163"/>
  <c r="L75" i="163"/>
  <c r="H75" i="163"/>
  <c r="A75" i="163"/>
  <c r="P74" i="163"/>
  <c r="N74" i="163"/>
  <c r="M74" i="163"/>
  <c r="L74" i="163"/>
  <c r="H74" i="163"/>
  <c r="A74" i="163"/>
  <c r="P73" i="163"/>
  <c r="N73" i="163"/>
  <c r="M73" i="163"/>
  <c r="L73" i="163"/>
  <c r="H73" i="163"/>
  <c r="A73" i="163"/>
  <c r="P72" i="163"/>
  <c r="N72" i="163"/>
  <c r="M72" i="163"/>
  <c r="L72" i="163"/>
  <c r="H72" i="163"/>
  <c r="A72" i="163"/>
  <c r="P71" i="163"/>
  <c r="N71" i="163"/>
  <c r="M71" i="163"/>
  <c r="L71" i="163"/>
  <c r="H71" i="163"/>
  <c r="A71" i="163"/>
  <c r="P70" i="163"/>
  <c r="N70" i="163"/>
  <c r="M70" i="163"/>
  <c r="L70" i="163"/>
  <c r="H70" i="163"/>
  <c r="A70" i="163"/>
  <c r="P69" i="163"/>
  <c r="N69" i="163"/>
  <c r="M69" i="163"/>
  <c r="L69" i="163"/>
  <c r="H69" i="163"/>
  <c r="A69" i="163"/>
  <c r="P68" i="163"/>
  <c r="N68" i="163"/>
  <c r="M68" i="163"/>
  <c r="L68" i="163"/>
  <c r="H68" i="163"/>
  <c r="A68" i="163"/>
  <c r="P67" i="163"/>
  <c r="N67" i="163"/>
  <c r="M67" i="163"/>
  <c r="L67" i="163"/>
  <c r="H67" i="163"/>
  <c r="A67" i="163"/>
  <c r="P66" i="163"/>
  <c r="N66" i="163"/>
  <c r="M66" i="163"/>
  <c r="L66" i="163"/>
  <c r="H66" i="163"/>
  <c r="A66" i="163"/>
  <c r="P65" i="163"/>
  <c r="N65" i="163"/>
  <c r="M65" i="163"/>
  <c r="L65" i="163"/>
  <c r="H65" i="163"/>
  <c r="A65" i="163"/>
  <c r="P64" i="163"/>
  <c r="N64" i="163"/>
  <c r="M64" i="163"/>
  <c r="L64" i="163"/>
  <c r="H64" i="163"/>
  <c r="A64" i="163"/>
  <c r="P63" i="163"/>
  <c r="N63" i="163"/>
  <c r="M63" i="163"/>
  <c r="L63" i="163"/>
  <c r="H63" i="163"/>
  <c r="A63" i="163"/>
  <c r="P62" i="163"/>
  <c r="N62" i="163"/>
  <c r="M62" i="163"/>
  <c r="L62" i="163"/>
  <c r="H62" i="163"/>
  <c r="A62" i="163"/>
  <c r="P61" i="163"/>
  <c r="N61" i="163"/>
  <c r="M61" i="163"/>
  <c r="L61" i="163"/>
  <c r="H61" i="163"/>
  <c r="A61" i="163"/>
  <c r="P60" i="163"/>
  <c r="N60" i="163"/>
  <c r="M60" i="163"/>
  <c r="L60" i="163"/>
  <c r="H60" i="163"/>
  <c r="A60" i="163"/>
  <c r="P59" i="163"/>
  <c r="N59" i="163"/>
  <c r="M59" i="163"/>
  <c r="L59" i="163"/>
  <c r="H59" i="163"/>
  <c r="A59" i="163"/>
  <c r="P58" i="163"/>
  <c r="N58" i="163"/>
  <c r="M58" i="163"/>
  <c r="L58" i="163"/>
  <c r="H58" i="163"/>
  <c r="A58" i="163"/>
  <c r="P57" i="163"/>
  <c r="N57" i="163"/>
  <c r="M57" i="163"/>
  <c r="L57" i="163"/>
  <c r="H57" i="163"/>
  <c r="A57" i="163"/>
  <c r="P56" i="163"/>
  <c r="N56" i="163"/>
  <c r="M56" i="163"/>
  <c r="L56" i="163"/>
  <c r="H56" i="163"/>
  <c r="A56" i="163"/>
  <c r="P55" i="163"/>
  <c r="N55" i="163"/>
  <c r="M55" i="163"/>
  <c r="L55" i="163"/>
  <c r="H55" i="163"/>
  <c r="A55" i="163"/>
  <c r="P54" i="163"/>
  <c r="N54" i="163"/>
  <c r="M54" i="163"/>
  <c r="L54" i="163"/>
  <c r="H54" i="163"/>
  <c r="A54" i="163"/>
  <c r="P53" i="163"/>
  <c r="N53" i="163"/>
  <c r="M53" i="163"/>
  <c r="L53" i="163"/>
  <c r="H53" i="163"/>
  <c r="A53" i="163"/>
  <c r="P52" i="163"/>
  <c r="N52" i="163"/>
  <c r="M52" i="163"/>
  <c r="L52" i="163"/>
  <c r="H52" i="163"/>
  <c r="A52" i="163"/>
  <c r="P51" i="163"/>
  <c r="N51" i="163"/>
  <c r="M51" i="163"/>
  <c r="L51" i="163"/>
  <c r="H51" i="163"/>
  <c r="A51" i="163"/>
  <c r="P50" i="163"/>
  <c r="N50" i="163"/>
  <c r="M50" i="163"/>
  <c r="L50" i="163"/>
  <c r="H50" i="163"/>
  <c r="A50" i="163"/>
  <c r="P49" i="163"/>
  <c r="N49" i="163"/>
  <c r="M49" i="163"/>
  <c r="L49" i="163"/>
  <c r="H49" i="163"/>
  <c r="A49" i="163"/>
  <c r="P48" i="163"/>
  <c r="N48" i="163"/>
  <c r="M48" i="163"/>
  <c r="L48" i="163"/>
  <c r="H48" i="163"/>
  <c r="A48" i="163"/>
  <c r="P47" i="163"/>
  <c r="N47" i="163"/>
  <c r="M47" i="163"/>
  <c r="L47" i="163"/>
  <c r="H47" i="163"/>
  <c r="A47" i="163"/>
  <c r="P46" i="163"/>
  <c r="N46" i="163"/>
  <c r="M46" i="163"/>
  <c r="L46" i="163"/>
  <c r="H46" i="163"/>
  <c r="A46" i="163"/>
  <c r="P45" i="163"/>
  <c r="N45" i="163"/>
  <c r="M45" i="163"/>
  <c r="L45" i="163"/>
  <c r="H45" i="163"/>
  <c r="A45" i="163"/>
  <c r="P44" i="163"/>
  <c r="N44" i="163"/>
  <c r="M44" i="163"/>
  <c r="L44" i="163"/>
  <c r="H44" i="163"/>
  <c r="A44" i="163"/>
  <c r="P43" i="163"/>
  <c r="N43" i="163"/>
  <c r="M43" i="163"/>
  <c r="L43" i="163"/>
  <c r="H43" i="163"/>
  <c r="A43" i="163"/>
  <c r="P42" i="163"/>
  <c r="N42" i="163"/>
  <c r="M42" i="163"/>
  <c r="L42" i="163"/>
  <c r="H42" i="163"/>
  <c r="A42" i="163"/>
  <c r="P41" i="163"/>
  <c r="N41" i="163"/>
  <c r="M41" i="163"/>
  <c r="L41" i="163"/>
  <c r="H41" i="163"/>
  <c r="A41" i="163"/>
  <c r="P40" i="163"/>
  <c r="N40" i="163"/>
  <c r="M40" i="163"/>
  <c r="L40" i="163"/>
  <c r="H40" i="163"/>
  <c r="A40" i="163"/>
  <c r="P39" i="163"/>
  <c r="N39" i="163"/>
  <c r="M39" i="163"/>
  <c r="L39" i="163"/>
  <c r="H39" i="163"/>
  <c r="A39" i="163"/>
  <c r="P38" i="163"/>
  <c r="N38" i="163"/>
  <c r="M38" i="163"/>
  <c r="L38" i="163"/>
  <c r="H38" i="163"/>
  <c r="A38" i="163"/>
  <c r="P37" i="163"/>
  <c r="N37" i="163"/>
  <c r="M37" i="163"/>
  <c r="L37" i="163"/>
  <c r="H37" i="163"/>
  <c r="A37" i="163"/>
  <c r="P36" i="163"/>
  <c r="N36" i="163"/>
  <c r="M36" i="163"/>
  <c r="L36" i="163"/>
  <c r="H36" i="163"/>
  <c r="A36" i="163"/>
  <c r="P35" i="163"/>
  <c r="N35" i="163"/>
  <c r="M35" i="163"/>
  <c r="L35" i="163"/>
  <c r="H35" i="163"/>
  <c r="A35" i="163"/>
  <c r="P34" i="163"/>
  <c r="N34" i="163"/>
  <c r="M34" i="163"/>
  <c r="L34" i="163"/>
  <c r="H34" i="163"/>
  <c r="A34" i="163"/>
  <c r="P33" i="163"/>
  <c r="N33" i="163"/>
  <c r="M33" i="163"/>
  <c r="L33" i="163"/>
  <c r="H33" i="163"/>
  <c r="A33" i="163"/>
  <c r="P32" i="163"/>
  <c r="N32" i="163"/>
  <c r="M32" i="163"/>
  <c r="L32" i="163"/>
  <c r="H32" i="163"/>
  <c r="A32" i="163"/>
  <c r="P31" i="163"/>
  <c r="N31" i="163"/>
  <c r="M31" i="163"/>
  <c r="L31" i="163"/>
  <c r="H31" i="163"/>
  <c r="A31" i="163"/>
  <c r="P30" i="163"/>
  <c r="N30" i="163"/>
  <c r="M30" i="163"/>
  <c r="L30" i="163"/>
  <c r="H30" i="163"/>
  <c r="A30" i="163"/>
  <c r="P29" i="163"/>
  <c r="N29" i="163"/>
  <c r="M29" i="163"/>
  <c r="L29" i="163"/>
  <c r="H29" i="163"/>
  <c r="A29" i="163"/>
  <c r="P28" i="163"/>
  <c r="N28" i="163"/>
  <c r="M28" i="163"/>
  <c r="L28" i="163"/>
  <c r="H28" i="163"/>
  <c r="A28" i="163"/>
  <c r="P27" i="163"/>
  <c r="N27" i="163"/>
  <c r="M27" i="163"/>
  <c r="L27" i="163"/>
  <c r="H27" i="163"/>
  <c r="A27" i="163"/>
  <c r="P26" i="163"/>
  <c r="N26" i="163"/>
  <c r="M26" i="163"/>
  <c r="L26" i="163"/>
  <c r="H26" i="163"/>
  <c r="A26" i="163"/>
  <c r="P25" i="163"/>
  <c r="N25" i="163"/>
  <c r="M25" i="163"/>
  <c r="L25" i="163"/>
  <c r="H25" i="163"/>
  <c r="A25" i="163"/>
  <c r="P24" i="163"/>
  <c r="N24" i="163"/>
  <c r="M24" i="163"/>
  <c r="L24" i="163"/>
  <c r="H24" i="163"/>
  <c r="A24" i="163"/>
  <c r="P23" i="163"/>
  <c r="N23" i="163"/>
  <c r="M23" i="163"/>
  <c r="L23" i="163"/>
  <c r="H23" i="163"/>
  <c r="A23" i="163"/>
  <c r="P22" i="163"/>
  <c r="N22" i="163"/>
  <c r="M22" i="163"/>
  <c r="L22" i="163"/>
  <c r="H22" i="163"/>
  <c r="A22" i="163"/>
  <c r="P21" i="163"/>
  <c r="N21" i="163"/>
  <c r="M21" i="163"/>
  <c r="L21" i="163"/>
  <c r="H21" i="163"/>
  <c r="A21" i="163"/>
  <c r="P20" i="163"/>
  <c r="N20" i="163"/>
  <c r="M20" i="163"/>
  <c r="L20" i="163"/>
  <c r="H20" i="163"/>
  <c r="A20" i="163"/>
  <c r="P19" i="163"/>
  <c r="N19" i="163"/>
  <c r="M19" i="163"/>
  <c r="L19" i="163"/>
  <c r="H19" i="163"/>
  <c r="A19" i="163"/>
  <c r="P18" i="163"/>
  <c r="N18" i="163"/>
  <c r="M18" i="163"/>
  <c r="L18" i="163"/>
  <c r="H18" i="163"/>
  <c r="A18" i="163"/>
  <c r="P17" i="163"/>
  <c r="N17" i="163"/>
  <c r="M17" i="163"/>
  <c r="L17" i="163"/>
  <c r="H17" i="163"/>
  <c r="A17" i="163"/>
  <c r="P16" i="163"/>
  <c r="N16" i="163"/>
  <c r="M16" i="163"/>
  <c r="L16" i="163"/>
  <c r="H16" i="163"/>
  <c r="A16" i="163"/>
  <c r="P15" i="163"/>
  <c r="N15" i="163"/>
  <c r="M15" i="163"/>
  <c r="L15" i="163"/>
  <c r="H15" i="163"/>
  <c r="A15" i="163"/>
  <c r="P14" i="163"/>
  <c r="N14" i="163"/>
  <c r="M14" i="163"/>
  <c r="L14" i="163"/>
  <c r="H14" i="163"/>
  <c r="A14" i="163"/>
  <c r="P13" i="163"/>
  <c r="N13" i="163"/>
  <c r="M13" i="163"/>
  <c r="L13" i="163"/>
  <c r="H13" i="163"/>
  <c r="A13" i="163"/>
  <c r="P12" i="163"/>
  <c r="N12" i="163"/>
  <c r="M12" i="163"/>
  <c r="L12" i="163"/>
  <c r="H12" i="163"/>
  <c r="A12" i="163"/>
  <c r="P11" i="163"/>
  <c r="N11" i="163"/>
  <c r="M11" i="163"/>
  <c r="L11" i="163"/>
  <c r="H11" i="163"/>
  <c r="A11" i="163"/>
  <c r="P10" i="163"/>
  <c r="N10" i="163"/>
  <c r="M10" i="163"/>
  <c r="L10" i="163"/>
  <c r="H10" i="163"/>
  <c r="A10" i="163"/>
  <c r="P9" i="163"/>
  <c r="N9" i="163"/>
  <c r="M9" i="163"/>
  <c r="L9" i="163"/>
  <c r="H9" i="163"/>
  <c r="A9" i="163"/>
  <c r="P8" i="163"/>
  <c r="N8" i="163"/>
  <c r="M8" i="163"/>
  <c r="L8" i="163"/>
  <c r="H8" i="163"/>
  <c r="A8" i="163"/>
  <c r="P7" i="163"/>
  <c r="N7" i="163"/>
  <c r="M7" i="163"/>
  <c r="L7" i="163"/>
  <c r="H7" i="163"/>
  <c r="A7" i="163"/>
  <c r="P6" i="163"/>
  <c r="N6" i="163"/>
  <c r="M6" i="163"/>
  <c r="L6" i="163"/>
  <c r="H6" i="163"/>
  <c r="A6" i="163"/>
  <c r="P5" i="163"/>
  <c r="N5" i="163"/>
  <c r="M5" i="163"/>
  <c r="L5" i="163"/>
  <c r="H5" i="163"/>
  <c r="A5" i="163"/>
  <c r="P4" i="163"/>
  <c r="N4" i="163"/>
  <c r="M4" i="163"/>
  <c r="L4" i="163"/>
  <c r="H4" i="163"/>
  <c r="A4" i="163"/>
  <c r="P3" i="163"/>
  <c r="N3" i="163"/>
  <c r="M3" i="163"/>
  <c r="L3" i="163"/>
  <c r="H3" i="163"/>
  <c r="A3" i="163"/>
  <c r="P2" i="163"/>
  <c r="N2" i="163"/>
  <c r="M2" i="163"/>
  <c r="L2" i="163"/>
  <c r="H2" i="163"/>
  <c r="A2" i="163"/>
  <c r="F65" i="162"/>
  <c r="F64" i="162"/>
  <c r="F63" i="162"/>
  <c r="G63" i="162"/>
  <c r="F62" i="162"/>
  <c r="B55" i="162"/>
  <c r="B56" i="162"/>
  <c r="B57" i="162"/>
  <c r="B58" i="162"/>
  <c r="B59" i="162"/>
  <c r="B60" i="162"/>
  <c r="B61" i="162"/>
  <c r="B62" i="162"/>
  <c r="C55" i="162"/>
  <c r="C56" i="162"/>
  <c r="C57" i="162"/>
  <c r="C58" i="162"/>
  <c r="C59" i="162"/>
  <c r="C60" i="162"/>
  <c r="C61" i="162"/>
  <c r="C62" i="162"/>
  <c r="F61" i="162"/>
  <c r="F60" i="162"/>
  <c r="H57" i="162"/>
  <c r="H56" i="162"/>
  <c r="H55" i="162"/>
  <c r="F55" i="162"/>
  <c r="G55" i="162"/>
  <c r="B47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47" i="162"/>
  <c r="D47" i="162"/>
  <c r="I46" i="162"/>
  <c r="J46" i="162"/>
  <c r="F46" i="162"/>
  <c r="C46" i="162"/>
  <c r="D46" i="162"/>
  <c r="G45" i="162"/>
  <c r="E45" i="162"/>
  <c r="H45" i="162"/>
  <c r="I45" i="162"/>
  <c r="J45" i="162"/>
  <c r="F45" i="162"/>
  <c r="C45" i="162"/>
  <c r="D45" i="162"/>
  <c r="I44" i="162"/>
  <c r="J44" i="162"/>
  <c r="F44" i="162"/>
  <c r="C44" i="162"/>
  <c r="D44" i="162"/>
  <c r="I43" i="162"/>
  <c r="J43" i="162"/>
  <c r="F43" i="162"/>
  <c r="C43" i="162"/>
  <c r="D43" i="162"/>
  <c r="I42" i="162"/>
  <c r="J42" i="162"/>
  <c r="F42" i="162"/>
  <c r="C42" i="162"/>
  <c r="D42" i="162"/>
  <c r="I41" i="162"/>
  <c r="J41" i="162"/>
  <c r="F41" i="162"/>
  <c r="C41" i="162"/>
  <c r="D41" i="162"/>
  <c r="I40" i="162"/>
  <c r="J40" i="162"/>
  <c r="F40" i="162"/>
  <c r="C40" i="162"/>
  <c r="D40" i="162"/>
  <c r="I39" i="162"/>
  <c r="J39" i="162"/>
  <c r="F39" i="162"/>
  <c r="C39" i="162"/>
  <c r="D39" i="162"/>
  <c r="I38" i="162"/>
  <c r="J38" i="162"/>
  <c r="F38" i="162"/>
  <c r="C38" i="162"/>
  <c r="D38" i="162"/>
  <c r="I37" i="162"/>
  <c r="J37" i="162"/>
  <c r="F37" i="162"/>
  <c r="C37" i="162"/>
  <c r="D37" i="162"/>
  <c r="I36" i="162"/>
  <c r="J36" i="162"/>
  <c r="F36" i="162"/>
  <c r="C36" i="162"/>
  <c r="D36" i="162"/>
  <c r="I35" i="162"/>
  <c r="J35" i="162"/>
  <c r="F35" i="162"/>
  <c r="C35" i="162"/>
  <c r="D35" i="162"/>
  <c r="I34" i="162"/>
  <c r="J34" i="162"/>
  <c r="F34" i="162"/>
  <c r="C34" i="162"/>
  <c r="D34" i="162"/>
  <c r="I33" i="162"/>
  <c r="J33" i="162"/>
  <c r="F33" i="162"/>
  <c r="C33" i="162"/>
  <c r="D33" i="162"/>
  <c r="I32" i="162"/>
  <c r="J32" i="162"/>
  <c r="F32" i="162"/>
  <c r="C32" i="162"/>
  <c r="D32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C18" i="162"/>
  <c r="D18" i="162"/>
  <c r="R17" i="162"/>
  <c r="P17" i="162"/>
  <c r="O17" i="162"/>
  <c r="M17" i="162"/>
  <c r="I17" i="162"/>
  <c r="J17" i="162"/>
  <c r="F17" i="162"/>
  <c r="C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B11" i="153"/>
  <c r="I2" i="159"/>
  <c r="J2" i="159"/>
  <c r="D2" i="159"/>
  <c r="E2" i="159"/>
  <c r="F2" i="159"/>
  <c r="C2" i="159"/>
  <c r="I3" i="159"/>
  <c r="J3" i="159"/>
  <c r="D3" i="159"/>
  <c r="E3" i="159"/>
  <c r="F3" i="159"/>
  <c r="C3" i="159"/>
  <c r="I4" i="159"/>
  <c r="J4" i="159"/>
  <c r="D4" i="159"/>
  <c r="E4" i="159"/>
  <c r="F4" i="159"/>
  <c r="C4" i="159"/>
  <c r="I5" i="159"/>
  <c r="J5" i="159"/>
  <c r="D5" i="159"/>
  <c r="E5" i="159"/>
  <c r="F5" i="159"/>
  <c r="C5" i="159"/>
  <c r="I6" i="159"/>
  <c r="J6" i="159"/>
  <c r="D6" i="159"/>
  <c r="E6" i="159"/>
  <c r="F6" i="159"/>
  <c r="C6" i="159"/>
  <c r="I7" i="159"/>
  <c r="J7" i="159"/>
  <c r="D7" i="159"/>
  <c r="E7" i="159"/>
  <c r="F7" i="159"/>
  <c r="C7" i="159"/>
  <c r="I8" i="159"/>
  <c r="J8" i="159"/>
  <c r="D8" i="159"/>
  <c r="E8" i="159"/>
  <c r="F8" i="159"/>
  <c r="C8" i="159"/>
  <c r="I9" i="159"/>
  <c r="J9" i="159"/>
  <c r="D9" i="159"/>
  <c r="E9" i="159"/>
  <c r="F9" i="159"/>
  <c r="C9" i="159"/>
  <c r="I10" i="159"/>
  <c r="J10" i="159"/>
  <c r="D10" i="159"/>
  <c r="E10" i="159"/>
  <c r="F10" i="159"/>
  <c r="C10" i="159"/>
  <c r="I11" i="159"/>
  <c r="J11" i="159"/>
  <c r="D11" i="159"/>
  <c r="E11" i="159"/>
  <c r="F11" i="159"/>
  <c r="C11" i="159"/>
  <c r="I12" i="159"/>
  <c r="J12" i="159"/>
  <c r="D12" i="159"/>
  <c r="E12" i="159"/>
  <c r="F12" i="159"/>
  <c r="C12" i="159"/>
  <c r="I13" i="159"/>
  <c r="J13" i="159"/>
  <c r="D13" i="159"/>
  <c r="E13" i="159"/>
  <c r="F13" i="159"/>
  <c r="C13" i="159"/>
  <c r="I14" i="159"/>
  <c r="J14" i="159"/>
  <c r="D14" i="159"/>
  <c r="E14" i="159"/>
  <c r="F14" i="159"/>
  <c r="C14" i="159"/>
  <c r="I15" i="159"/>
  <c r="J15" i="159"/>
  <c r="D15" i="159"/>
  <c r="E15" i="159"/>
  <c r="F15" i="159"/>
  <c r="C15" i="159"/>
  <c r="I16" i="159"/>
  <c r="J16" i="159"/>
  <c r="D16" i="159"/>
  <c r="E16" i="159"/>
  <c r="F16" i="159"/>
  <c r="C16" i="159"/>
  <c r="I17" i="159"/>
  <c r="J17" i="159"/>
  <c r="D17" i="159"/>
  <c r="E17" i="159"/>
  <c r="F17" i="159"/>
  <c r="C17" i="159"/>
  <c r="I18" i="159"/>
  <c r="J18" i="159"/>
  <c r="D18" i="159"/>
  <c r="E18" i="159"/>
  <c r="F18" i="159"/>
  <c r="C18" i="159"/>
  <c r="I19" i="159"/>
  <c r="J19" i="159"/>
  <c r="D19" i="159"/>
  <c r="E19" i="159"/>
  <c r="F19" i="159"/>
  <c r="C19" i="159"/>
  <c r="I20" i="159"/>
  <c r="J20" i="159"/>
  <c r="D20" i="159"/>
  <c r="E20" i="159"/>
  <c r="F20" i="159"/>
  <c r="C20" i="159"/>
  <c r="I21" i="159"/>
  <c r="J21" i="159"/>
  <c r="D21" i="159"/>
  <c r="E21" i="159"/>
  <c r="F21" i="159"/>
  <c r="C21" i="159"/>
  <c r="I22" i="159"/>
  <c r="J22" i="159"/>
  <c r="D22" i="159"/>
  <c r="E22" i="159"/>
  <c r="F22" i="159"/>
  <c r="C22" i="159"/>
  <c r="I23" i="159"/>
  <c r="J23" i="159"/>
  <c r="D23" i="159"/>
  <c r="E23" i="159"/>
  <c r="F23" i="159"/>
  <c r="C23" i="159"/>
  <c r="I24" i="159"/>
  <c r="J24" i="159"/>
  <c r="D24" i="159"/>
  <c r="E24" i="159"/>
  <c r="F24" i="159"/>
  <c r="C24" i="159"/>
  <c r="I25" i="159"/>
  <c r="J25" i="159"/>
  <c r="D25" i="159"/>
  <c r="E25" i="159"/>
  <c r="F25" i="159"/>
  <c r="C25" i="159"/>
  <c r="I26" i="159"/>
  <c r="J26" i="159"/>
  <c r="D26" i="159"/>
  <c r="E26" i="159"/>
  <c r="F26" i="159"/>
  <c r="C26" i="159"/>
  <c r="I27" i="159"/>
  <c r="J27" i="159"/>
  <c r="D27" i="159"/>
  <c r="E27" i="159"/>
  <c r="F27" i="159"/>
  <c r="C27" i="159"/>
  <c r="I28" i="159"/>
  <c r="J28" i="159"/>
  <c r="D28" i="159"/>
  <c r="E28" i="159"/>
  <c r="F28" i="159"/>
  <c r="C28" i="159"/>
  <c r="I29" i="159"/>
  <c r="J29" i="159"/>
  <c r="D29" i="159"/>
  <c r="E29" i="159"/>
  <c r="F29" i="159"/>
  <c r="C29" i="159"/>
  <c r="I30" i="159"/>
  <c r="J30" i="159"/>
  <c r="D30" i="159"/>
  <c r="E30" i="159"/>
  <c r="F30" i="159"/>
  <c r="C30" i="159"/>
  <c r="I31" i="159"/>
  <c r="J31" i="159"/>
  <c r="D31" i="159"/>
  <c r="E31" i="159"/>
  <c r="F31" i="159"/>
  <c r="C31" i="159"/>
  <c r="I32" i="159"/>
  <c r="J32" i="159"/>
  <c r="D32" i="159"/>
  <c r="E32" i="159"/>
  <c r="F32" i="159"/>
  <c r="C32" i="159"/>
  <c r="I33" i="159"/>
  <c r="J33" i="159"/>
  <c r="D33" i="159"/>
  <c r="E33" i="159"/>
  <c r="F33" i="159"/>
  <c r="C33" i="159"/>
  <c r="I34" i="159"/>
  <c r="J34" i="159"/>
  <c r="D34" i="159"/>
  <c r="E34" i="159"/>
  <c r="F34" i="159"/>
  <c r="C34" i="159"/>
  <c r="I35" i="159"/>
  <c r="J35" i="159"/>
  <c r="D35" i="159"/>
  <c r="E35" i="159"/>
  <c r="F35" i="159"/>
  <c r="C35" i="159"/>
  <c r="I36" i="159"/>
  <c r="J36" i="159"/>
  <c r="D36" i="159"/>
  <c r="E36" i="159"/>
  <c r="F36" i="159"/>
  <c r="C36" i="159"/>
  <c r="I37" i="159"/>
  <c r="J37" i="159"/>
  <c r="D37" i="159"/>
  <c r="E37" i="159"/>
  <c r="F37" i="159"/>
  <c r="C37" i="159"/>
  <c r="I38" i="159"/>
  <c r="J38" i="159"/>
  <c r="D38" i="159"/>
  <c r="E38" i="159"/>
  <c r="F38" i="159"/>
  <c r="C38" i="159"/>
  <c r="I39" i="159"/>
  <c r="J39" i="159"/>
  <c r="D39" i="159"/>
  <c r="E39" i="159"/>
  <c r="F39" i="159"/>
  <c r="C39" i="159"/>
  <c r="I40" i="159"/>
  <c r="J40" i="159"/>
  <c r="D40" i="159"/>
  <c r="E40" i="159"/>
  <c r="F40" i="159"/>
  <c r="C40" i="159"/>
  <c r="I41" i="159"/>
  <c r="J41" i="159"/>
  <c r="D41" i="159"/>
  <c r="E41" i="159"/>
  <c r="F41" i="159"/>
  <c r="C41" i="159"/>
  <c r="I42" i="159"/>
  <c r="D42" i="159"/>
  <c r="J42" i="159"/>
  <c r="E42" i="159"/>
  <c r="F42" i="159"/>
  <c r="C42" i="159"/>
  <c r="I43" i="159"/>
  <c r="D43" i="159"/>
  <c r="J43" i="159"/>
  <c r="E43" i="159"/>
  <c r="F43" i="159"/>
  <c r="C43" i="159"/>
  <c r="I44" i="159"/>
  <c r="D44" i="159"/>
  <c r="J44" i="159"/>
  <c r="E44" i="159"/>
  <c r="F44" i="159"/>
  <c r="C44" i="159"/>
  <c r="I45" i="159"/>
  <c r="D45" i="159"/>
  <c r="J45" i="159"/>
  <c r="E45" i="159"/>
  <c r="F45" i="159"/>
  <c r="C45" i="159"/>
  <c r="I46" i="159"/>
  <c r="D46" i="159"/>
  <c r="J46" i="159"/>
  <c r="E46" i="159"/>
  <c r="F46" i="159"/>
  <c r="C46" i="159"/>
  <c r="I47" i="159"/>
  <c r="D47" i="159"/>
  <c r="J47" i="159"/>
  <c r="E47" i="159"/>
  <c r="F47" i="159"/>
  <c r="C47" i="159"/>
  <c r="I48" i="159"/>
  <c r="D48" i="159"/>
  <c r="J48" i="159"/>
  <c r="E48" i="159"/>
  <c r="F48" i="159"/>
  <c r="C48" i="159"/>
  <c r="I49" i="159"/>
  <c r="D49" i="159"/>
  <c r="J49" i="159"/>
  <c r="E49" i="159"/>
  <c r="F49" i="159"/>
  <c r="C49" i="159"/>
  <c r="I50" i="159"/>
  <c r="D50" i="159"/>
  <c r="J50" i="159"/>
  <c r="E50" i="159"/>
  <c r="F50" i="159"/>
  <c r="C50" i="159"/>
  <c r="I51" i="159"/>
  <c r="D51" i="159"/>
  <c r="J51" i="159"/>
  <c r="E51" i="159"/>
  <c r="F51" i="159"/>
  <c r="C51" i="159"/>
  <c r="I52" i="159"/>
  <c r="D52" i="159"/>
  <c r="J52" i="159"/>
  <c r="E52" i="159"/>
  <c r="F52" i="159"/>
  <c r="C52" i="159"/>
  <c r="I53" i="159"/>
  <c r="D53" i="159"/>
  <c r="J53" i="159"/>
  <c r="E53" i="159"/>
  <c r="F53" i="159"/>
  <c r="C53" i="159"/>
  <c r="I54" i="159"/>
  <c r="D54" i="159"/>
  <c r="J54" i="159"/>
  <c r="E54" i="159"/>
  <c r="F54" i="159"/>
  <c r="C54" i="159"/>
  <c r="I55" i="159"/>
  <c r="D55" i="159"/>
  <c r="J55" i="159"/>
  <c r="E55" i="159"/>
  <c r="F55" i="159"/>
  <c r="C55" i="159"/>
  <c r="I56" i="159"/>
  <c r="D56" i="159"/>
  <c r="J56" i="159"/>
  <c r="E56" i="159"/>
  <c r="F56" i="159"/>
  <c r="C56" i="159"/>
  <c r="I57" i="159"/>
  <c r="D57" i="159"/>
  <c r="J57" i="159"/>
  <c r="E57" i="159"/>
  <c r="F57" i="159"/>
  <c r="C57" i="159"/>
  <c r="I58" i="159"/>
  <c r="D58" i="159"/>
  <c r="J58" i="159"/>
  <c r="E58" i="159"/>
  <c r="F58" i="159"/>
  <c r="C58" i="159"/>
  <c r="I59" i="159"/>
  <c r="D59" i="159"/>
  <c r="J59" i="159"/>
  <c r="E59" i="159"/>
  <c r="F59" i="159"/>
  <c r="C59" i="159"/>
  <c r="I60" i="159"/>
  <c r="D60" i="159"/>
  <c r="J60" i="159"/>
  <c r="E60" i="159"/>
  <c r="F60" i="159"/>
  <c r="C60" i="159"/>
  <c r="I61" i="159"/>
  <c r="D61" i="159"/>
  <c r="J61" i="159"/>
  <c r="E61" i="159"/>
  <c r="F61" i="159"/>
  <c r="C61" i="159"/>
  <c r="I62" i="159"/>
  <c r="D62" i="159"/>
  <c r="J62" i="159"/>
  <c r="E62" i="159"/>
  <c r="F62" i="159"/>
  <c r="C62" i="159"/>
  <c r="I63" i="159"/>
  <c r="D63" i="159"/>
  <c r="J63" i="159"/>
  <c r="E63" i="159"/>
  <c r="F63" i="159"/>
  <c r="C63" i="159"/>
  <c r="I64" i="159"/>
  <c r="D64" i="159"/>
  <c r="J64" i="159"/>
  <c r="E64" i="159"/>
  <c r="F64" i="159"/>
  <c r="C64" i="159"/>
  <c r="I65" i="159"/>
  <c r="D65" i="159"/>
  <c r="J65" i="159"/>
  <c r="E65" i="159"/>
  <c r="F65" i="159"/>
  <c r="C65" i="159"/>
  <c r="I66" i="159"/>
  <c r="D66" i="159"/>
  <c r="J66" i="159"/>
  <c r="E66" i="159"/>
  <c r="F66" i="159"/>
  <c r="C66" i="159"/>
  <c r="I67" i="159"/>
  <c r="D67" i="159"/>
  <c r="J67" i="159"/>
  <c r="E67" i="159"/>
  <c r="F67" i="159"/>
  <c r="C67" i="159"/>
  <c r="I68" i="159"/>
  <c r="D68" i="159"/>
  <c r="J68" i="159"/>
  <c r="E68" i="159"/>
  <c r="F68" i="159"/>
  <c r="C68" i="159"/>
  <c r="I69" i="159"/>
  <c r="D69" i="159"/>
  <c r="J69" i="159"/>
  <c r="E69" i="159"/>
  <c r="F69" i="159"/>
  <c r="C69" i="159"/>
  <c r="I70" i="159"/>
  <c r="D70" i="159"/>
  <c r="J70" i="159"/>
  <c r="E70" i="159"/>
  <c r="F70" i="159"/>
  <c r="C70" i="159"/>
  <c r="I71" i="159"/>
  <c r="D71" i="159"/>
  <c r="J71" i="159"/>
  <c r="E71" i="159"/>
  <c r="F71" i="159"/>
  <c r="C71" i="159"/>
  <c r="I72" i="159"/>
  <c r="D72" i="159"/>
  <c r="J72" i="159"/>
  <c r="E72" i="159"/>
  <c r="F72" i="159"/>
  <c r="C72" i="159"/>
  <c r="I73" i="159"/>
  <c r="D73" i="159"/>
  <c r="J73" i="159"/>
  <c r="E73" i="159"/>
  <c r="F73" i="159"/>
  <c r="C73" i="159"/>
  <c r="I74" i="159"/>
  <c r="D74" i="159"/>
  <c r="J74" i="159"/>
  <c r="E74" i="159"/>
  <c r="F74" i="159"/>
  <c r="C74" i="159"/>
  <c r="I75" i="159"/>
  <c r="D75" i="159"/>
  <c r="J75" i="159"/>
  <c r="E75" i="159"/>
  <c r="F75" i="159"/>
  <c r="C75" i="159"/>
  <c r="I76" i="159"/>
  <c r="D76" i="159"/>
  <c r="J76" i="159"/>
  <c r="E76" i="159"/>
  <c r="F76" i="159"/>
  <c r="C76" i="159"/>
  <c r="I77" i="159"/>
  <c r="D77" i="159"/>
  <c r="J77" i="159"/>
  <c r="E77" i="159"/>
  <c r="F77" i="159"/>
  <c r="C77" i="159"/>
  <c r="I78" i="159"/>
  <c r="D78" i="159"/>
  <c r="J78" i="159"/>
  <c r="E78" i="159"/>
  <c r="F78" i="159"/>
  <c r="C78" i="159"/>
  <c r="I79" i="159"/>
  <c r="D79" i="159"/>
  <c r="J79" i="159"/>
  <c r="E79" i="159"/>
  <c r="F79" i="159"/>
  <c r="C79" i="159"/>
  <c r="I80" i="159"/>
  <c r="D80" i="159"/>
  <c r="J80" i="159"/>
  <c r="E80" i="159"/>
  <c r="F80" i="159"/>
  <c r="C80" i="159"/>
  <c r="I81" i="159"/>
  <c r="D81" i="159"/>
  <c r="J81" i="159"/>
  <c r="E81" i="159"/>
  <c r="F81" i="159"/>
  <c r="C81" i="159"/>
  <c r="I82" i="159"/>
  <c r="D82" i="159"/>
  <c r="J82" i="159"/>
  <c r="E82" i="159"/>
  <c r="F82" i="159"/>
  <c r="C82" i="159"/>
  <c r="I83" i="159"/>
  <c r="D83" i="159"/>
  <c r="J83" i="159"/>
  <c r="E83" i="159"/>
  <c r="F83" i="159"/>
  <c r="C83" i="159"/>
  <c r="I84" i="159"/>
  <c r="D84" i="159"/>
  <c r="J84" i="159"/>
  <c r="E84" i="159"/>
  <c r="F84" i="159"/>
  <c r="C84" i="159"/>
  <c r="I85" i="159"/>
  <c r="D85" i="159"/>
  <c r="J85" i="159"/>
  <c r="E85" i="159"/>
  <c r="F85" i="159"/>
  <c r="C85" i="159"/>
  <c r="I86" i="159"/>
  <c r="D86" i="159"/>
  <c r="J86" i="159"/>
  <c r="E86" i="159"/>
  <c r="F86" i="159"/>
  <c r="C86" i="159"/>
  <c r="I87" i="159"/>
  <c r="D87" i="159"/>
  <c r="J87" i="159"/>
  <c r="E87" i="159"/>
  <c r="F87" i="159"/>
  <c r="C87" i="159"/>
  <c r="I88" i="159"/>
  <c r="D88" i="159"/>
  <c r="J88" i="159"/>
  <c r="E88" i="159"/>
  <c r="F88" i="159"/>
  <c r="C88" i="159"/>
  <c r="I89" i="159"/>
  <c r="D89" i="159"/>
  <c r="J89" i="159"/>
  <c r="E89" i="159"/>
  <c r="F89" i="159"/>
  <c r="C89" i="159"/>
  <c r="I90" i="159"/>
  <c r="D90" i="159"/>
  <c r="J90" i="159"/>
  <c r="E90" i="159"/>
  <c r="F90" i="159"/>
  <c r="C90" i="159"/>
  <c r="I91" i="159"/>
  <c r="D91" i="159"/>
  <c r="J91" i="159"/>
  <c r="E91" i="159"/>
  <c r="F91" i="159"/>
  <c r="C91" i="159"/>
  <c r="I92" i="159"/>
  <c r="D92" i="159"/>
  <c r="J92" i="159"/>
  <c r="E92" i="159"/>
  <c r="F92" i="159"/>
  <c r="C92" i="159"/>
  <c r="I93" i="159"/>
  <c r="D93" i="159"/>
  <c r="J93" i="159"/>
  <c r="E93" i="159"/>
  <c r="F93" i="159"/>
  <c r="C93" i="159"/>
  <c r="I94" i="159"/>
  <c r="D94" i="159"/>
  <c r="J94" i="159"/>
  <c r="E94" i="159"/>
  <c r="F94" i="159"/>
  <c r="C94" i="159"/>
  <c r="I95" i="159"/>
  <c r="D95" i="159"/>
  <c r="J95" i="159"/>
  <c r="E95" i="159"/>
  <c r="F95" i="159"/>
  <c r="C95" i="159"/>
  <c r="I96" i="159"/>
  <c r="D96" i="159"/>
  <c r="J96" i="159"/>
  <c r="E96" i="159"/>
  <c r="F96" i="159"/>
  <c r="C96" i="159"/>
  <c r="I97" i="159"/>
  <c r="D97" i="159"/>
  <c r="J97" i="159"/>
  <c r="E97" i="159"/>
  <c r="F97" i="159"/>
  <c r="C97" i="159"/>
  <c r="I98" i="159"/>
  <c r="D98" i="159"/>
  <c r="J98" i="159"/>
  <c r="E98" i="159"/>
  <c r="F98" i="159"/>
  <c r="C98" i="159"/>
  <c r="I99" i="159"/>
  <c r="D99" i="159"/>
  <c r="J99" i="159"/>
  <c r="E99" i="159"/>
  <c r="F99" i="159"/>
  <c r="C99" i="159"/>
  <c r="I100" i="159"/>
  <c r="D100" i="159"/>
  <c r="J100" i="159"/>
  <c r="E100" i="159"/>
  <c r="F100" i="159"/>
  <c r="C100" i="159"/>
  <c r="I101" i="159"/>
  <c r="D101" i="159"/>
  <c r="J101" i="159"/>
  <c r="E101" i="159"/>
  <c r="F101" i="159"/>
  <c r="C101" i="159"/>
  <c r="I102" i="159"/>
  <c r="D102" i="159"/>
  <c r="J102" i="159"/>
  <c r="E102" i="159"/>
  <c r="F102" i="159"/>
  <c r="C102" i="159"/>
  <c r="I103" i="159"/>
  <c r="D103" i="159"/>
  <c r="J103" i="159"/>
  <c r="E103" i="159"/>
  <c r="F103" i="159"/>
  <c r="C103" i="159"/>
  <c r="I104" i="159"/>
  <c r="D104" i="159"/>
  <c r="J104" i="159"/>
  <c r="E104" i="159"/>
  <c r="F104" i="159"/>
  <c r="C104" i="159"/>
  <c r="I105" i="159"/>
  <c r="D105" i="159"/>
  <c r="J105" i="159"/>
  <c r="E105" i="159"/>
  <c r="F105" i="159"/>
  <c r="C105" i="159"/>
  <c r="I106" i="159"/>
  <c r="D106" i="159"/>
  <c r="J106" i="159"/>
  <c r="E106" i="159"/>
  <c r="F106" i="159"/>
  <c r="C106" i="159"/>
  <c r="I107" i="159"/>
  <c r="D107" i="159"/>
  <c r="J107" i="159"/>
  <c r="E107" i="159"/>
  <c r="F107" i="159"/>
  <c r="C107" i="159"/>
  <c r="I108" i="159"/>
  <c r="D108" i="159"/>
  <c r="J108" i="159"/>
  <c r="E108" i="159"/>
  <c r="F108" i="159"/>
  <c r="C108" i="159"/>
  <c r="I109" i="159"/>
  <c r="D109" i="159"/>
  <c r="J109" i="159"/>
  <c r="E109" i="159"/>
  <c r="F109" i="159"/>
  <c r="C109" i="159"/>
  <c r="I110" i="159"/>
  <c r="D110" i="159"/>
  <c r="J110" i="159"/>
  <c r="E110" i="159"/>
  <c r="F110" i="159"/>
  <c r="C110" i="159"/>
  <c r="I111" i="159"/>
  <c r="D111" i="159"/>
  <c r="J111" i="159"/>
  <c r="E111" i="159"/>
  <c r="F111" i="159"/>
  <c r="C111" i="159"/>
  <c r="I112" i="159"/>
  <c r="D112" i="159"/>
  <c r="J112" i="159"/>
  <c r="E112" i="159"/>
  <c r="F112" i="159"/>
  <c r="C112" i="159"/>
  <c r="I113" i="159"/>
  <c r="D113" i="159"/>
  <c r="J113" i="159"/>
  <c r="E113" i="159"/>
  <c r="F113" i="159"/>
  <c r="C113" i="159"/>
  <c r="I114" i="159"/>
  <c r="D114" i="159"/>
  <c r="J114" i="159"/>
  <c r="E114" i="159"/>
  <c r="F114" i="159"/>
  <c r="C114" i="159"/>
  <c r="I115" i="159"/>
  <c r="D115" i="159"/>
  <c r="J115" i="159"/>
  <c r="E115" i="159"/>
  <c r="F115" i="159"/>
  <c r="C115" i="159"/>
  <c r="I116" i="159"/>
  <c r="D116" i="159"/>
  <c r="J116" i="159"/>
  <c r="E116" i="159"/>
  <c r="F116" i="159"/>
  <c r="C116" i="159"/>
  <c r="I117" i="159"/>
  <c r="D117" i="159"/>
  <c r="J117" i="159"/>
  <c r="E117" i="159"/>
  <c r="F117" i="159"/>
  <c r="C117" i="159"/>
  <c r="I118" i="159"/>
  <c r="D118" i="159"/>
  <c r="J118" i="159"/>
  <c r="E118" i="159"/>
  <c r="F118" i="159"/>
  <c r="C118" i="159"/>
  <c r="I119" i="159"/>
  <c r="D119" i="159"/>
  <c r="J119" i="159"/>
  <c r="E119" i="159"/>
  <c r="F119" i="159"/>
  <c r="C119" i="159"/>
  <c r="I120" i="159"/>
  <c r="D120" i="159"/>
  <c r="J120" i="159"/>
  <c r="E120" i="159"/>
  <c r="F120" i="159"/>
  <c r="C120" i="159"/>
  <c r="I121" i="159"/>
  <c r="D121" i="159"/>
  <c r="J121" i="159"/>
  <c r="E121" i="159"/>
  <c r="F121" i="159"/>
  <c r="C121" i="159"/>
  <c r="I122" i="159"/>
  <c r="D122" i="159"/>
  <c r="J122" i="159"/>
  <c r="E122" i="159"/>
  <c r="F122" i="159"/>
  <c r="C122" i="159"/>
  <c r="I123" i="159"/>
  <c r="D123" i="159"/>
  <c r="J123" i="159"/>
  <c r="E123" i="159"/>
  <c r="F123" i="159"/>
  <c r="C123" i="159"/>
  <c r="I124" i="159"/>
  <c r="D124" i="159"/>
  <c r="J124" i="159"/>
  <c r="E124" i="159"/>
  <c r="F124" i="159"/>
  <c r="C124" i="159"/>
  <c r="I125" i="159"/>
  <c r="D125" i="159"/>
  <c r="J125" i="159"/>
  <c r="E125" i="159"/>
  <c r="F125" i="159"/>
  <c r="C125" i="159"/>
  <c r="I126" i="159"/>
  <c r="D126" i="159"/>
  <c r="J126" i="159"/>
  <c r="E126" i="159"/>
  <c r="F126" i="159"/>
  <c r="C126" i="159"/>
  <c r="I127" i="159"/>
  <c r="D127" i="159"/>
  <c r="J127" i="159"/>
  <c r="E127" i="159"/>
  <c r="F127" i="159"/>
  <c r="C127" i="159"/>
  <c r="I128" i="159"/>
  <c r="D128" i="159"/>
  <c r="J128" i="159"/>
  <c r="E128" i="159"/>
  <c r="F128" i="159"/>
  <c r="C128" i="159"/>
  <c r="I129" i="159"/>
  <c r="D129" i="159"/>
  <c r="J129" i="159"/>
  <c r="E129" i="159"/>
  <c r="F129" i="159"/>
  <c r="C129" i="159"/>
  <c r="I130" i="159"/>
  <c r="D130" i="159"/>
  <c r="J130" i="159"/>
  <c r="E130" i="159"/>
  <c r="F130" i="159"/>
  <c r="C130" i="159"/>
  <c r="I131" i="159"/>
  <c r="D131" i="159"/>
  <c r="J131" i="159"/>
  <c r="E131" i="159"/>
  <c r="F131" i="159"/>
  <c r="C131" i="159"/>
  <c r="I132" i="159"/>
  <c r="D132" i="159"/>
  <c r="J132" i="159"/>
  <c r="E132" i="159"/>
  <c r="F132" i="159"/>
  <c r="C132" i="159"/>
  <c r="I133" i="159"/>
  <c r="D133" i="159"/>
  <c r="J133" i="159"/>
  <c r="E133" i="159"/>
  <c r="F133" i="159"/>
  <c r="C133" i="159"/>
  <c r="I134" i="159"/>
  <c r="D134" i="159"/>
  <c r="J134" i="159"/>
  <c r="E134" i="159"/>
  <c r="F134" i="159"/>
  <c r="C134" i="159"/>
  <c r="I135" i="159"/>
  <c r="D135" i="159"/>
  <c r="J135" i="159"/>
  <c r="E135" i="159"/>
  <c r="F135" i="159"/>
  <c r="C135" i="159"/>
  <c r="I136" i="159"/>
  <c r="D136" i="159"/>
  <c r="J136" i="159"/>
  <c r="E136" i="159"/>
  <c r="F136" i="159"/>
  <c r="C136" i="159"/>
  <c r="I137" i="159"/>
  <c r="D137" i="159"/>
  <c r="J137" i="159"/>
  <c r="E137" i="159"/>
  <c r="F137" i="159"/>
  <c r="C137" i="159"/>
  <c r="I138" i="159"/>
  <c r="D138" i="159"/>
  <c r="J138" i="159"/>
  <c r="E138" i="159"/>
  <c r="F138" i="159"/>
  <c r="C138" i="159"/>
  <c r="I139" i="159"/>
  <c r="D139" i="159"/>
  <c r="J139" i="159"/>
  <c r="E139" i="159"/>
  <c r="F139" i="159"/>
  <c r="C139" i="159"/>
  <c r="I140" i="159"/>
  <c r="D140" i="159"/>
  <c r="J140" i="159"/>
  <c r="E140" i="159"/>
  <c r="F140" i="159"/>
  <c r="C140" i="159"/>
  <c r="I141" i="159"/>
  <c r="D141" i="159"/>
  <c r="J141" i="159"/>
  <c r="E141" i="159"/>
  <c r="F141" i="159"/>
  <c r="C141" i="159"/>
  <c r="I142" i="159"/>
  <c r="D142" i="159"/>
  <c r="J142" i="159"/>
  <c r="E142" i="159"/>
  <c r="F142" i="159"/>
  <c r="C142" i="159"/>
  <c r="I143" i="159"/>
  <c r="D143" i="159"/>
  <c r="J143" i="159"/>
  <c r="E143" i="159"/>
  <c r="F143" i="159"/>
  <c r="C143" i="159"/>
  <c r="I144" i="159"/>
  <c r="D144" i="159"/>
  <c r="J144" i="159"/>
  <c r="E144" i="159"/>
  <c r="F144" i="159"/>
  <c r="C144" i="159"/>
  <c r="I145" i="159"/>
  <c r="D145" i="159"/>
  <c r="J145" i="159"/>
  <c r="E145" i="159"/>
  <c r="F145" i="159"/>
  <c r="C145" i="159"/>
  <c r="I146" i="159"/>
  <c r="D146" i="159"/>
  <c r="J146" i="159"/>
  <c r="E146" i="159"/>
  <c r="F146" i="159"/>
  <c r="C146" i="159"/>
  <c r="I147" i="159"/>
  <c r="D147" i="159"/>
  <c r="J147" i="159"/>
  <c r="E147" i="159"/>
  <c r="F147" i="159"/>
  <c r="C147" i="159"/>
  <c r="I148" i="159"/>
  <c r="D148" i="159"/>
  <c r="J148" i="159"/>
  <c r="E148" i="159"/>
  <c r="F148" i="159"/>
  <c r="C148" i="159"/>
  <c r="I149" i="159"/>
  <c r="D149" i="159"/>
  <c r="J149" i="159"/>
  <c r="E149" i="159"/>
  <c r="F149" i="159"/>
  <c r="C149" i="159"/>
  <c r="I150" i="159"/>
  <c r="D150" i="159"/>
  <c r="J150" i="159"/>
  <c r="E150" i="159"/>
  <c r="F150" i="159"/>
  <c r="C150" i="159"/>
  <c r="I151" i="159"/>
  <c r="D151" i="159"/>
  <c r="J151" i="159"/>
  <c r="E151" i="159"/>
  <c r="F151" i="159"/>
  <c r="C151" i="159"/>
  <c r="I152" i="159"/>
  <c r="D152" i="159"/>
  <c r="J152" i="159"/>
  <c r="E152" i="159"/>
  <c r="F152" i="159"/>
  <c r="C152" i="159"/>
  <c r="I153" i="159"/>
  <c r="D153" i="159"/>
  <c r="J153" i="159"/>
  <c r="E153" i="159"/>
  <c r="F153" i="159"/>
  <c r="C153" i="159"/>
  <c r="I154" i="159"/>
  <c r="D154" i="159"/>
  <c r="J154" i="159"/>
  <c r="E154" i="159"/>
  <c r="F154" i="159"/>
  <c r="C154" i="159"/>
  <c r="I155" i="159"/>
  <c r="D155" i="159"/>
  <c r="J155" i="159"/>
  <c r="E155" i="159"/>
  <c r="F155" i="159"/>
  <c r="C155" i="159"/>
  <c r="I156" i="159"/>
  <c r="D156" i="159"/>
  <c r="J156" i="159"/>
  <c r="E156" i="159"/>
  <c r="F156" i="159"/>
  <c r="C156" i="159"/>
  <c r="I157" i="159"/>
  <c r="D157" i="159"/>
  <c r="J157" i="159"/>
  <c r="E157" i="159"/>
  <c r="F157" i="159"/>
  <c r="C157" i="159"/>
  <c r="I158" i="159"/>
  <c r="D158" i="159"/>
  <c r="J158" i="159"/>
  <c r="E158" i="159"/>
  <c r="F158" i="159"/>
  <c r="C158" i="159"/>
  <c r="I159" i="159"/>
  <c r="D159" i="159"/>
  <c r="J159" i="159"/>
  <c r="E159" i="159"/>
  <c r="F159" i="159"/>
  <c r="C159" i="159"/>
  <c r="I160" i="159"/>
  <c r="D160" i="159"/>
  <c r="J160" i="159"/>
  <c r="E160" i="159"/>
  <c r="F160" i="159"/>
  <c r="C160" i="159"/>
  <c r="I161" i="159"/>
  <c r="D161" i="159"/>
  <c r="J161" i="159"/>
  <c r="E161" i="159"/>
  <c r="F161" i="159"/>
  <c r="C161" i="159"/>
  <c r="I162" i="159"/>
  <c r="D162" i="159"/>
  <c r="J162" i="159"/>
  <c r="E162" i="159"/>
  <c r="F162" i="159"/>
  <c r="C162" i="159"/>
  <c r="I163" i="159"/>
  <c r="D163" i="159"/>
  <c r="J163" i="159"/>
  <c r="E163" i="159"/>
  <c r="F163" i="159"/>
  <c r="C163" i="159"/>
  <c r="I164" i="159"/>
  <c r="D164" i="159"/>
  <c r="J164" i="159"/>
  <c r="E164" i="159"/>
  <c r="F164" i="159"/>
  <c r="C164" i="159"/>
  <c r="I165" i="159"/>
  <c r="D165" i="159"/>
  <c r="J165" i="159"/>
  <c r="E165" i="159"/>
  <c r="F165" i="159"/>
  <c r="C165" i="159"/>
  <c r="I166" i="159"/>
  <c r="D166" i="159"/>
  <c r="J166" i="159"/>
  <c r="E166" i="159"/>
  <c r="F166" i="159"/>
  <c r="C166" i="159"/>
  <c r="I167" i="159"/>
  <c r="D167" i="159"/>
  <c r="J167" i="159"/>
  <c r="E167" i="159"/>
  <c r="F167" i="159"/>
  <c r="C167" i="159"/>
  <c r="I168" i="159"/>
  <c r="D168" i="159"/>
  <c r="J168" i="159"/>
  <c r="E168" i="159"/>
  <c r="F168" i="159"/>
  <c r="C168" i="159"/>
  <c r="I169" i="159"/>
  <c r="D169" i="159"/>
  <c r="J169" i="159"/>
  <c r="E169" i="159"/>
  <c r="F169" i="159"/>
  <c r="C169" i="159"/>
  <c r="I170" i="159"/>
  <c r="D170" i="159"/>
  <c r="J170" i="159"/>
  <c r="E170" i="159"/>
  <c r="F170" i="159"/>
  <c r="C170" i="159"/>
  <c r="I171" i="159"/>
  <c r="D171" i="159"/>
  <c r="J171" i="159"/>
  <c r="E171" i="159"/>
  <c r="F171" i="159"/>
  <c r="C171" i="159"/>
  <c r="I172" i="159"/>
  <c r="D172" i="159"/>
  <c r="J172" i="159"/>
  <c r="E172" i="159"/>
  <c r="F172" i="159"/>
  <c r="C172" i="159"/>
  <c r="I173" i="159"/>
  <c r="D173" i="159"/>
  <c r="J173" i="159"/>
  <c r="E173" i="159"/>
  <c r="F173" i="159"/>
  <c r="C173" i="159"/>
  <c r="I174" i="159"/>
  <c r="D174" i="159"/>
  <c r="J174" i="159"/>
  <c r="E174" i="159"/>
  <c r="F174" i="159"/>
  <c r="C174" i="159"/>
  <c r="I175" i="159"/>
  <c r="D175" i="159"/>
  <c r="J175" i="159"/>
  <c r="E175" i="159"/>
  <c r="F175" i="159"/>
  <c r="C175" i="159"/>
  <c r="I176" i="159"/>
  <c r="D176" i="159"/>
  <c r="J176" i="159"/>
  <c r="E176" i="159"/>
  <c r="F176" i="159"/>
  <c r="C176" i="159"/>
  <c r="I177" i="159"/>
  <c r="D177" i="159"/>
  <c r="J177" i="159"/>
  <c r="E177" i="159"/>
  <c r="F177" i="159"/>
  <c r="C177" i="159"/>
  <c r="I178" i="159"/>
  <c r="D178" i="159"/>
  <c r="J178" i="159"/>
  <c r="E178" i="159"/>
  <c r="F178" i="159"/>
  <c r="C178" i="159"/>
  <c r="I179" i="159"/>
  <c r="D179" i="159"/>
  <c r="J179" i="159"/>
  <c r="E179" i="159"/>
  <c r="F179" i="159"/>
  <c r="C179" i="159"/>
  <c r="I180" i="159"/>
  <c r="D180" i="159"/>
  <c r="J180" i="159"/>
  <c r="E180" i="159"/>
  <c r="F180" i="159"/>
  <c r="C180" i="159"/>
  <c r="I181" i="159"/>
  <c r="D181" i="159"/>
  <c r="J181" i="159"/>
  <c r="E181" i="159"/>
  <c r="F181" i="159"/>
  <c r="C181" i="159"/>
  <c r="I182" i="159"/>
  <c r="D182" i="159"/>
  <c r="J182" i="159"/>
  <c r="E182" i="159"/>
  <c r="F182" i="159"/>
  <c r="C182" i="159"/>
  <c r="I183" i="159"/>
  <c r="D183" i="159"/>
  <c r="J183" i="159"/>
  <c r="E183" i="159"/>
  <c r="F183" i="159"/>
  <c r="C183" i="159"/>
  <c r="I184" i="159"/>
  <c r="D184" i="159"/>
  <c r="J184" i="159"/>
  <c r="E184" i="159"/>
  <c r="F184" i="159"/>
  <c r="C184" i="159"/>
  <c r="I185" i="159"/>
  <c r="D185" i="159"/>
  <c r="J185" i="159"/>
  <c r="E185" i="159"/>
  <c r="F185" i="159"/>
  <c r="C185" i="159"/>
  <c r="I186" i="159"/>
  <c r="D186" i="159"/>
  <c r="J186" i="159"/>
  <c r="E186" i="159"/>
  <c r="F186" i="159"/>
  <c r="C186" i="159"/>
  <c r="I187" i="159"/>
  <c r="D187" i="159"/>
  <c r="J187" i="159"/>
  <c r="E187" i="159"/>
  <c r="F187" i="159"/>
  <c r="C187" i="159"/>
  <c r="I188" i="159"/>
  <c r="D188" i="159"/>
  <c r="J188" i="159"/>
  <c r="E188" i="159"/>
  <c r="F188" i="159"/>
  <c r="C188" i="159"/>
  <c r="I189" i="159"/>
  <c r="D189" i="159"/>
  <c r="J189" i="159"/>
  <c r="E189" i="159"/>
  <c r="F189" i="159"/>
  <c r="C189" i="159"/>
  <c r="I190" i="159"/>
  <c r="D190" i="159"/>
  <c r="J190" i="159"/>
  <c r="E190" i="159"/>
  <c r="F190" i="159"/>
  <c r="C190" i="159"/>
  <c r="I191" i="159"/>
  <c r="D191" i="159"/>
  <c r="J191" i="159"/>
  <c r="E191" i="159"/>
  <c r="F191" i="159"/>
  <c r="C191" i="159"/>
  <c r="I192" i="159"/>
  <c r="D192" i="159"/>
  <c r="J192" i="159"/>
  <c r="E192" i="159"/>
  <c r="F192" i="159"/>
  <c r="C192" i="159"/>
  <c r="I193" i="159"/>
  <c r="D193" i="159"/>
  <c r="J193" i="159"/>
  <c r="E193" i="159"/>
  <c r="F193" i="159"/>
  <c r="C193" i="159"/>
  <c r="I194" i="159"/>
  <c r="D194" i="159"/>
  <c r="J194" i="159"/>
  <c r="E194" i="159"/>
  <c r="F194" i="159"/>
  <c r="C194" i="159"/>
  <c r="I195" i="159"/>
  <c r="D195" i="159"/>
  <c r="J195" i="159"/>
  <c r="E195" i="159"/>
  <c r="F195" i="159"/>
  <c r="C195" i="159"/>
  <c r="I196" i="159"/>
  <c r="D196" i="159"/>
  <c r="J196" i="159"/>
  <c r="E196" i="159"/>
  <c r="F196" i="159"/>
  <c r="C196" i="159"/>
  <c r="I197" i="159"/>
  <c r="D197" i="159"/>
  <c r="J197" i="159"/>
  <c r="E197" i="159"/>
  <c r="F197" i="159"/>
  <c r="C197" i="159"/>
  <c r="I198" i="159"/>
  <c r="D198" i="159"/>
  <c r="J198" i="159"/>
  <c r="E198" i="159"/>
  <c r="F198" i="159"/>
  <c r="C198" i="159"/>
  <c r="I199" i="159"/>
  <c r="D199" i="159"/>
  <c r="J199" i="159"/>
  <c r="E199" i="159"/>
  <c r="F199" i="159"/>
  <c r="C199" i="159"/>
  <c r="I200" i="159"/>
  <c r="D200" i="159"/>
  <c r="J200" i="159"/>
  <c r="E200" i="159"/>
  <c r="F200" i="159"/>
  <c r="C200" i="159"/>
  <c r="I201" i="159"/>
  <c r="D201" i="159"/>
  <c r="J201" i="159"/>
  <c r="E201" i="159"/>
  <c r="F201" i="159"/>
  <c r="C201" i="159"/>
  <c r="I202" i="159"/>
  <c r="D202" i="159"/>
  <c r="J202" i="159"/>
  <c r="E202" i="159"/>
  <c r="F202" i="159"/>
  <c r="C202" i="159"/>
  <c r="I203" i="159"/>
  <c r="D203" i="159"/>
  <c r="J203" i="159"/>
  <c r="E203" i="159"/>
  <c r="F203" i="159"/>
  <c r="C203" i="159"/>
  <c r="I204" i="159"/>
  <c r="D204" i="159"/>
  <c r="J204" i="159"/>
  <c r="E204" i="159"/>
  <c r="F204" i="159"/>
  <c r="C204" i="159"/>
  <c r="I205" i="159"/>
  <c r="D205" i="159"/>
  <c r="J205" i="159"/>
  <c r="E205" i="159"/>
  <c r="F205" i="159"/>
  <c r="C205" i="159"/>
  <c r="I206" i="159"/>
  <c r="D206" i="159"/>
  <c r="J206" i="159"/>
  <c r="E206" i="159"/>
  <c r="F206" i="159"/>
  <c r="C206" i="159"/>
  <c r="I207" i="159"/>
  <c r="D207" i="159"/>
  <c r="J207" i="159"/>
  <c r="E207" i="159"/>
  <c r="F207" i="159"/>
  <c r="C207" i="159"/>
  <c r="I208" i="159"/>
  <c r="D208" i="159"/>
  <c r="J208" i="159"/>
  <c r="E208" i="159"/>
  <c r="F208" i="159"/>
  <c r="C208" i="159"/>
  <c r="I209" i="159"/>
  <c r="D209" i="159"/>
  <c r="J209" i="159"/>
  <c r="E209" i="159"/>
  <c r="F209" i="159"/>
  <c r="C209" i="159"/>
  <c r="I210" i="159"/>
  <c r="D210" i="159"/>
  <c r="J210" i="159"/>
  <c r="E210" i="159"/>
  <c r="F210" i="159"/>
  <c r="C210" i="159"/>
  <c r="I211" i="159"/>
  <c r="D211" i="159"/>
  <c r="J211" i="159"/>
  <c r="E211" i="159"/>
  <c r="F211" i="159"/>
  <c r="C211" i="159"/>
  <c r="I212" i="159"/>
  <c r="D212" i="159"/>
  <c r="J212" i="159"/>
  <c r="E212" i="159"/>
  <c r="F212" i="159"/>
  <c r="C212" i="159"/>
  <c r="I213" i="159"/>
  <c r="D213" i="159"/>
  <c r="J213" i="159"/>
  <c r="E213" i="159"/>
  <c r="F213" i="159"/>
  <c r="C213" i="159"/>
  <c r="I214" i="159"/>
  <c r="D214" i="159"/>
  <c r="J214" i="159"/>
  <c r="E214" i="159"/>
  <c r="F214" i="159"/>
  <c r="C214" i="159"/>
  <c r="I215" i="159"/>
  <c r="J215" i="159"/>
  <c r="D215" i="159"/>
  <c r="E215" i="159"/>
  <c r="F215" i="159"/>
  <c r="C215" i="159"/>
  <c r="I216" i="159"/>
  <c r="J216" i="159"/>
  <c r="D216" i="159"/>
  <c r="E216" i="159"/>
  <c r="F216" i="159"/>
  <c r="C216" i="159"/>
  <c r="I217" i="159"/>
  <c r="J217" i="159"/>
  <c r="D217" i="159"/>
  <c r="E217" i="159"/>
  <c r="F217" i="159"/>
  <c r="C217" i="159"/>
  <c r="I218" i="159"/>
  <c r="J218" i="159"/>
  <c r="D218" i="159"/>
  <c r="E218" i="159"/>
  <c r="F218" i="159"/>
  <c r="C218" i="159"/>
  <c r="I219" i="159"/>
  <c r="J219" i="159"/>
  <c r="D219" i="159"/>
  <c r="E219" i="159"/>
  <c r="F219" i="159"/>
  <c r="C219" i="159"/>
  <c r="I220" i="159"/>
  <c r="J220" i="159"/>
  <c r="D220" i="159"/>
  <c r="E220" i="159"/>
  <c r="F220" i="159"/>
  <c r="C220" i="159"/>
  <c r="I221" i="159"/>
  <c r="D221" i="159"/>
  <c r="J221" i="159"/>
  <c r="E221" i="159"/>
  <c r="F221" i="159"/>
  <c r="C221" i="159"/>
  <c r="I222" i="159"/>
  <c r="D222" i="159"/>
  <c r="J222" i="159"/>
  <c r="E222" i="159"/>
  <c r="F222" i="159"/>
  <c r="C222" i="159"/>
  <c r="I223" i="159"/>
  <c r="D223" i="159"/>
  <c r="J223" i="159"/>
  <c r="E223" i="159"/>
  <c r="F223" i="159"/>
  <c r="C223" i="159"/>
  <c r="I224" i="159"/>
  <c r="D224" i="159"/>
  <c r="J224" i="159"/>
  <c r="E224" i="159"/>
  <c r="F224" i="159"/>
  <c r="C224" i="159"/>
  <c r="I225" i="159"/>
  <c r="D225" i="159"/>
  <c r="J225" i="159"/>
  <c r="E225" i="159"/>
  <c r="F225" i="159"/>
  <c r="C225" i="159"/>
  <c r="I226" i="159"/>
  <c r="D226" i="159"/>
  <c r="J226" i="159"/>
  <c r="E226" i="159"/>
  <c r="F226" i="159"/>
  <c r="C226" i="159"/>
  <c r="I227" i="159"/>
  <c r="D227" i="159"/>
  <c r="J227" i="159"/>
  <c r="E227" i="159"/>
  <c r="F227" i="159"/>
  <c r="C227" i="159"/>
  <c r="I228" i="159"/>
  <c r="D228" i="159"/>
  <c r="J228" i="159"/>
  <c r="E228" i="159"/>
  <c r="F228" i="159"/>
  <c r="C228" i="159"/>
  <c r="I229" i="159"/>
  <c r="D229" i="159"/>
  <c r="J229" i="159"/>
  <c r="E229" i="159"/>
  <c r="F229" i="159"/>
  <c r="C229" i="159"/>
  <c r="I230" i="159"/>
  <c r="D230" i="159"/>
  <c r="J230" i="159"/>
  <c r="E230" i="159"/>
  <c r="F230" i="159"/>
  <c r="C230" i="159"/>
  <c r="I231" i="159"/>
  <c r="D231" i="159"/>
  <c r="J231" i="159"/>
  <c r="E231" i="159"/>
  <c r="F231" i="159"/>
  <c r="C231" i="159"/>
  <c r="I232" i="159"/>
  <c r="D232" i="159"/>
  <c r="J232" i="159"/>
  <c r="E232" i="159"/>
  <c r="F232" i="159"/>
  <c r="C232" i="159"/>
  <c r="I233" i="159"/>
  <c r="D233" i="159"/>
  <c r="J233" i="159"/>
  <c r="E233" i="159"/>
  <c r="F233" i="159"/>
  <c r="C233" i="159"/>
  <c r="I234" i="159"/>
  <c r="D234" i="159"/>
  <c r="J234" i="159"/>
  <c r="E234" i="159"/>
  <c r="F234" i="159"/>
  <c r="C234" i="159"/>
  <c r="I235" i="159"/>
  <c r="D235" i="159"/>
  <c r="J235" i="159"/>
  <c r="E235" i="159"/>
  <c r="F235" i="159"/>
  <c r="C235" i="159"/>
  <c r="I236" i="159"/>
  <c r="D236" i="159"/>
  <c r="J236" i="159"/>
  <c r="E236" i="159"/>
  <c r="F236" i="159"/>
  <c r="C236" i="159"/>
  <c r="I237" i="159"/>
  <c r="D237" i="159"/>
  <c r="J237" i="159"/>
  <c r="E237" i="159"/>
  <c r="F237" i="159"/>
  <c r="C237" i="159"/>
  <c r="I238" i="159"/>
  <c r="D238" i="159"/>
  <c r="J238" i="159"/>
  <c r="E238" i="159"/>
  <c r="F238" i="159"/>
  <c r="C238" i="159"/>
  <c r="I239" i="159"/>
  <c r="D239" i="159"/>
  <c r="J239" i="159"/>
  <c r="E239" i="159"/>
  <c r="F239" i="159"/>
  <c r="C239" i="159"/>
  <c r="I240" i="159"/>
  <c r="D240" i="159"/>
  <c r="J240" i="159"/>
  <c r="E240" i="159"/>
  <c r="F240" i="159"/>
  <c r="C240" i="159"/>
  <c r="I241" i="159"/>
  <c r="D241" i="159"/>
  <c r="J241" i="159"/>
  <c r="E241" i="159"/>
  <c r="F241" i="159"/>
  <c r="C241" i="159"/>
  <c r="I242" i="159"/>
  <c r="D242" i="159"/>
  <c r="J242" i="159"/>
  <c r="E242" i="159"/>
  <c r="F242" i="159"/>
  <c r="C242" i="159"/>
  <c r="I243" i="159"/>
  <c r="D243" i="159"/>
  <c r="J243" i="159"/>
  <c r="E243" i="159"/>
  <c r="F243" i="159"/>
  <c r="C243" i="159"/>
  <c r="I244" i="159"/>
  <c r="D244" i="159"/>
  <c r="J244" i="159"/>
  <c r="E244" i="159"/>
  <c r="F244" i="159"/>
  <c r="C244" i="159"/>
  <c r="I245" i="159"/>
  <c r="D245" i="159"/>
  <c r="J245" i="159"/>
  <c r="E245" i="159"/>
  <c r="F245" i="159"/>
  <c r="C245" i="159"/>
  <c r="I246" i="159"/>
  <c r="D246" i="159"/>
  <c r="J246" i="159"/>
  <c r="E246" i="159"/>
  <c r="F246" i="159"/>
  <c r="C246" i="159"/>
  <c r="I247" i="159"/>
  <c r="D247" i="159"/>
  <c r="J247" i="159"/>
  <c r="E247" i="159"/>
  <c r="F247" i="159"/>
  <c r="C247" i="159"/>
  <c r="I248" i="159"/>
  <c r="D248" i="159"/>
  <c r="J248" i="159"/>
  <c r="E248" i="159"/>
  <c r="F248" i="159"/>
  <c r="C248" i="159"/>
  <c r="I249" i="159"/>
  <c r="D249" i="159"/>
  <c r="J249" i="159"/>
  <c r="E249" i="159"/>
  <c r="F249" i="159"/>
  <c r="C249" i="159"/>
  <c r="I250" i="159"/>
  <c r="D250" i="159"/>
  <c r="J250" i="159"/>
  <c r="E250" i="159"/>
  <c r="F250" i="159"/>
  <c r="C250" i="159"/>
  <c r="I251" i="159"/>
  <c r="D251" i="159"/>
  <c r="J251" i="159"/>
  <c r="E251" i="159"/>
  <c r="F251" i="159"/>
  <c r="C251" i="159"/>
  <c r="I252" i="159"/>
  <c r="D252" i="159"/>
  <c r="J252" i="159"/>
  <c r="E252" i="159"/>
  <c r="F252" i="159"/>
  <c r="C252" i="159"/>
  <c r="I253" i="159"/>
  <c r="D253" i="159"/>
  <c r="J253" i="159"/>
  <c r="E253" i="159"/>
  <c r="F253" i="159"/>
  <c r="C253" i="159"/>
  <c r="I254" i="159"/>
  <c r="D254" i="159"/>
  <c r="J254" i="159"/>
  <c r="E254" i="159"/>
  <c r="F254" i="159"/>
  <c r="C254" i="159"/>
  <c r="I255" i="159"/>
  <c r="D255" i="159"/>
  <c r="J255" i="159"/>
  <c r="E255" i="159"/>
  <c r="F255" i="159"/>
  <c r="C255" i="159"/>
  <c r="I256" i="159"/>
  <c r="D256" i="159"/>
  <c r="J256" i="159"/>
  <c r="E256" i="159"/>
  <c r="F256" i="159"/>
  <c r="C256" i="159"/>
  <c r="I257" i="159"/>
  <c r="D257" i="159"/>
  <c r="J257" i="159"/>
  <c r="E257" i="159"/>
  <c r="F257" i="159"/>
  <c r="C257" i="159"/>
  <c r="I258" i="159"/>
  <c r="D258" i="159"/>
  <c r="J258" i="159"/>
  <c r="E258" i="159"/>
  <c r="F258" i="159"/>
  <c r="C258" i="159"/>
  <c r="I259" i="159"/>
  <c r="D259" i="159"/>
  <c r="J259" i="159"/>
  <c r="E259" i="159"/>
  <c r="F259" i="159"/>
  <c r="C259" i="159"/>
  <c r="I260" i="159"/>
  <c r="D260" i="159"/>
  <c r="J260" i="159"/>
  <c r="E260" i="159"/>
  <c r="F260" i="159"/>
  <c r="C260" i="159"/>
  <c r="I261" i="159"/>
  <c r="D261" i="159"/>
  <c r="J261" i="159"/>
  <c r="E261" i="159"/>
  <c r="F261" i="159"/>
  <c r="C261" i="159"/>
  <c r="I262" i="159"/>
  <c r="D262" i="159"/>
  <c r="J262" i="159"/>
  <c r="E262" i="159"/>
  <c r="F262" i="159"/>
  <c r="C262" i="159"/>
  <c r="I263" i="159"/>
  <c r="D263" i="159"/>
  <c r="J263" i="159"/>
  <c r="E263" i="159"/>
  <c r="F263" i="159"/>
  <c r="C263" i="159"/>
  <c r="I264" i="159"/>
  <c r="D264" i="159"/>
  <c r="J264" i="159"/>
  <c r="E264" i="159"/>
  <c r="F264" i="159"/>
  <c r="C264" i="159"/>
  <c r="I265" i="159"/>
  <c r="D265" i="159"/>
  <c r="J265" i="159"/>
  <c r="E265" i="159"/>
  <c r="F265" i="159"/>
  <c r="C265" i="159"/>
  <c r="I266" i="159"/>
  <c r="D266" i="159"/>
  <c r="J266" i="159"/>
  <c r="E266" i="159"/>
  <c r="F266" i="159"/>
  <c r="C266" i="159"/>
  <c r="I267" i="159"/>
  <c r="D267" i="159"/>
  <c r="J267" i="159"/>
  <c r="E267" i="159"/>
  <c r="F267" i="159"/>
  <c r="C267" i="159"/>
  <c r="I268" i="159"/>
  <c r="D268" i="159"/>
  <c r="J268" i="159"/>
  <c r="E268" i="159"/>
  <c r="F268" i="159"/>
  <c r="C268" i="159"/>
  <c r="I269" i="159"/>
  <c r="D269" i="159"/>
  <c r="J269" i="159"/>
  <c r="E269" i="159"/>
  <c r="F269" i="159"/>
  <c r="C269" i="159"/>
  <c r="I270" i="159"/>
  <c r="D270" i="159"/>
  <c r="J270" i="159"/>
  <c r="E270" i="159"/>
  <c r="F270" i="159"/>
  <c r="C270" i="159"/>
  <c r="I271" i="159"/>
  <c r="D271" i="159"/>
  <c r="J271" i="159"/>
  <c r="E271" i="159"/>
  <c r="F271" i="159"/>
  <c r="C271" i="159"/>
  <c r="I272" i="159"/>
  <c r="D272" i="159"/>
  <c r="J272" i="159"/>
  <c r="E272" i="159"/>
  <c r="F272" i="159"/>
  <c r="C272" i="159"/>
  <c r="I273" i="159"/>
  <c r="D273" i="159"/>
  <c r="J273" i="159"/>
  <c r="E273" i="159"/>
  <c r="F273" i="159"/>
  <c r="C273" i="159"/>
  <c r="I274" i="159"/>
  <c r="D274" i="159"/>
  <c r="J274" i="159"/>
  <c r="E274" i="159"/>
  <c r="F274" i="159"/>
  <c r="C274" i="159"/>
  <c r="I275" i="159"/>
  <c r="D275" i="159"/>
  <c r="J275" i="159"/>
  <c r="E275" i="159"/>
  <c r="F275" i="159"/>
  <c r="C275" i="159"/>
  <c r="I276" i="159"/>
  <c r="D276" i="159"/>
  <c r="J276" i="159"/>
  <c r="E276" i="159"/>
  <c r="F276" i="159"/>
  <c r="C276" i="159"/>
  <c r="I277" i="159"/>
  <c r="D277" i="159"/>
  <c r="J277" i="159"/>
  <c r="E277" i="159"/>
  <c r="F277" i="159"/>
  <c r="C277" i="159"/>
  <c r="I278" i="159"/>
  <c r="D278" i="159"/>
  <c r="J278" i="159"/>
  <c r="E278" i="159"/>
  <c r="F278" i="159"/>
  <c r="C278" i="159"/>
  <c r="I279" i="159"/>
  <c r="D279" i="159"/>
  <c r="J279" i="159"/>
  <c r="E279" i="159"/>
  <c r="F279" i="159"/>
  <c r="C279" i="159"/>
  <c r="I280" i="159"/>
  <c r="D280" i="159"/>
  <c r="J280" i="159"/>
  <c r="E280" i="159"/>
  <c r="F280" i="159"/>
  <c r="C280" i="159"/>
  <c r="I281" i="159"/>
  <c r="D281" i="159"/>
  <c r="J281" i="159"/>
  <c r="E281" i="159"/>
  <c r="F281" i="159"/>
  <c r="C281" i="159"/>
  <c r="I282" i="159"/>
  <c r="D282" i="159"/>
  <c r="J282" i="159"/>
  <c r="E282" i="159"/>
  <c r="F282" i="159"/>
  <c r="C282" i="159"/>
  <c r="I283" i="159"/>
  <c r="D283" i="159"/>
  <c r="J283" i="159"/>
  <c r="E283" i="159"/>
  <c r="F283" i="159"/>
  <c r="C283" i="159"/>
  <c r="I284" i="159"/>
  <c r="D284" i="159"/>
  <c r="J284" i="159"/>
  <c r="E284" i="159"/>
  <c r="F284" i="159"/>
  <c r="C284" i="159"/>
  <c r="I285" i="159"/>
  <c r="D285" i="159"/>
  <c r="J285" i="159"/>
  <c r="E285" i="159"/>
  <c r="F285" i="159"/>
  <c r="C285" i="159"/>
  <c r="I286" i="159"/>
  <c r="D286" i="159"/>
  <c r="J286" i="159"/>
  <c r="E286" i="159"/>
  <c r="F286" i="159"/>
  <c r="C286" i="159"/>
  <c r="I287" i="159"/>
  <c r="D287" i="159"/>
  <c r="J287" i="159"/>
  <c r="E287" i="159"/>
  <c r="F287" i="159"/>
  <c r="C287" i="159"/>
  <c r="I288" i="159"/>
  <c r="D288" i="159"/>
  <c r="J288" i="159"/>
  <c r="E288" i="159"/>
  <c r="F288" i="159"/>
  <c r="C288" i="159"/>
  <c r="I289" i="159"/>
  <c r="D289" i="159"/>
  <c r="J289" i="159"/>
  <c r="E289" i="159"/>
  <c r="F289" i="159"/>
  <c r="C289" i="159"/>
  <c r="I290" i="159"/>
  <c r="D290" i="159"/>
  <c r="J290" i="159"/>
  <c r="E290" i="159"/>
  <c r="F290" i="159"/>
  <c r="C290" i="159"/>
  <c r="I291" i="159"/>
  <c r="D291" i="159"/>
  <c r="J291" i="159"/>
  <c r="E291" i="159"/>
  <c r="F291" i="159"/>
  <c r="C291" i="159"/>
  <c r="I292" i="159"/>
  <c r="D292" i="159"/>
  <c r="J292" i="159"/>
  <c r="E292" i="159"/>
  <c r="F292" i="159"/>
  <c r="C292" i="159"/>
  <c r="I293" i="159"/>
  <c r="D293" i="159"/>
  <c r="J293" i="159"/>
  <c r="E293" i="159"/>
  <c r="F293" i="159"/>
  <c r="C293" i="159"/>
  <c r="I294" i="159"/>
  <c r="D294" i="159"/>
  <c r="J294" i="159"/>
  <c r="E294" i="159"/>
  <c r="F294" i="159"/>
  <c r="C294" i="159"/>
  <c r="I295" i="159"/>
  <c r="D295" i="159"/>
  <c r="J295" i="159"/>
  <c r="E295" i="159"/>
  <c r="F295" i="159"/>
  <c r="C295" i="159"/>
  <c r="I296" i="159"/>
  <c r="D296" i="159"/>
  <c r="J296" i="159"/>
  <c r="E296" i="159"/>
  <c r="F296" i="159"/>
  <c r="C296" i="159"/>
  <c r="I297" i="159"/>
  <c r="D297" i="159"/>
  <c r="J297" i="159"/>
  <c r="E297" i="159"/>
  <c r="F297" i="159"/>
  <c r="C297" i="159"/>
  <c r="I298" i="159"/>
  <c r="D298" i="159"/>
  <c r="J298" i="159"/>
  <c r="E298" i="159"/>
  <c r="F298" i="159"/>
  <c r="C298" i="159"/>
  <c r="I299" i="159"/>
  <c r="D299" i="159"/>
  <c r="J299" i="159"/>
  <c r="E299" i="159"/>
  <c r="F299" i="159"/>
  <c r="C299" i="159"/>
  <c r="I300" i="159"/>
  <c r="D300" i="159"/>
  <c r="J300" i="159"/>
  <c r="E300" i="159"/>
  <c r="F300" i="159"/>
  <c r="C300" i="159"/>
  <c r="I301" i="159"/>
  <c r="D301" i="159"/>
  <c r="J301" i="159"/>
  <c r="E301" i="159"/>
  <c r="F301" i="159"/>
  <c r="C301" i="159"/>
  <c r="I302" i="159"/>
  <c r="D302" i="159"/>
  <c r="J302" i="159"/>
  <c r="E302" i="159"/>
  <c r="F302" i="159"/>
  <c r="C302" i="159"/>
  <c r="I303" i="159"/>
  <c r="D303" i="159"/>
  <c r="J303" i="159"/>
  <c r="E303" i="159"/>
  <c r="F303" i="159"/>
  <c r="C303" i="159"/>
  <c r="I304" i="159"/>
  <c r="D304" i="159"/>
  <c r="J304" i="159"/>
  <c r="E304" i="159"/>
  <c r="F304" i="159"/>
  <c r="C304" i="159"/>
  <c r="I305" i="159"/>
  <c r="D305" i="159"/>
  <c r="J305" i="159"/>
  <c r="E305" i="159"/>
  <c r="F305" i="159"/>
  <c r="C305" i="159"/>
  <c r="I306" i="159"/>
  <c r="D306" i="159"/>
  <c r="J306" i="159"/>
  <c r="E306" i="159"/>
  <c r="F306" i="159"/>
  <c r="C306" i="159"/>
  <c r="I307" i="159"/>
  <c r="D307" i="159"/>
  <c r="J307" i="159"/>
  <c r="E307" i="159"/>
  <c r="F307" i="159"/>
  <c r="C307" i="159"/>
  <c r="I308" i="159"/>
  <c r="D308" i="159"/>
  <c r="J308" i="159"/>
  <c r="E308" i="159"/>
  <c r="F308" i="159"/>
  <c r="C308" i="159"/>
  <c r="I309" i="159"/>
  <c r="D309" i="159"/>
  <c r="J309" i="159"/>
  <c r="E309" i="159"/>
  <c r="F309" i="159"/>
  <c r="C309" i="159"/>
  <c r="I310" i="159"/>
  <c r="D310" i="159"/>
  <c r="J310" i="159"/>
  <c r="E310" i="159"/>
  <c r="F310" i="159"/>
  <c r="C310" i="159"/>
  <c r="I311" i="159"/>
  <c r="D311" i="159"/>
  <c r="J311" i="159"/>
  <c r="E311" i="159"/>
  <c r="F311" i="159"/>
  <c r="C311" i="159"/>
  <c r="I312" i="159"/>
  <c r="D312" i="159"/>
  <c r="J312" i="159"/>
  <c r="E312" i="159"/>
  <c r="F312" i="159"/>
  <c r="C312" i="159"/>
  <c r="I313" i="159"/>
  <c r="D313" i="159"/>
  <c r="J313" i="159"/>
  <c r="E313" i="159"/>
  <c r="F313" i="159"/>
  <c r="C313" i="159"/>
  <c r="I314" i="159"/>
  <c r="D314" i="159"/>
  <c r="J314" i="159"/>
  <c r="E314" i="159"/>
  <c r="F314" i="159"/>
  <c r="C314" i="159"/>
  <c r="I315" i="159"/>
  <c r="D315" i="159"/>
  <c r="J315" i="159"/>
  <c r="E315" i="159"/>
  <c r="F315" i="159"/>
  <c r="C315" i="159"/>
  <c r="I316" i="159"/>
  <c r="D316" i="159"/>
  <c r="J316" i="159"/>
  <c r="E316" i="159"/>
  <c r="F316" i="159"/>
  <c r="C316" i="159"/>
  <c r="I317" i="159"/>
  <c r="D317" i="159"/>
  <c r="J317" i="159"/>
  <c r="E317" i="159"/>
  <c r="F317" i="159"/>
  <c r="C317" i="159"/>
  <c r="I318" i="159"/>
  <c r="D318" i="159"/>
  <c r="J318" i="159"/>
  <c r="E318" i="159"/>
  <c r="F318" i="159"/>
  <c r="C318" i="159"/>
  <c r="I319" i="159"/>
  <c r="D319" i="159"/>
  <c r="J319" i="159"/>
  <c r="E319" i="159"/>
  <c r="F319" i="159"/>
  <c r="C319" i="159"/>
  <c r="I320" i="159"/>
  <c r="D320" i="159"/>
  <c r="J320" i="159"/>
  <c r="E320" i="159"/>
  <c r="F320" i="159"/>
  <c r="C320" i="159"/>
  <c r="I321" i="159"/>
  <c r="D321" i="159"/>
  <c r="J321" i="159"/>
  <c r="E321" i="159"/>
  <c r="F321" i="159"/>
  <c r="C321" i="159"/>
  <c r="I322" i="159"/>
  <c r="D322" i="159"/>
  <c r="J322" i="159"/>
  <c r="E322" i="159"/>
  <c r="F322" i="159"/>
  <c r="C322" i="159"/>
  <c r="I323" i="159"/>
  <c r="D323" i="159"/>
  <c r="J323" i="159"/>
  <c r="E323" i="159"/>
  <c r="F323" i="159"/>
  <c r="C323" i="159"/>
  <c r="I324" i="159"/>
  <c r="D324" i="159"/>
  <c r="J324" i="159"/>
  <c r="E324" i="159"/>
  <c r="F324" i="159"/>
  <c r="C324" i="159"/>
  <c r="I325" i="159"/>
  <c r="D325" i="159"/>
  <c r="J325" i="159"/>
  <c r="E325" i="159"/>
  <c r="F325" i="159"/>
  <c r="C325" i="159"/>
  <c r="I326" i="159"/>
  <c r="D326" i="159"/>
  <c r="J326" i="159"/>
  <c r="E326" i="159"/>
  <c r="F326" i="159"/>
  <c r="C326" i="159"/>
  <c r="I327" i="159"/>
  <c r="D327" i="159"/>
  <c r="J327" i="159"/>
  <c r="E327" i="159"/>
  <c r="F327" i="159"/>
  <c r="C327" i="159"/>
  <c r="I328" i="159"/>
  <c r="D328" i="159"/>
  <c r="J328" i="159"/>
  <c r="E328" i="159"/>
  <c r="F328" i="159"/>
  <c r="C328" i="159"/>
  <c r="I329" i="159"/>
  <c r="D329" i="159"/>
  <c r="J329" i="159"/>
  <c r="E329" i="159"/>
  <c r="F329" i="159"/>
  <c r="C329" i="159"/>
  <c r="I330" i="159"/>
  <c r="D330" i="159"/>
  <c r="J330" i="159"/>
  <c r="E330" i="159"/>
  <c r="F330" i="159"/>
  <c r="C330" i="159"/>
  <c r="I331" i="159"/>
  <c r="D331" i="159"/>
  <c r="J331" i="159"/>
  <c r="E331" i="159"/>
  <c r="F331" i="159"/>
  <c r="C331" i="159"/>
  <c r="I332" i="159"/>
  <c r="D332" i="159"/>
  <c r="J332" i="159"/>
  <c r="E332" i="159"/>
  <c r="F332" i="159"/>
  <c r="C332" i="159"/>
  <c r="I333" i="159"/>
  <c r="D333" i="159"/>
  <c r="J333" i="159"/>
  <c r="E333" i="159"/>
  <c r="F333" i="159"/>
  <c r="C333" i="159"/>
  <c r="I334" i="159"/>
  <c r="D334" i="159"/>
  <c r="J334" i="159"/>
  <c r="E334" i="159"/>
  <c r="F334" i="159"/>
  <c r="C334" i="159"/>
  <c r="I335" i="159"/>
  <c r="D335" i="159"/>
  <c r="J335" i="159"/>
  <c r="E335" i="159"/>
  <c r="F335" i="159"/>
  <c r="C335" i="159"/>
  <c r="I336" i="159"/>
  <c r="D336" i="159"/>
  <c r="J336" i="159"/>
  <c r="E336" i="159"/>
  <c r="F336" i="159"/>
  <c r="C336" i="159"/>
  <c r="I337" i="159"/>
  <c r="D337" i="159"/>
  <c r="J337" i="159"/>
  <c r="E337" i="159"/>
  <c r="F337" i="159"/>
  <c r="C337" i="159"/>
  <c r="I338" i="159"/>
  <c r="D338" i="159"/>
  <c r="J338" i="159"/>
  <c r="E338" i="159"/>
  <c r="F338" i="159"/>
  <c r="C338" i="159"/>
  <c r="I339" i="159"/>
  <c r="D339" i="159"/>
  <c r="J339" i="159"/>
  <c r="E339" i="159"/>
  <c r="F339" i="159"/>
  <c r="C339" i="159"/>
  <c r="I340" i="159"/>
  <c r="D340" i="159"/>
  <c r="J340" i="159"/>
  <c r="E340" i="159"/>
  <c r="F340" i="159"/>
  <c r="C340" i="159"/>
  <c r="I341" i="159"/>
  <c r="D341" i="159"/>
  <c r="J341" i="159"/>
  <c r="E341" i="159"/>
  <c r="F341" i="159"/>
  <c r="C341" i="159"/>
  <c r="B11" i="158"/>
  <c r="I2" i="150"/>
  <c r="J2" i="150"/>
  <c r="D2" i="150"/>
  <c r="E2" i="150"/>
  <c r="K2" i="150"/>
  <c r="F2" i="150"/>
  <c r="I3" i="150"/>
  <c r="J3" i="150"/>
  <c r="D3" i="150"/>
  <c r="E3" i="150"/>
  <c r="K3" i="150"/>
  <c r="F3" i="150"/>
  <c r="I4" i="150"/>
  <c r="J4" i="150"/>
  <c r="D4" i="150"/>
  <c r="E4" i="150"/>
  <c r="K4" i="150"/>
  <c r="F4" i="150"/>
  <c r="I5" i="150"/>
  <c r="J5" i="150"/>
  <c r="D5" i="150"/>
  <c r="E5" i="150"/>
  <c r="K5" i="150"/>
  <c r="F5" i="150"/>
  <c r="I6" i="150"/>
  <c r="J6" i="150"/>
  <c r="D6" i="150"/>
  <c r="E6" i="150"/>
  <c r="K6" i="150"/>
  <c r="F6" i="150"/>
  <c r="I7" i="150"/>
  <c r="J7" i="150"/>
  <c r="D7" i="150"/>
  <c r="E7" i="150"/>
  <c r="K7" i="150"/>
  <c r="F7" i="150"/>
  <c r="I8" i="150"/>
  <c r="J8" i="150"/>
  <c r="D8" i="150"/>
  <c r="E8" i="150"/>
  <c r="K8" i="150"/>
  <c r="F8" i="150"/>
  <c r="I9" i="150"/>
  <c r="J9" i="150"/>
  <c r="D9" i="150"/>
  <c r="E9" i="150"/>
  <c r="K9" i="150"/>
  <c r="F9" i="150"/>
  <c r="I10" i="150"/>
  <c r="J10" i="150"/>
  <c r="D10" i="150"/>
  <c r="E10" i="150"/>
  <c r="K10" i="150"/>
  <c r="F10" i="150"/>
  <c r="I11" i="150"/>
  <c r="J11" i="150"/>
  <c r="D11" i="150"/>
  <c r="E11" i="150"/>
  <c r="K11" i="150"/>
  <c r="F11" i="150"/>
  <c r="I12" i="150"/>
  <c r="J12" i="150"/>
  <c r="D12" i="150"/>
  <c r="E12" i="150"/>
  <c r="K12" i="150"/>
  <c r="F12" i="150"/>
  <c r="I13" i="150"/>
  <c r="J13" i="150"/>
  <c r="D13" i="150"/>
  <c r="E13" i="150"/>
  <c r="K13" i="150"/>
  <c r="F13" i="150"/>
  <c r="I14" i="150"/>
  <c r="J14" i="150"/>
  <c r="D14" i="150"/>
  <c r="E14" i="150"/>
  <c r="K14" i="150"/>
  <c r="F14" i="150"/>
  <c r="I15" i="150"/>
  <c r="J15" i="150"/>
  <c r="D15" i="150"/>
  <c r="E15" i="150"/>
  <c r="K15" i="150"/>
  <c r="F15" i="150"/>
  <c r="I16" i="150"/>
  <c r="J16" i="150"/>
  <c r="D16" i="150"/>
  <c r="E16" i="150"/>
  <c r="K16" i="150"/>
  <c r="F16" i="150"/>
  <c r="I17" i="150"/>
  <c r="J17" i="150"/>
  <c r="D17" i="150"/>
  <c r="E17" i="150"/>
  <c r="K17" i="150"/>
  <c r="F17" i="150"/>
  <c r="I18" i="150"/>
  <c r="J18" i="150"/>
  <c r="D18" i="150"/>
  <c r="E18" i="150"/>
  <c r="K18" i="150"/>
  <c r="F18" i="150"/>
  <c r="I19" i="150"/>
  <c r="J19" i="150"/>
  <c r="D19" i="150"/>
  <c r="E19" i="150"/>
  <c r="K19" i="150"/>
  <c r="F19" i="150"/>
  <c r="I20" i="150"/>
  <c r="J20" i="150"/>
  <c r="D20" i="150"/>
  <c r="E20" i="150"/>
  <c r="K20" i="150"/>
  <c r="F20" i="150"/>
  <c r="I21" i="150"/>
  <c r="J21" i="150"/>
  <c r="D21" i="150"/>
  <c r="E21" i="150"/>
  <c r="K21" i="150"/>
  <c r="F21" i="150"/>
  <c r="I22" i="150"/>
  <c r="J22" i="150"/>
  <c r="D22" i="150"/>
  <c r="E22" i="150"/>
  <c r="K22" i="150"/>
  <c r="F22" i="150"/>
  <c r="I23" i="150"/>
  <c r="J23" i="150"/>
  <c r="D23" i="150"/>
  <c r="E23" i="150"/>
  <c r="K23" i="150"/>
  <c r="F23" i="150"/>
  <c r="I24" i="150"/>
  <c r="J24" i="150"/>
  <c r="D24" i="150"/>
  <c r="E24" i="150"/>
  <c r="K24" i="150"/>
  <c r="F24" i="150"/>
  <c r="I25" i="150"/>
  <c r="J25" i="150"/>
  <c r="D25" i="150"/>
  <c r="E25" i="150"/>
  <c r="K25" i="150"/>
  <c r="F25" i="150"/>
  <c r="I26" i="150"/>
  <c r="J26" i="150"/>
  <c r="D26" i="150"/>
  <c r="E26" i="150"/>
  <c r="K26" i="150"/>
  <c r="F26" i="150"/>
  <c r="I27" i="150"/>
  <c r="J27" i="150"/>
  <c r="D27" i="150"/>
  <c r="E27" i="150"/>
  <c r="K27" i="150"/>
  <c r="F27" i="150"/>
  <c r="I28" i="150"/>
  <c r="J28" i="150"/>
  <c r="D28" i="150"/>
  <c r="E28" i="150"/>
  <c r="K28" i="150"/>
  <c r="F28" i="150"/>
  <c r="I29" i="150"/>
  <c r="J29" i="150"/>
  <c r="D29" i="150"/>
  <c r="E29" i="150"/>
  <c r="K29" i="150"/>
  <c r="F29" i="150"/>
  <c r="I30" i="150"/>
  <c r="J30" i="150"/>
  <c r="D30" i="150"/>
  <c r="E30" i="150"/>
  <c r="K30" i="150"/>
  <c r="F30" i="150"/>
  <c r="I31" i="150"/>
  <c r="J31" i="150"/>
  <c r="D31" i="150"/>
  <c r="E31" i="150"/>
  <c r="K31" i="150"/>
  <c r="F31" i="150"/>
  <c r="I32" i="150"/>
  <c r="J32" i="150"/>
  <c r="D32" i="150"/>
  <c r="E32" i="150"/>
  <c r="K32" i="150"/>
  <c r="F32" i="150"/>
  <c r="I33" i="150"/>
  <c r="J33" i="150"/>
  <c r="D33" i="150"/>
  <c r="E33" i="150"/>
  <c r="K33" i="150"/>
  <c r="F33" i="150"/>
  <c r="I34" i="150"/>
  <c r="J34" i="150"/>
  <c r="D34" i="150"/>
  <c r="E34" i="150"/>
  <c r="K34" i="150"/>
  <c r="F34" i="150"/>
  <c r="I35" i="150"/>
  <c r="J35" i="150"/>
  <c r="D35" i="150"/>
  <c r="E35" i="150"/>
  <c r="K35" i="150"/>
  <c r="F35" i="150"/>
  <c r="I36" i="150"/>
  <c r="J36" i="150"/>
  <c r="D36" i="150"/>
  <c r="E36" i="150"/>
  <c r="K36" i="150"/>
  <c r="F36" i="150"/>
  <c r="I37" i="150"/>
  <c r="J37" i="150"/>
  <c r="D37" i="150"/>
  <c r="E37" i="150"/>
  <c r="K37" i="150"/>
  <c r="F37" i="150"/>
  <c r="I38" i="150"/>
  <c r="J38" i="150"/>
  <c r="D38" i="150"/>
  <c r="E38" i="150"/>
  <c r="K38" i="150"/>
  <c r="F38" i="150"/>
  <c r="I39" i="150"/>
  <c r="J39" i="150"/>
  <c r="D39" i="150"/>
  <c r="E39" i="150"/>
  <c r="K39" i="150"/>
  <c r="F39" i="150"/>
  <c r="I40" i="150"/>
  <c r="J40" i="150"/>
  <c r="D40" i="150"/>
  <c r="E40" i="150"/>
  <c r="K40" i="150"/>
  <c r="F40" i="150"/>
  <c r="I41" i="150"/>
  <c r="J41" i="150"/>
  <c r="D41" i="150"/>
  <c r="E41" i="150"/>
  <c r="K41" i="150"/>
  <c r="F41" i="150"/>
  <c r="I42" i="150"/>
  <c r="D42" i="150"/>
  <c r="J42" i="150"/>
  <c r="E42" i="150"/>
  <c r="K42" i="150"/>
  <c r="F42" i="150"/>
  <c r="I43" i="150"/>
  <c r="D43" i="150"/>
  <c r="J43" i="150"/>
  <c r="E43" i="150"/>
  <c r="K43" i="150"/>
  <c r="F43" i="150"/>
  <c r="I44" i="150"/>
  <c r="D44" i="150"/>
  <c r="J44" i="150"/>
  <c r="E44" i="150"/>
  <c r="K44" i="150"/>
  <c r="F44" i="150"/>
  <c r="I45" i="150"/>
  <c r="D45" i="150"/>
  <c r="J45" i="150"/>
  <c r="E45" i="150"/>
  <c r="K45" i="150"/>
  <c r="F45" i="150"/>
  <c r="I46" i="150"/>
  <c r="D46" i="150"/>
  <c r="J46" i="150"/>
  <c r="E46" i="150"/>
  <c r="K46" i="150"/>
  <c r="F46" i="150"/>
  <c r="I47" i="150"/>
  <c r="D47" i="150"/>
  <c r="J47" i="150"/>
  <c r="E47" i="150"/>
  <c r="K47" i="150"/>
  <c r="F47" i="150"/>
  <c r="I48" i="150"/>
  <c r="D48" i="150"/>
  <c r="J48" i="150"/>
  <c r="E48" i="150"/>
  <c r="K48" i="150"/>
  <c r="F48" i="150"/>
  <c r="I49" i="150"/>
  <c r="D49" i="150"/>
  <c r="J49" i="150"/>
  <c r="E49" i="150"/>
  <c r="K49" i="150"/>
  <c r="F49" i="150"/>
  <c r="I50" i="150"/>
  <c r="D50" i="150"/>
  <c r="J50" i="150"/>
  <c r="E50" i="150"/>
  <c r="K50" i="150"/>
  <c r="F50" i="150"/>
  <c r="I51" i="150"/>
  <c r="D51" i="150"/>
  <c r="J51" i="150"/>
  <c r="E51" i="150"/>
  <c r="K51" i="150"/>
  <c r="F51" i="150"/>
  <c r="I52" i="150"/>
  <c r="D52" i="150"/>
  <c r="J52" i="150"/>
  <c r="E52" i="150"/>
  <c r="K52" i="150"/>
  <c r="F52" i="150"/>
  <c r="I53" i="150"/>
  <c r="D53" i="150"/>
  <c r="J53" i="150"/>
  <c r="E53" i="150"/>
  <c r="K53" i="150"/>
  <c r="F53" i="150"/>
  <c r="I54" i="150"/>
  <c r="D54" i="150"/>
  <c r="J54" i="150"/>
  <c r="E54" i="150"/>
  <c r="K54" i="150"/>
  <c r="F54" i="150"/>
  <c r="I55" i="150"/>
  <c r="D55" i="150"/>
  <c r="J55" i="150"/>
  <c r="E55" i="150"/>
  <c r="K55" i="150"/>
  <c r="F55" i="150"/>
  <c r="I56" i="150"/>
  <c r="D56" i="150"/>
  <c r="J56" i="150"/>
  <c r="E56" i="150"/>
  <c r="K56" i="150"/>
  <c r="F56" i="150"/>
  <c r="I57" i="150"/>
  <c r="D57" i="150"/>
  <c r="J57" i="150"/>
  <c r="E57" i="150"/>
  <c r="K57" i="150"/>
  <c r="F57" i="150"/>
  <c r="I58" i="150"/>
  <c r="D58" i="150"/>
  <c r="J58" i="150"/>
  <c r="E58" i="150"/>
  <c r="K58" i="150"/>
  <c r="F58" i="150"/>
  <c r="I59" i="150"/>
  <c r="D59" i="150"/>
  <c r="J59" i="150"/>
  <c r="E59" i="150"/>
  <c r="K59" i="150"/>
  <c r="F59" i="150"/>
  <c r="I60" i="150"/>
  <c r="D60" i="150"/>
  <c r="J60" i="150"/>
  <c r="E60" i="150"/>
  <c r="K60" i="150"/>
  <c r="F60" i="150"/>
  <c r="I61" i="150"/>
  <c r="D61" i="150"/>
  <c r="J61" i="150"/>
  <c r="E61" i="150"/>
  <c r="K61" i="150"/>
  <c r="F61" i="150"/>
  <c r="I62" i="150"/>
  <c r="D62" i="150"/>
  <c r="J62" i="150"/>
  <c r="E62" i="150"/>
  <c r="K62" i="150"/>
  <c r="F62" i="150"/>
  <c r="I63" i="150"/>
  <c r="D63" i="150"/>
  <c r="J63" i="150"/>
  <c r="E63" i="150"/>
  <c r="K63" i="150"/>
  <c r="F63" i="150"/>
  <c r="I64" i="150"/>
  <c r="D64" i="150"/>
  <c r="J64" i="150"/>
  <c r="E64" i="150"/>
  <c r="K64" i="150"/>
  <c r="F64" i="150"/>
  <c r="I65" i="150"/>
  <c r="D65" i="150"/>
  <c r="J65" i="150"/>
  <c r="E65" i="150"/>
  <c r="K65" i="150"/>
  <c r="F65" i="150"/>
  <c r="I66" i="150"/>
  <c r="D66" i="150"/>
  <c r="J66" i="150"/>
  <c r="E66" i="150"/>
  <c r="K66" i="150"/>
  <c r="F66" i="150"/>
  <c r="I67" i="150"/>
  <c r="D67" i="150"/>
  <c r="J67" i="150"/>
  <c r="E67" i="150"/>
  <c r="K67" i="150"/>
  <c r="F67" i="150"/>
  <c r="I68" i="150"/>
  <c r="D68" i="150"/>
  <c r="J68" i="150"/>
  <c r="E68" i="150"/>
  <c r="K68" i="150"/>
  <c r="F68" i="150"/>
  <c r="I69" i="150"/>
  <c r="D69" i="150"/>
  <c r="J69" i="150"/>
  <c r="E69" i="150"/>
  <c r="K69" i="150"/>
  <c r="F69" i="150"/>
  <c r="I70" i="150"/>
  <c r="D70" i="150"/>
  <c r="J70" i="150"/>
  <c r="E70" i="150"/>
  <c r="K70" i="150"/>
  <c r="F70" i="150"/>
  <c r="I71" i="150"/>
  <c r="D71" i="150"/>
  <c r="J71" i="150"/>
  <c r="E71" i="150"/>
  <c r="K71" i="150"/>
  <c r="F71" i="150"/>
  <c r="I72" i="150"/>
  <c r="D72" i="150"/>
  <c r="J72" i="150"/>
  <c r="E72" i="150"/>
  <c r="K72" i="150"/>
  <c r="F72" i="150"/>
  <c r="I73" i="150"/>
  <c r="D73" i="150"/>
  <c r="J73" i="150"/>
  <c r="E73" i="150"/>
  <c r="K73" i="150"/>
  <c r="F73" i="150"/>
  <c r="I74" i="150"/>
  <c r="D74" i="150"/>
  <c r="J74" i="150"/>
  <c r="E74" i="150"/>
  <c r="K74" i="150"/>
  <c r="F74" i="150"/>
  <c r="I75" i="150"/>
  <c r="D75" i="150"/>
  <c r="J75" i="150"/>
  <c r="E75" i="150"/>
  <c r="K75" i="150"/>
  <c r="F75" i="150"/>
  <c r="I76" i="150"/>
  <c r="D76" i="150"/>
  <c r="J76" i="150"/>
  <c r="E76" i="150"/>
  <c r="K76" i="150"/>
  <c r="F76" i="150"/>
  <c r="I77" i="150"/>
  <c r="D77" i="150"/>
  <c r="J77" i="150"/>
  <c r="E77" i="150"/>
  <c r="K77" i="150"/>
  <c r="F77" i="150"/>
  <c r="I78" i="150"/>
  <c r="D78" i="150"/>
  <c r="J78" i="150"/>
  <c r="E78" i="150"/>
  <c r="K78" i="150"/>
  <c r="F78" i="150"/>
  <c r="I79" i="150"/>
  <c r="D79" i="150"/>
  <c r="J79" i="150"/>
  <c r="E79" i="150"/>
  <c r="K79" i="150"/>
  <c r="F79" i="150"/>
  <c r="I80" i="150"/>
  <c r="D80" i="150"/>
  <c r="J80" i="150"/>
  <c r="E80" i="150"/>
  <c r="K80" i="150"/>
  <c r="F80" i="150"/>
  <c r="I81" i="150"/>
  <c r="D81" i="150"/>
  <c r="J81" i="150"/>
  <c r="E81" i="150"/>
  <c r="K81" i="150"/>
  <c r="F81" i="150"/>
  <c r="I82" i="150"/>
  <c r="D82" i="150"/>
  <c r="J82" i="150"/>
  <c r="E82" i="150"/>
  <c r="K82" i="150"/>
  <c r="F82" i="150"/>
  <c r="I83" i="150"/>
  <c r="D83" i="150"/>
  <c r="J83" i="150"/>
  <c r="E83" i="150"/>
  <c r="K83" i="150"/>
  <c r="F83" i="150"/>
  <c r="I84" i="150"/>
  <c r="D84" i="150"/>
  <c r="J84" i="150"/>
  <c r="E84" i="150"/>
  <c r="K84" i="150"/>
  <c r="F84" i="150"/>
  <c r="I85" i="150"/>
  <c r="D85" i="150"/>
  <c r="J85" i="150"/>
  <c r="E85" i="150"/>
  <c r="K85" i="150"/>
  <c r="F85" i="150"/>
  <c r="I86" i="150"/>
  <c r="D86" i="150"/>
  <c r="J86" i="150"/>
  <c r="E86" i="150"/>
  <c r="K86" i="150"/>
  <c r="F86" i="150"/>
  <c r="I87" i="150"/>
  <c r="D87" i="150"/>
  <c r="J87" i="150"/>
  <c r="E87" i="150"/>
  <c r="K87" i="150"/>
  <c r="F87" i="150"/>
  <c r="I88" i="150"/>
  <c r="D88" i="150"/>
  <c r="J88" i="150"/>
  <c r="E88" i="150"/>
  <c r="K88" i="150"/>
  <c r="F88" i="150"/>
  <c r="I89" i="150"/>
  <c r="D89" i="150"/>
  <c r="J89" i="150"/>
  <c r="E89" i="150"/>
  <c r="K89" i="150"/>
  <c r="F89" i="150"/>
  <c r="I90" i="150"/>
  <c r="D90" i="150"/>
  <c r="J90" i="150"/>
  <c r="E90" i="150"/>
  <c r="K90" i="150"/>
  <c r="F90" i="150"/>
  <c r="I91" i="150"/>
  <c r="D91" i="150"/>
  <c r="J91" i="150"/>
  <c r="E91" i="150"/>
  <c r="K91" i="150"/>
  <c r="F91" i="150"/>
  <c r="I92" i="150"/>
  <c r="D92" i="150"/>
  <c r="J92" i="150"/>
  <c r="E92" i="150"/>
  <c r="K92" i="150"/>
  <c r="F92" i="150"/>
  <c r="I93" i="150"/>
  <c r="D93" i="150"/>
  <c r="J93" i="150"/>
  <c r="E93" i="150"/>
  <c r="K93" i="150"/>
  <c r="F93" i="150"/>
  <c r="I94" i="150"/>
  <c r="D94" i="150"/>
  <c r="J94" i="150"/>
  <c r="E94" i="150"/>
  <c r="K94" i="150"/>
  <c r="F94" i="150"/>
  <c r="I95" i="150"/>
  <c r="D95" i="150"/>
  <c r="J95" i="150"/>
  <c r="E95" i="150"/>
  <c r="K95" i="150"/>
  <c r="F95" i="150"/>
  <c r="I96" i="150"/>
  <c r="D96" i="150"/>
  <c r="J96" i="150"/>
  <c r="E96" i="150"/>
  <c r="K96" i="150"/>
  <c r="F96" i="150"/>
  <c r="I97" i="150"/>
  <c r="D97" i="150"/>
  <c r="J97" i="150"/>
  <c r="E97" i="150"/>
  <c r="K97" i="150"/>
  <c r="F97" i="150"/>
  <c r="I98" i="150"/>
  <c r="D98" i="150"/>
  <c r="J98" i="150"/>
  <c r="E98" i="150"/>
  <c r="K98" i="150"/>
  <c r="F98" i="150"/>
  <c r="I99" i="150"/>
  <c r="D99" i="150"/>
  <c r="J99" i="150"/>
  <c r="E99" i="150"/>
  <c r="K99" i="150"/>
  <c r="F99" i="150"/>
  <c r="I100" i="150"/>
  <c r="D100" i="150"/>
  <c r="J100" i="150"/>
  <c r="E100" i="150"/>
  <c r="K100" i="150"/>
  <c r="F100" i="150"/>
  <c r="I101" i="150"/>
  <c r="D101" i="150"/>
  <c r="J101" i="150"/>
  <c r="E101" i="150"/>
  <c r="K101" i="150"/>
  <c r="F101" i="150"/>
  <c r="I102" i="150"/>
  <c r="D102" i="150"/>
  <c r="J102" i="150"/>
  <c r="E102" i="150"/>
  <c r="K102" i="150"/>
  <c r="F102" i="150"/>
  <c r="I103" i="150"/>
  <c r="D103" i="150"/>
  <c r="J103" i="150"/>
  <c r="E103" i="150"/>
  <c r="K103" i="150"/>
  <c r="F103" i="150"/>
  <c r="I104" i="150"/>
  <c r="D104" i="150"/>
  <c r="J104" i="150"/>
  <c r="E104" i="150"/>
  <c r="K104" i="150"/>
  <c r="F104" i="150"/>
  <c r="I105" i="150"/>
  <c r="D105" i="150"/>
  <c r="J105" i="150"/>
  <c r="E105" i="150"/>
  <c r="K105" i="150"/>
  <c r="F105" i="150"/>
  <c r="I106" i="150"/>
  <c r="D106" i="150"/>
  <c r="J106" i="150"/>
  <c r="E106" i="150"/>
  <c r="K106" i="150"/>
  <c r="F106" i="150"/>
  <c r="I107" i="150"/>
  <c r="D107" i="150"/>
  <c r="J107" i="150"/>
  <c r="E107" i="150"/>
  <c r="K107" i="150"/>
  <c r="F107" i="150"/>
  <c r="I108" i="150"/>
  <c r="D108" i="150"/>
  <c r="J108" i="150"/>
  <c r="E108" i="150"/>
  <c r="K108" i="150"/>
  <c r="F108" i="150"/>
  <c r="I109" i="150"/>
  <c r="D109" i="150"/>
  <c r="J109" i="150"/>
  <c r="E109" i="150"/>
  <c r="K109" i="150"/>
  <c r="F109" i="150"/>
  <c r="I110" i="150"/>
  <c r="D110" i="150"/>
  <c r="J110" i="150"/>
  <c r="E110" i="150"/>
  <c r="K110" i="150"/>
  <c r="F110" i="150"/>
  <c r="I111" i="150"/>
  <c r="D111" i="150"/>
  <c r="J111" i="150"/>
  <c r="E111" i="150"/>
  <c r="K111" i="150"/>
  <c r="F111" i="150"/>
  <c r="I112" i="150"/>
  <c r="D112" i="150"/>
  <c r="J112" i="150"/>
  <c r="E112" i="150"/>
  <c r="K112" i="150"/>
  <c r="F112" i="150"/>
  <c r="I113" i="150"/>
  <c r="D113" i="150"/>
  <c r="J113" i="150"/>
  <c r="E113" i="150"/>
  <c r="K113" i="150"/>
  <c r="F113" i="150"/>
  <c r="I114" i="150"/>
  <c r="D114" i="150"/>
  <c r="J114" i="150"/>
  <c r="E114" i="150"/>
  <c r="K114" i="150"/>
  <c r="F114" i="150"/>
  <c r="I115" i="150"/>
  <c r="D115" i="150"/>
  <c r="J115" i="150"/>
  <c r="E115" i="150"/>
  <c r="K115" i="150"/>
  <c r="F115" i="150"/>
  <c r="I116" i="150"/>
  <c r="D116" i="150"/>
  <c r="J116" i="150"/>
  <c r="E116" i="150"/>
  <c r="K116" i="150"/>
  <c r="F116" i="150"/>
  <c r="I117" i="150"/>
  <c r="D117" i="150"/>
  <c r="J117" i="150"/>
  <c r="E117" i="150"/>
  <c r="K117" i="150"/>
  <c r="F117" i="150"/>
  <c r="I118" i="150"/>
  <c r="D118" i="150"/>
  <c r="J118" i="150"/>
  <c r="E118" i="150"/>
  <c r="K118" i="150"/>
  <c r="F118" i="150"/>
  <c r="I119" i="150"/>
  <c r="D119" i="150"/>
  <c r="J119" i="150"/>
  <c r="E119" i="150"/>
  <c r="K119" i="150"/>
  <c r="F119" i="150"/>
  <c r="I120" i="150"/>
  <c r="D120" i="150"/>
  <c r="J120" i="150"/>
  <c r="E120" i="150"/>
  <c r="K120" i="150"/>
  <c r="F120" i="150"/>
  <c r="I121" i="150"/>
  <c r="D121" i="150"/>
  <c r="J121" i="150"/>
  <c r="E121" i="150"/>
  <c r="K121" i="150"/>
  <c r="F121" i="150"/>
  <c r="I122" i="150"/>
  <c r="D122" i="150"/>
  <c r="J122" i="150"/>
  <c r="E122" i="150"/>
  <c r="K122" i="150"/>
  <c r="F122" i="150"/>
  <c r="I123" i="150"/>
  <c r="D123" i="150"/>
  <c r="J123" i="150"/>
  <c r="E123" i="150"/>
  <c r="K123" i="150"/>
  <c r="F123" i="150"/>
  <c r="I124" i="150"/>
  <c r="D124" i="150"/>
  <c r="J124" i="150"/>
  <c r="E124" i="150"/>
  <c r="K124" i="150"/>
  <c r="F124" i="150"/>
  <c r="I125" i="150"/>
  <c r="D125" i="150"/>
  <c r="J125" i="150"/>
  <c r="E125" i="150"/>
  <c r="K125" i="150"/>
  <c r="F125" i="150"/>
  <c r="I126" i="150"/>
  <c r="D126" i="150"/>
  <c r="J126" i="150"/>
  <c r="E126" i="150"/>
  <c r="K126" i="150"/>
  <c r="F126" i="150"/>
  <c r="I127" i="150"/>
  <c r="D127" i="150"/>
  <c r="J127" i="150"/>
  <c r="E127" i="150"/>
  <c r="K127" i="150"/>
  <c r="F127" i="150"/>
  <c r="I128" i="150"/>
  <c r="D128" i="150"/>
  <c r="J128" i="150"/>
  <c r="E128" i="150"/>
  <c r="K128" i="150"/>
  <c r="F128" i="150"/>
  <c r="I129" i="150"/>
  <c r="D129" i="150"/>
  <c r="J129" i="150"/>
  <c r="E129" i="150"/>
  <c r="K129" i="150"/>
  <c r="F129" i="150"/>
  <c r="I130" i="150"/>
  <c r="D130" i="150"/>
  <c r="J130" i="150"/>
  <c r="E130" i="150"/>
  <c r="K130" i="150"/>
  <c r="F130" i="150"/>
  <c r="I131" i="150"/>
  <c r="D131" i="150"/>
  <c r="J131" i="150"/>
  <c r="E131" i="150"/>
  <c r="K131" i="150"/>
  <c r="F131" i="150"/>
  <c r="I132" i="150"/>
  <c r="D132" i="150"/>
  <c r="J132" i="150"/>
  <c r="E132" i="150"/>
  <c r="K132" i="150"/>
  <c r="F132" i="150"/>
  <c r="I133" i="150"/>
  <c r="D133" i="150"/>
  <c r="J133" i="150"/>
  <c r="E133" i="150"/>
  <c r="K133" i="150"/>
  <c r="F133" i="150"/>
  <c r="I134" i="150"/>
  <c r="D134" i="150"/>
  <c r="J134" i="150"/>
  <c r="E134" i="150"/>
  <c r="K134" i="150"/>
  <c r="F134" i="150"/>
  <c r="I135" i="150"/>
  <c r="D135" i="150"/>
  <c r="J135" i="150"/>
  <c r="E135" i="150"/>
  <c r="K135" i="150"/>
  <c r="F135" i="150"/>
  <c r="I136" i="150"/>
  <c r="D136" i="150"/>
  <c r="J136" i="150"/>
  <c r="E136" i="150"/>
  <c r="K136" i="150"/>
  <c r="F136" i="150"/>
  <c r="I137" i="150"/>
  <c r="D137" i="150"/>
  <c r="J137" i="150"/>
  <c r="E137" i="150"/>
  <c r="K137" i="150"/>
  <c r="F137" i="150"/>
  <c r="I138" i="150"/>
  <c r="D138" i="150"/>
  <c r="J138" i="150"/>
  <c r="E138" i="150"/>
  <c r="K138" i="150"/>
  <c r="F138" i="150"/>
  <c r="I139" i="150"/>
  <c r="D139" i="150"/>
  <c r="J139" i="150"/>
  <c r="E139" i="150"/>
  <c r="K139" i="150"/>
  <c r="F139" i="150"/>
  <c r="I140" i="150"/>
  <c r="D140" i="150"/>
  <c r="J140" i="150"/>
  <c r="E140" i="150"/>
  <c r="K140" i="150"/>
  <c r="F140" i="150"/>
  <c r="I141" i="150"/>
  <c r="D141" i="150"/>
  <c r="J141" i="150"/>
  <c r="E141" i="150"/>
  <c r="K141" i="150"/>
  <c r="F141" i="150"/>
  <c r="I142" i="150"/>
  <c r="D142" i="150"/>
  <c r="J142" i="150"/>
  <c r="E142" i="150"/>
  <c r="K142" i="150"/>
  <c r="F142" i="150"/>
  <c r="I143" i="150"/>
  <c r="D143" i="150"/>
  <c r="J143" i="150"/>
  <c r="E143" i="150"/>
  <c r="K143" i="150"/>
  <c r="F143" i="150"/>
  <c r="I144" i="150"/>
  <c r="D144" i="150"/>
  <c r="J144" i="150"/>
  <c r="E144" i="150"/>
  <c r="K144" i="150"/>
  <c r="F144" i="150"/>
  <c r="I145" i="150"/>
  <c r="D145" i="150"/>
  <c r="J145" i="150"/>
  <c r="E145" i="150"/>
  <c r="K145" i="150"/>
  <c r="F145" i="150"/>
  <c r="I146" i="150"/>
  <c r="D146" i="150"/>
  <c r="J146" i="150"/>
  <c r="E146" i="150"/>
  <c r="K146" i="150"/>
  <c r="F146" i="150"/>
  <c r="I147" i="150"/>
  <c r="D147" i="150"/>
  <c r="J147" i="150"/>
  <c r="E147" i="150"/>
  <c r="K147" i="150"/>
  <c r="F147" i="150"/>
  <c r="I148" i="150"/>
  <c r="D148" i="150"/>
  <c r="J148" i="150"/>
  <c r="E148" i="150"/>
  <c r="K148" i="150"/>
  <c r="F148" i="150"/>
  <c r="I149" i="150"/>
  <c r="D149" i="150"/>
  <c r="J149" i="150"/>
  <c r="E149" i="150"/>
  <c r="K149" i="150"/>
  <c r="F149" i="150"/>
  <c r="I150" i="150"/>
  <c r="D150" i="150"/>
  <c r="J150" i="150"/>
  <c r="E150" i="150"/>
  <c r="K150" i="150"/>
  <c r="F150" i="150"/>
  <c r="I151" i="150"/>
  <c r="D151" i="150"/>
  <c r="J151" i="150"/>
  <c r="E151" i="150"/>
  <c r="K151" i="150"/>
  <c r="F151" i="150"/>
  <c r="I152" i="150"/>
  <c r="D152" i="150"/>
  <c r="J152" i="150"/>
  <c r="E152" i="150"/>
  <c r="K152" i="150"/>
  <c r="F152" i="150"/>
  <c r="I153" i="150"/>
  <c r="D153" i="150"/>
  <c r="J153" i="150"/>
  <c r="E153" i="150"/>
  <c r="K153" i="150"/>
  <c r="F153" i="150"/>
  <c r="I154" i="150"/>
  <c r="D154" i="150"/>
  <c r="J154" i="150"/>
  <c r="E154" i="150"/>
  <c r="K154" i="150"/>
  <c r="F154" i="150"/>
  <c r="I155" i="150"/>
  <c r="D155" i="150"/>
  <c r="J155" i="150"/>
  <c r="E155" i="150"/>
  <c r="K155" i="150"/>
  <c r="F155" i="150"/>
  <c r="I156" i="150"/>
  <c r="D156" i="150"/>
  <c r="J156" i="150"/>
  <c r="E156" i="150"/>
  <c r="K156" i="150"/>
  <c r="F156" i="150"/>
  <c r="I157" i="150"/>
  <c r="D157" i="150"/>
  <c r="J157" i="150"/>
  <c r="E157" i="150"/>
  <c r="K157" i="150"/>
  <c r="F157" i="150"/>
  <c r="I158" i="150"/>
  <c r="D158" i="150"/>
  <c r="J158" i="150"/>
  <c r="E158" i="150"/>
  <c r="K158" i="150"/>
  <c r="F158" i="150"/>
  <c r="I159" i="150"/>
  <c r="D159" i="150"/>
  <c r="J159" i="150"/>
  <c r="E159" i="150"/>
  <c r="K159" i="150"/>
  <c r="F159" i="150"/>
  <c r="I160" i="150"/>
  <c r="D160" i="150"/>
  <c r="J160" i="150"/>
  <c r="E160" i="150"/>
  <c r="K160" i="150"/>
  <c r="F160" i="150"/>
  <c r="I161" i="150"/>
  <c r="D161" i="150"/>
  <c r="J161" i="150"/>
  <c r="E161" i="150"/>
  <c r="K161" i="150"/>
  <c r="F161" i="150"/>
  <c r="I162" i="150"/>
  <c r="D162" i="150"/>
  <c r="J162" i="150"/>
  <c r="E162" i="150"/>
  <c r="K162" i="150"/>
  <c r="F162" i="150"/>
  <c r="I163" i="150"/>
  <c r="D163" i="150"/>
  <c r="J163" i="150"/>
  <c r="E163" i="150"/>
  <c r="K163" i="150"/>
  <c r="F163" i="150"/>
  <c r="I164" i="150"/>
  <c r="D164" i="150"/>
  <c r="J164" i="150"/>
  <c r="E164" i="150"/>
  <c r="K164" i="150"/>
  <c r="F164" i="150"/>
  <c r="I165" i="150"/>
  <c r="D165" i="150"/>
  <c r="J165" i="150"/>
  <c r="E165" i="150"/>
  <c r="K165" i="150"/>
  <c r="F165" i="150"/>
  <c r="I166" i="150"/>
  <c r="D166" i="150"/>
  <c r="J166" i="150"/>
  <c r="E166" i="150"/>
  <c r="K166" i="150"/>
  <c r="F166" i="150"/>
  <c r="I167" i="150"/>
  <c r="D167" i="150"/>
  <c r="J167" i="150"/>
  <c r="E167" i="150"/>
  <c r="K167" i="150"/>
  <c r="F167" i="150"/>
  <c r="I168" i="150"/>
  <c r="D168" i="150"/>
  <c r="J168" i="150"/>
  <c r="E168" i="150"/>
  <c r="K168" i="150"/>
  <c r="F168" i="150"/>
  <c r="I169" i="150"/>
  <c r="D169" i="150"/>
  <c r="J169" i="150"/>
  <c r="E169" i="150"/>
  <c r="K169" i="150"/>
  <c r="F169" i="150"/>
  <c r="I170" i="150"/>
  <c r="D170" i="150"/>
  <c r="J170" i="150"/>
  <c r="E170" i="150"/>
  <c r="K170" i="150"/>
  <c r="F170" i="150"/>
  <c r="I171" i="150"/>
  <c r="D171" i="150"/>
  <c r="J171" i="150"/>
  <c r="E171" i="150"/>
  <c r="K171" i="150"/>
  <c r="F171" i="150"/>
  <c r="I172" i="150"/>
  <c r="D172" i="150"/>
  <c r="J172" i="150"/>
  <c r="E172" i="150"/>
  <c r="K172" i="150"/>
  <c r="F172" i="150"/>
  <c r="I173" i="150"/>
  <c r="D173" i="150"/>
  <c r="J173" i="150"/>
  <c r="E173" i="150"/>
  <c r="K173" i="150"/>
  <c r="F173" i="150"/>
  <c r="I174" i="150"/>
  <c r="D174" i="150"/>
  <c r="J174" i="150"/>
  <c r="E174" i="150"/>
  <c r="K174" i="150"/>
  <c r="F174" i="150"/>
  <c r="I175" i="150"/>
  <c r="D175" i="150"/>
  <c r="J175" i="150"/>
  <c r="E175" i="150"/>
  <c r="K175" i="150"/>
  <c r="F175" i="150"/>
  <c r="I176" i="150"/>
  <c r="D176" i="150"/>
  <c r="J176" i="150"/>
  <c r="E176" i="150"/>
  <c r="K176" i="150"/>
  <c r="F176" i="150"/>
  <c r="I177" i="150"/>
  <c r="D177" i="150"/>
  <c r="J177" i="150"/>
  <c r="E177" i="150"/>
  <c r="K177" i="150"/>
  <c r="F177" i="150"/>
  <c r="I178" i="150"/>
  <c r="D178" i="150"/>
  <c r="J178" i="150"/>
  <c r="E178" i="150"/>
  <c r="K178" i="150"/>
  <c r="F178" i="150"/>
  <c r="I179" i="150"/>
  <c r="D179" i="150"/>
  <c r="J179" i="150"/>
  <c r="E179" i="150"/>
  <c r="K179" i="150"/>
  <c r="F179" i="150"/>
  <c r="I180" i="150"/>
  <c r="D180" i="150"/>
  <c r="J180" i="150"/>
  <c r="E180" i="150"/>
  <c r="K180" i="150"/>
  <c r="F180" i="150"/>
  <c r="I181" i="150"/>
  <c r="D181" i="150"/>
  <c r="J181" i="150"/>
  <c r="E181" i="150"/>
  <c r="K181" i="150"/>
  <c r="F181" i="150"/>
  <c r="I182" i="150"/>
  <c r="D182" i="150"/>
  <c r="J182" i="150"/>
  <c r="E182" i="150"/>
  <c r="K182" i="150"/>
  <c r="F182" i="150"/>
  <c r="I183" i="150"/>
  <c r="D183" i="150"/>
  <c r="J183" i="150"/>
  <c r="E183" i="150"/>
  <c r="K183" i="150"/>
  <c r="F183" i="150"/>
  <c r="I184" i="150"/>
  <c r="D184" i="150"/>
  <c r="J184" i="150"/>
  <c r="E184" i="150"/>
  <c r="K184" i="150"/>
  <c r="F184" i="150"/>
  <c r="I185" i="150"/>
  <c r="D185" i="150"/>
  <c r="J185" i="150"/>
  <c r="E185" i="150"/>
  <c r="K185" i="150"/>
  <c r="F185" i="150"/>
  <c r="I186" i="150"/>
  <c r="D186" i="150"/>
  <c r="J186" i="150"/>
  <c r="E186" i="150"/>
  <c r="K186" i="150"/>
  <c r="F186" i="150"/>
  <c r="I187" i="150"/>
  <c r="D187" i="150"/>
  <c r="J187" i="150"/>
  <c r="E187" i="150"/>
  <c r="K187" i="150"/>
  <c r="F187" i="150"/>
  <c r="I188" i="150"/>
  <c r="D188" i="150"/>
  <c r="J188" i="150"/>
  <c r="E188" i="150"/>
  <c r="K188" i="150"/>
  <c r="F188" i="150"/>
  <c r="I189" i="150"/>
  <c r="D189" i="150"/>
  <c r="J189" i="150"/>
  <c r="E189" i="150"/>
  <c r="K189" i="150"/>
  <c r="F189" i="150"/>
  <c r="I190" i="150"/>
  <c r="D190" i="150"/>
  <c r="J190" i="150"/>
  <c r="E190" i="150"/>
  <c r="K190" i="150"/>
  <c r="F190" i="150"/>
  <c r="I191" i="150"/>
  <c r="D191" i="150"/>
  <c r="J191" i="150"/>
  <c r="E191" i="150"/>
  <c r="K191" i="150"/>
  <c r="F191" i="150"/>
  <c r="I192" i="150"/>
  <c r="D192" i="150"/>
  <c r="J192" i="150"/>
  <c r="E192" i="150"/>
  <c r="K192" i="150"/>
  <c r="F192" i="150"/>
  <c r="I193" i="150"/>
  <c r="D193" i="150"/>
  <c r="J193" i="150"/>
  <c r="E193" i="150"/>
  <c r="K193" i="150"/>
  <c r="F193" i="150"/>
  <c r="I194" i="150"/>
  <c r="D194" i="150"/>
  <c r="J194" i="150"/>
  <c r="E194" i="150"/>
  <c r="K194" i="150"/>
  <c r="F194" i="150"/>
  <c r="I195" i="150"/>
  <c r="D195" i="150"/>
  <c r="J195" i="150"/>
  <c r="E195" i="150"/>
  <c r="K195" i="150"/>
  <c r="F195" i="150"/>
  <c r="I196" i="150"/>
  <c r="D196" i="150"/>
  <c r="J196" i="150"/>
  <c r="E196" i="150"/>
  <c r="K196" i="150"/>
  <c r="F196" i="150"/>
  <c r="I197" i="150"/>
  <c r="D197" i="150"/>
  <c r="J197" i="150"/>
  <c r="E197" i="150"/>
  <c r="K197" i="150"/>
  <c r="F197" i="150"/>
  <c r="I198" i="150"/>
  <c r="D198" i="150"/>
  <c r="J198" i="150"/>
  <c r="E198" i="150"/>
  <c r="K198" i="150"/>
  <c r="F198" i="150"/>
  <c r="I199" i="150"/>
  <c r="D199" i="150"/>
  <c r="J199" i="150"/>
  <c r="E199" i="150"/>
  <c r="K199" i="150"/>
  <c r="F199" i="150"/>
  <c r="I200" i="150"/>
  <c r="D200" i="150"/>
  <c r="J200" i="150"/>
  <c r="E200" i="150"/>
  <c r="K200" i="150"/>
  <c r="F200" i="150"/>
  <c r="I201" i="150"/>
  <c r="D201" i="150"/>
  <c r="J201" i="150"/>
  <c r="E201" i="150"/>
  <c r="K201" i="150"/>
  <c r="F201" i="150"/>
  <c r="I202" i="150"/>
  <c r="D202" i="150"/>
  <c r="J202" i="150"/>
  <c r="E202" i="150"/>
  <c r="K202" i="150"/>
  <c r="F202" i="150"/>
  <c r="I203" i="150"/>
  <c r="D203" i="150"/>
  <c r="J203" i="150"/>
  <c r="E203" i="150"/>
  <c r="K203" i="150"/>
  <c r="F203" i="150"/>
  <c r="I204" i="150"/>
  <c r="D204" i="150"/>
  <c r="J204" i="150"/>
  <c r="E204" i="150"/>
  <c r="K204" i="150"/>
  <c r="F204" i="150"/>
  <c r="I205" i="150"/>
  <c r="D205" i="150"/>
  <c r="J205" i="150"/>
  <c r="E205" i="150"/>
  <c r="K205" i="150"/>
  <c r="F205" i="150"/>
  <c r="I206" i="150"/>
  <c r="D206" i="150"/>
  <c r="J206" i="150"/>
  <c r="E206" i="150"/>
  <c r="K206" i="150"/>
  <c r="F206" i="150"/>
  <c r="I207" i="150"/>
  <c r="D207" i="150"/>
  <c r="J207" i="150"/>
  <c r="E207" i="150"/>
  <c r="K207" i="150"/>
  <c r="F207" i="150"/>
  <c r="I208" i="150"/>
  <c r="D208" i="150"/>
  <c r="J208" i="150"/>
  <c r="E208" i="150"/>
  <c r="K208" i="150"/>
  <c r="F208" i="150"/>
  <c r="I209" i="150"/>
  <c r="D209" i="150"/>
  <c r="J209" i="150"/>
  <c r="E209" i="150"/>
  <c r="K209" i="150"/>
  <c r="F209" i="150"/>
  <c r="I210" i="150"/>
  <c r="D210" i="150"/>
  <c r="J210" i="150"/>
  <c r="E210" i="150"/>
  <c r="K210" i="150"/>
  <c r="F210" i="150"/>
  <c r="I211" i="150"/>
  <c r="D211" i="150"/>
  <c r="J211" i="150"/>
  <c r="E211" i="150"/>
  <c r="K211" i="150"/>
  <c r="F211" i="150"/>
  <c r="I212" i="150"/>
  <c r="D212" i="150"/>
  <c r="J212" i="150"/>
  <c r="E212" i="150"/>
  <c r="K212" i="150"/>
  <c r="F212" i="150"/>
  <c r="I213" i="150"/>
  <c r="D213" i="150"/>
  <c r="J213" i="150"/>
  <c r="E213" i="150"/>
  <c r="K213" i="150"/>
  <c r="F213" i="150"/>
  <c r="I214" i="150"/>
  <c r="D214" i="150"/>
  <c r="J214" i="150"/>
  <c r="E214" i="150"/>
  <c r="K214" i="150"/>
  <c r="F214" i="150"/>
  <c r="I215" i="150"/>
  <c r="J215" i="150"/>
  <c r="D215" i="150"/>
  <c r="E215" i="150"/>
  <c r="K215" i="150"/>
  <c r="F215" i="150"/>
  <c r="I216" i="150"/>
  <c r="J216" i="150"/>
  <c r="D216" i="150"/>
  <c r="E216" i="150"/>
  <c r="K216" i="150"/>
  <c r="F216" i="150"/>
  <c r="I217" i="150"/>
  <c r="J217" i="150"/>
  <c r="D217" i="150"/>
  <c r="E217" i="150"/>
  <c r="K217" i="150"/>
  <c r="F217" i="150"/>
  <c r="I218" i="150"/>
  <c r="J218" i="150"/>
  <c r="D218" i="150"/>
  <c r="E218" i="150"/>
  <c r="K218" i="150"/>
  <c r="F218" i="150"/>
  <c r="I219" i="150"/>
  <c r="J219" i="150"/>
  <c r="D219" i="150"/>
  <c r="E219" i="150"/>
  <c r="K219" i="150"/>
  <c r="F219" i="150"/>
  <c r="I220" i="150"/>
  <c r="J220" i="150"/>
  <c r="D220" i="150"/>
  <c r="E220" i="150"/>
  <c r="K220" i="150"/>
  <c r="F220" i="150"/>
  <c r="I221" i="150"/>
  <c r="D221" i="150"/>
  <c r="J221" i="150"/>
  <c r="E221" i="150"/>
  <c r="K221" i="150"/>
  <c r="F221" i="150"/>
  <c r="I222" i="150"/>
  <c r="D222" i="150"/>
  <c r="J222" i="150"/>
  <c r="E222" i="150"/>
  <c r="K222" i="150"/>
  <c r="F222" i="150"/>
  <c r="I223" i="150"/>
  <c r="D223" i="150"/>
  <c r="J223" i="150"/>
  <c r="E223" i="150"/>
  <c r="K223" i="150"/>
  <c r="F223" i="150"/>
  <c r="I224" i="150"/>
  <c r="D224" i="150"/>
  <c r="J224" i="150"/>
  <c r="E224" i="150"/>
  <c r="K224" i="150"/>
  <c r="F224" i="150"/>
  <c r="I225" i="150"/>
  <c r="D225" i="150"/>
  <c r="J225" i="150"/>
  <c r="E225" i="150"/>
  <c r="K225" i="150"/>
  <c r="F225" i="150"/>
  <c r="I226" i="150"/>
  <c r="D226" i="150"/>
  <c r="J226" i="150"/>
  <c r="E226" i="150"/>
  <c r="K226" i="150"/>
  <c r="F226" i="150"/>
  <c r="I227" i="150"/>
  <c r="D227" i="150"/>
  <c r="J227" i="150"/>
  <c r="E227" i="150"/>
  <c r="K227" i="150"/>
  <c r="F227" i="150"/>
  <c r="I228" i="150"/>
  <c r="D228" i="150"/>
  <c r="J228" i="150"/>
  <c r="E228" i="150"/>
  <c r="K228" i="150"/>
  <c r="F228" i="150"/>
  <c r="I229" i="150"/>
  <c r="D229" i="150"/>
  <c r="J229" i="150"/>
  <c r="E229" i="150"/>
  <c r="K229" i="150"/>
  <c r="F229" i="150"/>
  <c r="I230" i="150"/>
  <c r="D230" i="150"/>
  <c r="J230" i="150"/>
  <c r="E230" i="150"/>
  <c r="K230" i="150"/>
  <c r="F230" i="150"/>
  <c r="I231" i="150"/>
  <c r="D231" i="150"/>
  <c r="J231" i="150"/>
  <c r="E231" i="150"/>
  <c r="K231" i="150"/>
  <c r="F231" i="150"/>
  <c r="I232" i="150"/>
  <c r="D232" i="150"/>
  <c r="J232" i="150"/>
  <c r="E232" i="150"/>
  <c r="K232" i="150"/>
  <c r="F232" i="150"/>
  <c r="I233" i="150"/>
  <c r="D233" i="150"/>
  <c r="J233" i="150"/>
  <c r="E233" i="150"/>
  <c r="K233" i="150"/>
  <c r="F233" i="150"/>
  <c r="I234" i="150"/>
  <c r="D234" i="150"/>
  <c r="J234" i="150"/>
  <c r="E234" i="150"/>
  <c r="K234" i="150"/>
  <c r="F234" i="150"/>
  <c r="I235" i="150"/>
  <c r="D235" i="150"/>
  <c r="J235" i="150"/>
  <c r="E235" i="150"/>
  <c r="K235" i="150"/>
  <c r="F235" i="150"/>
  <c r="I236" i="150"/>
  <c r="D236" i="150"/>
  <c r="J236" i="150"/>
  <c r="E236" i="150"/>
  <c r="K236" i="150"/>
  <c r="F236" i="150"/>
  <c r="I237" i="150"/>
  <c r="D237" i="150"/>
  <c r="J237" i="150"/>
  <c r="E237" i="150"/>
  <c r="K237" i="150"/>
  <c r="F237" i="150"/>
  <c r="I238" i="150"/>
  <c r="D238" i="150"/>
  <c r="J238" i="150"/>
  <c r="E238" i="150"/>
  <c r="K238" i="150"/>
  <c r="F238" i="150"/>
  <c r="I239" i="150"/>
  <c r="D239" i="150"/>
  <c r="J239" i="150"/>
  <c r="E239" i="150"/>
  <c r="K239" i="150"/>
  <c r="F239" i="150"/>
  <c r="I240" i="150"/>
  <c r="D240" i="150"/>
  <c r="J240" i="150"/>
  <c r="E240" i="150"/>
  <c r="K240" i="150"/>
  <c r="F240" i="150"/>
  <c r="I241" i="150"/>
  <c r="D241" i="150"/>
  <c r="J241" i="150"/>
  <c r="E241" i="150"/>
  <c r="K241" i="150"/>
  <c r="F241" i="150"/>
  <c r="I242" i="150"/>
  <c r="D242" i="150"/>
  <c r="J242" i="150"/>
  <c r="E242" i="150"/>
  <c r="K242" i="150"/>
  <c r="F242" i="150"/>
  <c r="I243" i="150"/>
  <c r="D243" i="150"/>
  <c r="J243" i="150"/>
  <c r="E243" i="150"/>
  <c r="K243" i="150"/>
  <c r="F243" i="150"/>
  <c r="I244" i="150"/>
  <c r="D244" i="150"/>
  <c r="J244" i="150"/>
  <c r="E244" i="150"/>
  <c r="K244" i="150"/>
  <c r="F244" i="150"/>
  <c r="I245" i="150"/>
  <c r="D245" i="150"/>
  <c r="J245" i="150"/>
  <c r="E245" i="150"/>
  <c r="K245" i="150"/>
  <c r="F245" i="150"/>
  <c r="I246" i="150"/>
  <c r="D246" i="150"/>
  <c r="J246" i="150"/>
  <c r="E246" i="150"/>
  <c r="K246" i="150"/>
  <c r="F246" i="150"/>
  <c r="I247" i="150"/>
  <c r="D247" i="150"/>
  <c r="J247" i="150"/>
  <c r="E247" i="150"/>
  <c r="K247" i="150"/>
  <c r="F247" i="150"/>
  <c r="I248" i="150"/>
  <c r="D248" i="150"/>
  <c r="J248" i="150"/>
  <c r="E248" i="150"/>
  <c r="K248" i="150"/>
  <c r="F248" i="150"/>
  <c r="I249" i="150"/>
  <c r="D249" i="150"/>
  <c r="J249" i="150"/>
  <c r="E249" i="150"/>
  <c r="K249" i="150"/>
  <c r="F249" i="150"/>
  <c r="I250" i="150"/>
  <c r="D250" i="150"/>
  <c r="J250" i="150"/>
  <c r="E250" i="150"/>
  <c r="K250" i="150"/>
  <c r="F250" i="150"/>
  <c r="I251" i="150"/>
  <c r="D251" i="150"/>
  <c r="J251" i="150"/>
  <c r="E251" i="150"/>
  <c r="K251" i="150"/>
  <c r="F251" i="150"/>
  <c r="I252" i="150"/>
  <c r="D252" i="150"/>
  <c r="J252" i="150"/>
  <c r="E252" i="150"/>
  <c r="K252" i="150"/>
  <c r="F252" i="150"/>
  <c r="I253" i="150"/>
  <c r="D253" i="150"/>
  <c r="J253" i="150"/>
  <c r="E253" i="150"/>
  <c r="K253" i="150"/>
  <c r="F253" i="150"/>
  <c r="I254" i="150"/>
  <c r="D254" i="150"/>
  <c r="J254" i="150"/>
  <c r="E254" i="150"/>
  <c r="K254" i="150"/>
  <c r="F254" i="150"/>
  <c r="I255" i="150"/>
  <c r="D255" i="150"/>
  <c r="J255" i="150"/>
  <c r="E255" i="150"/>
  <c r="K255" i="150"/>
  <c r="F255" i="150"/>
  <c r="I256" i="150"/>
  <c r="D256" i="150"/>
  <c r="J256" i="150"/>
  <c r="E256" i="150"/>
  <c r="K256" i="150"/>
  <c r="F256" i="150"/>
  <c r="I257" i="150"/>
  <c r="D257" i="150"/>
  <c r="J257" i="150"/>
  <c r="E257" i="150"/>
  <c r="K257" i="150"/>
  <c r="F257" i="150"/>
  <c r="I258" i="150"/>
  <c r="D258" i="150"/>
  <c r="J258" i="150"/>
  <c r="E258" i="150"/>
  <c r="K258" i="150"/>
  <c r="F258" i="150"/>
  <c r="I259" i="150"/>
  <c r="D259" i="150"/>
  <c r="J259" i="150"/>
  <c r="E259" i="150"/>
  <c r="K259" i="150"/>
  <c r="F259" i="150"/>
  <c r="I260" i="150"/>
  <c r="D260" i="150"/>
  <c r="J260" i="150"/>
  <c r="E260" i="150"/>
  <c r="K260" i="150"/>
  <c r="F260" i="150"/>
  <c r="I261" i="150"/>
  <c r="D261" i="150"/>
  <c r="J261" i="150"/>
  <c r="E261" i="150"/>
  <c r="K261" i="150"/>
  <c r="F261" i="150"/>
  <c r="I262" i="150"/>
  <c r="D262" i="150"/>
  <c r="J262" i="150"/>
  <c r="E262" i="150"/>
  <c r="K262" i="150"/>
  <c r="F262" i="150"/>
  <c r="I263" i="150"/>
  <c r="D263" i="150"/>
  <c r="J263" i="150"/>
  <c r="E263" i="150"/>
  <c r="K263" i="150"/>
  <c r="F263" i="150"/>
  <c r="I264" i="150"/>
  <c r="D264" i="150"/>
  <c r="J264" i="150"/>
  <c r="E264" i="150"/>
  <c r="K264" i="150"/>
  <c r="F264" i="150"/>
  <c r="I265" i="150"/>
  <c r="D265" i="150"/>
  <c r="J265" i="150"/>
  <c r="E265" i="150"/>
  <c r="K265" i="150"/>
  <c r="F265" i="150"/>
  <c r="I266" i="150"/>
  <c r="D266" i="150"/>
  <c r="J266" i="150"/>
  <c r="E266" i="150"/>
  <c r="K266" i="150"/>
  <c r="F266" i="150"/>
  <c r="I267" i="150"/>
  <c r="D267" i="150"/>
  <c r="J267" i="150"/>
  <c r="E267" i="150"/>
  <c r="K267" i="150"/>
  <c r="F267" i="150"/>
  <c r="I268" i="150"/>
  <c r="D268" i="150"/>
  <c r="J268" i="150"/>
  <c r="E268" i="150"/>
  <c r="K268" i="150"/>
  <c r="F268" i="150"/>
  <c r="I269" i="150"/>
  <c r="D269" i="150"/>
  <c r="J269" i="150"/>
  <c r="E269" i="150"/>
  <c r="K269" i="150"/>
  <c r="F269" i="150"/>
  <c r="I270" i="150"/>
  <c r="D270" i="150"/>
  <c r="J270" i="150"/>
  <c r="E270" i="150"/>
  <c r="K270" i="150"/>
  <c r="F270" i="150"/>
  <c r="I271" i="150"/>
  <c r="D271" i="150"/>
  <c r="J271" i="150"/>
  <c r="E271" i="150"/>
  <c r="K271" i="150"/>
  <c r="F271" i="150"/>
  <c r="I272" i="150"/>
  <c r="D272" i="150"/>
  <c r="J272" i="150"/>
  <c r="E272" i="150"/>
  <c r="K272" i="150"/>
  <c r="F272" i="150"/>
  <c r="I273" i="150"/>
  <c r="D273" i="150"/>
  <c r="J273" i="150"/>
  <c r="E273" i="150"/>
  <c r="K273" i="150"/>
  <c r="F273" i="150"/>
  <c r="I274" i="150"/>
  <c r="D274" i="150"/>
  <c r="J274" i="150"/>
  <c r="E274" i="150"/>
  <c r="K274" i="150"/>
  <c r="F274" i="150"/>
  <c r="I275" i="150"/>
  <c r="D275" i="150"/>
  <c r="J275" i="150"/>
  <c r="E275" i="150"/>
  <c r="K275" i="150"/>
  <c r="F275" i="150"/>
  <c r="I276" i="150"/>
  <c r="D276" i="150"/>
  <c r="J276" i="150"/>
  <c r="E276" i="150"/>
  <c r="K276" i="150"/>
  <c r="F276" i="150"/>
  <c r="I277" i="150"/>
  <c r="D277" i="150"/>
  <c r="J277" i="150"/>
  <c r="E277" i="150"/>
  <c r="K277" i="150"/>
  <c r="F277" i="150"/>
  <c r="I278" i="150"/>
  <c r="D278" i="150"/>
  <c r="J278" i="150"/>
  <c r="E278" i="150"/>
  <c r="K278" i="150"/>
  <c r="F278" i="150"/>
  <c r="I279" i="150"/>
  <c r="D279" i="150"/>
  <c r="J279" i="150"/>
  <c r="E279" i="150"/>
  <c r="K279" i="150"/>
  <c r="F279" i="150"/>
  <c r="I280" i="150"/>
  <c r="D280" i="150"/>
  <c r="J280" i="150"/>
  <c r="E280" i="150"/>
  <c r="K280" i="150"/>
  <c r="F280" i="150"/>
  <c r="I281" i="150"/>
  <c r="D281" i="150"/>
  <c r="J281" i="150"/>
  <c r="E281" i="150"/>
  <c r="K281" i="150"/>
  <c r="F281" i="150"/>
  <c r="I282" i="150"/>
  <c r="D282" i="150"/>
  <c r="J282" i="150"/>
  <c r="E282" i="150"/>
  <c r="K282" i="150"/>
  <c r="F282" i="150"/>
  <c r="I283" i="150"/>
  <c r="D283" i="150"/>
  <c r="J283" i="150"/>
  <c r="E283" i="150"/>
  <c r="K283" i="150"/>
  <c r="F283" i="150"/>
  <c r="I284" i="150"/>
  <c r="D284" i="150"/>
  <c r="J284" i="150"/>
  <c r="E284" i="150"/>
  <c r="K284" i="150"/>
  <c r="F284" i="150"/>
  <c r="I285" i="150"/>
  <c r="D285" i="150"/>
  <c r="J285" i="150"/>
  <c r="E285" i="150"/>
  <c r="K285" i="150"/>
  <c r="F285" i="150"/>
  <c r="I286" i="150"/>
  <c r="D286" i="150"/>
  <c r="J286" i="150"/>
  <c r="E286" i="150"/>
  <c r="K286" i="150"/>
  <c r="F286" i="150"/>
  <c r="I287" i="150"/>
  <c r="D287" i="150"/>
  <c r="J287" i="150"/>
  <c r="E287" i="150"/>
  <c r="K287" i="150"/>
  <c r="F287" i="150"/>
  <c r="I288" i="150"/>
  <c r="D288" i="150"/>
  <c r="J288" i="150"/>
  <c r="E288" i="150"/>
  <c r="K288" i="150"/>
  <c r="F288" i="150"/>
  <c r="I289" i="150"/>
  <c r="D289" i="150"/>
  <c r="J289" i="150"/>
  <c r="E289" i="150"/>
  <c r="K289" i="150"/>
  <c r="F289" i="150"/>
  <c r="I290" i="150"/>
  <c r="D290" i="150"/>
  <c r="J290" i="150"/>
  <c r="E290" i="150"/>
  <c r="K290" i="150"/>
  <c r="F290" i="150"/>
  <c r="I291" i="150"/>
  <c r="D291" i="150"/>
  <c r="J291" i="150"/>
  <c r="E291" i="150"/>
  <c r="K291" i="150"/>
  <c r="F291" i="150"/>
  <c r="I292" i="150"/>
  <c r="D292" i="150"/>
  <c r="J292" i="150"/>
  <c r="E292" i="150"/>
  <c r="K292" i="150"/>
  <c r="F292" i="150"/>
  <c r="I293" i="150"/>
  <c r="D293" i="150"/>
  <c r="J293" i="150"/>
  <c r="E293" i="150"/>
  <c r="K293" i="150"/>
  <c r="F293" i="150"/>
  <c r="I294" i="150"/>
  <c r="D294" i="150"/>
  <c r="J294" i="150"/>
  <c r="E294" i="150"/>
  <c r="K294" i="150"/>
  <c r="F294" i="150"/>
  <c r="I295" i="150"/>
  <c r="D295" i="150"/>
  <c r="J295" i="150"/>
  <c r="E295" i="150"/>
  <c r="K295" i="150"/>
  <c r="F295" i="150"/>
  <c r="I296" i="150"/>
  <c r="D296" i="150"/>
  <c r="J296" i="150"/>
  <c r="E296" i="150"/>
  <c r="K296" i="150"/>
  <c r="F296" i="150"/>
  <c r="I297" i="150"/>
  <c r="D297" i="150"/>
  <c r="J297" i="150"/>
  <c r="E297" i="150"/>
  <c r="K297" i="150"/>
  <c r="F297" i="150"/>
  <c r="I298" i="150"/>
  <c r="D298" i="150"/>
  <c r="J298" i="150"/>
  <c r="E298" i="150"/>
  <c r="K298" i="150"/>
  <c r="F298" i="150"/>
  <c r="I299" i="150"/>
  <c r="D299" i="150"/>
  <c r="J299" i="150"/>
  <c r="E299" i="150"/>
  <c r="K299" i="150"/>
  <c r="F299" i="150"/>
  <c r="I300" i="150"/>
  <c r="D300" i="150"/>
  <c r="J300" i="150"/>
  <c r="E300" i="150"/>
  <c r="K300" i="150"/>
  <c r="F300" i="150"/>
  <c r="I301" i="150"/>
  <c r="D301" i="150"/>
  <c r="J301" i="150"/>
  <c r="E301" i="150"/>
  <c r="K301" i="150"/>
  <c r="F301" i="150"/>
  <c r="I302" i="150"/>
  <c r="D302" i="150"/>
  <c r="J302" i="150"/>
  <c r="E302" i="150"/>
  <c r="K302" i="150"/>
  <c r="F302" i="150"/>
  <c r="I303" i="150"/>
  <c r="D303" i="150"/>
  <c r="J303" i="150"/>
  <c r="E303" i="150"/>
  <c r="K303" i="150"/>
  <c r="F303" i="150"/>
  <c r="I304" i="150"/>
  <c r="D304" i="150"/>
  <c r="J304" i="150"/>
  <c r="E304" i="150"/>
  <c r="K304" i="150"/>
  <c r="F304" i="150"/>
  <c r="I305" i="150"/>
  <c r="D305" i="150"/>
  <c r="J305" i="150"/>
  <c r="E305" i="150"/>
  <c r="K305" i="150"/>
  <c r="F305" i="150"/>
  <c r="I306" i="150"/>
  <c r="D306" i="150"/>
  <c r="J306" i="150"/>
  <c r="E306" i="150"/>
  <c r="K306" i="150"/>
  <c r="F306" i="150"/>
  <c r="I307" i="150"/>
  <c r="D307" i="150"/>
  <c r="J307" i="150"/>
  <c r="E307" i="150"/>
  <c r="K307" i="150"/>
  <c r="F307" i="150"/>
  <c r="I308" i="150"/>
  <c r="D308" i="150"/>
  <c r="J308" i="150"/>
  <c r="E308" i="150"/>
  <c r="K308" i="150"/>
  <c r="F308" i="150"/>
  <c r="I309" i="150"/>
  <c r="D309" i="150"/>
  <c r="J309" i="150"/>
  <c r="E309" i="150"/>
  <c r="K309" i="150"/>
  <c r="F309" i="150"/>
  <c r="I310" i="150"/>
  <c r="D310" i="150"/>
  <c r="J310" i="150"/>
  <c r="E310" i="150"/>
  <c r="K310" i="150"/>
  <c r="F310" i="150"/>
  <c r="I311" i="150"/>
  <c r="D311" i="150"/>
  <c r="J311" i="150"/>
  <c r="E311" i="150"/>
  <c r="K311" i="150"/>
  <c r="F311" i="150"/>
  <c r="I312" i="150"/>
  <c r="D312" i="150"/>
  <c r="J312" i="150"/>
  <c r="E312" i="150"/>
  <c r="K312" i="150"/>
  <c r="F312" i="150"/>
  <c r="I313" i="150"/>
  <c r="D313" i="150"/>
  <c r="J313" i="150"/>
  <c r="E313" i="150"/>
  <c r="K313" i="150"/>
  <c r="F313" i="150"/>
  <c r="I314" i="150"/>
  <c r="D314" i="150"/>
  <c r="J314" i="150"/>
  <c r="E314" i="150"/>
  <c r="K314" i="150"/>
  <c r="F314" i="150"/>
  <c r="I315" i="150"/>
  <c r="D315" i="150"/>
  <c r="J315" i="150"/>
  <c r="E315" i="150"/>
  <c r="K315" i="150"/>
  <c r="F315" i="150"/>
  <c r="I316" i="150"/>
  <c r="D316" i="150"/>
  <c r="J316" i="150"/>
  <c r="E316" i="150"/>
  <c r="K316" i="150"/>
  <c r="F316" i="150"/>
  <c r="I317" i="150"/>
  <c r="D317" i="150"/>
  <c r="J317" i="150"/>
  <c r="E317" i="150"/>
  <c r="K317" i="150"/>
  <c r="F317" i="150"/>
  <c r="I318" i="150"/>
  <c r="D318" i="150"/>
  <c r="J318" i="150"/>
  <c r="E318" i="150"/>
  <c r="K318" i="150"/>
  <c r="F318" i="150"/>
  <c r="I319" i="150"/>
  <c r="D319" i="150"/>
  <c r="J319" i="150"/>
  <c r="E319" i="150"/>
  <c r="K319" i="150"/>
  <c r="F319" i="150"/>
  <c r="I320" i="150"/>
  <c r="D320" i="150"/>
  <c r="J320" i="150"/>
  <c r="E320" i="150"/>
  <c r="K320" i="150"/>
  <c r="F320" i="150"/>
  <c r="I321" i="150"/>
  <c r="D321" i="150"/>
  <c r="J321" i="150"/>
  <c r="E321" i="150"/>
  <c r="K321" i="150"/>
  <c r="F321" i="150"/>
  <c r="I322" i="150"/>
  <c r="D322" i="150"/>
  <c r="J322" i="150"/>
  <c r="E322" i="150"/>
  <c r="K322" i="150"/>
  <c r="F322" i="150"/>
  <c r="I323" i="150"/>
  <c r="D323" i="150"/>
  <c r="J323" i="150"/>
  <c r="E323" i="150"/>
  <c r="K323" i="150"/>
  <c r="F323" i="150"/>
  <c r="I324" i="150"/>
  <c r="D324" i="150"/>
  <c r="J324" i="150"/>
  <c r="E324" i="150"/>
  <c r="K324" i="150"/>
  <c r="F324" i="150"/>
  <c r="I325" i="150"/>
  <c r="D325" i="150"/>
  <c r="J325" i="150"/>
  <c r="E325" i="150"/>
  <c r="K325" i="150"/>
  <c r="F325" i="150"/>
  <c r="I326" i="150"/>
  <c r="D326" i="150"/>
  <c r="J326" i="150"/>
  <c r="E326" i="150"/>
  <c r="K326" i="150"/>
  <c r="F326" i="150"/>
  <c r="I327" i="150"/>
  <c r="D327" i="150"/>
  <c r="J327" i="150"/>
  <c r="E327" i="150"/>
  <c r="K327" i="150"/>
  <c r="F327" i="150"/>
  <c r="I328" i="150"/>
  <c r="D328" i="150"/>
  <c r="J328" i="150"/>
  <c r="E328" i="150"/>
  <c r="K328" i="150"/>
  <c r="F328" i="150"/>
  <c r="I329" i="150"/>
  <c r="D329" i="150"/>
  <c r="J329" i="150"/>
  <c r="E329" i="150"/>
  <c r="K329" i="150"/>
  <c r="F329" i="150"/>
  <c r="I330" i="150"/>
  <c r="D330" i="150"/>
  <c r="J330" i="150"/>
  <c r="E330" i="150"/>
  <c r="K330" i="150"/>
  <c r="F330" i="150"/>
  <c r="I331" i="150"/>
  <c r="D331" i="150"/>
  <c r="J331" i="150"/>
  <c r="E331" i="150"/>
  <c r="K331" i="150"/>
  <c r="F331" i="150"/>
  <c r="I332" i="150"/>
  <c r="D332" i="150"/>
  <c r="J332" i="150"/>
  <c r="E332" i="150"/>
  <c r="K332" i="150"/>
  <c r="F332" i="150"/>
  <c r="I333" i="150"/>
  <c r="D333" i="150"/>
  <c r="J333" i="150"/>
  <c r="E333" i="150"/>
  <c r="K333" i="150"/>
  <c r="F333" i="150"/>
  <c r="I334" i="150"/>
  <c r="D334" i="150"/>
  <c r="J334" i="150"/>
  <c r="E334" i="150"/>
  <c r="K334" i="150"/>
  <c r="F334" i="150"/>
  <c r="I335" i="150"/>
  <c r="D335" i="150"/>
  <c r="J335" i="150"/>
  <c r="E335" i="150"/>
  <c r="K335" i="150"/>
  <c r="F335" i="150"/>
  <c r="I336" i="150"/>
  <c r="D336" i="150"/>
  <c r="J336" i="150"/>
  <c r="E336" i="150"/>
  <c r="K336" i="150"/>
  <c r="F336" i="150"/>
  <c r="I337" i="150"/>
  <c r="D337" i="150"/>
  <c r="J337" i="150"/>
  <c r="E337" i="150"/>
  <c r="K337" i="150"/>
  <c r="F337" i="150"/>
  <c r="I338" i="150"/>
  <c r="D338" i="150"/>
  <c r="J338" i="150"/>
  <c r="E338" i="150"/>
  <c r="K338" i="150"/>
  <c r="F338" i="150"/>
  <c r="I339" i="150"/>
  <c r="D339" i="150"/>
  <c r="J339" i="150"/>
  <c r="E339" i="150"/>
  <c r="K339" i="150"/>
  <c r="F339" i="150"/>
  <c r="I340" i="150"/>
  <c r="D340" i="150"/>
  <c r="J340" i="150"/>
  <c r="E340" i="150"/>
  <c r="K340" i="150"/>
  <c r="F340" i="150"/>
  <c r="I341" i="150"/>
  <c r="D341" i="150"/>
  <c r="J341" i="150"/>
  <c r="E341" i="150"/>
  <c r="K341" i="150"/>
  <c r="F341" i="150"/>
  <c r="B11" i="149"/>
  <c r="B10" i="149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6" i="148"/>
  <c r="F63" i="147"/>
  <c r="F64" i="147"/>
  <c r="G63" i="147"/>
  <c r="G31" i="153"/>
  <c r="E31" i="153"/>
  <c r="H31" i="153"/>
  <c r="G31" i="158"/>
  <c r="E31" i="158"/>
  <c r="H31" i="158"/>
  <c r="G46" i="149"/>
  <c r="E46" i="149"/>
  <c r="H46" i="149"/>
  <c r="B11" i="106"/>
  <c r="H341" i="154"/>
  <c r="L341" i="154"/>
  <c r="M341" i="154"/>
  <c r="N341" i="154"/>
  <c r="P341" i="154"/>
  <c r="A341" i="154"/>
  <c r="H341" i="159"/>
  <c r="L341" i="159"/>
  <c r="M341" i="159"/>
  <c r="N341" i="159"/>
  <c r="P341" i="159"/>
  <c r="A341" i="159"/>
  <c r="H341" i="150"/>
  <c r="L341" i="150"/>
  <c r="M341" i="150"/>
  <c r="N341" i="150"/>
  <c r="G31" i="149"/>
  <c r="E31" i="149"/>
  <c r="H31" i="149"/>
  <c r="P341" i="150"/>
  <c r="A341" i="150"/>
  <c r="H346" i="148"/>
  <c r="L346" i="148"/>
  <c r="M346" i="148"/>
  <c r="N346" i="148"/>
  <c r="G31" i="147"/>
  <c r="E31" i="147"/>
  <c r="H31" i="147"/>
  <c r="A346" i="148"/>
  <c r="H346" i="82"/>
  <c r="L346" i="82"/>
  <c r="M346" i="82"/>
  <c r="N346" i="82"/>
  <c r="A346" i="82"/>
  <c r="H331" i="154"/>
  <c r="L331" i="154"/>
  <c r="M331" i="154"/>
  <c r="N331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H331" i="159"/>
  <c r="L331" i="159"/>
  <c r="M331" i="159"/>
  <c r="N331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H331" i="150"/>
  <c r="L331" i="150"/>
  <c r="M331" i="150"/>
  <c r="N331" i="150"/>
  <c r="P331" i="150"/>
  <c r="H332" i="150"/>
  <c r="L332" i="150"/>
  <c r="M332" i="150"/>
  <c r="N332" i="150"/>
  <c r="P332" i="150"/>
  <c r="H333" i="150"/>
  <c r="L333" i="150"/>
  <c r="M333" i="150"/>
  <c r="N333" i="150"/>
  <c r="P333" i="150"/>
  <c r="H334" i="150"/>
  <c r="L334" i="150"/>
  <c r="M334" i="150"/>
  <c r="N334" i="150"/>
  <c r="P334" i="150"/>
  <c r="H335" i="150"/>
  <c r="L335" i="150"/>
  <c r="M335" i="150"/>
  <c r="N335" i="150"/>
  <c r="P335" i="150"/>
  <c r="H336" i="150"/>
  <c r="L336" i="150"/>
  <c r="M336" i="150"/>
  <c r="N336" i="150"/>
  <c r="P336" i="150"/>
  <c r="H337" i="150"/>
  <c r="L337" i="150"/>
  <c r="M337" i="150"/>
  <c r="N337" i="150"/>
  <c r="P337" i="150"/>
  <c r="H338" i="150"/>
  <c r="L338" i="150"/>
  <c r="M338" i="150"/>
  <c r="N338" i="150"/>
  <c r="P338" i="150"/>
  <c r="H339" i="150"/>
  <c r="L339" i="150"/>
  <c r="M339" i="150"/>
  <c r="N339" i="150"/>
  <c r="P339" i="150"/>
  <c r="H340" i="150"/>
  <c r="L340" i="150"/>
  <c r="M340" i="150"/>
  <c r="N340" i="150"/>
  <c r="P340" i="150"/>
  <c r="A332" i="150"/>
  <c r="A333" i="150"/>
  <c r="A334" i="150"/>
  <c r="A335" i="150"/>
  <c r="A336" i="150"/>
  <c r="A337" i="150"/>
  <c r="A338" i="150"/>
  <c r="A339" i="150"/>
  <c r="A340" i="150"/>
  <c r="H331" i="148"/>
  <c r="L331" i="148"/>
  <c r="M331" i="148"/>
  <c r="N331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H332" i="82"/>
  <c r="L332" i="82"/>
  <c r="M332" i="82"/>
  <c r="N332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G63" i="153"/>
  <c r="H57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G63" i="158"/>
  <c r="H57" i="158"/>
  <c r="H57" i="149"/>
  <c r="P138" i="150"/>
  <c r="P139" i="150"/>
  <c r="P140" i="150"/>
  <c r="P141" i="150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F63" i="149"/>
  <c r="F64" i="149"/>
  <c r="G63" i="149"/>
  <c r="H325" i="82"/>
  <c r="L325" i="82"/>
  <c r="M325" i="82"/>
  <c r="N325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H325" i="148"/>
  <c r="L325" i="148"/>
  <c r="M325" i="148"/>
  <c r="N325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H325" i="159"/>
  <c r="L325" i="159"/>
  <c r="M325" i="159"/>
  <c r="N325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A331" i="154"/>
  <c r="H325" i="154"/>
  <c r="L325" i="154"/>
  <c r="M325" i="154"/>
  <c r="N325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55" i="106"/>
  <c r="G55" i="106"/>
  <c r="H56" i="153"/>
  <c r="H55" i="153"/>
  <c r="H56" i="158"/>
  <c r="H55" i="158"/>
  <c r="H55" i="149"/>
  <c r="H57" i="147"/>
  <c r="H56" i="147"/>
  <c r="H55" i="147"/>
  <c r="H57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P3" i="157"/>
  <c r="K3" i="157"/>
  <c r="G3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C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C36" i="153"/>
  <c r="C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C36" i="149"/>
  <c r="C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C36" i="147"/>
  <c r="C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C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C36" i="106"/>
  <c r="C35" i="106"/>
  <c r="C34" i="106"/>
  <c r="C33" i="106"/>
  <c r="C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17" i="106"/>
  <c r="C18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B47" i="106"/>
  <c r="D47" i="106"/>
  <c r="H56" i="149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  <c r="F60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<sst xmlns="http://schemas.openxmlformats.org/spreadsheetml/2006/main" count="1140" uniqueCount="306">
  <si>
    <t>character_id</t>
  </si>
  <si>
    <t>character_id</t>
    <phoneticPr fontId="9"/>
  </si>
  <si>
    <t>weight</t>
    <phoneticPr fontId="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</si>
  <si>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</si>
  <si>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</si>
  <si>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</si>
  <si>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</si>
  <si>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</si>
  <si>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</si>
  <si>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</si>
  <si>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9"/>
  </si>
  <si>
    <t>gift_id</t>
    <phoneticPr fontId="9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</si>
  <si>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</si>
  <si>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</si>
  <si>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</si>
  <si>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</si>
  <si>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</si>
  <si>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</si>
  <si>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</si>
  <si>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備考</t>
    <rPh sb="0" eb="2">
      <t>ビコウ</t>
    </rPh>
    <phoneticPr fontId="9"/>
  </si>
  <si>
    <t>character_id</t>
    <phoneticPr fontId="9"/>
  </si>
  <si>
    <t>name</t>
    <phoneticPr fontId="9"/>
  </si>
  <si>
    <t>drop_label</t>
    <phoneticPr fontId="9"/>
  </si>
  <si>
    <t>rare</t>
    <phoneticPr fontId="9"/>
  </si>
  <si>
    <t>character_type_id</t>
    <phoneticPr fontId="9"/>
  </si>
  <si>
    <t>character_tribe_id</t>
    <phoneticPr fontId="9"/>
  </si>
  <si>
    <t>unit_level</t>
    <phoneticPr fontId="9"/>
  </si>
  <si>
    <t>weight</t>
    <phoneticPr fontId="9"/>
  </si>
  <si>
    <t>接頭語</t>
    <rPh sb="0" eb="3">
      <t>セットウゴ</t>
    </rPh>
    <phoneticPr fontId="42"/>
  </si>
  <si>
    <t>識別子</t>
    <rPh sb="0" eb="3">
      <t>シキベツシ</t>
    </rPh>
    <phoneticPr fontId="42"/>
  </si>
  <si>
    <t>形式</t>
    <rPh sb="0" eb="2">
      <t>ケイシキ</t>
    </rPh>
    <phoneticPr fontId="42"/>
  </si>
  <si>
    <t>出力ファイル名</t>
    <rPh sb="0" eb="2">
      <t>シュツリョク</t>
    </rPh>
    <rPh sb="6" eb="7">
      <t>メイ</t>
    </rPh>
    <phoneticPr fontId="42"/>
  </si>
  <si>
    <t>入力シート名</t>
    <rPh sb="0" eb="2">
      <t>ニュウリョク</t>
    </rPh>
    <rPh sb="5" eb="6">
      <t>メイ</t>
    </rPh>
    <phoneticPr fontId="42"/>
  </si>
  <si>
    <t>出力データ</t>
    <rPh sb="0" eb="2">
      <t>シュツリョク</t>
    </rPh>
    <phoneticPr fontId="42"/>
  </si>
  <si>
    <t>出力flg</t>
    <rPh sb="0" eb="2">
      <t>シュツリョク</t>
    </rPh>
    <phoneticPr fontId="42"/>
  </si>
  <si>
    <t>color</t>
    <phoneticPr fontId="9"/>
  </si>
  <si>
    <t>レアリティ別確率</t>
    <rPh sb="5" eb="6">
      <t>ベツ</t>
    </rPh>
    <rPh sb="6" eb="8">
      <t>カクリツ</t>
    </rPh>
    <phoneticPr fontId="9"/>
  </si>
  <si>
    <t>ラベル別確率</t>
    <rPh sb="3" eb="4">
      <t>ベツ</t>
    </rPh>
    <rPh sb="4" eb="6">
      <t>カクリツ</t>
    </rPh>
    <phoneticPr fontId="9"/>
  </si>
  <si>
    <t>SSS</t>
    <phoneticPr fontId="9"/>
  </si>
  <si>
    <t>SS</t>
    <phoneticPr fontId="9"/>
  </si>
  <si>
    <t>ラベル*レアリティ標準確率</t>
    <rPh sb="9" eb="11">
      <t>ヒョウジュン</t>
    </rPh>
    <rPh sb="11" eb="13">
      <t>カクリツ</t>
    </rPh>
    <phoneticPr fontId="9"/>
  </si>
  <si>
    <t>性別</t>
    <rPh sb="0" eb="2">
      <t>セイベツ</t>
    </rPh>
    <phoneticPr fontId="9"/>
  </si>
  <si>
    <t>合計</t>
    <rPh sb="0" eb="2">
      <t>ゴウケイ</t>
    </rPh>
    <phoneticPr fontId="9"/>
  </si>
  <si>
    <t>グループ</t>
    <phoneticPr fontId="9"/>
  </si>
  <si>
    <t>ピックアップ確率</t>
    <rPh sb="6" eb="8">
      <t>カクリツ</t>
    </rPh>
    <phoneticPr fontId="9"/>
  </si>
  <si>
    <t>残り確率</t>
    <rPh sb="0" eb="1">
      <t>ノコ</t>
    </rPh>
    <rPh sb="2" eb="4">
      <t>カクリツ</t>
    </rPh>
    <phoneticPr fontId="9"/>
  </si>
  <si>
    <t>確率</t>
    <rPh sb="0" eb="2">
      <t>カクリツ</t>
    </rPh>
    <phoneticPr fontId="9"/>
  </si>
  <si>
    <t>所属グループ</t>
    <rPh sb="0" eb="2">
      <t>ショゾク</t>
    </rPh>
    <phoneticPr fontId="9"/>
  </si>
  <si>
    <t>名前</t>
    <rPh sb="0" eb="2">
      <t>ナマエ</t>
    </rPh>
    <phoneticPr fontId="9"/>
  </si>
  <si>
    <t>レアリティ</t>
    <phoneticPr fontId="9"/>
  </si>
  <si>
    <t>ラベル</t>
    <phoneticPr fontId="9"/>
  </si>
  <si>
    <t>R3</t>
    <phoneticPr fontId="9"/>
  </si>
  <si>
    <t>R4</t>
    <phoneticPr fontId="9"/>
  </si>
  <si>
    <t>R5</t>
    <phoneticPr fontId="9"/>
  </si>
  <si>
    <t>個別確率</t>
    <rPh sb="0" eb="4">
      <t>コベツカクリツ</t>
    </rPh>
    <phoneticPr fontId="9"/>
  </si>
  <si>
    <t>該当数(ピックアップ除く)</t>
    <rPh sb="0" eb="2">
      <t>ガイトウ</t>
    </rPh>
    <rPh sb="2" eb="3">
      <t>スウ</t>
    </rPh>
    <rPh sb="10" eb="11">
      <t>ノゾ</t>
    </rPh>
    <phoneticPr fontId="9"/>
  </si>
  <si>
    <t>個別weight</t>
    <rPh sb="0" eb="2">
      <t>コベツ</t>
    </rPh>
    <phoneticPr fontId="9"/>
  </si>
  <si>
    <t>グループweight</t>
    <phoneticPr fontId="9"/>
  </si>
  <si>
    <t>端数</t>
    <rPh sb="0" eb="2">
      <t>ハスウ</t>
    </rPh>
    <phoneticPr fontId="9"/>
  </si>
  <si>
    <t>確率</t>
    <rPh sb="0" eb="2">
      <t>カクリツ</t>
    </rPh>
    <phoneticPr fontId="9"/>
  </si>
  <si>
    <t>--検算用--</t>
    <rPh sb="3" eb="6">
      <t>ケンザンヨウ</t>
    </rPh>
    <phoneticPr fontId="9"/>
  </si>
  <si>
    <t>端数逆数</t>
    <rPh sb="0" eb="2">
      <t>ハスウ</t>
    </rPh>
    <rPh sb="2" eb="4">
      <t>ギャクスウ</t>
    </rPh>
    <phoneticPr fontId="9"/>
  </si>
  <si>
    <t>テーブルを増やしたい場合</t>
    <rPh sb="5" eb="6">
      <t>フ</t>
    </rPh>
    <rPh sb="10" eb="12">
      <t>バアイ</t>
    </rPh>
    <phoneticPr fontId="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</si>
  <si>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</si>
  <si>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9"/>
  </si>
  <si>
    <t>３．outputシートで２で作ったtablesを指定する</t>
    <rPh sb="14" eb="15">
      <t>ツク</t>
    </rPh>
    <rPh sb="24" eb="26">
      <t>シテイ</t>
    </rPh>
    <phoneticPr fontId="9"/>
  </si>
  <si>
    <t>テーブルid</t>
    <phoneticPr fontId="9"/>
  </si>
  <si>
    <t>→ピックアップの確率は右のほうにいます</t>
    <rPh sb="8" eb="10">
      <t>カクリツ</t>
    </rPh>
    <rPh sb="11" eb="12">
      <t>ミギ</t>
    </rPh>
    <phoneticPr fontId="9"/>
  </si>
  <si>
    <t>table_no</t>
    <phoneticPr fontId="9"/>
  </si>
  <si>
    <t>skill_level</t>
  </si>
  <si>
    <t>level</t>
  </si>
  <si>
    <t>hp_plus</t>
    <phoneticPr fontId="42"/>
  </si>
  <si>
    <t>attack_plus</t>
    <phoneticPr fontId="42"/>
  </si>
  <si>
    <t>heal_plus</t>
    <phoneticPr fontId="42"/>
  </si>
  <si>
    <t>defense_plus</t>
    <phoneticPr fontId="42"/>
  </si>
  <si>
    <t>level</t>
    <phoneticPr fontId="42"/>
  </si>
  <si>
    <t>skill_level</t>
    <phoneticPr fontId="42"/>
  </si>
  <si>
    <t>bug</t>
    <phoneticPr fontId="42"/>
  </si>
  <si>
    <t>drop_label2</t>
    <phoneticPr fontId="9"/>
  </si>
  <si>
    <t>Premium</t>
    <phoneticPr fontId="9"/>
  </si>
  <si>
    <t>Premium3</t>
    <phoneticPr fontId="9"/>
  </si>
  <si>
    <t>Premium4</t>
    <phoneticPr fontId="9"/>
  </si>
  <si>
    <t>Premium5</t>
    <phoneticPr fontId="9"/>
  </si>
  <si>
    <t>グループ確率</t>
    <rPh sb="4" eb="6">
      <t>カクリツ</t>
    </rPh>
    <phoneticPr fontId="9"/>
  </si>
  <si>
    <t>レア度別確率</t>
    <rPh sb="2" eb="4">
      <t>ドベツ</t>
    </rPh>
    <rPh sb="4" eb="6">
      <t>カクリツ</t>
    </rPh>
    <phoneticPr fontId="9"/>
  </si>
  <si>
    <t>ラベル別確率</t>
    <rPh sb="3" eb="4">
      <t>ベツ</t>
    </rPh>
    <rPh sb="4" eb="6">
      <t>カクリツ</t>
    </rPh>
    <phoneticPr fontId="9"/>
  </si>
  <si>
    <t>color2</t>
    <phoneticPr fontId="9"/>
  </si>
  <si>
    <t>Premium3</t>
  </si>
  <si>
    <t>Premium4</t>
  </si>
  <si>
    <t>Premium5</t>
  </si>
  <si>
    <t>PremiumSS4</t>
    <phoneticPr fontId="9"/>
  </si>
  <si>
    <t>PremiumSS5</t>
    <phoneticPr fontId="9"/>
  </si>
  <si>
    <t>PremiumSSS5</t>
    <phoneticPr fontId="9"/>
  </si>
  <si>
    <t>PremiumSS4</t>
    <phoneticPr fontId="9"/>
  </si>
  <si>
    <t>PremiumSSS4</t>
    <phoneticPr fontId="9"/>
  </si>
  <si>
    <t>PremiumSS5</t>
    <phoneticPr fontId="9"/>
  </si>
  <si>
    <t>PremiumSSS5</t>
    <phoneticPr fontId="9"/>
  </si>
  <si>
    <t>ラベル確率で考えましょう</t>
    <rPh sb="6" eb="7">
      <t>カンガエマショウ</t>
    </rPh>
    <phoneticPr fontId="42"/>
  </si>
  <si>
    <t>ラベル</t>
    <phoneticPr fontId="42"/>
  </si>
  <si>
    <t>レアリティ</t>
    <phoneticPr fontId="42"/>
  </si>
  <si>
    <t>{W}</t>
    <phoneticPr fontId="42"/>
  </si>
  <si>
    <t>{N,S}</t>
    <phoneticPr fontId="42"/>
  </si>
  <si>
    <t>{N,S}R3less</t>
    <phoneticPr fontId="42"/>
  </si>
  <si>
    <t>{N,S}R6release</t>
    <phoneticPr fontId="42"/>
  </si>
  <si>
    <t>{SS}</t>
    <phoneticPr fontId="42"/>
  </si>
  <si>
    <t>{SS}R6only</t>
    <phoneticPr fontId="42"/>
  </si>
  <si>
    <t>小計</t>
    <rPh sb="0" eb="2">
      <t>ショウケイ</t>
    </rPh>
    <phoneticPr fontId="42"/>
  </si>
  <si>
    <t>A</t>
    <phoneticPr fontId="42"/>
  </si>
  <si>
    <t>C</t>
    <phoneticPr fontId="42"/>
  </si>
  <si>
    <t>H</t>
    <phoneticPr fontId="42"/>
  </si>
  <si>
    <t>B</t>
    <phoneticPr fontId="42"/>
  </si>
  <si>
    <t>D</t>
    <phoneticPr fontId="42"/>
  </si>
  <si>
    <t>F</t>
    <phoneticPr fontId="42"/>
  </si>
  <si>
    <t>I</t>
    <phoneticPr fontId="42"/>
  </si>
  <si>
    <t>K</t>
    <phoneticPr fontId="42"/>
  </si>
  <si>
    <t>E</t>
    <phoneticPr fontId="42"/>
  </si>
  <si>
    <t>G</t>
    <phoneticPr fontId="42"/>
  </si>
  <si>
    <t>J</t>
    <phoneticPr fontId="42"/>
  </si>
  <si>
    <t>L</t>
    <phoneticPr fontId="42"/>
  </si>
  <si>
    <t>M</t>
    <phoneticPr fontId="42"/>
  </si>
  <si>
    <t>→</t>
    <phoneticPr fontId="42"/>
  </si>
  <si>
    <t>1-SS率</t>
    <rPh sb="4" eb="5">
      <t>リツ</t>
    </rPh>
    <phoneticPr fontId="42"/>
  </si>
  <si>
    <t>SS率</t>
    <rPh sb="2" eb="3">
      <t>リツ</t>
    </rPh>
    <phoneticPr fontId="42"/>
  </si>
  <si>
    <t>考え方を変える</t>
    <rPh sb="0" eb="1">
      <t>カンガエカタ</t>
    </rPh>
    <rPh sb="4" eb="5">
      <t>カエル</t>
    </rPh>
    <phoneticPr fontId="42"/>
  </si>
  <si>
    <t>SS4%は確定事項</t>
    <rPh sb="5" eb="7">
      <t>カクテイ</t>
    </rPh>
    <rPh sb="7" eb="9">
      <t>ジコウ</t>
    </rPh>
    <phoneticPr fontId="42"/>
  </si>
  <si>
    <t>当たりは分配</t>
    <rPh sb="0" eb="1">
      <t>アタリ</t>
    </rPh>
    <rPh sb="4" eb="6">
      <t>ブンパイ</t>
    </rPh>
    <phoneticPr fontId="4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</si>
  <si>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2"/>
  </si>
  <si>
    <t>=</t>
    <phoneticPr fontId="42"/>
  </si>
  <si>
    <t>X*{SS R5only}</t>
    <phoneticPr fontId="42"/>
  </si>
  <si>
    <t>K</t>
    <phoneticPr fontId="42"/>
  </si>
  <si>
    <t>=</t>
    <phoneticPr fontId="42"/>
  </si>
  <si>
    <t>X*{SS}*(R3率+R4率)</t>
    <rPh sb="10" eb="11">
      <t>リツ</t>
    </rPh>
    <rPh sb="14" eb="15">
      <t>リツ</t>
    </rPh>
    <phoneticPr fontId="42"/>
  </si>
  <si>
    <t>L</t>
    <phoneticPr fontId="42"/>
  </si>
  <si>
    <t>X*{SS}*R5率</t>
    <rPh sb="9" eb="10">
      <t>リツ</t>
    </rPh>
    <phoneticPr fontId="42"/>
  </si>
  <si>
    <t>X*{R6release}*R3率</t>
    <rPh sb="16" eb="17">
      <t>リツ</t>
    </rPh>
    <phoneticPr fontId="42"/>
  </si>
  <si>
    <t>X*{R6release}*R4率</t>
    <rPh sb="16" eb="17">
      <t>リツ</t>
    </rPh>
    <phoneticPr fontId="42"/>
  </si>
  <si>
    <t>J</t>
    <phoneticPr fontId="42"/>
  </si>
  <si>
    <t>X*{R6release}*R5率</t>
    <rPh sb="16" eb="17">
      <t>リツ</t>
    </rPh>
    <phoneticPr fontId="42"/>
  </si>
  <si>
    <t>ハズレで確率を整える</t>
    <rPh sb="4" eb="6">
      <t>カクリツ</t>
    </rPh>
    <rPh sb="7" eb="8">
      <t>トトノエル</t>
    </rPh>
    <phoneticPr fontId="4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</si>
  <si>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2"/>
  </si>
  <si>
    <t>A + C</t>
    <phoneticPr fontId="42"/>
  </si>
  <si>
    <t>=</t>
    <phoneticPr fontId="42"/>
  </si>
  <si>
    <t>50%-H</t>
    <phoneticPr fontId="42"/>
  </si>
  <si>
    <t>①</t>
    <phoneticPr fontId="42"/>
  </si>
  <si>
    <t>B + D + F</t>
    <phoneticPr fontId="42"/>
  </si>
  <si>
    <t>45%-I-K</t>
    <phoneticPr fontId="42"/>
  </si>
  <si>
    <t>②</t>
    <phoneticPr fontId="42"/>
  </si>
  <si>
    <t>E+G</t>
    <phoneticPr fontId="42"/>
  </si>
  <si>
    <t>5%-J-L-M</t>
    <phoneticPr fontId="42"/>
  </si>
  <si>
    <t>③</t>
    <phoneticPr fontId="42"/>
  </si>
  <si>
    <t>A+B</t>
    <phoneticPr fontId="42"/>
  </si>
  <si>
    <t>Y*{W}</t>
    <phoneticPr fontId="42"/>
  </si>
  <si>
    <t>④</t>
    <phoneticPr fontId="42"/>
  </si>
  <si>
    <t>C+D+E</t>
    <phoneticPr fontId="42"/>
  </si>
  <si>
    <t>Y*{N,S}</t>
    <phoneticPr fontId="42"/>
  </si>
  <si>
    <t>⑤</t>
    <phoneticPr fontId="42"/>
  </si>
  <si>
    <t>F+G</t>
    <phoneticPr fontId="42"/>
  </si>
  <si>
    <t>Y*{N,S R3less}</t>
    <phoneticPr fontId="42"/>
  </si>
  <si>
    <t>⑥</t>
    <phoneticPr fontId="42"/>
  </si>
  <si>
    <t>A+B+C+D+E+F+G</t>
    <phoneticPr fontId="42"/>
  </si>
  <si>
    <t>⑦</t>
    <phoneticPr fontId="42"/>
  </si>
  <si>
    <t>←これは4,5,6で作れるのでダメだわ</t>
    <rPh sb="10" eb="11">
      <t>ツクレル</t>
    </rPh>
    <phoneticPr fontId="42"/>
  </si>
  <si>
    <t>E*R3率/R5率</t>
    <rPh sb="4" eb="5">
      <t>リツ</t>
    </rPh>
    <rPh sb="8" eb="9">
      <t>リツ</t>
    </rPh>
    <phoneticPr fontId="4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</si>
  <si>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2"/>
  </si>
  <si>
    <t>E*R4率/R5率</t>
    <rPh sb="4" eb="5">
      <t>リツ</t>
    </rPh>
    <rPh sb="8" eb="9">
      <t>リツ</t>
    </rPh>
    <phoneticPr fontId="42"/>
  </si>
  <si>
    <t>∴</t>
    <phoneticPr fontId="42"/>
  </si>
  <si>
    <t>E</t>
    <phoneticPr fontId="42"/>
  </si>
  <si>
    <t>Y*{N,S}*R5率</t>
    <rPh sb="10" eb="11">
      <t>リツ</t>
    </rPh>
    <phoneticPr fontId="42"/>
  </si>
  <si>
    <t>Y*{N,S}*R4率</t>
    <rPh sb="10" eb="11">
      <t>リツ</t>
    </rPh>
    <phoneticPr fontId="42"/>
  </si>
  <si>
    <t>Y*{N,S}*R3率</t>
    <rPh sb="10" eb="11">
      <t>リツ</t>
    </rPh>
    <phoneticPr fontId="42"/>
  </si>
  <si>
    <t>50%-H-C</t>
    <phoneticPr fontId="42"/>
  </si>
  <si>
    <t>Y*{W}-A</t>
    <phoneticPr fontId="42"/>
  </si>
  <si>
    <t>5%-J-L-M-E</t>
    <phoneticPr fontId="42"/>
  </si>
  <si>
    <t>Y*{N,S R3less} - G</t>
    <phoneticPr fontId="42"/>
  </si>
  <si>
    <t>R6境界前後</t>
    <rPh sb="2" eb="4">
      <t>キョウカイ</t>
    </rPh>
    <rPh sb="4" eb="6">
      <t>ゼンゴ</t>
    </rPh>
    <phoneticPr fontId="9"/>
  </si>
  <si>
    <t>R6事後開放N,S</t>
    <rPh sb="2" eb="6">
      <t>ジゴカイホウ</t>
    </rPh>
    <phoneticPr fontId="9"/>
  </si>
  <si>
    <t>PremiumW3</t>
    <phoneticPr fontId="9"/>
  </si>
  <si>
    <t>PremiumW4</t>
    <phoneticPr fontId="9"/>
  </si>
  <si>
    <t>ラベル確率</t>
    <rPh sb="3" eb="5">
      <t>カクリツ</t>
    </rPh>
    <phoneticPr fontId="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</si>
  <si>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</si>
  <si>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</si>
  <si>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</si>
  <si>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</si>
  <si>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</si>
  <si>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9"/>
  </si>
  <si>
    <t>PremiumSS5R5only</t>
  </si>
  <si>
    <t>計算用中間データ</t>
    <rPh sb="0" eb="3">
      <t>ケイサンヨウ</t>
    </rPh>
    <rPh sb="3" eb="5">
      <t>チュウカン</t>
    </rPh>
    <phoneticPr fontId="9"/>
  </si>
  <si>
    <t>X</t>
    <phoneticPr fontId="9"/>
  </si>
  <si>
    <t>Y</t>
    <phoneticPr fontId="9"/>
  </si>
  <si>
    <t>対象数</t>
    <rPh sb="0" eb="3">
      <t>タイショウスウ</t>
    </rPh>
    <phoneticPr fontId="9"/>
  </si>
  <si>
    <t>PremiumW</t>
    <phoneticPr fontId="9"/>
  </si>
  <si>
    <t>PremiumN</t>
    <phoneticPr fontId="9"/>
  </si>
  <si>
    <t>PremiumS</t>
    <phoneticPr fontId="9"/>
  </si>
  <si>
    <t>PremiumSS</t>
    <phoneticPr fontId="9"/>
  </si>
  <si>
    <t>weight</t>
    <phoneticPr fontId="9"/>
  </si>
  <si>
    <t>←R6分はここから差し引く</t>
    <rPh sb="3" eb="4">
      <t>ブン</t>
    </rPh>
    <rPh sb="9" eb="10">
      <t>サシヒク</t>
    </rPh>
    <phoneticPr fontId="9"/>
  </si>
  <si>
    <t>除外確率</t>
    <rPh sb="0" eb="2">
      <t>ジョガイ</t>
    </rPh>
    <rPh sb="2" eb="4">
      <t>カクリツ</t>
    </rPh>
    <phoneticPr fontId="9"/>
  </si>
  <si>
    <t>除外数</t>
    <rPh sb="0" eb="3">
      <t>ジョガイスウ</t>
    </rPh>
    <phoneticPr fontId="9"/>
  </si>
  <si>
    <t>もうここは手で入れよう…</t>
    <rPh sb="5" eb="6">
      <t>テ</t>
    </rPh>
    <rPh sb="7" eb="8">
      <t>イレヨウ</t>
    </rPh>
    <phoneticPr fontId="9"/>
  </si>
  <si>
    <t>通常weight</t>
    <rPh sb="0" eb="2">
      <t>ツウジョウ</t>
    </rPh>
    <phoneticPr fontId="9"/>
  </si>
  <si>
    <t>A</t>
    <phoneticPr fontId="9"/>
  </si>
  <si>
    <t>B</t>
    <phoneticPr fontId="9"/>
  </si>
  <si>
    <t>PremiumW4</t>
    <phoneticPr fontId="9"/>
  </si>
  <si>
    <t>C</t>
    <phoneticPr fontId="9"/>
  </si>
  <si>
    <t>Premium3</t>
    <phoneticPr fontId="9"/>
  </si>
  <si>
    <t>D</t>
    <phoneticPr fontId="9"/>
  </si>
  <si>
    <t>Premium4</t>
    <phoneticPr fontId="9"/>
  </si>
  <si>
    <t>E</t>
    <phoneticPr fontId="9"/>
  </si>
  <si>
    <t>Premium5</t>
    <phoneticPr fontId="9"/>
  </si>
  <si>
    <t>F</t>
    <phoneticPr fontId="9"/>
  </si>
  <si>
    <t>Premium4R3less</t>
    <phoneticPr fontId="9"/>
  </si>
  <si>
    <t>G</t>
    <phoneticPr fontId="9"/>
  </si>
  <si>
    <t>Premium5R3less</t>
    <phoneticPr fontId="9"/>
  </si>
  <si>
    <t>H</t>
    <phoneticPr fontId="9"/>
  </si>
  <si>
    <t>I</t>
    <phoneticPr fontId="9"/>
  </si>
  <si>
    <t>J</t>
    <phoneticPr fontId="9"/>
  </si>
  <si>
    <t>K</t>
    <phoneticPr fontId="9"/>
  </si>
  <si>
    <t>Premium3R6release</t>
    <phoneticPr fontId="9"/>
  </si>
  <si>
    <t>Premium4R6release</t>
    <phoneticPr fontId="9"/>
  </si>
  <si>
    <t>Premium5R6release</t>
    <phoneticPr fontId="9"/>
  </si>
  <si>
    <t>PremiumSS4</t>
    <phoneticPr fontId="9"/>
  </si>
  <si>
    <t>PremiumSS5</t>
    <phoneticPr fontId="9"/>
  </si>
  <si>
    <t>L</t>
    <phoneticPr fontId="9"/>
  </si>
  <si>
    <t>M</t>
    <phoneticPr fontId="9"/>
  </si>
  <si>
    <t>PremiumSS5R5only</t>
    <phoneticPr fontId="9"/>
  </si>
  <si>
    <t>50% - H - C</t>
    <phoneticPr fontId="9"/>
  </si>
  <si>
    <t>Xcolor</t>
    <phoneticPr fontId="9"/>
  </si>
  <si>
    <t>Ycolor</t>
    <phoneticPr fontId="9"/>
  </si>
  <si>
    <t>Premium4color</t>
    <phoneticPr fontId="9"/>
  </si>
  <si>
    <t>PremiumW3color</t>
    <phoneticPr fontId="9"/>
  </si>
  <si>
    <t>PremiumW4color</t>
    <phoneticPr fontId="9"/>
  </si>
  <si>
    <t>Premium3color</t>
    <phoneticPr fontId="9"/>
  </si>
  <si>
    <t>Premium5color</t>
    <phoneticPr fontId="9"/>
  </si>
  <si>
    <t>Premium4R3lesscolor</t>
    <phoneticPr fontId="9"/>
  </si>
  <si>
    <t>Premium5R3lesscolor</t>
    <phoneticPr fontId="9"/>
  </si>
  <si>
    <t>Premium3R6releasecolor</t>
    <phoneticPr fontId="9"/>
  </si>
  <si>
    <t>Premium4R6releasecolor</t>
    <phoneticPr fontId="9"/>
  </si>
  <si>
    <t>Premium5R6releasecolor</t>
    <phoneticPr fontId="9"/>
  </si>
  <si>
    <t>PremiumSS4color</t>
    <phoneticPr fontId="9"/>
  </si>
  <si>
    <t>PremiumSS5color</t>
    <phoneticPr fontId="9"/>
  </si>
  <si>
    <t>PremiumSS5R5onlycolor</t>
    <phoneticPr fontId="9"/>
  </si>
  <si>
    <t>PremiumSSS4R3lesscolor</t>
    <phoneticPr fontId="9"/>
  </si>
  <si>
    <t>PremiumSSS5R3lesscolor</t>
    <phoneticPr fontId="9"/>
  </si>
  <si>
    <t>PremiumSSS4R3less</t>
    <phoneticPr fontId="9"/>
  </si>
  <si>
    <t>PremiumSSS5R3less</t>
    <phoneticPr fontId="9"/>
  </si>
  <si>
    <t>通常確率</t>
    <phoneticPr fontId="9"/>
  </si>
  <si>
    <t>通常確率</t>
    <phoneticPr fontId="9"/>
  </si>
  <si>
    <t>通常確率</t>
    <phoneticPr fontId="9"/>
  </si>
  <si>
    <t>PremiumSSS</t>
    <phoneticPr fontId="9"/>
  </si>
  <si>
    <t>PremiumSSw</t>
    <phoneticPr fontId="9"/>
  </si>
  <si>
    <t>PremiumSS5R5only</t>
    <phoneticPr fontId="9"/>
  </si>
  <si>
    <t>PremiumSSS</t>
    <phoneticPr fontId="9"/>
  </si>
  <si>
    <t>PremiumSSw</t>
    <phoneticPr fontId="9"/>
  </si>
  <si>
    <t>PremiumSSw</t>
    <phoneticPr fontId="9"/>
  </si>
  <si>
    <t>PremiumSSS</t>
    <phoneticPr fontId="9"/>
  </si>
  <si>
    <t>PremiumSSS</t>
    <phoneticPr fontId="9"/>
  </si>
  <si>
    <t>↓これが正しい</t>
    <phoneticPr fontId="9"/>
  </si>
  <si>
    <t>bit</t>
    <phoneticPr fontId="9"/>
  </si>
  <si>
    <t>null</t>
    <phoneticPr fontId="9"/>
  </si>
  <si>
    <t>ja</t>
    <phoneticPr fontId="9"/>
  </si>
  <si>
    <t>100万ビット</t>
    <phoneticPr fontId="9"/>
  </si>
  <si>
    <t>ランキング対抗ガチャ特典</t>
    <phoneticPr fontId="9"/>
  </si>
  <si>
    <t>STEP3特典として
100万ビットをプレゼント！</t>
    <phoneticPr fontId="9"/>
  </si>
  <si>
    <t>unit</t>
    <phoneticPr fontId="9"/>
  </si>
  <si>
    <t>秘術の果実 × 4</t>
    <phoneticPr fontId="9"/>
  </si>
  <si>
    <t>STEP5特典として
秘術の果実を4体プレゼント！</t>
    <phoneticPr fontId="9"/>
  </si>
  <si>
    <t>item</t>
    <phoneticPr fontId="9"/>
  </si>
  <si>
    <t>マスターキー × 3</t>
    <phoneticPr fontId="9"/>
  </si>
  <si>
    <t>STEP6特典として
マスターキーを3本プレゼント！</t>
    <phoneticPr fontId="9"/>
  </si>
  <si>
    <t>gacha_select_tables_</t>
    <phoneticPr fontId="9"/>
  </si>
  <si>
    <t>gacha_select_tables_</t>
    <phoneticPr fontId="9"/>
  </si>
  <si>
    <t>.tmp</t>
    <phoneticPr fontId="42"/>
  </si>
  <si>
    <t>.tmp</t>
    <phoneticPr fontId="42"/>
  </si>
  <si>
    <t>tables_503101</t>
    <phoneticPr fontId="9"/>
  </si>
  <si>
    <t>table_no</t>
    <phoneticPr fontId="9"/>
  </si>
  <si>
    <t>tables_503103</t>
    <phoneticPr fontId="9"/>
  </si>
  <si>
    <t>gacha_settle_tables_</t>
    <phoneticPr fontId="9"/>
  </si>
  <si>
    <t>.tmp</t>
    <phoneticPr fontId="42"/>
  </si>
  <si>
    <t>tables_settle_503104</t>
    <phoneticPr fontId="9"/>
  </si>
  <si>
    <t>table_no</t>
    <phoneticPr fontId="9"/>
  </si>
  <si>
    <t>tables_503104</t>
    <phoneticPr fontId="9"/>
  </si>
  <si>
    <t>table_no</t>
    <phoneticPr fontId="9"/>
  </si>
  <si>
    <t>tables_503105</t>
    <phoneticPr fontId="9"/>
  </si>
  <si>
    <t>tables_503106</t>
    <phoneticPr fontId="9"/>
  </si>
  <si>
    <t>.tmp</t>
    <phoneticPr fontId="42"/>
  </si>
  <si>
    <t>tables_503100</t>
    <phoneticPr fontId="9"/>
  </si>
  <si>
    <t>table_no</t>
    <phoneticPr fontId="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</si>
  <si>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9"/>
  </si>
  <si>
    <t>gacha_bonus_tables</t>
    <phoneticPr fontId="42"/>
  </si>
  <si>
    <t>gacha_bonus_tables</t>
    <phoneticPr fontId="42"/>
  </si>
  <si>
    <t>bonus_table_no</t>
    <phoneticPr fontId="9"/>
  </si>
  <si>
    <t>gift_id</t>
    <phoneticPr fontId="9"/>
  </si>
  <si>
    <t>weight</t>
    <phoneticPr fontId="9"/>
  </si>
  <si>
    <t>gifts_tmp_</t>
    <phoneticPr fontId="9"/>
  </si>
  <si>
    <t>gift_type</t>
    <phoneticPr fontId="9"/>
  </si>
  <si>
    <t>gift_value</t>
    <phoneticPr fontId="9"/>
  </si>
  <si>
    <t>gift_count</t>
    <phoneticPr fontId="9"/>
  </si>
  <si>
    <t>gifts_i18n_</t>
    <phoneticPr fontId="9"/>
  </si>
  <si>
    <t>.tmp</t>
    <phoneticPr fontId="42"/>
  </si>
  <si>
    <t>gacha_bonus_tables</t>
    <phoneticPr fontId="42"/>
  </si>
  <si>
    <t>gift_id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</si>
  <si>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</si>
  <si>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</si>
  <si>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</si>
  <si>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</si>
  <si>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old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</si>
</sst>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  <numFmt numFmtId="193" formatCode="0_);[Red]\(0\)"/>
  </numFmts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68">
    <xf numFmtId="0" fontId="0" fillId="0" borderId="0"/>
    <xf numFmtId="0" fontId="8" fillId="0" borderId="0"/>
    <xf numFmtId="0" fontId="12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0"/>
    <xf numFmtId="0" fontId="19" fillId="5" borderId="2" applyNumberFormat="0" applyAlignment="0" applyProtection="0"/>
    <xf numFmtId="0" fontId="20" fillId="6" borderId="0" applyNumberFormat="0" applyBorder="0" applyAlignment="0" applyProtection="0"/>
    <xf numFmtId="0" fontId="21" fillId="7" borderId="3" applyNumberFormat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0" fontId="24" fillId="9" borderId="4" applyNumberFormat="0" applyAlignment="0" applyProtection="0"/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7" borderId="0" applyNumberFormat="0" applyBorder="0" applyAlignment="0" applyProtection="0"/>
    <xf numFmtId="0" fontId="29" fillId="6" borderId="0" applyNumberFormat="0" applyBorder="0" applyAlignment="0" applyProtection="0"/>
    <xf numFmtId="0" fontId="29" fillId="10" borderId="0" applyNumberFormat="0" applyBorder="0" applyAlignment="0" applyProtection="0"/>
    <xf numFmtId="0" fontId="29" fillId="7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7" borderId="0" applyNumberFormat="0" applyBorder="0" applyAlignment="0" applyProtection="0"/>
    <xf numFmtId="0" fontId="29" fillId="12" borderId="0" applyNumberFormat="0" applyBorder="0" applyAlignment="0" applyProtection="0"/>
    <xf numFmtId="0" fontId="29" fillId="10" borderId="0" applyNumberFormat="0" applyBorder="0" applyAlignment="0" applyProtection="0"/>
    <xf numFmtId="0" fontId="29" fillId="7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4" borderId="0" applyNumberFormat="0" applyBorder="0" applyAlignment="0" applyProtection="0"/>
    <xf numFmtId="0" fontId="30" fillId="6" borderId="0" applyNumberFormat="0" applyBorder="0" applyAlignment="0" applyProtection="0"/>
    <xf numFmtId="0" fontId="22" fillId="0" borderId="0" applyNumberFormat="0" applyFill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0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1" fillId="17" borderId="0" applyNumberFormat="0" applyBorder="0" applyAlignment="0" applyProtection="0"/>
    <xf numFmtId="0" fontId="20" fillId="6" borderId="0" applyNumberFormat="0" applyBorder="0" applyAlignment="0" applyProtection="0"/>
    <xf numFmtId="0" fontId="32" fillId="0" borderId="8" applyNumberFormat="0" applyFill="0" applyAlignment="0" applyProtection="0"/>
    <xf numFmtId="0" fontId="33" fillId="7" borderId="9" applyNumberFormat="0" applyAlignment="0" applyProtection="0"/>
    <xf numFmtId="0" fontId="33" fillId="18" borderId="9" applyNumberFormat="0" applyAlignment="0" applyProtection="0"/>
    <xf numFmtId="0" fontId="21" fillId="6" borderId="3" applyNumberFormat="0" applyAlignment="0" applyProtection="0"/>
    <xf numFmtId="0" fontId="34" fillId="0" borderId="10" applyNumberFormat="0" applyFill="0" applyAlignment="0" applyProtection="0"/>
    <xf numFmtId="0" fontId="35" fillId="18" borderId="3" applyNumberFormat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1" applyNumberFormat="0" applyFill="0" applyAlignment="0" applyProtection="0"/>
    <xf numFmtId="38" fontId="7" fillId="0" borderId="0" applyFont="0" applyFill="0" applyBorder="0" applyAlignment="0" applyProtection="0">
      <alignment vertical="center"/>
    </xf>
    <xf numFmtId="0" fontId="38" fillId="19" borderId="0" applyNumberFormat="0" applyBorder="0" applyAlignment="0" applyProtection="0"/>
    <xf numFmtId="0" fontId="39" fillId="20" borderId="0" applyNumberFormat="0" applyBorder="0" applyAlignment="0" applyProtection="0"/>
    <xf numFmtId="0" fontId="7" fillId="0" borderId="0"/>
    <xf numFmtId="0" fontId="40" fillId="20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5" fillId="0" borderId="0"/>
    <xf numFmtId="0" fontId="43" fillId="0" borderId="0">
      <alignment vertical="center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4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9" fontId="4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" fillId="0" borderId="0"/>
    <xf numFmtId="38" fontId="4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2" applyFont="1" applyAlignment="1">
      <alignment vertical="center"/>
    </xf>
    <xf numFmtId="0" fontId="14" fillId="0" borderId="1" xfId="2" applyFont="1" applyBorder="1" applyAlignment="1">
      <alignment vertical="center"/>
    </xf>
    <xf numFmtId="0" fontId="14" fillId="3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4" fillId="4" borderId="1" xfId="2" applyFont="1" applyFill="1" applyBorder="1" applyAlignment="1">
      <alignment vertical="center"/>
    </xf>
    <xf numFmtId="0" fontId="13" fillId="4" borderId="1" xfId="0" applyFont="1" applyFill="1" applyBorder="1" applyAlignment="1">
      <alignment horizontal="right" vertical="center"/>
    </xf>
    <xf numFmtId="0" fontId="14" fillId="3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vertical="center"/>
    </xf>
    <xf numFmtId="0" fontId="14" fillId="0" borderId="13" xfId="2" applyFont="1" applyBorder="1" applyAlignment="1">
      <alignment vertical="center"/>
    </xf>
    <xf numFmtId="0" fontId="13" fillId="4" borderId="12" xfId="0" applyFont="1" applyFill="1" applyBorder="1" applyAlignment="1">
      <alignment horizontal="right" vertical="center"/>
    </xf>
    <xf numFmtId="0" fontId="13" fillId="4" borderId="14" xfId="0" applyFont="1" applyFill="1" applyBorder="1" applyAlignment="1">
      <alignment horizontal="right" vertical="center"/>
    </xf>
    <xf numFmtId="0" fontId="14" fillId="0" borderId="15" xfId="2" applyFont="1" applyBorder="1" applyAlignment="1">
      <alignment vertical="center"/>
    </xf>
    <xf numFmtId="0" fontId="14" fillId="2" borderId="1" xfId="2" applyFont="1" applyFill="1" applyBorder="1" applyAlignment="1">
      <alignment horizontal="left" vertical="center"/>
    </xf>
    <xf numFmtId="0" fontId="41" fillId="21" borderId="1" xfId="0" applyFont="1" applyFill="1" applyBorder="1" applyAlignment="1">
      <alignment horizontal="left" vertical="center"/>
    </xf>
    <xf numFmtId="0" fontId="14" fillId="2" borderId="1" xfId="2" applyFont="1" applyFill="1" applyBorder="1" applyAlignment="1">
      <alignment horizontal="center" vertical="center"/>
    </xf>
    <xf numFmtId="0" fontId="16" fillId="22" borderId="1" xfId="2978" applyFont="1" applyFill="1" applyBorder="1"/>
    <xf numFmtId="0" fontId="5" fillId="22" borderId="1" xfId="2978" applyFill="1" applyBorder="1"/>
    <xf numFmtId="0" fontId="5" fillId="0" borderId="0" xfId="2978"/>
    <xf numFmtId="0" fontId="5" fillId="0" borderId="1" xfId="2978" applyBorder="1"/>
    <xf numFmtId="0" fontId="5" fillId="2" borderId="1" xfId="2978" applyFill="1" applyBorder="1"/>
    <xf numFmtId="0" fontId="7" fillId="2" borderId="1" xfId="19" applyFill="1" applyBorder="1"/>
    <xf numFmtId="0" fontId="6" fillId="2" borderId="1" xfId="19" applyFont="1" applyFill="1" applyBorder="1"/>
    <xf numFmtId="0" fontId="16" fillId="22" borderId="1" xfId="0" applyFont="1" applyFill="1" applyBorder="1"/>
    <xf numFmtId="0" fontId="41" fillId="23" borderId="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0" fillId="2" borderId="0" xfId="0" applyFill="1"/>
    <xf numFmtId="0" fontId="41" fillId="30" borderId="1" xfId="0" applyFont="1" applyFill="1" applyBorder="1" applyAlignment="1">
      <alignment horizontal="left" vertical="center"/>
    </xf>
    <xf numFmtId="0" fontId="1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3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4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38" fontId="14" fillId="4" borderId="1" xfId="3663" quotePrefix="1" applyFont="1" applyFill="1" applyBorder="1" applyAlignment="1">
      <alignment vertical="center"/>
    </xf>
    <xf numFmtId="0" fontId="41" fillId="0" borderId="1" xfId="0" applyFont="1" applyBorder="1" applyAlignment="1">
      <alignment vertical="center"/>
    </xf>
    <xf numFmtId="0" fontId="41" fillId="0" borderId="1" xfId="0" applyFont="1" applyBorder="1" applyAlignment="1">
      <alignment vertical="center" wrapText="1"/>
    </xf>
    <xf numFmtId="0" fontId="1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2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14" fillId="0" borderId="0" xfId="2" applyFont="1" applyFill="1" applyBorder="1" applyAlignment="1">
      <alignment vertical="center"/>
    </xf>
    <xf numFmtId="0" fontId="41" fillId="4" borderId="1" xfId="0" applyFont="1" applyFill="1" applyBorder="1" applyAlignment="1">
      <alignment vertical="center"/>
    </xf>
    <xf numFmtId="176" fontId="46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14" fillId="0" borderId="17" xfId="2" applyFont="1" applyBorder="1" applyAlignment="1">
      <alignment vertical="center"/>
    </xf>
    <xf numFmtId="0" fontId="14" fillId="3" borderId="18" xfId="2" applyFont="1" applyFill="1" applyBorder="1" applyAlignment="1">
      <alignment vertical="center"/>
    </xf>
    <xf numFmtId="0" fontId="47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14" fillId="0" borderId="0" xfId="2" applyFont="1" applyBorder="1" applyAlignment="1">
      <alignment vertical="center"/>
    </xf>
    <xf numFmtId="0" fontId="15" fillId="25" borderId="1" xfId="0" applyFont="1" applyFill="1" applyBorder="1" applyAlignment="1">
      <alignment vertical="center"/>
    </xf>
    <xf numFmtId="193" fontId="14" fillId="4" borderId="1" xfId="3663" quotePrefix="1" applyNumberFormat="1" applyFont="1" applyFill="1" applyBorder="1" applyAlignment="1">
      <alignment vertical="center"/>
    </xf>
    <xf numFmtId="0" fontId="1" fillId="0" borderId="1" xfId="3036" applyFont="1" applyBorder="1"/>
    <xf numFmtId="0" fontId="1" fillId="0" borderId="1" xfId="2978" applyFont="1" applyBorder="1"/>
    <xf numFmtId="0" fontId="1" fillId="4" borderId="1" xfId="2978" applyFont="1" applyFill="1" applyBorder="1"/>
    <xf numFmtId="0" fontId="1" fillId="2" borderId="1" xfId="19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プラネタリウムR5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technical</v>
          </cell>
          <cell r="L1341" t="str">
            <v>テクニカルタイプ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プラネタリウムR6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technical</v>
          </cell>
          <cell r="L1342" t="str">
            <v>テクニカルタイプ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55" customWidth="1"/>
    <col min="2" max="16384" width="13" style="55"/>
  </cols>
  <sheetData>
    <row r="1" spans="1:13" x14ac:dyDescent="0.15">
      <c r="A1" s="55" t="s">
        <v>97</v>
      </c>
      <c r="B1" s="55" t="s">
        <v>98</v>
      </c>
    </row>
    <row r="2" spans="1:13" x14ac:dyDescent="0.15">
      <c r="A2" s="55" t="s">
        <v>99</v>
      </c>
      <c r="B2" s="55" t="s">
        <v>100</v>
      </c>
      <c r="C2" s="55" t="s">
        <v>101</v>
      </c>
      <c r="D2" s="55" t="s">
        <v>102</v>
      </c>
      <c r="E2" s="55" t="s">
        <v>103</v>
      </c>
      <c r="F2" s="55" t="s">
        <v>104</v>
      </c>
      <c r="G2" s="55" t="s">
        <v>105</v>
      </c>
      <c r="H2" s="55" t="s">
        <v>106</v>
      </c>
    </row>
    <row r="3" spans="1:13" x14ac:dyDescent="0.15">
      <c r="A3" s="55">
        <v>3</v>
      </c>
      <c r="B3" s="56" t="s">
        <v>107</v>
      </c>
      <c r="C3" s="56" t="s">
        <v>108</v>
      </c>
      <c r="D3" s="55">
        <v>0</v>
      </c>
      <c r="E3" s="56" t="s">
        <v>109</v>
      </c>
      <c r="F3" s="55">
        <v>0</v>
      </c>
      <c r="G3" s="55">
        <v>0</v>
      </c>
      <c r="H3" s="57">
        <v>0.5</v>
      </c>
    </row>
    <row r="4" spans="1:13" x14ac:dyDescent="0.15">
      <c r="A4" s="55">
        <v>4</v>
      </c>
      <c r="B4" s="56" t="s">
        <v>110</v>
      </c>
      <c r="C4" s="56" t="s">
        <v>111</v>
      </c>
      <c r="D4" s="56" t="s">
        <v>112</v>
      </c>
      <c r="E4" s="56" t="s">
        <v>113</v>
      </c>
      <c r="F4" s="56" t="s">
        <v>114</v>
      </c>
      <c r="G4" s="55">
        <v>0</v>
      </c>
      <c r="H4" s="57">
        <v>0.45</v>
      </c>
    </row>
    <row r="5" spans="1:13" x14ac:dyDescent="0.15">
      <c r="A5" s="55">
        <v>5</v>
      </c>
      <c r="B5" s="58">
        <v>0</v>
      </c>
      <c r="C5" s="56" t="s">
        <v>115</v>
      </c>
      <c r="D5" s="56" t="s">
        <v>116</v>
      </c>
      <c r="E5" s="56" t="s">
        <v>117</v>
      </c>
      <c r="F5" s="56" t="s">
        <v>118</v>
      </c>
      <c r="G5" s="56" t="s">
        <v>119</v>
      </c>
      <c r="H5" s="57">
        <v>0.05</v>
      </c>
    </row>
    <row r="6" spans="1:13" x14ac:dyDescent="0.15">
      <c r="B6" s="57" t="s">
        <v>120</v>
      </c>
      <c r="C6" s="57" t="s">
        <v>120</v>
      </c>
      <c r="D6" s="57" t="s">
        <v>121</v>
      </c>
      <c r="E6" s="57" t="s">
        <v>120</v>
      </c>
      <c r="F6" s="57" t="s">
        <v>120</v>
      </c>
      <c r="G6" s="59" t="s">
        <v>122</v>
      </c>
      <c r="H6" s="57">
        <v>1</v>
      </c>
    </row>
    <row r="7" spans="1:13" x14ac:dyDescent="0.15">
      <c r="B7" s="57"/>
      <c r="C7" s="57"/>
      <c r="D7" s="57"/>
      <c r="E7" s="57"/>
      <c r="F7" s="57"/>
      <c r="G7" s="59"/>
      <c r="H7" s="57"/>
    </row>
    <row r="8" spans="1:13" x14ac:dyDescent="0.15">
      <c r="A8" s="55" t="s">
        <v>123</v>
      </c>
      <c r="B8" s="57"/>
      <c r="C8" s="57"/>
      <c r="D8" s="57"/>
      <c r="E8" s="57"/>
      <c r="F8" s="57"/>
      <c r="G8" s="59"/>
      <c r="H8" s="57"/>
    </row>
    <row r="9" spans="1:13" x14ac:dyDescent="0.15">
      <c r="A9" s="55" t="s">
        <v>124</v>
      </c>
      <c r="B9" s="57"/>
      <c r="C9" s="57"/>
      <c r="D9" s="57"/>
      <c r="E9" s="57"/>
      <c r="F9" s="57"/>
      <c r="G9" s="59"/>
      <c r="H9" s="57"/>
    </row>
    <row r="10" spans="1:13" x14ac:dyDescent="0.15">
      <c r="A10" s="55" t="s">
        <v>125</v>
      </c>
      <c r="B10" s="57"/>
      <c r="C10" s="57"/>
      <c r="D10" s="57"/>
      <c r="E10" s="57"/>
      <c r="F10" s="57"/>
      <c r="G10" s="59"/>
      <c r="H10" s="57"/>
    </row>
    <row r="11" spans="1:13" x14ac:dyDescent="0.15">
      <c r="A11" s="55" t="s">
        <v>126</v>
      </c>
      <c r="B11" s="57"/>
      <c r="C11" s="57"/>
      <c r="D11" s="57"/>
      <c r="E11" s="57"/>
      <c r="F11" s="57"/>
      <c r="G11" s="59"/>
      <c r="H11" s="57"/>
    </row>
    <row r="12" spans="1:13" x14ac:dyDescent="0.15">
      <c r="A12" s="55" t="s">
        <v>119</v>
      </c>
      <c r="B12" s="57" t="s">
        <v>127</v>
      </c>
      <c r="C12" s="57" t="s">
        <v>128</v>
      </c>
      <c r="D12" s="57"/>
      <c r="E12" s="57"/>
      <c r="F12" s="57"/>
      <c r="G12" s="59"/>
      <c r="H12" s="57"/>
    </row>
    <row r="13" spans="1:13" x14ac:dyDescent="0.15">
      <c r="A13" s="55" t="s">
        <v>129</v>
      </c>
      <c r="B13" s="55" t="s">
        <v>130</v>
      </c>
      <c r="C13" s="55" t="s">
        <v>131</v>
      </c>
    </row>
    <row r="14" spans="1:13" x14ac:dyDescent="0.15">
      <c r="A14" s="55" t="s">
        <v>132</v>
      </c>
      <c r="B14" s="55" t="s">
        <v>127</v>
      </c>
      <c r="C14" s="58" t="s">
        <v>133</v>
      </c>
      <c r="E14" s="58"/>
      <c r="F14" s="58"/>
      <c r="M14" s="57"/>
    </row>
    <row r="15" spans="1:13" x14ac:dyDescent="0.15">
      <c r="A15" s="55" t="s">
        <v>109</v>
      </c>
      <c r="B15" s="57" t="s">
        <v>127</v>
      </c>
      <c r="C15" s="57" t="s">
        <v>134</v>
      </c>
      <c r="H15" s="60"/>
      <c r="M15" s="57"/>
    </row>
    <row r="16" spans="1:13" x14ac:dyDescent="0.15">
      <c r="A16" s="55" t="s">
        <v>113</v>
      </c>
      <c r="B16" s="57" t="s">
        <v>127</v>
      </c>
      <c r="C16" s="57" t="s">
        <v>135</v>
      </c>
      <c r="M16" s="57"/>
    </row>
    <row r="17" spans="1:13" x14ac:dyDescent="0.15">
      <c r="A17" s="55" t="s">
        <v>136</v>
      </c>
      <c r="B17" s="57" t="s">
        <v>127</v>
      </c>
      <c r="C17" s="57" t="s">
        <v>137</v>
      </c>
      <c r="M17" s="57"/>
    </row>
    <row r="18" spans="1:13" x14ac:dyDescent="0.15">
      <c r="B18" s="57"/>
      <c r="C18" s="57"/>
    </row>
    <row r="19" spans="1:13" x14ac:dyDescent="0.15">
      <c r="A19" s="55" t="s">
        <v>138</v>
      </c>
    </row>
    <row r="20" spans="1:13" x14ac:dyDescent="0.15">
      <c r="A20" s="55" t="s">
        <v>139</v>
      </c>
      <c r="B20" s="57"/>
      <c r="C20" s="57"/>
    </row>
    <row r="21" spans="1:13" x14ac:dyDescent="0.15">
      <c r="A21" s="55" t="s">
        <v>140</v>
      </c>
      <c r="B21" s="57" t="s">
        <v>141</v>
      </c>
      <c r="C21" s="57" t="s">
        <v>142</v>
      </c>
      <c r="D21" s="55" t="s">
        <v>143</v>
      </c>
    </row>
    <row r="22" spans="1:13" x14ac:dyDescent="0.15">
      <c r="A22" s="55" t="s">
        <v>144</v>
      </c>
      <c r="B22" s="57" t="s">
        <v>127</v>
      </c>
      <c r="C22" s="57" t="s">
        <v>145</v>
      </c>
      <c r="D22" s="55" t="s">
        <v>146</v>
      </c>
    </row>
    <row r="23" spans="1:13" x14ac:dyDescent="0.15">
      <c r="A23" s="55" t="s">
        <v>147</v>
      </c>
      <c r="B23" s="57" t="s">
        <v>127</v>
      </c>
      <c r="C23" s="55" t="s">
        <v>148</v>
      </c>
      <c r="D23" s="55" t="s">
        <v>149</v>
      </c>
    </row>
    <row r="24" spans="1:13" x14ac:dyDescent="0.15">
      <c r="A24" s="55" t="s">
        <v>150</v>
      </c>
      <c r="B24" s="57" t="s">
        <v>127</v>
      </c>
      <c r="C24" s="57" t="s">
        <v>151</v>
      </c>
      <c r="D24" s="55" t="s">
        <v>152</v>
      </c>
    </row>
    <row r="25" spans="1:13" x14ac:dyDescent="0.15">
      <c r="A25" s="55" t="s">
        <v>153</v>
      </c>
      <c r="B25" s="57" t="s">
        <v>127</v>
      </c>
      <c r="C25" s="57" t="s">
        <v>154</v>
      </c>
      <c r="D25" s="55" t="s">
        <v>155</v>
      </c>
    </row>
    <row r="26" spans="1:13" x14ac:dyDescent="0.15">
      <c r="A26" s="55" t="s">
        <v>156</v>
      </c>
      <c r="B26" s="57" t="s">
        <v>127</v>
      </c>
      <c r="C26" s="57" t="s">
        <v>157</v>
      </c>
      <c r="D26" s="55" t="s">
        <v>158</v>
      </c>
    </row>
    <row r="27" spans="1:13" x14ac:dyDescent="0.15">
      <c r="A27" s="55" t="s">
        <v>159</v>
      </c>
      <c r="B27" s="57" t="s">
        <v>127</v>
      </c>
      <c r="C27" s="57" t="s">
        <v>121</v>
      </c>
      <c r="D27" s="55" t="s">
        <v>160</v>
      </c>
      <c r="E27" s="55" t="s">
        <v>161</v>
      </c>
    </row>
    <row r="28" spans="1:13" x14ac:dyDescent="0.15">
      <c r="A28" s="55" t="s">
        <v>108</v>
      </c>
      <c r="B28" s="57" t="s">
        <v>127</v>
      </c>
      <c r="C28" s="57" t="s">
        <v>162</v>
      </c>
      <c r="E28" s="55" t="s">
        <v>163</v>
      </c>
    </row>
    <row r="29" spans="1:13" x14ac:dyDescent="0.15">
      <c r="A29" s="55" t="s">
        <v>111</v>
      </c>
      <c r="B29" s="57" t="s">
        <v>127</v>
      </c>
      <c r="C29" s="57" t="s">
        <v>164</v>
      </c>
    </row>
    <row r="30" spans="1:13" x14ac:dyDescent="0.15">
      <c r="B30" s="57"/>
    </row>
    <row r="31" spans="1:13" x14ac:dyDescent="0.15">
      <c r="A31" s="55" t="s">
        <v>165</v>
      </c>
    </row>
    <row r="32" spans="1:13" x14ac:dyDescent="0.15">
      <c r="A32" s="55" t="s">
        <v>166</v>
      </c>
      <c r="B32" s="57" t="s">
        <v>127</v>
      </c>
      <c r="C32" s="57" t="s">
        <v>167</v>
      </c>
    </row>
    <row r="33" spans="1:13" x14ac:dyDescent="0.15">
      <c r="A33" s="55" t="s">
        <v>111</v>
      </c>
      <c r="B33" s="57" t="s">
        <v>127</v>
      </c>
      <c r="C33" s="57" t="s">
        <v>168</v>
      </c>
    </row>
    <row r="34" spans="1:13" x14ac:dyDescent="0.15">
      <c r="A34" s="55" t="s">
        <v>108</v>
      </c>
      <c r="B34" s="57" t="s">
        <v>127</v>
      </c>
      <c r="C34" s="57" t="s">
        <v>169</v>
      </c>
    </row>
    <row r="35" spans="1:13" x14ac:dyDescent="0.15">
      <c r="A35" s="55" t="s">
        <v>107</v>
      </c>
      <c r="B35" s="57" t="s">
        <v>127</v>
      </c>
      <c r="C35" s="57" t="s">
        <v>170</v>
      </c>
    </row>
    <row r="36" spans="1:13" x14ac:dyDescent="0.15">
      <c r="A36" s="55" t="s">
        <v>110</v>
      </c>
      <c r="B36" s="57" t="s">
        <v>127</v>
      </c>
      <c r="C36" s="57" t="s">
        <v>171</v>
      </c>
    </row>
    <row r="37" spans="1:13" x14ac:dyDescent="0.15">
      <c r="A37" s="55" t="s">
        <v>116</v>
      </c>
      <c r="B37" s="57" t="s">
        <v>127</v>
      </c>
      <c r="C37" s="57" t="s">
        <v>172</v>
      </c>
    </row>
    <row r="38" spans="1:13" x14ac:dyDescent="0.15">
      <c r="A38" s="55" t="s">
        <v>112</v>
      </c>
      <c r="B38" s="57" t="s">
        <v>127</v>
      </c>
      <c r="C38" s="57" t="s">
        <v>173</v>
      </c>
    </row>
    <row r="40" spans="1:13" x14ac:dyDescent="0.15">
      <c r="J40" s="74" t="s">
        <v>200</v>
      </c>
      <c r="K40" s="74" t="s">
        <v>176</v>
      </c>
      <c r="M40" s="74" t="s">
        <v>225</v>
      </c>
    </row>
    <row r="41" spans="1:13" x14ac:dyDescent="0.15">
      <c r="J41" s="74" t="s">
        <v>201</v>
      </c>
      <c r="K41" s="74" t="s">
        <v>202</v>
      </c>
      <c r="M41" s="57" t="s">
        <v>171</v>
      </c>
    </row>
    <row r="42" spans="1:13" x14ac:dyDescent="0.15">
      <c r="J42" s="74" t="s">
        <v>203</v>
      </c>
      <c r="K42" s="74" t="s">
        <v>204</v>
      </c>
    </row>
    <row r="43" spans="1:13" x14ac:dyDescent="0.15">
      <c r="J43" s="74" t="s">
        <v>205</v>
      </c>
      <c r="K43" s="74" t="s">
        <v>206</v>
      </c>
    </row>
    <row r="44" spans="1:13" x14ac:dyDescent="0.15">
      <c r="J44" s="74" t="s">
        <v>207</v>
      </c>
      <c r="K44" s="74" t="s">
        <v>208</v>
      </c>
    </row>
    <row r="45" spans="1:13" x14ac:dyDescent="0.15">
      <c r="J45" s="74" t="s">
        <v>209</v>
      </c>
      <c r="K45" s="74" t="s">
        <v>210</v>
      </c>
    </row>
    <row r="46" spans="1:13" x14ac:dyDescent="0.15">
      <c r="J46" s="74" t="s">
        <v>211</v>
      </c>
      <c r="K46" s="74" t="s">
        <v>212</v>
      </c>
    </row>
    <row r="47" spans="1:13" x14ac:dyDescent="0.15">
      <c r="J47" s="74" t="s">
        <v>213</v>
      </c>
      <c r="K47" s="74" t="s">
        <v>217</v>
      </c>
    </row>
    <row r="48" spans="1:13" x14ac:dyDescent="0.15">
      <c r="J48" s="74" t="s">
        <v>214</v>
      </c>
      <c r="K48" s="74" t="s">
        <v>218</v>
      </c>
    </row>
    <row r="49" spans="10:11" x14ac:dyDescent="0.15">
      <c r="J49" s="74" t="s">
        <v>215</v>
      </c>
      <c r="K49" s="74" t="s">
        <v>219</v>
      </c>
    </row>
    <row r="50" spans="10:11" x14ac:dyDescent="0.15">
      <c r="J50" s="74" t="s">
        <v>216</v>
      </c>
      <c r="K50" s="74" t="s">
        <v>220</v>
      </c>
    </row>
    <row r="51" spans="10:11" x14ac:dyDescent="0.15">
      <c r="J51" s="74" t="s">
        <v>222</v>
      </c>
      <c r="K51" s="74" t="s">
        <v>221</v>
      </c>
    </row>
    <row r="52" spans="10:11" x14ac:dyDescent="0.15">
      <c r="J52" s="74" t="s">
        <v>223</v>
      </c>
      <c r="K52" s="74" t="s">
        <v>224</v>
      </c>
    </row>
    <row r="53" spans="10:11" x14ac:dyDescent="0.15">
      <c r="J53" s="74"/>
    </row>
  </sheetData>
  <phoneticPr fontId="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62</v>
      </c>
    </row>
    <row r="2" spans="1:1" x14ac:dyDescent="0.15">
      <c r="A2" t="s">
        <v>63</v>
      </c>
    </row>
    <row r="3" spans="1:1" x14ac:dyDescent="0.15">
      <c r="A3" t="s">
        <v>64</v>
      </c>
    </row>
    <row r="4" spans="1:1" x14ac:dyDescent="0.15">
      <c r="A4" t="s">
        <v>65</v>
      </c>
    </row>
  </sheetData>
  <phoneticPr fontId="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>
      <selection activeCell="P48" sqref="P4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3" t="s">
        <v>34</v>
      </c>
      <c r="B1" s="16" t="s">
        <v>28</v>
      </c>
      <c r="C1" s="16" t="s">
        <v>29</v>
      </c>
      <c r="D1" s="16" t="s">
        <v>30</v>
      </c>
      <c r="E1" s="16" t="s">
        <v>31</v>
      </c>
      <c r="F1" s="16" t="s">
        <v>32</v>
      </c>
      <c r="G1" s="16" t="s">
        <v>33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0" t="s">
        <v>305</v>
      </c>
      <c r="B2" s="101" t="s">
        <v>270</v>
      </c>
      <c r="C2" s="102" t="str">
        <f t="shared" ref="C2:C8" si="0">RIGHT(F2,6)</f>
        <v>503101</v>
      </c>
      <c r="D2" s="19" t="s">
        <v>272</v>
      </c>
      <c r="E2" s="17" t="str">
        <f t="shared" ref="E2:E11" si="1">B2&amp;C2&amp;D2</f>
        <v>gacha_select_tables_503101.tmp</v>
      </c>
      <c r="F2" s="102" t="s">
        <v>273</v>
      </c>
      <c r="G2" s="103" t="s">
        <v>274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0" t="s">
        <v>305</v>
      </c>
      <c r="B3" s="101" t="s">
        <v>270</v>
      </c>
      <c r="C3" s="102" t="str">
        <f t="shared" si="0"/>
        <v>503103</v>
      </c>
      <c r="D3" s="19" t="s">
        <v>272</v>
      </c>
      <c r="E3" s="17" t="str">
        <f t="shared" si="1"/>
        <v>gacha_select_tables_503103.tmp</v>
      </c>
      <c r="F3" s="102" t="s">
        <v>275</v>
      </c>
      <c r="G3" s="103" t="s">
        <v>274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0" t="s">
        <v>305</v>
      </c>
      <c r="B4" s="101" t="s">
        <v>276</v>
      </c>
      <c r="C4" s="102" t="str">
        <f t="shared" si="0"/>
        <v>503104</v>
      </c>
      <c r="D4" s="19" t="s">
        <v>277</v>
      </c>
      <c r="E4" s="17" t="str">
        <f t="shared" si="1"/>
        <v>gacha_settle_tables_503104.tmp</v>
      </c>
      <c r="F4" s="102" t="s">
        <v>278</v>
      </c>
      <c r="G4" s="103" t="s">
        <v>279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0" t="s">
        <v>305</v>
      </c>
      <c r="B5" s="101" t="s">
        <v>269</v>
      </c>
      <c r="C5" s="102" t="str">
        <f t="shared" si="0"/>
        <v>503104</v>
      </c>
      <c r="D5" s="19" t="s">
        <v>271</v>
      </c>
      <c r="E5" s="17" t="str">
        <f t="shared" si="1"/>
        <v>gacha_select_tables_503104.tmp</v>
      </c>
      <c r="F5" s="102" t="s">
        <v>280</v>
      </c>
      <c r="G5" s="103" t="s">
        <v>281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0" t="s">
        <v>305</v>
      </c>
      <c r="B6" s="101" t="s">
        <v>269</v>
      </c>
      <c r="C6" s="102" t="str">
        <f t="shared" si="0"/>
        <v>503105</v>
      </c>
      <c r="D6" s="19" t="s">
        <v>271</v>
      </c>
      <c r="E6" s="17" t="str">
        <f t="shared" si="1"/>
        <v>gacha_select_tables_503105.tmp</v>
      </c>
      <c r="F6" s="102" t="s">
        <v>282</v>
      </c>
      <c r="G6" s="103" t="s">
        <v>281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100" t="s">
        <v>305</v>
      </c>
      <c r="B7" s="101" t="s">
        <v>269</v>
      </c>
      <c r="C7" s="102" t="str">
        <f t="shared" si="0"/>
        <v>503106</v>
      </c>
      <c r="D7" s="19" t="s">
        <v>271</v>
      </c>
      <c r="E7" s="17" t="str">
        <f t="shared" si="1"/>
        <v>gacha_select_tables_503106.tmp</v>
      </c>
      <c r="F7" s="102" t="s">
        <v>283</v>
      </c>
      <c r="G7" s="103" t="s">
        <v>281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100" t="s">
        <v>305</v>
      </c>
      <c r="B8" s="101" t="s">
        <v>269</v>
      </c>
      <c r="C8" s="102" t="str">
        <f t="shared" si="0"/>
        <v>503100</v>
      </c>
      <c r="D8" s="19" t="s">
        <v>284</v>
      </c>
      <c r="E8" s="17" t="str">
        <f t="shared" si="1"/>
        <v>gacha_select_tables_503100.tmp</v>
      </c>
      <c r="F8" s="102" t="s">
        <v>285</v>
      </c>
      <c r="G8" s="103" t="s">
        <v>286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0" t="s">
        <v>305</v>
      </c>
      <c r="B9" s="101" t="s">
        <v>287</v>
      </c>
      <c r="C9" s="101">
        <v>503</v>
      </c>
      <c r="D9" s="19" t="s">
        <v>284</v>
      </c>
      <c r="E9" s="17" t="str">
        <f t="shared" si="1"/>
        <v>gacha_bonus_tables_503.tmp</v>
      </c>
      <c r="F9" s="19" t="s">
        <v>289</v>
      </c>
      <c r="G9" s="103" t="s">
        <v>290</v>
      </c>
      <c r="H9" s="103" t="s">
        <v>291</v>
      </c>
      <c r="I9" s="103" t="s">
        <v>292</v>
      </c>
      <c r="J9" s="20"/>
      <c r="K9" s="20"/>
      <c r="L9" s="20"/>
      <c r="M9" s="20"/>
      <c r="N9" s="20"/>
      <c r="O9" s="20"/>
    </row>
    <row r="10" spans="1:21" x14ac:dyDescent="0.15">
      <c r="A10" s="100" t="s">
        <v>305</v>
      </c>
      <c r="B10" s="19" t="s">
        <v>293</v>
      </c>
      <c r="C10" s="101">
        <v>503</v>
      </c>
      <c r="D10" s="19" t="s">
        <v>271</v>
      </c>
      <c r="E10" s="17" t="str">
        <f t="shared" si="1"/>
        <v>gifts_tmp_503.tmp</v>
      </c>
      <c r="F10" s="19" t="s">
        <v>288</v>
      </c>
      <c r="G10" s="103" t="s">
        <v>291</v>
      </c>
      <c r="H10" s="103" t="s">
        <v>294</v>
      </c>
      <c r="I10" s="103" t="s">
        <v>295</v>
      </c>
      <c r="J10" s="103" t="s">
        <v>295</v>
      </c>
      <c r="K10" s="103" t="s">
        <v>295</v>
      </c>
      <c r="L10" s="103" t="s">
        <v>296</v>
      </c>
      <c r="M10" s="103" t="s">
        <v>296</v>
      </c>
      <c r="N10" s="103" t="s">
        <v>296</v>
      </c>
      <c r="O10" s="43" t="s">
        <v>7</v>
      </c>
      <c r="P10" s="43" t="s">
        <v>9</v>
      </c>
      <c r="Q10" s="43" t="s">
        <v>6</v>
      </c>
      <c r="R10" s="43" t="s">
        <v>69</v>
      </c>
      <c r="S10" s="43" t="s">
        <v>8</v>
      </c>
      <c r="T10" s="43" t="s">
        <v>70</v>
      </c>
      <c r="U10" s="43" t="s">
        <v>5</v>
      </c>
    </row>
    <row r="11" spans="1:21" x14ac:dyDescent="0.15">
      <c r="A11" s="100" t="s">
        <v>305</v>
      </c>
      <c r="B11" s="19" t="s">
        <v>297</v>
      </c>
      <c r="C11" s="101">
        <v>503</v>
      </c>
      <c r="D11" s="19" t="s">
        <v>298</v>
      </c>
      <c r="E11" s="17" t="str">
        <f t="shared" si="1"/>
        <v>gifts_i18n_503.tmp</v>
      </c>
      <c r="F11" s="19" t="s">
        <v>299</v>
      </c>
      <c r="G11" s="103" t="s">
        <v>300</v>
      </c>
      <c r="H11" s="103" t="s">
        <v>301</v>
      </c>
      <c r="I11" s="103" t="s">
        <v>302</v>
      </c>
      <c r="J11" s="103" t="s">
        <v>303</v>
      </c>
      <c r="K11" s="103" t="s">
        <v>304</v>
      </c>
      <c r="L11" s="103"/>
      <c r="M11" s="103"/>
      <c r="N11" s="103"/>
      <c r="O11" s="19"/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topLeftCell="A28" zoomScale="110" zoomScaleNormal="110" zoomScalePageLayoutView="110" workbookViewId="0">
      <selection activeCell="G64" sqref="G64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503101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955</v>
      </c>
      <c r="M3" s="31" t="str">
        <f>VLOOKUP(L3,[1]characters!$A:$C,3,FALSE)</f>
        <v>マクローリン</v>
      </c>
      <c r="N3" s="54">
        <v>4.0000000000000001E-3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VLOOKUP(L3,tables_503101!B:C,2,FALSE)</f>
        <v>PremiumSSS5R3lesscolor</v>
      </c>
      <c r="R3" s="53">
        <f t="shared" ref="R3:R20" si="1">N3*A$51</f>
        <v>7840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VLOOKUP(L4,tables_503101!B:C,2,FALSE)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f>1-B6-B7-B8</f>
        <v>0.45000000000000007</v>
      </c>
      <c r="D5" t="s">
        <v>187</v>
      </c>
      <c r="E5" s="37">
        <f>(B11-H5)*0.4/(F5-I5)</f>
        <v>3.7551020408163263E-4</v>
      </c>
      <c r="F5">
        <f>(COUNTIF(tables_503101!C:C,input_503101!A28)+COUNTIF(tables_503101!C:C,input_503101!A29))</f>
        <v>50</v>
      </c>
      <c r="H5" s="75">
        <v>4.0000000000000001E-3</v>
      </c>
      <c r="I5" s="26">
        <v>1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VLOOKUP(L5,tables_503101!B:C,2,FALSE)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0.45</v>
      </c>
      <c r="D6" t="s">
        <v>226</v>
      </c>
      <c r="E6" s="68">
        <f>(B11-H5)*0.6/(F6-I5)</f>
        <v>1.8400000000000001E-3</v>
      </c>
      <c r="F6">
        <f>(COUNTIF(tables_503101!C:C,input_503101!A43)+COUNTIF(tables_503101!C:C,input_503101!A44))</f>
        <v>16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VLOOKUP(L6,tables_503101!B:C,2,FALSE)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5.4057142857142863E-3</v>
      </c>
      <c r="F7">
        <f>(COUNTIF(tables_503101!C:C,input_503101!A25)+COUNTIF(tables_503101!C:C,input_503101!A18)+COUNTIF(tables_503101!C:C,input_503101!A20)+COUNTIF(tables_503101!C:C,input_503101!A22))</f>
        <v>70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VLOOKUP(L7,tables_503101!B:C,2,FALSE)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2.3650000000000001E-2</v>
      </c>
      <c r="F8">
        <f>(COUNTIF(tables_503101!C:C,input_503101!A40)+COUNTIF(tables_503101!C:C,input_503101!A33)+COUNTIF(tables_503101!C:C,input_503101!A35)+COUNTIF(tables_503101!C:C,input_503101!A37))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VLOOKUP(L8,tables_503101!B:C,2,FALSE)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VLOOKUP(L9,tables_503101!B:C,2,FALSE)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0.94599999999999995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VLOOKUP(L10,tables_503101!B:C,2,FALSE)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VLOOKUP(L11,tables_503101!B:C,2,FALSE)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4.0000000000000001E-3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VLOOKUP(L12,tables_503101!B:C,2,FALSE)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VLOOKUP(L13,tables_503101!B:C,2,FALSE)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VLOOKUP(L14,tables_503101!B:C,2,FALSE)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VLOOKUP(L15,tables_503101!B:C,2,FALSE)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VLOOKUP(L16,tables_503101!B:C,2,FALSE)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7.5399428571428603E-2</v>
      </c>
      <c r="C17" s="76">
        <f t="shared" ref="C17:C46" si="2">SUMIF(Q:Q,A17,N:N)</f>
        <v>0</v>
      </c>
      <c r="D17" s="66">
        <f t="shared" ref="D17:D26" si="3">B17-C17</f>
        <v>7.5399428571428603E-2</v>
      </c>
      <c r="E17">
        <f>COUNTIF(tables_503101!C:C,input_503101!A17)-COUNTIF(Q:Q,A17)</f>
        <v>15</v>
      </c>
      <c r="F17" s="37">
        <f>IFERROR(B17/E17,0)</f>
        <v>5.0266285714285737E-3</v>
      </c>
      <c r="G17">
        <f t="shared" ref="G17:G46" si="4">A$51*B17</f>
        <v>147782.88000000006</v>
      </c>
      <c r="H17">
        <f t="shared" ref="H17:H26" si="5">IFERROR(ROUND(G17/E17,5),0)</f>
        <v>9852.1919999999991</v>
      </c>
      <c r="I17">
        <f t="shared" ref="I17:I31" si="6">MOD(H17,1)</f>
        <v>0.19199999999909778</v>
      </c>
      <c r="J17">
        <f t="shared" ref="J17:J26" si="7">IFERROR(1/I17,1)</f>
        <v>5.2083333333578077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VLOOKUP(L17,tables_503101!B:C,2,FALSE)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E$7*E18-B17+0.01</f>
        <v>1.5686285714285687E-2</v>
      </c>
      <c r="C18" s="76">
        <f t="shared" si="2"/>
        <v>0</v>
      </c>
      <c r="D18" s="66">
        <f t="shared" si="3"/>
        <v>1.5686285714285687E-2</v>
      </c>
      <c r="E18">
        <f>COUNTIF(tables_503101!C:C,input_503101!A18)-COUNTIF(Q:Q,A18)</f>
        <v>15</v>
      </c>
      <c r="F18" s="37">
        <f>IFERROR(B18/E18,0)</f>
        <v>1.0457523809523791E-3</v>
      </c>
      <c r="G18">
        <f t="shared" si="4"/>
        <v>30745.119999999948</v>
      </c>
      <c r="H18">
        <f t="shared" si="5"/>
        <v>2049.6746699999999</v>
      </c>
      <c r="I18">
        <f t="shared" si="6"/>
        <v>0.6746699999998782</v>
      </c>
      <c r="J18">
        <f t="shared" si="7"/>
        <v>1.4822061155827004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VLOOKUP(L18,tables_503101!B:C,2,FALSE)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9.7302857142857163E-2</v>
      </c>
      <c r="C19" s="76">
        <f t="shared" si="2"/>
        <v>0</v>
      </c>
      <c r="D19" s="66">
        <f t="shared" si="3"/>
        <v>9.7302857142857163E-2</v>
      </c>
      <c r="E19">
        <f>COUNTIF(tables_503101!C:C,input_503101!A19)-COUNTIF(Q:Q,A19)</f>
        <v>40</v>
      </c>
      <c r="F19" s="37">
        <f t="shared" ref="F19:F31" si="8">IFERROR(B19/E19,0)</f>
        <v>2.4325714285714289E-3</v>
      </c>
      <c r="G19">
        <f t="shared" si="4"/>
        <v>190713.60000000003</v>
      </c>
      <c r="H19">
        <f t="shared" si="5"/>
        <v>4767.84</v>
      </c>
      <c r="I19">
        <f t="shared" si="6"/>
        <v>0.84000000000014552</v>
      </c>
      <c r="J19">
        <f t="shared" si="7"/>
        <v>1.1904761904759842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VLOOKUP(L19,tables_503101!B:C,2,FALSE)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E$7*E20*B$6-0.02+E49</f>
        <v>8.1029959127550594E-2</v>
      </c>
      <c r="C20" s="76">
        <f t="shared" si="2"/>
        <v>0</v>
      </c>
      <c r="D20" s="66">
        <f t="shared" si="3"/>
        <v>8.1029959127550594E-2</v>
      </c>
      <c r="E20">
        <f>COUNTIF(tables_503101!C:C,input_503101!A20)-COUNTIF(Q:Q,A20)</f>
        <v>40</v>
      </c>
      <c r="F20" s="37">
        <f t="shared" si="8"/>
        <v>2.0257489781887648E-3</v>
      </c>
      <c r="G20">
        <f t="shared" si="4"/>
        <v>158818.71988999916</v>
      </c>
      <c r="H20">
        <f t="shared" si="5"/>
        <v>3970.4679999999998</v>
      </c>
      <c r="I20">
        <f t="shared" si="6"/>
        <v>0.4679999999998472</v>
      </c>
      <c r="J20">
        <f t="shared" si="7"/>
        <v>2.1367521367528344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VLOOKUP(L20,tables_503101!B:C,2,FALSE)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E$7*E21*B$7-0.01-G64</f>
        <v>7.895755060516171E-3</v>
      </c>
      <c r="C21" s="76">
        <f t="shared" si="2"/>
        <v>0</v>
      </c>
      <c r="D21" s="66">
        <f t="shared" si="3"/>
        <v>7.895755060516171E-3</v>
      </c>
      <c r="E21">
        <f>COUNTIF(tables_503101!C:C,input_503101!A21)-COUNTIF(Q:Q,A21)</f>
        <v>40</v>
      </c>
      <c r="F21" s="37">
        <f t="shared" si="8"/>
        <v>1.9739387651290428E-4</v>
      </c>
      <c r="G21">
        <f t="shared" si="4"/>
        <v>15475.679918611695</v>
      </c>
      <c r="H21">
        <f t="shared" si="5"/>
        <v>386.892</v>
      </c>
      <c r="I21">
        <f t="shared" si="6"/>
        <v>0.89199999999999591</v>
      </c>
      <c r="J21">
        <f t="shared" si="7"/>
        <v>1.1210762331838617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E$7*E22-B23+C50</f>
        <v>7.8503346939483923E-2</v>
      </c>
      <c r="C22" s="76">
        <f t="shared" si="2"/>
        <v>0</v>
      </c>
      <c r="D22" s="66">
        <f t="shared" si="3"/>
        <v>7.8503346939483923E-2</v>
      </c>
      <c r="E22">
        <f>COUNTIF(tables_503101!C:C,input_503101!A22)-COUNTIF(Q:Q,A22)</f>
        <v>12</v>
      </c>
      <c r="F22" s="37">
        <f t="shared" si="8"/>
        <v>6.5419455782903266E-3</v>
      </c>
      <c r="G22">
        <f t="shared" si="4"/>
        <v>153866.56000138848</v>
      </c>
      <c r="H22">
        <f t="shared" si="5"/>
        <v>12822.21333</v>
      </c>
      <c r="I22">
        <f t="shared" si="6"/>
        <v>0.21333000000049651</v>
      </c>
      <c r="J22">
        <f t="shared" si="7"/>
        <v>4.6875732433210171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E23*E7*B7</f>
        <v>9.1897142857142872E-3</v>
      </c>
      <c r="C23" s="76">
        <f t="shared" si="2"/>
        <v>0</v>
      </c>
      <c r="D23" s="66">
        <f t="shared" si="3"/>
        <v>9.1897142857142872E-3</v>
      </c>
      <c r="E23">
        <f>COUNTIF(tables_503101!C:C,input_503101!A23)-COUNTIF(Q:Q,A23)</f>
        <v>17</v>
      </c>
      <c r="F23" s="37">
        <f t="shared" si="8"/>
        <v>5.4057142857142867E-4</v>
      </c>
      <c r="G23">
        <f t="shared" si="4"/>
        <v>18011.840000000004</v>
      </c>
      <c r="H23">
        <f t="shared" si="5"/>
        <v>1059.52</v>
      </c>
      <c r="I23">
        <f t="shared" si="6"/>
        <v>0.51999999999998181</v>
      </c>
      <c r="J23">
        <f t="shared" si="7"/>
        <v>1.9230769230769904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7.2977142857142884E-3</v>
      </c>
      <c r="C24" s="76">
        <f t="shared" si="2"/>
        <v>0</v>
      </c>
      <c r="D24" s="66">
        <f t="shared" si="3"/>
        <v>7.2977142857142884E-3</v>
      </c>
      <c r="E24">
        <f>COUNTIF(tables_503101!C:C,input_503101!A24)-COUNTIF(Q:Q,A24)</f>
        <v>3</v>
      </c>
      <c r="F24" s="37">
        <f t="shared" si="8"/>
        <v>2.4325714285714293E-3</v>
      </c>
      <c r="G24">
        <f t="shared" si="4"/>
        <v>14303.520000000006</v>
      </c>
      <c r="H24">
        <f t="shared" si="5"/>
        <v>4767.84</v>
      </c>
      <c r="I24">
        <f t="shared" si="6"/>
        <v>0.84000000000014552</v>
      </c>
      <c r="J24">
        <f t="shared" si="7"/>
        <v>1.1904761904759842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7.2977142857142867E-3</v>
      </c>
      <c r="C25" s="76">
        <f t="shared" si="2"/>
        <v>0</v>
      </c>
      <c r="D25" s="66">
        <f t="shared" si="3"/>
        <v>7.2977142857142867E-3</v>
      </c>
      <c r="E25">
        <f>COUNTIF(tables_503101!C:C,input_503101!A25)-COUNTIF(Q:Q,A25)</f>
        <v>3</v>
      </c>
      <c r="F25" s="37">
        <f t="shared" si="8"/>
        <v>2.4325714285714289E-3</v>
      </c>
      <c r="G25">
        <f t="shared" si="4"/>
        <v>14303.520000000002</v>
      </c>
      <c r="H25">
        <f t="shared" si="5"/>
        <v>4767.84</v>
      </c>
      <c r="I25">
        <f t="shared" si="6"/>
        <v>0.84000000000014552</v>
      </c>
      <c r="J25">
        <f t="shared" si="7"/>
        <v>1.1904761904759842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49" t="s">
        <v>181</v>
      </c>
      <c r="B26" s="48">
        <f>E$7*B$7*E26</f>
        <v>1.621714285714286E-3</v>
      </c>
      <c r="C26" s="76">
        <f t="shared" si="2"/>
        <v>0</v>
      </c>
      <c r="D26" s="66">
        <f t="shared" si="3"/>
        <v>1.621714285714286E-3</v>
      </c>
      <c r="E26">
        <f>COUNTIF(tables_503101!C:C,input_503101!A26)-COUNTIF(Q:Q,A26)</f>
        <v>3</v>
      </c>
      <c r="F26" s="37">
        <f t="shared" si="8"/>
        <v>5.4057142857142867E-4</v>
      </c>
      <c r="G26">
        <f t="shared" si="4"/>
        <v>3178.5600000000004</v>
      </c>
      <c r="H26">
        <f t="shared" si="5"/>
        <v>1059.52</v>
      </c>
      <c r="I26">
        <f t="shared" si="6"/>
        <v>0.51999999999998181</v>
      </c>
      <c r="J26">
        <f t="shared" si="7"/>
        <v>1.9230769230769904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49" t="s">
        <v>90</v>
      </c>
      <c r="B27" s="48">
        <f>E$5*E27*(B$5+B$6)</f>
        <v>6.7591836734693881E-3</v>
      </c>
      <c r="C27" s="76">
        <f t="shared" si="2"/>
        <v>0</v>
      </c>
      <c r="D27" s="66">
        <f t="shared" ref="D27:D29" si="9">B27-C27</f>
        <v>6.7591836734693881E-3</v>
      </c>
      <c r="E27">
        <f>COUNTIF(tables_503101!C:C,input_503101!A27)-COUNTIF(Q:Q,A27)</f>
        <v>20</v>
      </c>
      <c r="F27" s="37">
        <f>IFERROR(B27/E27,0)</f>
        <v>3.3795918367346943E-4</v>
      </c>
      <c r="G27">
        <f t="shared" si="4"/>
        <v>13248</v>
      </c>
      <c r="H27">
        <f t="shared" ref="H27:H29" si="10">IFERROR(ROUND(G27/E27,5),0)</f>
        <v>662.4</v>
      </c>
      <c r="I27">
        <f t="shared" si="6"/>
        <v>0.39999999999997726</v>
      </c>
      <c r="J27">
        <f t="shared" ref="J27:J29" si="11">IFERROR(1/I27,1)</f>
        <v>2.5000000000001421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49" t="s">
        <v>91</v>
      </c>
      <c r="B28" s="48">
        <f>E$5*E28*B$7</f>
        <v>7.5102040816326526E-4</v>
      </c>
      <c r="C28" s="76">
        <f t="shared" si="2"/>
        <v>0</v>
      </c>
      <c r="D28" s="66">
        <f t="shared" si="9"/>
        <v>7.5102040816326526E-4</v>
      </c>
      <c r="E28">
        <f>COUNTIF(tables_503101!C:C,input_503101!A28)-COUNTIF(Q:Q,A28)</f>
        <v>20</v>
      </c>
      <c r="F28" s="37">
        <f t="shared" si="8"/>
        <v>3.7551020408163264E-5</v>
      </c>
      <c r="G28">
        <f t="shared" si="4"/>
        <v>1472</v>
      </c>
      <c r="H28">
        <f t="shared" si="10"/>
        <v>73.599999999999994</v>
      </c>
      <c r="I28">
        <f t="shared" si="6"/>
        <v>0.59999999999999432</v>
      </c>
      <c r="J28">
        <f t="shared" si="11"/>
        <v>1.6666666666666825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49" t="s">
        <v>250</v>
      </c>
      <c r="B29" s="48">
        <f>E$5*E29-F49</f>
        <v>1.1265306122448979E-2</v>
      </c>
      <c r="C29" s="76">
        <f t="shared" si="2"/>
        <v>0</v>
      </c>
      <c r="D29" s="66">
        <f t="shared" si="9"/>
        <v>1.1265306122448979E-2</v>
      </c>
      <c r="E29">
        <f>COUNTIF(tables_503101!C:C,input_503101!A29)-COUNTIF(Q:Q,A29)</f>
        <v>30</v>
      </c>
      <c r="F29" s="37">
        <f t="shared" si="8"/>
        <v>3.7551020408163263E-4</v>
      </c>
      <c r="G29">
        <f t="shared" si="4"/>
        <v>22080</v>
      </c>
      <c r="H29">
        <f t="shared" si="10"/>
        <v>736</v>
      </c>
      <c r="I29">
        <f t="shared" si="6"/>
        <v>0</v>
      </c>
      <c r="J29">
        <f t="shared" si="11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49" t="s">
        <v>243</v>
      </c>
      <c r="B30" s="48">
        <v>0</v>
      </c>
      <c r="C30" s="76">
        <f t="shared" si="2"/>
        <v>0</v>
      </c>
      <c r="D30" s="66">
        <f t="shared" ref="D30:D44" si="12">B30-C30</f>
        <v>0</v>
      </c>
      <c r="E30">
        <f>COUNTIF(tables_503101!C:C,input_503101!A30)-COUNTIF(Q:Q,A30)</f>
        <v>0</v>
      </c>
      <c r="F30" s="37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49" t="s">
        <v>244</v>
      </c>
      <c r="B31" s="48">
        <v>0</v>
      </c>
      <c r="C31" s="76">
        <f t="shared" si="2"/>
        <v>0</v>
      </c>
      <c r="D31" s="66">
        <f t="shared" si="12"/>
        <v>0</v>
      </c>
      <c r="E31">
        <f>COUNTIF(tables_503101!C:C,input_503101!A31)-COUNTIF(Q:Q,A31)</f>
        <v>0</v>
      </c>
      <c r="F31" s="37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49" t="s">
        <v>229</v>
      </c>
      <c r="B32" s="81">
        <f>B$5*0.6-B34-B39</f>
        <v>0.1316475</v>
      </c>
      <c r="C32" s="76">
        <f t="shared" si="2"/>
        <v>0</v>
      </c>
      <c r="D32" s="66">
        <f t="shared" si="12"/>
        <v>0.1316475</v>
      </c>
      <c r="E32">
        <f>COUNTIF(tables_503101!C:C,input_503101!A32)-COUNTIF(Q:Q,A32)</f>
        <v>5</v>
      </c>
      <c r="F32" s="37">
        <f>IFERROR(B32/E32,0)</f>
        <v>2.6329499999999999E-2</v>
      </c>
      <c r="G32">
        <f t="shared" si="4"/>
        <v>258029.1</v>
      </c>
      <c r="H32">
        <f t="shared" si="13"/>
        <v>51605.82</v>
      </c>
      <c r="I32">
        <f t="shared" ref="I32:I46" si="15">MOD(H32,1)</f>
        <v>0.81999999999970896</v>
      </c>
      <c r="J32">
        <f t="shared" si="14"/>
        <v>1.219512195122384</v>
      </c>
      <c r="M32" s="31"/>
      <c r="N32" s="54"/>
      <c r="O32" s="31"/>
      <c r="P32" s="31"/>
      <c r="Q32" s="31"/>
      <c r="R32" s="53"/>
    </row>
    <row r="33" spans="1:18" x14ac:dyDescent="0.15">
      <c r="A33" s="49" t="s">
        <v>230</v>
      </c>
      <c r="B33" s="48">
        <f>E$8*E33-B32+0.02</f>
        <v>6.6025000000000077E-3</v>
      </c>
      <c r="C33" s="76">
        <f t="shared" si="2"/>
        <v>0</v>
      </c>
      <c r="D33" s="66">
        <f t="shared" si="12"/>
        <v>6.6025000000000077E-3</v>
      </c>
      <c r="E33">
        <f>COUNTIF(tables_503101!C:C,input_503101!A33)-COUNTIF(Q:Q,A33)</f>
        <v>5</v>
      </c>
      <c r="F33" s="37">
        <f>IFERROR(B33/E33,0)</f>
        <v>1.3205000000000016E-3</v>
      </c>
      <c r="G33">
        <f t="shared" si="4"/>
        <v>12940.900000000014</v>
      </c>
      <c r="H33">
        <f t="shared" si="13"/>
        <v>2588.1799999999998</v>
      </c>
      <c r="I33">
        <f t="shared" si="15"/>
        <v>0.17999999999983629</v>
      </c>
      <c r="J33">
        <f t="shared" si="14"/>
        <v>5.5555555555606082</v>
      </c>
      <c r="M33" s="31"/>
      <c r="N33" s="54"/>
      <c r="O33" s="31"/>
      <c r="P33" s="31"/>
      <c r="Q33" s="31"/>
      <c r="R33" s="53"/>
    </row>
    <row r="34" spans="1:18" x14ac:dyDescent="0.15">
      <c r="A34" s="49" t="s">
        <v>231</v>
      </c>
      <c r="B34" s="73">
        <f>E$8*E34*B$5</f>
        <v>0.12771000000000002</v>
      </c>
      <c r="C34" s="76">
        <f t="shared" si="2"/>
        <v>0</v>
      </c>
      <c r="D34" s="66">
        <f t="shared" si="12"/>
        <v>0.12771000000000002</v>
      </c>
      <c r="E34">
        <f>COUNTIF(tables_503101!C:C,input_503101!A34)-COUNTIF(Q:Q,A34)</f>
        <v>12</v>
      </c>
      <c r="F34" s="37">
        <f t="shared" ref="F34:F41" si="16">IFERROR(B34/E34,0)</f>
        <v>1.0642500000000001E-2</v>
      </c>
      <c r="G34">
        <f t="shared" si="4"/>
        <v>250311.60000000003</v>
      </c>
      <c r="H34">
        <f t="shared" si="13"/>
        <v>20859.3</v>
      </c>
      <c r="I34">
        <f t="shared" si="15"/>
        <v>0.2999999999992724</v>
      </c>
      <c r="J34">
        <f t="shared" si="14"/>
        <v>3.3333333333414177</v>
      </c>
      <c r="M34" s="31"/>
      <c r="N34" s="54"/>
      <c r="O34" s="31"/>
      <c r="P34" s="31"/>
      <c r="Q34" s="31"/>
      <c r="R34" s="53"/>
    </row>
    <row r="35" spans="1:18" x14ac:dyDescent="0.15">
      <c r="A35" s="49" t="s">
        <v>228</v>
      </c>
      <c r="B35" s="48">
        <f>E$8*E35*B$6+E49-C50</f>
        <v>0.10861261218806667</v>
      </c>
      <c r="C35" s="76">
        <f t="shared" si="2"/>
        <v>0</v>
      </c>
      <c r="D35" s="66">
        <f t="shared" si="12"/>
        <v>0.10861261218806667</v>
      </c>
      <c r="E35">
        <f>COUNTIF(tables_503101!C:C,input_503101!A35)-COUNTIF(Q:Q,A35)</f>
        <v>12</v>
      </c>
      <c r="F35" s="37">
        <f t="shared" si="16"/>
        <v>9.0510510156722231E-3</v>
      </c>
      <c r="G35">
        <f t="shared" si="4"/>
        <v>212880.71988861068</v>
      </c>
      <c r="H35">
        <f t="shared" si="13"/>
        <v>17740.059990000002</v>
      </c>
      <c r="I35">
        <f t="shared" si="15"/>
        <v>5.9990000001562294E-2</v>
      </c>
      <c r="J35">
        <f t="shared" si="14"/>
        <v>16.669444907050465</v>
      </c>
      <c r="M35" s="31"/>
      <c r="N35" s="54"/>
      <c r="O35" s="31"/>
      <c r="P35" s="31"/>
      <c r="Q35" s="31"/>
      <c r="R35" s="53"/>
    </row>
    <row r="36" spans="1:18" x14ac:dyDescent="0.15">
      <c r="A36" s="49" t="s">
        <v>232</v>
      </c>
      <c r="B36" s="48">
        <f>E$8*E36*B$7</f>
        <v>2.8380000000000002E-2</v>
      </c>
      <c r="C36" s="76">
        <f t="shared" si="2"/>
        <v>0</v>
      </c>
      <c r="D36" s="66">
        <f t="shared" si="12"/>
        <v>2.8380000000000002E-2</v>
      </c>
      <c r="E36">
        <f>COUNTIF(tables_503101!C:C,input_503101!A36)-COUNTIF(Q:Q,A36)</f>
        <v>12</v>
      </c>
      <c r="F36" s="37">
        <f t="shared" si="16"/>
        <v>2.3650000000000003E-3</v>
      </c>
      <c r="G36">
        <f t="shared" si="4"/>
        <v>55624.800000000003</v>
      </c>
      <c r="H36">
        <f t="shared" si="13"/>
        <v>4635.3999999999996</v>
      </c>
      <c r="I36">
        <f t="shared" si="15"/>
        <v>0.3999999999996362</v>
      </c>
      <c r="J36">
        <f t="shared" si="14"/>
        <v>2.5000000000022737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49" t="s">
        <v>233</v>
      </c>
      <c r="B37" s="67">
        <f>E$8*E37-B38-E49</f>
        <v>0.12161789801530654</v>
      </c>
      <c r="C37" s="76">
        <f t="shared" si="2"/>
        <v>0</v>
      </c>
      <c r="D37" s="66">
        <f t="shared" si="12"/>
        <v>0.12161789801530654</v>
      </c>
      <c r="E37">
        <f>COUNTIF(tables_503101!C:C,input_503101!A37)-COUNTIF(Q:Q,A37)</f>
        <v>6</v>
      </c>
      <c r="F37" s="37">
        <f t="shared" si="16"/>
        <v>2.0269649669217755E-2</v>
      </c>
      <c r="G37">
        <f t="shared" si="4"/>
        <v>238371.08011000082</v>
      </c>
      <c r="H37">
        <f t="shared" si="13"/>
        <v>39728.513350000001</v>
      </c>
      <c r="I37">
        <f t="shared" si="15"/>
        <v>0.51335000000108266</v>
      </c>
      <c r="J37">
        <f t="shared" si="14"/>
        <v>1.9479887016614219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49" t="s">
        <v>234</v>
      </c>
      <c r="B38" s="61">
        <f>E38*E8*B7</f>
        <v>1.6555E-2</v>
      </c>
      <c r="C38" s="76">
        <f t="shared" si="2"/>
        <v>0</v>
      </c>
      <c r="D38" s="66">
        <f t="shared" si="12"/>
        <v>1.6555E-2</v>
      </c>
      <c r="E38">
        <f>COUNTIF(tables_503101!C:C,input_503101!A38)-COUNTIF(Q:Q,A38)</f>
        <v>7</v>
      </c>
      <c r="F38" s="37">
        <f t="shared" si="16"/>
        <v>2.3649999999999999E-3</v>
      </c>
      <c r="G38">
        <f t="shared" si="4"/>
        <v>32447.8</v>
      </c>
      <c r="H38">
        <f t="shared" si="13"/>
        <v>4635.3999999999996</v>
      </c>
      <c r="I38">
        <f t="shared" si="15"/>
        <v>0.3999999999996362</v>
      </c>
      <c r="J38">
        <f t="shared" si="14"/>
        <v>2.5000000000022737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49" t="s">
        <v>235</v>
      </c>
      <c r="B39" s="48">
        <f>E$8*E39*B$5</f>
        <v>1.0642500000000003E-2</v>
      </c>
      <c r="C39" s="76">
        <f t="shared" si="2"/>
        <v>0</v>
      </c>
      <c r="D39" s="66">
        <f t="shared" si="12"/>
        <v>1.0642500000000003E-2</v>
      </c>
      <c r="E39">
        <f>COUNTIF(tables_503101!C:C,input_503101!A39)-COUNTIF(Q:Q,A39)</f>
        <v>1</v>
      </c>
      <c r="F39" s="37">
        <f t="shared" si="16"/>
        <v>1.0642500000000003E-2</v>
      </c>
      <c r="G39">
        <f t="shared" si="4"/>
        <v>20859.300000000007</v>
      </c>
      <c r="H39">
        <f t="shared" si="13"/>
        <v>20859.3</v>
      </c>
      <c r="I39">
        <f t="shared" si="15"/>
        <v>0.2999999999992724</v>
      </c>
      <c r="J39">
        <f t="shared" si="14"/>
        <v>3.3333333333414177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49" t="s">
        <v>236</v>
      </c>
      <c r="B40" s="48">
        <f>E$8*B$6*E40</f>
        <v>1.0642500000000001E-2</v>
      </c>
      <c r="C40" s="76">
        <f t="shared" si="2"/>
        <v>0</v>
      </c>
      <c r="D40" s="66">
        <f t="shared" si="12"/>
        <v>1.0642500000000001E-2</v>
      </c>
      <c r="E40">
        <f>COUNTIF(tables_503101!C:C,input_503101!A40)-COUNTIF(Q:Q,A40)</f>
        <v>1</v>
      </c>
      <c r="F40" s="37">
        <f t="shared" si="16"/>
        <v>1.0642500000000001E-2</v>
      </c>
      <c r="G40">
        <f t="shared" si="4"/>
        <v>20859.300000000003</v>
      </c>
      <c r="H40">
        <f t="shared" si="13"/>
        <v>20859.3</v>
      </c>
      <c r="I40">
        <f t="shared" si="15"/>
        <v>0.2999999999992724</v>
      </c>
      <c r="J40">
        <f t="shared" si="14"/>
        <v>3.3333333333414177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49" t="s">
        <v>237</v>
      </c>
      <c r="B41" s="48">
        <f>E$8*B$7*E41</f>
        <v>2.3650000000000003E-3</v>
      </c>
      <c r="C41" s="76">
        <f t="shared" si="2"/>
        <v>0</v>
      </c>
      <c r="D41" s="66">
        <f t="shared" si="12"/>
        <v>2.3650000000000003E-3</v>
      </c>
      <c r="E41">
        <f>COUNTIF(tables_503101!C:C,input_503101!A41)-COUNTIF(Q:Q,A41)</f>
        <v>1</v>
      </c>
      <c r="F41" s="37">
        <f t="shared" si="16"/>
        <v>2.3650000000000003E-3</v>
      </c>
      <c r="G41">
        <f t="shared" si="4"/>
        <v>4635.4000000000005</v>
      </c>
      <c r="H41">
        <f t="shared" si="13"/>
        <v>4635.3999999999996</v>
      </c>
      <c r="I41">
        <f t="shared" si="15"/>
        <v>0.3999999999996362</v>
      </c>
      <c r="J41">
        <f t="shared" si="14"/>
        <v>2.5000000000022737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49" t="s">
        <v>238</v>
      </c>
      <c r="B42" s="48">
        <f>E$6*E42*(B$5+B$6)</f>
        <v>1.3248000000000003E-2</v>
      </c>
      <c r="C42" s="76">
        <f t="shared" si="2"/>
        <v>0</v>
      </c>
      <c r="D42" s="66">
        <f t="shared" si="12"/>
        <v>1.3248000000000003E-2</v>
      </c>
      <c r="E42">
        <f>COUNTIF(tables_503101!C:C,input_503101!A42)-COUNTIF(Q:Q,A42)</f>
        <v>8</v>
      </c>
      <c r="F42" s="37">
        <f>IFERROR(B42/E42,0)</f>
        <v>1.6560000000000004E-3</v>
      </c>
      <c r="G42">
        <f t="shared" si="4"/>
        <v>25966.080000000005</v>
      </c>
      <c r="H42">
        <f t="shared" si="13"/>
        <v>3245.76</v>
      </c>
      <c r="I42">
        <f t="shared" si="15"/>
        <v>0.76000000000021828</v>
      </c>
      <c r="J42">
        <f t="shared" si="14"/>
        <v>1.3157894736838327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49" t="s">
        <v>239</v>
      </c>
      <c r="B43" s="48">
        <f>E$6*E43*B$7</f>
        <v>1.4720000000000002E-3</v>
      </c>
      <c r="C43" s="76">
        <f t="shared" si="2"/>
        <v>0</v>
      </c>
      <c r="D43" s="66">
        <f t="shared" si="12"/>
        <v>1.4720000000000002E-3</v>
      </c>
      <c r="E43">
        <f>COUNTIF(tables_503101!C:C,input_503101!A43)-COUNTIF(Q:Q,A43)</f>
        <v>8</v>
      </c>
      <c r="F43" s="37">
        <f t="shared" ref="F43:F46" si="17">IFERROR(B43/E43,0)</f>
        <v>1.8400000000000003E-4</v>
      </c>
      <c r="G43">
        <f t="shared" si="4"/>
        <v>2885.1200000000003</v>
      </c>
      <c r="H43">
        <f t="shared" si="13"/>
        <v>360.64</v>
      </c>
      <c r="I43">
        <f t="shared" si="15"/>
        <v>0.63999999999998636</v>
      </c>
      <c r="J43">
        <f t="shared" si="14"/>
        <v>1.5625000000000333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49" t="s">
        <v>240</v>
      </c>
      <c r="B44" s="48">
        <f>E$6*E44-E50+G64</f>
        <v>1.6504489796626665E-2</v>
      </c>
      <c r="C44" s="76">
        <f t="shared" si="2"/>
        <v>0</v>
      </c>
      <c r="D44" s="66">
        <f t="shared" si="12"/>
        <v>1.6504489796626665E-2</v>
      </c>
      <c r="E44">
        <f>COUNTIF(tables_503101!C:C,input_503101!A44)-COUNTIF(Q:Q,A44)</f>
        <v>8</v>
      </c>
      <c r="F44" s="37">
        <f t="shared" si="17"/>
        <v>2.0630612245783331E-3</v>
      </c>
      <c r="G44">
        <f t="shared" si="4"/>
        <v>32348.800001388263</v>
      </c>
      <c r="H44">
        <f t="shared" si="13"/>
        <v>4043.6</v>
      </c>
      <c r="I44">
        <f t="shared" si="15"/>
        <v>0.59999999999990905</v>
      </c>
      <c r="J44">
        <f t="shared" si="14"/>
        <v>1.6666666666669192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49" t="s">
        <v>241</v>
      </c>
      <c r="B45" s="48">
        <v>0</v>
      </c>
      <c r="C45" s="76">
        <f t="shared" si="2"/>
        <v>0</v>
      </c>
      <c r="D45" s="66">
        <f t="shared" ref="D45:D46" si="18">B45-C45</f>
        <v>0</v>
      </c>
      <c r="E45">
        <f>COUNTIF(tables_503101!C:C,input_503101!A45)-COUNTIF(Q:Q,A45)</f>
        <v>0</v>
      </c>
      <c r="F45" s="37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B12</f>
        <v>4.0000000000000001E-3</v>
      </c>
      <c r="C46" s="76">
        <f t="shared" si="2"/>
        <v>4.0000000000000001E-3</v>
      </c>
      <c r="D46" s="66">
        <f t="shared" si="18"/>
        <v>0</v>
      </c>
      <c r="E46">
        <f>COUNTIF(tables_503101!C:C,input_503101!A46)-COUNTIF(Q:Q,A46)</f>
        <v>0</v>
      </c>
      <c r="F46" s="37">
        <f t="shared" si="17"/>
        <v>0</v>
      </c>
      <c r="G46">
        <f t="shared" si="4"/>
        <v>7840</v>
      </c>
      <c r="H46">
        <f t="shared" si="19"/>
        <v>0</v>
      </c>
      <c r="I46">
        <f t="shared" si="15"/>
        <v>0</v>
      </c>
      <c r="J46">
        <f t="shared" si="20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0.99999999990306077</v>
      </c>
      <c r="C47" s="35">
        <f>SUM(C19:C31)</f>
        <v>0</v>
      </c>
      <c r="D47" s="36">
        <f t="shared" ref="D47" si="21">B47-C47</f>
        <v>0.99999999990306077</v>
      </c>
      <c r="L47" s="49"/>
      <c r="M47" s="49"/>
      <c r="N47" s="49"/>
      <c r="O47" s="49"/>
      <c r="P47" s="49"/>
      <c r="Q47" s="49"/>
      <c r="R47" s="51"/>
    </row>
    <row r="48" spans="1:18" x14ac:dyDescent="0.15">
      <c r="E48" s="85"/>
      <c r="F48" s="93"/>
      <c r="G48" s="95"/>
    </row>
    <row r="49" spans="1:8" x14ac:dyDescent="0.15">
      <c r="B49" t="s">
        <v>35</v>
      </c>
      <c r="C49" s="80">
        <f>SUM(B32:B46)</f>
        <v>0.6</v>
      </c>
      <c r="E49" s="85">
        <v>3.7271019846934483E-3</v>
      </c>
      <c r="F49" s="85"/>
      <c r="G49" s="96">
        <f ca="1">0.45-G56</f>
        <v>5.1015303093038256E-12</v>
      </c>
    </row>
    <row r="50" spans="1:8" x14ac:dyDescent="0.15">
      <c r="A50" t="s">
        <v>56</v>
      </c>
      <c r="B50" s="80">
        <f>C49-0.6</f>
        <v>0</v>
      </c>
      <c r="C50" s="80">
        <v>2.2824489796626768E-2</v>
      </c>
      <c r="D50" s="84"/>
      <c r="E50" s="85">
        <v>1.9426122857143097E-3</v>
      </c>
      <c r="F50" s="93"/>
      <c r="G50" s="96">
        <f ca="1">G57-0.1</f>
        <v>0</v>
      </c>
      <c r="H50" s="91"/>
    </row>
    <row r="51" spans="1:8" x14ac:dyDescent="0.15">
      <c r="A51" s="26">
        <f>LCM(F5-I5,F7-I6)*1000*2*2</f>
        <v>1960000</v>
      </c>
      <c r="C51" s="80"/>
      <c r="D51" s="82"/>
      <c r="E51" s="85"/>
      <c r="F51" s="85"/>
      <c r="G51" s="90"/>
      <c r="H51" s="91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194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SUMIF(tables_503101!C:C,input_503101!A55,tables_503101!O:O)</f>
        <v>190713.59999999989</v>
      </c>
      <c r="C55" s="46">
        <f t="shared" ref="C55:C61" ca="1" si="22">B55/B$62</f>
        <v>0.50223739097459241</v>
      </c>
      <c r="E55">
        <v>3</v>
      </c>
      <c r="F55">
        <f ca="1">SUMIF(tables_503101!J:J,input_503101!E55,tables_503101!O:O)</f>
        <v>881999.99999999942</v>
      </c>
      <c r="G55" s="83">
        <f ca="1">F55/A51</f>
        <v>0.44999999999999968</v>
      </c>
      <c r="H55" s="47">
        <f>B17+B19+B24+B32+B34+B39</f>
        <v>0.45000000000000007</v>
      </c>
    </row>
    <row r="56" spans="1:8" x14ac:dyDescent="0.15">
      <c r="A56" s="27" t="s">
        <v>88</v>
      </c>
      <c r="B56">
        <f ca="1">SUMIF(tables_503101!C:C,input_503101!A56,tables_503101!O:O)</f>
        <v>158818.71999999986</v>
      </c>
      <c r="C56" s="46">
        <f t="shared" ca="1" si="22"/>
        <v>0.41824337420469382</v>
      </c>
      <c r="E56">
        <v>4</v>
      </c>
      <c r="F56">
        <f ca="1">SUMIF(tables_503101!J:J,input_503101!E56,tables_503101!O:O)</f>
        <v>881999.99999000097</v>
      </c>
      <c r="G56" s="83">
        <f ca="1">F56/A51</f>
        <v>0.44999999999489848</v>
      </c>
      <c r="H56" s="47">
        <f>B18+B20+B22+B25+B27+B30+B33+B35+B37+B40+B42+B45</f>
        <v>0.44999999994387707</v>
      </c>
    </row>
    <row r="57" spans="1:8" x14ac:dyDescent="0.15">
      <c r="A57" s="27" t="s">
        <v>93</v>
      </c>
      <c r="B57">
        <f ca="1">SUMIF(tables_503101!C:C,input_503101!A57,tables_503101!O:O)</f>
        <v>13247.999999999996</v>
      </c>
      <c r="C57" s="46">
        <f t="shared" ca="1" si="22"/>
        <v>3.4888130451270399E-2</v>
      </c>
      <c r="E57">
        <v>5</v>
      </c>
      <c r="F57">
        <f ca="1">SUMIF(tables_503101!J:J,input_503101!E57,tables_503101!O:O)</f>
        <v>196000.00000000012</v>
      </c>
      <c r="G57" s="83">
        <f ca="1">F57/A51</f>
        <v>0.10000000000000006</v>
      </c>
      <c r="H57" s="47">
        <f>B21+B23+B26+B28+B29+B31+B36+B38+B41+B43+B44+B46</f>
        <v>9.9999999959183669E-2</v>
      </c>
    </row>
    <row r="58" spans="1:8" x14ac:dyDescent="0.15">
      <c r="A58" s="27" t="s">
        <v>94</v>
      </c>
      <c r="B58">
        <f>SUMIF(tables_503101!C:C,input_503101!A58,tables_503101!O:O)</f>
        <v>0</v>
      </c>
      <c r="C58" s="46">
        <f t="shared" ca="1" si="22"/>
        <v>0</v>
      </c>
      <c r="F58" s="47"/>
    </row>
    <row r="59" spans="1:8" x14ac:dyDescent="0.15">
      <c r="A59" s="27" t="s">
        <v>89</v>
      </c>
      <c r="B59">
        <f ca="1">SUMIF(tables_503101!C:C,input_503101!A59,tables_503101!O:O)</f>
        <v>15475.679999999995</v>
      </c>
      <c r="C59" s="46">
        <f t="shared" ca="1" si="22"/>
        <v>4.0754645430413364E-2</v>
      </c>
      <c r="E59" t="s">
        <v>85</v>
      </c>
      <c r="F59" s="47"/>
    </row>
    <row r="60" spans="1:8" x14ac:dyDescent="0.15">
      <c r="A60" s="27" t="s">
        <v>95</v>
      </c>
      <c r="B60">
        <f ca="1">SUMIF(tables_503101!C:C,input_503101!A60,tables_503101!O:O)</f>
        <v>1471.9999999999995</v>
      </c>
      <c r="C60" s="46">
        <f t="shared" ca="1" si="22"/>
        <v>3.8764589390300444E-3</v>
      </c>
      <c r="E60" t="s">
        <v>190</v>
      </c>
      <c r="F60" s="47">
        <f ca="1">SUMIF(tables_503101!I:I,input_503101!E60,tables_503101!P:P)</f>
        <v>0.23440357145527746</v>
      </c>
    </row>
    <row r="61" spans="1:8" x14ac:dyDescent="0.15">
      <c r="A61" s="27" t="s">
        <v>96</v>
      </c>
      <c r="B61">
        <f>SUMIF(tables_503101!C:C,input_503101!A61,tables_503101!O:O)</f>
        <v>0</v>
      </c>
      <c r="C61" s="46">
        <f t="shared" ca="1" si="22"/>
        <v>0</v>
      </c>
      <c r="E61" t="s">
        <v>191</v>
      </c>
      <c r="F61" s="47">
        <f ca="1">SUMIF(tables_503101!I:I,input_503101!E61,tables_503101!P:P)</f>
        <v>0.18321991834787335</v>
      </c>
    </row>
    <row r="62" spans="1:8" x14ac:dyDescent="0.15">
      <c r="A62" s="33" t="s">
        <v>42</v>
      </c>
      <c r="B62">
        <f ca="1">SUM(B55:B61)</f>
        <v>379727.99999999971</v>
      </c>
      <c r="C62" s="47">
        <f ca="1">SUM(C55:C61)</f>
        <v>1</v>
      </c>
      <c r="E62" t="s">
        <v>192</v>
      </c>
      <c r="F62" s="47">
        <f ca="1">SUMIF(tables_503101!I:I,input_503101!E62,tables_503101!P:P)</f>
        <v>0.52837651019657284</v>
      </c>
    </row>
    <row r="63" spans="1:8" x14ac:dyDescent="0.15">
      <c r="E63" t="s">
        <v>193</v>
      </c>
      <c r="F63" s="86">
        <f ca="1">SUMIF(tables_503101!I:I,input_503101!E63,tables_503101!P:P)</f>
        <v>4.5683877551253499E-2</v>
      </c>
      <c r="G63" s="86">
        <f ca="1">0.05-F63-F64</f>
        <v>-2.5510669965367327E-13</v>
      </c>
    </row>
    <row r="64" spans="1:8" x14ac:dyDescent="0.15">
      <c r="E64" t="s">
        <v>249</v>
      </c>
      <c r="F64" s="86">
        <f ca="1">SUMIF(tables_503101!I:I,input_503101!E64,tables_503101!P:P)</f>
        <v>4.3161224490016106E-3</v>
      </c>
      <c r="G64">
        <v>3.7271020823409738E-3</v>
      </c>
    </row>
    <row r="65" spans="5:6" x14ac:dyDescent="0.15">
      <c r="E65" t="s">
        <v>248</v>
      </c>
      <c r="F65" s="86">
        <f ca="1">SUMIF(tables_503101!I:I,input_503101!E65,tables_503101!P:P)</f>
        <v>4.0000000000204056E-3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46"/>
  <sheetViews>
    <sheetView showGridLines="0" workbookViewId="0">
      <pane ySplit="1" topLeftCell="A321" activePane="bottomLeft" state="frozen"/>
      <selection activeCell="H10" sqref="H10"/>
      <selection pane="bottomLeft" activeCell="B346" sqref="B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20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27</v>
      </c>
      <c r="P1" s="3" t="s">
        <v>59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input_503101!A$2</f>
        <v>503101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IFERROR(VLOOKUP(B2,input_503101!L:R,7,FALSE),VLOOKUP(tables_503101!C2,input_503101!A:H,8,FALSE))</f>
        <v>51605.82</v>
      </c>
      <c r="P2" s="40">
        <f ca="1">O2/SUM(O:O)</f>
        <v>2.6329500000134318E-2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input_503101!A$2</f>
        <v>503101</v>
      </c>
      <c r="B3" s="6">
        <v>127</v>
      </c>
      <c r="C3" s="7" t="str">
        <f t="shared" si="0"/>
        <v>PremiumW4color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2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IFERROR(VLOOKUP(B3,input_503101!L:R,7,FALSE),VLOOKUP(tables_503101!C3,input_503101!A:H,8,FALSE))</f>
        <v>2588.1799999999998</v>
      </c>
      <c r="P3" s="40">
        <f ca="1">O3/SUM(O:O)</f>
        <v>1.3205000000067364E-3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input_503101!A$2</f>
        <v>503101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IFERROR(VLOOKUP(B4,input_503101!L:R,7,FALSE),VLOOKUP(tables_503101!C4,input_503101!A:H,8,FALSE))</f>
        <v>9852.1919999999991</v>
      </c>
      <c r="P4" s="40">
        <f ca="1">O4/SUM(O:O)</f>
        <v>5.0266285714542138E-3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input_503101!A$2</f>
        <v>503101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IFERROR(VLOOKUP(B5,input_503101!L:R,7,FALSE),VLOOKUP(tables_503101!C5,input_503101!A:H,8,FALSE))</f>
        <v>2049.6746699999999</v>
      </c>
      <c r="P5" s="40">
        <f ca="1">O5/SUM(O:O)</f>
        <v>1.0457523826583961E-3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input_503101!A$2</f>
        <v>503101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IFERROR(VLOOKUP(B6,input_503101!L:R,7,FALSE),VLOOKUP(tables_503101!C6,input_503101!A:H,8,FALSE))</f>
        <v>9852.1919999999991</v>
      </c>
      <c r="P6" s="40">
        <f ca="1">O6/SUM(O:O)</f>
        <v>5.0266285714542138E-3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input_503101!A$2</f>
        <v>503101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IFERROR(VLOOKUP(B7,input_503101!L:R,7,FALSE),VLOOKUP(tables_503101!C7,input_503101!A:H,8,FALSE))</f>
        <v>2049.6746699999999</v>
      </c>
      <c r="P7" s="40">
        <f ca="1">O7/SUM(O:O)</f>
        <v>1.0457523826583961E-3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input_503101!A$2</f>
        <v>503101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IFERROR(VLOOKUP(B8,input_503101!L:R,7,FALSE),VLOOKUP(tables_503101!C8,input_503101!A:H,8,FALSE))</f>
        <v>9852.1919999999991</v>
      </c>
      <c r="P8" s="40">
        <f ca="1">O8/SUM(O:O)</f>
        <v>5.0266285714542138E-3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input_503101!A$2</f>
        <v>503101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IFERROR(VLOOKUP(B9,input_503101!L:R,7,FALSE),VLOOKUP(tables_503101!C9,input_503101!A:H,8,FALSE))</f>
        <v>2049.6746699999999</v>
      </c>
      <c r="P9" s="40">
        <f ca="1">O9/SUM(O:O)</f>
        <v>1.0457523826583961E-3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input_503101!A$2</f>
        <v>503101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IFERROR(VLOOKUP(B10,input_503101!L:R,7,FALSE),VLOOKUP(tables_503101!C10,input_503101!A:H,8,FALSE))</f>
        <v>51605.82</v>
      </c>
      <c r="P10" s="40">
        <f ca="1">O10/SUM(O:O)</f>
        <v>2.6329500000134318E-2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input_503101!A$2</f>
        <v>503101</v>
      </c>
      <c r="B11" s="8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IFERROR(VLOOKUP(B11,input_503101!L:R,7,FALSE),VLOOKUP(tables_503101!C11,input_503101!A:H,8,FALSE))</f>
        <v>2588.1799999999998</v>
      </c>
      <c r="P11" s="40">
        <f ca="1">O11/SUM(O:O)</f>
        <v>1.3205000000067364E-3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input_503101!A$2</f>
        <v>503101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IFERROR(VLOOKUP(B12,input_503101!L:R,7,FALSE),VLOOKUP(tables_503101!C12,input_503101!A:H,8,FALSE))</f>
        <v>9852.1919999999991</v>
      </c>
      <c r="P12" s="40">
        <f ca="1">O12/SUM(O:O)</f>
        <v>5.0266285714542138E-3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input_503101!A$2</f>
        <v>503101</v>
      </c>
      <c r="B13" s="6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IFERROR(VLOOKUP(B13,input_503101!L:R,7,FALSE),VLOOKUP(tables_503101!C13,input_503101!A:H,8,FALSE))</f>
        <v>2049.6746699999999</v>
      </c>
      <c r="P13" s="40">
        <f ca="1">O13/SUM(O:O)</f>
        <v>1.0457523826583961E-3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input_503101!A$2</f>
        <v>503101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IFERROR(VLOOKUP(B14,input_503101!L:R,7,FALSE),VLOOKUP(tables_503101!C14,input_503101!A:H,8,FALSE))</f>
        <v>9852.1919999999991</v>
      </c>
      <c r="P14" s="40">
        <f ca="1">O14/SUM(O:O)</f>
        <v>5.0266285714542138E-3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input_503101!A$2</f>
        <v>503101</v>
      </c>
      <c r="B15" s="10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IFERROR(VLOOKUP(B15,input_503101!L:R,7,FALSE),VLOOKUP(tables_503101!C15,input_503101!A:H,8,FALSE))</f>
        <v>2049.6746699999999</v>
      </c>
      <c r="P15" s="40">
        <f ca="1">O15/SUM(O:O)</f>
        <v>1.0457523826583961E-3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input_503101!A$2</f>
        <v>503101</v>
      </c>
      <c r="B16" s="11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IFERROR(VLOOKUP(B16,input_503101!L:R,7,FALSE),VLOOKUP(tables_503101!C16,input_503101!A:H,8,FALSE))</f>
        <v>9852.1919999999991</v>
      </c>
      <c r="P16" s="40">
        <f ca="1">O16/SUM(O:O)</f>
        <v>5.0266285714542138E-3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input_503101!A$2</f>
        <v>503101</v>
      </c>
      <c r="B17" s="6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IFERROR(VLOOKUP(B17,input_503101!L:R,7,FALSE),VLOOKUP(tables_503101!C17,input_503101!A:H,8,FALSE))</f>
        <v>2049.6746699999999</v>
      </c>
      <c r="P17" s="40">
        <f ca="1">O17/SUM(O:O)</f>
        <v>1.0457523826583961E-3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input_503101!A$2</f>
        <v>503101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IFERROR(VLOOKUP(B18,input_503101!L:R,7,FALSE),VLOOKUP(tables_503101!C18,input_503101!A:H,8,FALSE))</f>
        <v>51605.82</v>
      </c>
      <c r="P18" s="40">
        <f ca="1">O18/SUM(O:O)</f>
        <v>2.6329500000134318E-2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input_503101!A$2</f>
        <v>503101</v>
      </c>
      <c r="B19" s="10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IFERROR(VLOOKUP(B19,input_503101!L:R,7,FALSE),VLOOKUP(tables_503101!C19,input_503101!A:H,8,FALSE))</f>
        <v>2588.1799999999998</v>
      </c>
      <c r="P19" s="40">
        <f ca="1">O19/SUM(O:O)</f>
        <v>1.3205000000067364E-3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input_503101!A$2</f>
        <v>503101</v>
      </c>
      <c r="B20" s="6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IFERROR(VLOOKUP(B20,input_503101!L:R,7,FALSE),VLOOKUP(tables_503101!C20,input_503101!A:H,8,FALSE))</f>
        <v>9852.1919999999991</v>
      </c>
      <c r="P20" s="40">
        <f ca="1">O20/SUM(O:O)</f>
        <v>5.0266285714542138E-3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input_503101!A$2</f>
        <v>503101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IFERROR(VLOOKUP(B21,input_503101!L:R,7,FALSE),VLOOKUP(tables_503101!C21,input_503101!A:H,8,FALSE))</f>
        <v>2049.6746699999999</v>
      </c>
      <c r="P21" s="40">
        <f ca="1">O21/SUM(O:O)</f>
        <v>1.0457523826583961E-3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input_503101!A$2</f>
        <v>503101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IFERROR(VLOOKUP(B22,input_503101!L:R,7,FALSE),VLOOKUP(tables_503101!C22,input_503101!A:H,8,FALSE))</f>
        <v>9852.1919999999991</v>
      </c>
      <c r="P22" s="40">
        <f ca="1">O22/SUM(O:O)</f>
        <v>5.0266285714542138E-3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input_503101!A$2</f>
        <v>503101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IFERROR(VLOOKUP(B23,input_503101!L:R,7,FALSE),VLOOKUP(tables_503101!C23,input_503101!A:H,8,FALSE))</f>
        <v>2049.6746699999999</v>
      </c>
      <c r="P23" s="40">
        <f ca="1">O23/SUM(O:O)</f>
        <v>1.0457523826583961E-3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input_503101!A$2</f>
        <v>503101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IFERROR(VLOOKUP(B24,input_503101!L:R,7,FALSE),VLOOKUP(tables_503101!C24,input_503101!A:H,8,FALSE))</f>
        <v>9852.1919999999991</v>
      </c>
      <c r="P24" s="40">
        <f ca="1">O24/SUM(O:O)</f>
        <v>5.0266285714542138E-3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input_503101!A$2</f>
        <v>503101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IFERROR(VLOOKUP(B25,input_503101!L:R,7,FALSE),VLOOKUP(tables_503101!C25,input_503101!A:H,8,FALSE))</f>
        <v>2049.6746699999999</v>
      </c>
      <c r="P25" s="40">
        <f ca="1">O25/SUM(O:O)</f>
        <v>1.0457523826583961E-3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input_503101!A$2</f>
        <v>503101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IFERROR(VLOOKUP(B26,input_503101!L:R,7,FALSE),VLOOKUP(tables_503101!C26,input_503101!A:H,8,FALSE))</f>
        <v>51605.82</v>
      </c>
      <c r="P26" s="40">
        <f ca="1">O26/SUM(O:O)</f>
        <v>2.6329500000134318E-2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input_503101!A$2</f>
        <v>503101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IFERROR(VLOOKUP(B27,input_503101!L:R,7,FALSE),VLOOKUP(tables_503101!C27,input_503101!A:H,8,FALSE))</f>
        <v>2588.1799999999998</v>
      </c>
      <c r="P27" s="40">
        <f ca="1">O27/SUM(O:O)</f>
        <v>1.3205000000067364E-3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input_503101!A$2</f>
        <v>503101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IFERROR(VLOOKUP(B28,input_503101!L:R,7,FALSE),VLOOKUP(tables_503101!C28,input_503101!A:H,8,FALSE))</f>
        <v>9852.1919999999991</v>
      </c>
      <c r="P28" s="40">
        <f ca="1">O28/SUM(O:O)</f>
        <v>5.0266285714542138E-3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input_503101!A$2</f>
        <v>503101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IFERROR(VLOOKUP(B29,input_503101!L:R,7,FALSE),VLOOKUP(tables_503101!C29,input_503101!A:H,8,FALSE))</f>
        <v>2049.6746699999999</v>
      </c>
      <c r="P29" s="40">
        <f ca="1">O29/SUM(O:O)</f>
        <v>1.0457523826583961E-3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input_503101!A$2</f>
        <v>503101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IFERROR(VLOOKUP(B30,input_503101!L:R,7,FALSE),VLOOKUP(tables_503101!C30,input_503101!A:H,8,FALSE))</f>
        <v>9852.1919999999991</v>
      </c>
      <c r="P30" s="40">
        <f ca="1">O30/SUM(O:O)</f>
        <v>5.0266285714542138E-3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input_503101!A$2</f>
        <v>503101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IFERROR(VLOOKUP(B31,input_503101!L:R,7,FALSE),VLOOKUP(tables_503101!C31,input_503101!A:H,8,FALSE))</f>
        <v>2049.6746699999999</v>
      </c>
      <c r="P31" s="40">
        <f ca="1">O31/SUM(O:O)</f>
        <v>1.0457523826583961E-3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input_503101!A$2</f>
        <v>503101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IFERROR(VLOOKUP(B32,input_503101!L:R,7,FALSE),VLOOKUP(tables_503101!C32,input_503101!A:H,8,FALSE))</f>
        <v>9852.1919999999991</v>
      </c>
      <c r="P32" s="40">
        <f ca="1">O32/SUM(O:O)</f>
        <v>5.0266285714542138E-3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input_503101!A$2</f>
        <v>503101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IFERROR(VLOOKUP(B33,input_503101!L:R,7,FALSE),VLOOKUP(tables_503101!C33,input_503101!A:H,8,FALSE))</f>
        <v>2049.6746699999999</v>
      </c>
      <c r="P33" s="40">
        <f ca="1">O33/SUM(O:O)</f>
        <v>1.0457523826583961E-3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input_503101!A$2</f>
        <v>503101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2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IFERROR(VLOOKUP(B34,input_503101!L:R,7,FALSE),VLOOKUP(tables_503101!C34,input_503101!A:H,8,FALSE))</f>
        <v>51605.82</v>
      </c>
      <c r="P34" s="40">
        <f ca="1">O34/SUM(O:O)</f>
        <v>2.6329500000134318E-2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input_503101!A$2</f>
        <v>503101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2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IFERROR(VLOOKUP(B35,input_503101!L:R,7,FALSE),VLOOKUP(tables_503101!C35,input_503101!A:H,8,FALSE))</f>
        <v>2588.1799999999998</v>
      </c>
      <c r="P35" s="40">
        <f ca="1">O35/SUM(O:O)</f>
        <v>1.3205000000067364E-3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input_503101!A$2</f>
        <v>503101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IFERROR(VLOOKUP(B36,input_503101!L:R,7,FALSE),VLOOKUP(tables_503101!C36,input_503101!A:H,8,FALSE))</f>
        <v>9852.1919999999991</v>
      </c>
      <c r="P36" s="40">
        <f ca="1">O36/SUM(O:O)</f>
        <v>5.0266285714542138E-3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input_503101!A$2</f>
        <v>503101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IFERROR(VLOOKUP(B37,input_503101!L:R,7,FALSE),VLOOKUP(tables_503101!C37,input_503101!A:H,8,FALSE))</f>
        <v>2049.6746699999999</v>
      </c>
      <c r="P37" s="40">
        <f ca="1">O37/SUM(O:O)</f>
        <v>1.0457523826583961E-3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input_503101!A$2</f>
        <v>503101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IFERROR(VLOOKUP(B38,input_503101!L:R,7,FALSE),VLOOKUP(tables_503101!C38,input_503101!A:H,8,FALSE))</f>
        <v>9852.1919999999991</v>
      </c>
      <c r="P38" s="40">
        <f ca="1">O38/SUM(O:O)</f>
        <v>5.0266285714542138E-3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input_503101!A$2</f>
        <v>503101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IFERROR(VLOOKUP(B39,input_503101!L:R,7,FALSE),VLOOKUP(tables_503101!C39,input_503101!A:H,8,FALSE))</f>
        <v>2049.6746699999999</v>
      </c>
      <c r="P39" s="40">
        <f ca="1">O39/SUM(O:O)</f>
        <v>1.0457523826583961E-3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input_503101!A$2</f>
        <v>503101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IFERROR(VLOOKUP(B40,input_503101!L:R,7,FALSE),VLOOKUP(tables_503101!C40,input_503101!A:H,8,FALSE))</f>
        <v>9852.1919999999991</v>
      </c>
      <c r="P40" s="40">
        <f ca="1">O40/SUM(O:O)</f>
        <v>5.0266285714542138E-3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input_503101!A$2</f>
        <v>503101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IFERROR(VLOOKUP(B41,input_503101!L:R,7,FALSE),VLOOKUP(tables_503101!C41,input_503101!A:H,8,FALSE))</f>
        <v>2049.6746699999999</v>
      </c>
      <c r="P41" s="40">
        <f ca="1">O41/SUM(O:O)</f>
        <v>1.0457523826583961E-3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input_503101!A$2</f>
        <v>503101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2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IFERROR(VLOOKUP(B42,input_503101!L:R,7,FALSE),VLOOKUP(tables_503101!C42,input_503101!A:H,8,FALSE))</f>
        <v>20859.3</v>
      </c>
      <c r="P42" s="40">
        <f ca="1">O42/SUM(O:O)</f>
        <v>1.0642500000054293E-2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input_503101!A$2</f>
        <v>503101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2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IFERROR(VLOOKUP(B43,input_503101!L:R,7,FALSE),VLOOKUP(tables_503101!C43,input_503101!A:H,8,FALSE))</f>
        <v>20859.3</v>
      </c>
      <c r="P43" s="40">
        <f ca="1">O43/SUM(O:O)</f>
        <v>1.0642500000054293E-2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input_503101!A$2</f>
        <v>503101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2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IFERROR(VLOOKUP(B44,input_503101!L:R,7,FALSE),VLOOKUP(tables_503101!C44,input_503101!A:H,8,FALSE))</f>
        <v>4635.3999999999996</v>
      </c>
      <c r="P44" s="40">
        <f ca="1">O44/SUM(O:O)</f>
        <v>2.3650000000120649E-3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input_503101!A$2</f>
        <v>503101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IFERROR(VLOOKUP(B45,input_503101!L:R,7,FALSE),VLOOKUP(tables_503101!C45,input_503101!A:H,8,FALSE))</f>
        <v>4767.84</v>
      </c>
      <c r="P45" s="40">
        <f ca="1">O45/SUM(O:O)</f>
        <v>2.4325714285838382E-3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input_503101!A$2</f>
        <v>503101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IFERROR(VLOOKUP(B46,input_503101!L:R,7,FALSE),VLOOKUP(tables_503101!C46,input_503101!A:H,8,FALSE))</f>
        <v>4767.84</v>
      </c>
      <c r="P46" s="40">
        <f ca="1">O46/SUM(O:O)</f>
        <v>2.4325714285838382E-3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input_503101!A$2</f>
        <v>503101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IFERROR(VLOOKUP(B47,input_503101!L:R,7,FALSE),VLOOKUP(tables_503101!C47,input_503101!A:H,8,FALSE))</f>
        <v>1059.52</v>
      </c>
      <c r="P47" s="40">
        <f ca="1">O47/SUM(O:O)</f>
        <v>5.4057142857418623E-4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input_503101!A$2</f>
        <v>503101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IFERROR(VLOOKUP(B48,input_503101!L:R,7,FALSE),VLOOKUP(tables_503101!C48,input_503101!A:H,8,FALSE))</f>
        <v>4767.84</v>
      </c>
      <c r="P48" s="40">
        <f ca="1">O48/SUM(O:O)</f>
        <v>2.4325714285838382E-3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input_503101!A$2</f>
        <v>503101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IFERROR(VLOOKUP(B49,input_503101!L:R,7,FALSE),VLOOKUP(tables_503101!C49,input_503101!A:H,8,FALSE))</f>
        <v>4767.84</v>
      </c>
      <c r="P49" s="40">
        <f ca="1">O49/SUM(O:O)</f>
        <v>2.4325714285838382E-3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input_503101!A$2</f>
        <v>503101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IFERROR(VLOOKUP(B50,input_503101!L:R,7,FALSE),VLOOKUP(tables_503101!C50,input_503101!A:H,8,FALSE))</f>
        <v>1059.52</v>
      </c>
      <c r="P50" s="40">
        <f ca="1">O50/SUM(O:O)</f>
        <v>5.4057142857418623E-4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input_503101!A$2</f>
        <v>503101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IFERROR(VLOOKUP(B51,input_503101!L:R,7,FALSE),VLOOKUP(tables_503101!C51,input_503101!A:H,8,FALSE))</f>
        <v>4767.84</v>
      </c>
      <c r="P51" s="40">
        <f ca="1">O51/SUM(O:O)</f>
        <v>2.4325714285838382E-3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input_503101!A$2</f>
        <v>503101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IFERROR(VLOOKUP(B52,input_503101!L:R,7,FALSE),VLOOKUP(tables_503101!C52,input_503101!A:H,8,FALSE))</f>
        <v>3970.4679999999998</v>
      </c>
      <c r="P52" s="40">
        <f ca="1">O52/SUM(O:O)</f>
        <v>2.025748979602171E-3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input_503101!A$2</f>
        <v>503101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IFERROR(VLOOKUP(B53,input_503101!L:R,7,FALSE),VLOOKUP(tables_503101!C53,input_503101!A:H,8,FALSE))</f>
        <v>386.892</v>
      </c>
      <c r="P53" s="40">
        <f ca="1">O53/SUM(O:O)</f>
        <v>1.9739387755202741E-4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input_503101!A$2</f>
        <v>503101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2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IFERROR(VLOOKUP(B54,input_503101!L:R,7,FALSE),VLOOKUP(tables_503101!C54,input_503101!A:H,8,FALSE))</f>
        <v>20859.3</v>
      </c>
      <c r="P54" s="40">
        <f ca="1">O54/SUM(O:O)</f>
        <v>1.0642500000054293E-2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input_503101!A$2</f>
        <v>503101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2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IFERROR(VLOOKUP(B55,input_503101!L:R,7,FALSE),VLOOKUP(tables_503101!C55,input_503101!A:H,8,FALSE))</f>
        <v>17740.059990000002</v>
      </c>
      <c r="P55" s="40">
        <f ca="1">O55/SUM(O:O)</f>
        <v>9.0510510153522968E-3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input_503101!A$2</f>
        <v>503101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2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IFERROR(VLOOKUP(B56,input_503101!L:R,7,FALSE),VLOOKUP(tables_503101!C56,input_503101!A:H,8,FALSE))</f>
        <v>4635.3999999999996</v>
      </c>
      <c r="P56" s="40">
        <f ca="1">O56/SUM(O:O)</f>
        <v>2.3650000000120649E-3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input_503101!A$2</f>
        <v>503101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IFERROR(VLOOKUP(B57,input_503101!L:R,7,FALSE),VLOOKUP(tables_503101!C57,input_503101!A:H,8,FALSE))</f>
        <v>4767.84</v>
      </c>
      <c r="P57" s="40">
        <f ca="1">O57/SUM(O:O)</f>
        <v>2.4325714285838382E-3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input_503101!A$2</f>
        <v>503101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IFERROR(VLOOKUP(B58,input_503101!L:R,7,FALSE),VLOOKUP(tables_503101!C58,input_503101!A:H,8,FALSE))</f>
        <v>3970.4679999999998</v>
      </c>
      <c r="P58" s="40">
        <f ca="1">O58/SUM(O:O)</f>
        <v>2.025748979602171E-3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input_503101!A$2</f>
        <v>503101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IFERROR(VLOOKUP(B59,input_503101!L:R,7,FALSE),VLOOKUP(tables_503101!C59,input_503101!A:H,8,FALSE))</f>
        <v>386.892</v>
      </c>
      <c r="P59" s="40">
        <f ca="1">O59/SUM(O:O)</f>
        <v>1.9739387755202741E-4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input_503101!A$2</f>
        <v>503101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IFERROR(VLOOKUP(B60,input_503101!L:R,7,FALSE),VLOOKUP(tables_503101!C60,input_503101!A:H,8,FALSE))</f>
        <v>4767.84</v>
      </c>
      <c r="P60" s="40">
        <f ca="1">O60/SUM(O:O)</f>
        <v>2.4325714285838382E-3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input_503101!A$2</f>
        <v>503101</v>
      </c>
      <c r="B61" s="8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IFERROR(VLOOKUP(B61,input_503101!L:R,7,FALSE),VLOOKUP(tables_503101!C61,input_503101!A:H,8,FALSE))</f>
        <v>3970.4679999999998</v>
      </c>
      <c r="P61" s="40">
        <f ca="1">O61/SUM(O:O)</f>
        <v>2.025748979602171E-3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input_503101!A$2</f>
        <v>503101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IFERROR(VLOOKUP(B62,input_503101!L:R,7,FALSE),VLOOKUP(tables_503101!C62,input_503101!A:H,8,FALSE))</f>
        <v>386.892</v>
      </c>
      <c r="P62" s="40">
        <f ca="1">O62/SUM(O:O)</f>
        <v>1.9739387755202741E-4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input_503101!A$2</f>
        <v>503101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IFERROR(VLOOKUP(B63,input_503101!L:R,7,FALSE),VLOOKUP(tables_503101!C63,input_503101!A:H,8,FALSE))</f>
        <v>4767.84</v>
      </c>
      <c r="P63" s="40">
        <f ca="1">O63/SUM(O:O)</f>
        <v>2.4325714285838382E-3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input_503101!A$2</f>
        <v>503101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IFERROR(VLOOKUP(B64,input_503101!L:R,7,FALSE),VLOOKUP(tables_503101!C64,input_503101!A:H,8,FALSE))</f>
        <v>3970.4679999999998</v>
      </c>
      <c r="P64" s="40">
        <f ca="1">O64/SUM(O:O)</f>
        <v>2.025748979602171E-3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input_503101!A$2</f>
        <v>503101</v>
      </c>
      <c r="B65" s="6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IFERROR(VLOOKUP(B65,input_503101!L:R,7,FALSE),VLOOKUP(tables_503101!C65,input_503101!A:H,8,FALSE))</f>
        <v>386.892</v>
      </c>
      <c r="P65" s="40">
        <f ca="1">O65/SUM(O:O)</f>
        <v>1.9739387755202741E-4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input_503101!A$2</f>
        <v>503101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2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IFERROR(VLOOKUP(B66,input_503101!L:R,7,FALSE),VLOOKUP(tables_503101!C66,input_503101!A:H,8,FALSE))</f>
        <v>20859.3</v>
      </c>
      <c r="P66" s="40">
        <f ca="1">O66/SUM(O:O)</f>
        <v>1.0642500000054293E-2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input_503101!A$2</f>
        <v>503101</v>
      </c>
      <c r="B67" s="6">
        <v>191</v>
      </c>
      <c r="C67" s="7" t="str">
        <f t="shared" si="3"/>
        <v>Premium4color</v>
      </c>
      <c r="D67" s="7" t="str">
        <f t="shared" ref="D67:D130" si="4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5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IFERROR(VLOOKUP(B67,input_503101!L:R,7,FALSE),VLOOKUP(tables_503101!C67,input_503101!A:H,8,FALSE))</f>
        <v>17740.059990000002</v>
      </c>
      <c r="P67" s="40">
        <f ca="1">O67/SUM(O:O)</f>
        <v>9.0510510153522968E-3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input_503101!A$2</f>
        <v>503101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IFERROR(VLOOKUP(B68,input_503101!L:R,7,FALSE),VLOOKUP(tables_503101!C68,input_503101!A:H,8,FALSE))</f>
        <v>4635.3999999999996</v>
      </c>
      <c r="P68" s="40">
        <f ca="1">O68/SUM(O:O)</f>
        <v>2.3650000000120649E-3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input_503101!A$2</f>
        <v>503101</v>
      </c>
      <c r="B69" s="10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IFERROR(VLOOKUP(B69,input_503101!L:R,7,FALSE),VLOOKUP(tables_503101!C69,input_503101!A:H,8,FALSE))</f>
        <v>4767.84</v>
      </c>
      <c r="P69" s="40">
        <f ca="1">O69/SUM(O:O)</f>
        <v>2.4325714285838382E-3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input_503101!A$2</f>
        <v>503101</v>
      </c>
      <c r="B70" s="6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IFERROR(VLOOKUP(B70,input_503101!L:R,7,FALSE),VLOOKUP(tables_503101!C70,input_503101!A:H,8,FALSE))</f>
        <v>3970.4679999999998</v>
      </c>
      <c r="P70" s="40">
        <f ca="1">O70/SUM(O:O)</f>
        <v>2.025748979602171E-3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input_503101!A$2</f>
        <v>503101</v>
      </c>
      <c r="B71" s="10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IFERROR(VLOOKUP(B71,input_503101!L:R,7,FALSE),VLOOKUP(tables_503101!C71,input_503101!A:H,8,FALSE))</f>
        <v>386.892</v>
      </c>
      <c r="P71" s="40">
        <f ca="1">O71/SUM(O:O)</f>
        <v>1.9739387755202741E-4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input_503101!A$2</f>
        <v>503101</v>
      </c>
      <c r="B72" s="11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IFERROR(VLOOKUP(B72,input_503101!L:R,7,FALSE),VLOOKUP(tables_503101!C72,input_503101!A:H,8,FALSE))</f>
        <v>4767.84</v>
      </c>
      <c r="P72" s="40">
        <f ca="1">O72/SUM(O:O)</f>
        <v>2.4325714285838382E-3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input_503101!A$2</f>
        <v>503101</v>
      </c>
      <c r="B73" s="6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IFERROR(VLOOKUP(B73,input_503101!L:R,7,FALSE),VLOOKUP(tables_503101!C73,input_503101!A:H,8,FALSE))</f>
        <v>3970.4679999999998</v>
      </c>
      <c r="P73" s="40">
        <f ca="1">O73/SUM(O:O)</f>
        <v>2.025748979602171E-3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input_503101!A$2</f>
        <v>503101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IFERROR(VLOOKUP(B74,input_503101!L:R,7,FALSE),VLOOKUP(tables_503101!C74,input_503101!A:H,8,FALSE))</f>
        <v>386.892</v>
      </c>
      <c r="P74" s="40">
        <f ca="1">O74/SUM(O:O)</f>
        <v>1.9739387755202741E-4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input_503101!A$2</f>
        <v>503101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IFERROR(VLOOKUP(B75,input_503101!L:R,7,FALSE),VLOOKUP(tables_503101!C75,input_503101!A:H,8,FALSE))</f>
        <v>4767.84</v>
      </c>
      <c r="P75" s="40">
        <f ca="1">O75/SUM(O:O)</f>
        <v>2.4325714285838382E-3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input_503101!A$2</f>
        <v>503101</v>
      </c>
      <c r="B76" s="5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IFERROR(VLOOKUP(B76,input_503101!L:R,7,FALSE),VLOOKUP(tables_503101!C76,input_503101!A:H,8,FALSE))</f>
        <v>3970.4679999999998</v>
      </c>
      <c r="P76" s="40">
        <f ca="1">O76/SUM(O:O)</f>
        <v>2.025748979602171E-3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input_503101!A$2</f>
        <v>503101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IFERROR(VLOOKUP(B77,input_503101!L:R,7,FALSE),VLOOKUP(tables_503101!C77,input_503101!A:H,8,FALSE))</f>
        <v>386.892</v>
      </c>
      <c r="P77" s="40">
        <f ca="1">O77/SUM(O:O)</f>
        <v>1.9739387755202741E-4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input_503101!A$2</f>
        <v>503101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IFERROR(VLOOKUP(B78,input_503101!L:R,7,FALSE),VLOOKUP(tables_503101!C78,input_503101!A:H,8,FALSE))</f>
        <v>20859.3</v>
      </c>
      <c r="P78" s="40">
        <f ca="1">O78/SUM(O:O)</f>
        <v>1.0642500000054293E-2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input_503101!A$2</f>
        <v>503101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IFERROR(VLOOKUP(B79,input_503101!L:R,7,FALSE),VLOOKUP(tables_503101!C79,input_503101!A:H,8,FALSE))</f>
        <v>17740.059990000002</v>
      </c>
      <c r="P79" s="40">
        <f ca="1">O79/SUM(O:O)</f>
        <v>9.0510510153522968E-3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input_503101!A$2</f>
        <v>503101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IFERROR(VLOOKUP(B80,input_503101!L:R,7,FALSE),VLOOKUP(tables_503101!C80,input_503101!A:H,8,FALSE))</f>
        <v>4635.3999999999996</v>
      </c>
      <c r="P80" s="40">
        <f ca="1">O80/SUM(O:O)</f>
        <v>2.3650000000120649E-3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input_503101!A$2</f>
        <v>503101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IFERROR(VLOOKUP(B81,input_503101!L:R,7,FALSE),VLOOKUP(tables_503101!C81,input_503101!A:H,8,FALSE))</f>
        <v>4767.84</v>
      </c>
      <c r="P81" s="40">
        <f ca="1">O81/SUM(O:O)</f>
        <v>2.4325714285838382E-3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input_503101!A$2</f>
        <v>503101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IFERROR(VLOOKUP(B82,input_503101!L:R,7,FALSE),VLOOKUP(tables_503101!C82,input_503101!A:H,8,FALSE))</f>
        <v>3970.4679999999998</v>
      </c>
      <c r="P82" s="40">
        <f ca="1">O82/SUM(O:O)</f>
        <v>2.025748979602171E-3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input_503101!A$2</f>
        <v>503101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IFERROR(VLOOKUP(B83,input_503101!L:R,7,FALSE),VLOOKUP(tables_503101!C83,input_503101!A:H,8,FALSE))</f>
        <v>386.892</v>
      </c>
      <c r="P83" s="40">
        <f ca="1">O83/SUM(O:O)</f>
        <v>1.9739387755202741E-4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input_503101!A$2</f>
        <v>503101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IFERROR(VLOOKUP(B84,input_503101!L:R,7,FALSE),VLOOKUP(tables_503101!C84,input_503101!A:H,8,FALSE))</f>
        <v>4767.84</v>
      </c>
      <c r="P84" s="40">
        <f ca="1">O84/SUM(O:O)</f>
        <v>2.4325714285838382E-3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input_503101!A$2</f>
        <v>503101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IFERROR(VLOOKUP(B85,input_503101!L:R,7,FALSE),VLOOKUP(tables_503101!C85,input_503101!A:H,8,FALSE))</f>
        <v>3970.4679999999998</v>
      </c>
      <c r="P85" s="40">
        <f ca="1">O85/SUM(O:O)</f>
        <v>2.025748979602171E-3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input_503101!A$2</f>
        <v>503101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IFERROR(VLOOKUP(B86,input_503101!L:R,7,FALSE),VLOOKUP(tables_503101!C86,input_503101!A:H,8,FALSE))</f>
        <v>386.892</v>
      </c>
      <c r="P86" s="40">
        <f ca="1">O86/SUM(O:O)</f>
        <v>1.9739387755202741E-4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input_503101!A$2</f>
        <v>503101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IFERROR(VLOOKUP(B87,input_503101!L:R,7,FALSE),VLOOKUP(tables_503101!C87,input_503101!A:H,8,FALSE))</f>
        <v>4767.84</v>
      </c>
      <c r="P87" s="40">
        <f ca="1">O87/SUM(O:O)</f>
        <v>2.4325714285838382E-3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input_503101!A$2</f>
        <v>503101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IFERROR(VLOOKUP(B88,input_503101!L:R,7,FALSE),VLOOKUP(tables_503101!C88,input_503101!A:H,8,FALSE))</f>
        <v>3970.4679999999998</v>
      </c>
      <c r="P88" s="40">
        <f ca="1">O88/SUM(O:O)</f>
        <v>2.025748979602171E-3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input_503101!A$2</f>
        <v>503101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IFERROR(VLOOKUP(B89,input_503101!L:R,7,FALSE),VLOOKUP(tables_503101!C89,input_503101!A:H,8,FALSE))</f>
        <v>386.892</v>
      </c>
      <c r="P89" s="40">
        <f ca="1">O89/SUM(O:O)</f>
        <v>1.9739387755202741E-4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input_503101!A$2</f>
        <v>503101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IFERROR(VLOOKUP(B90,input_503101!L:R,7,FALSE),VLOOKUP(tables_503101!C90,input_503101!A:H,8,FALSE))</f>
        <v>20859.3</v>
      </c>
      <c r="P90" s="40">
        <f ca="1">O90/SUM(O:O)</f>
        <v>1.0642500000054293E-2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input_503101!A$2</f>
        <v>503101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IFERROR(VLOOKUP(B91,input_503101!L:R,7,FALSE),VLOOKUP(tables_503101!C91,input_503101!A:H,8,FALSE))</f>
        <v>17740.059990000002</v>
      </c>
      <c r="P91" s="40">
        <f ca="1">O91/SUM(O:O)</f>
        <v>9.0510510153522968E-3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input_503101!A$2</f>
        <v>503101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IFERROR(VLOOKUP(B92,input_503101!L:R,7,FALSE),VLOOKUP(tables_503101!C92,input_503101!A:H,8,FALSE))</f>
        <v>4635.3999999999996</v>
      </c>
      <c r="P92" s="40">
        <f ca="1">O92/SUM(O:O)</f>
        <v>2.3650000000120649E-3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input_503101!A$2</f>
        <v>503101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IFERROR(VLOOKUP(B93,input_503101!L:R,7,FALSE),VLOOKUP(tables_503101!C93,input_503101!A:H,8,FALSE))</f>
        <v>4767.84</v>
      </c>
      <c r="P93" s="40">
        <f ca="1">O93/SUM(O:O)</f>
        <v>2.4325714285838382E-3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input_503101!A$2</f>
        <v>503101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IFERROR(VLOOKUP(B94,input_503101!L:R,7,FALSE),VLOOKUP(tables_503101!C94,input_503101!A:H,8,FALSE))</f>
        <v>3970.4679999999998</v>
      </c>
      <c r="P94" s="40">
        <f ca="1">O94/SUM(O:O)</f>
        <v>2.025748979602171E-3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input_503101!A$2</f>
        <v>503101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IFERROR(VLOOKUP(B95,input_503101!L:R,7,FALSE),VLOOKUP(tables_503101!C95,input_503101!A:H,8,FALSE))</f>
        <v>386.892</v>
      </c>
      <c r="P95" s="40">
        <f ca="1">O95/SUM(O:O)</f>
        <v>1.9739387755202741E-4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input_503101!A$2</f>
        <v>503101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IFERROR(VLOOKUP(B96,input_503101!L:R,7,FALSE),VLOOKUP(tables_503101!C96,input_503101!A:H,8,FALSE))</f>
        <v>4767.84</v>
      </c>
      <c r="P96" s="40">
        <f ca="1">O96/SUM(O:O)</f>
        <v>2.4325714285838382E-3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input_503101!A$2</f>
        <v>503101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IFERROR(VLOOKUP(B97,input_503101!L:R,7,FALSE),VLOOKUP(tables_503101!C97,input_503101!A:H,8,FALSE))</f>
        <v>3970.4679999999998</v>
      </c>
      <c r="P97" s="40">
        <f ca="1">O97/SUM(O:O)</f>
        <v>2.025748979602171E-3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input_503101!A$2</f>
        <v>503101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IFERROR(VLOOKUP(B98,input_503101!L:R,7,FALSE),VLOOKUP(tables_503101!C98,input_503101!A:H,8,FALSE))</f>
        <v>386.892</v>
      </c>
      <c r="P98" s="40">
        <f ca="1">O98/SUM(O:O)</f>
        <v>1.9739387755202741E-4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input_503101!A$2</f>
        <v>503101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IFERROR(VLOOKUP(B99,input_503101!L:R,7,FALSE),VLOOKUP(tables_503101!C99,input_503101!A:H,8,FALSE))</f>
        <v>4767.84</v>
      </c>
      <c r="P99" s="40">
        <f ca="1">O99/SUM(O:O)</f>
        <v>2.4325714285838382E-3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input_503101!A$2</f>
        <v>503101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IFERROR(VLOOKUP(B100,input_503101!L:R,7,FALSE),VLOOKUP(tables_503101!C100,input_503101!A:H,8,FALSE))</f>
        <v>3970.4679999999998</v>
      </c>
      <c r="P100" s="40">
        <f ca="1">O100/SUM(O:O)</f>
        <v>2.025748979602171E-3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input_503101!A$2</f>
        <v>503101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IFERROR(VLOOKUP(B101,input_503101!L:R,7,FALSE),VLOOKUP(tables_503101!C101,input_503101!A:H,8,FALSE))</f>
        <v>386.892</v>
      </c>
      <c r="P101" s="40">
        <f ca="1">O101/SUM(O:O)</f>
        <v>1.9739387755202741E-4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input_503101!A$2</f>
        <v>503101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IFERROR(VLOOKUP(B102,input_503101!L:R,7,FALSE),VLOOKUP(tables_503101!C102,input_503101!A:H,8,FALSE))</f>
        <v>20859.3</v>
      </c>
      <c r="P102" s="40">
        <f ca="1">O102/SUM(O:O)</f>
        <v>1.0642500000054293E-2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input_503101!A$2</f>
        <v>503101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IFERROR(VLOOKUP(B103,input_503101!L:R,7,FALSE),VLOOKUP(tables_503101!C103,input_503101!A:H,8,FALSE))</f>
        <v>17740.059990000002</v>
      </c>
      <c r="P103" s="40">
        <f ca="1">O103/SUM(O:O)</f>
        <v>9.0510510153522968E-3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input_503101!A$2</f>
        <v>503101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IFERROR(VLOOKUP(B104,input_503101!L:R,7,FALSE),VLOOKUP(tables_503101!C104,input_503101!A:H,8,FALSE))</f>
        <v>4635.3999999999996</v>
      </c>
      <c r="P104" s="40">
        <f ca="1">O104/SUM(O:O)</f>
        <v>2.3650000000120649E-3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input_503101!A$2</f>
        <v>503101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IFERROR(VLOOKUP(B105,input_503101!L:R,7,FALSE),VLOOKUP(tables_503101!C105,input_503101!A:H,8,FALSE))</f>
        <v>4767.84</v>
      </c>
      <c r="P105" s="40">
        <f ca="1">O105/SUM(O:O)</f>
        <v>2.4325714285838382E-3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input_503101!A$2</f>
        <v>503101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IFERROR(VLOOKUP(B106,input_503101!L:R,7,FALSE),VLOOKUP(tables_503101!C106,input_503101!A:H,8,FALSE))</f>
        <v>3970.4679999999998</v>
      </c>
      <c r="P106" s="40">
        <f ca="1">O106/SUM(O:O)</f>
        <v>2.025748979602171E-3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input_503101!A$2</f>
        <v>503101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IFERROR(VLOOKUP(B107,input_503101!L:R,7,FALSE),VLOOKUP(tables_503101!C107,input_503101!A:H,8,FALSE))</f>
        <v>386.892</v>
      </c>
      <c r="P107" s="40">
        <f ca="1">O107/SUM(O:O)</f>
        <v>1.9739387755202741E-4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input_503101!A$2</f>
        <v>503101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IFERROR(VLOOKUP(B108,input_503101!L:R,7,FALSE),VLOOKUP(tables_503101!C108,input_503101!A:H,8,FALSE))</f>
        <v>4767.84</v>
      </c>
      <c r="P108" s="40">
        <f ca="1">O108/SUM(O:O)</f>
        <v>2.4325714285838382E-3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input_503101!A$2</f>
        <v>503101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IFERROR(VLOOKUP(B109,input_503101!L:R,7,FALSE),VLOOKUP(tables_503101!C109,input_503101!A:H,8,FALSE))</f>
        <v>3970.4679999999998</v>
      </c>
      <c r="P109" s="40">
        <f ca="1">O109/SUM(O:O)</f>
        <v>2.025748979602171E-3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input_503101!A$2</f>
        <v>503101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IFERROR(VLOOKUP(B110,input_503101!L:R,7,FALSE),VLOOKUP(tables_503101!C110,input_503101!A:H,8,FALSE))</f>
        <v>386.892</v>
      </c>
      <c r="P110" s="40">
        <f ca="1">O110/SUM(O:O)</f>
        <v>1.9739387755202741E-4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input_503101!A$2</f>
        <v>503101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IFERROR(VLOOKUP(B111,input_503101!L:R,7,FALSE),VLOOKUP(tables_503101!C111,input_503101!A:H,8,FALSE))</f>
        <v>4767.84</v>
      </c>
      <c r="P111" s="40">
        <f ca="1">O111/SUM(O:O)</f>
        <v>2.4325714285838382E-3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input_503101!A$2</f>
        <v>503101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IFERROR(VLOOKUP(B112,input_503101!L:R,7,FALSE),VLOOKUP(tables_503101!C112,input_503101!A:H,8,FALSE))</f>
        <v>4767.84</v>
      </c>
      <c r="P112" s="40">
        <f ca="1">O112/SUM(O:O)</f>
        <v>2.4325714285838382E-3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input_503101!A$2</f>
        <v>503101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IFERROR(VLOOKUP(B113,input_503101!L:R,7,FALSE),VLOOKUP(tables_503101!C113,input_503101!A:H,8,FALSE))</f>
        <v>1059.52</v>
      </c>
      <c r="P113" s="40">
        <f ca="1">O113/SUM(O:O)</f>
        <v>5.4057142857418623E-4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input_503101!A$2</f>
        <v>503101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IFERROR(VLOOKUP(B114,input_503101!L:R,7,FALSE),VLOOKUP(tables_503101!C114,input_503101!A:H,8,FALSE))</f>
        <v>20859.3</v>
      </c>
      <c r="P114" s="40">
        <f ca="1">O114/SUM(O:O)</f>
        <v>1.0642500000054293E-2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input_503101!A$2</f>
        <v>503101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IFERROR(VLOOKUP(B115,input_503101!L:R,7,FALSE),VLOOKUP(tables_503101!C115,input_503101!A:H,8,FALSE))</f>
        <v>17740.059990000002</v>
      </c>
      <c r="P115" s="40">
        <f ca="1">O115/SUM(O:O)</f>
        <v>9.0510510153522968E-3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input_503101!A$2</f>
        <v>503101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IFERROR(VLOOKUP(B116,input_503101!L:R,7,FALSE),VLOOKUP(tables_503101!C116,input_503101!A:H,8,FALSE))</f>
        <v>4635.3999999999996</v>
      </c>
      <c r="P116" s="40">
        <f ca="1">O116/SUM(O:O)</f>
        <v>2.3650000000120649E-3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input_503101!A$2</f>
        <v>503101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IFERROR(VLOOKUP(B117,input_503101!L:R,7,FALSE),VLOOKUP(tables_503101!C117,input_503101!A:H,8,FALSE))</f>
        <v>4767.84</v>
      </c>
      <c r="P117" s="40">
        <f ca="1">O117/SUM(O:O)</f>
        <v>2.4325714285838382E-3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input_503101!A$2</f>
        <v>503101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IFERROR(VLOOKUP(B118,input_503101!L:R,7,FALSE),VLOOKUP(tables_503101!C118,input_503101!A:H,8,FALSE))</f>
        <v>3970.4679999999998</v>
      </c>
      <c r="P118" s="40">
        <f ca="1">O118/SUM(O:O)</f>
        <v>2.025748979602171E-3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input_503101!A$2</f>
        <v>503101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IFERROR(VLOOKUP(B119,input_503101!L:R,7,FALSE),VLOOKUP(tables_503101!C119,input_503101!A:H,8,FALSE))</f>
        <v>386.892</v>
      </c>
      <c r="P119" s="40">
        <f ca="1">O119/SUM(O:O)</f>
        <v>1.9739387755202741E-4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input_503101!A$2</f>
        <v>503101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IFERROR(VLOOKUP(B120,input_503101!L:R,7,FALSE),VLOOKUP(tables_503101!C120,input_503101!A:H,8,FALSE))</f>
        <v>4767.84</v>
      </c>
      <c r="P120" s="40">
        <f ca="1">O120/SUM(O:O)</f>
        <v>2.4325714285838382E-3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input_503101!A$2</f>
        <v>503101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IFERROR(VLOOKUP(B121,input_503101!L:R,7,FALSE),VLOOKUP(tables_503101!C121,input_503101!A:H,8,FALSE))</f>
        <v>3970.4679999999998</v>
      </c>
      <c r="P121" s="40">
        <f ca="1">O121/SUM(O:O)</f>
        <v>2.025748979602171E-3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input_503101!A$2</f>
        <v>503101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IFERROR(VLOOKUP(B122,input_503101!L:R,7,FALSE),VLOOKUP(tables_503101!C122,input_503101!A:H,8,FALSE))</f>
        <v>386.892</v>
      </c>
      <c r="P122" s="40">
        <f ca="1">O122/SUM(O:O)</f>
        <v>1.9739387755202741E-4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input_503101!A$2</f>
        <v>503101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IFERROR(VLOOKUP(B123,input_503101!L:R,7,FALSE),VLOOKUP(tables_503101!C123,input_503101!A:H,8,FALSE))</f>
        <v>4767.84</v>
      </c>
      <c r="P123" s="40">
        <f ca="1">O123/SUM(O:O)</f>
        <v>2.4325714285838382E-3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input_503101!A$2</f>
        <v>503101</v>
      </c>
      <c r="B124" s="6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IFERROR(VLOOKUP(B124,input_503101!L:R,7,FALSE),VLOOKUP(tables_503101!C124,input_503101!A:H,8,FALSE))</f>
        <v>3970.4679999999998</v>
      </c>
      <c r="P124" s="40">
        <f ca="1">O124/SUM(O:O)</f>
        <v>2.025748979602171E-3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input_503101!A$2</f>
        <v>503101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IFERROR(VLOOKUP(B125,input_503101!L:R,7,FALSE),VLOOKUP(tables_503101!C125,input_503101!A:H,8,FALSE))</f>
        <v>386.892</v>
      </c>
      <c r="P125" s="40">
        <f ca="1">O125/SUM(O:O)</f>
        <v>1.9739387755202741E-4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input_503101!A$2</f>
        <v>503101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IFERROR(VLOOKUP(B126,input_503101!L:R,7,FALSE),VLOOKUP(tables_503101!C126,input_503101!A:H,8,FALSE))</f>
        <v>20859.3</v>
      </c>
      <c r="P126" s="40">
        <f ca="1">O126/SUM(O:O)</f>
        <v>1.0642500000054293E-2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input_503101!A$2</f>
        <v>503101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IFERROR(VLOOKUP(B127,input_503101!L:R,7,FALSE),VLOOKUP(tables_503101!C127,input_503101!A:H,8,FALSE))</f>
        <v>17740.059990000002</v>
      </c>
      <c r="P127" s="40">
        <f ca="1">O127/SUM(O:O)</f>
        <v>9.0510510153522968E-3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input_503101!A$2</f>
        <v>503101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IFERROR(VLOOKUP(B128,input_503101!L:R,7,FALSE),VLOOKUP(tables_503101!C128,input_503101!A:H,8,FALSE))</f>
        <v>4635.3999999999996</v>
      </c>
      <c r="P128" s="40">
        <f ca="1">O128/SUM(O:O)</f>
        <v>2.3650000000120649E-3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input_503101!A$2</f>
        <v>503101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IFERROR(VLOOKUP(B129,input_503101!L:R,7,FALSE),VLOOKUP(tables_503101!C129,input_503101!A:H,8,FALSE))</f>
        <v>4767.84</v>
      </c>
      <c r="P129" s="40">
        <f ca="1">O129/SUM(O:O)</f>
        <v>2.4325714285838382E-3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input_503101!A$2</f>
        <v>503101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5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IFERROR(VLOOKUP(B130,input_503101!L:R,7,FALSE),VLOOKUP(tables_503101!C130,input_503101!A:H,8,FALSE))</f>
        <v>3970.4679999999998</v>
      </c>
      <c r="P130" s="40">
        <f ca="1">O130/SUM(O:O)</f>
        <v>2.025748979602171E-3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input_503101!A$2</f>
        <v>503101</v>
      </c>
      <c r="B131" s="6">
        <v>255</v>
      </c>
      <c r="C131" s="7" t="str">
        <f t="shared" si="6"/>
        <v>Premium5</v>
      </c>
      <c r="D131" s="7" t="str">
        <f t="shared" ref="D131:D194" si="7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8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IFERROR(VLOOKUP(B131,input_503101!L:R,7,FALSE),VLOOKUP(tables_503101!C131,input_503101!A:H,8,FALSE))</f>
        <v>386.892</v>
      </c>
      <c r="P131" s="40">
        <f ca="1">O131/SUM(O:O)</f>
        <v>1.9739387755202741E-4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input_503101!A$2</f>
        <v>503101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IFERROR(VLOOKUP(B132,input_503101!L:R,7,FALSE),VLOOKUP(tables_503101!C132,input_503101!A:H,8,FALSE))</f>
        <v>4767.84</v>
      </c>
      <c r="P132" s="40">
        <f ca="1">O132/SUM(O:O)</f>
        <v>2.4325714285838382E-3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input_503101!A$2</f>
        <v>503101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IFERROR(VLOOKUP(B133,input_503101!L:R,7,FALSE),VLOOKUP(tables_503101!C133,input_503101!A:H,8,FALSE))</f>
        <v>3970.4679999999998</v>
      </c>
      <c r="P133" s="40">
        <f ca="1">O133/SUM(O:O)</f>
        <v>2.025748979602171E-3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input_503101!A$2</f>
        <v>503101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IFERROR(VLOOKUP(B134,input_503101!L:R,7,FALSE),VLOOKUP(tables_503101!C134,input_503101!A:H,8,FALSE))</f>
        <v>386.892</v>
      </c>
      <c r="P134" s="40">
        <f ca="1">O134/SUM(O:O)</f>
        <v>1.9739387755202741E-4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input_503101!A$2</f>
        <v>503101</v>
      </c>
      <c r="B135" s="8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IFERROR(VLOOKUP(B135,input_503101!L:R,7,FALSE),VLOOKUP(tables_503101!C135,input_503101!A:H,8,FALSE))</f>
        <v>4767.84</v>
      </c>
      <c r="P135" s="40">
        <f ca="1">O135/SUM(O:O)</f>
        <v>2.4325714285838382E-3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input_503101!A$2</f>
        <v>503101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IFERROR(VLOOKUP(B136,input_503101!L:R,7,FALSE),VLOOKUP(tables_503101!C136,input_503101!A:H,8,FALSE))</f>
        <v>3970.4679999999998</v>
      </c>
      <c r="P136" s="40">
        <f ca="1">O136/SUM(O:O)</f>
        <v>2.025748979602171E-3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input_503101!A$2</f>
        <v>503101</v>
      </c>
      <c r="B137" s="6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IFERROR(VLOOKUP(B137,input_503101!L:R,7,FALSE),VLOOKUP(tables_503101!C137,input_503101!A:H,8,FALSE))</f>
        <v>386.892</v>
      </c>
      <c r="P137" s="40">
        <f ca="1">O137/SUM(O:O)</f>
        <v>1.9739387755202741E-4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input_503101!A$2</f>
        <v>503101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8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IFERROR(VLOOKUP(B138,input_503101!L:R,7,FALSE),VLOOKUP(tables_503101!C138,input_503101!A:H,8,FALSE))</f>
        <v>3245.76</v>
      </c>
      <c r="P138" s="40">
        <f ca="1">O138/SUM(O:O)</f>
        <v>1.6560000000084482E-3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input_503101!A$2</f>
        <v>503101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8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IFERROR(VLOOKUP(B139,input_503101!L:R,7,FALSE),VLOOKUP(tables_503101!C139,input_503101!A:H,8,FALSE))</f>
        <v>360.64</v>
      </c>
      <c r="P139" s="40">
        <f ca="1">O139/SUM(O:O)</f>
        <v>1.8400000000093868E-4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input_503101!A$2</f>
        <v>503101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8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IFERROR(VLOOKUP(B140,input_503101!L:R,7,FALSE),VLOOKUP(tables_503101!C140,input_503101!A:H,8,FALSE))</f>
        <v>662.4</v>
      </c>
      <c r="P140" s="40">
        <f ca="1">O140/SUM(O:O)</f>
        <v>3.3795918367519347E-4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input_503101!A$2</f>
        <v>503101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8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IFERROR(VLOOKUP(B141,input_503101!L:R,7,FALSE),VLOOKUP(tables_503101!C141,input_503101!A:H,8,FALSE))</f>
        <v>73.599999999999994</v>
      </c>
      <c r="P141" s="40">
        <f ca="1">O141/SUM(O:O)</f>
        <v>3.7551020408354829E-5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input_503101!A$2</f>
        <v>503101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IFERROR(VLOOKUP(B142,input_503101!L:R,7,FALSE),VLOOKUP(tables_503101!C142,input_503101!A:H,8,FALSE))</f>
        <v>662.4</v>
      </c>
      <c r="P142" s="40">
        <f ca="1">O142/SUM(O:O)</f>
        <v>3.3795918367519347E-4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input_503101!A$2</f>
        <v>503101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IFERROR(VLOOKUP(B143,input_503101!L:R,7,FALSE),VLOOKUP(tables_503101!C143,input_503101!A:H,8,FALSE))</f>
        <v>73.599999999999994</v>
      </c>
      <c r="P143" s="40">
        <f ca="1">O143/SUM(O:O)</f>
        <v>3.7551020408354829E-5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input_503101!A$2</f>
        <v>503101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IFERROR(VLOOKUP(B144,input_503101!L:R,7,FALSE),VLOOKUP(tables_503101!C144,input_503101!A:H,8,FALSE))</f>
        <v>662.4</v>
      </c>
      <c r="P144" s="40">
        <f ca="1">O144/SUM(O:O)</f>
        <v>3.3795918367519347E-4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input_503101!A$2</f>
        <v>503101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IFERROR(VLOOKUP(B145,input_503101!L:R,7,FALSE),VLOOKUP(tables_503101!C145,input_503101!A:H,8,FALSE))</f>
        <v>73.599999999999994</v>
      </c>
      <c r="P145" s="40">
        <f ca="1">O145/SUM(O:O)</f>
        <v>3.7551020408354829E-5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input_503101!A$2</f>
        <v>503101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8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IFERROR(VLOOKUP(B146,input_503101!L:R,7,FALSE),VLOOKUP(tables_503101!C146,input_503101!A:H,8,FALSE))</f>
        <v>20859.3</v>
      </c>
      <c r="P146" s="40">
        <f ca="1">O146/SUM(O:O)</f>
        <v>1.0642500000054293E-2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input_503101!A$2</f>
        <v>503101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8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IFERROR(VLOOKUP(B147,input_503101!L:R,7,FALSE),VLOOKUP(tables_503101!C147,input_503101!A:H,8,FALSE))</f>
        <v>17740.059990000002</v>
      </c>
      <c r="P147" s="40">
        <f ca="1">O147/SUM(O:O)</f>
        <v>9.0510510153522968E-3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input_503101!A$2</f>
        <v>503101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8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IFERROR(VLOOKUP(B148,input_503101!L:R,7,FALSE),VLOOKUP(tables_503101!C148,input_503101!A:H,8,FALSE))</f>
        <v>4635.3999999999996</v>
      </c>
      <c r="P148" s="40">
        <f ca="1">O148/SUM(O:O)</f>
        <v>2.3650000000120649E-3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input_503101!A$2</f>
        <v>503101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8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IFERROR(VLOOKUP(B149,input_503101!L:R,7,FALSE),VLOOKUP(tables_503101!C149,input_503101!A:H,8,FALSE))</f>
        <v>662.4</v>
      </c>
      <c r="P149" s="40">
        <f ca="1">O149/SUM(O:O)</f>
        <v>3.3795918367519347E-4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input_503101!A$2</f>
        <v>503101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8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IFERROR(VLOOKUP(B150,input_503101!L:R,7,FALSE),VLOOKUP(tables_503101!C150,input_503101!A:H,8,FALSE))</f>
        <v>73.599999999999994</v>
      </c>
      <c r="P150" s="40">
        <f ca="1">O150/SUM(O:O)</f>
        <v>3.7551020408354829E-5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input_503101!A$2</f>
        <v>503101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IFERROR(VLOOKUP(B151,input_503101!L:R,7,FALSE),VLOOKUP(tables_503101!C151,input_503101!A:H,8,FALSE))</f>
        <v>662.4</v>
      </c>
      <c r="P151" s="40">
        <f ca="1">O151/SUM(O:O)</f>
        <v>3.3795918367519347E-4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input_503101!A$2</f>
        <v>503101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IFERROR(VLOOKUP(B152,input_503101!L:R,7,FALSE),VLOOKUP(tables_503101!C152,input_503101!A:H,8,FALSE))</f>
        <v>73.599999999999994</v>
      </c>
      <c r="P152" s="40">
        <f ca="1">O152/SUM(O:O)</f>
        <v>3.7551020408354829E-5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input_503101!A$2</f>
        <v>503101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IFERROR(VLOOKUP(B153,input_503101!L:R,7,FALSE),VLOOKUP(tables_503101!C153,input_503101!A:H,8,FALSE))</f>
        <v>4767.84</v>
      </c>
      <c r="P153" s="40">
        <f ca="1">O153/SUM(O:O)</f>
        <v>2.4325714285838382E-3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input_503101!A$2</f>
        <v>503101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IFERROR(VLOOKUP(B154,input_503101!L:R,7,FALSE),VLOOKUP(tables_503101!C154,input_503101!A:H,8,FALSE))</f>
        <v>3970.4679999999998</v>
      </c>
      <c r="P154" s="40">
        <f ca="1">O154/SUM(O:O)</f>
        <v>2.025748979602171E-3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input_503101!A$2</f>
        <v>503101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IFERROR(VLOOKUP(B155,input_503101!L:R,7,FALSE),VLOOKUP(tables_503101!C155,input_503101!A:H,8,FALSE))</f>
        <v>386.892</v>
      </c>
      <c r="P155" s="40">
        <f ca="1">O155/SUM(O:O)</f>
        <v>1.9739387755202741E-4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input_503101!A$2</f>
        <v>503101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8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IFERROR(VLOOKUP(B156,input_503101!L:R,7,FALSE),VLOOKUP(tables_503101!C156,input_503101!A:H,8,FALSE))</f>
        <v>3245.76</v>
      </c>
      <c r="P156" s="40">
        <f ca="1">O156/SUM(O:O)</f>
        <v>1.6560000000084482E-3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input_503101!A$2</f>
        <v>503101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8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IFERROR(VLOOKUP(B157,input_503101!L:R,7,FALSE),VLOOKUP(tables_503101!C157,input_503101!A:H,8,FALSE))</f>
        <v>360.64</v>
      </c>
      <c r="P157" s="40">
        <f ca="1">O157/SUM(O:O)</f>
        <v>1.8400000000093868E-4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input_503101!A$2</f>
        <v>503101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8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IFERROR(VLOOKUP(B158,input_503101!L:R,7,FALSE),VLOOKUP(tables_503101!C158,input_503101!A:H,8,FALSE))</f>
        <v>4767.84</v>
      </c>
      <c r="P158" s="40">
        <f ca="1">O158/SUM(O:O)</f>
        <v>2.4325714285838382E-3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input_503101!A$2</f>
        <v>503101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8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IFERROR(VLOOKUP(B159,input_503101!L:R,7,FALSE),VLOOKUP(tables_503101!C159,input_503101!A:H,8,FALSE))</f>
        <v>3970.4679999999998</v>
      </c>
      <c r="P159" s="40">
        <f ca="1">O159/SUM(O:O)</f>
        <v>2.025748979602171E-3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input_503101!A$2</f>
        <v>503101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8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IFERROR(VLOOKUP(B160,input_503101!L:R,7,FALSE),VLOOKUP(tables_503101!C160,input_503101!A:H,8,FALSE))</f>
        <v>386.892</v>
      </c>
      <c r="P160" s="40">
        <f ca="1">O160/SUM(O:O)</f>
        <v>1.9739387755202741E-4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input_503101!A$2</f>
        <v>503101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IFERROR(VLOOKUP(B161,input_503101!L:R,7,FALSE),VLOOKUP(tables_503101!C161,input_503101!A:H,8,FALSE))</f>
        <v>4767.84</v>
      </c>
      <c r="P161" s="40">
        <f ca="1">O161/SUM(O:O)</f>
        <v>2.4325714285838382E-3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input_503101!A$2</f>
        <v>503101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IFERROR(VLOOKUP(B162,input_503101!L:R,7,FALSE),VLOOKUP(tables_503101!C162,input_503101!A:H,8,FALSE))</f>
        <v>3970.4679999999998</v>
      </c>
      <c r="P162" s="40">
        <f ca="1">O162/SUM(O:O)</f>
        <v>2.025748979602171E-3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input_503101!A$2</f>
        <v>503101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IFERROR(VLOOKUP(B163,input_503101!L:R,7,FALSE),VLOOKUP(tables_503101!C163,input_503101!A:H,8,FALSE))</f>
        <v>386.892</v>
      </c>
      <c r="P163" s="40">
        <f ca="1">O163/SUM(O:O)</f>
        <v>1.9739387755202741E-4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input_503101!A$2</f>
        <v>503101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IFERROR(VLOOKUP(B164,input_503101!L:R,7,FALSE),VLOOKUP(tables_503101!C164,input_503101!A:H,8,FALSE))</f>
        <v>662.4</v>
      </c>
      <c r="P164" s="40">
        <f ca="1">O164/SUM(O:O)</f>
        <v>3.3795918367519347E-4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input_503101!A$2</f>
        <v>503101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IFERROR(VLOOKUP(B165,input_503101!L:R,7,FALSE),VLOOKUP(tables_503101!C165,input_503101!A:H,8,FALSE))</f>
        <v>73.599999999999994</v>
      </c>
      <c r="P165" s="40">
        <f ca="1">O165/SUM(O:O)</f>
        <v>3.7551020408354829E-5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input_503101!A$2</f>
        <v>503101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8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IFERROR(VLOOKUP(B166,input_503101!L:R,7,FALSE),VLOOKUP(tables_503101!C166,input_503101!A:H,8,FALSE))</f>
        <v>20859.3</v>
      </c>
      <c r="P166" s="40">
        <f ca="1">O166/SUM(O:O)</f>
        <v>1.0642500000054293E-2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input_503101!A$2</f>
        <v>503101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8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IFERROR(VLOOKUP(B167,input_503101!L:R,7,FALSE),VLOOKUP(tables_503101!C167,input_503101!A:H,8,FALSE))</f>
        <v>17740.059990000002</v>
      </c>
      <c r="P167" s="40">
        <f ca="1">O167/SUM(O:O)</f>
        <v>9.0510510153522968E-3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input_503101!A$2</f>
        <v>503101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8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IFERROR(VLOOKUP(B168,input_503101!L:R,7,FALSE),VLOOKUP(tables_503101!C168,input_503101!A:H,8,FALSE))</f>
        <v>4635.3999999999996</v>
      </c>
      <c r="P168" s="40">
        <f ca="1">O168/SUM(O:O)</f>
        <v>2.3650000000120649E-3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input_503101!A$2</f>
        <v>503101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8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IFERROR(VLOOKUP(B169,input_503101!L:R,7,FALSE),VLOOKUP(tables_503101!C169,input_503101!A:H,8,FALSE))</f>
        <v>662.4</v>
      </c>
      <c r="P169" s="40">
        <f ca="1">O169/SUM(O:O)</f>
        <v>3.3795918367519347E-4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input_503101!A$2</f>
        <v>503101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8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IFERROR(VLOOKUP(B170,input_503101!L:R,7,FALSE),VLOOKUP(tables_503101!C170,input_503101!A:H,8,FALSE))</f>
        <v>73.599999999999994</v>
      </c>
      <c r="P170" s="40">
        <f ca="1">O170/SUM(O:O)</f>
        <v>3.7551020408354829E-5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input_503101!A$2</f>
        <v>503101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IFERROR(VLOOKUP(B171,input_503101!L:R,7,FALSE),VLOOKUP(tables_503101!C171,input_503101!A:H,8,FALSE))</f>
        <v>4767.84</v>
      </c>
      <c r="P171" s="40">
        <f ca="1">O171/SUM(O:O)</f>
        <v>2.4325714285838382E-3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input_503101!A$2</f>
        <v>503101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IFERROR(VLOOKUP(B172,input_503101!L:R,7,FALSE),VLOOKUP(tables_503101!C172,input_503101!A:H,8,FALSE))</f>
        <v>3970.4679999999998</v>
      </c>
      <c r="P172" s="40">
        <f ca="1">O172/SUM(O:O)</f>
        <v>2.025748979602171E-3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input_503101!A$2</f>
        <v>503101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IFERROR(VLOOKUP(B173,input_503101!L:R,7,FALSE),VLOOKUP(tables_503101!C173,input_503101!A:H,8,FALSE))</f>
        <v>386.892</v>
      </c>
      <c r="P173" s="40">
        <f ca="1">O173/SUM(O:O)</f>
        <v>1.9739387755202741E-4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input_503101!A$2</f>
        <v>503101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IFERROR(VLOOKUP(B174,input_503101!L:R,7,FALSE),VLOOKUP(tables_503101!C174,input_503101!A:H,8,FALSE))</f>
        <v>662.4</v>
      </c>
      <c r="P174" s="40">
        <f ca="1">O174/SUM(O:O)</f>
        <v>3.3795918367519347E-4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input_503101!A$2</f>
        <v>503101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IFERROR(VLOOKUP(B175,input_503101!L:R,7,FALSE),VLOOKUP(tables_503101!C175,input_503101!A:H,8,FALSE))</f>
        <v>73.599999999999994</v>
      </c>
      <c r="P175" s="40">
        <f ca="1">O175/SUM(O:O)</f>
        <v>3.7551020408354829E-5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input_503101!A$2</f>
        <v>503101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8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IFERROR(VLOOKUP(B176,input_503101!L:R,7,FALSE),VLOOKUP(tables_503101!C176,input_503101!A:H,8,FALSE))</f>
        <v>3245.76</v>
      </c>
      <c r="P176" s="40">
        <f ca="1">O176/SUM(O:O)</f>
        <v>1.6560000000084482E-3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input_503101!A$2</f>
        <v>503101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8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IFERROR(VLOOKUP(B177,input_503101!L:R,7,FALSE),VLOOKUP(tables_503101!C177,input_503101!A:H,8,FALSE))</f>
        <v>360.64</v>
      </c>
      <c r="P177" s="40">
        <f ca="1">O177/SUM(O:O)</f>
        <v>1.8400000000093868E-4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input_503101!A$2</f>
        <v>503101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8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IFERROR(VLOOKUP(B178,input_503101!L:R,7,FALSE),VLOOKUP(tables_503101!C178,input_503101!A:H,8,FALSE))</f>
        <v>4767.84</v>
      </c>
      <c r="P178" s="40">
        <f ca="1">O178/SUM(O:O)</f>
        <v>2.4325714285838382E-3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input_503101!A$2</f>
        <v>503101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8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IFERROR(VLOOKUP(B179,input_503101!L:R,7,FALSE),VLOOKUP(tables_503101!C179,input_503101!A:H,8,FALSE))</f>
        <v>3970.4679999999998</v>
      </c>
      <c r="P179" s="40">
        <f ca="1">O179/SUM(O:O)</f>
        <v>2.025748979602171E-3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input_503101!A$2</f>
        <v>503101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8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IFERROR(VLOOKUP(B180,input_503101!L:R,7,FALSE),VLOOKUP(tables_503101!C180,input_503101!A:H,8,FALSE))</f>
        <v>386.892</v>
      </c>
      <c r="P180" s="40">
        <f ca="1">O180/SUM(O:O)</f>
        <v>1.9739387755202741E-4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input_503101!A$2</f>
        <v>503101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IFERROR(VLOOKUP(B181,input_503101!L:R,7,FALSE),VLOOKUP(tables_503101!C181,input_503101!A:H,8,FALSE))</f>
        <v>4767.84</v>
      </c>
      <c r="P181" s="40">
        <f ca="1">O181/SUM(O:O)</f>
        <v>2.4325714285838382E-3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input_503101!A$2</f>
        <v>503101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IFERROR(VLOOKUP(B182,input_503101!L:R,7,FALSE),VLOOKUP(tables_503101!C182,input_503101!A:H,8,FALSE))</f>
        <v>3970.4679999999998</v>
      </c>
      <c r="P182" s="40">
        <f ca="1">O182/SUM(O:O)</f>
        <v>2.025748979602171E-3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input_503101!A$2</f>
        <v>503101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IFERROR(VLOOKUP(B183,input_503101!L:R,7,FALSE),VLOOKUP(tables_503101!C183,input_503101!A:H,8,FALSE))</f>
        <v>386.892</v>
      </c>
      <c r="P183" s="40">
        <f ca="1">O183/SUM(O:O)</f>
        <v>1.9739387755202741E-4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input_503101!A$2</f>
        <v>503101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IFERROR(VLOOKUP(B184,input_503101!L:R,7,FALSE),VLOOKUP(tables_503101!C184,input_503101!A:H,8,FALSE))</f>
        <v>662.4</v>
      </c>
      <c r="P184" s="40">
        <f ca="1">O184/SUM(O:O)</f>
        <v>3.3795918367519347E-4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input_503101!A$2</f>
        <v>503101</v>
      </c>
      <c r="B185" s="8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IFERROR(VLOOKUP(B185,input_503101!L:R,7,FALSE),VLOOKUP(tables_503101!C185,input_503101!A:H,8,FALSE))</f>
        <v>73.599999999999994</v>
      </c>
      <c r="P185" s="40">
        <f ca="1">O185/SUM(O:O)</f>
        <v>3.7551020408354829E-5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input_503101!A$2</f>
        <v>503101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8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IFERROR(VLOOKUP(B186,input_503101!L:R,7,FALSE),VLOOKUP(tables_503101!C186,input_503101!A:H,8,FALSE))</f>
        <v>20859.3</v>
      </c>
      <c r="P186" s="40">
        <f ca="1">O186/SUM(O:O)</f>
        <v>1.0642500000054293E-2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input_503101!A$2</f>
        <v>503101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8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IFERROR(VLOOKUP(B187,input_503101!L:R,7,FALSE),VLOOKUP(tables_503101!C187,input_503101!A:H,8,FALSE))</f>
        <v>17740.059990000002</v>
      </c>
      <c r="P187" s="40">
        <f ca="1">O187/SUM(O:O)</f>
        <v>9.0510510153522968E-3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input_503101!A$2</f>
        <v>503101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8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IFERROR(VLOOKUP(B188,input_503101!L:R,7,FALSE),VLOOKUP(tables_503101!C188,input_503101!A:H,8,FALSE))</f>
        <v>4635.3999999999996</v>
      </c>
      <c r="P188" s="40">
        <f ca="1">O188/SUM(O:O)</f>
        <v>2.3650000000120649E-3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input_503101!A$2</f>
        <v>503101</v>
      </c>
      <c r="B189" s="6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8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IFERROR(VLOOKUP(B189,input_503101!L:R,7,FALSE),VLOOKUP(tables_503101!C189,input_503101!A:H,8,FALSE))</f>
        <v>662.4</v>
      </c>
      <c r="P189" s="40">
        <f ca="1">O189/SUM(O:O)</f>
        <v>3.3795918367519347E-4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input_503101!A$2</f>
        <v>503101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8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IFERROR(VLOOKUP(B190,input_503101!L:R,7,FALSE),VLOOKUP(tables_503101!C190,input_503101!A:H,8,FALSE))</f>
        <v>73.599999999999994</v>
      </c>
      <c r="P190" s="40">
        <f ca="1">O190/SUM(O:O)</f>
        <v>3.7551020408354829E-5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input_503101!A$2</f>
        <v>503101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IFERROR(VLOOKUP(B191,input_503101!L:R,7,FALSE),VLOOKUP(tables_503101!C191,input_503101!A:H,8,FALSE))</f>
        <v>662.4</v>
      </c>
      <c r="P191" s="40">
        <f ca="1">O191/SUM(O:O)</f>
        <v>3.3795918367519347E-4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input_503101!A$2</f>
        <v>503101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IFERROR(VLOOKUP(B192,input_503101!L:R,7,FALSE),VLOOKUP(tables_503101!C192,input_503101!A:H,8,FALSE))</f>
        <v>73.599999999999994</v>
      </c>
      <c r="P192" s="40">
        <f ca="1">O192/SUM(O:O)</f>
        <v>3.7551020408354829E-5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input_503101!A$2</f>
        <v>503101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IFERROR(VLOOKUP(B193,input_503101!L:R,7,FALSE),VLOOKUP(tables_503101!C193,input_503101!A:H,8,FALSE))</f>
        <v>4767.84</v>
      </c>
      <c r="P193" s="40">
        <f ca="1">O193/SUM(O:O)</f>
        <v>2.4325714285838382E-3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input_503101!A$2</f>
        <v>503101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IFERROR(VLOOKUP(B194,input_503101!L:R,7,FALSE),VLOOKUP(tables_503101!C194,input_503101!A:H,8,FALSE))</f>
        <v>3970.4679999999998</v>
      </c>
      <c r="P194" s="40">
        <f ca="1">O194/SUM(O:O)</f>
        <v>2.025748979602171E-3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input_503101!A$2</f>
        <v>503101</v>
      </c>
      <c r="B195" s="6">
        <v>471</v>
      </c>
      <c r="C195" s="7" t="str">
        <f t="shared" si="9"/>
        <v>Premium5</v>
      </c>
      <c r="D195" s="7" t="str">
        <f t="shared" ref="D195:D258" si="10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1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IFERROR(VLOOKUP(B195,input_503101!L:R,7,FALSE),VLOOKUP(tables_503101!C195,input_503101!A:H,8,FALSE))</f>
        <v>386.892</v>
      </c>
      <c r="P195" s="40">
        <f ca="1">O195/SUM(O:O)</f>
        <v>1.9739387755202741E-4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input_503101!A$2</f>
        <v>503101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1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IFERROR(VLOOKUP(B196,input_503101!L:R,7,FALSE),VLOOKUP(tables_503101!C196,input_503101!A:H,8,FALSE))</f>
        <v>3245.76</v>
      </c>
      <c r="P196" s="40">
        <f ca="1">O196/SUM(O:O)</f>
        <v>1.6560000000084482E-3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input_503101!A$2</f>
        <v>503101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1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IFERROR(VLOOKUP(B197,input_503101!L:R,7,FALSE),VLOOKUP(tables_503101!C197,input_503101!A:H,8,FALSE))</f>
        <v>360.64</v>
      </c>
      <c r="P197" s="40">
        <f ca="1">O197/SUM(O:O)</f>
        <v>1.8400000000093868E-4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input_503101!A$2</f>
        <v>503101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1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IFERROR(VLOOKUP(B198,input_503101!L:R,7,FALSE),VLOOKUP(tables_503101!C198,input_503101!A:H,8,FALSE))</f>
        <v>4767.84</v>
      </c>
      <c r="P198" s="40">
        <f ca="1">O198/SUM(O:O)</f>
        <v>2.4325714285838382E-3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input_503101!A$2</f>
        <v>503101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1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IFERROR(VLOOKUP(B199,input_503101!L:R,7,FALSE),VLOOKUP(tables_503101!C199,input_503101!A:H,8,FALSE))</f>
        <v>3970.4679999999998</v>
      </c>
      <c r="P199" s="40">
        <f ca="1">O199/SUM(O:O)</f>
        <v>2.025748979602171E-3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input_503101!A$2</f>
        <v>503101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1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IFERROR(VLOOKUP(B200,input_503101!L:R,7,FALSE),VLOOKUP(tables_503101!C200,input_503101!A:H,8,FALSE))</f>
        <v>386.892</v>
      </c>
      <c r="P200" s="40">
        <f ca="1">O200/SUM(O:O)</f>
        <v>1.9739387755202741E-4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input_503101!A$2</f>
        <v>503101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IFERROR(VLOOKUP(B201,input_503101!L:R,7,FALSE),VLOOKUP(tables_503101!C201,input_503101!A:H,8,FALSE))</f>
        <v>662.4</v>
      </c>
      <c r="P201" s="40">
        <f ca="1">O201/SUM(O:O)</f>
        <v>3.3795918367519347E-4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input_503101!A$2</f>
        <v>503101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IFERROR(VLOOKUP(B202,input_503101!L:R,7,FALSE),VLOOKUP(tables_503101!C202,input_503101!A:H,8,FALSE))</f>
        <v>73.599999999999994</v>
      </c>
      <c r="P202" s="40">
        <f ca="1">O202/SUM(O:O)</f>
        <v>3.7551020408354829E-5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input_503101!A$2</f>
        <v>503101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IFERROR(VLOOKUP(B203,input_503101!L:R,7,FALSE),VLOOKUP(tables_503101!C203,input_503101!A:H,8,FALSE))</f>
        <v>4767.84</v>
      </c>
      <c r="P203" s="40">
        <f ca="1">O203/SUM(O:O)</f>
        <v>2.4325714285838382E-3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input_503101!A$2</f>
        <v>503101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IFERROR(VLOOKUP(B204,input_503101!L:R,7,FALSE),VLOOKUP(tables_503101!C204,input_503101!A:H,8,FALSE))</f>
        <v>3970.4679999999998</v>
      </c>
      <c r="P204" s="40">
        <f ca="1">O204/SUM(O:O)</f>
        <v>2.025748979602171E-3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input_503101!A$2</f>
        <v>503101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IFERROR(VLOOKUP(B205,input_503101!L:R,7,FALSE),VLOOKUP(tables_503101!C205,input_503101!A:H,8,FALSE))</f>
        <v>386.892</v>
      </c>
      <c r="P205" s="40">
        <f ca="1">O205/SUM(O:O)</f>
        <v>1.9739387755202741E-4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input_503101!A$2</f>
        <v>503101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1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IFERROR(VLOOKUP(B206,input_503101!L:R,7,FALSE),VLOOKUP(tables_503101!C206,input_503101!A:H,8,FALSE))</f>
        <v>3245.76</v>
      </c>
      <c r="P206" s="40">
        <f ca="1">O206/SUM(O:O)</f>
        <v>1.6560000000084482E-3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input_503101!A$2</f>
        <v>503101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1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IFERROR(VLOOKUP(B207,input_503101!L:R,7,FALSE),VLOOKUP(tables_503101!C207,input_503101!A:H,8,FALSE))</f>
        <v>360.64</v>
      </c>
      <c r="P207" s="40">
        <f ca="1">O207/SUM(O:O)</f>
        <v>1.8400000000093868E-4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input_503101!A$2</f>
        <v>503101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1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IFERROR(VLOOKUP(B208,input_503101!L:R,7,FALSE),VLOOKUP(tables_503101!C208,input_503101!A:H,8,FALSE))</f>
        <v>662.4</v>
      </c>
      <c r="P208" s="40">
        <f ca="1">O208/SUM(O:O)</f>
        <v>3.3795918367519347E-4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input_503101!A$2</f>
        <v>503101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1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IFERROR(VLOOKUP(B209,input_503101!L:R,7,FALSE),VLOOKUP(tables_503101!C209,input_503101!A:H,8,FALSE))</f>
        <v>73.599999999999994</v>
      </c>
      <c r="P209" s="40">
        <f ca="1">O209/SUM(O:O)</f>
        <v>3.7551020408354829E-5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input_503101!A$2</f>
        <v>503101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IFERROR(VLOOKUP(B210,input_503101!L:R,7,FALSE),VLOOKUP(tables_503101!C210,input_503101!A:H,8,FALSE))</f>
        <v>4767.84</v>
      </c>
      <c r="P210" s="40">
        <f ca="1">O210/SUM(O:O)</f>
        <v>2.4325714285838382E-3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input_503101!A$2</f>
        <v>503101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IFERROR(VLOOKUP(B211,input_503101!L:R,7,FALSE),VLOOKUP(tables_503101!C211,input_503101!A:H,8,FALSE))</f>
        <v>3970.4679999999998</v>
      </c>
      <c r="P211" s="40">
        <f ca="1">O211/SUM(O:O)</f>
        <v>2.025748979602171E-3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input_503101!A$2</f>
        <v>503101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IFERROR(VLOOKUP(B212,input_503101!L:R,7,FALSE),VLOOKUP(tables_503101!C212,input_503101!A:H,8,FALSE))</f>
        <v>386.892</v>
      </c>
      <c r="P212" s="40">
        <f ca="1">O212/SUM(O:O)</f>
        <v>1.9739387755202741E-4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input_503101!A$2</f>
        <v>503101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IFERROR(VLOOKUP(B213,input_503101!L:R,7,FALSE),VLOOKUP(tables_503101!C213,input_503101!A:H,8,FALSE))</f>
        <v>662.4</v>
      </c>
      <c r="P213" s="40">
        <f ca="1">O213/SUM(O:O)</f>
        <v>3.3795918367519347E-4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input_503101!A$2</f>
        <v>503101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IFERROR(VLOOKUP(B214,input_503101!L:R,7,FALSE),VLOOKUP(tables_503101!C214,input_503101!A:H,8,FALSE))</f>
        <v>73.599999999999994</v>
      </c>
      <c r="P214" s="40">
        <f ca="1">O214/SUM(O:O)</f>
        <v>3.7551020408354829E-5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input_503101!A$2</f>
        <v>503101</v>
      </c>
      <c r="B215" s="6">
        <v>560</v>
      </c>
      <c r="C215" s="7" t="str">
        <f t="shared" si="9"/>
        <v>premium5R3lesscolor</v>
      </c>
      <c r="D215" s="7" t="str">
        <f t="shared" si="10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1"/>
        <v>color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IFERROR(VLOOKUP(B215,input_503101!L:R,7,FALSE),VLOOKUP(tables_503101!C215,input_503101!A:H,8,FALSE))</f>
        <v>4635.3999999999996</v>
      </c>
      <c r="P215" s="40">
        <f ca="1">O215/SUM(O:O)</f>
        <v>2.3650000000120649E-3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input_503101!A$2</f>
        <v>503101</v>
      </c>
      <c r="B216" s="6">
        <v>561</v>
      </c>
      <c r="C216" s="7" t="str">
        <f t="shared" si="9"/>
        <v>premium5R3less</v>
      </c>
      <c r="D216" s="7" t="str">
        <f t="shared" si="10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1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IFERROR(VLOOKUP(B216,input_503101!L:R,7,FALSE),VLOOKUP(tables_503101!C216,input_503101!A:H,8,FALSE))</f>
        <v>1059.52</v>
      </c>
      <c r="P216" s="40">
        <f ca="1">O216/SUM(O:O)</f>
        <v>5.4057142857418623E-4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input_503101!A$2</f>
        <v>503101</v>
      </c>
      <c r="B217" s="6">
        <v>562</v>
      </c>
      <c r="C217" s="7" t="str">
        <f t="shared" si="9"/>
        <v>premium5R3less</v>
      </c>
      <c r="D217" s="7" t="str">
        <f t="shared" si="10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1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IFERROR(VLOOKUP(B217,input_503101!L:R,7,FALSE),VLOOKUP(tables_503101!C217,input_503101!A:H,8,FALSE))</f>
        <v>1059.52</v>
      </c>
      <c r="P217" s="40">
        <f ca="1">O217/SUM(O:O)</f>
        <v>5.4057142857418623E-4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input_503101!A$2</f>
        <v>503101</v>
      </c>
      <c r="B218" s="6">
        <v>563</v>
      </c>
      <c r="C218" s="7" t="str">
        <f t="shared" si="9"/>
        <v>premium5R3less</v>
      </c>
      <c r="D218" s="7" t="str">
        <f t="shared" si="10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1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IFERROR(VLOOKUP(B218,input_503101!L:R,7,FALSE),VLOOKUP(tables_503101!C218,input_503101!A:H,8,FALSE))</f>
        <v>1059.52</v>
      </c>
      <c r="P218" s="40">
        <f ca="1">O218/SUM(O:O)</f>
        <v>5.4057142857418623E-4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input_503101!A$2</f>
        <v>503101</v>
      </c>
      <c r="B219" s="6">
        <v>566</v>
      </c>
      <c r="C219" s="7" t="str">
        <f t="shared" si="9"/>
        <v>premium5R3less</v>
      </c>
      <c r="D219" s="7" t="str">
        <f t="shared" si="10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1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IFERROR(VLOOKUP(B219,input_503101!L:R,7,FALSE),VLOOKUP(tables_503101!C219,input_503101!A:H,8,FALSE))</f>
        <v>1059.52</v>
      </c>
      <c r="P219" s="40">
        <f ca="1">O219/SUM(O:O)</f>
        <v>5.4057142857418623E-4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input_503101!A$2</f>
        <v>503101</v>
      </c>
      <c r="B220" s="6">
        <v>567</v>
      </c>
      <c r="C220" s="7" t="str">
        <f t="shared" si="9"/>
        <v>premium5R3less</v>
      </c>
      <c r="D220" s="7" t="str">
        <f t="shared" si="10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IFERROR(VLOOKUP(B220,input_503101!L:R,7,FALSE),VLOOKUP(tables_503101!C220,input_503101!A:H,8,FALSE))</f>
        <v>1059.52</v>
      </c>
      <c r="P220" s="40">
        <f ca="1">O220/SUM(O:O)</f>
        <v>5.4057142857418623E-4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input_503101!A$2</f>
        <v>503101</v>
      </c>
      <c r="B221" s="6">
        <v>586</v>
      </c>
      <c r="C221" s="7" t="str">
        <f t="shared" si="9"/>
        <v>PremiumSS4color</v>
      </c>
      <c r="D221" s="7" t="str">
        <f t="shared" si="10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1"/>
        <v>color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IFERROR(VLOOKUP(B221,input_503101!L:R,7,FALSE),VLOOKUP(tables_503101!C221,input_503101!A:H,8,FALSE))</f>
        <v>3245.76</v>
      </c>
      <c r="P221" s="40">
        <f ca="1">O221/SUM(O:O)</f>
        <v>1.6560000000084482E-3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input_503101!A$2</f>
        <v>503101</v>
      </c>
      <c r="B222" s="6">
        <v>587</v>
      </c>
      <c r="C222" s="7" t="str">
        <f t="shared" si="9"/>
        <v>PremiumSS5color</v>
      </c>
      <c r="D222" s="7" t="str">
        <f t="shared" si="10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1"/>
        <v>color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IFERROR(VLOOKUP(B222,input_503101!L:R,7,FALSE),VLOOKUP(tables_503101!C222,input_503101!A:H,8,FALSE))</f>
        <v>360.64</v>
      </c>
      <c r="P222" s="40">
        <f ca="1">O222/SUM(O:O)</f>
        <v>1.8400000000093868E-4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input_503101!A$2</f>
        <v>503101</v>
      </c>
      <c r="B223" s="6">
        <v>588</v>
      </c>
      <c r="C223" s="7" t="str">
        <f t="shared" si="9"/>
        <v>Premium3</v>
      </c>
      <c r="D223" s="7" t="str">
        <f t="shared" si="10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IFERROR(VLOOKUP(B223,input_503101!L:R,7,FALSE),VLOOKUP(tables_503101!C223,input_503101!A:H,8,FALSE))</f>
        <v>4767.84</v>
      </c>
      <c r="P223" s="40">
        <f ca="1">O223/SUM(O:O)</f>
        <v>2.4325714285838382E-3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input_503101!A$2</f>
        <v>503101</v>
      </c>
      <c r="B224" s="6">
        <v>589</v>
      </c>
      <c r="C224" s="7" t="str">
        <f t="shared" si="9"/>
        <v>Premium4</v>
      </c>
      <c r="D224" s="7" t="str">
        <f t="shared" si="10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IFERROR(VLOOKUP(B224,input_503101!L:R,7,FALSE),VLOOKUP(tables_503101!C224,input_503101!A:H,8,FALSE))</f>
        <v>3970.4679999999998</v>
      </c>
      <c r="P224" s="40">
        <f ca="1">O224/SUM(O:O)</f>
        <v>2.025748979602171E-3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input_503101!A$2</f>
        <v>503101</v>
      </c>
      <c r="B225" s="6">
        <v>590</v>
      </c>
      <c r="C225" s="7" t="str">
        <f t="shared" si="9"/>
        <v>Premium5</v>
      </c>
      <c r="D225" s="7" t="str">
        <f t="shared" si="10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1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IFERROR(VLOOKUP(B225,input_503101!L:R,7,FALSE),VLOOKUP(tables_503101!C225,input_503101!A:H,8,FALSE))</f>
        <v>386.892</v>
      </c>
      <c r="P225" s="40">
        <f ca="1">O225/SUM(O:O)</f>
        <v>1.9739387755202741E-4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input_503101!A$2</f>
        <v>503101</v>
      </c>
      <c r="B226" s="6">
        <v>591</v>
      </c>
      <c r="C226" s="7" t="str">
        <f t="shared" si="9"/>
        <v>Premium3</v>
      </c>
      <c r="D226" s="7" t="str">
        <f t="shared" si="10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1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IFERROR(VLOOKUP(B226,input_503101!L:R,7,FALSE),VLOOKUP(tables_503101!C226,input_503101!A:H,8,FALSE))</f>
        <v>4767.84</v>
      </c>
      <c r="P226" s="40">
        <f ca="1">O226/SUM(O:O)</f>
        <v>2.4325714285838382E-3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input_503101!A$2</f>
        <v>503101</v>
      </c>
      <c r="B227" s="6">
        <v>592</v>
      </c>
      <c r="C227" s="7" t="str">
        <f t="shared" si="9"/>
        <v>Premium4</v>
      </c>
      <c r="D227" s="7" t="str">
        <f t="shared" si="10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1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IFERROR(VLOOKUP(B227,input_503101!L:R,7,FALSE),VLOOKUP(tables_503101!C227,input_503101!A:H,8,FALSE))</f>
        <v>3970.4679999999998</v>
      </c>
      <c r="P227" s="40">
        <f ca="1">O227/SUM(O:O)</f>
        <v>2.025748979602171E-3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input_503101!A$2</f>
        <v>503101</v>
      </c>
      <c r="B228" s="6">
        <v>593</v>
      </c>
      <c r="C228" s="7" t="str">
        <f t="shared" si="9"/>
        <v>Premium5</v>
      </c>
      <c r="D228" s="7" t="str">
        <f t="shared" si="10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1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IFERROR(VLOOKUP(B228,input_503101!L:R,7,FALSE),VLOOKUP(tables_503101!C228,input_503101!A:H,8,FALSE))</f>
        <v>386.892</v>
      </c>
      <c r="P228" s="40">
        <f ca="1">O228/SUM(O:O)</f>
        <v>1.9739387755202741E-4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input_503101!A$2</f>
        <v>503101</v>
      </c>
      <c r="B229" s="6">
        <v>594</v>
      </c>
      <c r="C229" s="7" t="str">
        <f t="shared" si="9"/>
        <v>PremiumSS4</v>
      </c>
      <c r="D229" s="7" t="str">
        <f t="shared" si="10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1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IFERROR(VLOOKUP(B229,input_503101!L:R,7,FALSE),VLOOKUP(tables_503101!C229,input_503101!A:H,8,FALSE))</f>
        <v>662.4</v>
      </c>
      <c r="P229" s="40">
        <f ca="1">O229/SUM(O:O)</f>
        <v>3.3795918367519347E-4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input_503101!A$2</f>
        <v>503101</v>
      </c>
      <c r="B230" s="6">
        <v>595</v>
      </c>
      <c r="C230" s="7" t="str">
        <f t="shared" si="9"/>
        <v>PremiumSS5</v>
      </c>
      <c r="D230" s="7" t="str">
        <f t="shared" si="10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1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IFERROR(VLOOKUP(B230,input_503101!L:R,7,FALSE),VLOOKUP(tables_503101!C230,input_503101!A:H,8,FALSE))</f>
        <v>73.599999999999994</v>
      </c>
      <c r="P230" s="40">
        <f ca="1">O230/SUM(O:O)</f>
        <v>3.7551020408354829E-5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input_503101!A$2</f>
        <v>503101</v>
      </c>
      <c r="B231" s="6">
        <v>596</v>
      </c>
      <c r="C231" s="7" t="str">
        <f t="shared" si="9"/>
        <v>Premium3color</v>
      </c>
      <c r="D231" s="7" t="str">
        <f t="shared" si="10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1"/>
        <v>color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IFERROR(VLOOKUP(B231,input_503101!L:R,7,FALSE),VLOOKUP(tables_503101!C231,input_503101!A:H,8,FALSE))</f>
        <v>20859.3</v>
      </c>
      <c r="P231" s="40">
        <f ca="1">O231/SUM(O:O)</f>
        <v>1.0642500000054293E-2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input_503101!A$2</f>
        <v>503101</v>
      </c>
      <c r="B232" s="6">
        <v>597</v>
      </c>
      <c r="C232" s="7" t="str">
        <f t="shared" si="9"/>
        <v>Premium4color</v>
      </c>
      <c r="D232" s="7" t="str">
        <f t="shared" si="10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1"/>
        <v>color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IFERROR(VLOOKUP(B232,input_503101!L:R,7,FALSE),VLOOKUP(tables_503101!C232,input_503101!A:H,8,FALSE))</f>
        <v>17740.059990000002</v>
      </c>
      <c r="P232" s="40">
        <f ca="1">O232/SUM(O:O)</f>
        <v>9.0510510153522968E-3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input_503101!A$2</f>
        <v>503101</v>
      </c>
      <c r="B233" s="6">
        <v>598</v>
      </c>
      <c r="C233" s="7" t="str">
        <f t="shared" si="9"/>
        <v>Premium5color</v>
      </c>
      <c r="D233" s="7" t="str">
        <f t="shared" si="10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1"/>
        <v>color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IFERROR(VLOOKUP(B233,input_503101!L:R,7,FALSE),VLOOKUP(tables_503101!C233,input_503101!A:H,8,FALSE))</f>
        <v>4635.3999999999996</v>
      </c>
      <c r="P233" s="40">
        <f ca="1">O233/SUM(O:O)</f>
        <v>2.3650000000120649E-3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input_503101!A$2</f>
        <v>503101</v>
      </c>
      <c r="B234" s="6">
        <v>599</v>
      </c>
      <c r="C234" s="7" t="str">
        <f t="shared" si="9"/>
        <v>Premium3</v>
      </c>
      <c r="D234" s="7" t="str">
        <f t="shared" si="10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IFERROR(VLOOKUP(B234,input_503101!L:R,7,FALSE),VLOOKUP(tables_503101!C234,input_503101!A:H,8,FALSE))</f>
        <v>4767.84</v>
      </c>
      <c r="P234" s="40">
        <f ca="1">O234/SUM(O:O)</f>
        <v>2.4325714285838382E-3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input_503101!A$2</f>
        <v>503101</v>
      </c>
      <c r="B235" s="6">
        <v>600</v>
      </c>
      <c r="C235" s="7" t="str">
        <f t="shared" si="9"/>
        <v>Premium4</v>
      </c>
      <c r="D235" s="7" t="str">
        <f t="shared" si="10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IFERROR(VLOOKUP(B235,input_503101!L:R,7,FALSE),VLOOKUP(tables_503101!C235,input_503101!A:H,8,FALSE))</f>
        <v>3970.4679999999998</v>
      </c>
      <c r="P235" s="40">
        <f ca="1">O235/SUM(O:O)</f>
        <v>2.025748979602171E-3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input_503101!A$2</f>
        <v>503101</v>
      </c>
      <c r="B236" s="6">
        <v>601</v>
      </c>
      <c r="C236" s="7" t="str">
        <f t="shared" si="9"/>
        <v>Premium5</v>
      </c>
      <c r="D236" s="7" t="str">
        <f t="shared" si="10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1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IFERROR(VLOOKUP(B236,input_503101!L:R,7,FALSE),VLOOKUP(tables_503101!C236,input_503101!A:H,8,FALSE))</f>
        <v>386.892</v>
      </c>
      <c r="P236" s="40">
        <f ca="1">O236/SUM(O:O)</f>
        <v>1.9739387755202741E-4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input_503101!A$2</f>
        <v>503101</v>
      </c>
      <c r="B237" s="6">
        <v>602</v>
      </c>
      <c r="C237" s="7" t="str">
        <f t="shared" si="9"/>
        <v>PremiumSS4</v>
      </c>
      <c r="D237" s="7" t="str">
        <f t="shared" si="10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1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IFERROR(VLOOKUP(B237,input_503101!L:R,7,FALSE),VLOOKUP(tables_503101!C237,input_503101!A:H,8,FALSE))</f>
        <v>662.4</v>
      </c>
      <c r="P237" s="40">
        <f ca="1">O237/SUM(O:O)</f>
        <v>3.3795918367519347E-4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input_503101!A$2</f>
        <v>503101</v>
      </c>
      <c r="B238" s="6">
        <v>603</v>
      </c>
      <c r="C238" s="7" t="str">
        <f t="shared" si="9"/>
        <v>PremiumSS5</v>
      </c>
      <c r="D238" s="7" t="str">
        <f t="shared" si="10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1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IFERROR(VLOOKUP(B238,input_503101!L:R,7,FALSE),VLOOKUP(tables_503101!C238,input_503101!A:H,8,FALSE))</f>
        <v>73.599999999999994</v>
      </c>
      <c r="P238" s="40">
        <f ca="1">O238/SUM(O:O)</f>
        <v>3.7551020408354829E-5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input_503101!A$2</f>
        <v>503101</v>
      </c>
      <c r="B239" s="6">
        <v>604</v>
      </c>
      <c r="C239" s="7" t="str">
        <f t="shared" si="9"/>
        <v>Premium3</v>
      </c>
      <c r="D239" s="7" t="str">
        <f t="shared" si="10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1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IFERROR(VLOOKUP(B239,input_503101!L:R,7,FALSE),VLOOKUP(tables_503101!C239,input_503101!A:H,8,FALSE))</f>
        <v>4767.84</v>
      </c>
      <c r="P239" s="40">
        <f ca="1">O239/SUM(O:O)</f>
        <v>2.4325714285838382E-3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input_503101!A$2</f>
        <v>503101</v>
      </c>
      <c r="B240" s="6">
        <v>605</v>
      </c>
      <c r="C240" s="7" t="str">
        <f t="shared" si="9"/>
        <v>Premium4</v>
      </c>
      <c r="D240" s="7" t="str">
        <f t="shared" si="10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IFERROR(VLOOKUP(B240,input_503101!L:R,7,FALSE),VLOOKUP(tables_503101!C240,input_503101!A:H,8,FALSE))</f>
        <v>3970.4679999999998</v>
      </c>
      <c r="P240" s="40">
        <f ca="1">O240/SUM(O:O)</f>
        <v>2.025748979602171E-3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input_503101!A$2</f>
        <v>503101</v>
      </c>
      <c r="B241" s="6">
        <v>606</v>
      </c>
      <c r="C241" s="7" t="str">
        <f t="shared" si="9"/>
        <v>Premium5</v>
      </c>
      <c r="D241" s="7" t="str">
        <f t="shared" si="10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IFERROR(VLOOKUP(B241,input_503101!L:R,7,FALSE),VLOOKUP(tables_503101!C241,input_503101!A:H,8,FALSE))</f>
        <v>386.892</v>
      </c>
      <c r="P241" s="40">
        <f ca="1">O241/SUM(O:O)</f>
        <v>1.9739387755202741E-4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input_503101!A$2</f>
        <v>503101</v>
      </c>
      <c r="B242" s="6">
        <v>658</v>
      </c>
      <c r="C242" s="7" t="str">
        <f t="shared" si="9"/>
        <v>PremiumSS4color</v>
      </c>
      <c r="D242" s="7" t="str">
        <f t="shared" si="10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1"/>
        <v>color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IFERROR(VLOOKUP(B242,input_503101!L:R,7,FALSE),VLOOKUP(tables_503101!C242,input_503101!A:H,8,FALSE))</f>
        <v>3245.76</v>
      </c>
      <c r="P242" s="40">
        <f ca="1">O242/SUM(O:O)</f>
        <v>1.6560000000084482E-3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input_503101!A$2</f>
        <v>503101</v>
      </c>
      <c r="B243" s="6">
        <v>659</v>
      </c>
      <c r="C243" s="7" t="str">
        <f t="shared" si="9"/>
        <v>PremiumSS5color</v>
      </c>
      <c r="D243" s="7" t="str">
        <f t="shared" si="10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1"/>
        <v>color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IFERROR(VLOOKUP(B243,input_503101!L:R,7,FALSE),VLOOKUP(tables_503101!C243,input_503101!A:H,8,FALSE))</f>
        <v>360.64</v>
      </c>
      <c r="P243" s="40">
        <f ca="1">O243/SUM(O:O)</f>
        <v>1.8400000000093868E-4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input_503101!A$2</f>
        <v>503101</v>
      </c>
      <c r="B244" s="6">
        <v>660</v>
      </c>
      <c r="C244" s="7" t="str">
        <f t="shared" si="9"/>
        <v>PremiumSS4</v>
      </c>
      <c r="D244" s="7" t="str">
        <f t="shared" si="10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IFERROR(VLOOKUP(B244,input_503101!L:R,7,FALSE),VLOOKUP(tables_503101!C244,input_503101!A:H,8,FALSE))</f>
        <v>662.4</v>
      </c>
      <c r="P244" s="40">
        <f ca="1">O244/SUM(O:O)</f>
        <v>3.3795918367519347E-4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input_503101!A$2</f>
        <v>503101</v>
      </c>
      <c r="B245" s="52">
        <v>661</v>
      </c>
      <c r="C245" s="7" t="str">
        <f t="shared" si="9"/>
        <v>PremiumSS5</v>
      </c>
      <c r="D245" s="7" t="str">
        <f t="shared" si="10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IFERROR(VLOOKUP(B245,input_503101!L:R,7,FALSE),VLOOKUP(tables_503101!C245,input_503101!A:H,8,FALSE))</f>
        <v>73.599999999999994</v>
      </c>
      <c r="P245" s="40">
        <f ca="1">O245/SUM(O:O)</f>
        <v>3.7551020408354829E-5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input_503101!A$2</f>
        <v>503101</v>
      </c>
      <c r="B246" s="52">
        <v>662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1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IFERROR(VLOOKUP(B246,input_503101!L:R,7,FALSE),VLOOKUP(tables_503101!C246,input_503101!A:H,8,FALSE))</f>
        <v>4767.84</v>
      </c>
      <c r="P246" s="40">
        <f ca="1">O246/SUM(O:O)</f>
        <v>2.4325714285838382E-3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input_503101!A$2</f>
        <v>503101</v>
      </c>
      <c r="B247" s="52">
        <v>663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1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IFERROR(VLOOKUP(B247,input_503101!L:R,7,FALSE),VLOOKUP(tables_503101!C247,input_503101!A:H,8,FALSE))</f>
        <v>3970.4679999999998</v>
      </c>
      <c r="P247" s="40">
        <f ca="1">O247/SUM(O:O)</f>
        <v>2.025748979602171E-3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input_503101!A$2</f>
        <v>503101</v>
      </c>
      <c r="B248" s="52">
        <v>664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1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IFERROR(VLOOKUP(B248,input_503101!L:R,7,FALSE),VLOOKUP(tables_503101!C248,input_503101!A:H,8,FALSE))</f>
        <v>386.892</v>
      </c>
      <c r="P248" s="40">
        <f ca="1">O248/SUM(O:O)</f>
        <v>1.9739387755202741E-4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input_503101!A$2</f>
        <v>503101</v>
      </c>
      <c r="B249" s="52">
        <v>665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1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IFERROR(VLOOKUP(B249,input_503101!L:R,7,FALSE),VLOOKUP(tables_503101!C249,input_503101!A:H,8,FALSE))</f>
        <v>4767.84</v>
      </c>
      <c r="P249" s="40">
        <f ca="1">O249/SUM(O:O)</f>
        <v>2.4325714285838382E-3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input_503101!A$2</f>
        <v>503101</v>
      </c>
      <c r="B250" s="52">
        <v>666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1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IFERROR(VLOOKUP(B250,input_503101!L:R,7,FALSE),VLOOKUP(tables_503101!C250,input_503101!A:H,8,FALSE))</f>
        <v>3970.4679999999998</v>
      </c>
      <c r="P250" s="40">
        <f ca="1">O250/SUM(O:O)</f>
        <v>2.025748979602171E-3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input_503101!A$2</f>
        <v>503101</v>
      </c>
      <c r="B251" s="52">
        <v>667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1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IFERROR(VLOOKUP(B251,input_503101!L:R,7,FALSE),VLOOKUP(tables_503101!C251,input_503101!A:H,8,FALSE))</f>
        <v>386.892</v>
      </c>
      <c r="P251" s="40">
        <f ca="1">O251/SUM(O:O)</f>
        <v>1.9739387755202741E-4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input_503101!A$2</f>
        <v>503101</v>
      </c>
      <c r="B252" s="52">
        <v>668</v>
      </c>
      <c r="C252" s="7" t="str">
        <f t="shared" si="9"/>
        <v>Premium3color</v>
      </c>
      <c r="D252" s="7" t="str">
        <f t="shared" si="10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1"/>
        <v>color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IFERROR(VLOOKUP(B252,input_503101!L:R,7,FALSE),VLOOKUP(tables_503101!C252,input_503101!A:H,8,FALSE))</f>
        <v>20859.3</v>
      </c>
      <c r="P252" s="40">
        <f ca="1">O252/SUM(O:O)</f>
        <v>1.0642500000054293E-2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input_503101!A$2</f>
        <v>503101</v>
      </c>
      <c r="B253" s="52">
        <v>669</v>
      </c>
      <c r="C253" s="7" t="str">
        <f t="shared" si="9"/>
        <v>Premium4color</v>
      </c>
      <c r="D253" s="7" t="str">
        <f t="shared" si="10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1"/>
        <v>color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IFERROR(VLOOKUP(B253,input_503101!L:R,7,FALSE),VLOOKUP(tables_503101!C253,input_503101!A:H,8,FALSE))</f>
        <v>17740.059990000002</v>
      </c>
      <c r="P253" s="40">
        <f ca="1">O253/SUM(O:O)</f>
        <v>9.0510510153522968E-3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input_503101!A$2</f>
        <v>503101</v>
      </c>
      <c r="B254" s="52">
        <v>670</v>
      </c>
      <c r="C254" s="7" t="str">
        <f t="shared" si="9"/>
        <v>Premium5color</v>
      </c>
      <c r="D254" s="7" t="str">
        <f t="shared" si="10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1"/>
        <v>color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IFERROR(VLOOKUP(B254,input_503101!L:R,7,FALSE),VLOOKUP(tables_503101!C254,input_503101!A:H,8,FALSE))</f>
        <v>4635.3999999999996</v>
      </c>
      <c r="P254" s="40">
        <f ca="1">O254/SUM(O:O)</f>
        <v>2.3650000000120649E-3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input_503101!A$2</f>
        <v>503101</v>
      </c>
      <c r="B255" s="52">
        <v>671</v>
      </c>
      <c r="C255" s="7" t="str">
        <f t="shared" si="9"/>
        <v>Premium3</v>
      </c>
      <c r="D255" s="7" t="str">
        <f t="shared" si="10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IFERROR(VLOOKUP(B255,input_503101!L:R,7,FALSE),VLOOKUP(tables_503101!C255,input_503101!A:H,8,FALSE))</f>
        <v>4767.84</v>
      </c>
      <c r="P255" s="40">
        <f ca="1">O255/SUM(O:O)</f>
        <v>2.4325714285838382E-3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input_503101!A$2</f>
        <v>503101</v>
      </c>
      <c r="B256" s="52">
        <v>672</v>
      </c>
      <c r="C256" s="7" t="str">
        <f t="shared" si="9"/>
        <v>Premium4</v>
      </c>
      <c r="D256" s="7" t="str">
        <f t="shared" si="10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1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IFERROR(VLOOKUP(B256,input_503101!L:R,7,FALSE),VLOOKUP(tables_503101!C256,input_503101!A:H,8,FALSE))</f>
        <v>3970.4679999999998</v>
      </c>
      <c r="P256" s="40">
        <f ca="1">O256/SUM(O:O)</f>
        <v>2.025748979602171E-3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input_503101!A$2</f>
        <v>503101</v>
      </c>
      <c r="B257" s="52">
        <v>673</v>
      </c>
      <c r="C257" s="7" t="str">
        <f t="shared" si="9"/>
        <v>Premium5</v>
      </c>
      <c r="D257" s="7" t="str">
        <f t="shared" si="10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1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IFERROR(VLOOKUP(B257,input_503101!L:R,7,FALSE),VLOOKUP(tables_503101!C257,input_503101!A:H,8,FALSE))</f>
        <v>386.892</v>
      </c>
      <c r="P257" s="40">
        <f ca="1">O257/SUM(O:O)</f>
        <v>1.9739387755202741E-4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input_503101!A$2</f>
        <v>503101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0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1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IFERROR(VLOOKUP(B258,input_503101!L:R,7,FALSE),VLOOKUP(tables_503101!C258,input_503101!A:H,8,FALSE))</f>
        <v>662.4</v>
      </c>
      <c r="P258" s="40">
        <f ca="1">O258/SUM(O:O)</f>
        <v>3.3795918367519347E-4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input_503101!A$2</f>
        <v>503101</v>
      </c>
      <c r="B259" s="52">
        <v>675</v>
      </c>
      <c r="C259" s="7" t="str">
        <f t="shared" si="12"/>
        <v>PremiumSS5</v>
      </c>
      <c r="D259" s="7" t="str">
        <f t="shared" ref="D259:D322" si="13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4">IF(K259="red","color","")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IFERROR(VLOOKUP(B259,input_503101!L:R,7,FALSE),VLOOKUP(tables_503101!C259,input_503101!A:H,8,FALSE))</f>
        <v>73.599999999999994</v>
      </c>
      <c r="P259" s="40">
        <f ca="1">O259/SUM(O:O)</f>
        <v>3.7551020408354829E-5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input_503101!A$2</f>
        <v>503101</v>
      </c>
      <c r="B260" s="52">
        <v>676</v>
      </c>
      <c r="C260" s="7" t="str">
        <f t="shared" si="12"/>
        <v>PremiumSS4</v>
      </c>
      <c r="D260" s="7" t="str">
        <f t="shared" si="13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IFERROR(VLOOKUP(B260,input_503101!L:R,7,FALSE),VLOOKUP(tables_503101!C260,input_503101!A:H,8,FALSE))</f>
        <v>662.4</v>
      </c>
      <c r="P260" s="40">
        <f ca="1">O260/SUM(O:O)</f>
        <v>3.3795918367519347E-4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input_503101!A$2</f>
        <v>503101</v>
      </c>
      <c r="B261" s="52">
        <v>677</v>
      </c>
      <c r="C261" s="7" t="str">
        <f t="shared" si="12"/>
        <v>PremiumSS5</v>
      </c>
      <c r="D261" s="7" t="str">
        <f t="shared" si="13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IFERROR(VLOOKUP(B261,input_503101!L:R,7,FALSE),VLOOKUP(tables_503101!C261,input_503101!A:H,8,FALSE))</f>
        <v>73.599999999999994</v>
      </c>
      <c r="P261" s="40">
        <f ca="1">O261/SUM(O:O)</f>
        <v>3.7551020408354829E-5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input_503101!A$2</f>
        <v>503101</v>
      </c>
      <c r="B262" s="52">
        <v>728</v>
      </c>
      <c r="C262" s="7" t="str">
        <f t="shared" si="12"/>
        <v>Premium4R3lesscolor</v>
      </c>
      <c r="D262" s="7" t="str">
        <f t="shared" si="13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4"/>
        <v>color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IFERROR(VLOOKUP(B262,input_503101!L:R,7,FALSE),VLOOKUP(tables_503101!C262,input_503101!A:H,8,FALSE))</f>
        <v>39728.513350000001</v>
      </c>
      <c r="P262" s="40">
        <f ca="1">O262/SUM(O:O)</f>
        <v>2.0269649668470752E-2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input_503101!A$2</f>
        <v>503101</v>
      </c>
      <c r="B263" s="52">
        <v>729</v>
      </c>
      <c r="C263" s="7" t="str">
        <f t="shared" si="12"/>
        <v>Premium5R3lesscolor</v>
      </c>
      <c r="D263" s="7" t="str">
        <f t="shared" si="13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4"/>
        <v>color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IFERROR(VLOOKUP(B263,input_503101!L:R,7,FALSE),VLOOKUP(tables_503101!C263,input_503101!A:H,8,FALSE))</f>
        <v>4635.3999999999996</v>
      </c>
      <c r="P263" s="40">
        <f ca="1">O263/SUM(O:O)</f>
        <v>2.3650000000120649E-3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input_503101!A$2</f>
        <v>503101</v>
      </c>
      <c r="B264" s="52">
        <v>730</v>
      </c>
      <c r="C264" s="7" t="str">
        <f t="shared" si="12"/>
        <v>Premium4R3less</v>
      </c>
      <c r="D264" s="7" t="str">
        <f t="shared" si="13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4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IFERROR(VLOOKUP(B264,input_503101!L:R,7,FALSE),VLOOKUP(tables_503101!C264,input_503101!A:H,8,FALSE))</f>
        <v>12822.21333</v>
      </c>
      <c r="P264" s="40">
        <f ca="1">O264/SUM(O:O)</f>
        <v>6.5419455765639862E-3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input_503101!A$2</f>
        <v>503101</v>
      </c>
      <c r="B265" s="52">
        <v>731</v>
      </c>
      <c r="C265" s="7" t="str">
        <f t="shared" si="12"/>
        <v>Premium5R3less</v>
      </c>
      <c r="D265" s="7" t="str">
        <f t="shared" si="13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4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IFERROR(VLOOKUP(B265,input_503101!L:R,7,FALSE),VLOOKUP(tables_503101!C265,input_503101!A:H,8,FALSE))</f>
        <v>1059.52</v>
      </c>
      <c r="P265" s="40">
        <f ca="1">O265/SUM(O:O)</f>
        <v>5.4057142857418623E-4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input_503101!A$2</f>
        <v>503101</v>
      </c>
      <c r="B266" s="52">
        <v>732</v>
      </c>
      <c r="C266" s="7" t="str">
        <f t="shared" si="12"/>
        <v>PremiumSS5R5only</v>
      </c>
      <c r="D266" s="7" t="str">
        <f t="shared" si="13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4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IFERROR(VLOOKUP(B266,input_503101!L:R,7,FALSE),VLOOKUP(tables_503101!C266,input_503101!A:H,8,FALSE))</f>
        <v>736</v>
      </c>
      <c r="P266" s="40">
        <f ca="1">O266/SUM(O:O)</f>
        <v>3.7551020408354831E-4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input_503101!A$2</f>
        <v>503101</v>
      </c>
      <c r="B267" s="52">
        <v>734</v>
      </c>
      <c r="C267" s="7" t="str">
        <f t="shared" si="12"/>
        <v>PremiumSS5R5only</v>
      </c>
      <c r="D267" s="7" t="str">
        <f t="shared" si="13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4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IFERROR(VLOOKUP(B267,input_503101!L:R,7,FALSE),VLOOKUP(tables_503101!C267,input_503101!A:H,8,FALSE))</f>
        <v>736</v>
      </c>
      <c r="P267" s="40">
        <f ca="1">O267/SUM(O:O)</f>
        <v>3.7551020408354831E-4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input_503101!A$2</f>
        <v>503101</v>
      </c>
      <c r="B268" s="52">
        <v>742</v>
      </c>
      <c r="C268" s="7" t="str">
        <f t="shared" si="12"/>
        <v>PremiumSS5R5onlycolor</v>
      </c>
      <c r="D268" s="7" t="str">
        <f t="shared" si="13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4"/>
        <v>color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IFERROR(VLOOKUP(B268,input_503101!L:R,7,FALSE),VLOOKUP(tables_503101!C268,input_503101!A:H,8,FALSE))</f>
        <v>4043.6</v>
      </c>
      <c r="P268" s="40">
        <f ca="1">O268/SUM(O:O)</f>
        <v>2.0630612245003204E-3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input_503101!A$2</f>
        <v>503101</v>
      </c>
      <c r="B269" s="52">
        <v>744</v>
      </c>
      <c r="C269" s="7" t="str">
        <f t="shared" si="12"/>
        <v>PremiumSS5R5only</v>
      </c>
      <c r="D269" s="7" t="str">
        <f t="shared" si="13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IFERROR(VLOOKUP(B269,input_503101!L:R,7,FALSE),VLOOKUP(tables_503101!C269,input_503101!A:H,8,FALSE))</f>
        <v>736</v>
      </c>
      <c r="P269" s="40">
        <f ca="1">O269/SUM(O:O)</f>
        <v>3.7551020408354831E-4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input_503101!A$2</f>
        <v>503101</v>
      </c>
      <c r="B270" s="52">
        <v>746</v>
      </c>
      <c r="C270" s="7" t="str">
        <f t="shared" si="12"/>
        <v>Premium4R3less</v>
      </c>
      <c r="D270" s="7" t="str">
        <f t="shared" si="13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IFERROR(VLOOKUP(B270,input_503101!L:R,7,FALSE),VLOOKUP(tables_503101!C270,input_503101!A:H,8,FALSE))</f>
        <v>12822.21333</v>
      </c>
      <c r="P270" s="40">
        <f ca="1">O270/SUM(O:O)</f>
        <v>6.5419455765639862E-3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input_503101!A$2</f>
        <v>503101</v>
      </c>
      <c r="B271" s="72">
        <v>747</v>
      </c>
      <c r="C271" s="7" t="str">
        <f t="shared" si="12"/>
        <v>Premium5R3less</v>
      </c>
      <c r="D271" s="7" t="str">
        <f t="shared" si="13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IFERROR(VLOOKUP(B271,input_503101!L:R,7,FALSE),VLOOKUP(tables_503101!C271,input_503101!A:H,8,FALSE))</f>
        <v>1059.52</v>
      </c>
      <c r="P271" s="40">
        <f ca="1">O271/SUM(O:O)</f>
        <v>5.4057142857418623E-4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input_503101!A$2</f>
        <v>503101</v>
      </c>
      <c r="B272" s="72">
        <v>748</v>
      </c>
      <c r="C272" s="7" t="str">
        <f t="shared" si="12"/>
        <v>Premium4R3less</v>
      </c>
      <c r="D272" s="7" t="str">
        <f t="shared" si="13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4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IFERROR(VLOOKUP(B272,input_503101!L:R,7,FALSE),VLOOKUP(tables_503101!C272,input_503101!A:H,8,FALSE))</f>
        <v>12822.21333</v>
      </c>
      <c r="P272" s="40">
        <f ca="1">O272/SUM(O:O)</f>
        <v>6.5419455765639862E-3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input_503101!A$2</f>
        <v>503101</v>
      </c>
      <c r="B273" s="72">
        <v>749</v>
      </c>
      <c r="C273" s="7" t="str">
        <f t="shared" si="12"/>
        <v>Premium5R3less</v>
      </c>
      <c r="D273" s="7" t="str">
        <f t="shared" si="13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4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IFERROR(VLOOKUP(B273,input_503101!L:R,7,FALSE),VLOOKUP(tables_503101!C273,input_503101!A:H,8,FALSE))</f>
        <v>1059.52</v>
      </c>
      <c r="P273" s="40">
        <f ca="1">O273/SUM(O:O)</f>
        <v>5.4057142857418623E-4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input_503101!A$2</f>
        <v>503101</v>
      </c>
      <c r="B274" s="72">
        <v>770</v>
      </c>
      <c r="C274" s="7" t="str">
        <f t="shared" si="12"/>
        <v>PremiumSS4color</v>
      </c>
      <c r="D274" s="7" t="str">
        <f t="shared" si="13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4"/>
        <v>color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IFERROR(VLOOKUP(B274,input_503101!L:R,7,FALSE),VLOOKUP(tables_503101!C274,input_503101!A:H,8,FALSE))</f>
        <v>3245.76</v>
      </c>
      <c r="P274" s="40">
        <f ca="1">O274/SUM(O:O)</f>
        <v>1.6560000000084482E-3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input_503101!A$2</f>
        <v>503101</v>
      </c>
      <c r="B275" s="72">
        <v>771</v>
      </c>
      <c r="C275" s="7" t="str">
        <f t="shared" si="12"/>
        <v>PremiumSS5color</v>
      </c>
      <c r="D275" s="7" t="str">
        <f t="shared" si="13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4"/>
        <v>color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IFERROR(VLOOKUP(B275,input_503101!L:R,7,FALSE),VLOOKUP(tables_503101!C275,input_503101!A:H,8,FALSE))</f>
        <v>360.64</v>
      </c>
      <c r="P275" s="40">
        <f ca="1">O275/SUM(O:O)</f>
        <v>1.8400000000093868E-4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input_503101!A$2</f>
        <v>503101</v>
      </c>
      <c r="B276" s="72">
        <v>772</v>
      </c>
      <c r="C276" s="7" t="str">
        <f t="shared" si="12"/>
        <v>PremiumSS4</v>
      </c>
      <c r="D276" s="7" t="str">
        <f t="shared" si="13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4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IFERROR(VLOOKUP(B276,input_503101!L:R,7,FALSE),VLOOKUP(tables_503101!C276,input_503101!A:H,8,FALSE))</f>
        <v>662.4</v>
      </c>
      <c r="P276" s="40">
        <f ca="1">O276/SUM(O:O)</f>
        <v>3.3795918367519347E-4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input_503101!A$2</f>
        <v>503101</v>
      </c>
      <c r="B277" s="72">
        <v>773</v>
      </c>
      <c r="C277" s="7" t="str">
        <f t="shared" si="12"/>
        <v>PremiumSS5</v>
      </c>
      <c r="D277" s="7" t="str">
        <f t="shared" si="13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4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IFERROR(VLOOKUP(B277,input_503101!L:R,7,FALSE),VLOOKUP(tables_503101!C277,input_503101!A:H,8,FALSE))</f>
        <v>73.599999999999994</v>
      </c>
      <c r="P277" s="40">
        <f ca="1">O277/SUM(O:O)</f>
        <v>3.7551020408354829E-5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input_503101!A$2</f>
        <v>503101</v>
      </c>
      <c r="B278" s="72">
        <v>774</v>
      </c>
      <c r="C278" s="7" t="str">
        <f t="shared" si="12"/>
        <v>Premium3</v>
      </c>
      <c r="D278" s="7" t="str">
        <f t="shared" si="13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4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IFERROR(VLOOKUP(B278,input_503101!L:R,7,FALSE),VLOOKUP(tables_503101!C278,input_503101!A:H,8,FALSE))</f>
        <v>4767.84</v>
      </c>
      <c r="P278" s="40">
        <f ca="1">O278/SUM(O:O)</f>
        <v>2.4325714285838382E-3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input_503101!A$2</f>
        <v>503101</v>
      </c>
      <c r="B279" s="72">
        <v>775</v>
      </c>
      <c r="C279" s="7" t="str">
        <f t="shared" si="12"/>
        <v>Premium4</v>
      </c>
      <c r="D279" s="7" t="str">
        <f t="shared" si="13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4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IFERROR(VLOOKUP(B279,input_503101!L:R,7,FALSE),VLOOKUP(tables_503101!C279,input_503101!A:H,8,FALSE))</f>
        <v>3970.4679999999998</v>
      </c>
      <c r="P279" s="40">
        <f ca="1">O279/SUM(O:O)</f>
        <v>2.025748979602171E-3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input_503101!A$2</f>
        <v>503101</v>
      </c>
      <c r="B280" s="72">
        <v>776</v>
      </c>
      <c r="C280" s="7" t="str">
        <f t="shared" si="12"/>
        <v>Premium5</v>
      </c>
      <c r="D280" s="7" t="str">
        <f t="shared" si="13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4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IFERROR(VLOOKUP(B280,input_503101!L:R,7,FALSE),VLOOKUP(tables_503101!C280,input_503101!A:H,8,FALSE))</f>
        <v>386.892</v>
      </c>
      <c r="P280" s="40">
        <f ca="1">O280/SUM(O:O)</f>
        <v>1.9739387755202741E-4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input_503101!A$2</f>
        <v>503101</v>
      </c>
      <c r="B281" s="72">
        <v>777</v>
      </c>
      <c r="C281" s="7" t="str">
        <f t="shared" si="12"/>
        <v>Premium3</v>
      </c>
      <c r="D281" s="7" t="str">
        <f t="shared" si="13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4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IFERROR(VLOOKUP(B281,input_503101!L:R,7,FALSE),VLOOKUP(tables_503101!C281,input_503101!A:H,8,FALSE))</f>
        <v>4767.84</v>
      </c>
      <c r="P281" s="40">
        <f ca="1">O281/SUM(O:O)</f>
        <v>2.4325714285838382E-3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input_503101!A$2</f>
        <v>503101</v>
      </c>
      <c r="B282" s="72">
        <v>778</v>
      </c>
      <c r="C282" s="7" t="str">
        <f t="shared" si="12"/>
        <v>Premium4</v>
      </c>
      <c r="D282" s="7" t="str">
        <f t="shared" si="13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4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IFERROR(VLOOKUP(B282,input_503101!L:R,7,FALSE),VLOOKUP(tables_503101!C282,input_503101!A:H,8,FALSE))</f>
        <v>3970.4679999999998</v>
      </c>
      <c r="P282" s="40">
        <f ca="1">O282/SUM(O:O)</f>
        <v>2.025748979602171E-3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input_503101!A$2</f>
        <v>503101</v>
      </c>
      <c r="B283" s="5">
        <v>779</v>
      </c>
      <c r="C283" s="7" t="str">
        <f t="shared" si="12"/>
        <v>Premium5</v>
      </c>
      <c r="D283" s="7" t="str">
        <f t="shared" si="13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4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IFERROR(VLOOKUP(B283,input_503101!L:R,7,FALSE),VLOOKUP(tables_503101!C283,input_503101!A:H,8,FALSE))</f>
        <v>386.892</v>
      </c>
      <c r="P283" s="40">
        <f ca="1">O283/SUM(O:O)</f>
        <v>1.9739387755202741E-4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input_503101!A$2</f>
        <v>503101</v>
      </c>
      <c r="B284" s="5">
        <v>848</v>
      </c>
      <c r="C284" s="7" t="str">
        <f t="shared" si="12"/>
        <v>PremiumSS5R5onlycolor</v>
      </c>
      <c r="D284" s="7" t="str">
        <f t="shared" si="13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4"/>
        <v>color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IFERROR(VLOOKUP(B284,input_503101!L:R,7,FALSE),VLOOKUP(tables_503101!C284,input_503101!A:H,8,FALSE))</f>
        <v>4043.6</v>
      </c>
      <c r="P284" s="40">
        <f ca="1">O284/SUM(O:O)</f>
        <v>2.0630612245003204E-3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input_503101!A$2</f>
        <v>503101</v>
      </c>
      <c r="B285" s="5">
        <v>850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4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IFERROR(VLOOKUP(B285,input_503101!L:R,7,FALSE),VLOOKUP(tables_503101!C285,input_503101!A:H,8,FALSE))</f>
        <v>736</v>
      </c>
      <c r="P285" s="40">
        <f ca="1">O285/SUM(O:O)</f>
        <v>3.7551020408354831E-4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input_503101!A$2</f>
        <v>503101</v>
      </c>
      <c r="B286" s="5">
        <v>852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4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IFERROR(VLOOKUP(B286,input_503101!L:R,7,FALSE),VLOOKUP(tables_503101!C286,input_503101!A:H,8,FALSE))</f>
        <v>12822.21333</v>
      </c>
      <c r="P286" s="40">
        <f ca="1">O286/SUM(O:O)</f>
        <v>6.5419455765639862E-3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input_503101!A$2</f>
        <v>503101</v>
      </c>
      <c r="B287" s="5">
        <v>853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4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IFERROR(VLOOKUP(B287,input_503101!L:R,7,FALSE),VLOOKUP(tables_503101!C287,input_503101!A:H,8,FALSE))</f>
        <v>1059.52</v>
      </c>
      <c r="P287" s="40">
        <f ca="1">O287/SUM(O:O)</f>
        <v>5.4057142857418623E-4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input_503101!A$2</f>
        <v>503101</v>
      </c>
      <c r="B288" s="5">
        <v>854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4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IFERROR(VLOOKUP(B288,input_503101!L:R,7,FALSE),VLOOKUP(tables_503101!C288,input_503101!A:H,8,FALSE))</f>
        <v>12822.21333</v>
      </c>
      <c r="P288" s="40">
        <f ca="1">O288/SUM(O:O)</f>
        <v>6.5419455765639862E-3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input_503101!A$2</f>
        <v>503101</v>
      </c>
      <c r="B289" s="5">
        <v>855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4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IFERROR(VLOOKUP(B289,input_503101!L:R,7,FALSE),VLOOKUP(tables_503101!C289,input_503101!A:H,8,FALSE))</f>
        <v>1059.52</v>
      </c>
      <c r="P289" s="40">
        <f ca="1">O289/SUM(O:O)</f>
        <v>5.4057142857418623E-4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input_503101!A$2</f>
        <v>503101</v>
      </c>
      <c r="B290" s="5">
        <v>862</v>
      </c>
      <c r="C290" s="7" t="str">
        <f t="shared" si="12"/>
        <v>Premium4R3lesscolor</v>
      </c>
      <c r="D290" s="7" t="str">
        <f t="shared" si="13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4"/>
        <v>color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IFERROR(VLOOKUP(B290,input_503101!L:R,7,FALSE),VLOOKUP(tables_503101!C290,input_503101!A:H,8,FALSE))</f>
        <v>39728.513350000001</v>
      </c>
      <c r="P290" s="40">
        <f ca="1">O290/SUM(O:O)</f>
        <v>2.0269649668470752E-2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input_503101!A$2</f>
        <v>503101</v>
      </c>
      <c r="B291" s="5">
        <v>863</v>
      </c>
      <c r="C291" s="7" t="str">
        <f t="shared" si="12"/>
        <v>Premium5R3lesscolor</v>
      </c>
      <c r="D291" s="7" t="str">
        <f t="shared" si="13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4"/>
        <v>color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IFERROR(VLOOKUP(B291,input_503101!L:R,7,FALSE),VLOOKUP(tables_503101!C291,input_503101!A:H,8,FALSE))</f>
        <v>4635.3999999999996</v>
      </c>
      <c r="P291" s="40">
        <f ca="1">O291/SUM(O:O)</f>
        <v>2.3650000000120649E-3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input_503101!A$2</f>
        <v>503101</v>
      </c>
      <c r="B292" s="5">
        <v>864</v>
      </c>
      <c r="C292" s="7" t="str">
        <f t="shared" si="12"/>
        <v>Premium4R3less</v>
      </c>
      <c r="D292" s="7" t="str">
        <f t="shared" si="13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4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IFERROR(VLOOKUP(B292,input_503101!L:R,7,FALSE),VLOOKUP(tables_503101!C292,input_503101!A:H,8,FALSE))</f>
        <v>12822.21333</v>
      </c>
      <c r="P292" s="40">
        <f ca="1">O292/SUM(O:O)</f>
        <v>6.5419455765639862E-3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input_503101!A$2</f>
        <v>503101</v>
      </c>
      <c r="B293" s="5">
        <v>865</v>
      </c>
      <c r="C293" s="7" t="str">
        <f t="shared" si="12"/>
        <v>Premium5R3less</v>
      </c>
      <c r="D293" s="7" t="str">
        <f t="shared" si="13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4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IFERROR(VLOOKUP(B293,input_503101!L:R,7,FALSE),VLOOKUP(tables_503101!C293,input_503101!A:H,8,FALSE))</f>
        <v>1059.52</v>
      </c>
      <c r="P293" s="40">
        <f ca="1">O293/SUM(O:O)</f>
        <v>5.4057142857418623E-4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input_503101!A$2</f>
        <v>503101</v>
      </c>
      <c r="B294" s="5">
        <v>866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4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IFERROR(VLOOKUP(B294,input_503101!L:R,7,FALSE),VLOOKUP(tables_503101!C294,input_503101!A:H,8,FALSE))</f>
        <v>736</v>
      </c>
      <c r="P294" s="40">
        <f ca="1">O294/SUM(O:O)</f>
        <v>3.7551020408354831E-4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input_503101!A$2</f>
        <v>503101</v>
      </c>
      <c r="B295" s="5">
        <v>868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4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IFERROR(VLOOKUP(B295,input_503101!L:R,7,FALSE),VLOOKUP(tables_503101!C295,input_503101!A:H,8,FALSE))</f>
        <v>736</v>
      </c>
      <c r="P295" s="40">
        <f ca="1">O295/SUM(O:O)</f>
        <v>3.7551020408354831E-4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input_503101!A$2</f>
        <v>503101</v>
      </c>
      <c r="B296" s="5">
        <v>937</v>
      </c>
      <c r="C296" s="7" t="str">
        <f t="shared" si="12"/>
        <v>PremiumSS5R5onlycolor</v>
      </c>
      <c r="D296" s="7" t="str">
        <f t="shared" si="13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4"/>
        <v>color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IFERROR(VLOOKUP(B296,input_503101!L:R,7,FALSE),VLOOKUP(tables_503101!C296,input_503101!A:H,8,FALSE))</f>
        <v>4043.6</v>
      </c>
      <c r="P296" s="40">
        <f ca="1">O296/SUM(O:O)</f>
        <v>2.0630612245003204E-3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input_503101!A$2</f>
        <v>503101</v>
      </c>
      <c r="B297" s="5">
        <v>939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4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IFERROR(VLOOKUP(B297,input_503101!L:R,7,FALSE),VLOOKUP(tables_503101!C297,input_503101!A:H,8,FALSE))</f>
        <v>12822.21333</v>
      </c>
      <c r="P297" s="40">
        <f ca="1">O297/SUM(O:O)</f>
        <v>6.5419455765639862E-3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input_503101!A$2</f>
        <v>503101</v>
      </c>
      <c r="B298" s="5">
        <v>940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4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IFERROR(VLOOKUP(B298,input_503101!L:R,7,FALSE),VLOOKUP(tables_503101!C298,input_503101!A:H,8,FALSE))</f>
        <v>1059.52</v>
      </c>
      <c r="P298" s="40">
        <f ca="1">O298/SUM(O:O)</f>
        <v>5.4057142857418623E-4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input_503101!A$2</f>
        <v>503101</v>
      </c>
      <c r="B299" s="5">
        <v>941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4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IFERROR(VLOOKUP(B299,input_503101!L:R,7,FALSE),VLOOKUP(tables_503101!C299,input_503101!A:H,8,FALSE))</f>
        <v>736</v>
      </c>
      <c r="P299" s="40">
        <f ca="1">O299/SUM(O:O)</f>
        <v>3.7551020408354831E-4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input_503101!A$2</f>
        <v>503101</v>
      </c>
      <c r="B300" s="5">
        <v>943</v>
      </c>
      <c r="C300" s="7" t="str">
        <f t="shared" si="12"/>
        <v>PremiumSS5R5only</v>
      </c>
      <c r="D300" s="7" t="str">
        <f t="shared" si="13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4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IFERROR(VLOOKUP(B300,input_503101!L:R,7,FALSE),VLOOKUP(tables_503101!C300,input_503101!A:H,8,FALSE))</f>
        <v>736</v>
      </c>
      <c r="P300" s="40">
        <f ca="1">O300/SUM(O:O)</f>
        <v>3.7551020408354831E-4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input_503101!A$2</f>
        <v>503101</v>
      </c>
      <c r="B301" s="5">
        <v>1012</v>
      </c>
      <c r="C301" s="7" t="str">
        <f t="shared" si="12"/>
        <v>PremiumSS5R5onlycolor</v>
      </c>
      <c r="D301" s="7" t="str">
        <f t="shared" si="13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4"/>
        <v>color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IFERROR(VLOOKUP(B301,input_503101!L:R,7,FALSE),VLOOKUP(tables_503101!C301,input_503101!A:H,8,FALSE))</f>
        <v>4043.6</v>
      </c>
      <c r="P301" s="40">
        <f ca="1">O301/SUM(O:O)</f>
        <v>2.0630612245003204E-3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input_503101!A$2</f>
        <v>503101</v>
      </c>
      <c r="B302" s="5">
        <v>1014</v>
      </c>
      <c r="C302" s="7" t="str">
        <f t="shared" si="12"/>
        <v>PremiumSS5R5only</v>
      </c>
      <c r="D302" s="7" t="str">
        <f t="shared" si="13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4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IFERROR(VLOOKUP(B302,input_503101!L:R,7,FALSE),VLOOKUP(tables_503101!C302,input_503101!A:H,8,FALSE))</f>
        <v>736</v>
      </c>
      <c r="P302" s="40">
        <f ca="1">O302/SUM(O:O)</f>
        <v>3.7551020408354831E-4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input_503101!A$2</f>
        <v>503101</v>
      </c>
      <c r="B303" s="5">
        <v>1016</v>
      </c>
      <c r="C303" s="7" t="str">
        <f t="shared" si="12"/>
        <v>Premium4R3less</v>
      </c>
      <c r="D303" s="7" t="str">
        <f t="shared" si="13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4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IFERROR(VLOOKUP(B303,input_503101!L:R,7,FALSE),VLOOKUP(tables_503101!C303,input_503101!A:H,8,FALSE))</f>
        <v>12822.21333</v>
      </c>
      <c r="P303" s="40">
        <f ca="1">O303/SUM(O:O)</f>
        <v>6.5419455765639862E-3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input_503101!A$2</f>
        <v>503101</v>
      </c>
      <c r="B304" s="5">
        <v>1017</v>
      </c>
      <c r="C304" s="7" t="str">
        <f t="shared" si="12"/>
        <v>Premium5R3less</v>
      </c>
      <c r="D304" s="7" t="str">
        <f t="shared" si="13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4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IFERROR(VLOOKUP(B304,input_503101!L:R,7,FALSE),VLOOKUP(tables_503101!C304,input_503101!A:H,8,FALSE))</f>
        <v>1059.52</v>
      </c>
      <c r="P304" s="40">
        <f ca="1">O304/SUM(O:O)</f>
        <v>5.4057142857418623E-4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input_503101!A$2</f>
        <v>503101</v>
      </c>
      <c r="B305" s="5">
        <v>1018</v>
      </c>
      <c r="C305" s="7" t="str">
        <f t="shared" si="12"/>
        <v>PremiumSS5R5only</v>
      </c>
      <c r="D305" s="7" t="str">
        <f t="shared" si="13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4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IFERROR(VLOOKUP(B305,input_503101!L:R,7,FALSE),VLOOKUP(tables_503101!C305,input_503101!A:H,8,FALSE))</f>
        <v>736</v>
      </c>
      <c r="P305" s="40">
        <f ca="1">O305/SUM(O:O)</f>
        <v>3.7551020408354831E-4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input_503101!A$2</f>
        <v>503101</v>
      </c>
      <c r="B306" s="5">
        <v>1026</v>
      </c>
      <c r="C306" s="7" t="str">
        <f t="shared" si="12"/>
        <v>Premium4R3lesscolor</v>
      </c>
      <c r="D306" s="7" t="str">
        <f t="shared" si="13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4"/>
        <v>color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IFERROR(VLOOKUP(B306,input_503101!L:R,7,FALSE),VLOOKUP(tables_503101!C306,input_503101!A:H,8,FALSE))</f>
        <v>39728.513350000001</v>
      </c>
      <c r="P306" s="40">
        <f ca="1">O306/SUM(O:O)</f>
        <v>2.0269649668470752E-2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input_503101!A$2</f>
        <v>503101</v>
      </c>
      <c r="B307" s="5">
        <v>1027</v>
      </c>
      <c r="C307" s="7" t="str">
        <f t="shared" si="12"/>
        <v>Premium5R3lesscolor</v>
      </c>
      <c r="D307" s="7" t="str">
        <f t="shared" si="13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4"/>
        <v>color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IFERROR(VLOOKUP(B307,input_503101!L:R,7,FALSE),VLOOKUP(tables_503101!C307,input_503101!A:H,8,FALSE))</f>
        <v>4635.3999999999996</v>
      </c>
      <c r="P307" s="40">
        <f ca="1">O307/SUM(O:O)</f>
        <v>2.3650000000120649E-3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input_503101!A$2</f>
        <v>503101</v>
      </c>
      <c r="B308" s="5">
        <v>1028</v>
      </c>
      <c r="C308" s="7" t="str">
        <f t="shared" si="12"/>
        <v>PremiumSS5R5only</v>
      </c>
      <c r="D308" s="7" t="str">
        <f t="shared" si="13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4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IFERROR(VLOOKUP(B308,input_503101!L:R,7,FALSE),VLOOKUP(tables_503101!C308,input_503101!A:H,8,FALSE))</f>
        <v>736</v>
      </c>
      <c r="P308" s="40">
        <f ca="1">O308/SUM(O:O)</f>
        <v>3.7551020408354831E-4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input_503101!A$2</f>
        <v>503101</v>
      </c>
      <c r="B309" s="5">
        <v>1031</v>
      </c>
      <c r="C309" s="7" t="str">
        <f t="shared" si="12"/>
        <v>PremiumSS5R5only</v>
      </c>
      <c r="D309" s="7" t="str">
        <f t="shared" si="13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4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IFERROR(VLOOKUP(B309,input_503101!L:R,7,FALSE),VLOOKUP(tables_503101!C309,input_503101!A:H,8,FALSE))</f>
        <v>736</v>
      </c>
      <c r="P309" s="40">
        <f ca="1">O309/SUM(O:O)</f>
        <v>3.7551020408354831E-4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input_503101!A$2</f>
        <v>503101</v>
      </c>
      <c r="B310" s="5">
        <v>1033</v>
      </c>
      <c r="C310" s="7" t="str">
        <f t="shared" si="12"/>
        <v>PremiumSS5R5only</v>
      </c>
      <c r="D310" s="7" t="str">
        <f t="shared" si="13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4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IFERROR(VLOOKUP(B310,input_503101!L:R,7,FALSE),VLOOKUP(tables_503101!C310,input_503101!A:H,8,FALSE))</f>
        <v>736</v>
      </c>
      <c r="P310" s="40">
        <f ca="1">O310/SUM(O:O)</f>
        <v>3.7551020408354831E-4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input_503101!A$2</f>
        <v>503101</v>
      </c>
      <c r="B311" s="5">
        <v>1067</v>
      </c>
      <c r="C311" s="7" t="str">
        <f t="shared" si="12"/>
        <v>Premium4R3lesscolor</v>
      </c>
      <c r="D311" s="7" t="str">
        <f t="shared" si="13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4"/>
        <v>color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IFERROR(VLOOKUP(B311,input_503101!L:R,7,FALSE),VLOOKUP(tables_503101!C311,input_503101!A:H,8,FALSE))</f>
        <v>39728.513350000001</v>
      </c>
      <c r="P311" s="40">
        <f ca="1">O311/SUM(O:O)</f>
        <v>2.0269649668470752E-2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input_503101!A$2</f>
        <v>503101</v>
      </c>
      <c r="B312" s="5">
        <v>1068</v>
      </c>
      <c r="C312" s="7" t="str">
        <f t="shared" si="12"/>
        <v>Premium5R3lesscolor</v>
      </c>
      <c r="D312" s="7" t="str">
        <f t="shared" si="13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4"/>
        <v>color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IFERROR(VLOOKUP(B312,input_503101!L:R,7,FALSE),VLOOKUP(tables_503101!C312,input_503101!A:H,8,FALSE))</f>
        <v>4635.3999999999996</v>
      </c>
      <c r="P312" s="40">
        <f ca="1">O312/SUM(O:O)</f>
        <v>2.3650000000120649E-3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input_503101!A$2</f>
        <v>503101</v>
      </c>
      <c r="B313" s="5">
        <v>1069</v>
      </c>
      <c r="C313" s="7" t="str">
        <f t="shared" si="12"/>
        <v>PremiumSS5R5only</v>
      </c>
      <c r="D313" s="7" t="str">
        <f t="shared" si="13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4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IFERROR(VLOOKUP(B313,input_503101!L:R,7,FALSE),VLOOKUP(tables_503101!C313,input_503101!A:H,8,FALSE))</f>
        <v>736</v>
      </c>
      <c r="P313" s="40">
        <f ca="1">O313/SUM(O:O)</f>
        <v>3.7551020408354831E-4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input_503101!A$2</f>
        <v>503101</v>
      </c>
      <c r="B314" s="5">
        <v>1072</v>
      </c>
      <c r="C314" s="7" t="str">
        <f t="shared" si="12"/>
        <v>PremiumSS5R5only</v>
      </c>
      <c r="D314" s="7" t="str">
        <f t="shared" si="13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4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IFERROR(VLOOKUP(B314,input_503101!L:R,7,FALSE),VLOOKUP(tables_503101!C314,input_503101!A:H,8,FALSE))</f>
        <v>736</v>
      </c>
      <c r="P314" s="40">
        <f ca="1">O314/SUM(O:O)</f>
        <v>3.7551020408354831E-4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input_503101!A$2</f>
        <v>503101</v>
      </c>
      <c r="B315" s="5">
        <v>1074</v>
      </c>
      <c r="C315" s="7" t="str">
        <f t="shared" si="12"/>
        <v>PremiumSS5R5only</v>
      </c>
      <c r="D315" s="7" t="str">
        <f t="shared" si="13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4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IFERROR(VLOOKUP(B315,input_503101!L:R,7,FALSE),VLOOKUP(tables_503101!C315,input_503101!A:H,8,FALSE))</f>
        <v>736</v>
      </c>
      <c r="P315" s="40">
        <f ca="1">O315/SUM(O:O)</f>
        <v>3.7551020408354831E-4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input_503101!A$2</f>
        <v>503101</v>
      </c>
      <c r="B316" s="5">
        <v>1100</v>
      </c>
      <c r="C316" s="7" t="str">
        <f t="shared" si="12"/>
        <v>PremiumSS5R5onlycolor</v>
      </c>
      <c r="D316" s="7" t="str">
        <f t="shared" si="13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4"/>
        <v>color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IFERROR(VLOOKUP(B316,input_503101!L:R,7,FALSE),VLOOKUP(tables_503101!C316,input_503101!A:H,8,FALSE))</f>
        <v>4043.6</v>
      </c>
      <c r="P316" s="40">
        <f ca="1">O316/SUM(O:O)</f>
        <v>2.0630612245003204E-3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input_503101!A$2</f>
        <v>503101</v>
      </c>
      <c r="B317" s="5">
        <v>1102</v>
      </c>
      <c r="C317" s="7" t="str">
        <f t="shared" si="12"/>
        <v>PremiumSS5R5only</v>
      </c>
      <c r="D317" s="7" t="str">
        <f t="shared" si="13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4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IFERROR(VLOOKUP(B317,input_503101!L:R,7,FALSE),VLOOKUP(tables_503101!C317,input_503101!A:H,8,FALSE))</f>
        <v>736</v>
      </c>
      <c r="P317" s="40">
        <f ca="1">O317/SUM(O:O)</f>
        <v>3.7551020408354831E-4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input_503101!A$2</f>
        <v>503101</v>
      </c>
      <c r="B318" s="5">
        <v>1104</v>
      </c>
      <c r="C318" s="7" t="str">
        <f t="shared" si="12"/>
        <v>Premium4R3less</v>
      </c>
      <c r="D318" s="7" t="str">
        <f t="shared" si="13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4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IFERROR(VLOOKUP(B318,input_503101!L:R,7,FALSE),VLOOKUP(tables_503101!C318,input_503101!A:H,8,FALSE))</f>
        <v>12822.21333</v>
      </c>
      <c r="P318" s="40">
        <f ca="1">O318/SUM(O:O)</f>
        <v>6.5419455765639862E-3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input_503101!A$2</f>
        <v>503101</v>
      </c>
      <c r="B319" s="5">
        <v>1105</v>
      </c>
      <c r="C319" s="7" t="str">
        <f t="shared" si="12"/>
        <v>Premium5R3less</v>
      </c>
      <c r="D319" s="7" t="str">
        <f t="shared" si="13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4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IFERROR(VLOOKUP(B319,input_503101!L:R,7,FALSE),VLOOKUP(tables_503101!C319,input_503101!A:H,8,FALSE))</f>
        <v>1059.52</v>
      </c>
      <c r="P319" s="40">
        <f ca="1">O319/SUM(O:O)</f>
        <v>5.4057142857418623E-4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input_503101!A$2</f>
        <v>503101</v>
      </c>
      <c r="B320" s="5">
        <v>1106</v>
      </c>
      <c r="C320" s="7" t="str">
        <f t="shared" si="12"/>
        <v>PremiumSS5R5only</v>
      </c>
      <c r="D320" s="7" t="str">
        <f t="shared" si="13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4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IFERROR(VLOOKUP(B320,input_503101!L:R,7,FALSE),VLOOKUP(tables_503101!C320,input_503101!A:H,8,FALSE))</f>
        <v>736</v>
      </c>
      <c r="P320" s="40">
        <f ca="1">O320/SUM(O:O)</f>
        <v>3.7551020408354831E-4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input_503101!A$2</f>
        <v>503101</v>
      </c>
      <c r="B321" s="5">
        <v>1137</v>
      </c>
      <c r="C321" s="7" t="str">
        <f t="shared" si="12"/>
        <v>PremiumSS5R5onlycolor</v>
      </c>
      <c r="D321" s="7" t="str">
        <f t="shared" si="13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4"/>
        <v>color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IFERROR(VLOOKUP(B321,input_503101!L:R,7,FALSE),VLOOKUP(tables_503101!C321,input_503101!A:H,8,FALSE))</f>
        <v>4043.6</v>
      </c>
      <c r="P321" s="40">
        <f ca="1">O321/SUM(O:O)</f>
        <v>2.0630612245003204E-3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input_503101!A$2</f>
        <v>503101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3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4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IFERROR(VLOOKUP(B322,input_503101!L:R,7,FALSE),VLOOKUP(tables_503101!C322,input_503101!A:H,8,FALSE))</f>
        <v>736</v>
      </c>
      <c r="P322" s="40">
        <f ca="1">O322/SUM(O:O)</f>
        <v>3.7551020408354831E-4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input_503101!A$2</f>
        <v>503101</v>
      </c>
      <c r="B323" s="5">
        <v>1141</v>
      </c>
      <c r="C323" s="7" t="str">
        <f t="shared" si="15"/>
        <v>PremiumSS5R5only</v>
      </c>
      <c r="D323" s="7" t="str">
        <f t="shared" ref="D323:D324" si="16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6" si="17">IF(K323="red","color","")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IFERROR(VLOOKUP(B323,input_503101!L:R,7,FALSE),VLOOKUP(tables_503101!C323,input_503101!A:H,8,FALSE))</f>
        <v>736</v>
      </c>
      <c r="P323" s="40">
        <f ca="1">O323/SUM(O:O)</f>
        <v>3.7551020408354831E-4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input_503101!A$2</f>
        <v>503101</v>
      </c>
      <c r="B324" s="2">
        <v>1143</v>
      </c>
      <c r="C324" s="88" t="str">
        <f t="shared" si="15"/>
        <v>Premium4R3less</v>
      </c>
      <c r="D324" s="7" t="str">
        <f t="shared" si="16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17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IFERROR(VLOOKUP(B324,input_503101!L:R,7,FALSE),VLOOKUP(tables_503101!C324,input_503101!A:H,8,FALSE))</f>
        <v>12822.21333</v>
      </c>
      <c r="P324" s="40">
        <f ca="1">O324/SUM(O:O)</f>
        <v>6.5419455765639862E-3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input_503101!A$2</f>
        <v>503101</v>
      </c>
      <c r="B325" s="2">
        <v>1144</v>
      </c>
      <c r="C325" s="88" t="str">
        <f t="shared" ref="C325:C331" si="18">D325&amp;J325&amp;E325&amp;F325&amp;G325</f>
        <v>Premium5R3less</v>
      </c>
      <c r="D325" s="7" t="str">
        <f t="shared" ref="D325:D331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17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IFERROR(VLOOKUP(B325,input_503101!L:R,7,FALSE),VLOOKUP(tables_503101!C325,input_503101!A:H,8,FALSE))</f>
        <v>1059.52</v>
      </c>
      <c r="P325" s="40">
        <f ca="1">O325/SUM(O:O)</f>
        <v>5.4057142857418623E-4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input_503101!A$2</f>
        <v>503101</v>
      </c>
      <c r="B326" s="2">
        <v>1151</v>
      </c>
      <c r="C326" s="88" t="str">
        <f t="shared" si="18"/>
        <v>Premium4R3lesscolor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17"/>
        <v>color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IFERROR(VLOOKUP(B326,input_503101!L:R,7,FALSE),VLOOKUP(tables_503101!C326,input_503101!A:H,8,FALSE))</f>
        <v>39728.513350000001</v>
      </c>
      <c r="P326" s="40">
        <f ca="1">O326/SUM(O:O)</f>
        <v>2.0269649668470752E-2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input_503101!A$2</f>
        <v>503101</v>
      </c>
      <c r="B327" s="2">
        <v>1152</v>
      </c>
      <c r="C327" s="88" t="str">
        <f t="shared" si="18"/>
        <v>Premium5R3lesscolor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17"/>
        <v>color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IFERROR(VLOOKUP(B327,input_503101!L:R,7,FALSE),VLOOKUP(tables_503101!C327,input_503101!A:H,8,FALSE))</f>
        <v>4635.3999999999996</v>
      </c>
      <c r="P327" s="40">
        <f ca="1">O327/SUM(O:O)</f>
        <v>2.3650000000120649E-3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input_503101!A$2</f>
        <v>503101</v>
      </c>
      <c r="B328" s="2">
        <v>1153</v>
      </c>
      <c r="C328" s="88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17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IFERROR(VLOOKUP(B328,input_503101!L:R,7,FALSE),VLOOKUP(tables_503101!C328,input_503101!A:H,8,FALSE))</f>
        <v>736</v>
      </c>
      <c r="P328" s="40">
        <f ca="1">O328/SUM(O:O)</f>
        <v>3.7551020408354831E-4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input_503101!A$2</f>
        <v>503101</v>
      </c>
      <c r="B329" s="2">
        <v>1155</v>
      </c>
      <c r="C329" s="88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17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IFERROR(VLOOKUP(B329,input_503101!L:R,7,FALSE),VLOOKUP(tables_503101!C329,input_503101!A:H,8,FALSE))</f>
        <v>736</v>
      </c>
      <c r="P329" s="40">
        <f ca="1">O329/SUM(O:O)</f>
        <v>3.7551020408354831E-4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input_503101!A$2</f>
        <v>503101</v>
      </c>
      <c r="B330" s="2">
        <v>1157</v>
      </c>
      <c r="C330" s="88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17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IFERROR(VLOOKUP(B330,input_503101!L:R,7,FALSE),VLOOKUP(tables_503101!C330,input_503101!A:H,8,FALSE))</f>
        <v>736</v>
      </c>
      <c r="P330" s="40">
        <f ca="1">O330/SUM(O:O)</f>
        <v>3.7551020408354831E-4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input_503101!A$2</f>
        <v>503101</v>
      </c>
      <c r="B331" s="52">
        <v>1214</v>
      </c>
      <c r="C331" s="88" t="str">
        <f t="shared" si="18"/>
        <v>PremiumSS5R5only</v>
      </c>
      <c r="D331" s="7" t="str">
        <f t="shared" si="19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17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IFERROR(VLOOKUP(B331,input_503101!L:R,7,FALSE),VLOOKUP(tables_503101!C331,input_503101!A:H,8,FALSE))</f>
        <v>736</v>
      </c>
      <c r="P331" s="40">
        <f ca="1">O331/SUM(O:O)</f>
        <v>3.7551020408354831E-4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input_503101!A$2</f>
        <v>503101</v>
      </c>
      <c r="B332" s="52">
        <v>1212</v>
      </c>
      <c r="C332" s="88" t="str">
        <f t="shared" ref="C332:C340" si="20">D332&amp;J332&amp;E332&amp;F332&amp;G332</f>
        <v>PremiumSS5R5only</v>
      </c>
      <c r="D332" s="7" t="str">
        <f t="shared" ref="D332:D340" si="21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17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IFERROR(VLOOKUP(B332,input_503101!L:R,7,FALSE),VLOOKUP(tables_503101!C332,input_503101!A:H,8,FALSE))</f>
        <v>736</v>
      </c>
      <c r="P332" s="40">
        <f ca="1">O332/SUM(O:O)</f>
        <v>3.7551020408354831E-4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input_503101!A$2</f>
        <v>503101</v>
      </c>
      <c r="B333" s="52">
        <v>1208</v>
      </c>
      <c r="C333" s="88" t="str">
        <f t="shared" si="20"/>
        <v>PremiumSS5R5onlycolor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17"/>
        <v>color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IFERROR(VLOOKUP(B333,input_503101!L:R,7,FALSE),VLOOKUP(tables_503101!C333,input_503101!A:H,8,FALSE))</f>
        <v>4043.6</v>
      </c>
      <c r="P333" s="40">
        <f ca="1">O333/SUM(O:O)</f>
        <v>2.0630612245003204E-3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input_503101!A$2</f>
        <v>503101</v>
      </c>
      <c r="B334" s="98">
        <v>1210</v>
      </c>
      <c r="C334" s="88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17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IFERROR(VLOOKUP(B334,input_503101!L:R,7,FALSE),VLOOKUP(tables_503101!C334,input_503101!A:H,8,FALSE))</f>
        <v>12822.21333</v>
      </c>
      <c r="P334" s="40">
        <f ca="1">O334/SUM(O:O)</f>
        <v>6.5419455765639862E-3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input_503101!A$2</f>
        <v>503101</v>
      </c>
      <c r="B335" s="52">
        <v>1211</v>
      </c>
      <c r="C335" s="88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17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IFERROR(VLOOKUP(B335,input_503101!L:R,7,FALSE),VLOOKUP(tables_503101!C335,input_503101!A:H,8,FALSE))</f>
        <v>1059.52</v>
      </c>
      <c r="P335" s="40">
        <f ca="1">O335/SUM(O:O)</f>
        <v>5.4057142857418623E-4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input_503101!A$2</f>
        <v>503101</v>
      </c>
      <c r="B336" s="2">
        <v>1224</v>
      </c>
      <c r="C336" s="88" t="str">
        <f t="shared" si="20"/>
        <v>Premium4R3lesscolor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17"/>
        <v>color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IFERROR(VLOOKUP(B336,input_503101!L:R,7,FALSE),VLOOKUP(tables_503101!C336,input_503101!A:H,8,FALSE))</f>
        <v>39728.513350000001</v>
      </c>
      <c r="P336" s="40">
        <f ca="1">O336/SUM(O:O)</f>
        <v>2.0269649668470752E-2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input_503101!A$2</f>
        <v>503101</v>
      </c>
      <c r="B337" s="2">
        <v>1225</v>
      </c>
      <c r="C337" s="88" t="str">
        <f t="shared" si="20"/>
        <v>Premium5R3lesscolor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17"/>
        <v>color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IFERROR(VLOOKUP(B337,input_503101!L:R,7,FALSE),VLOOKUP(tables_503101!C337,input_503101!A:H,8,FALSE))</f>
        <v>4635.3999999999996</v>
      </c>
      <c r="P337" s="40">
        <f ca="1">O337/SUM(O:O)</f>
        <v>2.3650000000120649E-3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input_503101!A$2</f>
        <v>503101</v>
      </c>
      <c r="B338" s="2">
        <v>1226</v>
      </c>
      <c r="C338" s="88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17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IFERROR(VLOOKUP(B338,input_503101!L:R,7,FALSE),VLOOKUP(tables_503101!C338,input_503101!A:H,8,FALSE))</f>
        <v>736</v>
      </c>
      <c r="P338" s="40">
        <f ca="1">O338/SUM(O:O)</f>
        <v>3.7551020408354831E-4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input_503101!A$2</f>
        <v>503101</v>
      </c>
      <c r="B339" s="2">
        <v>1228</v>
      </c>
      <c r="C339" s="88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17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IFERROR(VLOOKUP(B339,input_503101!L:R,7,FALSE),VLOOKUP(tables_503101!C339,input_503101!A:H,8,FALSE))</f>
        <v>736</v>
      </c>
      <c r="P339" s="40">
        <f ca="1">O339/SUM(O:O)</f>
        <v>3.7551020408354831E-4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input_503101!A$2</f>
        <v>503101</v>
      </c>
      <c r="B340" s="2">
        <v>1230</v>
      </c>
      <c r="C340" s="88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17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IFERROR(VLOOKUP(B340,input_503101!L:R,7,FALSE),VLOOKUP(tables_503101!C340,input_503101!A:H,8,FALSE))</f>
        <v>736</v>
      </c>
      <c r="P340" s="40">
        <f ca="1">O340/SUM(O:O)</f>
        <v>3.7551020408354831E-4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input_503101!A$2</f>
        <v>503101</v>
      </c>
      <c r="B341" s="2">
        <v>1244</v>
      </c>
      <c r="C341" s="88" t="str">
        <f t="shared" ref="C341:C345" si="22">D341&amp;J341&amp;E341&amp;F341&amp;G341</f>
        <v>PremiumSS5R5onlycolor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ref="G341:G345" si="24">IF(K341="red","color","")</f>
        <v>color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IFERROR(VLOOKUP(B341,input_503101!L:R,7,FALSE),VLOOKUP(tables_503101!C341,input_503101!A:H,8,FALSE))</f>
        <v>4043.6</v>
      </c>
      <c r="P341" s="40">
        <f t="shared" ref="P341:P345" ca="1" si="25">O341/SUM(O:O)</f>
        <v>2.0630612245003204E-3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input_503101!A$2</f>
        <v>503101</v>
      </c>
      <c r="B342" s="2">
        <v>1246</v>
      </c>
      <c r="C342" s="88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4"/>
        <v/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IFERROR(VLOOKUP(B342,input_503101!L:R,7,FALSE),VLOOKUP(tables_503101!C342,input_503101!A:H,8,FALSE))</f>
        <v>736</v>
      </c>
      <c r="P342" s="40">
        <f t="shared" ca="1" si="25"/>
        <v>3.7551020408354831E-4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input_503101!A$2</f>
        <v>503101</v>
      </c>
      <c r="B343" s="2">
        <v>1248</v>
      </c>
      <c r="C343" s="88" t="str">
        <f t="shared" si="22"/>
        <v>Premium4R3less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4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IFERROR(VLOOKUP(B343,input_503101!L:R,7,FALSE),VLOOKUP(tables_503101!C343,input_503101!A:H,8,FALSE))</f>
        <v>12822.21333</v>
      </c>
      <c r="P343" s="40">
        <f t="shared" ca="1" si="25"/>
        <v>6.5419455765639862E-3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input_503101!A$2</f>
        <v>503101</v>
      </c>
      <c r="B344" s="2">
        <v>1249</v>
      </c>
      <c r="C344" s="88" t="str">
        <f t="shared" si="22"/>
        <v>Premium5R3less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4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IFERROR(VLOOKUP(B344,input_503101!L:R,7,FALSE),VLOOKUP(tables_503101!C344,input_503101!A:H,8,FALSE))</f>
        <v>1059.52</v>
      </c>
      <c r="P344" s="40">
        <f t="shared" ca="1" si="25"/>
        <v>5.4057142857418623E-4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input_503101!A$2</f>
        <v>503101</v>
      </c>
      <c r="B345" s="2">
        <v>1250</v>
      </c>
      <c r="C345" s="88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4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IFERROR(VLOOKUP(B345,input_503101!L:R,7,FALSE),VLOOKUP(tables_503101!C345,input_503101!A:H,8,FALSE))</f>
        <v>736</v>
      </c>
      <c r="P345" s="40">
        <f t="shared" ca="1" si="25"/>
        <v>3.7551020408354831E-4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input_503101!A$2</f>
        <v>503101</v>
      </c>
      <c r="B346" s="1">
        <v>955</v>
      </c>
      <c r="C346" s="88" t="str">
        <f t="shared" ref="C346" si="26">D346&amp;J346&amp;E346&amp;F346&amp;G346</f>
        <v>PremiumSSS5R3lesscolor</v>
      </c>
      <c r="D346" s="7" t="str">
        <f t="shared" ref="D346" si="27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 t="str">
        <f t="shared" si="17"/>
        <v>color</v>
      </c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9">
        <f>IFERROR(VLOOKUP(B346,input_503101!L:R,7,FALSE),VLOOKUP(tables_503101!C346,input_503101!A:H,8,FALSE))</f>
        <v>7840</v>
      </c>
      <c r="P346" s="40">
        <f ca="1">O346/SUM(O:O)</f>
        <v>4.0000000000204056E-3</v>
      </c>
      <c r="Q346" s="78">
        <v>80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</sheetData>
  <autoFilter ref="A1:V1"/>
  <sortState ref="A2:Y189">
    <sortCondition ref="A2:A189"/>
  </sortState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topLeftCell="A9" zoomScale="110" zoomScaleNormal="110" zoomScalePageLayoutView="110" workbookViewId="0">
      <selection activeCell="C38" sqref="C3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503103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955</v>
      </c>
      <c r="M3" s="31" t="str">
        <f>VLOOKUP(L3,[1]characters!$A:$C,3,FALSE)</f>
        <v>マクローリン</v>
      </c>
      <c r="N3" s="54">
        <v>6.0000000000000001E-3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VLOOKUP(L3,tables_503103!B:C,2,FALSE)</f>
        <v>PremiumSSS5R3lesscolor</v>
      </c>
      <c r="R3" s="53">
        <f t="shared" ref="R3:R20" si="1">N3*A$51</f>
        <v>11760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VLOOKUP(L4,tables_503103!B:C,2,FALSE)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3.5918367346938779E-4</v>
      </c>
      <c r="F5">
        <f>(COUNTIF(tables_503103!C:C,input_503103!A28)+COUNTIF(tables_503103!C:C,input_503103!A29))</f>
        <v>50</v>
      </c>
      <c r="H5" s="75">
        <v>6.0000000000000001E-3</v>
      </c>
      <c r="I5" s="26">
        <v>1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VLOOKUP(L5,tables_503103!B:C,2,FALSE)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1.7600000000000003E-3</v>
      </c>
      <c r="F6">
        <f>(COUNTIF(tables_503103!C:C,input_503103!A43)+COUNTIF(tables_503103!C:C,input_503103!A44))</f>
        <v>16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VLOOKUP(L6,tables_503103!B:C,2,FALSE)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5.3942857142857143E-3</v>
      </c>
      <c r="F7">
        <f>(COUNTIF(tables_503103!C:C,input_503103!A25)+COUNTIF(tables_503103!C:C,input_503103!A18)+COUNTIF(tables_503103!C:C,input_503103!A20)+COUNTIF(tables_503103!C:C,input_503103!A22))</f>
        <v>70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VLOOKUP(L7,tables_503103!B:C,2,FALSE)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2.3599999999999996E-2</v>
      </c>
      <c r="F8">
        <f>(COUNTIF(tables_503103!C:C,input_503103!A40)+COUNTIF(tables_503103!C:C,input_503103!A33)+COUNTIF(tables_503103!C:C,input_503103!A35)+COUNTIF(tables_503103!C:C,input_503103!A37))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VLOOKUP(L8,tables_503103!B:C,2,FALSE)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VLOOKUP(L9,tables_503103!B:C,2,FALSE)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0.94399999999999995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VLOOKUP(L10,tables_503103!B:C,2,FALSE)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VLOOKUP(L11,tables_503103!B:C,2,FALSE)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6.0000000000000001E-3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VLOOKUP(L12,tables_503103!B:C,2,FALSE)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VLOOKUP(L13,tables_503103!B:C,2,FALSE)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VLOOKUP(L14,tables_503103!B:C,2,FALSE)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VLOOKUP(L15,tables_503103!B:C,2,FALSE)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VLOOKUP(L16,tables_503103!B:C,2,FALSE)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COUNTIF(tables_503103!C:C,input_503103!A17)-COUNTIF(Q:Q,A17)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VLOOKUP(L17,tables_503103!B:C,2,FALSE)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E$7*E18-B17+0.01</f>
        <v>9.0914285714285711E-2</v>
      </c>
      <c r="C18" s="76">
        <f t="shared" si="2"/>
        <v>0</v>
      </c>
      <c r="D18" s="66">
        <f t="shared" si="3"/>
        <v>9.0914285714285711E-2</v>
      </c>
      <c r="E18">
        <f>COUNTIF(tables_503103!C:C,input_503103!A18)-COUNTIF(Q:Q,A18)</f>
        <v>15</v>
      </c>
      <c r="F18" s="37">
        <f>IFERROR(B18/E18,0)</f>
        <v>6.0609523809523804E-3</v>
      </c>
      <c r="G18">
        <f t="shared" si="4"/>
        <v>178192</v>
      </c>
      <c r="H18">
        <f t="shared" si="5"/>
        <v>11879.46667</v>
      </c>
      <c r="I18">
        <f t="shared" si="6"/>
        <v>0.46666999999979453</v>
      </c>
      <c r="J18">
        <f t="shared" si="7"/>
        <v>2.142841836844966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VLOOKUP(L18,tables_503103!B:C,2,FALSE)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COUNTIF(tables_503103!C:C,input_503103!A19)-COUNTIF(Q:Q,A19)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VLOOKUP(L19,tables_503103!B:C,2,FALSE)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E$7*E20*B$6-0.02+E49</f>
        <v>0.18062269382142757</v>
      </c>
      <c r="C20" s="76">
        <f t="shared" si="2"/>
        <v>0</v>
      </c>
      <c r="D20" s="66">
        <f t="shared" si="3"/>
        <v>0.18062269382142757</v>
      </c>
      <c r="E20">
        <f>COUNTIF(tables_503103!C:C,input_503103!A20)-COUNTIF(Q:Q,A20)</f>
        <v>40</v>
      </c>
      <c r="F20" s="37">
        <f t="shared" si="8"/>
        <v>4.5155673455356893E-3</v>
      </c>
      <c r="G20">
        <f t="shared" si="4"/>
        <v>354020.47988999804</v>
      </c>
      <c r="H20">
        <f t="shared" si="5"/>
        <v>8850.5120000000006</v>
      </c>
      <c r="I20">
        <f t="shared" si="6"/>
        <v>0.51200000000062573</v>
      </c>
      <c r="J20">
        <f t="shared" si="7"/>
        <v>1.953124999997613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VLOOKUP(L20,tables_503103!B:C,2,FALSE)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E$7*E21*B$7-0.01-G64</f>
        <v>5.1487347318038114E-3</v>
      </c>
      <c r="C21" s="76">
        <f t="shared" si="2"/>
        <v>0</v>
      </c>
      <c r="D21" s="66">
        <f t="shared" si="3"/>
        <v>5.1487347318038114E-3</v>
      </c>
      <c r="E21">
        <f>COUNTIF(tables_503103!C:C,input_503103!A21)-COUNTIF(Q:Q,A21)</f>
        <v>40</v>
      </c>
      <c r="F21" s="37">
        <f t="shared" si="8"/>
        <v>1.2871836829509529E-4</v>
      </c>
      <c r="G21">
        <f t="shared" si="4"/>
        <v>10091.520074335471</v>
      </c>
      <c r="H21">
        <f t="shared" si="5"/>
        <v>252.28800000000001</v>
      </c>
      <c r="I21">
        <f t="shared" si="6"/>
        <v>0.28800000000001091</v>
      </c>
      <c r="J21">
        <f t="shared" si="7"/>
        <v>3.4722222222220904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E$7*E22-B23+C50</f>
        <v>8.0001959186563498E-2</v>
      </c>
      <c r="C22" s="76">
        <f t="shared" si="2"/>
        <v>0</v>
      </c>
      <c r="D22" s="66">
        <f t="shared" si="3"/>
        <v>8.0001959186563498E-2</v>
      </c>
      <c r="E22">
        <f>COUNTIF(tables_503103!C:C,input_503103!A22)-COUNTIF(Q:Q,A22)</f>
        <v>12</v>
      </c>
      <c r="F22" s="37">
        <f t="shared" si="8"/>
        <v>6.6668299322136249E-3</v>
      </c>
      <c r="G22">
        <f t="shared" si="4"/>
        <v>156803.84000566445</v>
      </c>
      <c r="H22">
        <f t="shared" si="5"/>
        <v>13066.98667</v>
      </c>
      <c r="I22">
        <f t="shared" si="6"/>
        <v>0.98667000000023108</v>
      </c>
      <c r="J22">
        <f t="shared" si="7"/>
        <v>1.0135100894927036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E23*E7*B7</f>
        <v>9.1702857142857142E-3</v>
      </c>
      <c r="C23" s="76">
        <f t="shared" si="2"/>
        <v>0</v>
      </c>
      <c r="D23" s="66">
        <f t="shared" si="3"/>
        <v>9.1702857142857142E-3</v>
      </c>
      <c r="E23">
        <f>COUNTIF(tables_503103!C:C,input_503103!A23)-COUNTIF(Q:Q,A23)</f>
        <v>17</v>
      </c>
      <c r="F23" s="37">
        <f t="shared" si="8"/>
        <v>5.3942857142857145E-4</v>
      </c>
      <c r="G23">
        <f t="shared" si="4"/>
        <v>17973.759999999998</v>
      </c>
      <c r="H23">
        <f t="shared" si="5"/>
        <v>1057.28</v>
      </c>
      <c r="I23">
        <f t="shared" si="6"/>
        <v>0.27999999999997272</v>
      </c>
      <c r="J23">
        <f t="shared" si="7"/>
        <v>3.5714285714289193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COUNTIF(tables_503103!C:C,input_503103!A24)-COUNTIF(Q:Q,A24)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1.456457142857143E-2</v>
      </c>
      <c r="C25" s="76">
        <f t="shared" si="2"/>
        <v>0</v>
      </c>
      <c r="D25" s="66">
        <f t="shared" si="3"/>
        <v>1.456457142857143E-2</v>
      </c>
      <c r="E25">
        <f>COUNTIF(tables_503103!C:C,input_503103!A25)-COUNTIF(Q:Q,A25)</f>
        <v>3</v>
      </c>
      <c r="F25" s="37">
        <f t="shared" si="8"/>
        <v>4.8548571428571434E-3</v>
      </c>
      <c r="G25">
        <f t="shared" si="4"/>
        <v>28546.560000000005</v>
      </c>
      <c r="H25">
        <f t="shared" si="5"/>
        <v>9515.52</v>
      </c>
      <c r="I25">
        <f t="shared" si="6"/>
        <v>0.52000000000043656</v>
      </c>
      <c r="J25">
        <f t="shared" si="7"/>
        <v>1.9230769230753086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1.6182857142857145E-3</v>
      </c>
      <c r="C26" s="76">
        <f t="shared" si="2"/>
        <v>0</v>
      </c>
      <c r="D26" s="66">
        <f t="shared" si="3"/>
        <v>1.6182857142857145E-3</v>
      </c>
      <c r="E26">
        <f>COUNTIF(tables_503103!C:C,input_503103!A26)-COUNTIF(Q:Q,A26)</f>
        <v>3</v>
      </c>
      <c r="F26" s="37">
        <f t="shared" si="8"/>
        <v>5.3942857142857145E-4</v>
      </c>
      <c r="G26">
        <f t="shared" si="4"/>
        <v>3171.84</v>
      </c>
      <c r="H26">
        <f t="shared" si="5"/>
        <v>1057.28</v>
      </c>
      <c r="I26">
        <f t="shared" si="6"/>
        <v>0.27999999999997272</v>
      </c>
      <c r="J26">
        <f t="shared" si="7"/>
        <v>3.5714285714289193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6.4653061224489803E-3</v>
      </c>
      <c r="C27" s="76">
        <f t="shared" si="2"/>
        <v>0</v>
      </c>
      <c r="D27" s="66">
        <f t="shared" si="3"/>
        <v>6.4653061224489803E-3</v>
      </c>
      <c r="E27">
        <f>COUNTIF(tables_503103!C:C,input_503103!A27)-COUNTIF(Q:Q,A27)</f>
        <v>20</v>
      </c>
      <c r="F27" s="37">
        <f>IFERROR(B27/E27,0)</f>
        <v>3.2326530612244899E-4</v>
      </c>
      <c r="G27">
        <f t="shared" si="4"/>
        <v>12672.000000000002</v>
      </c>
      <c r="H27">
        <f t="shared" si="5"/>
        <v>633.6</v>
      </c>
      <c r="I27">
        <f t="shared" si="6"/>
        <v>0.60000000000002274</v>
      </c>
      <c r="J27">
        <f t="shared" si="7"/>
        <v>1.6666666666666035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7.1836734693877559E-4</v>
      </c>
      <c r="C28" s="76">
        <f t="shared" si="2"/>
        <v>0</v>
      </c>
      <c r="D28" s="66">
        <f t="shared" si="3"/>
        <v>7.1836734693877559E-4</v>
      </c>
      <c r="E28">
        <f>COUNTIF(tables_503103!C:C,input_503103!A28)-COUNTIF(Q:Q,A28)</f>
        <v>20</v>
      </c>
      <c r="F28" s="37">
        <f t="shared" si="8"/>
        <v>3.5918367346938781E-5</v>
      </c>
      <c r="G28">
        <f t="shared" si="4"/>
        <v>1408.0000000000002</v>
      </c>
      <c r="H28">
        <f t="shared" si="5"/>
        <v>70.400000000000006</v>
      </c>
      <c r="I28">
        <f t="shared" si="6"/>
        <v>0.40000000000000568</v>
      </c>
      <c r="J28">
        <f t="shared" si="7"/>
        <v>2.4999999999999645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E$5*E29-F49</f>
        <v>1.0775510204081634E-2</v>
      </c>
      <c r="C29" s="76">
        <f t="shared" si="2"/>
        <v>0</v>
      </c>
      <c r="D29" s="66">
        <f t="shared" si="3"/>
        <v>1.0775510204081634E-2</v>
      </c>
      <c r="E29">
        <f>COUNTIF(tables_503103!C:C,input_503103!A29)-COUNTIF(Q:Q,A29)</f>
        <v>30</v>
      </c>
      <c r="F29" s="37">
        <f t="shared" si="8"/>
        <v>3.5918367346938779E-4</v>
      </c>
      <c r="G29">
        <f t="shared" si="4"/>
        <v>21120.000000000004</v>
      </c>
      <c r="H29">
        <f t="shared" si="5"/>
        <v>704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COUNTIF(tables_503103!C:C,input_503103!A30)-COUNTIF(Q:Q,A30)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COUNTIF(tables_503103!C:C,input_503103!A31)-COUNTIF(Q:Q,A31)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COUNTIF(tables_503103!C:C,input_503103!A32)-COUNTIF(Q:Q,A32)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E$8*E33-B32+0.02</f>
        <v>0.13799999999999998</v>
      </c>
      <c r="C33" s="76">
        <f t="shared" si="2"/>
        <v>0</v>
      </c>
      <c r="D33" s="66">
        <f t="shared" si="3"/>
        <v>0.13799999999999998</v>
      </c>
      <c r="E33">
        <f>COUNTIF(tables_503103!C:C,input_503103!A33)-COUNTIF(Q:Q,A33)</f>
        <v>5</v>
      </c>
      <c r="F33" s="37">
        <f>IFERROR(B33/E33,0)</f>
        <v>2.7599999999999996E-2</v>
      </c>
      <c r="G33">
        <f t="shared" si="4"/>
        <v>270479.99999999994</v>
      </c>
      <c r="H33">
        <f t="shared" si="5"/>
        <v>54096</v>
      </c>
      <c r="I33">
        <f t="shared" si="6"/>
        <v>0</v>
      </c>
      <c r="J33">
        <f t="shared" si="7"/>
        <v>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COUNTIF(tables_503103!C:C,input_503103!A34)-COUNTIF(Q:Q,A34)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E$8*E35*B$6+E49-C50</f>
        <v>0.23686759177772115</v>
      </c>
      <c r="C35" s="76">
        <f t="shared" si="2"/>
        <v>0</v>
      </c>
      <c r="D35" s="66">
        <f t="shared" si="3"/>
        <v>0.23686759177772115</v>
      </c>
      <c r="E35">
        <f>COUNTIF(tables_503103!C:C,input_503103!A35)-COUNTIF(Q:Q,A35)</f>
        <v>12</v>
      </c>
      <c r="F35" s="37">
        <f t="shared" si="9"/>
        <v>1.9738965981476762E-2</v>
      </c>
      <c r="G35">
        <f t="shared" si="4"/>
        <v>464260.47988433344</v>
      </c>
      <c r="H35">
        <f t="shared" si="5"/>
        <v>38688.373319999999</v>
      </c>
      <c r="I35">
        <f t="shared" si="6"/>
        <v>0.37331999999878462</v>
      </c>
      <c r="J35">
        <f t="shared" si="7"/>
        <v>2.6786670952621225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E$8*E36*B$7</f>
        <v>2.8319999999999998E-2</v>
      </c>
      <c r="C36" s="76">
        <f t="shared" si="2"/>
        <v>0</v>
      </c>
      <c r="D36" s="66">
        <f t="shared" si="3"/>
        <v>2.8319999999999998E-2</v>
      </c>
      <c r="E36">
        <f>COUNTIF(tables_503103!C:C,input_503103!A36)-COUNTIF(Q:Q,A36)</f>
        <v>12</v>
      </c>
      <c r="F36" s="37">
        <f t="shared" si="9"/>
        <v>2.3599999999999997E-3</v>
      </c>
      <c r="G36">
        <f t="shared" si="4"/>
        <v>55507.199999999997</v>
      </c>
      <c r="H36">
        <f t="shared" si="5"/>
        <v>4625.6000000000004</v>
      </c>
      <c r="I36">
        <f t="shared" si="6"/>
        <v>0.6000000000003638</v>
      </c>
      <c r="J36">
        <f t="shared" si="7"/>
        <v>1.6666666666656562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E$8*E37-B38-E49</f>
        <v>0.11865159189285812</v>
      </c>
      <c r="C37" s="76">
        <f t="shared" si="2"/>
        <v>0</v>
      </c>
      <c r="D37" s="66">
        <f t="shared" si="3"/>
        <v>0.11865159189285812</v>
      </c>
      <c r="E37">
        <f>COUNTIF(tables_503103!C:C,input_503103!A37)-COUNTIF(Q:Q,A37)</f>
        <v>6</v>
      </c>
      <c r="F37" s="37">
        <f t="shared" si="9"/>
        <v>1.9775265315476354E-2</v>
      </c>
      <c r="G37">
        <f t="shared" si="4"/>
        <v>232557.12011000191</v>
      </c>
      <c r="H37">
        <f t="shared" si="5"/>
        <v>38759.520020000004</v>
      </c>
      <c r="I37">
        <f t="shared" si="6"/>
        <v>0.52002000000356929</v>
      </c>
      <c r="J37">
        <f t="shared" si="7"/>
        <v>1.9230029614113615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1.6519999999999996E-2</v>
      </c>
      <c r="C38" s="76">
        <f t="shared" si="2"/>
        <v>0</v>
      </c>
      <c r="D38" s="66">
        <f t="shared" si="3"/>
        <v>1.6519999999999996E-2</v>
      </c>
      <c r="E38">
        <f>COUNTIF(tables_503103!C:C,input_503103!A38)-COUNTIF(Q:Q,A38)</f>
        <v>7</v>
      </c>
      <c r="F38" s="37">
        <f t="shared" si="9"/>
        <v>2.3599999999999997E-3</v>
      </c>
      <c r="G38">
        <f t="shared" si="4"/>
        <v>32379.199999999993</v>
      </c>
      <c r="H38">
        <f t="shared" si="5"/>
        <v>4625.6000000000004</v>
      </c>
      <c r="I38">
        <f t="shared" si="6"/>
        <v>0.6000000000003638</v>
      </c>
      <c r="J38">
        <f t="shared" si="7"/>
        <v>1.6666666666656562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COUNTIF(tables_503103!C:C,input_503103!A39)-COUNTIF(Q:Q,A39)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2.1239999999999998E-2</v>
      </c>
      <c r="C40" s="76">
        <f t="shared" si="2"/>
        <v>0</v>
      </c>
      <c r="D40" s="66">
        <f t="shared" si="3"/>
        <v>2.1239999999999998E-2</v>
      </c>
      <c r="E40">
        <f>COUNTIF(tables_503103!C:C,input_503103!A40)-COUNTIF(Q:Q,A40)</f>
        <v>1</v>
      </c>
      <c r="F40" s="37">
        <f t="shared" si="9"/>
        <v>2.1239999999999998E-2</v>
      </c>
      <c r="G40">
        <f t="shared" si="4"/>
        <v>41630.399999999994</v>
      </c>
      <c r="H40">
        <f t="shared" si="5"/>
        <v>41630.400000000001</v>
      </c>
      <c r="I40">
        <f t="shared" si="6"/>
        <v>0.40000000000145519</v>
      </c>
      <c r="J40">
        <f t="shared" si="7"/>
        <v>2.4999999999909051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2.3599999999999997E-3</v>
      </c>
      <c r="C41" s="76">
        <f t="shared" si="2"/>
        <v>0</v>
      </c>
      <c r="D41" s="66">
        <f t="shared" si="3"/>
        <v>2.3599999999999997E-3</v>
      </c>
      <c r="E41">
        <f>COUNTIF(tables_503103!C:C,input_503103!A41)-COUNTIF(Q:Q,A41)</f>
        <v>1</v>
      </c>
      <c r="F41" s="37">
        <f t="shared" si="9"/>
        <v>2.3599999999999997E-3</v>
      </c>
      <c r="G41">
        <f t="shared" si="4"/>
        <v>4625.5999999999995</v>
      </c>
      <c r="H41">
        <f t="shared" si="5"/>
        <v>4625.6000000000004</v>
      </c>
      <c r="I41">
        <f t="shared" si="6"/>
        <v>0.6000000000003638</v>
      </c>
      <c r="J41">
        <f t="shared" si="7"/>
        <v>1.6666666666656562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1.2672000000000003E-2</v>
      </c>
      <c r="C42" s="76">
        <f t="shared" si="2"/>
        <v>0</v>
      </c>
      <c r="D42" s="66">
        <f t="shared" si="3"/>
        <v>1.2672000000000003E-2</v>
      </c>
      <c r="E42">
        <f>COUNTIF(tables_503103!C:C,input_503103!A42)-COUNTIF(Q:Q,A42)</f>
        <v>8</v>
      </c>
      <c r="F42" s="37">
        <f>IFERROR(B42/E42,0)</f>
        <v>1.5840000000000003E-3</v>
      </c>
      <c r="G42">
        <f t="shared" si="4"/>
        <v>24837.120000000006</v>
      </c>
      <c r="H42">
        <f t="shared" si="5"/>
        <v>3104.64</v>
      </c>
      <c r="I42">
        <f t="shared" si="6"/>
        <v>0.63999999999987267</v>
      </c>
      <c r="J42">
        <f t="shared" si="7"/>
        <v>1.5625000000003109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1.4080000000000004E-3</v>
      </c>
      <c r="C43" s="76">
        <f t="shared" si="2"/>
        <v>0</v>
      </c>
      <c r="D43" s="66">
        <f t="shared" si="3"/>
        <v>1.4080000000000004E-3</v>
      </c>
      <c r="E43">
        <f>COUNTIF(tables_503103!C:C,input_503103!A43)-COUNTIF(Q:Q,A43)</f>
        <v>8</v>
      </c>
      <c r="F43" s="37">
        <f t="shared" ref="F43:F46" si="10">IFERROR(B43/E43,0)</f>
        <v>1.7600000000000005E-4</v>
      </c>
      <c r="G43">
        <f t="shared" si="4"/>
        <v>2759.6800000000007</v>
      </c>
      <c r="H43">
        <f t="shared" si="5"/>
        <v>344.96</v>
      </c>
      <c r="I43">
        <f t="shared" si="6"/>
        <v>0.95999999999997954</v>
      </c>
      <c r="J43">
        <f t="shared" si="7"/>
        <v>1.0416666666666889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E$6*E44-E50+G64</f>
        <v>1.7960816329420728E-2</v>
      </c>
      <c r="C44" s="76">
        <f t="shared" si="2"/>
        <v>0</v>
      </c>
      <c r="D44" s="66">
        <f t="shared" si="3"/>
        <v>1.7960816329420728E-2</v>
      </c>
      <c r="E44">
        <f>COUNTIF(tables_503103!C:C,input_503103!A44)-COUNTIF(Q:Q,A44)</f>
        <v>8</v>
      </c>
      <c r="F44" s="37">
        <f t="shared" si="10"/>
        <v>2.245102041177591E-3</v>
      </c>
      <c r="G44">
        <f t="shared" si="4"/>
        <v>35203.200005664628</v>
      </c>
      <c r="H44">
        <f t="shared" si="5"/>
        <v>4400.3999999999996</v>
      </c>
      <c r="I44">
        <f t="shared" si="6"/>
        <v>0.3999999999996362</v>
      </c>
      <c r="J44">
        <f t="shared" si="7"/>
        <v>2.5000000000022737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COUNTIF(tables_503103!C:C,input_503103!A45)-COUNTIF(Q:Q,A45)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B12</f>
        <v>6.0000000000000001E-3</v>
      </c>
      <c r="C46" s="76">
        <f t="shared" si="2"/>
        <v>6.0000000000000001E-3</v>
      </c>
      <c r="D46" s="66">
        <f t="shared" si="3"/>
        <v>0</v>
      </c>
      <c r="E46">
        <f>COUNTIF(tables_503103!C:C,input_503103!A46)-COUNTIF(Q:Q,A46)</f>
        <v>0</v>
      </c>
      <c r="F46" s="37">
        <f t="shared" si="10"/>
        <v>0</v>
      </c>
      <c r="G46">
        <f t="shared" si="4"/>
        <v>11760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0.9999999999846928</v>
      </c>
      <c r="C47" s="35">
        <f>SUM(C19:C31)</f>
        <v>0</v>
      </c>
      <c r="D47" s="36">
        <f t="shared" si="3"/>
        <v>0.9999999999846928</v>
      </c>
      <c r="L47" s="49"/>
      <c r="M47" s="49"/>
      <c r="N47" s="49"/>
      <c r="O47" s="49"/>
      <c r="P47" s="49"/>
      <c r="Q47" s="49"/>
      <c r="R47" s="51"/>
    </row>
    <row r="49" spans="1:8" x14ac:dyDescent="0.15">
      <c r="B49" t="s">
        <v>35</v>
      </c>
      <c r="C49" s="80">
        <f>SUM(B32:B46)</f>
        <v>0.6</v>
      </c>
      <c r="E49" s="85">
        <v>6.4284081071418475E-3</v>
      </c>
      <c r="F49" s="85"/>
      <c r="G49" s="96">
        <f ca="1">0.9-G56</f>
        <v>-2.551125977134916E-11</v>
      </c>
    </row>
    <row r="50" spans="1:8" x14ac:dyDescent="0.15">
      <c r="A50" t="s">
        <v>56</v>
      </c>
      <c r="B50" s="80">
        <f>C49-0.6</f>
        <v>0</v>
      </c>
      <c r="C50" s="80">
        <v>2.4440816329420634E-2</v>
      </c>
      <c r="D50" s="84"/>
      <c r="E50" s="85">
        <v>2.5475917959183192E-3</v>
      </c>
      <c r="F50" s="93"/>
      <c r="G50" s="96">
        <f ca="1">G57-0.1</f>
        <v>0</v>
      </c>
    </row>
    <row r="51" spans="1:8" x14ac:dyDescent="0.15">
      <c r="A51" s="26">
        <f>LCM(F5-I5,F7-I6)*1000*2*2</f>
        <v>1960000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SUMIF(tables_503103!C:C,input_503103!A55,tables_503103!O:O)</f>
        <v>0</v>
      </c>
      <c r="C55" s="46">
        <f t="shared" ref="C55:C61" ca="1" si="11">B55/B$62</f>
        <v>0</v>
      </c>
      <c r="E55">
        <v>3</v>
      </c>
      <c r="F55">
        <f ca="1">SUMIF(tables_503103!J:J,input_503103!E55,tables_503103!O:O)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SUMIF(tables_503103!C:C,input_503103!A56,tables_503103!O:O)</f>
        <v>354020.47999999975</v>
      </c>
      <c r="C56" s="46">
        <f t="shared" ca="1" si="11"/>
        <v>0.93608664382112783</v>
      </c>
      <c r="E56">
        <v>4</v>
      </c>
      <c r="F56">
        <f ca="1">SUMIF(tables_503103!J:J,input_503103!E56,tables_503103!O:O)</f>
        <v>1764000.000050002</v>
      </c>
      <c r="G56">
        <f ca="1">F56/A51</f>
        <v>0.90000000002551128</v>
      </c>
      <c r="H56" s="47">
        <f>B18+B20+B22+B25+B27+B30+B33+B35+B37+B40+B42+B45</f>
        <v>0.89999999994387647</v>
      </c>
    </row>
    <row r="57" spans="1:8" x14ac:dyDescent="0.15">
      <c r="A57" s="27" t="s">
        <v>90</v>
      </c>
      <c r="B57">
        <f ca="1">SUMIF(tables_503103!C:C,input_503103!A57,tables_503103!O:O)</f>
        <v>12672.000000000004</v>
      </c>
      <c r="C57" s="46">
        <f t="shared" ca="1" si="11"/>
        <v>3.3506790201802292E-2</v>
      </c>
      <c r="E57">
        <v>5</v>
      </c>
      <c r="F57">
        <f ca="1">SUMIF(tables_503103!J:J,input_503103!E57,tables_503103!O:O)</f>
        <v>195999.99999999997</v>
      </c>
      <c r="G57">
        <f ca="1">F57/A51</f>
        <v>9.9999999999999992E-2</v>
      </c>
      <c r="H57" s="47">
        <f>B21+B23+B26+B28+B29+B31+B36+B38+B41+B43+B44+B46</f>
        <v>0.10000000004081638</v>
      </c>
    </row>
    <row r="58" spans="1:8" x14ac:dyDescent="0.15">
      <c r="A58" s="27" t="s">
        <v>94</v>
      </c>
      <c r="B58">
        <f>SUMIF(tables_503103!C:C,input_503103!A58,tables_503103!O:O)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SUMIF(tables_503103!C:C,input_503103!A59,tables_503103!O:O)</f>
        <v>10091.520000000011</v>
      </c>
      <c r="C59" s="46">
        <f t="shared" ca="1" si="11"/>
        <v>2.6683589287980754E-2</v>
      </c>
      <c r="E59" t="s">
        <v>37</v>
      </c>
      <c r="F59" s="47"/>
    </row>
    <row r="60" spans="1:8" x14ac:dyDescent="0.15">
      <c r="A60" s="27" t="s">
        <v>91</v>
      </c>
      <c r="B60">
        <f ca="1">SUMIF(tables_503103!C:C,input_503103!A60,tables_503103!O:O)</f>
        <v>1408.0000000000002</v>
      </c>
      <c r="C60" s="46">
        <f t="shared" ca="1" si="11"/>
        <v>3.7229766890891428E-3</v>
      </c>
      <c r="E60" t="s">
        <v>190</v>
      </c>
      <c r="F60" s="47">
        <f ca="1">SUMIF(tables_503103!I:I,input_503103!E60,tables_503103!P:P)</f>
        <v>0.23397142859097034</v>
      </c>
    </row>
    <row r="61" spans="1:8" x14ac:dyDescent="0.15">
      <c r="A61" s="27" t="s">
        <v>92</v>
      </c>
      <c r="B61">
        <f>SUMIF(tables_503103!C:C,input_503103!A61,tables_503103!O:O)</f>
        <v>0</v>
      </c>
      <c r="C61" s="46">
        <f t="shared" ca="1" si="11"/>
        <v>0</v>
      </c>
      <c r="E61" t="s">
        <v>191</v>
      </c>
      <c r="F61" s="47">
        <f ca="1">SUMIF(tables_503103!I:I,input_503103!E61,tables_503103!P:P)</f>
        <v>0.18316014962798077</v>
      </c>
    </row>
    <row r="62" spans="1:8" x14ac:dyDescent="0.15">
      <c r="A62" s="33" t="s">
        <v>42</v>
      </c>
      <c r="B62">
        <f ca="1">SUM(B55:B61)</f>
        <v>378191.99999999977</v>
      </c>
      <c r="C62" s="47">
        <f ca="1">SUM(C55:C61)</f>
        <v>1</v>
      </c>
      <c r="E62" t="s">
        <v>192</v>
      </c>
      <c r="F62" s="47">
        <f ca="1">SUMIF(tables_503103!I:I,input_503103!E62,tables_503103!P:P)</f>
        <v>0.52686842178247817</v>
      </c>
    </row>
    <row r="63" spans="1:8" x14ac:dyDescent="0.15">
      <c r="E63" t="s">
        <v>193</v>
      </c>
      <c r="F63" s="47">
        <f ca="1">SUMIF(tables_503103!I:I,input_503103!E63,tables_503103!P:P)</f>
        <v>4.5599795917204082E-2</v>
      </c>
      <c r="G63" s="86">
        <f ca="1">0.05-F63-F64</f>
        <v>1.2755161510336066E-12</v>
      </c>
    </row>
    <row r="64" spans="1:8" x14ac:dyDescent="0.15">
      <c r="E64" t="s">
        <v>252</v>
      </c>
      <c r="F64" s="47">
        <f ca="1">SUMIF(tables_503103!I:I,input_503103!E64,tables_503103!P:P)</f>
        <v>4.4002040815204046E-3</v>
      </c>
      <c r="G64">
        <v>6.4284081253390456E-3</v>
      </c>
    </row>
    <row r="65" spans="5:6" x14ac:dyDescent="0.15">
      <c r="E65" t="s">
        <v>251</v>
      </c>
      <c r="F65" s="47">
        <f ca="1">SUMIF(tables_503103!I:I,input_503103!E65,tables_503103!P:P)</f>
        <v>5.999999999846942E-3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46"/>
  <sheetViews>
    <sheetView showGridLines="0" workbookViewId="0">
      <pane ySplit="1" topLeftCell="A328" activePane="bottomLeft" state="frozen"/>
      <selection activeCell="L296" sqref="L296"/>
      <selection pane="bottomLeft" activeCell="F358" sqref="F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input_503103!A$2</f>
        <v>503103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IFERROR(VLOOKUP(B2,input_503103!L:R,7,FALSE),VLOOKUP(tables_503103!C2,input_503103!A:H,8,FALSE))</f>
        <v>0</v>
      </c>
      <c r="P2" s="40">
        <f ca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input_503103!A$2</f>
        <v>503103</v>
      </c>
      <c r="B3" s="6">
        <v>127</v>
      </c>
      <c r="C3" s="7" t="str">
        <f t="shared" si="0"/>
        <v>PremiumW4color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2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IFERROR(VLOOKUP(B3,input_503103!L:R,7,FALSE),VLOOKUP(tables_503103!C3,input_503103!A:H,8,FALSE))</f>
        <v>54096</v>
      </c>
      <c r="P3" s="40">
        <f ca="1">O3/SUM(O:O)</f>
        <v>2.7599999999295934E-2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input_503103!A$2</f>
        <v>503103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IFERROR(VLOOKUP(B4,input_503103!L:R,7,FALSE),VLOOKUP(tables_503103!C4,input_503103!A:H,8,FALSE))</f>
        <v>0</v>
      </c>
      <c r="P4" s="40">
        <f ca="1">O4/SUM(O:O)</f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input_503103!A$2</f>
        <v>503103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IFERROR(VLOOKUP(B5,input_503103!L:R,7,FALSE),VLOOKUP(tables_503103!C5,input_503103!A:H,8,FALSE))</f>
        <v>11879.46667</v>
      </c>
      <c r="P5" s="40">
        <f ca="1">O5/SUM(O:O)</f>
        <v>6.0609523824984484E-3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input_503103!A$2</f>
        <v>503103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IFERROR(VLOOKUP(B6,input_503103!L:R,7,FALSE),VLOOKUP(tables_503103!C6,input_503103!A:H,8,FALSE))</f>
        <v>0</v>
      </c>
      <c r="P6" s="40">
        <f ca="1">O6/SUM(O:O)</f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input_503103!A$2</f>
        <v>503103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IFERROR(VLOOKUP(B7,input_503103!L:R,7,FALSE),VLOOKUP(tables_503103!C7,input_503103!A:H,8,FALSE))</f>
        <v>11879.46667</v>
      </c>
      <c r="P7" s="40">
        <f ca="1">O7/SUM(O:O)</f>
        <v>6.0609523824984484E-3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input_503103!A$2</f>
        <v>503103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IFERROR(VLOOKUP(B8,input_503103!L:R,7,FALSE),VLOOKUP(tables_503103!C8,input_503103!A:H,8,FALSE))</f>
        <v>0</v>
      </c>
      <c r="P8" s="40">
        <f ca="1">O8/SUM(O:O)</f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input_503103!A$2</f>
        <v>503103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IFERROR(VLOOKUP(B9,input_503103!L:R,7,FALSE),VLOOKUP(tables_503103!C9,input_503103!A:H,8,FALSE))</f>
        <v>11879.46667</v>
      </c>
      <c r="P9" s="40">
        <f ca="1">O9/SUM(O:O)</f>
        <v>6.0609523824984484E-3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input_503103!A$2</f>
        <v>503103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2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IFERROR(VLOOKUP(B10,input_503103!L:R,7,FALSE),VLOOKUP(tables_503103!C10,input_503103!A:H,8,FALSE))</f>
        <v>0</v>
      </c>
      <c r="P10" s="40">
        <f ca="1">O10/SUM(O:O)</f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input_503103!A$2</f>
        <v>503103</v>
      </c>
      <c r="B11" s="8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2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IFERROR(VLOOKUP(B11,input_503103!L:R,7,FALSE),VLOOKUP(tables_503103!C11,input_503103!A:H,8,FALSE))</f>
        <v>54096</v>
      </c>
      <c r="P11" s="40">
        <f ca="1">O11/SUM(O:O)</f>
        <v>2.7599999999295934E-2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input_503103!A$2</f>
        <v>503103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IFERROR(VLOOKUP(B12,input_503103!L:R,7,FALSE),VLOOKUP(tables_503103!C12,input_503103!A:H,8,FALSE))</f>
        <v>0</v>
      </c>
      <c r="P12" s="40">
        <f ca="1">O12/SUM(O:O)</f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input_503103!A$2</f>
        <v>503103</v>
      </c>
      <c r="B13" s="6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IFERROR(VLOOKUP(B13,input_503103!L:R,7,FALSE),VLOOKUP(tables_503103!C13,input_503103!A:H,8,FALSE))</f>
        <v>11879.46667</v>
      </c>
      <c r="P13" s="40">
        <f ca="1">O13/SUM(O:O)</f>
        <v>6.0609523824984484E-3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input_503103!A$2</f>
        <v>503103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IFERROR(VLOOKUP(B14,input_503103!L:R,7,FALSE),VLOOKUP(tables_503103!C14,input_503103!A:H,8,FALSE))</f>
        <v>0</v>
      </c>
      <c r="P14" s="40">
        <f ca="1">O14/SUM(O:O)</f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input_503103!A$2</f>
        <v>503103</v>
      </c>
      <c r="B15" s="10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IFERROR(VLOOKUP(B15,input_503103!L:R,7,FALSE),VLOOKUP(tables_503103!C15,input_503103!A:H,8,FALSE))</f>
        <v>11879.46667</v>
      </c>
      <c r="P15" s="40">
        <f ca="1">O15/SUM(O:O)</f>
        <v>6.0609523824984484E-3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input_503103!A$2</f>
        <v>503103</v>
      </c>
      <c r="B16" s="11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IFERROR(VLOOKUP(B16,input_503103!L:R,7,FALSE),VLOOKUP(tables_503103!C16,input_503103!A:H,8,FALSE))</f>
        <v>0</v>
      </c>
      <c r="P16" s="40">
        <f ca="1">O16/SUM(O:O)</f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input_503103!A$2</f>
        <v>503103</v>
      </c>
      <c r="B17" s="6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IFERROR(VLOOKUP(B17,input_503103!L:R,7,FALSE),VLOOKUP(tables_503103!C17,input_503103!A:H,8,FALSE))</f>
        <v>11879.46667</v>
      </c>
      <c r="P17" s="40">
        <f ca="1">O17/SUM(O:O)</f>
        <v>6.0609523824984484E-3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input_503103!A$2</f>
        <v>503103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2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IFERROR(VLOOKUP(B18,input_503103!L:R,7,FALSE),VLOOKUP(tables_503103!C18,input_503103!A:H,8,FALSE))</f>
        <v>0</v>
      </c>
      <c r="P18" s="40">
        <f ca="1">O18/SUM(O:O)</f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input_503103!A$2</f>
        <v>503103</v>
      </c>
      <c r="B19" s="10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2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IFERROR(VLOOKUP(B19,input_503103!L:R,7,FALSE),VLOOKUP(tables_503103!C19,input_503103!A:H,8,FALSE))</f>
        <v>54096</v>
      </c>
      <c r="P19" s="40">
        <f ca="1">O19/SUM(O:O)</f>
        <v>2.7599999999295934E-2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input_503103!A$2</f>
        <v>503103</v>
      </c>
      <c r="B20" s="6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IFERROR(VLOOKUP(B20,input_503103!L:R,7,FALSE),VLOOKUP(tables_503103!C20,input_503103!A:H,8,FALSE))</f>
        <v>0</v>
      </c>
      <c r="P20" s="40">
        <f ca="1">O20/SUM(O:O)</f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input_503103!A$2</f>
        <v>503103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IFERROR(VLOOKUP(B21,input_503103!L:R,7,FALSE),VLOOKUP(tables_503103!C21,input_503103!A:H,8,FALSE))</f>
        <v>11879.46667</v>
      </c>
      <c r="P21" s="40">
        <f ca="1">O21/SUM(O:O)</f>
        <v>6.0609523824984484E-3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input_503103!A$2</f>
        <v>503103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IFERROR(VLOOKUP(B22,input_503103!L:R,7,FALSE),VLOOKUP(tables_503103!C22,input_503103!A:H,8,FALSE))</f>
        <v>0</v>
      </c>
      <c r="P22" s="40">
        <f ca="1">O22/SUM(O:O)</f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input_503103!A$2</f>
        <v>503103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IFERROR(VLOOKUP(B23,input_503103!L:R,7,FALSE),VLOOKUP(tables_503103!C23,input_503103!A:H,8,FALSE))</f>
        <v>11879.46667</v>
      </c>
      <c r="P23" s="40">
        <f ca="1">O23/SUM(O:O)</f>
        <v>6.0609523824984484E-3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input_503103!A$2</f>
        <v>503103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IFERROR(VLOOKUP(B24,input_503103!L:R,7,FALSE),VLOOKUP(tables_503103!C24,input_503103!A:H,8,FALSE))</f>
        <v>0</v>
      </c>
      <c r="P24" s="40">
        <f ca="1">O24/SUM(O:O)</f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input_503103!A$2</f>
        <v>503103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IFERROR(VLOOKUP(B25,input_503103!L:R,7,FALSE),VLOOKUP(tables_503103!C25,input_503103!A:H,8,FALSE))</f>
        <v>11879.46667</v>
      </c>
      <c r="P25" s="40">
        <f ca="1">O25/SUM(O:O)</f>
        <v>6.0609523824984484E-3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input_503103!A$2</f>
        <v>503103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2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IFERROR(VLOOKUP(B26,input_503103!L:R,7,FALSE),VLOOKUP(tables_503103!C26,input_503103!A:H,8,FALSE))</f>
        <v>0</v>
      </c>
      <c r="P26" s="40">
        <f ca="1">O26/SUM(O:O)</f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input_503103!A$2</f>
        <v>503103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2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IFERROR(VLOOKUP(B27,input_503103!L:R,7,FALSE),VLOOKUP(tables_503103!C27,input_503103!A:H,8,FALSE))</f>
        <v>54096</v>
      </c>
      <c r="P27" s="40">
        <f ca="1">O27/SUM(O:O)</f>
        <v>2.7599999999295934E-2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input_503103!A$2</f>
        <v>503103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IFERROR(VLOOKUP(B28,input_503103!L:R,7,FALSE),VLOOKUP(tables_503103!C28,input_503103!A:H,8,FALSE))</f>
        <v>0</v>
      </c>
      <c r="P28" s="40">
        <f ca="1">O28/SUM(O:O)</f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input_503103!A$2</f>
        <v>503103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IFERROR(VLOOKUP(B29,input_503103!L:R,7,FALSE),VLOOKUP(tables_503103!C29,input_503103!A:H,8,FALSE))</f>
        <v>11879.46667</v>
      </c>
      <c r="P29" s="40">
        <f ca="1">O29/SUM(O:O)</f>
        <v>6.0609523824984484E-3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input_503103!A$2</f>
        <v>503103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IFERROR(VLOOKUP(B30,input_503103!L:R,7,FALSE),VLOOKUP(tables_503103!C30,input_503103!A:H,8,FALSE))</f>
        <v>0</v>
      </c>
      <c r="P30" s="40">
        <f ca="1">O30/SUM(O:O)</f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input_503103!A$2</f>
        <v>503103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IFERROR(VLOOKUP(B31,input_503103!L:R,7,FALSE),VLOOKUP(tables_503103!C31,input_503103!A:H,8,FALSE))</f>
        <v>11879.46667</v>
      </c>
      <c r="P31" s="40">
        <f ca="1">O31/SUM(O:O)</f>
        <v>6.0609523824984484E-3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input_503103!A$2</f>
        <v>503103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2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IFERROR(VLOOKUP(B32,input_503103!L:R,7,FALSE),VLOOKUP(tables_503103!C32,input_503103!A:H,8,FALSE))</f>
        <v>0</v>
      </c>
      <c r="P32" s="40">
        <f ca="1">O32/SUM(O:O)</f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input_503103!A$2</f>
        <v>503103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2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IFERROR(VLOOKUP(B33,input_503103!L:R,7,FALSE),VLOOKUP(tables_503103!C33,input_503103!A:H,8,FALSE))</f>
        <v>11879.46667</v>
      </c>
      <c r="P33" s="40">
        <f ca="1">O33/SUM(O:O)</f>
        <v>6.0609523824984484E-3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input_503103!A$2</f>
        <v>503103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2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IFERROR(VLOOKUP(B34,input_503103!L:R,7,FALSE),VLOOKUP(tables_503103!C34,input_503103!A:H,8,FALSE))</f>
        <v>0</v>
      </c>
      <c r="P34" s="40">
        <f ca="1">O34/SUM(O:O)</f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input_503103!A$2</f>
        <v>503103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2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IFERROR(VLOOKUP(B35,input_503103!L:R,7,FALSE),VLOOKUP(tables_503103!C35,input_503103!A:H,8,FALSE))</f>
        <v>54096</v>
      </c>
      <c r="P35" s="40">
        <f ca="1">O35/SUM(O:O)</f>
        <v>2.7599999999295934E-2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input_503103!A$2</f>
        <v>503103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2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IFERROR(VLOOKUP(B36,input_503103!L:R,7,FALSE),VLOOKUP(tables_503103!C36,input_503103!A:H,8,FALSE))</f>
        <v>0</v>
      </c>
      <c r="P36" s="40">
        <f ca="1">O36/SUM(O:O)</f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input_503103!A$2</f>
        <v>503103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2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IFERROR(VLOOKUP(B37,input_503103!L:R,7,FALSE),VLOOKUP(tables_503103!C37,input_503103!A:H,8,FALSE))</f>
        <v>11879.46667</v>
      </c>
      <c r="P37" s="40">
        <f ca="1">O37/SUM(O:O)</f>
        <v>6.0609523824984484E-3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input_503103!A$2</f>
        <v>503103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2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IFERROR(VLOOKUP(B38,input_503103!L:R,7,FALSE),VLOOKUP(tables_503103!C38,input_503103!A:H,8,FALSE))</f>
        <v>0</v>
      </c>
      <c r="P38" s="40">
        <f ca="1">O38/SUM(O:O)</f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input_503103!A$2</f>
        <v>503103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2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IFERROR(VLOOKUP(B39,input_503103!L:R,7,FALSE),VLOOKUP(tables_503103!C39,input_503103!A:H,8,FALSE))</f>
        <v>11879.46667</v>
      </c>
      <c r="P39" s="40">
        <f ca="1">O39/SUM(O:O)</f>
        <v>6.0609523824984484E-3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input_503103!A$2</f>
        <v>503103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2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IFERROR(VLOOKUP(B40,input_503103!L:R,7,FALSE),VLOOKUP(tables_503103!C40,input_503103!A:H,8,FALSE))</f>
        <v>0</v>
      </c>
      <c r="P40" s="40">
        <f ca="1">O40/SUM(O:O)</f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input_503103!A$2</f>
        <v>503103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2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IFERROR(VLOOKUP(B41,input_503103!L:R,7,FALSE),VLOOKUP(tables_503103!C41,input_503103!A:H,8,FALSE))</f>
        <v>11879.46667</v>
      </c>
      <c r="P41" s="40">
        <f ca="1">O41/SUM(O:O)</f>
        <v>6.0609523824984484E-3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input_503103!A$2</f>
        <v>503103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2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IFERROR(VLOOKUP(B42,input_503103!L:R,7,FALSE),VLOOKUP(tables_503103!C42,input_503103!A:H,8,FALSE))</f>
        <v>0</v>
      </c>
      <c r="P42" s="40">
        <f ca="1">O42/SUM(O:O)</f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input_503103!A$2</f>
        <v>503103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2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IFERROR(VLOOKUP(B43,input_503103!L:R,7,FALSE),VLOOKUP(tables_503103!C43,input_503103!A:H,8,FALSE))</f>
        <v>41630.400000000001</v>
      </c>
      <c r="P43" s="40">
        <f ca="1">O43/SUM(O:O)</f>
        <v>2.1239999999458175E-2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input_503103!A$2</f>
        <v>503103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2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IFERROR(VLOOKUP(B44,input_503103!L:R,7,FALSE),VLOOKUP(tables_503103!C44,input_503103!A:H,8,FALSE))</f>
        <v>4625.6000000000004</v>
      </c>
      <c r="P44" s="40">
        <f ca="1">O44/SUM(O:O)</f>
        <v>2.3599999999397974E-3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input_503103!A$2</f>
        <v>503103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2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IFERROR(VLOOKUP(B45,input_503103!L:R,7,FALSE),VLOOKUP(tables_503103!C45,input_503103!A:H,8,FALSE))</f>
        <v>0</v>
      </c>
      <c r="P45" s="40">
        <f ca="1">O45/SUM(O:O)</f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input_503103!A$2</f>
        <v>503103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2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IFERROR(VLOOKUP(B46,input_503103!L:R,7,FALSE),VLOOKUP(tables_503103!C46,input_503103!A:H,8,FALSE))</f>
        <v>9515.52</v>
      </c>
      <c r="P46" s="40">
        <f ca="1">O46/SUM(O:O)</f>
        <v>4.8548571427332972E-3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input_503103!A$2</f>
        <v>503103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2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IFERROR(VLOOKUP(B47,input_503103!L:R,7,FALSE),VLOOKUP(tables_503103!C47,input_503103!A:H,8,FALSE))</f>
        <v>1057.28</v>
      </c>
      <c r="P47" s="40">
        <f ca="1">O47/SUM(O:O)</f>
        <v>5.3942857141481076E-4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input_503103!A$2</f>
        <v>503103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2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IFERROR(VLOOKUP(B48,input_503103!L:R,7,FALSE),VLOOKUP(tables_503103!C48,input_503103!A:H,8,FALSE))</f>
        <v>0</v>
      </c>
      <c r="P48" s="40">
        <f ca="1">O48/SUM(O:O)</f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input_503103!A$2</f>
        <v>503103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2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IFERROR(VLOOKUP(B49,input_503103!L:R,7,FALSE),VLOOKUP(tables_503103!C49,input_503103!A:H,8,FALSE))</f>
        <v>9515.52</v>
      </c>
      <c r="P49" s="40">
        <f ca="1">O49/SUM(O:O)</f>
        <v>4.8548571427332972E-3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input_503103!A$2</f>
        <v>503103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2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IFERROR(VLOOKUP(B50,input_503103!L:R,7,FALSE),VLOOKUP(tables_503103!C50,input_503103!A:H,8,FALSE))</f>
        <v>1057.28</v>
      </c>
      <c r="P50" s="40">
        <f ca="1">O50/SUM(O:O)</f>
        <v>5.3942857141481076E-4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input_503103!A$2</f>
        <v>503103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2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IFERROR(VLOOKUP(B51,input_503103!L:R,7,FALSE),VLOOKUP(tables_503103!C51,input_503103!A:H,8,FALSE))</f>
        <v>0</v>
      </c>
      <c r="P51" s="40">
        <f ca="1">O51/SUM(O:O)</f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input_503103!A$2</f>
        <v>503103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2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IFERROR(VLOOKUP(B52,input_503103!L:R,7,FALSE),VLOOKUP(tables_503103!C52,input_503103!A:H,8,FALSE))</f>
        <v>8850.5120000000006</v>
      </c>
      <c r="P52" s="40">
        <f ca="1">O52/SUM(O:O)</f>
        <v>4.5155673468235853E-3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input_503103!A$2</f>
        <v>503103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2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IFERROR(VLOOKUP(B53,input_503103!L:R,7,FALSE),VLOOKUP(tables_503103!C53,input_503103!A:H,8,FALSE))</f>
        <v>252.28800000000001</v>
      </c>
      <c r="P53" s="40">
        <f ca="1">O53/SUM(O:O)</f>
        <v>1.2871836734365522E-4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input_503103!A$2</f>
        <v>503103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2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IFERROR(VLOOKUP(B54,input_503103!L:R,7,FALSE),VLOOKUP(tables_503103!C54,input_503103!A:H,8,FALSE))</f>
        <v>0</v>
      </c>
      <c r="P54" s="40">
        <f ca="1">O54/SUM(O:O)</f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input_503103!A$2</f>
        <v>503103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2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IFERROR(VLOOKUP(B55,input_503103!L:R,7,FALSE),VLOOKUP(tables_503103!C55,input_503103!A:H,8,FALSE))</f>
        <v>38688.373319999999</v>
      </c>
      <c r="P55" s="40">
        <f ca="1">O55/SUM(O:O)</f>
        <v>1.9738965979088301E-2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input_503103!A$2</f>
        <v>503103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2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IFERROR(VLOOKUP(B56,input_503103!L:R,7,FALSE),VLOOKUP(tables_503103!C56,input_503103!A:H,8,FALSE))</f>
        <v>4625.6000000000004</v>
      </c>
      <c r="P56" s="40">
        <f ca="1">O56/SUM(O:O)</f>
        <v>2.3599999999397974E-3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input_503103!A$2</f>
        <v>503103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2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IFERROR(VLOOKUP(B57,input_503103!L:R,7,FALSE),VLOOKUP(tables_503103!C57,input_503103!A:H,8,FALSE))</f>
        <v>0</v>
      </c>
      <c r="P57" s="40">
        <f ca="1">O57/SUM(O:O)</f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input_503103!A$2</f>
        <v>503103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2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IFERROR(VLOOKUP(B58,input_503103!L:R,7,FALSE),VLOOKUP(tables_503103!C58,input_503103!A:H,8,FALSE))</f>
        <v>8850.5120000000006</v>
      </c>
      <c r="P58" s="40">
        <f ca="1">O58/SUM(O:O)</f>
        <v>4.5155673468235853E-3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input_503103!A$2</f>
        <v>503103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2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IFERROR(VLOOKUP(B59,input_503103!L:R,7,FALSE),VLOOKUP(tables_503103!C59,input_503103!A:H,8,FALSE))</f>
        <v>252.28800000000001</v>
      </c>
      <c r="P59" s="40">
        <f ca="1">O59/SUM(O:O)</f>
        <v>1.2871836734365522E-4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input_503103!A$2</f>
        <v>503103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2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IFERROR(VLOOKUP(B60,input_503103!L:R,7,FALSE),VLOOKUP(tables_503103!C60,input_503103!A:H,8,FALSE))</f>
        <v>0</v>
      </c>
      <c r="P60" s="40">
        <f ca="1">O60/SUM(O:O)</f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input_503103!A$2</f>
        <v>503103</v>
      </c>
      <c r="B61" s="8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2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IFERROR(VLOOKUP(B61,input_503103!L:R,7,FALSE),VLOOKUP(tables_503103!C61,input_503103!A:H,8,FALSE))</f>
        <v>8850.5120000000006</v>
      </c>
      <c r="P61" s="40">
        <f ca="1">O61/SUM(O:O)</f>
        <v>4.5155673468235853E-3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input_503103!A$2</f>
        <v>503103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2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IFERROR(VLOOKUP(B62,input_503103!L:R,7,FALSE),VLOOKUP(tables_503103!C62,input_503103!A:H,8,FALSE))</f>
        <v>252.28800000000001</v>
      </c>
      <c r="P62" s="40">
        <f ca="1">O62/SUM(O:O)</f>
        <v>1.2871836734365522E-4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input_503103!A$2</f>
        <v>503103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2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IFERROR(VLOOKUP(B63,input_503103!L:R,7,FALSE),VLOOKUP(tables_503103!C63,input_503103!A:H,8,FALSE))</f>
        <v>0</v>
      </c>
      <c r="P63" s="40">
        <f ca="1">O63/SUM(O:O)</f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input_503103!A$2</f>
        <v>503103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2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IFERROR(VLOOKUP(B64,input_503103!L:R,7,FALSE),VLOOKUP(tables_503103!C64,input_503103!A:H,8,FALSE))</f>
        <v>8850.5120000000006</v>
      </c>
      <c r="P64" s="40">
        <f ca="1">O64/SUM(O:O)</f>
        <v>4.5155673468235853E-3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input_503103!A$2</f>
        <v>503103</v>
      </c>
      <c r="B65" s="6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2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IFERROR(VLOOKUP(B65,input_503103!L:R,7,FALSE),VLOOKUP(tables_503103!C65,input_503103!A:H,8,FALSE))</f>
        <v>252.28800000000001</v>
      </c>
      <c r="P65" s="40">
        <f ca="1">O65/SUM(O:O)</f>
        <v>1.2871836734365522E-4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input_503103!A$2</f>
        <v>503103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2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IFERROR(VLOOKUP(B66,input_503103!L:R,7,FALSE),VLOOKUP(tables_503103!C66,input_503103!A:H,8,FALSE))</f>
        <v>0</v>
      </c>
      <c r="P66" s="40">
        <f ca="1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input_503103!A$2</f>
        <v>503103</v>
      </c>
      <c r="B67" s="6">
        <v>191</v>
      </c>
      <c r="C67" s="7" t="str">
        <f t="shared" si="3"/>
        <v>Premium4color</v>
      </c>
      <c r="D67" s="7" t="str">
        <f t="shared" ref="D67:D130" si="4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5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IFERROR(VLOOKUP(B67,input_503103!L:R,7,FALSE),VLOOKUP(tables_503103!C67,input_503103!A:H,8,FALSE))</f>
        <v>38688.373319999999</v>
      </c>
      <c r="P67" s="40">
        <f ca="1">O67/SUM(O:O)</f>
        <v>1.9738965979088301E-2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input_503103!A$2</f>
        <v>503103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5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IFERROR(VLOOKUP(B68,input_503103!L:R,7,FALSE),VLOOKUP(tables_503103!C68,input_503103!A:H,8,FALSE))</f>
        <v>4625.6000000000004</v>
      </c>
      <c r="P68" s="40">
        <f ca="1">O68/SUM(O:O)</f>
        <v>2.3599999999397974E-3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input_503103!A$2</f>
        <v>503103</v>
      </c>
      <c r="B69" s="10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5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IFERROR(VLOOKUP(B69,input_503103!L:R,7,FALSE),VLOOKUP(tables_503103!C69,input_503103!A:H,8,FALSE))</f>
        <v>0</v>
      </c>
      <c r="P69" s="40">
        <f ca="1">O69/SUM(O:O)</f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input_503103!A$2</f>
        <v>503103</v>
      </c>
      <c r="B70" s="6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5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IFERROR(VLOOKUP(B70,input_503103!L:R,7,FALSE),VLOOKUP(tables_503103!C70,input_503103!A:H,8,FALSE))</f>
        <v>8850.5120000000006</v>
      </c>
      <c r="P70" s="40">
        <f ca="1">O70/SUM(O:O)</f>
        <v>4.5155673468235853E-3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input_503103!A$2</f>
        <v>503103</v>
      </c>
      <c r="B71" s="10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5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IFERROR(VLOOKUP(B71,input_503103!L:R,7,FALSE),VLOOKUP(tables_503103!C71,input_503103!A:H,8,FALSE))</f>
        <v>252.28800000000001</v>
      </c>
      <c r="P71" s="40">
        <f ca="1">O71/SUM(O:O)</f>
        <v>1.2871836734365522E-4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input_503103!A$2</f>
        <v>503103</v>
      </c>
      <c r="B72" s="11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5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IFERROR(VLOOKUP(B72,input_503103!L:R,7,FALSE),VLOOKUP(tables_503103!C72,input_503103!A:H,8,FALSE))</f>
        <v>0</v>
      </c>
      <c r="P72" s="40">
        <f ca="1">O72/SUM(O:O)</f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input_503103!A$2</f>
        <v>503103</v>
      </c>
      <c r="B73" s="6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5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IFERROR(VLOOKUP(B73,input_503103!L:R,7,FALSE),VLOOKUP(tables_503103!C73,input_503103!A:H,8,FALSE))</f>
        <v>8850.5120000000006</v>
      </c>
      <c r="P73" s="40">
        <f ca="1">O73/SUM(O:O)</f>
        <v>4.5155673468235853E-3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input_503103!A$2</f>
        <v>503103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5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IFERROR(VLOOKUP(B74,input_503103!L:R,7,FALSE),VLOOKUP(tables_503103!C74,input_503103!A:H,8,FALSE))</f>
        <v>252.28800000000001</v>
      </c>
      <c r="P74" s="40">
        <f ca="1">O74/SUM(O:O)</f>
        <v>1.2871836734365522E-4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input_503103!A$2</f>
        <v>503103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5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IFERROR(VLOOKUP(B75,input_503103!L:R,7,FALSE),VLOOKUP(tables_503103!C75,input_503103!A:H,8,FALSE))</f>
        <v>0</v>
      </c>
      <c r="P75" s="40">
        <f ca="1">O75/SUM(O:O)</f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input_503103!A$2</f>
        <v>503103</v>
      </c>
      <c r="B76" s="5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5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IFERROR(VLOOKUP(B76,input_503103!L:R,7,FALSE),VLOOKUP(tables_503103!C76,input_503103!A:H,8,FALSE))</f>
        <v>8850.5120000000006</v>
      </c>
      <c r="P76" s="40">
        <f ca="1">O76/SUM(O:O)</f>
        <v>4.5155673468235853E-3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input_503103!A$2</f>
        <v>503103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5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IFERROR(VLOOKUP(B77,input_503103!L:R,7,FALSE),VLOOKUP(tables_503103!C77,input_503103!A:H,8,FALSE))</f>
        <v>252.28800000000001</v>
      </c>
      <c r="P77" s="40">
        <f ca="1">O77/SUM(O:O)</f>
        <v>1.2871836734365522E-4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input_503103!A$2</f>
        <v>503103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5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IFERROR(VLOOKUP(B78,input_503103!L:R,7,FALSE),VLOOKUP(tables_503103!C78,input_503103!A:H,8,FALSE))</f>
        <v>0</v>
      </c>
      <c r="P78" s="40">
        <f ca="1">O78/SUM(O:O)</f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input_503103!A$2</f>
        <v>503103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5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IFERROR(VLOOKUP(B79,input_503103!L:R,7,FALSE),VLOOKUP(tables_503103!C79,input_503103!A:H,8,FALSE))</f>
        <v>38688.373319999999</v>
      </c>
      <c r="P79" s="40">
        <f ca="1">O79/SUM(O:O)</f>
        <v>1.9738965979088301E-2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input_503103!A$2</f>
        <v>503103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5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IFERROR(VLOOKUP(B80,input_503103!L:R,7,FALSE),VLOOKUP(tables_503103!C80,input_503103!A:H,8,FALSE))</f>
        <v>4625.6000000000004</v>
      </c>
      <c r="P80" s="40">
        <f ca="1">O80/SUM(O:O)</f>
        <v>2.3599999999397974E-3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input_503103!A$2</f>
        <v>503103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5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IFERROR(VLOOKUP(B81,input_503103!L:R,7,FALSE),VLOOKUP(tables_503103!C81,input_503103!A:H,8,FALSE))</f>
        <v>0</v>
      </c>
      <c r="P81" s="40">
        <f ca="1">O81/SUM(O:O)</f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input_503103!A$2</f>
        <v>503103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5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IFERROR(VLOOKUP(B82,input_503103!L:R,7,FALSE),VLOOKUP(tables_503103!C82,input_503103!A:H,8,FALSE))</f>
        <v>8850.5120000000006</v>
      </c>
      <c r="P82" s="40">
        <f ca="1">O82/SUM(O:O)</f>
        <v>4.5155673468235853E-3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input_503103!A$2</f>
        <v>503103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5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IFERROR(VLOOKUP(B83,input_503103!L:R,7,FALSE),VLOOKUP(tables_503103!C83,input_503103!A:H,8,FALSE))</f>
        <v>252.28800000000001</v>
      </c>
      <c r="P83" s="40">
        <f ca="1">O83/SUM(O:O)</f>
        <v>1.2871836734365522E-4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input_503103!A$2</f>
        <v>503103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5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IFERROR(VLOOKUP(B84,input_503103!L:R,7,FALSE),VLOOKUP(tables_503103!C84,input_503103!A:H,8,FALSE))</f>
        <v>0</v>
      </c>
      <c r="P84" s="40">
        <f ca="1">O84/SUM(O:O)</f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input_503103!A$2</f>
        <v>503103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5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IFERROR(VLOOKUP(B85,input_503103!L:R,7,FALSE),VLOOKUP(tables_503103!C85,input_503103!A:H,8,FALSE))</f>
        <v>8850.5120000000006</v>
      </c>
      <c r="P85" s="40">
        <f ca="1">O85/SUM(O:O)</f>
        <v>4.5155673468235853E-3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input_503103!A$2</f>
        <v>503103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5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IFERROR(VLOOKUP(B86,input_503103!L:R,7,FALSE),VLOOKUP(tables_503103!C86,input_503103!A:H,8,FALSE))</f>
        <v>252.28800000000001</v>
      </c>
      <c r="P86" s="40">
        <f ca="1">O86/SUM(O:O)</f>
        <v>1.2871836734365522E-4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input_503103!A$2</f>
        <v>503103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5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IFERROR(VLOOKUP(B87,input_503103!L:R,7,FALSE),VLOOKUP(tables_503103!C87,input_503103!A:H,8,FALSE))</f>
        <v>0</v>
      </c>
      <c r="P87" s="40">
        <f ca="1">O87/SUM(O:O)</f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input_503103!A$2</f>
        <v>503103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5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IFERROR(VLOOKUP(B88,input_503103!L:R,7,FALSE),VLOOKUP(tables_503103!C88,input_503103!A:H,8,FALSE))</f>
        <v>8850.5120000000006</v>
      </c>
      <c r="P88" s="40">
        <f ca="1">O88/SUM(O:O)</f>
        <v>4.5155673468235853E-3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input_503103!A$2</f>
        <v>503103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5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IFERROR(VLOOKUP(B89,input_503103!L:R,7,FALSE),VLOOKUP(tables_503103!C89,input_503103!A:H,8,FALSE))</f>
        <v>252.28800000000001</v>
      </c>
      <c r="P89" s="40">
        <f ca="1">O89/SUM(O:O)</f>
        <v>1.2871836734365522E-4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input_503103!A$2</f>
        <v>503103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5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IFERROR(VLOOKUP(B90,input_503103!L:R,7,FALSE),VLOOKUP(tables_503103!C90,input_503103!A:H,8,FALSE))</f>
        <v>0</v>
      </c>
      <c r="P90" s="40">
        <f ca="1">O90/SUM(O:O)</f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input_503103!A$2</f>
        <v>503103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5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IFERROR(VLOOKUP(B91,input_503103!L:R,7,FALSE),VLOOKUP(tables_503103!C91,input_503103!A:H,8,FALSE))</f>
        <v>38688.373319999999</v>
      </c>
      <c r="P91" s="40">
        <f ca="1">O91/SUM(O:O)</f>
        <v>1.9738965979088301E-2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input_503103!A$2</f>
        <v>503103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5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IFERROR(VLOOKUP(B92,input_503103!L:R,7,FALSE),VLOOKUP(tables_503103!C92,input_503103!A:H,8,FALSE))</f>
        <v>4625.6000000000004</v>
      </c>
      <c r="P92" s="40">
        <f ca="1">O92/SUM(O:O)</f>
        <v>2.3599999999397974E-3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input_503103!A$2</f>
        <v>503103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5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IFERROR(VLOOKUP(B93,input_503103!L:R,7,FALSE),VLOOKUP(tables_503103!C93,input_503103!A:H,8,FALSE))</f>
        <v>0</v>
      </c>
      <c r="P93" s="40">
        <f ca="1">O93/SUM(O:O)</f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input_503103!A$2</f>
        <v>503103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5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IFERROR(VLOOKUP(B94,input_503103!L:R,7,FALSE),VLOOKUP(tables_503103!C94,input_503103!A:H,8,FALSE))</f>
        <v>8850.5120000000006</v>
      </c>
      <c r="P94" s="40">
        <f ca="1">O94/SUM(O:O)</f>
        <v>4.5155673468235853E-3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input_503103!A$2</f>
        <v>503103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5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IFERROR(VLOOKUP(B95,input_503103!L:R,7,FALSE),VLOOKUP(tables_503103!C95,input_503103!A:H,8,FALSE))</f>
        <v>252.28800000000001</v>
      </c>
      <c r="P95" s="40">
        <f ca="1">O95/SUM(O:O)</f>
        <v>1.2871836734365522E-4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input_503103!A$2</f>
        <v>503103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5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IFERROR(VLOOKUP(B96,input_503103!L:R,7,FALSE),VLOOKUP(tables_503103!C96,input_503103!A:H,8,FALSE))</f>
        <v>0</v>
      </c>
      <c r="P96" s="40">
        <f ca="1">O96/SUM(O:O)</f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input_503103!A$2</f>
        <v>503103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5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IFERROR(VLOOKUP(B97,input_503103!L:R,7,FALSE),VLOOKUP(tables_503103!C97,input_503103!A:H,8,FALSE))</f>
        <v>8850.5120000000006</v>
      </c>
      <c r="P97" s="40">
        <f ca="1">O97/SUM(O:O)</f>
        <v>4.5155673468235853E-3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input_503103!A$2</f>
        <v>503103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5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IFERROR(VLOOKUP(B98,input_503103!L:R,7,FALSE),VLOOKUP(tables_503103!C98,input_503103!A:H,8,FALSE))</f>
        <v>252.28800000000001</v>
      </c>
      <c r="P98" s="40">
        <f ca="1">O98/SUM(O:O)</f>
        <v>1.2871836734365522E-4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input_503103!A$2</f>
        <v>503103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5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IFERROR(VLOOKUP(B99,input_503103!L:R,7,FALSE),VLOOKUP(tables_503103!C99,input_503103!A:H,8,FALSE))</f>
        <v>0</v>
      </c>
      <c r="P99" s="40">
        <f ca="1">O99/SUM(O:O)</f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input_503103!A$2</f>
        <v>503103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5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IFERROR(VLOOKUP(B100,input_503103!L:R,7,FALSE),VLOOKUP(tables_503103!C100,input_503103!A:H,8,FALSE))</f>
        <v>8850.5120000000006</v>
      </c>
      <c r="P100" s="40">
        <f ca="1">O100/SUM(O:O)</f>
        <v>4.5155673468235853E-3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input_503103!A$2</f>
        <v>503103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5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IFERROR(VLOOKUP(B101,input_503103!L:R,7,FALSE),VLOOKUP(tables_503103!C101,input_503103!A:H,8,FALSE))</f>
        <v>252.28800000000001</v>
      </c>
      <c r="P101" s="40">
        <f ca="1">O101/SUM(O:O)</f>
        <v>1.2871836734365522E-4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input_503103!A$2</f>
        <v>503103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5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IFERROR(VLOOKUP(B102,input_503103!L:R,7,FALSE),VLOOKUP(tables_503103!C102,input_503103!A:H,8,FALSE))</f>
        <v>0</v>
      </c>
      <c r="P102" s="40">
        <f ca="1">O102/SUM(O:O)</f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input_503103!A$2</f>
        <v>503103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5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IFERROR(VLOOKUP(B103,input_503103!L:R,7,FALSE),VLOOKUP(tables_503103!C103,input_503103!A:H,8,FALSE))</f>
        <v>38688.373319999999</v>
      </c>
      <c r="P103" s="40">
        <f ca="1">O103/SUM(O:O)</f>
        <v>1.9738965979088301E-2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input_503103!A$2</f>
        <v>503103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5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IFERROR(VLOOKUP(B104,input_503103!L:R,7,FALSE),VLOOKUP(tables_503103!C104,input_503103!A:H,8,FALSE))</f>
        <v>4625.6000000000004</v>
      </c>
      <c r="P104" s="40">
        <f ca="1">O104/SUM(O:O)</f>
        <v>2.3599999999397974E-3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input_503103!A$2</f>
        <v>503103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5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IFERROR(VLOOKUP(B105,input_503103!L:R,7,FALSE),VLOOKUP(tables_503103!C105,input_503103!A:H,8,FALSE))</f>
        <v>0</v>
      </c>
      <c r="P105" s="40">
        <f ca="1">O105/SUM(O:O)</f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input_503103!A$2</f>
        <v>503103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5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IFERROR(VLOOKUP(B106,input_503103!L:R,7,FALSE),VLOOKUP(tables_503103!C106,input_503103!A:H,8,FALSE))</f>
        <v>8850.5120000000006</v>
      </c>
      <c r="P106" s="40">
        <f ca="1">O106/SUM(O:O)</f>
        <v>4.5155673468235853E-3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input_503103!A$2</f>
        <v>503103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5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IFERROR(VLOOKUP(B107,input_503103!L:R,7,FALSE),VLOOKUP(tables_503103!C107,input_503103!A:H,8,FALSE))</f>
        <v>252.28800000000001</v>
      </c>
      <c r="P107" s="40">
        <f ca="1">O107/SUM(O:O)</f>
        <v>1.2871836734365522E-4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input_503103!A$2</f>
        <v>503103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5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IFERROR(VLOOKUP(B108,input_503103!L:R,7,FALSE),VLOOKUP(tables_503103!C108,input_503103!A:H,8,FALSE))</f>
        <v>0</v>
      </c>
      <c r="P108" s="40">
        <f ca="1">O108/SUM(O:O)</f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input_503103!A$2</f>
        <v>503103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5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IFERROR(VLOOKUP(B109,input_503103!L:R,7,FALSE),VLOOKUP(tables_503103!C109,input_503103!A:H,8,FALSE))</f>
        <v>8850.5120000000006</v>
      </c>
      <c r="P109" s="40">
        <f ca="1">O109/SUM(O:O)</f>
        <v>4.5155673468235853E-3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input_503103!A$2</f>
        <v>503103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5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IFERROR(VLOOKUP(B110,input_503103!L:R,7,FALSE),VLOOKUP(tables_503103!C110,input_503103!A:H,8,FALSE))</f>
        <v>252.28800000000001</v>
      </c>
      <c r="P110" s="40">
        <f ca="1">O110/SUM(O:O)</f>
        <v>1.2871836734365522E-4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input_503103!A$2</f>
        <v>503103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5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IFERROR(VLOOKUP(B111,input_503103!L:R,7,FALSE),VLOOKUP(tables_503103!C111,input_503103!A:H,8,FALSE))</f>
        <v>0</v>
      </c>
      <c r="P111" s="40">
        <f ca="1">O111/SUM(O:O)</f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input_503103!A$2</f>
        <v>503103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5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IFERROR(VLOOKUP(B112,input_503103!L:R,7,FALSE),VLOOKUP(tables_503103!C112,input_503103!A:H,8,FALSE))</f>
        <v>9515.52</v>
      </c>
      <c r="P112" s="40">
        <f ca="1">O112/SUM(O:O)</f>
        <v>4.8548571427332972E-3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input_503103!A$2</f>
        <v>503103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5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IFERROR(VLOOKUP(B113,input_503103!L:R,7,FALSE),VLOOKUP(tables_503103!C113,input_503103!A:H,8,FALSE))</f>
        <v>1057.28</v>
      </c>
      <c r="P113" s="40">
        <f ca="1">O113/SUM(O:O)</f>
        <v>5.3942857141481076E-4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input_503103!A$2</f>
        <v>503103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5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IFERROR(VLOOKUP(B114,input_503103!L:R,7,FALSE),VLOOKUP(tables_503103!C114,input_503103!A:H,8,FALSE))</f>
        <v>0</v>
      </c>
      <c r="P114" s="40">
        <f ca="1">O114/SUM(O:O)</f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input_503103!A$2</f>
        <v>503103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5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IFERROR(VLOOKUP(B115,input_503103!L:R,7,FALSE),VLOOKUP(tables_503103!C115,input_503103!A:H,8,FALSE))</f>
        <v>38688.373319999999</v>
      </c>
      <c r="P115" s="40">
        <f ca="1">O115/SUM(O:O)</f>
        <v>1.9738965979088301E-2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input_503103!A$2</f>
        <v>503103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5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IFERROR(VLOOKUP(B116,input_503103!L:R,7,FALSE),VLOOKUP(tables_503103!C116,input_503103!A:H,8,FALSE))</f>
        <v>4625.6000000000004</v>
      </c>
      <c r="P116" s="40">
        <f ca="1">O116/SUM(O:O)</f>
        <v>2.3599999999397974E-3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input_503103!A$2</f>
        <v>503103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5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IFERROR(VLOOKUP(B117,input_503103!L:R,7,FALSE),VLOOKUP(tables_503103!C117,input_503103!A:H,8,FALSE))</f>
        <v>0</v>
      </c>
      <c r="P117" s="40">
        <f ca="1">O117/SUM(O:O)</f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input_503103!A$2</f>
        <v>503103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5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IFERROR(VLOOKUP(B118,input_503103!L:R,7,FALSE),VLOOKUP(tables_503103!C118,input_503103!A:H,8,FALSE))</f>
        <v>8850.5120000000006</v>
      </c>
      <c r="P118" s="40">
        <f ca="1">O118/SUM(O:O)</f>
        <v>4.5155673468235853E-3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input_503103!A$2</f>
        <v>503103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5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IFERROR(VLOOKUP(B119,input_503103!L:R,7,FALSE),VLOOKUP(tables_503103!C119,input_503103!A:H,8,FALSE))</f>
        <v>252.28800000000001</v>
      </c>
      <c r="P119" s="40">
        <f ca="1">O119/SUM(O:O)</f>
        <v>1.2871836734365522E-4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input_503103!A$2</f>
        <v>503103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5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IFERROR(VLOOKUP(B120,input_503103!L:R,7,FALSE),VLOOKUP(tables_503103!C120,input_503103!A:H,8,FALSE))</f>
        <v>0</v>
      </c>
      <c r="P120" s="40">
        <f ca="1">O120/SUM(O:O)</f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input_503103!A$2</f>
        <v>503103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5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IFERROR(VLOOKUP(B121,input_503103!L:R,7,FALSE),VLOOKUP(tables_503103!C121,input_503103!A:H,8,FALSE))</f>
        <v>8850.5120000000006</v>
      </c>
      <c r="P121" s="40">
        <f ca="1">O121/SUM(O:O)</f>
        <v>4.5155673468235853E-3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input_503103!A$2</f>
        <v>503103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5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IFERROR(VLOOKUP(B122,input_503103!L:R,7,FALSE),VLOOKUP(tables_503103!C122,input_503103!A:H,8,FALSE))</f>
        <v>252.28800000000001</v>
      </c>
      <c r="P122" s="40">
        <f ca="1">O122/SUM(O:O)</f>
        <v>1.2871836734365522E-4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input_503103!A$2</f>
        <v>503103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5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IFERROR(VLOOKUP(B123,input_503103!L:R,7,FALSE),VLOOKUP(tables_503103!C123,input_503103!A:H,8,FALSE))</f>
        <v>0</v>
      </c>
      <c r="P123" s="40">
        <f ca="1">O123/SUM(O:O)</f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input_503103!A$2</f>
        <v>503103</v>
      </c>
      <c r="B124" s="6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5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IFERROR(VLOOKUP(B124,input_503103!L:R,7,FALSE),VLOOKUP(tables_503103!C124,input_503103!A:H,8,FALSE))</f>
        <v>8850.5120000000006</v>
      </c>
      <c r="P124" s="40">
        <f ca="1">O124/SUM(O:O)</f>
        <v>4.5155673468235853E-3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input_503103!A$2</f>
        <v>503103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5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IFERROR(VLOOKUP(B125,input_503103!L:R,7,FALSE),VLOOKUP(tables_503103!C125,input_503103!A:H,8,FALSE))</f>
        <v>252.28800000000001</v>
      </c>
      <c r="P125" s="40">
        <f ca="1">O125/SUM(O:O)</f>
        <v>1.2871836734365522E-4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input_503103!A$2</f>
        <v>503103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5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IFERROR(VLOOKUP(B126,input_503103!L:R,7,FALSE),VLOOKUP(tables_503103!C126,input_503103!A:H,8,FALSE))</f>
        <v>0</v>
      </c>
      <c r="P126" s="40">
        <f ca="1">O126/SUM(O:O)</f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input_503103!A$2</f>
        <v>503103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5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IFERROR(VLOOKUP(B127,input_503103!L:R,7,FALSE),VLOOKUP(tables_503103!C127,input_503103!A:H,8,FALSE))</f>
        <v>38688.373319999999</v>
      </c>
      <c r="P127" s="40">
        <f ca="1">O127/SUM(O:O)</f>
        <v>1.9738965979088301E-2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input_503103!A$2</f>
        <v>503103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5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IFERROR(VLOOKUP(B128,input_503103!L:R,7,FALSE),VLOOKUP(tables_503103!C128,input_503103!A:H,8,FALSE))</f>
        <v>4625.6000000000004</v>
      </c>
      <c r="P128" s="40">
        <f ca="1">O128/SUM(O:O)</f>
        <v>2.3599999999397974E-3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input_503103!A$2</f>
        <v>503103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5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IFERROR(VLOOKUP(B129,input_503103!L:R,7,FALSE),VLOOKUP(tables_503103!C129,input_503103!A:H,8,FALSE))</f>
        <v>0</v>
      </c>
      <c r="P129" s="40">
        <f ca="1">O129/SUM(O:O)</f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input_503103!A$2</f>
        <v>503103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5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IFERROR(VLOOKUP(B130,input_503103!L:R,7,FALSE),VLOOKUP(tables_503103!C130,input_503103!A:H,8,FALSE))</f>
        <v>8850.5120000000006</v>
      </c>
      <c r="P130" s="40">
        <f ca="1">O130/SUM(O:O)</f>
        <v>4.5155673468235853E-3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input_503103!A$2</f>
        <v>503103</v>
      </c>
      <c r="B131" s="6">
        <v>255</v>
      </c>
      <c r="C131" s="7" t="str">
        <f t="shared" si="6"/>
        <v>Premium5</v>
      </c>
      <c r="D131" s="7" t="str">
        <f t="shared" ref="D131:D194" si="7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8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IFERROR(VLOOKUP(B131,input_503103!L:R,7,FALSE),VLOOKUP(tables_503103!C131,input_503103!A:H,8,FALSE))</f>
        <v>252.28800000000001</v>
      </c>
      <c r="P131" s="40">
        <f ca="1">O131/SUM(O:O)</f>
        <v>1.2871836734365522E-4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input_503103!A$2</f>
        <v>503103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8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IFERROR(VLOOKUP(B132,input_503103!L:R,7,FALSE),VLOOKUP(tables_503103!C132,input_503103!A:H,8,FALSE))</f>
        <v>0</v>
      </c>
      <c r="P132" s="40">
        <f ca="1">O132/SUM(O:O)</f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input_503103!A$2</f>
        <v>503103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8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IFERROR(VLOOKUP(B133,input_503103!L:R,7,FALSE),VLOOKUP(tables_503103!C133,input_503103!A:H,8,FALSE))</f>
        <v>8850.5120000000006</v>
      </c>
      <c r="P133" s="40">
        <f ca="1">O133/SUM(O:O)</f>
        <v>4.5155673468235853E-3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input_503103!A$2</f>
        <v>503103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8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IFERROR(VLOOKUP(B134,input_503103!L:R,7,FALSE),VLOOKUP(tables_503103!C134,input_503103!A:H,8,FALSE))</f>
        <v>252.28800000000001</v>
      </c>
      <c r="P134" s="40">
        <f ca="1">O134/SUM(O:O)</f>
        <v>1.2871836734365522E-4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input_503103!A$2</f>
        <v>503103</v>
      </c>
      <c r="B135" s="8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8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IFERROR(VLOOKUP(B135,input_503103!L:R,7,FALSE),VLOOKUP(tables_503103!C135,input_503103!A:H,8,FALSE))</f>
        <v>0</v>
      </c>
      <c r="P135" s="40">
        <f ca="1">O135/SUM(O:O)</f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input_503103!A$2</f>
        <v>503103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8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IFERROR(VLOOKUP(B136,input_503103!L:R,7,FALSE),VLOOKUP(tables_503103!C136,input_503103!A:H,8,FALSE))</f>
        <v>8850.5120000000006</v>
      </c>
      <c r="P136" s="40">
        <f ca="1">O136/SUM(O:O)</f>
        <v>4.5155673468235853E-3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input_503103!A$2</f>
        <v>503103</v>
      </c>
      <c r="B137" s="6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8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IFERROR(VLOOKUP(B137,input_503103!L:R,7,FALSE),VLOOKUP(tables_503103!C137,input_503103!A:H,8,FALSE))</f>
        <v>252.28800000000001</v>
      </c>
      <c r="P137" s="40">
        <f ca="1">O137/SUM(O:O)</f>
        <v>1.2871836734365522E-4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input_503103!A$2</f>
        <v>503103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8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IFERROR(VLOOKUP(B138,input_503103!L:R,7,FALSE),VLOOKUP(tables_503103!C138,input_503103!A:H,8,FALSE))</f>
        <v>3104.64</v>
      </c>
      <c r="P138" s="40">
        <f ca="1">O138/SUM(O:O)</f>
        <v>1.5839999999595926E-3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input_503103!A$2</f>
        <v>503103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8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IFERROR(VLOOKUP(B139,input_503103!L:R,7,FALSE),VLOOKUP(tables_503103!C139,input_503103!A:H,8,FALSE))</f>
        <v>344.96</v>
      </c>
      <c r="P139" s="40">
        <f ca="1">O139/SUM(O:O)</f>
        <v>1.7599999999551029E-4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input_503103!A$2</f>
        <v>503103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8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IFERROR(VLOOKUP(B140,input_503103!L:R,7,FALSE),VLOOKUP(tables_503103!C140,input_503103!A:H,8,FALSE))</f>
        <v>633.6</v>
      </c>
      <c r="P140" s="40">
        <f ca="1">O140/SUM(O:O)</f>
        <v>3.2326530611420261E-4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input_503103!A$2</f>
        <v>503103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8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IFERROR(VLOOKUP(B141,input_503103!L:R,7,FALSE),VLOOKUP(tables_503103!C141,input_503103!A:H,8,FALSE))</f>
        <v>70.400000000000006</v>
      </c>
      <c r="P141" s="40">
        <f ca="1">O141/SUM(O:O)</f>
        <v>3.5918367346022515E-5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input_503103!A$2</f>
        <v>503103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8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IFERROR(VLOOKUP(B142,input_503103!L:R,7,FALSE),VLOOKUP(tables_503103!C142,input_503103!A:H,8,FALSE))</f>
        <v>633.6</v>
      </c>
      <c r="P142" s="40">
        <f ca="1">O142/SUM(O:O)</f>
        <v>3.2326530611420261E-4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input_503103!A$2</f>
        <v>503103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8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IFERROR(VLOOKUP(B143,input_503103!L:R,7,FALSE),VLOOKUP(tables_503103!C143,input_503103!A:H,8,FALSE))</f>
        <v>70.400000000000006</v>
      </c>
      <c r="P143" s="40">
        <f ca="1">O143/SUM(O:O)</f>
        <v>3.5918367346022515E-5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input_503103!A$2</f>
        <v>503103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8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IFERROR(VLOOKUP(B144,input_503103!L:R,7,FALSE),VLOOKUP(tables_503103!C144,input_503103!A:H,8,FALSE))</f>
        <v>633.6</v>
      </c>
      <c r="P144" s="40">
        <f ca="1">O144/SUM(O:O)</f>
        <v>3.2326530611420261E-4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input_503103!A$2</f>
        <v>503103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8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IFERROR(VLOOKUP(B145,input_503103!L:R,7,FALSE),VLOOKUP(tables_503103!C145,input_503103!A:H,8,FALSE))</f>
        <v>70.400000000000006</v>
      </c>
      <c r="P145" s="40">
        <f ca="1">O145/SUM(O:O)</f>
        <v>3.5918367346022515E-5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input_503103!A$2</f>
        <v>503103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8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IFERROR(VLOOKUP(B146,input_503103!L:R,7,FALSE),VLOOKUP(tables_503103!C146,input_503103!A:H,8,FALSE))</f>
        <v>0</v>
      </c>
      <c r="P146" s="40">
        <f ca="1">O146/SUM(O:O)</f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input_503103!A$2</f>
        <v>503103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8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IFERROR(VLOOKUP(B147,input_503103!L:R,7,FALSE),VLOOKUP(tables_503103!C147,input_503103!A:H,8,FALSE))</f>
        <v>38688.373319999999</v>
      </c>
      <c r="P147" s="40">
        <f ca="1">O147/SUM(O:O)</f>
        <v>1.9738965979088301E-2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input_503103!A$2</f>
        <v>503103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8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IFERROR(VLOOKUP(B148,input_503103!L:R,7,FALSE),VLOOKUP(tables_503103!C148,input_503103!A:H,8,FALSE))</f>
        <v>4625.6000000000004</v>
      </c>
      <c r="P148" s="40">
        <f ca="1">O148/SUM(O:O)</f>
        <v>2.3599999999397974E-3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input_503103!A$2</f>
        <v>503103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8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IFERROR(VLOOKUP(B149,input_503103!L:R,7,FALSE),VLOOKUP(tables_503103!C149,input_503103!A:H,8,FALSE))</f>
        <v>633.6</v>
      </c>
      <c r="P149" s="40">
        <f ca="1">O149/SUM(O:O)</f>
        <v>3.2326530611420261E-4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input_503103!A$2</f>
        <v>503103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8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IFERROR(VLOOKUP(B150,input_503103!L:R,7,FALSE),VLOOKUP(tables_503103!C150,input_503103!A:H,8,FALSE))</f>
        <v>70.400000000000006</v>
      </c>
      <c r="P150" s="40">
        <f ca="1">O150/SUM(O:O)</f>
        <v>3.5918367346022515E-5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input_503103!A$2</f>
        <v>503103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8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IFERROR(VLOOKUP(B151,input_503103!L:R,7,FALSE),VLOOKUP(tables_503103!C151,input_503103!A:H,8,FALSE))</f>
        <v>633.6</v>
      </c>
      <c r="P151" s="40">
        <f ca="1">O151/SUM(O:O)</f>
        <v>3.2326530611420261E-4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input_503103!A$2</f>
        <v>503103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8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IFERROR(VLOOKUP(B152,input_503103!L:R,7,FALSE),VLOOKUP(tables_503103!C152,input_503103!A:H,8,FALSE))</f>
        <v>70.400000000000006</v>
      </c>
      <c r="P152" s="40">
        <f ca="1">O152/SUM(O:O)</f>
        <v>3.5918367346022515E-5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input_503103!A$2</f>
        <v>503103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8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IFERROR(VLOOKUP(B153,input_503103!L:R,7,FALSE),VLOOKUP(tables_503103!C153,input_503103!A:H,8,FALSE))</f>
        <v>0</v>
      </c>
      <c r="P153" s="40">
        <f ca="1">O153/SUM(O:O)</f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input_503103!A$2</f>
        <v>503103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8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IFERROR(VLOOKUP(B154,input_503103!L:R,7,FALSE),VLOOKUP(tables_503103!C154,input_503103!A:H,8,FALSE))</f>
        <v>8850.5120000000006</v>
      </c>
      <c r="P154" s="40">
        <f ca="1">O154/SUM(O:O)</f>
        <v>4.5155673468235853E-3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input_503103!A$2</f>
        <v>503103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8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IFERROR(VLOOKUP(B155,input_503103!L:R,7,FALSE),VLOOKUP(tables_503103!C155,input_503103!A:H,8,FALSE))</f>
        <v>252.28800000000001</v>
      </c>
      <c r="P155" s="40">
        <f ca="1">O155/SUM(O:O)</f>
        <v>1.2871836734365522E-4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input_503103!A$2</f>
        <v>503103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8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IFERROR(VLOOKUP(B156,input_503103!L:R,7,FALSE),VLOOKUP(tables_503103!C156,input_503103!A:H,8,FALSE))</f>
        <v>3104.64</v>
      </c>
      <c r="P156" s="40">
        <f ca="1">O156/SUM(O:O)</f>
        <v>1.5839999999595926E-3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input_503103!A$2</f>
        <v>503103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8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IFERROR(VLOOKUP(B157,input_503103!L:R,7,FALSE),VLOOKUP(tables_503103!C157,input_503103!A:H,8,FALSE))</f>
        <v>344.96</v>
      </c>
      <c r="P157" s="40">
        <f ca="1">O157/SUM(O:O)</f>
        <v>1.7599999999551029E-4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input_503103!A$2</f>
        <v>503103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8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IFERROR(VLOOKUP(B158,input_503103!L:R,7,FALSE),VLOOKUP(tables_503103!C158,input_503103!A:H,8,FALSE))</f>
        <v>0</v>
      </c>
      <c r="P158" s="40">
        <f ca="1">O158/SUM(O:O)</f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input_503103!A$2</f>
        <v>503103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8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IFERROR(VLOOKUP(B159,input_503103!L:R,7,FALSE),VLOOKUP(tables_503103!C159,input_503103!A:H,8,FALSE))</f>
        <v>8850.5120000000006</v>
      </c>
      <c r="P159" s="40">
        <f ca="1">O159/SUM(O:O)</f>
        <v>4.5155673468235853E-3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input_503103!A$2</f>
        <v>503103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8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IFERROR(VLOOKUP(B160,input_503103!L:R,7,FALSE),VLOOKUP(tables_503103!C160,input_503103!A:H,8,FALSE))</f>
        <v>252.28800000000001</v>
      </c>
      <c r="P160" s="40">
        <f ca="1">O160/SUM(O:O)</f>
        <v>1.2871836734365522E-4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input_503103!A$2</f>
        <v>503103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8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IFERROR(VLOOKUP(B161,input_503103!L:R,7,FALSE),VLOOKUP(tables_503103!C161,input_503103!A:H,8,FALSE))</f>
        <v>0</v>
      </c>
      <c r="P161" s="40">
        <f ca="1">O161/SUM(O:O)</f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input_503103!A$2</f>
        <v>503103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8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IFERROR(VLOOKUP(B162,input_503103!L:R,7,FALSE),VLOOKUP(tables_503103!C162,input_503103!A:H,8,FALSE))</f>
        <v>8850.5120000000006</v>
      </c>
      <c r="P162" s="40">
        <f ca="1">O162/SUM(O:O)</f>
        <v>4.5155673468235853E-3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input_503103!A$2</f>
        <v>503103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8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IFERROR(VLOOKUP(B163,input_503103!L:R,7,FALSE),VLOOKUP(tables_503103!C163,input_503103!A:H,8,FALSE))</f>
        <v>252.28800000000001</v>
      </c>
      <c r="P163" s="40">
        <f ca="1">O163/SUM(O:O)</f>
        <v>1.2871836734365522E-4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input_503103!A$2</f>
        <v>503103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8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IFERROR(VLOOKUP(B164,input_503103!L:R,7,FALSE),VLOOKUP(tables_503103!C164,input_503103!A:H,8,FALSE))</f>
        <v>633.6</v>
      </c>
      <c r="P164" s="40">
        <f ca="1">O164/SUM(O:O)</f>
        <v>3.2326530611420261E-4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input_503103!A$2</f>
        <v>503103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8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IFERROR(VLOOKUP(B165,input_503103!L:R,7,FALSE),VLOOKUP(tables_503103!C165,input_503103!A:H,8,FALSE))</f>
        <v>70.400000000000006</v>
      </c>
      <c r="P165" s="40">
        <f ca="1">O165/SUM(O:O)</f>
        <v>3.5918367346022515E-5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input_503103!A$2</f>
        <v>503103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8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IFERROR(VLOOKUP(B166,input_503103!L:R,7,FALSE),VLOOKUP(tables_503103!C166,input_503103!A:H,8,FALSE))</f>
        <v>0</v>
      </c>
      <c r="P166" s="40">
        <f ca="1">O166/SUM(O:O)</f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input_503103!A$2</f>
        <v>503103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8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IFERROR(VLOOKUP(B167,input_503103!L:R,7,FALSE),VLOOKUP(tables_503103!C167,input_503103!A:H,8,FALSE))</f>
        <v>38688.373319999999</v>
      </c>
      <c r="P167" s="40">
        <f ca="1">O167/SUM(O:O)</f>
        <v>1.9738965979088301E-2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input_503103!A$2</f>
        <v>503103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8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IFERROR(VLOOKUP(B168,input_503103!L:R,7,FALSE),VLOOKUP(tables_503103!C168,input_503103!A:H,8,FALSE))</f>
        <v>4625.6000000000004</v>
      </c>
      <c r="P168" s="40">
        <f ca="1">O168/SUM(O:O)</f>
        <v>2.3599999999397974E-3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input_503103!A$2</f>
        <v>503103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8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IFERROR(VLOOKUP(B169,input_503103!L:R,7,FALSE),VLOOKUP(tables_503103!C169,input_503103!A:H,8,FALSE))</f>
        <v>633.6</v>
      </c>
      <c r="P169" s="40">
        <f ca="1">O169/SUM(O:O)</f>
        <v>3.2326530611420261E-4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input_503103!A$2</f>
        <v>503103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8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IFERROR(VLOOKUP(B170,input_503103!L:R,7,FALSE),VLOOKUP(tables_503103!C170,input_503103!A:H,8,FALSE))</f>
        <v>70.400000000000006</v>
      </c>
      <c r="P170" s="40">
        <f ca="1">O170/SUM(O:O)</f>
        <v>3.5918367346022515E-5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input_503103!A$2</f>
        <v>503103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8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IFERROR(VLOOKUP(B171,input_503103!L:R,7,FALSE),VLOOKUP(tables_503103!C171,input_503103!A:H,8,FALSE))</f>
        <v>0</v>
      </c>
      <c r="P171" s="40">
        <f ca="1">O171/SUM(O:O)</f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input_503103!A$2</f>
        <v>503103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8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IFERROR(VLOOKUP(B172,input_503103!L:R,7,FALSE),VLOOKUP(tables_503103!C172,input_503103!A:H,8,FALSE))</f>
        <v>8850.5120000000006</v>
      </c>
      <c r="P172" s="40">
        <f ca="1">O172/SUM(O:O)</f>
        <v>4.5155673468235853E-3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input_503103!A$2</f>
        <v>503103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8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IFERROR(VLOOKUP(B173,input_503103!L:R,7,FALSE),VLOOKUP(tables_503103!C173,input_503103!A:H,8,FALSE))</f>
        <v>252.28800000000001</v>
      </c>
      <c r="P173" s="40">
        <f ca="1">O173/SUM(O:O)</f>
        <v>1.2871836734365522E-4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input_503103!A$2</f>
        <v>503103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8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IFERROR(VLOOKUP(B174,input_503103!L:R,7,FALSE),VLOOKUP(tables_503103!C174,input_503103!A:H,8,FALSE))</f>
        <v>633.6</v>
      </c>
      <c r="P174" s="40">
        <f ca="1">O174/SUM(O:O)</f>
        <v>3.2326530611420261E-4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input_503103!A$2</f>
        <v>503103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8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IFERROR(VLOOKUP(B175,input_503103!L:R,7,FALSE),VLOOKUP(tables_503103!C175,input_503103!A:H,8,FALSE))</f>
        <v>70.400000000000006</v>
      </c>
      <c r="P175" s="40">
        <f ca="1">O175/SUM(O:O)</f>
        <v>3.5918367346022515E-5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input_503103!A$2</f>
        <v>503103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8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IFERROR(VLOOKUP(B176,input_503103!L:R,7,FALSE),VLOOKUP(tables_503103!C176,input_503103!A:H,8,FALSE))</f>
        <v>3104.64</v>
      </c>
      <c r="P176" s="40">
        <f ca="1">O176/SUM(O:O)</f>
        <v>1.5839999999595926E-3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input_503103!A$2</f>
        <v>503103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8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IFERROR(VLOOKUP(B177,input_503103!L:R,7,FALSE),VLOOKUP(tables_503103!C177,input_503103!A:H,8,FALSE))</f>
        <v>344.96</v>
      </c>
      <c r="P177" s="40">
        <f ca="1">O177/SUM(O:O)</f>
        <v>1.7599999999551029E-4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input_503103!A$2</f>
        <v>503103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8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IFERROR(VLOOKUP(B178,input_503103!L:R,7,FALSE),VLOOKUP(tables_503103!C178,input_503103!A:H,8,FALSE))</f>
        <v>0</v>
      </c>
      <c r="P178" s="40">
        <f ca="1">O178/SUM(O:O)</f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input_503103!A$2</f>
        <v>503103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8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IFERROR(VLOOKUP(B179,input_503103!L:R,7,FALSE),VLOOKUP(tables_503103!C179,input_503103!A:H,8,FALSE))</f>
        <v>8850.5120000000006</v>
      </c>
      <c r="P179" s="40">
        <f ca="1">O179/SUM(O:O)</f>
        <v>4.5155673468235853E-3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input_503103!A$2</f>
        <v>503103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8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IFERROR(VLOOKUP(B180,input_503103!L:R,7,FALSE),VLOOKUP(tables_503103!C180,input_503103!A:H,8,FALSE))</f>
        <v>252.28800000000001</v>
      </c>
      <c r="P180" s="40">
        <f ca="1">O180/SUM(O:O)</f>
        <v>1.2871836734365522E-4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input_503103!A$2</f>
        <v>503103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8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IFERROR(VLOOKUP(B181,input_503103!L:R,7,FALSE),VLOOKUP(tables_503103!C181,input_503103!A:H,8,FALSE))</f>
        <v>0</v>
      </c>
      <c r="P181" s="40">
        <f ca="1">O181/SUM(O:O)</f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input_503103!A$2</f>
        <v>503103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8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IFERROR(VLOOKUP(B182,input_503103!L:R,7,FALSE),VLOOKUP(tables_503103!C182,input_503103!A:H,8,FALSE))</f>
        <v>8850.5120000000006</v>
      </c>
      <c r="P182" s="40">
        <f ca="1">O182/SUM(O:O)</f>
        <v>4.5155673468235853E-3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input_503103!A$2</f>
        <v>503103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8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IFERROR(VLOOKUP(B183,input_503103!L:R,7,FALSE),VLOOKUP(tables_503103!C183,input_503103!A:H,8,FALSE))</f>
        <v>252.28800000000001</v>
      </c>
      <c r="P183" s="40">
        <f ca="1">O183/SUM(O:O)</f>
        <v>1.2871836734365522E-4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input_503103!A$2</f>
        <v>503103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8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IFERROR(VLOOKUP(B184,input_503103!L:R,7,FALSE),VLOOKUP(tables_503103!C184,input_503103!A:H,8,FALSE))</f>
        <v>633.6</v>
      </c>
      <c r="P184" s="40">
        <f ca="1">O184/SUM(O:O)</f>
        <v>3.2326530611420261E-4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input_503103!A$2</f>
        <v>503103</v>
      </c>
      <c r="B185" s="8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8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IFERROR(VLOOKUP(B185,input_503103!L:R,7,FALSE),VLOOKUP(tables_503103!C185,input_503103!A:H,8,FALSE))</f>
        <v>70.400000000000006</v>
      </c>
      <c r="P185" s="40">
        <f ca="1">O185/SUM(O:O)</f>
        <v>3.5918367346022515E-5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input_503103!A$2</f>
        <v>503103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8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IFERROR(VLOOKUP(B186,input_503103!L:R,7,FALSE),VLOOKUP(tables_503103!C186,input_503103!A:H,8,FALSE))</f>
        <v>0</v>
      </c>
      <c r="P186" s="40">
        <f ca="1">O186/SUM(O:O)</f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input_503103!A$2</f>
        <v>503103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8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IFERROR(VLOOKUP(B187,input_503103!L:R,7,FALSE),VLOOKUP(tables_503103!C187,input_503103!A:H,8,FALSE))</f>
        <v>38688.373319999999</v>
      </c>
      <c r="P187" s="40">
        <f ca="1">O187/SUM(O:O)</f>
        <v>1.9738965979088301E-2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input_503103!A$2</f>
        <v>503103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8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IFERROR(VLOOKUP(B188,input_503103!L:R,7,FALSE),VLOOKUP(tables_503103!C188,input_503103!A:H,8,FALSE))</f>
        <v>4625.6000000000004</v>
      </c>
      <c r="P188" s="40">
        <f ca="1">O188/SUM(O:O)</f>
        <v>2.3599999999397974E-3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input_503103!A$2</f>
        <v>503103</v>
      </c>
      <c r="B189" s="6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8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IFERROR(VLOOKUP(B189,input_503103!L:R,7,FALSE),VLOOKUP(tables_503103!C189,input_503103!A:H,8,FALSE))</f>
        <v>633.6</v>
      </c>
      <c r="P189" s="40">
        <f ca="1">O189/SUM(O:O)</f>
        <v>3.2326530611420261E-4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input_503103!A$2</f>
        <v>503103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8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IFERROR(VLOOKUP(B190,input_503103!L:R,7,FALSE),VLOOKUP(tables_503103!C190,input_503103!A:H,8,FALSE))</f>
        <v>70.400000000000006</v>
      </c>
      <c r="P190" s="40">
        <f ca="1">O190/SUM(O:O)</f>
        <v>3.5918367346022515E-5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input_503103!A$2</f>
        <v>503103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8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IFERROR(VLOOKUP(B191,input_503103!L:R,7,FALSE),VLOOKUP(tables_503103!C191,input_503103!A:H,8,FALSE))</f>
        <v>633.6</v>
      </c>
      <c r="P191" s="40">
        <f ca="1">O191/SUM(O:O)</f>
        <v>3.2326530611420261E-4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input_503103!A$2</f>
        <v>503103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8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IFERROR(VLOOKUP(B192,input_503103!L:R,7,FALSE),VLOOKUP(tables_503103!C192,input_503103!A:H,8,FALSE))</f>
        <v>70.400000000000006</v>
      </c>
      <c r="P192" s="40">
        <f ca="1">O192/SUM(O:O)</f>
        <v>3.5918367346022515E-5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input_503103!A$2</f>
        <v>503103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8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IFERROR(VLOOKUP(B193,input_503103!L:R,7,FALSE),VLOOKUP(tables_503103!C193,input_503103!A:H,8,FALSE))</f>
        <v>0</v>
      </c>
      <c r="P193" s="40">
        <f ca="1">O193/SUM(O:O)</f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input_503103!A$2</f>
        <v>503103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8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IFERROR(VLOOKUP(B194,input_503103!L:R,7,FALSE),VLOOKUP(tables_503103!C194,input_503103!A:H,8,FALSE))</f>
        <v>8850.5120000000006</v>
      </c>
      <c r="P194" s="40">
        <f ca="1">O194/SUM(O:O)</f>
        <v>4.5155673468235853E-3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input_503103!A$2</f>
        <v>503103</v>
      </c>
      <c r="B195" s="6">
        <v>471</v>
      </c>
      <c r="C195" s="7" t="str">
        <f t="shared" si="9"/>
        <v>Premium5</v>
      </c>
      <c r="D195" s="7" t="str">
        <f t="shared" ref="D195:D258" si="10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1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IFERROR(VLOOKUP(B195,input_503103!L:R,7,FALSE),VLOOKUP(tables_503103!C195,input_503103!A:H,8,FALSE))</f>
        <v>252.28800000000001</v>
      </c>
      <c r="P195" s="40">
        <f ca="1">O195/SUM(O:O)</f>
        <v>1.2871836734365522E-4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input_503103!A$2</f>
        <v>503103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1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IFERROR(VLOOKUP(B196,input_503103!L:R,7,FALSE),VLOOKUP(tables_503103!C196,input_503103!A:H,8,FALSE))</f>
        <v>3104.64</v>
      </c>
      <c r="P196" s="40">
        <f ca="1">O196/SUM(O:O)</f>
        <v>1.5839999999595926E-3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input_503103!A$2</f>
        <v>503103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1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IFERROR(VLOOKUP(B197,input_503103!L:R,7,FALSE),VLOOKUP(tables_503103!C197,input_503103!A:H,8,FALSE))</f>
        <v>344.96</v>
      </c>
      <c r="P197" s="40">
        <f ca="1">O197/SUM(O:O)</f>
        <v>1.7599999999551029E-4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input_503103!A$2</f>
        <v>503103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1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IFERROR(VLOOKUP(B198,input_503103!L:R,7,FALSE),VLOOKUP(tables_503103!C198,input_503103!A:H,8,FALSE))</f>
        <v>0</v>
      </c>
      <c r="P198" s="40">
        <f ca="1">O198/SUM(O:O)</f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input_503103!A$2</f>
        <v>503103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1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IFERROR(VLOOKUP(B199,input_503103!L:R,7,FALSE),VLOOKUP(tables_503103!C199,input_503103!A:H,8,FALSE))</f>
        <v>8850.5120000000006</v>
      </c>
      <c r="P199" s="40">
        <f ca="1">O199/SUM(O:O)</f>
        <v>4.5155673468235853E-3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input_503103!A$2</f>
        <v>503103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1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IFERROR(VLOOKUP(B200,input_503103!L:R,7,FALSE),VLOOKUP(tables_503103!C200,input_503103!A:H,8,FALSE))</f>
        <v>252.28800000000001</v>
      </c>
      <c r="P200" s="40">
        <f ca="1">O200/SUM(O:O)</f>
        <v>1.2871836734365522E-4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input_503103!A$2</f>
        <v>503103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1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IFERROR(VLOOKUP(B201,input_503103!L:R,7,FALSE),VLOOKUP(tables_503103!C201,input_503103!A:H,8,FALSE))</f>
        <v>633.6</v>
      </c>
      <c r="P201" s="40">
        <f ca="1">O201/SUM(O:O)</f>
        <v>3.2326530611420261E-4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input_503103!A$2</f>
        <v>503103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1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IFERROR(VLOOKUP(B202,input_503103!L:R,7,FALSE),VLOOKUP(tables_503103!C202,input_503103!A:H,8,FALSE))</f>
        <v>70.400000000000006</v>
      </c>
      <c r="P202" s="40">
        <f ca="1">O202/SUM(O:O)</f>
        <v>3.5918367346022515E-5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input_503103!A$2</f>
        <v>503103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1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IFERROR(VLOOKUP(B203,input_503103!L:R,7,FALSE),VLOOKUP(tables_503103!C203,input_503103!A:H,8,FALSE))</f>
        <v>0</v>
      </c>
      <c r="P203" s="40">
        <f ca="1">O203/SUM(O:O)</f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input_503103!A$2</f>
        <v>503103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1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IFERROR(VLOOKUP(B204,input_503103!L:R,7,FALSE),VLOOKUP(tables_503103!C204,input_503103!A:H,8,FALSE))</f>
        <v>8850.5120000000006</v>
      </c>
      <c r="P204" s="40">
        <f ca="1">O204/SUM(O:O)</f>
        <v>4.5155673468235853E-3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input_503103!A$2</f>
        <v>503103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1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IFERROR(VLOOKUP(B205,input_503103!L:R,7,FALSE),VLOOKUP(tables_503103!C205,input_503103!A:H,8,FALSE))</f>
        <v>252.28800000000001</v>
      </c>
      <c r="P205" s="40">
        <f ca="1">O205/SUM(O:O)</f>
        <v>1.2871836734365522E-4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input_503103!A$2</f>
        <v>503103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1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IFERROR(VLOOKUP(B206,input_503103!L:R,7,FALSE),VLOOKUP(tables_503103!C206,input_503103!A:H,8,FALSE))</f>
        <v>3104.64</v>
      </c>
      <c r="P206" s="40">
        <f ca="1">O206/SUM(O:O)</f>
        <v>1.5839999999595926E-3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input_503103!A$2</f>
        <v>503103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1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IFERROR(VLOOKUP(B207,input_503103!L:R,7,FALSE),VLOOKUP(tables_503103!C207,input_503103!A:H,8,FALSE))</f>
        <v>344.96</v>
      </c>
      <c r="P207" s="40">
        <f ca="1">O207/SUM(O:O)</f>
        <v>1.7599999999551029E-4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input_503103!A$2</f>
        <v>503103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1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IFERROR(VLOOKUP(B208,input_503103!L:R,7,FALSE),VLOOKUP(tables_503103!C208,input_503103!A:H,8,FALSE))</f>
        <v>633.6</v>
      </c>
      <c r="P208" s="40">
        <f ca="1">O208/SUM(O:O)</f>
        <v>3.2326530611420261E-4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input_503103!A$2</f>
        <v>503103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1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IFERROR(VLOOKUP(B209,input_503103!L:R,7,FALSE),VLOOKUP(tables_503103!C209,input_503103!A:H,8,FALSE))</f>
        <v>70.400000000000006</v>
      </c>
      <c r="P209" s="40">
        <f ca="1">O209/SUM(O:O)</f>
        <v>3.5918367346022515E-5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input_503103!A$2</f>
        <v>503103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1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IFERROR(VLOOKUP(B210,input_503103!L:R,7,FALSE),VLOOKUP(tables_503103!C210,input_503103!A:H,8,FALSE))</f>
        <v>0</v>
      </c>
      <c r="P210" s="40">
        <f ca="1">O210/SUM(O:O)</f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input_503103!A$2</f>
        <v>503103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1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IFERROR(VLOOKUP(B211,input_503103!L:R,7,FALSE),VLOOKUP(tables_503103!C211,input_503103!A:H,8,FALSE))</f>
        <v>8850.5120000000006</v>
      </c>
      <c r="P211" s="40">
        <f ca="1">O211/SUM(O:O)</f>
        <v>4.5155673468235853E-3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input_503103!A$2</f>
        <v>503103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1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IFERROR(VLOOKUP(B212,input_503103!L:R,7,FALSE),VLOOKUP(tables_503103!C212,input_503103!A:H,8,FALSE))</f>
        <v>252.28800000000001</v>
      </c>
      <c r="P212" s="40">
        <f ca="1">O212/SUM(O:O)</f>
        <v>1.2871836734365522E-4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input_503103!A$2</f>
        <v>503103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1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IFERROR(VLOOKUP(B213,input_503103!L:R,7,FALSE),VLOOKUP(tables_503103!C213,input_503103!A:H,8,FALSE))</f>
        <v>633.6</v>
      </c>
      <c r="P213" s="40">
        <f ca="1">O213/SUM(O:O)</f>
        <v>3.2326530611420261E-4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input_503103!A$2</f>
        <v>503103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1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IFERROR(VLOOKUP(B214,input_503103!L:R,7,FALSE),VLOOKUP(tables_503103!C214,input_503103!A:H,8,FALSE))</f>
        <v>70.400000000000006</v>
      </c>
      <c r="P214" s="40">
        <f ca="1">O214/SUM(O:O)</f>
        <v>3.5918367346022515E-5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input_503103!A$2</f>
        <v>503103</v>
      </c>
      <c r="B215" s="6">
        <v>560</v>
      </c>
      <c r="C215" s="7" t="str">
        <f t="shared" si="9"/>
        <v>premium5R3lesscolor</v>
      </c>
      <c r="D215" s="7" t="str">
        <f t="shared" si="10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1"/>
        <v>color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IFERROR(VLOOKUP(B215,input_503103!L:R,7,FALSE),VLOOKUP(tables_503103!C215,input_503103!A:H,8,FALSE))</f>
        <v>4625.6000000000004</v>
      </c>
      <c r="P215" s="40">
        <f ca="1">O215/SUM(O:O)</f>
        <v>2.3599999999397974E-3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input_503103!A$2</f>
        <v>503103</v>
      </c>
      <c r="B216" s="6">
        <v>561</v>
      </c>
      <c r="C216" s="7" t="str">
        <f t="shared" si="9"/>
        <v>premium5R3less</v>
      </c>
      <c r="D216" s="7" t="str">
        <f t="shared" si="10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1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IFERROR(VLOOKUP(B216,input_503103!L:R,7,FALSE),VLOOKUP(tables_503103!C216,input_503103!A:H,8,FALSE))</f>
        <v>1057.28</v>
      </c>
      <c r="P216" s="40">
        <f ca="1">O216/SUM(O:O)</f>
        <v>5.3942857141481076E-4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input_503103!A$2</f>
        <v>503103</v>
      </c>
      <c r="B217" s="6">
        <v>562</v>
      </c>
      <c r="C217" s="7" t="str">
        <f t="shared" si="9"/>
        <v>premium5R3less</v>
      </c>
      <c r="D217" s="7" t="str">
        <f t="shared" si="10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1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IFERROR(VLOOKUP(B217,input_503103!L:R,7,FALSE),VLOOKUP(tables_503103!C217,input_503103!A:H,8,FALSE))</f>
        <v>1057.28</v>
      </c>
      <c r="P217" s="40">
        <f ca="1">O217/SUM(O:O)</f>
        <v>5.3942857141481076E-4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input_503103!A$2</f>
        <v>503103</v>
      </c>
      <c r="B218" s="6">
        <v>563</v>
      </c>
      <c r="C218" s="7" t="str">
        <f t="shared" si="9"/>
        <v>premium5R3less</v>
      </c>
      <c r="D218" s="7" t="str">
        <f t="shared" si="10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1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IFERROR(VLOOKUP(B218,input_503103!L:R,7,FALSE),VLOOKUP(tables_503103!C218,input_503103!A:H,8,FALSE))</f>
        <v>1057.28</v>
      </c>
      <c r="P218" s="40">
        <f ca="1">O218/SUM(O:O)</f>
        <v>5.3942857141481076E-4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input_503103!A$2</f>
        <v>503103</v>
      </c>
      <c r="B219" s="6">
        <v>566</v>
      </c>
      <c r="C219" s="7" t="str">
        <f t="shared" si="9"/>
        <v>premium5R3less</v>
      </c>
      <c r="D219" s="7" t="str">
        <f t="shared" si="10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1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IFERROR(VLOOKUP(B219,input_503103!L:R,7,FALSE),VLOOKUP(tables_503103!C219,input_503103!A:H,8,FALSE))</f>
        <v>1057.28</v>
      </c>
      <c r="P219" s="40">
        <f ca="1">O219/SUM(O:O)</f>
        <v>5.3942857141481076E-4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input_503103!A$2</f>
        <v>503103</v>
      </c>
      <c r="B220" s="6">
        <v>567</v>
      </c>
      <c r="C220" s="7" t="str">
        <f t="shared" si="9"/>
        <v>premium5R3less</v>
      </c>
      <c r="D220" s="7" t="str">
        <f t="shared" si="10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1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IFERROR(VLOOKUP(B220,input_503103!L:R,7,FALSE),VLOOKUP(tables_503103!C220,input_503103!A:H,8,FALSE))</f>
        <v>1057.28</v>
      </c>
      <c r="P220" s="40">
        <f ca="1">O220/SUM(O:O)</f>
        <v>5.3942857141481076E-4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input_503103!A$2</f>
        <v>503103</v>
      </c>
      <c r="B221" s="6">
        <v>586</v>
      </c>
      <c r="C221" s="7" t="str">
        <f t="shared" si="9"/>
        <v>PremiumSS4color</v>
      </c>
      <c r="D221" s="7" t="str">
        <f t="shared" si="10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1"/>
        <v>color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IFERROR(VLOOKUP(B221,input_503103!L:R,7,FALSE),VLOOKUP(tables_503103!C221,input_503103!A:H,8,FALSE))</f>
        <v>3104.64</v>
      </c>
      <c r="P221" s="40">
        <f ca="1">O221/SUM(O:O)</f>
        <v>1.5839999999595926E-3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input_503103!A$2</f>
        <v>503103</v>
      </c>
      <c r="B222" s="6">
        <v>587</v>
      </c>
      <c r="C222" s="7" t="str">
        <f t="shared" si="9"/>
        <v>PremiumSS5color</v>
      </c>
      <c r="D222" s="7" t="str">
        <f t="shared" si="10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1"/>
        <v>color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IFERROR(VLOOKUP(B222,input_503103!L:R,7,FALSE),VLOOKUP(tables_503103!C222,input_503103!A:H,8,FALSE))</f>
        <v>344.96</v>
      </c>
      <c r="P222" s="40">
        <f ca="1">O222/SUM(O:O)</f>
        <v>1.7599999999551029E-4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input_503103!A$2</f>
        <v>503103</v>
      </c>
      <c r="B223" s="6">
        <v>588</v>
      </c>
      <c r="C223" s="7" t="str">
        <f t="shared" si="9"/>
        <v>Premium3</v>
      </c>
      <c r="D223" s="7" t="str">
        <f t="shared" si="10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1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IFERROR(VLOOKUP(B223,input_503103!L:R,7,FALSE),VLOOKUP(tables_503103!C223,input_503103!A:H,8,FALSE))</f>
        <v>0</v>
      </c>
      <c r="P223" s="40">
        <f ca="1">O223/SUM(O:O)</f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input_503103!A$2</f>
        <v>503103</v>
      </c>
      <c r="B224" s="6">
        <v>589</v>
      </c>
      <c r="C224" s="7" t="str">
        <f t="shared" si="9"/>
        <v>Premium4</v>
      </c>
      <c r="D224" s="7" t="str">
        <f t="shared" si="10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1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IFERROR(VLOOKUP(B224,input_503103!L:R,7,FALSE),VLOOKUP(tables_503103!C224,input_503103!A:H,8,FALSE))</f>
        <v>8850.5120000000006</v>
      </c>
      <c r="P224" s="40">
        <f ca="1">O224/SUM(O:O)</f>
        <v>4.5155673468235853E-3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input_503103!A$2</f>
        <v>503103</v>
      </c>
      <c r="B225" s="6">
        <v>590</v>
      </c>
      <c r="C225" s="7" t="str">
        <f t="shared" si="9"/>
        <v>Premium5</v>
      </c>
      <c r="D225" s="7" t="str">
        <f t="shared" si="10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1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IFERROR(VLOOKUP(B225,input_503103!L:R,7,FALSE),VLOOKUP(tables_503103!C225,input_503103!A:H,8,FALSE))</f>
        <v>252.28800000000001</v>
      </c>
      <c r="P225" s="40">
        <f ca="1">O225/SUM(O:O)</f>
        <v>1.2871836734365522E-4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input_503103!A$2</f>
        <v>503103</v>
      </c>
      <c r="B226" s="6">
        <v>591</v>
      </c>
      <c r="C226" s="7" t="str">
        <f t="shared" si="9"/>
        <v>Premium3</v>
      </c>
      <c r="D226" s="7" t="str">
        <f t="shared" si="10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1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IFERROR(VLOOKUP(B226,input_503103!L:R,7,FALSE),VLOOKUP(tables_503103!C226,input_503103!A:H,8,FALSE))</f>
        <v>0</v>
      </c>
      <c r="P226" s="40">
        <f ca="1">O226/SUM(O:O)</f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input_503103!A$2</f>
        <v>503103</v>
      </c>
      <c r="B227" s="6">
        <v>592</v>
      </c>
      <c r="C227" s="7" t="str">
        <f t="shared" si="9"/>
        <v>Premium4</v>
      </c>
      <c r="D227" s="7" t="str">
        <f t="shared" si="10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1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IFERROR(VLOOKUP(B227,input_503103!L:R,7,FALSE),VLOOKUP(tables_503103!C227,input_503103!A:H,8,FALSE))</f>
        <v>8850.5120000000006</v>
      </c>
      <c r="P227" s="40">
        <f ca="1">O227/SUM(O:O)</f>
        <v>4.5155673468235853E-3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input_503103!A$2</f>
        <v>503103</v>
      </c>
      <c r="B228" s="6">
        <v>593</v>
      </c>
      <c r="C228" s="7" t="str">
        <f t="shared" si="9"/>
        <v>Premium5</v>
      </c>
      <c r="D228" s="7" t="str">
        <f t="shared" si="10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1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IFERROR(VLOOKUP(B228,input_503103!L:R,7,FALSE),VLOOKUP(tables_503103!C228,input_503103!A:H,8,FALSE))</f>
        <v>252.28800000000001</v>
      </c>
      <c r="P228" s="40">
        <f ca="1">O228/SUM(O:O)</f>
        <v>1.2871836734365522E-4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input_503103!A$2</f>
        <v>503103</v>
      </c>
      <c r="B229" s="6">
        <v>594</v>
      </c>
      <c r="C229" s="7" t="str">
        <f t="shared" si="9"/>
        <v>PremiumSS4</v>
      </c>
      <c r="D229" s="7" t="str">
        <f t="shared" si="10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1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IFERROR(VLOOKUP(B229,input_503103!L:R,7,FALSE),VLOOKUP(tables_503103!C229,input_503103!A:H,8,FALSE))</f>
        <v>633.6</v>
      </c>
      <c r="P229" s="40">
        <f ca="1">O229/SUM(O:O)</f>
        <v>3.2326530611420261E-4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input_503103!A$2</f>
        <v>503103</v>
      </c>
      <c r="B230" s="6">
        <v>595</v>
      </c>
      <c r="C230" s="7" t="str">
        <f t="shared" si="9"/>
        <v>PremiumSS5</v>
      </c>
      <c r="D230" s="7" t="str">
        <f t="shared" si="10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1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IFERROR(VLOOKUP(B230,input_503103!L:R,7,FALSE),VLOOKUP(tables_503103!C230,input_503103!A:H,8,FALSE))</f>
        <v>70.400000000000006</v>
      </c>
      <c r="P230" s="40">
        <f ca="1">O230/SUM(O:O)</f>
        <v>3.5918367346022515E-5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input_503103!A$2</f>
        <v>503103</v>
      </c>
      <c r="B231" s="6">
        <v>596</v>
      </c>
      <c r="C231" s="7" t="str">
        <f t="shared" si="9"/>
        <v>Premium3color</v>
      </c>
      <c r="D231" s="7" t="str">
        <f t="shared" si="10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1"/>
        <v>color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IFERROR(VLOOKUP(B231,input_503103!L:R,7,FALSE),VLOOKUP(tables_503103!C231,input_503103!A:H,8,FALSE))</f>
        <v>0</v>
      </c>
      <c r="P231" s="40">
        <f ca="1">O231/SUM(O:O)</f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input_503103!A$2</f>
        <v>503103</v>
      </c>
      <c r="B232" s="6">
        <v>597</v>
      </c>
      <c r="C232" s="7" t="str">
        <f t="shared" si="9"/>
        <v>Premium4color</v>
      </c>
      <c r="D232" s="7" t="str">
        <f t="shared" si="10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1"/>
        <v>color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IFERROR(VLOOKUP(B232,input_503103!L:R,7,FALSE),VLOOKUP(tables_503103!C232,input_503103!A:H,8,FALSE))</f>
        <v>38688.373319999999</v>
      </c>
      <c r="P232" s="40">
        <f ca="1">O232/SUM(O:O)</f>
        <v>1.9738965979088301E-2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input_503103!A$2</f>
        <v>503103</v>
      </c>
      <c r="B233" s="6">
        <v>598</v>
      </c>
      <c r="C233" s="7" t="str">
        <f t="shared" si="9"/>
        <v>Premium5color</v>
      </c>
      <c r="D233" s="7" t="str">
        <f t="shared" si="10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1"/>
        <v>color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IFERROR(VLOOKUP(B233,input_503103!L:R,7,FALSE),VLOOKUP(tables_503103!C233,input_503103!A:H,8,FALSE))</f>
        <v>4625.6000000000004</v>
      </c>
      <c r="P233" s="40">
        <f ca="1">O233/SUM(O:O)</f>
        <v>2.3599999999397974E-3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input_503103!A$2</f>
        <v>503103</v>
      </c>
      <c r="B234" s="6">
        <v>599</v>
      </c>
      <c r="C234" s="7" t="str">
        <f t="shared" si="9"/>
        <v>Premium3</v>
      </c>
      <c r="D234" s="7" t="str">
        <f t="shared" si="10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1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IFERROR(VLOOKUP(B234,input_503103!L:R,7,FALSE),VLOOKUP(tables_503103!C234,input_503103!A:H,8,FALSE))</f>
        <v>0</v>
      </c>
      <c r="P234" s="40">
        <f ca="1">O234/SUM(O:O)</f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input_503103!A$2</f>
        <v>503103</v>
      </c>
      <c r="B235" s="6">
        <v>600</v>
      </c>
      <c r="C235" s="7" t="str">
        <f t="shared" si="9"/>
        <v>Premium4</v>
      </c>
      <c r="D235" s="7" t="str">
        <f t="shared" si="10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1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IFERROR(VLOOKUP(B235,input_503103!L:R,7,FALSE),VLOOKUP(tables_503103!C235,input_503103!A:H,8,FALSE))</f>
        <v>8850.5120000000006</v>
      </c>
      <c r="P235" s="40">
        <f ca="1">O235/SUM(O:O)</f>
        <v>4.5155673468235853E-3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input_503103!A$2</f>
        <v>503103</v>
      </c>
      <c r="B236" s="6">
        <v>601</v>
      </c>
      <c r="C236" s="7" t="str">
        <f t="shared" si="9"/>
        <v>Premium5</v>
      </c>
      <c r="D236" s="7" t="str">
        <f t="shared" si="10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1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IFERROR(VLOOKUP(B236,input_503103!L:R,7,FALSE),VLOOKUP(tables_503103!C236,input_503103!A:H,8,FALSE))</f>
        <v>252.28800000000001</v>
      </c>
      <c r="P236" s="40">
        <f ca="1">O236/SUM(O:O)</f>
        <v>1.2871836734365522E-4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input_503103!A$2</f>
        <v>503103</v>
      </c>
      <c r="B237" s="6">
        <v>602</v>
      </c>
      <c r="C237" s="7" t="str">
        <f t="shared" si="9"/>
        <v>PremiumSS4</v>
      </c>
      <c r="D237" s="7" t="str">
        <f t="shared" si="10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1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IFERROR(VLOOKUP(B237,input_503103!L:R,7,FALSE),VLOOKUP(tables_503103!C237,input_503103!A:H,8,FALSE))</f>
        <v>633.6</v>
      </c>
      <c r="P237" s="40">
        <f ca="1">O237/SUM(O:O)</f>
        <v>3.2326530611420261E-4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input_503103!A$2</f>
        <v>503103</v>
      </c>
      <c r="B238" s="6">
        <v>603</v>
      </c>
      <c r="C238" s="7" t="str">
        <f t="shared" si="9"/>
        <v>PremiumSS5</v>
      </c>
      <c r="D238" s="7" t="str">
        <f t="shared" si="10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1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IFERROR(VLOOKUP(B238,input_503103!L:R,7,FALSE),VLOOKUP(tables_503103!C238,input_503103!A:H,8,FALSE))</f>
        <v>70.400000000000006</v>
      </c>
      <c r="P238" s="40">
        <f ca="1">O238/SUM(O:O)</f>
        <v>3.5918367346022515E-5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input_503103!A$2</f>
        <v>503103</v>
      </c>
      <c r="B239" s="6">
        <v>604</v>
      </c>
      <c r="C239" s="7" t="str">
        <f t="shared" si="9"/>
        <v>Premium3</v>
      </c>
      <c r="D239" s="7" t="str">
        <f t="shared" si="10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1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IFERROR(VLOOKUP(B239,input_503103!L:R,7,FALSE),VLOOKUP(tables_503103!C239,input_503103!A:H,8,FALSE))</f>
        <v>0</v>
      </c>
      <c r="P239" s="40">
        <f ca="1">O239/SUM(O:O)</f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input_503103!A$2</f>
        <v>503103</v>
      </c>
      <c r="B240" s="6">
        <v>605</v>
      </c>
      <c r="C240" s="7" t="str">
        <f t="shared" si="9"/>
        <v>Premium4</v>
      </c>
      <c r="D240" s="7" t="str">
        <f t="shared" si="10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1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IFERROR(VLOOKUP(B240,input_503103!L:R,7,FALSE),VLOOKUP(tables_503103!C240,input_503103!A:H,8,FALSE))</f>
        <v>8850.5120000000006</v>
      </c>
      <c r="P240" s="40">
        <f ca="1">O240/SUM(O:O)</f>
        <v>4.5155673468235853E-3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input_503103!A$2</f>
        <v>503103</v>
      </c>
      <c r="B241" s="6">
        <v>606</v>
      </c>
      <c r="C241" s="7" t="str">
        <f t="shared" si="9"/>
        <v>Premium5</v>
      </c>
      <c r="D241" s="7" t="str">
        <f t="shared" si="10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1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IFERROR(VLOOKUP(B241,input_503103!L:R,7,FALSE),VLOOKUP(tables_503103!C241,input_503103!A:H,8,FALSE))</f>
        <v>252.28800000000001</v>
      </c>
      <c r="P241" s="40">
        <f ca="1">O241/SUM(O:O)</f>
        <v>1.2871836734365522E-4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input_503103!A$2</f>
        <v>503103</v>
      </c>
      <c r="B242" s="6">
        <v>658</v>
      </c>
      <c r="C242" s="7" t="str">
        <f t="shared" si="9"/>
        <v>PremiumSS4color</v>
      </c>
      <c r="D242" s="7" t="str">
        <f t="shared" si="10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1"/>
        <v>color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IFERROR(VLOOKUP(B242,input_503103!L:R,7,FALSE),VLOOKUP(tables_503103!C242,input_503103!A:H,8,FALSE))</f>
        <v>3104.64</v>
      </c>
      <c r="P242" s="40">
        <f ca="1">O242/SUM(O:O)</f>
        <v>1.5839999999595926E-3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input_503103!A$2</f>
        <v>503103</v>
      </c>
      <c r="B243" s="6">
        <v>659</v>
      </c>
      <c r="C243" s="7" t="str">
        <f t="shared" si="9"/>
        <v>PremiumSS5color</v>
      </c>
      <c r="D243" s="7" t="str">
        <f t="shared" si="10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1"/>
        <v>color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IFERROR(VLOOKUP(B243,input_503103!L:R,7,FALSE),VLOOKUP(tables_503103!C243,input_503103!A:H,8,FALSE))</f>
        <v>344.96</v>
      </c>
      <c r="P243" s="40">
        <f ca="1">O243/SUM(O:O)</f>
        <v>1.7599999999551029E-4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input_503103!A$2</f>
        <v>503103</v>
      </c>
      <c r="B244" s="6">
        <v>660</v>
      </c>
      <c r="C244" s="7" t="str">
        <f t="shared" si="9"/>
        <v>PremiumSS4</v>
      </c>
      <c r="D244" s="7" t="str">
        <f t="shared" si="10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1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IFERROR(VLOOKUP(B244,input_503103!L:R,7,FALSE),VLOOKUP(tables_503103!C244,input_503103!A:H,8,FALSE))</f>
        <v>633.6</v>
      </c>
      <c r="P244" s="40">
        <f ca="1">O244/SUM(O:O)</f>
        <v>3.2326530611420261E-4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input_503103!A$2</f>
        <v>503103</v>
      </c>
      <c r="B245" s="52">
        <v>661</v>
      </c>
      <c r="C245" s="7" t="str">
        <f t="shared" si="9"/>
        <v>PremiumSS5</v>
      </c>
      <c r="D245" s="7" t="str">
        <f t="shared" si="10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1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IFERROR(VLOOKUP(B245,input_503103!L:R,7,FALSE),VLOOKUP(tables_503103!C245,input_503103!A:H,8,FALSE))</f>
        <v>70.400000000000006</v>
      </c>
      <c r="P245" s="40">
        <f ca="1">O245/SUM(O:O)</f>
        <v>3.5918367346022515E-5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input_503103!A$2</f>
        <v>503103</v>
      </c>
      <c r="B246" s="52">
        <v>662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1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IFERROR(VLOOKUP(B246,input_503103!L:R,7,FALSE),VLOOKUP(tables_503103!C246,input_503103!A:H,8,FALSE))</f>
        <v>0</v>
      </c>
      <c r="P246" s="40">
        <f ca="1">O246/SUM(O:O)</f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input_503103!A$2</f>
        <v>503103</v>
      </c>
      <c r="B247" s="52">
        <v>663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1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IFERROR(VLOOKUP(B247,input_503103!L:R,7,FALSE),VLOOKUP(tables_503103!C247,input_503103!A:H,8,FALSE))</f>
        <v>8850.5120000000006</v>
      </c>
      <c r="P247" s="40">
        <f ca="1">O247/SUM(O:O)</f>
        <v>4.5155673468235853E-3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input_503103!A$2</f>
        <v>503103</v>
      </c>
      <c r="B248" s="52">
        <v>664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1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IFERROR(VLOOKUP(B248,input_503103!L:R,7,FALSE),VLOOKUP(tables_503103!C248,input_503103!A:H,8,FALSE))</f>
        <v>252.28800000000001</v>
      </c>
      <c r="P248" s="40">
        <f ca="1">O248/SUM(O:O)</f>
        <v>1.2871836734365522E-4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input_503103!A$2</f>
        <v>503103</v>
      </c>
      <c r="B249" s="52">
        <v>665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1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IFERROR(VLOOKUP(B249,input_503103!L:R,7,FALSE),VLOOKUP(tables_503103!C249,input_503103!A:H,8,FALSE))</f>
        <v>0</v>
      </c>
      <c r="P249" s="40">
        <f ca="1">O249/SUM(O:O)</f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input_503103!A$2</f>
        <v>503103</v>
      </c>
      <c r="B250" s="52">
        <v>666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1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IFERROR(VLOOKUP(B250,input_503103!L:R,7,FALSE),VLOOKUP(tables_503103!C250,input_503103!A:H,8,FALSE))</f>
        <v>8850.5120000000006</v>
      </c>
      <c r="P250" s="40">
        <f ca="1">O250/SUM(O:O)</f>
        <v>4.5155673468235853E-3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input_503103!A$2</f>
        <v>503103</v>
      </c>
      <c r="B251" s="52">
        <v>667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1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IFERROR(VLOOKUP(B251,input_503103!L:R,7,FALSE),VLOOKUP(tables_503103!C251,input_503103!A:H,8,FALSE))</f>
        <v>252.28800000000001</v>
      </c>
      <c r="P251" s="40">
        <f ca="1">O251/SUM(O:O)</f>
        <v>1.2871836734365522E-4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input_503103!A$2</f>
        <v>503103</v>
      </c>
      <c r="B252" s="52">
        <v>668</v>
      </c>
      <c r="C252" s="7" t="str">
        <f t="shared" si="9"/>
        <v>Premium3color</v>
      </c>
      <c r="D252" s="7" t="str">
        <f t="shared" si="10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1"/>
        <v>color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IFERROR(VLOOKUP(B252,input_503103!L:R,7,FALSE),VLOOKUP(tables_503103!C252,input_503103!A:H,8,FALSE))</f>
        <v>0</v>
      </c>
      <c r="P252" s="40">
        <f ca="1">O252/SUM(O:O)</f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input_503103!A$2</f>
        <v>503103</v>
      </c>
      <c r="B253" s="52">
        <v>669</v>
      </c>
      <c r="C253" s="7" t="str">
        <f t="shared" si="9"/>
        <v>Premium4color</v>
      </c>
      <c r="D253" s="7" t="str">
        <f t="shared" si="10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1"/>
        <v>color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IFERROR(VLOOKUP(B253,input_503103!L:R,7,FALSE),VLOOKUP(tables_503103!C253,input_503103!A:H,8,FALSE))</f>
        <v>38688.373319999999</v>
      </c>
      <c r="P253" s="40">
        <f ca="1">O253/SUM(O:O)</f>
        <v>1.9738965979088301E-2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input_503103!A$2</f>
        <v>503103</v>
      </c>
      <c r="B254" s="52">
        <v>670</v>
      </c>
      <c r="C254" s="7" t="str">
        <f t="shared" si="9"/>
        <v>Premium5color</v>
      </c>
      <c r="D254" s="7" t="str">
        <f t="shared" si="10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1"/>
        <v>color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IFERROR(VLOOKUP(B254,input_503103!L:R,7,FALSE),VLOOKUP(tables_503103!C254,input_503103!A:H,8,FALSE))</f>
        <v>4625.6000000000004</v>
      </c>
      <c r="P254" s="40">
        <f ca="1">O254/SUM(O:O)</f>
        <v>2.3599999999397974E-3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input_503103!A$2</f>
        <v>503103</v>
      </c>
      <c r="B255" s="52">
        <v>671</v>
      </c>
      <c r="C255" s="7" t="str">
        <f t="shared" si="9"/>
        <v>Premium3</v>
      </c>
      <c r="D255" s="7" t="str">
        <f t="shared" si="10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1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IFERROR(VLOOKUP(B255,input_503103!L:R,7,FALSE),VLOOKUP(tables_503103!C255,input_503103!A:H,8,FALSE))</f>
        <v>0</v>
      </c>
      <c r="P255" s="40">
        <f ca="1">O255/SUM(O:O)</f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input_503103!A$2</f>
        <v>503103</v>
      </c>
      <c r="B256" s="52">
        <v>672</v>
      </c>
      <c r="C256" s="7" t="str">
        <f t="shared" si="9"/>
        <v>Premium4</v>
      </c>
      <c r="D256" s="7" t="str">
        <f t="shared" si="10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1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IFERROR(VLOOKUP(B256,input_503103!L:R,7,FALSE),VLOOKUP(tables_503103!C256,input_503103!A:H,8,FALSE))</f>
        <v>8850.5120000000006</v>
      </c>
      <c r="P256" s="40">
        <f ca="1">O256/SUM(O:O)</f>
        <v>4.5155673468235853E-3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input_503103!A$2</f>
        <v>503103</v>
      </c>
      <c r="B257" s="52">
        <v>673</v>
      </c>
      <c r="C257" s="7" t="str">
        <f t="shared" si="9"/>
        <v>Premium5</v>
      </c>
      <c r="D257" s="7" t="str">
        <f t="shared" si="10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1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IFERROR(VLOOKUP(B257,input_503103!L:R,7,FALSE),VLOOKUP(tables_503103!C257,input_503103!A:H,8,FALSE))</f>
        <v>252.28800000000001</v>
      </c>
      <c r="P257" s="40">
        <f ca="1">O257/SUM(O:O)</f>
        <v>1.2871836734365522E-4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input_503103!A$2</f>
        <v>503103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0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1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IFERROR(VLOOKUP(B258,input_503103!L:R,7,FALSE),VLOOKUP(tables_503103!C258,input_503103!A:H,8,FALSE))</f>
        <v>633.6</v>
      </c>
      <c r="P258" s="40">
        <f ca="1">O258/SUM(O:O)</f>
        <v>3.2326530611420261E-4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input_503103!A$2</f>
        <v>503103</v>
      </c>
      <c r="B259" s="52">
        <v>675</v>
      </c>
      <c r="C259" s="7" t="str">
        <f t="shared" si="12"/>
        <v>PremiumSS5</v>
      </c>
      <c r="D259" s="7" t="str">
        <f t="shared" ref="D259:D322" si="13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4">IF(K259="red","color","")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IFERROR(VLOOKUP(B259,input_503103!L:R,7,FALSE),VLOOKUP(tables_503103!C259,input_503103!A:H,8,FALSE))</f>
        <v>70.400000000000006</v>
      </c>
      <c r="P259" s="40">
        <f ca="1">O259/SUM(O:O)</f>
        <v>3.5918367346022515E-5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input_503103!A$2</f>
        <v>503103</v>
      </c>
      <c r="B260" s="52">
        <v>676</v>
      </c>
      <c r="C260" s="7" t="str">
        <f t="shared" si="12"/>
        <v>PremiumSS4</v>
      </c>
      <c r="D260" s="7" t="str">
        <f t="shared" si="13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4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IFERROR(VLOOKUP(B260,input_503103!L:R,7,FALSE),VLOOKUP(tables_503103!C260,input_503103!A:H,8,FALSE))</f>
        <v>633.6</v>
      </c>
      <c r="P260" s="40">
        <f ca="1">O260/SUM(O:O)</f>
        <v>3.2326530611420261E-4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input_503103!A$2</f>
        <v>503103</v>
      </c>
      <c r="B261" s="52">
        <v>677</v>
      </c>
      <c r="C261" s="7" t="str">
        <f t="shared" si="12"/>
        <v>PremiumSS5</v>
      </c>
      <c r="D261" s="7" t="str">
        <f t="shared" si="13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4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IFERROR(VLOOKUP(B261,input_503103!L:R,7,FALSE),VLOOKUP(tables_503103!C261,input_503103!A:H,8,FALSE))</f>
        <v>70.400000000000006</v>
      </c>
      <c r="P261" s="40">
        <f ca="1">O261/SUM(O:O)</f>
        <v>3.5918367346022515E-5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input_503103!A$2</f>
        <v>503103</v>
      </c>
      <c r="B262" s="52">
        <v>728</v>
      </c>
      <c r="C262" s="7" t="str">
        <f t="shared" si="12"/>
        <v>Premium4R3lesscolor</v>
      </c>
      <c r="D262" s="7" t="str">
        <f t="shared" si="13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4"/>
        <v>color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IFERROR(VLOOKUP(B262,input_503103!L:R,7,FALSE),VLOOKUP(tables_503103!C262,input_503103!A:H,8,FALSE))</f>
        <v>38759.520020000004</v>
      </c>
      <c r="P262" s="40">
        <f ca="1">O262/SUM(O:O)</f>
        <v>1.977526531582207E-2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input_503103!A$2</f>
        <v>503103</v>
      </c>
      <c r="B263" s="52">
        <v>729</v>
      </c>
      <c r="C263" s="7" t="str">
        <f t="shared" si="12"/>
        <v>Premium5R3lesscolor</v>
      </c>
      <c r="D263" s="7" t="str">
        <f t="shared" si="13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4"/>
        <v>color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IFERROR(VLOOKUP(B263,input_503103!L:R,7,FALSE),VLOOKUP(tables_503103!C263,input_503103!A:H,8,FALSE))</f>
        <v>4625.6000000000004</v>
      </c>
      <c r="P263" s="40">
        <f ca="1">O263/SUM(O:O)</f>
        <v>2.3599999999397974E-3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input_503103!A$2</f>
        <v>503103</v>
      </c>
      <c r="B264" s="52">
        <v>730</v>
      </c>
      <c r="C264" s="7" t="str">
        <f t="shared" si="12"/>
        <v>Premium4R3less</v>
      </c>
      <c r="D264" s="7" t="str">
        <f t="shared" si="13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4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IFERROR(VLOOKUP(B264,input_503103!L:R,7,FALSE),VLOOKUP(tables_503103!C264,input_503103!A:H,8,FALSE))</f>
        <v>13066.98667</v>
      </c>
      <c r="P264" s="40">
        <f ca="1">O264/SUM(O:O)</f>
        <v>6.6668299335034004E-3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input_503103!A$2</f>
        <v>503103</v>
      </c>
      <c r="B265" s="52">
        <v>731</v>
      </c>
      <c r="C265" s="7" t="str">
        <f t="shared" si="12"/>
        <v>Premium5R3less</v>
      </c>
      <c r="D265" s="7" t="str">
        <f t="shared" si="13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4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IFERROR(VLOOKUP(B265,input_503103!L:R,7,FALSE),VLOOKUP(tables_503103!C265,input_503103!A:H,8,FALSE))</f>
        <v>1057.28</v>
      </c>
      <c r="P265" s="40">
        <f ca="1">O265/SUM(O:O)</f>
        <v>5.3942857141481076E-4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input_503103!A$2</f>
        <v>503103</v>
      </c>
      <c r="B266" s="52">
        <v>732</v>
      </c>
      <c r="C266" s="7" t="str">
        <f t="shared" si="12"/>
        <v>PremiumSS5R5only</v>
      </c>
      <c r="D266" s="7" t="str">
        <f t="shared" si="13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4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IFERROR(VLOOKUP(B266,input_503103!L:R,7,FALSE),VLOOKUP(tables_503103!C266,input_503103!A:H,8,FALSE))</f>
        <v>704</v>
      </c>
      <c r="P266" s="40">
        <f ca="1">O266/SUM(O:O)</f>
        <v>3.5918367346022509E-4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input_503103!A$2</f>
        <v>503103</v>
      </c>
      <c r="B267" s="52">
        <v>734</v>
      </c>
      <c r="C267" s="7" t="str">
        <f t="shared" si="12"/>
        <v>PremiumSS5R5only</v>
      </c>
      <c r="D267" s="7" t="str">
        <f t="shared" si="13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4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IFERROR(VLOOKUP(B267,input_503103!L:R,7,FALSE),VLOOKUP(tables_503103!C267,input_503103!A:H,8,FALSE))</f>
        <v>704</v>
      </c>
      <c r="P267" s="40">
        <f ca="1">O267/SUM(O:O)</f>
        <v>3.5918367346022509E-4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input_503103!A$2</f>
        <v>503103</v>
      </c>
      <c r="B268" s="52">
        <v>742</v>
      </c>
      <c r="C268" s="7" t="str">
        <f t="shared" si="12"/>
        <v>PremiumSS5R5onlycolor</v>
      </c>
      <c r="D268" s="7" t="str">
        <f t="shared" si="13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4"/>
        <v>color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IFERROR(VLOOKUP(B268,input_503103!L:R,7,FALSE),VLOOKUP(tables_503103!C268,input_503103!A:H,8,FALSE))</f>
        <v>4400.3999999999996</v>
      </c>
      <c r="P268" s="40">
        <f ca="1">O268/SUM(O:O)</f>
        <v>2.2451020407590547E-3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input_503103!A$2</f>
        <v>503103</v>
      </c>
      <c r="B269" s="52">
        <v>744</v>
      </c>
      <c r="C269" s="7" t="str">
        <f t="shared" si="12"/>
        <v>PremiumSS5R5only</v>
      </c>
      <c r="D269" s="7" t="str">
        <f t="shared" si="13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4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IFERROR(VLOOKUP(B269,input_503103!L:R,7,FALSE),VLOOKUP(tables_503103!C269,input_503103!A:H,8,FALSE))</f>
        <v>704</v>
      </c>
      <c r="P269" s="40">
        <f ca="1">O269/SUM(O:O)</f>
        <v>3.5918367346022509E-4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input_503103!A$2</f>
        <v>503103</v>
      </c>
      <c r="B270" s="52">
        <v>746</v>
      </c>
      <c r="C270" s="7" t="str">
        <f t="shared" si="12"/>
        <v>Premium4R3less</v>
      </c>
      <c r="D270" s="7" t="str">
        <f t="shared" si="13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4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IFERROR(VLOOKUP(B270,input_503103!L:R,7,FALSE),VLOOKUP(tables_503103!C270,input_503103!A:H,8,FALSE))</f>
        <v>13066.98667</v>
      </c>
      <c r="P270" s="40">
        <f ca="1">O270/SUM(O:O)</f>
        <v>6.6668299335034004E-3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input_503103!A$2</f>
        <v>503103</v>
      </c>
      <c r="B271" s="72">
        <v>747</v>
      </c>
      <c r="C271" s="7" t="str">
        <f t="shared" si="12"/>
        <v>Premium5R3less</v>
      </c>
      <c r="D271" s="7" t="str">
        <f t="shared" si="13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4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IFERROR(VLOOKUP(B271,input_503103!L:R,7,FALSE),VLOOKUP(tables_503103!C271,input_503103!A:H,8,FALSE))</f>
        <v>1057.28</v>
      </c>
      <c r="P271" s="40">
        <f ca="1">O271/SUM(O:O)</f>
        <v>5.3942857141481076E-4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input_503103!A$2</f>
        <v>503103</v>
      </c>
      <c r="B272" s="72">
        <v>748</v>
      </c>
      <c r="C272" s="7" t="str">
        <f t="shared" si="12"/>
        <v>Premium4R3less</v>
      </c>
      <c r="D272" s="7" t="str">
        <f t="shared" si="13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4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IFERROR(VLOOKUP(B272,input_503103!L:R,7,FALSE),VLOOKUP(tables_503103!C272,input_503103!A:H,8,FALSE))</f>
        <v>13066.98667</v>
      </c>
      <c r="P272" s="40">
        <f ca="1">O272/SUM(O:O)</f>
        <v>6.6668299335034004E-3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input_503103!A$2</f>
        <v>503103</v>
      </c>
      <c r="B273" s="72">
        <v>749</v>
      </c>
      <c r="C273" s="7" t="str">
        <f t="shared" si="12"/>
        <v>Premium5R3less</v>
      </c>
      <c r="D273" s="7" t="str">
        <f t="shared" si="13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4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IFERROR(VLOOKUP(B273,input_503103!L:R,7,FALSE),VLOOKUP(tables_503103!C273,input_503103!A:H,8,FALSE))</f>
        <v>1057.28</v>
      </c>
      <c r="P273" s="40">
        <f ca="1">O273/SUM(O:O)</f>
        <v>5.3942857141481076E-4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input_503103!A$2</f>
        <v>503103</v>
      </c>
      <c r="B274" s="72">
        <v>770</v>
      </c>
      <c r="C274" s="7" t="str">
        <f t="shared" si="12"/>
        <v>PremiumSS4color</v>
      </c>
      <c r="D274" s="7" t="str">
        <f t="shared" si="13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4"/>
        <v>color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IFERROR(VLOOKUP(B274,input_503103!L:R,7,FALSE),VLOOKUP(tables_503103!C274,input_503103!A:H,8,FALSE))</f>
        <v>3104.64</v>
      </c>
      <c r="P274" s="40">
        <f ca="1">O274/SUM(O:O)</f>
        <v>1.5839999999595926E-3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input_503103!A$2</f>
        <v>503103</v>
      </c>
      <c r="B275" s="72">
        <v>771</v>
      </c>
      <c r="C275" s="7" t="str">
        <f t="shared" si="12"/>
        <v>PremiumSS5color</v>
      </c>
      <c r="D275" s="7" t="str">
        <f t="shared" si="13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4"/>
        <v>color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IFERROR(VLOOKUP(B275,input_503103!L:R,7,FALSE),VLOOKUP(tables_503103!C275,input_503103!A:H,8,FALSE))</f>
        <v>344.96</v>
      </c>
      <c r="P275" s="40">
        <f ca="1">O275/SUM(O:O)</f>
        <v>1.7599999999551029E-4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input_503103!A$2</f>
        <v>503103</v>
      </c>
      <c r="B276" s="72">
        <v>772</v>
      </c>
      <c r="C276" s="7" t="str">
        <f t="shared" si="12"/>
        <v>PremiumSS4</v>
      </c>
      <c r="D276" s="7" t="str">
        <f t="shared" si="13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4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IFERROR(VLOOKUP(B276,input_503103!L:R,7,FALSE),VLOOKUP(tables_503103!C276,input_503103!A:H,8,FALSE))</f>
        <v>633.6</v>
      </c>
      <c r="P276" s="40">
        <f ca="1">O276/SUM(O:O)</f>
        <v>3.2326530611420261E-4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input_503103!A$2</f>
        <v>503103</v>
      </c>
      <c r="B277" s="72">
        <v>773</v>
      </c>
      <c r="C277" s="7" t="str">
        <f t="shared" si="12"/>
        <v>PremiumSS5</v>
      </c>
      <c r="D277" s="7" t="str">
        <f t="shared" si="13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4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IFERROR(VLOOKUP(B277,input_503103!L:R,7,FALSE),VLOOKUP(tables_503103!C277,input_503103!A:H,8,FALSE))</f>
        <v>70.400000000000006</v>
      </c>
      <c r="P277" s="40">
        <f ca="1">O277/SUM(O:O)</f>
        <v>3.5918367346022515E-5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input_503103!A$2</f>
        <v>503103</v>
      </c>
      <c r="B278" s="72">
        <v>774</v>
      </c>
      <c r="C278" s="7" t="str">
        <f t="shared" si="12"/>
        <v>Premium3</v>
      </c>
      <c r="D278" s="7" t="str">
        <f t="shared" si="13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4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IFERROR(VLOOKUP(B278,input_503103!L:R,7,FALSE),VLOOKUP(tables_503103!C278,input_503103!A:H,8,FALSE))</f>
        <v>0</v>
      </c>
      <c r="P278" s="40">
        <f ca="1">O278/SUM(O:O)</f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input_503103!A$2</f>
        <v>503103</v>
      </c>
      <c r="B279" s="72">
        <v>775</v>
      </c>
      <c r="C279" s="7" t="str">
        <f t="shared" si="12"/>
        <v>Premium4</v>
      </c>
      <c r="D279" s="7" t="str">
        <f t="shared" si="13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4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IFERROR(VLOOKUP(B279,input_503103!L:R,7,FALSE),VLOOKUP(tables_503103!C279,input_503103!A:H,8,FALSE))</f>
        <v>8850.5120000000006</v>
      </c>
      <c r="P279" s="40">
        <f ca="1">O279/SUM(O:O)</f>
        <v>4.5155673468235853E-3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input_503103!A$2</f>
        <v>503103</v>
      </c>
      <c r="B280" s="72">
        <v>776</v>
      </c>
      <c r="C280" s="7" t="str">
        <f t="shared" si="12"/>
        <v>Premium5</v>
      </c>
      <c r="D280" s="7" t="str">
        <f t="shared" si="13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4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IFERROR(VLOOKUP(B280,input_503103!L:R,7,FALSE),VLOOKUP(tables_503103!C280,input_503103!A:H,8,FALSE))</f>
        <v>252.28800000000001</v>
      </c>
      <c r="P280" s="40">
        <f ca="1">O280/SUM(O:O)</f>
        <v>1.2871836734365522E-4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input_503103!A$2</f>
        <v>503103</v>
      </c>
      <c r="B281" s="72">
        <v>777</v>
      </c>
      <c r="C281" s="7" t="str">
        <f t="shared" si="12"/>
        <v>Premium3</v>
      </c>
      <c r="D281" s="7" t="str">
        <f t="shared" si="13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4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IFERROR(VLOOKUP(B281,input_503103!L:R,7,FALSE),VLOOKUP(tables_503103!C281,input_503103!A:H,8,FALSE))</f>
        <v>0</v>
      </c>
      <c r="P281" s="40">
        <f ca="1">O281/SUM(O:O)</f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input_503103!A$2</f>
        <v>503103</v>
      </c>
      <c r="B282" s="72">
        <v>778</v>
      </c>
      <c r="C282" s="7" t="str">
        <f t="shared" si="12"/>
        <v>Premium4</v>
      </c>
      <c r="D282" s="7" t="str">
        <f t="shared" si="13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4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IFERROR(VLOOKUP(B282,input_503103!L:R,7,FALSE),VLOOKUP(tables_503103!C282,input_503103!A:H,8,FALSE))</f>
        <v>8850.5120000000006</v>
      </c>
      <c r="P282" s="40">
        <f ca="1">O282/SUM(O:O)</f>
        <v>4.5155673468235853E-3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input_503103!A$2</f>
        <v>503103</v>
      </c>
      <c r="B283" s="5">
        <v>779</v>
      </c>
      <c r="C283" s="7" t="str">
        <f t="shared" si="12"/>
        <v>Premium5</v>
      </c>
      <c r="D283" s="7" t="str">
        <f t="shared" si="13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4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IFERROR(VLOOKUP(B283,input_503103!L:R,7,FALSE),VLOOKUP(tables_503103!C283,input_503103!A:H,8,FALSE))</f>
        <v>252.28800000000001</v>
      </c>
      <c r="P283" s="40">
        <f ca="1">O283/SUM(O:O)</f>
        <v>1.2871836734365522E-4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input_503103!A$2</f>
        <v>503103</v>
      </c>
      <c r="B284" s="5">
        <v>848</v>
      </c>
      <c r="C284" s="7" t="str">
        <f t="shared" si="12"/>
        <v>PremiumSS5R5onlycolor</v>
      </c>
      <c r="D284" s="7" t="str">
        <f t="shared" si="13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4"/>
        <v>color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IFERROR(VLOOKUP(B284,input_503103!L:R,7,FALSE),VLOOKUP(tables_503103!C284,input_503103!A:H,8,FALSE))</f>
        <v>4400.3999999999996</v>
      </c>
      <c r="P284" s="40">
        <f ca="1">O284/SUM(O:O)</f>
        <v>2.2451020407590547E-3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input_503103!A$2</f>
        <v>503103</v>
      </c>
      <c r="B285" s="5">
        <v>850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4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IFERROR(VLOOKUP(B285,input_503103!L:R,7,FALSE),VLOOKUP(tables_503103!C285,input_503103!A:H,8,FALSE))</f>
        <v>704</v>
      </c>
      <c r="P285" s="40">
        <f ca="1">O285/SUM(O:O)</f>
        <v>3.5918367346022509E-4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input_503103!A$2</f>
        <v>503103</v>
      </c>
      <c r="B286" s="5">
        <v>852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4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IFERROR(VLOOKUP(B286,input_503103!L:R,7,FALSE),VLOOKUP(tables_503103!C286,input_503103!A:H,8,FALSE))</f>
        <v>13066.98667</v>
      </c>
      <c r="P286" s="40">
        <f ca="1">O286/SUM(O:O)</f>
        <v>6.6668299335034004E-3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input_503103!A$2</f>
        <v>503103</v>
      </c>
      <c r="B287" s="5">
        <v>853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4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IFERROR(VLOOKUP(B287,input_503103!L:R,7,FALSE),VLOOKUP(tables_503103!C287,input_503103!A:H,8,FALSE))</f>
        <v>1057.28</v>
      </c>
      <c r="P287" s="40">
        <f ca="1">O287/SUM(O:O)</f>
        <v>5.3942857141481076E-4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input_503103!A$2</f>
        <v>503103</v>
      </c>
      <c r="B288" s="5">
        <v>854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4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IFERROR(VLOOKUP(B288,input_503103!L:R,7,FALSE),VLOOKUP(tables_503103!C288,input_503103!A:H,8,FALSE))</f>
        <v>13066.98667</v>
      </c>
      <c r="P288" s="40">
        <f ca="1">O288/SUM(O:O)</f>
        <v>6.6668299335034004E-3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input_503103!A$2</f>
        <v>503103</v>
      </c>
      <c r="B289" s="5">
        <v>855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4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IFERROR(VLOOKUP(B289,input_503103!L:R,7,FALSE),VLOOKUP(tables_503103!C289,input_503103!A:H,8,FALSE))</f>
        <v>1057.28</v>
      </c>
      <c r="P289" s="40">
        <f ca="1">O289/SUM(O:O)</f>
        <v>5.3942857141481076E-4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input_503103!A$2</f>
        <v>503103</v>
      </c>
      <c r="B290" s="5">
        <v>862</v>
      </c>
      <c r="C290" s="7" t="str">
        <f t="shared" si="12"/>
        <v>Premium4R3lesscolor</v>
      </c>
      <c r="D290" s="7" t="str">
        <f t="shared" si="13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4"/>
        <v>color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IFERROR(VLOOKUP(B290,input_503103!L:R,7,FALSE),VLOOKUP(tables_503103!C290,input_503103!A:H,8,FALSE))</f>
        <v>38759.520020000004</v>
      </c>
      <c r="P290" s="40">
        <f ca="1">O290/SUM(O:O)</f>
        <v>1.977526531582207E-2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input_503103!A$2</f>
        <v>503103</v>
      </c>
      <c r="B291" s="5">
        <v>863</v>
      </c>
      <c r="C291" s="7" t="str">
        <f t="shared" si="12"/>
        <v>Premium5R3lesscolor</v>
      </c>
      <c r="D291" s="7" t="str">
        <f t="shared" si="13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4"/>
        <v>color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IFERROR(VLOOKUP(B291,input_503103!L:R,7,FALSE),VLOOKUP(tables_503103!C291,input_503103!A:H,8,FALSE))</f>
        <v>4625.6000000000004</v>
      </c>
      <c r="P291" s="40">
        <f ca="1">O291/SUM(O:O)</f>
        <v>2.3599999999397974E-3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input_503103!A$2</f>
        <v>503103</v>
      </c>
      <c r="B292" s="5">
        <v>864</v>
      </c>
      <c r="C292" s="7" t="str">
        <f t="shared" si="12"/>
        <v>Premium4R3less</v>
      </c>
      <c r="D292" s="7" t="str">
        <f t="shared" si="13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4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IFERROR(VLOOKUP(B292,input_503103!L:R,7,FALSE),VLOOKUP(tables_503103!C292,input_503103!A:H,8,FALSE))</f>
        <v>13066.98667</v>
      </c>
      <c r="P292" s="40">
        <f ca="1">O292/SUM(O:O)</f>
        <v>6.6668299335034004E-3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input_503103!A$2</f>
        <v>503103</v>
      </c>
      <c r="B293" s="5">
        <v>865</v>
      </c>
      <c r="C293" s="7" t="str">
        <f t="shared" si="12"/>
        <v>Premium5R3less</v>
      </c>
      <c r="D293" s="7" t="str">
        <f t="shared" si="13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4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IFERROR(VLOOKUP(B293,input_503103!L:R,7,FALSE),VLOOKUP(tables_503103!C293,input_503103!A:H,8,FALSE))</f>
        <v>1057.28</v>
      </c>
      <c r="P293" s="40">
        <f ca="1">O293/SUM(O:O)</f>
        <v>5.3942857141481076E-4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input_503103!A$2</f>
        <v>503103</v>
      </c>
      <c r="B294" s="5">
        <v>866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4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IFERROR(VLOOKUP(B294,input_503103!L:R,7,FALSE),VLOOKUP(tables_503103!C294,input_503103!A:H,8,FALSE))</f>
        <v>704</v>
      </c>
      <c r="P294" s="40">
        <f ca="1">O294/SUM(O:O)</f>
        <v>3.5918367346022509E-4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input_503103!A$2</f>
        <v>503103</v>
      </c>
      <c r="B295" s="5">
        <v>868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4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IFERROR(VLOOKUP(B295,input_503103!L:R,7,FALSE),VLOOKUP(tables_503103!C295,input_503103!A:H,8,FALSE))</f>
        <v>704</v>
      </c>
      <c r="P295" s="40">
        <f ca="1">O295/SUM(O:O)</f>
        <v>3.5918367346022509E-4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input_503103!A$2</f>
        <v>503103</v>
      </c>
      <c r="B296" s="5">
        <v>937</v>
      </c>
      <c r="C296" s="7" t="str">
        <f t="shared" si="12"/>
        <v>PremiumSS5R5onlycolor</v>
      </c>
      <c r="D296" s="7" t="str">
        <f t="shared" si="13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4"/>
        <v>color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IFERROR(VLOOKUP(B296,input_503103!L:R,7,FALSE),VLOOKUP(tables_503103!C296,input_503103!A:H,8,FALSE))</f>
        <v>4400.3999999999996</v>
      </c>
      <c r="P296" s="40">
        <f ca="1">O296/SUM(O:O)</f>
        <v>2.2451020407590547E-3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input_503103!A$2</f>
        <v>503103</v>
      </c>
      <c r="B297" s="5">
        <v>939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4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IFERROR(VLOOKUP(B297,input_503103!L:R,7,FALSE),VLOOKUP(tables_503103!C297,input_503103!A:H,8,FALSE))</f>
        <v>13066.98667</v>
      </c>
      <c r="P297" s="40">
        <f ca="1">O297/SUM(O:O)</f>
        <v>6.6668299335034004E-3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input_503103!A$2</f>
        <v>503103</v>
      </c>
      <c r="B298" s="5">
        <v>940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4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IFERROR(VLOOKUP(B298,input_503103!L:R,7,FALSE),VLOOKUP(tables_503103!C298,input_503103!A:H,8,FALSE))</f>
        <v>1057.28</v>
      </c>
      <c r="P298" s="40">
        <f ca="1">O298/SUM(O:O)</f>
        <v>5.3942857141481076E-4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input_503103!A$2</f>
        <v>503103</v>
      </c>
      <c r="B299" s="5">
        <v>941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4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IFERROR(VLOOKUP(B299,input_503103!L:R,7,FALSE),VLOOKUP(tables_503103!C299,input_503103!A:H,8,FALSE))</f>
        <v>704</v>
      </c>
      <c r="P299" s="40">
        <f ca="1">O299/SUM(O:O)</f>
        <v>3.5918367346022509E-4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input_503103!A$2</f>
        <v>503103</v>
      </c>
      <c r="B300" s="5">
        <v>943</v>
      </c>
      <c r="C300" s="7" t="str">
        <f t="shared" si="12"/>
        <v>PremiumSS5R5only</v>
      </c>
      <c r="D300" s="7" t="str">
        <f t="shared" si="13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4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IFERROR(VLOOKUP(B300,input_503103!L:R,7,FALSE),VLOOKUP(tables_503103!C300,input_503103!A:H,8,FALSE))</f>
        <v>704</v>
      </c>
      <c r="P300" s="40">
        <f ca="1">O300/SUM(O:O)</f>
        <v>3.5918367346022509E-4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input_503103!A$2</f>
        <v>503103</v>
      </c>
      <c r="B301" s="5">
        <v>1012</v>
      </c>
      <c r="C301" s="7" t="str">
        <f t="shared" si="12"/>
        <v>PremiumSS5R5onlycolor</v>
      </c>
      <c r="D301" s="7" t="str">
        <f t="shared" si="13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4"/>
        <v>color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IFERROR(VLOOKUP(B301,input_503103!L:R,7,FALSE),VLOOKUP(tables_503103!C301,input_503103!A:H,8,FALSE))</f>
        <v>4400.3999999999996</v>
      </c>
      <c r="P301" s="40">
        <f ca="1">O301/SUM(O:O)</f>
        <v>2.2451020407590547E-3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input_503103!A$2</f>
        <v>503103</v>
      </c>
      <c r="B302" s="5">
        <v>1014</v>
      </c>
      <c r="C302" s="7" t="str">
        <f t="shared" si="12"/>
        <v>PremiumSS5R5only</v>
      </c>
      <c r="D302" s="7" t="str">
        <f t="shared" si="13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4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IFERROR(VLOOKUP(B302,input_503103!L:R,7,FALSE),VLOOKUP(tables_503103!C302,input_503103!A:H,8,FALSE))</f>
        <v>704</v>
      </c>
      <c r="P302" s="40">
        <f ca="1">O302/SUM(O:O)</f>
        <v>3.5918367346022509E-4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input_503103!A$2</f>
        <v>503103</v>
      </c>
      <c r="B303" s="5">
        <v>1016</v>
      </c>
      <c r="C303" s="7" t="str">
        <f t="shared" si="12"/>
        <v>Premium4R3less</v>
      </c>
      <c r="D303" s="7" t="str">
        <f t="shared" si="13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4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IFERROR(VLOOKUP(B303,input_503103!L:R,7,FALSE),VLOOKUP(tables_503103!C303,input_503103!A:H,8,FALSE))</f>
        <v>13066.98667</v>
      </c>
      <c r="P303" s="40">
        <f ca="1">O303/SUM(O:O)</f>
        <v>6.6668299335034004E-3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input_503103!A$2</f>
        <v>503103</v>
      </c>
      <c r="B304" s="5">
        <v>1017</v>
      </c>
      <c r="C304" s="7" t="str">
        <f t="shared" si="12"/>
        <v>Premium5R3less</v>
      </c>
      <c r="D304" s="7" t="str">
        <f t="shared" si="13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4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IFERROR(VLOOKUP(B304,input_503103!L:R,7,FALSE),VLOOKUP(tables_503103!C304,input_503103!A:H,8,FALSE))</f>
        <v>1057.28</v>
      </c>
      <c r="P304" s="40">
        <f ca="1">O304/SUM(O:O)</f>
        <v>5.3942857141481076E-4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input_503103!A$2</f>
        <v>503103</v>
      </c>
      <c r="B305" s="5">
        <v>1018</v>
      </c>
      <c r="C305" s="7" t="str">
        <f t="shared" si="12"/>
        <v>PremiumSS5R5only</v>
      </c>
      <c r="D305" s="7" t="str">
        <f t="shared" si="13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4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IFERROR(VLOOKUP(B305,input_503103!L:R,7,FALSE),VLOOKUP(tables_503103!C305,input_503103!A:H,8,FALSE))</f>
        <v>704</v>
      </c>
      <c r="P305" s="40">
        <f ca="1">O305/SUM(O:O)</f>
        <v>3.5918367346022509E-4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input_503103!A$2</f>
        <v>503103</v>
      </c>
      <c r="B306" s="5">
        <v>1026</v>
      </c>
      <c r="C306" s="7" t="str">
        <f t="shared" si="12"/>
        <v>Premium4R3lesscolor</v>
      </c>
      <c r="D306" s="7" t="str">
        <f t="shared" si="13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4"/>
        <v>color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IFERROR(VLOOKUP(B306,input_503103!L:R,7,FALSE),VLOOKUP(tables_503103!C306,input_503103!A:H,8,FALSE))</f>
        <v>38759.520020000004</v>
      </c>
      <c r="P306" s="40">
        <f ca="1">O306/SUM(O:O)</f>
        <v>1.977526531582207E-2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input_503103!A$2</f>
        <v>503103</v>
      </c>
      <c r="B307" s="5">
        <v>1027</v>
      </c>
      <c r="C307" s="7" t="str">
        <f t="shared" si="12"/>
        <v>Premium5R3lesscolor</v>
      </c>
      <c r="D307" s="7" t="str">
        <f t="shared" si="13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4"/>
        <v>color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IFERROR(VLOOKUP(B307,input_503103!L:R,7,FALSE),VLOOKUP(tables_503103!C307,input_503103!A:H,8,FALSE))</f>
        <v>4625.6000000000004</v>
      </c>
      <c r="P307" s="40">
        <f ca="1">O307/SUM(O:O)</f>
        <v>2.3599999999397974E-3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input_503103!A$2</f>
        <v>503103</v>
      </c>
      <c r="B308" s="5">
        <v>1028</v>
      </c>
      <c r="C308" s="7" t="str">
        <f t="shared" si="12"/>
        <v>PremiumSS5R5only</v>
      </c>
      <c r="D308" s="7" t="str">
        <f t="shared" si="13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4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IFERROR(VLOOKUP(B308,input_503103!L:R,7,FALSE),VLOOKUP(tables_503103!C308,input_503103!A:H,8,FALSE))</f>
        <v>704</v>
      </c>
      <c r="P308" s="40">
        <f ca="1">O308/SUM(O:O)</f>
        <v>3.5918367346022509E-4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input_503103!A$2</f>
        <v>503103</v>
      </c>
      <c r="B309" s="5">
        <v>1031</v>
      </c>
      <c r="C309" s="7" t="str">
        <f t="shared" si="12"/>
        <v>PremiumSS5R5only</v>
      </c>
      <c r="D309" s="7" t="str">
        <f t="shared" si="13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4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IFERROR(VLOOKUP(B309,input_503103!L:R,7,FALSE),VLOOKUP(tables_503103!C309,input_503103!A:H,8,FALSE))</f>
        <v>704</v>
      </c>
      <c r="P309" s="40">
        <f ca="1">O309/SUM(O:O)</f>
        <v>3.5918367346022509E-4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input_503103!A$2</f>
        <v>503103</v>
      </c>
      <c r="B310" s="5">
        <v>1033</v>
      </c>
      <c r="C310" s="7" t="str">
        <f t="shared" si="12"/>
        <v>PremiumSS5R5only</v>
      </c>
      <c r="D310" s="7" t="str">
        <f t="shared" si="13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4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IFERROR(VLOOKUP(B310,input_503103!L:R,7,FALSE),VLOOKUP(tables_503103!C310,input_503103!A:H,8,FALSE))</f>
        <v>704</v>
      </c>
      <c r="P310" s="40">
        <f ca="1">O310/SUM(O:O)</f>
        <v>3.5918367346022509E-4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input_503103!A$2</f>
        <v>503103</v>
      </c>
      <c r="B311" s="5">
        <v>1067</v>
      </c>
      <c r="C311" s="7" t="str">
        <f t="shared" si="12"/>
        <v>Premium4R3lesscolor</v>
      </c>
      <c r="D311" s="7" t="str">
        <f t="shared" si="13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4"/>
        <v>color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IFERROR(VLOOKUP(B311,input_503103!L:R,7,FALSE),VLOOKUP(tables_503103!C311,input_503103!A:H,8,FALSE))</f>
        <v>38759.520020000004</v>
      </c>
      <c r="P311" s="40">
        <f ca="1">O311/SUM(O:O)</f>
        <v>1.977526531582207E-2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input_503103!A$2</f>
        <v>503103</v>
      </c>
      <c r="B312" s="5">
        <v>1068</v>
      </c>
      <c r="C312" s="7" t="str">
        <f t="shared" si="12"/>
        <v>Premium5R3lesscolor</v>
      </c>
      <c r="D312" s="7" t="str">
        <f t="shared" si="13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4"/>
        <v>color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IFERROR(VLOOKUP(B312,input_503103!L:R,7,FALSE),VLOOKUP(tables_503103!C312,input_503103!A:H,8,FALSE))</f>
        <v>4625.6000000000004</v>
      </c>
      <c r="P312" s="40">
        <f ca="1">O312/SUM(O:O)</f>
        <v>2.3599999999397974E-3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input_503103!A$2</f>
        <v>503103</v>
      </c>
      <c r="B313" s="5">
        <v>1069</v>
      </c>
      <c r="C313" s="7" t="str">
        <f t="shared" si="12"/>
        <v>PremiumSS5R5only</v>
      </c>
      <c r="D313" s="7" t="str">
        <f t="shared" si="13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4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IFERROR(VLOOKUP(B313,input_503103!L:R,7,FALSE),VLOOKUP(tables_503103!C313,input_503103!A:H,8,FALSE))</f>
        <v>704</v>
      </c>
      <c r="P313" s="40">
        <f ca="1">O313/SUM(O:O)</f>
        <v>3.5918367346022509E-4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input_503103!A$2</f>
        <v>503103</v>
      </c>
      <c r="B314" s="5">
        <v>1072</v>
      </c>
      <c r="C314" s="7" t="str">
        <f t="shared" si="12"/>
        <v>PremiumSS5R5only</v>
      </c>
      <c r="D314" s="7" t="str">
        <f t="shared" si="13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4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IFERROR(VLOOKUP(B314,input_503103!L:R,7,FALSE),VLOOKUP(tables_503103!C314,input_503103!A:H,8,FALSE))</f>
        <v>704</v>
      </c>
      <c r="P314" s="40">
        <f ca="1">O314/SUM(O:O)</f>
        <v>3.5918367346022509E-4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input_503103!A$2</f>
        <v>503103</v>
      </c>
      <c r="B315" s="5">
        <v>1074</v>
      </c>
      <c r="C315" s="7" t="str">
        <f t="shared" si="12"/>
        <v>PremiumSS5R5only</v>
      </c>
      <c r="D315" s="7" t="str">
        <f t="shared" si="13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4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IFERROR(VLOOKUP(B315,input_503103!L:R,7,FALSE),VLOOKUP(tables_503103!C315,input_503103!A:H,8,FALSE))</f>
        <v>704</v>
      </c>
      <c r="P315" s="40">
        <f ca="1">O315/SUM(O:O)</f>
        <v>3.5918367346022509E-4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input_503103!A$2</f>
        <v>503103</v>
      </c>
      <c r="B316" s="5">
        <v>1100</v>
      </c>
      <c r="C316" s="7" t="str">
        <f t="shared" si="12"/>
        <v>PremiumSS5R5onlycolor</v>
      </c>
      <c r="D316" s="7" t="str">
        <f t="shared" si="13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4"/>
        <v>color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IFERROR(VLOOKUP(B316,input_503103!L:R,7,FALSE),VLOOKUP(tables_503103!C316,input_503103!A:H,8,FALSE))</f>
        <v>4400.3999999999996</v>
      </c>
      <c r="P316" s="40">
        <f ca="1">O316/SUM(O:O)</f>
        <v>2.2451020407590547E-3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input_503103!A$2</f>
        <v>503103</v>
      </c>
      <c r="B317" s="5">
        <v>1102</v>
      </c>
      <c r="C317" s="7" t="str">
        <f t="shared" si="12"/>
        <v>PremiumSS5R5only</v>
      </c>
      <c r="D317" s="7" t="str">
        <f t="shared" si="13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4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IFERROR(VLOOKUP(B317,input_503103!L:R,7,FALSE),VLOOKUP(tables_503103!C317,input_503103!A:H,8,FALSE))</f>
        <v>704</v>
      </c>
      <c r="P317" s="40">
        <f ca="1">O317/SUM(O:O)</f>
        <v>3.5918367346022509E-4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input_503103!A$2</f>
        <v>503103</v>
      </c>
      <c r="B318" s="5">
        <v>1104</v>
      </c>
      <c r="C318" s="7" t="str">
        <f t="shared" si="12"/>
        <v>Premium4R3less</v>
      </c>
      <c r="D318" s="7" t="str">
        <f t="shared" si="13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4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IFERROR(VLOOKUP(B318,input_503103!L:R,7,FALSE),VLOOKUP(tables_503103!C318,input_503103!A:H,8,FALSE))</f>
        <v>13066.98667</v>
      </c>
      <c r="P318" s="40">
        <f ca="1">O318/SUM(O:O)</f>
        <v>6.6668299335034004E-3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input_503103!A$2</f>
        <v>503103</v>
      </c>
      <c r="B319" s="5">
        <v>1105</v>
      </c>
      <c r="C319" s="7" t="str">
        <f t="shared" si="12"/>
        <v>Premium5R3less</v>
      </c>
      <c r="D319" s="7" t="str">
        <f t="shared" si="13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4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IFERROR(VLOOKUP(B319,input_503103!L:R,7,FALSE),VLOOKUP(tables_503103!C319,input_503103!A:H,8,FALSE))</f>
        <v>1057.28</v>
      </c>
      <c r="P319" s="40">
        <f ca="1">O319/SUM(O:O)</f>
        <v>5.3942857141481076E-4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input_503103!A$2</f>
        <v>503103</v>
      </c>
      <c r="B320" s="5">
        <v>1106</v>
      </c>
      <c r="C320" s="7" t="str">
        <f t="shared" si="12"/>
        <v>PremiumSS5R5only</v>
      </c>
      <c r="D320" s="7" t="str">
        <f t="shared" si="13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4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IFERROR(VLOOKUP(B320,input_503103!L:R,7,FALSE),VLOOKUP(tables_503103!C320,input_503103!A:H,8,FALSE))</f>
        <v>704</v>
      </c>
      <c r="P320" s="40">
        <f ca="1">O320/SUM(O:O)</f>
        <v>3.5918367346022509E-4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input_503103!A$2</f>
        <v>503103</v>
      </c>
      <c r="B321" s="5">
        <v>1137</v>
      </c>
      <c r="C321" s="7" t="str">
        <f t="shared" si="12"/>
        <v>PremiumSS5R5onlycolor</v>
      </c>
      <c r="D321" s="7" t="str">
        <f t="shared" si="13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4"/>
        <v>color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IFERROR(VLOOKUP(B321,input_503103!L:R,7,FALSE),VLOOKUP(tables_503103!C321,input_503103!A:H,8,FALSE))</f>
        <v>4400.3999999999996</v>
      </c>
      <c r="P321" s="40">
        <f ca="1">O321/SUM(O:O)</f>
        <v>2.2451020407590547E-3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input_503103!A$2</f>
        <v>503103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3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4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IFERROR(VLOOKUP(B322,input_503103!L:R,7,FALSE),VLOOKUP(tables_503103!C322,input_503103!A:H,8,FALSE))</f>
        <v>704</v>
      </c>
      <c r="P322" s="40">
        <f ca="1">O322/SUM(O:O)</f>
        <v>3.5918367346022509E-4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input_503103!A$2</f>
        <v>503103</v>
      </c>
      <c r="B323" s="5">
        <v>1141</v>
      </c>
      <c r="C323" s="7" t="str">
        <f t="shared" si="15"/>
        <v>PremiumSS5R5only</v>
      </c>
      <c r="D323" s="7" t="str">
        <f t="shared" ref="D323:D324" si="16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6" si="17">IF(K323="red","color","")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IFERROR(VLOOKUP(B323,input_503103!L:R,7,FALSE),VLOOKUP(tables_503103!C323,input_503103!A:H,8,FALSE))</f>
        <v>704</v>
      </c>
      <c r="P323" s="40">
        <f ca="1">O323/SUM(O:O)</f>
        <v>3.5918367346022509E-4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input_503103!A$2</f>
        <v>503103</v>
      </c>
      <c r="B324" s="2">
        <v>1143</v>
      </c>
      <c r="C324" s="88" t="str">
        <f t="shared" si="15"/>
        <v>Premium4R3less</v>
      </c>
      <c r="D324" s="7" t="str">
        <f t="shared" si="16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17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IFERROR(VLOOKUP(B324,input_503103!L:R,7,FALSE),VLOOKUP(tables_503103!C324,input_503103!A:H,8,FALSE))</f>
        <v>13066.98667</v>
      </c>
      <c r="P324" s="40">
        <f ca="1">O324/SUM(O:O)</f>
        <v>6.6668299335034004E-3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input_503103!A$2</f>
        <v>503103</v>
      </c>
      <c r="B325" s="2">
        <v>1144</v>
      </c>
      <c r="C325" s="88" t="str">
        <f t="shared" ref="C325:C330" si="18">D325&amp;J325&amp;E325&amp;F325&amp;G325</f>
        <v>Premium5R3less</v>
      </c>
      <c r="D325" s="7" t="str">
        <f t="shared" ref="D325:D330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17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IFERROR(VLOOKUP(B325,input_503103!L:R,7,FALSE),VLOOKUP(tables_503103!C325,input_503103!A:H,8,FALSE))</f>
        <v>1057.28</v>
      </c>
      <c r="P325" s="40">
        <f ca="1">O325/SUM(O:O)</f>
        <v>5.3942857141481076E-4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input_503103!A$2</f>
        <v>503103</v>
      </c>
      <c r="B326" s="2">
        <v>1151</v>
      </c>
      <c r="C326" s="88" t="str">
        <f t="shared" si="18"/>
        <v>Premium4R3lesscolor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17"/>
        <v>color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IFERROR(VLOOKUP(B326,input_503103!L:R,7,FALSE),VLOOKUP(tables_503103!C326,input_503103!A:H,8,FALSE))</f>
        <v>38759.520020000004</v>
      </c>
      <c r="P326" s="40">
        <f ca="1">O326/SUM(O:O)</f>
        <v>1.977526531582207E-2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input_503103!A$2</f>
        <v>503103</v>
      </c>
      <c r="B327" s="2">
        <v>1152</v>
      </c>
      <c r="C327" s="88" t="str">
        <f t="shared" si="18"/>
        <v>Premium5R3lesscolor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17"/>
        <v>color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IFERROR(VLOOKUP(B327,input_503103!L:R,7,FALSE),VLOOKUP(tables_503103!C327,input_503103!A:H,8,FALSE))</f>
        <v>4625.6000000000004</v>
      </c>
      <c r="P327" s="40">
        <f ca="1">O327/SUM(O:O)</f>
        <v>2.3599999999397974E-3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input_503103!A$2</f>
        <v>503103</v>
      </c>
      <c r="B328" s="2">
        <v>1153</v>
      </c>
      <c r="C328" s="88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17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IFERROR(VLOOKUP(B328,input_503103!L:R,7,FALSE),VLOOKUP(tables_503103!C328,input_503103!A:H,8,FALSE))</f>
        <v>704</v>
      </c>
      <c r="P328" s="40">
        <f ca="1">O328/SUM(O:O)</f>
        <v>3.5918367346022509E-4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input_503103!A$2</f>
        <v>503103</v>
      </c>
      <c r="B329" s="2">
        <v>1155</v>
      </c>
      <c r="C329" s="88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17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IFERROR(VLOOKUP(B329,input_503103!L:R,7,FALSE),VLOOKUP(tables_503103!C329,input_503103!A:H,8,FALSE))</f>
        <v>704</v>
      </c>
      <c r="P329" s="40">
        <f ca="1">O329/SUM(O:O)</f>
        <v>3.5918367346022509E-4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input_503103!A$2</f>
        <v>503103</v>
      </c>
      <c r="B330" s="2">
        <v>1157</v>
      </c>
      <c r="C330" s="88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17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IFERROR(VLOOKUP(B330,input_503103!L:R,7,FALSE),VLOOKUP(tables_503103!C330,input_503103!A:H,8,FALSE))</f>
        <v>704</v>
      </c>
      <c r="P330" s="40">
        <f ca="1">O330/SUM(O:O)</f>
        <v>3.5918367346022509E-4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input_503103!A$2</f>
        <v>503103</v>
      </c>
      <c r="B331" s="52">
        <v>1214</v>
      </c>
      <c r="C331" s="88" t="str">
        <f t="shared" ref="C331:C340" si="20">D331&amp;J331&amp;E331&amp;F331&amp;G331</f>
        <v>PremiumSS5R5only</v>
      </c>
      <c r="D331" s="7" t="str">
        <f t="shared" ref="D331:D340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17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IFERROR(VLOOKUP(B331,input_503103!L:R,7,FALSE),VLOOKUP(tables_503103!C331,input_503103!A:H,8,FALSE))</f>
        <v>704</v>
      </c>
      <c r="P331" s="40">
        <f ca="1">O331/SUM(O:O)</f>
        <v>3.5918367346022509E-4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input_503103!A$2</f>
        <v>503103</v>
      </c>
      <c r="B332" s="52">
        <v>1212</v>
      </c>
      <c r="C332" s="88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17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IFERROR(VLOOKUP(B332,input_503103!L:R,7,FALSE),VLOOKUP(tables_503103!C332,input_503103!A:H,8,FALSE))</f>
        <v>704</v>
      </c>
      <c r="P332" s="40">
        <f ca="1">O332/SUM(O:O)</f>
        <v>3.5918367346022509E-4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input_503103!A$2</f>
        <v>503103</v>
      </c>
      <c r="B333" s="52">
        <v>1208</v>
      </c>
      <c r="C333" s="88" t="str">
        <f t="shared" si="20"/>
        <v>PremiumSS5R5onlycolor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17"/>
        <v>color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IFERROR(VLOOKUP(B333,input_503103!L:R,7,FALSE),VLOOKUP(tables_503103!C333,input_503103!A:H,8,FALSE))</f>
        <v>4400.3999999999996</v>
      </c>
      <c r="P333" s="40">
        <f ca="1">O333/SUM(O:O)</f>
        <v>2.2451020407590547E-3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input_503103!A$2</f>
        <v>503103</v>
      </c>
      <c r="B334" s="98">
        <v>1210</v>
      </c>
      <c r="C334" s="88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17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IFERROR(VLOOKUP(B334,input_503103!L:R,7,FALSE),VLOOKUP(tables_503103!C334,input_503103!A:H,8,FALSE))</f>
        <v>13066.98667</v>
      </c>
      <c r="P334" s="40">
        <f ca="1">O334/SUM(O:O)</f>
        <v>6.6668299335034004E-3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input_503103!A$2</f>
        <v>503103</v>
      </c>
      <c r="B335" s="52">
        <v>1211</v>
      </c>
      <c r="C335" s="88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17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IFERROR(VLOOKUP(B335,input_503103!L:R,7,FALSE),VLOOKUP(tables_503103!C335,input_503103!A:H,8,FALSE))</f>
        <v>1057.28</v>
      </c>
      <c r="P335" s="40">
        <f ca="1">O335/SUM(O:O)</f>
        <v>5.3942857141481076E-4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input_503103!A$2</f>
        <v>503103</v>
      </c>
      <c r="B336" s="2">
        <v>1224</v>
      </c>
      <c r="C336" s="88" t="str">
        <f t="shared" si="20"/>
        <v>Premium4R3lesscolor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17"/>
        <v>color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IFERROR(VLOOKUP(B336,input_503103!L:R,7,FALSE),VLOOKUP(tables_503103!C336,input_503103!A:H,8,FALSE))</f>
        <v>38759.520020000004</v>
      </c>
      <c r="P336" s="40">
        <f ca="1">O336/SUM(O:O)</f>
        <v>1.977526531582207E-2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input_503103!A$2</f>
        <v>503103</v>
      </c>
      <c r="B337" s="2">
        <v>1225</v>
      </c>
      <c r="C337" s="88" t="str">
        <f t="shared" si="20"/>
        <v>Premium5R3lesscolor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17"/>
        <v>color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IFERROR(VLOOKUP(B337,input_503103!L:R,7,FALSE),VLOOKUP(tables_503103!C337,input_503103!A:H,8,FALSE))</f>
        <v>4625.6000000000004</v>
      </c>
      <c r="P337" s="40">
        <f ca="1">O337/SUM(O:O)</f>
        <v>2.3599999999397974E-3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input_503103!A$2</f>
        <v>503103</v>
      </c>
      <c r="B338" s="2">
        <v>1226</v>
      </c>
      <c r="C338" s="88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17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IFERROR(VLOOKUP(B338,input_503103!L:R,7,FALSE),VLOOKUP(tables_503103!C338,input_503103!A:H,8,FALSE))</f>
        <v>704</v>
      </c>
      <c r="P338" s="40">
        <f ca="1">O338/SUM(O:O)</f>
        <v>3.5918367346022509E-4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input_503103!A$2</f>
        <v>503103</v>
      </c>
      <c r="B339" s="2">
        <v>1228</v>
      </c>
      <c r="C339" s="88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17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IFERROR(VLOOKUP(B339,input_503103!L:R,7,FALSE),VLOOKUP(tables_503103!C339,input_503103!A:H,8,FALSE))</f>
        <v>704</v>
      </c>
      <c r="P339" s="40">
        <f ca="1">O339/SUM(O:O)</f>
        <v>3.5918367346022509E-4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input_503103!A$2</f>
        <v>503103</v>
      </c>
      <c r="B340" s="2">
        <v>1230</v>
      </c>
      <c r="C340" s="88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17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IFERROR(VLOOKUP(B340,input_503103!L:R,7,FALSE),VLOOKUP(tables_503103!C340,input_503103!A:H,8,FALSE))</f>
        <v>704</v>
      </c>
      <c r="P340" s="40">
        <f ca="1">O340/SUM(O:O)</f>
        <v>3.5918367346022509E-4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input_503103!A$2</f>
        <v>503103</v>
      </c>
      <c r="B341" s="2">
        <v>1244</v>
      </c>
      <c r="C341" s="88" t="str">
        <f t="shared" ref="C341:C345" si="22">D341&amp;J341&amp;E341&amp;F341&amp;G341</f>
        <v>PremiumSS5R5onlycolor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17"/>
        <v>color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IFERROR(VLOOKUP(B341,input_503103!L:R,7,FALSE),VLOOKUP(tables_503103!C341,input_503103!A:H,8,FALSE))</f>
        <v>4400.3999999999996</v>
      </c>
      <c r="P341" s="40">
        <f t="shared" ref="P341:P345" ca="1" si="24">O341/SUM(O:O)</f>
        <v>2.2451020407590547E-3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input_503103!A$2</f>
        <v>503103</v>
      </c>
      <c r="B342" s="2">
        <v>1246</v>
      </c>
      <c r="C342" s="88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17"/>
        <v/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IFERROR(VLOOKUP(B342,input_503103!L:R,7,FALSE),VLOOKUP(tables_503103!C342,input_503103!A:H,8,FALSE))</f>
        <v>704</v>
      </c>
      <c r="P342" s="40">
        <f t="shared" ca="1" si="24"/>
        <v>3.5918367346022509E-4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input_503103!A$2</f>
        <v>503103</v>
      </c>
      <c r="B343" s="2">
        <v>1248</v>
      </c>
      <c r="C343" s="88" t="str">
        <f t="shared" si="22"/>
        <v>Premium4R3less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17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IFERROR(VLOOKUP(B343,input_503103!L:R,7,FALSE),VLOOKUP(tables_503103!C343,input_503103!A:H,8,FALSE))</f>
        <v>13066.98667</v>
      </c>
      <c r="P343" s="40">
        <f t="shared" ca="1" si="24"/>
        <v>6.6668299335034004E-3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input_503103!A$2</f>
        <v>503103</v>
      </c>
      <c r="B344" s="2">
        <v>1249</v>
      </c>
      <c r="C344" s="88" t="str">
        <f t="shared" si="22"/>
        <v>Premium5R3less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17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IFERROR(VLOOKUP(B344,input_503103!L:R,7,FALSE),VLOOKUP(tables_503103!C344,input_503103!A:H,8,FALSE))</f>
        <v>1057.28</v>
      </c>
      <c r="P344" s="40">
        <f t="shared" ca="1" si="24"/>
        <v>5.3942857141481076E-4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input_503103!A$2</f>
        <v>503103</v>
      </c>
      <c r="B345" s="2">
        <v>1250</v>
      </c>
      <c r="C345" s="88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17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IFERROR(VLOOKUP(B345,input_503103!L:R,7,FALSE),VLOOKUP(tables_503103!C345,input_503103!A:H,8,FALSE))</f>
        <v>704</v>
      </c>
      <c r="P345" s="40">
        <f t="shared" ca="1" si="24"/>
        <v>3.5918367346022509E-4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input_503103!A$2</f>
        <v>503103</v>
      </c>
      <c r="B346" s="1">
        <v>955</v>
      </c>
      <c r="C346" s="88" t="str">
        <f t="shared" ref="C346" si="25">D346&amp;J346&amp;E346&amp;F346&amp;G346</f>
        <v>PremiumSSS5R3lesscolor</v>
      </c>
      <c r="D346" s="7" t="str">
        <f t="shared" ref="D346" si="26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 t="str">
        <f t="shared" si="17"/>
        <v>color</v>
      </c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9">
        <f>IFERROR(VLOOKUP(B346,input_503103!L:R,7,FALSE),VLOOKUP(tables_503103!C346,input_503103!A:H,8,FALSE))</f>
        <v>11760</v>
      </c>
      <c r="P346" s="40">
        <f ca="1">O346/SUM(O:O)</f>
        <v>5.999999999846942E-3</v>
      </c>
      <c r="Q346" s="78">
        <v>80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</sheetData>
  <autoFilter ref="A1:V300"/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topLeftCell="A10" workbookViewId="0">
      <selection activeCell="B46" sqref="B17:B46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503104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955</v>
      </c>
      <c r="M3" s="31" t="str">
        <f>VLOOKUP(L3,[1]characters!$A:$C,3,FALSE)</f>
        <v>マクローリン</v>
      </c>
      <c r="N3" s="54">
        <v>1.2E-2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VLOOKUP(L3,tables_503104!B:C,2,FALSE)</f>
        <v>PremiumSSS5R3lesscolor</v>
      </c>
      <c r="R3" s="53">
        <f t="shared" ref="R3:R20" si="1">N3*A$51</f>
        <v>23520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VLOOKUP(L4,tables_503104!B:C,2,FALSE)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3.1020408163265312E-4</v>
      </c>
      <c r="F5">
        <f>(COUNTIF(tables_503104!C:C,input_503104!A28)+COUNTIF(tables_503104!C:C,input_503104!A29))</f>
        <v>50</v>
      </c>
      <c r="H5" s="75">
        <v>1.2E-2</v>
      </c>
      <c r="I5" s="26">
        <v>1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VLOOKUP(L5,tables_503104!B:C,2,FALSE)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1.5200000000000003E-3</v>
      </c>
      <c r="F6">
        <f>(COUNTIF(tables_503104!C:C,input_503104!A43)+COUNTIF(tables_503104!C:C,input_503104!A44))</f>
        <v>16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VLOOKUP(L6,tables_503104!B:C,2,FALSE)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5.3599999999999993E-3</v>
      </c>
      <c r="F7">
        <f>(COUNTIF(tables_503104!C:C,input_503104!A26)+COUNTIF(tables_503104!C:C,input_503104!A18)+COUNTIF(tables_503104!C:C,input_503104!A20)+COUNTIF(tables_503104!C:C,input_503104!A22))</f>
        <v>70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VLOOKUP(L7,tables_503104!B:C,2,FALSE)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2.3449999999999999E-2</v>
      </c>
      <c r="F8">
        <f>(COUNTIF(tables_503104!C:C,input_503104!A40)+COUNTIF(tables_503104!C:C,input_503104!A33)+COUNTIF(tables_503104!C:C,input_503104!A35)+COUNTIF(tables_503104!C:C,input_503104!A37))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VLOOKUP(L8,tables_503104!B:C,2,FALSE)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VLOOKUP(L9,tables_503104!B:C,2,FALSE)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0.93799999999999994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VLOOKUP(L10,tables_503104!B:C,2,FALSE)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VLOOKUP(L11,tables_503104!B:C,2,FALSE)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1.2E-2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VLOOKUP(L12,tables_503104!B:C,2,FALSE)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VLOOKUP(L13,tables_503104!B:C,2,FALSE)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VLOOKUP(L14,tables_503104!B:C,2,FALSE)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VLOOKUP(L15,tables_503104!B:C,2,FALSE)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VLOOKUP(L16,tables_503104!B:C,2,FALSE)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COUNTIF(tables_503104!C:C,input_503104!A17)-COUNTIF(Q:Q,A17)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VLOOKUP(L17,tables_503104!B:C,2,FALSE)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E$7*E18-B17+0.01-0.006</f>
        <v>8.4399999999999975E-2</v>
      </c>
      <c r="C18" s="76">
        <f t="shared" si="2"/>
        <v>0</v>
      </c>
      <c r="D18" s="66">
        <f t="shared" si="3"/>
        <v>8.4399999999999975E-2</v>
      </c>
      <c r="E18">
        <f>COUNTIF(tables_503104!C:C,input_503104!A18)-COUNTIF(Q:Q,A18)</f>
        <v>15</v>
      </c>
      <c r="F18" s="37">
        <f>IFERROR(B18/E18,0)</f>
        <v>5.6266666666666652E-3</v>
      </c>
      <c r="G18">
        <f t="shared" si="4"/>
        <v>165423.99999999994</v>
      </c>
      <c r="H18">
        <f t="shared" si="5"/>
        <v>11028.266670000001</v>
      </c>
      <c r="I18">
        <f t="shared" si="6"/>
        <v>0.26667000000088592</v>
      </c>
      <c r="J18">
        <f t="shared" si="7"/>
        <v>3.7499531255734722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VLOOKUP(L18,tables_503104!B:C,2,FALSE)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COUNTIF(tables_503104!C:C,input_503104!A19)-COUNTIF(Q:Q,A19)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VLOOKUP(L19,tables_503104!B:C,2,FALSE)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E$7*E20*B$6-0.02+E49</f>
        <v>0.18749232650510084</v>
      </c>
      <c r="C20" s="76">
        <f t="shared" si="2"/>
        <v>0</v>
      </c>
      <c r="D20" s="66">
        <f t="shared" si="3"/>
        <v>0.18749232650510084</v>
      </c>
      <c r="E20">
        <f>COUNTIF(tables_503104!C:C,input_503104!A20)-COUNTIF(Q:Q,A20)</f>
        <v>40</v>
      </c>
      <c r="F20" s="37">
        <f t="shared" si="8"/>
        <v>4.6873081626275211E-3</v>
      </c>
      <c r="G20">
        <f t="shared" si="4"/>
        <v>367484.95994999766</v>
      </c>
      <c r="H20">
        <f t="shared" si="5"/>
        <v>9187.1239999999998</v>
      </c>
      <c r="I20">
        <f t="shared" si="6"/>
        <v>0.12399999999979627</v>
      </c>
      <c r="J20">
        <f t="shared" si="7"/>
        <v>8.0645161290455079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VLOOKUP(L20,tables_503104!B:C,2,FALSE)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E$7*E21*B$7-0.004-G64</f>
        <v>2.9076734280284906E-3</v>
      </c>
      <c r="C21" s="76">
        <f t="shared" si="2"/>
        <v>0</v>
      </c>
      <c r="D21" s="66">
        <f t="shared" si="3"/>
        <v>2.9076734280284906E-3</v>
      </c>
      <c r="E21">
        <f>COUNTIF(tables_503104!C:C,input_503104!A21)-COUNTIF(Q:Q,A21)</f>
        <v>40</v>
      </c>
      <c r="F21" s="37">
        <f t="shared" si="8"/>
        <v>7.2691835700712271E-5</v>
      </c>
      <c r="G21">
        <f t="shared" si="4"/>
        <v>5699.0399189358413</v>
      </c>
      <c r="H21">
        <f t="shared" si="5"/>
        <v>142.476</v>
      </c>
      <c r="I21">
        <f t="shared" si="6"/>
        <v>0.47599999999999909</v>
      </c>
      <c r="J21">
        <f t="shared" si="7"/>
        <v>2.1008403361344579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E$7*E22-B23+C50</f>
        <v>9.0497795939318337E-2</v>
      </c>
      <c r="C22" s="76">
        <f t="shared" si="2"/>
        <v>0</v>
      </c>
      <c r="D22" s="66">
        <f t="shared" si="3"/>
        <v>9.0497795939318337E-2</v>
      </c>
      <c r="E22">
        <f>COUNTIF(tables_503104!C:C,input_503104!A22)-COUNTIF(Q:Q,A22)</f>
        <v>12</v>
      </c>
      <c r="F22" s="37">
        <f t="shared" si="8"/>
        <v>7.5414829949431951E-3</v>
      </c>
      <c r="G22">
        <f t="shared" si="4"/>
        <v>177375.68004106396</v>
      </c>
      <c r="H22">
        <f t="shared" si="5"/>
        <v>14781.30667</v>
      </c>
      <c r="I22">
        <f t="shared" si="6"/>
        <v>0.30666999999994005</v>
      </c>
      <c r="J22">
        <f t="shared" si="7"/>
        <v>3.2608341213688834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E23*E7*B7-0.006</f>
        <v>3.1120000000000002E-3</v>
      </c>
      <c r="C23" s="76">
        <f t="shared" si="2"/>
        <v>0</v>
      </c>
      <c r="D23" s="66">
        <f t="shared" si="3"/>
        <v>3.1120000000000002E-3</v>
      </c>
      <c r="E23">
        <f>COUNTIF(tables_503104!C:C,input_503104!A23)-COUNTIF(Q:Q,A23)</f>
        <v>17</v>
      </c>
      <c r="F23" s="37">
        <f t="shared" si="8"/>
        <v>1.8305882352941179E-4</v>
      </c>
      <c r="G23">
        <f t="shared" si="4"/>
        <v>6099.52</v>
      </c>
      <c r="H23">
        <f t="shared" si="5"/>
        <v>358.79529000000002</v>
      </c>
      <c r="I23">
        <f t="shared" si="6"/>
        <v>0.7952900000000227</v>
      </c>
      <c r="J23">
        <f t="shared" si="7"/>
        <v>1.2574029599265317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COUNTIF(tables_503104!C:C,input_503104!A24)-COUNTIF(Q:Q,A24)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1.4471999999999999E-2</v>
      </c>
      <c r="C25" s="76">
        <f t="shared" si="2"/>
        <v>0</v>
      </c>
      <c r="D25" s="66">
        <f t="shared" si="3"/>
        <v>1.4471999999999999E-2</v>
      </c>
      <c r="E25">
        <f>COUNTIF(tables_503104!C:C,input_503104!A25)-COUNTIF(Q:Q,A25)</f>
        <v>3</v>
      </c>
      <c r="F25" s="37">
        <f t="shared" si="8"/>
        <v>4.8239999999999993E-3</v>
      </c>
      <c r="G25">
        <f t="shared" si="4"/>
        <v>28365.119999999999</v>
      </c>
      <c r="H25">
        <f t="shared" si="5"/>
        <v>9455.0400000000009</v>
      </c>
      <c r="I25">
        <f t="shared" si="6"/>
        <v>4.0000000000873115E-2</v>
      </c>
      <c r="J25">
        <f t="shared" si="7"/>
        <v>24.999999999454303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1.6079999999999996E-3</v>
      </c>
      <c r="C26" s="76">
        <f t="shared" si="2"/>
        <v>0</v>
      </c>
      <c r="D26" s="66">
        <f t="shared" si="3"/>
        <v>1.6079999999999996E-3</v>
      </c>
      <c r="E26">
        <f>COUNTIF(tables_503104!C:C,input_503104!A26)-COUNTIF(Q:Q,A26)</f>
        <v>3</v>
      </c>
      <c r="F26" s="37">
        <f t="shared" si="8"/>
        <v>5.3599999999999991E-4</v>
      </c>
      <c r="G26">
        <f t="shared" si="4"/>
        <v>3151.6799999999994</v>
      </c>
      <c r="H26">
        <f t="shared" si="5"/>
        <v>1050.56</v>
      </c>
      <c r="I26">
        <f t="shared" si="6"/>
        <v>0.55999999999994543</v>
      </c>
      <c r="J26">
        <f t="shared" si="7"/>
        <v>1.7857142857144597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5.583673469387756E-3</v>
      </c>
      <c r="C27" s="76">
        <f t="shared" si="2"/>
        <v>0</v>
      </c>
      <c r="D27" s="66">
        <f t="shared" si="3"/>
        <v>5.583673469387756E-3</v>
      </c>
      <c r="E27">
        <f>COUNTIF(tables_503104!C:C,input_503104!A27)-COUNTIF(Q:Q,A27)</f>
        <v>20</v>
      </c>
      <c r="F27" s="37">
        <f>IFERROR(B27/E27,0)</f>
        <v>2.791836734693878E-4</v>
      </c>
      <c r="G27">
        <f t="shared" si="4"/>
        <v>10944.000000000002</v>
      </c>
      <c r="H27">
        <f t="shared" si="5"/>
        <v>547.20000000000005</v>
      </c>
      <c r="I27">
        <f t="shared" si="6"/>
        <v>0.20000000000004547</v>
      </c>
      <c r="J27">
        <f t="shared" si="7"/>
        <v>4.9999999999988631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6.2040816326530625E-4</v>
      </c>
      <c r="C28" s="76">
        <f t="shared" si="2"/>
        <v>0</v>
      </c>
      <c r="D28" s="66">
        <f t="shared" si="3"/>
        <v>6.2040816326530625E-4</v>
      </c>
      <c r="E28">
        <f>COUNTIF(tables_503104!C:C,input_503104!A28)-COUNTIF(Q:Q,A28)</f>
        <v>20</v>
      </c>
      <c r="F28" s="37">
        <f t="shared" si="8"/>
        <v>3.102040816326531E-5</v>
      </c>
      <c r="G28">
        <f t="shared" si="4"/>
        <v>1216.0000000000002</v>
      </c>
      <c r="H28">
        <f t="shared" si="5"/>
        <v>60.8</v>
      </c>
      <c r="I28">
        <f t="shared" si="6"/>
        <v>0.79999999999999716</v>
      </c>
      <c r="J28">
        <f t="shared" si="7"/>
        <v>1.2500000000000044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E$5*E29-F49</f>
        <v>9.3061224489795931E-3</v>
      </c>
      <c r="C29" s="76">
        <f t="shared" si="2"/>
        <v>0</v>
      </c>
      <c r="D29" s="66">
        <f t="shared" si="3"/>
        <v>9.3061224489795931E-3</v>
      </c>
      <c r="E29">
        <f>COUNTIF(tables_503104!C:C,input_503104!A29)-COUNTIF(Q:Q,A29)</f>
        <v>30</v>
      </c>
      <c r="F29" s="37">
        <f t="shared" si="8"/>
        <v>3.1020408163265312E-4</v>
      </c>
      <c r="G29">
        <f t="shared" si="4"/>
        <v>18240.000000000004</v>
      </c>
      <c r="H29">
        <f t="shared" si="5"/>
        <v>608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COUNTIF(tables_503104!C:C,input_503104!A30)-COUNTIF(Q:Q,A30)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COUNTIF(tables_503104!C:C,input_503104!A31)-COUNTIF(Q:Q,A31)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COUNTIF(tables_503104!C:C,input_503104!A32)-COUNTIF(Q:Q,A32)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E$8*E33-B32+0.02</f>
        <v>0.13724999999999998</v>
      </c>
      <c r="C33" s="76">
        <f t="shared" si="2"/>
        <v>0</v>
      </c>
      <c r="D33" s="66">
        <f t="shared" si="3"/>
        <v>0.13724999999999998</v>
      </c>
      <c r="E33">
        <f>COUNTIF(tables_503104!C:C,input_503104!A33)-COUNTIF(Q:Q,A33)</f>
        <v>5</v>
      </c>
      <c r="F33" s="37">
        <f>IFERROR(B33/E33,0)</f>
        <v>2.7449999999999995E-2</v>
      </c>
      <c r="G33">
        <f t="shared" si="4"/>
        <v>269009.99999999994</v>
      </c>
      <c r="H33">
        <f t="shared" si="5"/>
        <v>53802</v>
      </c>
      <c r="I33">
        <f t="shared" si="6"/>
        <v>0</v>
      </c>
      <c r="J33">
        <f t="shared" si="7"/>
        <v>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COUNTIF(tables_503104!C:C,input_503104!A34)-COUNTIF(Q:Q,A34)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E$8*E35*B$6+E49-C50</f>
        <v>0.23850253056578247</v>
      </c>
      <c r="C35" s="76">
        <f t="shared" si="2"/>
        <v>0</v>
      </c>
      <c r="D35" s="66">
        <f t="shared" si="3"/>
        <v>0.23850253056578247</v>
      </c>
      <c r="E35">
        <f>COUNTIF(tables_503104!C:C,input_503104!A35)-COUNTIF(Q:Q,A35)</f>
        <v>12</v>
      </c>
      <c r="F35" s="37">
        <f t="shared" si="9"/>
        <v>1.9875210880481872E-2</v>
      </c>
      <c r="G35">
        <f t="shared" si="4"/>
        <v>467464.95990893361</v>
      </c>
      <c r="H35">
        <f t="shared" si="5"/>
        <v>38955.413330000003</v>
      </c>
      <c r="I35">
        <f t="shared" si="6"/>
        <v>0.4133300000030431</v>
      </c>
      <c r="J35">
        <f t="shared" si="7"/>
        <v>2.4193743497753313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E$8*E36*B$7</f>
        <v>2.8139999999999998E-2</v>
      </c>
      <c r="C36" s="76">
        <f t="shared" si="2"/>
        <v>0</v>
      </c>
      <c r="D36" s="66">
        <f t="shared" si="3"/>
        <v>2.8139999999999998E-2</v>
      </c>
      <c r="E36">
        <f>COUNTIF(tables_503104!C:C,input_503104!A36)-COUNTIF(Q:Q,A36)</f>
        <v>12</v>
      </c>
      <c r="F36" s="37">
        <f t="shared" si="9"/>
        <v>2.3449999999999999E-3</v>
      </c>
      <c r="G36">
        <f t="shared" si="4"/>
        <v>55154.399999999994</v>
      </c>
      <c r="H36">
        <f t="shared" si="5"/>
        <v>4596.2</v>
      </c>
      <c r="I36">
        <f t="shared" si="6"/>
        <v>0.1999999999998181</v>
      </c>
      <c r="J36">
        <f t="shared" si="7"/>
        <v>5.0000000000045475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E$8*E37-B38-E49</f>
        <v>0.10975267349489916</v>
      </c>
      <c r="C37" s="76">
        <f t="shared" si="2"/>
        <v>0</v>
      </c>
      <c r="D37" s="66">
        <f t="shared" si="3"/>
        <v>0.10975267349489916</v>
      </c>
      <c r="E37">
        <f>COUNTIF(tables_503104!C:C,input_503104!A37)-COUNTIF(Q:Q,A37)</f>
        <v>6</v>
      </c>
      <c r="F37" s="37">
        <f t="shared" si="9"/>
        <v>1.829211224914986E-2</v>
      </c>
      <c r="G37">
        <f t="shared" si="4"/>
        <v>215115.24005000235</v>
      </c>
      <c r="H37">
        <f t="shared" si="5"/>
        <v>35852.540009999997</v>
      </c>
      <c r="I37">
        <f t="shared" si="6"/>
        <v>0.54000999999698251</v>
      </c>
      <c r="J37">
        <f t="shared" si="7"/>
        <v>1.8518175589444414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1.6414999999999999E-2</v>
      </c>
      <c r="C38" s="76">
        <f t="shared" si="2"/>
        <v>0</v>
      </c>
      <c r="D38" s="66">
        <f t="shared" si="3"/>
        <v>1.6414999999999999E-2</v>
      </c>
      <c r="E38">
        <f>COUNTIF(tables_503104!C:C,input_503104!A38)-COUNTIF(Q:Q,A38)</f>
        <v>7</v>
      </c>
      <c r="F38" s="37">
        <f t="shared" si="9"/>
        <v>2.3449999999999999E-3</v>
      </c>
      <c r="G38">
        <f t="shared" si="4"/>
        <v>32173.399999999998</v>
      </c>
      <c r="H38">
        <f t="shared" si="5"/>
        <v>4596.2</v>
      </c>
      <c r="I38">
        <f t="shared" si="6"/>
        <v>0.1999999999998181</v>
      </c>
      <c r="J38">
        <f t="shared" si="7"/>
        <v>5.0000000000045475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COUNTIF(tables_503104!C:C,input_503104!A39)-COUNTIF(Q:Q,A39)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2.1104999999999999E-2</v>
      </c>
      <c r="C40" s="76">
        <f t="shared" si="2"/>
        <v>0</v>
      </c>
      <c r="D40" s="66">
        <f t="shared" si="3"/>
        <v>2.1104999999999999E-2</v>
      </c>
      <c r="E40">
        <f>COUNTIF(tables_503104!C:C,input_503104!A40)-COUNTIF(Q:Q,A40)</f>
        <v>1</v>
      </c>
      <c r="F40" s="37">
        <f t="shared" si="9"/>
        <v>2.1104999999999999E-2</v>
      </c>
      <c r="G40">
        <f t="shared" si="4"/>
        <v>41365.799999999996</v>
      </c>
      <c r="H40">
        <f t="shared" si="5"/>
        <v>41365.800000000003</v>
      </c>
      <c r="I40">
        <f t="shared" si="6"/>
        <v>0.80000000000291038</v>
      </c>
      <c r="J40">
        <f t="shared" si="7"/>
        <v>1.2499999999954525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2.3449999999999999E-3</v>
      </c>
      <c r="C41" s="76">
        <f t="shared" si="2"/>
        <v>0</v>
      </c>
      <c r="D41" s="66">
        <f t="shared" si="3"/>
        <v>2.3449999999999999E-3</v>
      </c>
      <c r="E41">
        <f>COUNTIF(tables_503104!C:C,input_503104!A41)-COUNTIF(Q:Q,A41)</f>
        <v>1</v>
      </c>
      <c r="F41" s="37">
        <f t="shared" si="9"/>
        <v>2.3449999999999999E-3</v>
      </c>
      <c r="G41">
        <f t="shared" si="4"/>
        <v>4596.2</v>
      </c>
      <c r="H41">
        <f t="shared" si="5"/>
        <v>4596.2</v>
      </c>
      <c r="I41">
        <f t="shared" si="6"/>
        <v>0.1999999999998181</v>
      </c>
      <c r="J41">
        <f t="shared" si="7"/>
        <v>5.0000000000045475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1.0944000000000002E-2</v>
      </c>
      <c r="C42" s="76">
        <f t="shared" si="2"/>
        <v>0</v>
      </c>
      <c r="D42" s="66">
        <f t="shared" si="3"/>
        <v>1.0944000000000002E-2</v>
      </c>
      <c r="E42">
        <f>COUNTIF(tables_503104!C:C,input_503104!A42)-COUNTIF(Q:Q,A42)</f>
        <v>8</v>
      </c>
      <c r="F42" s="37">
        <f>IFERROR(B42/E42,0)</f>
        <v>1.3680000000000003E-3</v>
      </c>
      <c r="G42">
        <f t="shared" si="4"/>
        <v>21450.240000000005</v>
      </c>
      <c r="H42">
        <f t="shared" si="5"/>
        <v>2681.28</v>
      </c>
      <c r="I42">
        <f t="shared" si="6"/>
        <v>0.28000000000020009</v>
      </c>
      <c r="J42">
        <f t="shared" si="7"/>
        <v>3.5714285714260194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1.2160000000000003E-3</v>
      </c>
      <c r="C43" s="76">
        <f t="shared" si="2"/>
        <v>0</v>
      </c>
      <c r="D43" s="66">
        <f t="shared" si="3"/>
        <v>1.2160000000000003E-3</v>
      </c>
      <c r="E43">
        <f>COUNTIF(tables_503104!C:C,input_503104!A43)-COUNTIF(Q:Q,A43)</f>
        <v>8</v>
      </c>
      <c r="F43" s="37">
        <f t="shared" ref="F43:F46" si="10">IFERROR(B43/E43,0)</f>
        <v>1.5200000000000004E-4</v>
      </c>
      <c r="G43">
        <f t="shared" si="4"/>
        <v>2383.3600000000006</v>
      </c>
      <c r="H43">
        <f t="shared" si="5"/>
        <v>297.92</v>
      </c>
      <c r="I43">
        <f t="shared" si="6"/>
        <v>0.92000000000001592</v>
      </c>
      <c r="J43">
        <f t="shared" si="7"/>
        <v>1.0869565217391117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E$6*E44-E50+G64</f>
        <v>2.2329795939318428E-2</v>
      </c>
      <c r="C44" s="76">
        <f t="shared" si="2"/>
        <v>0</v>
      </c>
      <c r="D44" s="66">
        <f t="shared" si="3"/>
        <v>2.2329795939318428E-2</v>
      </c>
      <c r="E44">
        <f>COUNTIF(tables_503104!C:C,input_503104!A44)-COUNTIF(Q:Q,A44)</f>
        <v>8</v>
      </c>
      <c r="F44" s="37">
        <f t="shared" si="10"/>
        <v>2.7912244924148035E-3</v>
      </c>
      <c r="G44">
        <f t="shared" si="4"/>
        <v>43766.400041064117</v>
      </c>
      <c r="H44">
        <f t="shared" si="5"/>
        <v>5470.8000099999999</v>
      </c>
      <c r="I44">
        <f t="shared" si="6"/>
        <v>0.80000999999992928</v>
      </c>
      <c r="J44">
        <f t="shared" si="7"/>
        <v>1.2499843751954205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COUNTIF(tables_503104!C:C,input_503104!A45)-COUNTIF(Q:Q,A45)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B12</f>
        <v>1.2E-2</v>
      </c>
      <c r="C46" s="76">
        <f t="shared" si="2"/>
        <v>1.2E-2</v>
      </c>
      <c r="D46" s="66">
        <f t="shared" si="3"/>
        <v>0</v>
      </c>
      <c r="E46">
        <f>COUNTIF(tables_503104!C:C,input_503104!A46)-COUNTIF(Q:Q,A46)</f>
        <v>0</v>
      </c>
      <c r="F46" s="37">
        <f t="shared" si="10"/>
        <v>0</v>
      </c>
      <c r="G46">
        <f t="shared" si="4"/>
        <v>23520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0.99999999995408029</v>
      </c>
      <c r="C47" s="35">
        <f>SUM(C19:C31)</f>
        <v>0</v>
      </c>
      <c r="D47" s="36">
        <f t="shared" si="3"/>
        <v>0.99999999995408029</v>
      </c>
      <c r="L47" s="49"/>
      <c r="M47" s="49"/>
      <c r="N47" s="49"/>
      <c r="O47" s="49"/>
      <c r="P47" s="49"/>
      <c r="Q47" s="49"/>
      <c r="R47" s="51"/>
    </row>
    <row r="49" spans="1:8" x14ac:dyDescent="0.15">
      <c r="B49" t="s">
        <v>35</v>
      </c>
      <c r="C49" s="80">
        <f>SUM(B32:B46)</f>
        <v>0.6</v>
      </c>
      <c r="E49" s="85">
        <v>1.4532326505100834E-2</v>
      </c>
      <c r="F49" s="85"/>
      <c r="G49" s="96">
        <f ca="1">0.9-G56</f>
        <v>-5.6122217984011513E-11</v>
      </c>
      <c r="H49" s="94"/>
    </row>
    <row r="50" spans="1:8" x14ac:dyDescent="0.15">
      <c r="A50" t="s">
        <v>56</v>
      </c>
      <c r="B50" s="80">
        <f>C49-0.6</f>
        <v>0</v>
      </c>
      <c r="C50" s="80">
        <v>2.9289795939318353E-2</v>
      </c>
      <c r="D50" s="84"/>
      <c r="E50" s="85">
        <v>4.362530632653086E-3</v>
      </c>
      <c r="F50" s="93"/>
      <c r="G50" s="96">
        <f ca="1">G57-0.1</f>
        <v>5.1020576652405225E-12</v>
      </c>
      <c r="H50" s="47"/>
    </row>
    <row r="51" spans="1:8" x14ac:dyDescent="0.15">
      <c r="A51" s="26">
        <f>LCM(F5-I5,F7-I6)*1000*2*2</f>
        <v>1960000</v>
      </c>
      <c r="H51" s="68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SUMIF(tables_503104!C:C,input_503104!A55,tables_503104!O:O)</f>
        <v>0</v>
      </c>
      <c r="C55" s="46">
        <f t="shared" ref="C55:C61" ca="1" si="11">B55/B$62</f>
        <v>0</v>
      </c>
      <c r="E55">
        <v>3</v>
      </c>
      <c r="F55">
        <f ca="1">SUMIF(tables_503104!J:J,input_503104!E55,tables_503104!O:O)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SUMIF(tables_503104!C:C,input_503104!A56,tables_503104!O:O)</f>
        <v>367484.9600000002</v>
      </c>
      <c r="C56" s="46">
        <f t="shared" ca="1" si="11"/>
        <v>0.95365429330675977</v>
      </c>
      <c r="E56">
        <v>4</v>
      </c>
      <c r="F56">
        <f ca="1">SUMIF(tables_503104!J:J,input_503104!E56,tables_503104!O:O)</f>
        <v>1764000.0001099997</v>
      </c>
      <c r="G56">
        <f ca="1">F56/A51</f>
        <v>0.90000000005612224</v>
      </c>
      <c r="H56" s="47">
        <f>B18+B20+B22+B25+B27+B30+B33+B35+B37+B40+B42+B45</f>
        <v>0.89999999997448843</v>
      </c>
    </row>
    <row r="57" spans="1:8" x14ac:dyDescent="0.15">
      <c r="A57" s="27" t="s">
        <v>90</v>
      </c>
      <c r="B57">
        <f ca="1">SUMIF(tables_503104!C:C,input_503104!A57,tables_503104!O:O)</f>
        <v>10944.000000000002</v>
      </c>
      <c r="C57" s="46">
        <f t="shared" ca="1" si="11"/>
        <v>2.8400597907324358E-2</v>
      </c>
      <c r="E57">
        <v>5</v>
      </c>
      <c r="F57">
        <f ca="1">SUMIF(tables_503104!J:J,input_503104!E57,tables_503104!O:O)</f>
        <v>196000.00001000005</v>
      </c>
      <c r="G57">
        <f ca="1">F57/A51</f>
        <v>0.10000000000510206</v>
      </c>
      <c r="H57" s="47">
        <f>B21+B23+B26+B28+B29+B31+B36+B38+B41+B43+B44+B46</f>
        <v>9.9999999979591803E-2</v>
      </c>
    </row>
    <row r="58" spans="1:8" x14ac:dyDescent="0.15">
      <c r="A58" s="27" t="s">
        <v>94</v>
      </c>
      <c r="B58">
        <f>SUMIF(tables_503104!C:C,input_503104!A58,tables_503104!O:O)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SUMIF(tables_503104!C:C,input_503104!A59,tables_503104!O:O)</f>
        <v>5699.0399999999981</v>
      </c>
      <c r="C59" s="46">
        <f t="shared" ca="1" si="11"/>
        <v>1.4789486796213242E-2</v>
      </c>
      <c r="E59" t="s">
        <v>37</v>
      </c>
      <c r="F59" s="47"/>
    </row>
    <row r="60" spans="1:8" x14ac:dyDescent="0.15">
      <c r="A60" s="27" t="s">
        <v>91</v>
      </c>
      <c r="B60">
        <f ca="1">SUMIF(tables_503104!C:C,input_503104!A60,tables_503104!O:O)</f>
        <v>1215.9999999999995</v>
      </c>
      <c r="C60" s="46">
        <f t="shared" ca="1" si="11"/>
        <v>3.1556219897027047E-3</v>
      </c>
      <c r="E60" t="s">
        <v>190</v>
      </c>
      <c r="F60" s="47">
        <f ca="1">SUMIF(tables_503104!I:I,input_503104!E60,tables_503104!P:P)</f>
        <v>0.22491029411888305</v>
      </c>
    </row>
    <row r="61" spans="1:8" x14ac:dyDescent="0.15">
      <c r="A61" s="27" t="s">
        <v>92</v>
      </c>
      <c r="B61">
        <f>SUMIF(tables_503104!C:C,input_503104!A61,tables_503104!O:O)</f>
        <v>0</v>
      </c>
      <c r="C61" s="46">
        <f t="shared" ca="1" si="11"/>
        <v>0</v>
      </c>
      <c r="E61" t="s">
        <v>191</v>
      </c>
      <c r="F61" s="47">
        <f ca="1">SUMIF(tables_503104!I:I,input_503104!E61,tables_503104!P:P)</f>
        <v>0.18493084351928998</v>
      </c>
    </row>
    <row r="62" spans="1:8" x14ac:dyDescent="0.15">
      <c r="A62" s="33" t="s">
        <v>42</v>
      </c>
      <c r="B62">
        <f ca="1">SUM(B55:B61)</f>
        <v>385344.00000000017</v>
      </c>
      <c r="C62" s="47">
        <f ca="1">SUM(C55:C61)</f>
        <v>1.0000000000000002</v>
      </c>
      <c r="E62" t="s">
        <v>192</v>
      </c>
      <c r="F62" s="47">
        <f ca="1">SUMIF(tables_503104!I:I,input_503104!E62,tables_503104!P:P)</f>
        <v>0.52815886232480669</v>
      </c>
    </row>
    <row r="63" spans="1:8" x14ac:dyDescent="0.15">
      <c r="E63" t="s">
        <v>193</v>
      </c>
      <c r="F63" s="47">
        <f ca="1">SUMIF(tables_503104!I:I,input_503104!E63,tables_503104!P:P)</f>
        <v>4.5347551053346077E-2</v>
      </c>
      <c r="G63" s="86">
        <f ca="1">0.05-F63-F64</f>
        <v>-3.7755107200332372E-11</v>
      </c>
    </row>
    <row r="64" spans="1:8" x14ac:dyDescent="0.15">
      <c r="E64" t="s">
        <v>253</v>
      </c>
      <c r="F64" s="47">
        <f ca="1">SUMIF(tables_503104!I:I,input_503104!E64,tables_503104!P:P)</f>
        <v>4.6524489844090326E-3</v>
      </c>
      <c r="G64">
        <v>1.453232657197151E-2</v>
      </c>
    </row>
    <row r="65" spans="5:6" x14ac:dyDescent="0.15">
      <c r="E65" t="s">
        <v>251</v>
      </c>
      <c r="F65" s="47">
        <f ca="1">SUMIF(tables_503104!I:I,input_503104!E65,tables_503104!P:P)</f>
        <v>1.1999999999265305E-2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308" activePane="bottomLeft" state="frozen"/>
      <selection activeCell="H44" sqref="H44"/>
      <selection pane="bottomLeft" activeCell="Q340" sqref="Q340:Q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input_503104!A$2</f>
        <v>503104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IFERROR(VLOOKUP(B2,input_503104!L:R,7,FALSE),VLOOKUP(tables_503104!C2,input_503104!A:H,8,FALSE))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input_503104!A$2</f>
        <v>503104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IFERROR(VLOOKUP(B3,input_503104!L:R,7,FALSE),VLOOKUP(tables_503104!C3,input_503104!A:H,8,FALSE))</f>
        <v>53802</v>
      </c>
      <c r="P3" s="40">
        <f t="shared" ca="1" si="1"/>
        <v>2.7449999998319385E-2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input_503104!A$2</f>
        <v>503104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IFERROR(VLOOKUP(B4,input_503104!L:R,7,FALSE),VLOOKUP(tables_503104!C4,input_503104!A:H,8,FALSE))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input_503104!A$2</f>
        <v>503104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IFERROR(VLOOKUP(B5,input_503104!L:R,7,FALSE),VLOOKUP(tables_503104!C5,input_503104!A:H,8,FALSE))</f>
        <v>11028.266670000001</v>
      </c>
      <c r="P5" s="40">
        <f t="shared" ca="1" si="1"/>
        <v>5.6266666680228573E-3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input_503104!A$2</f>
        <v>503104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IFERROR(VLOOKUP(B6,input_503104!L:R,7,FALSE),VLOOKUP(tables_503104!C6,input_503104!A:H,8,FALSE))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input_503104!A$2</f>
        <v>503104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IFERROR(VLOOKUP(B7,input_503104!L:R,7,FALSE),VLOOKUP(tables_503104!C7,input_503104!A:H,8,FALSE))</f>
        <v>11028.266670000001</v>
      </c>
      <c r="P7" s="40">
        <f t="shared" ca="1" si="1"/>
        <v>5.6266666680228573E-3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input_503104!A$2</f>
        <v>503104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IFERROR(VLOOKUP(B8,input_503104!L:R,7,FALSE),VLOOKUP(tables_503104!C8,input_503104!A:H,8,FALSE))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input_503104!A$2</f>
        <v>503104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IFERROR(VLOOKUP(B9,input_503104!L:R,7,FALSE),VLOOKUP(tables_503104!C9,input_503104!A:H,8,FALSE))</f>
        <v>11028.266670000001</v>
      </c>
      <c r="P9" s="40">
        <f t="shared" ca="1" si="1"/>
        <v>5.6266666680228573E-3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input_503104!A$2</f>
        <v>503104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IFERROR(VLOOKUP(B10,input_503104!L:R,7,FALSE),VLOOKUP(tables_503104!C10,input_503104!A:H,8,FALSE))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input_503104!A$2</f>
        <v>503104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IFERROR(VLOOKUP(B11,input_503104!L:R,7,FALSE),VLOOKUP(tables_503104!C11,input_503104!A:H,8,FALSE))</f>
        <v>53802</v>
      </c>
      <c r="P11" s="40">
        <f t="shared" ca="1" si="1"/>
        <v>2.7449999998319385E-2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input_503104!A$2</f>
        <v>503104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IFERROR(VLOOKUP(B12,input_503104!L:R,7,FALSE),VLOOKUP(tables_503104!C12,input_503104!A:H,8,FALSE))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input_503104!A$2</f>
        <v>503104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IFERROR(VLOOKUP(B13,input_503104!L:R,7,FALSE),VLOOKUP(tables_503104!C13,input_503104!A:H,8,FALSE))</f>
        <v>11028.266670000001</v>
      </c>
      <c r="P13" s="40">
        <f t="shared" ca="1" si="1"/>
        <v>5.6266666680228573E-3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input_503104!A$2</f>
        <v>503104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IFERROR(VLOOKUP(B14,input_503104!L:R,7,FALSE),VLOOKUP(tables_503104!C14,input_503104!A:H,8,FALSE))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input_503104!A$2</f>
        <v>503104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IFERROR(VLOOKUP(B15,input_503104!L:R,7,FALSE),VLOOKUP(tables_503104!C15,input_503104!A:H,8,FALSE))</f>
        <v>11028.266670000001</v>
      </c>
      <c r="P15" s="40">
        <f t="shared" ca="1" si="1"/>
        <v>5.6266666680228573E-3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input_503104!A$2</f>
        <v>503104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IFERROR(VLOOKUP(B16,input_503104!L:R,7,FALSE),VLOOKUP(tables_503104!C16,input_503104!A:H,8,FALSE))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input_503104!A$2</f>
        <v>503104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IFERROR(VLOOKUP(B17,input_503104!L:R,7,FALSE),VLOOKUP(tables_503104!C17,input_503104!A:H,8,FALSE))</f>
        <v>11028.266670000001</v>
      </c>
      <c r="P17" s="40">
        <f t="shared" ca="1" si="1"/>
        <v>5.6266666680228573E-3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input_503104!A$2</f>
        <v>503104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IFERROR(VLOOKUP(B18,input_503104!L:R,7,FALSE),VLOOKUP(tables_503104!C18,input_503104!A:H,8,FALSE))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input_503104!A$2</f>
        <v>503104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IFERROR(VLOOKUP(B19,input_503104!L:R,7,FALSE),VLOOKUP(tables_503104!C19,input_503104!A:H,8,FALSE))</f>
        <v>53802</v>
      </c>
      <c r="P19" s="40">
        <f t="shared" ca="1" si="1"/>
        <v>2.7449999998319385E-2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input_503104!A$2</f>
        <v>503104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IFERROR(VLOOKUP(B20,input_503104!L:R,7,FALSE),VLOOKUP(tables_503104!C20,input_503104!A:H,8,FALSE))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input_503104!A$2</f>
        <v>503104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IFERROR(VLOOKUP(B21,input_503104!L:R,7,FALSE),VLOOKUP(tables_503104!C21,input_503104!A:H,8,FALSE))</f>
        <v>11028.266670000001</v>
      </c>
      <c r="P21" s="40">
        <f t="shared" ca="1" si="1"/>
        <v>5.6266666680228573E-3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input_503104!A$2</f>
        <v>503104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IFERROR(VLOOKUP(B22,input_503104!L:R,7,FALSE),VLOOKUP(tables_503104!C22,input_503104!A:H,8,FALSE))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input_503104!A$2</f>
        <v>503104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IFERROR(VLOOKUP(B23,input_503104!L:R,7,FALSE),VLOOKUP(tables_503104!C23,input_503104!A:H,8,FALSE))</f>
        <v>11028.266670000001</v>
      </c>
      <c r="P23" s="40">
        <f t="shared" ca="1" si="1"/>
        <v>5.6266666680228573E-3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input_503104!A$2</f>
        <v>503104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IFERROR(VLOOKUP(B24,input_503104!L:R,7,FALSE),VLOOKUP(tables_503104!C24,input_503104!A:H,8,FALSE))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input_503104!A$2</f>
        <v>503104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IFERROR(VLOOKUP(B25,input_503104!L:R,7,FALSE),VLOOKUP(tables_503104!C25,input_503104!A:H,8,FALSE))</f>
        <v>11028.266670000001</v>
      </c>
      <c r="P25" s="40">
        <f t="shared" ca="1" si="1"/>
        <v>5.6266666680228573E-3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input_503104!A$2</f>
        <v>503104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IFERROR(VLOOKUP(B26,input_503104!L:R,7,FALSE),VLOOKUP(tables_503104!C26,input_503104!A:H,8,FALSE))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input_503104!A$2</f>
        <v>503104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IFERROR(VLOOKUP(B27,input_503104!L:R,7,FALSE),VLOOKUP(tables_503104!C27,input_503104!A:H,8,FALSE))</f>
        <v>53802</v>
      </c>
      <c r="P27" s="40">
        <f t="shared" ca="1" si="1"/>
        <v>2.7449999998319385E-2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input_503104!A$2</f>
        <v>503104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IFERROR(VLOOKUP(B28,input_503104!L:R,7,FALSE),VLOOKUP(tables_503104!C28,input_503104!A:H,8,FALSE))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input_503104!A$2</f>
        <v>503104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IFERROR(VLOOKUP(B29,input_503104!L:R,7,FALSE),VLOOKUP(tables_503104!C29,input_503104!A:H,8,FALSE))</f>
        <v>11028.266670000001</v>
      </c>
      <c r="P29" s="40">
        <f t="shared" ca="1" si="1"/>
        <v>5.6266666680228573E-3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input_503104!A$2</f>
        <v>503104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IFERROR(VLOOKUP(B30,input_503104!L:R,7,FALSE),VLOOKUP(tables_503104!C30,input_503104!A:H,8,FALSE))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input_503104!A$2</f>
        <v>503104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IFERROR(VLOOKUP(B31,input_503104!L:R,7,FALSE),VLOOKUP(tables_503104!C31,input_503104!A:H,8,FALSE))</f>
        <v>11028.266670000001</v>
      </c>
      <c r="P31" s="40">
        <f t="shared" ca="1" si="1"/>
        <v>5.6266666680228573E-3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input_503104!A$2</f>
        <v>503104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IFERROR(VLOOKUP(B32,input_503104!L:R,7,FALSE),VLOOKUP(tables_503104!C32,input_503104!A:H,8,FALSE))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input_503104!A$2</f>
        <v>503104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IFERROR(VLOOKUP(B33,input_503104!L:R,7,FALSE),VLOOKUP(tables_503104!C33,input_503104!A:H,8,FALSE))</f>
        <v>11028.266670000001</v>
      </c>
      <c r="P33" s="40">
        <f t="shared" ca="1" si="1"/>
        <v>5.6266666680228573E-3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input_503104!A$2</f>
        <v>503104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IFERROR(VLOOKUP(B34,input_503104!L:R,7,FALSE),VLOOKUP(tables_503104!C34,input_503104!A:H,8,FALSE))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input_503104!A$2</f>
        <v>503104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IFERROR(VLOOKUP(B35,input_503104!L:R,7,FALSE),VLOOKUP(tables_503104!C35,input_503104!A:H,8,FALSE))</f>
        <v>53802</v>
      </c>
      <c r="P35" s="40">
        <f t="shared" ca="1" si="1"/>
        <v>2.7449999998319385E-2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input_503104!A$2</f>
        <v>503104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IFERROR(VLOOKUP(B36,input_503104!L:R,7,FALSE),VLOOKUP(tables_503104!C36,input_503104!A:H,8,FALSE))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input_503104!A$2</f>
        <v>503104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IFERROR(VLOOKUP(B37,input_503104!L:R,7,FALSE),VLOOKUP(tables_503104!C37,input_503104!A:H,8,FALSE))</f>
        <v>11028.266670000001</v>
      </c>
      <c r="P37" s="40">
        <f t="shared" ca="1" si="1"/>
        <v>5.6266666680228573E-3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input_503104!A$2</f>
        <v>503104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IFERROR(VLOOKUP(B38,input_503104!L:R,7,FALSE),VLOOKUP(tables_503104!C38,input_503104!A:H,8,FALSE))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input_503104!A$2</f>
        <v>503104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IFERROR(VLOOKUP(B39,input_503104!L:R,7,FALSE),VLOOKUP(tables_503104!C39,input_503104!A:H,8,FALSE))</f>
        <v>11028.266670000001</v>
      </c>
      <c r="P39" s="40">
        <f t="shared" ca="1" si="1"/>
        <v>5.6266666680228573E-3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input_503104!A$2</f>
        <v>503104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IFERROR(VLOOKUP(B40,input_503104!L:R,7,FALSE),VLOOKUP(tables_503104!C40,input_503104!A:H,8,FALSE))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input_503104!A$2</f>
        <v>503104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IFERROR(VLOOKUP(B41,input_503104!L:R,7,FALSE),VLOOKUP(tables_503104!C41,input_503104!A:H,8,FALSE))</f>
        <v>11028.266670000001</v>
      </c>
      <c r="P41" s="40">
        <f t="shared" ca="1" si="1"/>
        <v>5.6266666680228573E-3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input_503104!A$2</f>
        <v>503104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IFERROR(VLOOKUP(B42,input_503104!L:R,7,FALSE),VLOOKUP(tables_503104!C42,input_503104!A:H,8,FALSE))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input_503104!A$2</f>
        <v>503104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IFERROR(VLOOKUP(B43,input_503104!L:R,7,FALSE),VLOOKUP(tables_503104!C43,input_503104!A:H,8,FALSE))</f>
        <v>41365.800000000003</v>
      </c>
      <c r="P43" s="40">
        <f t="shared" ca="1" si="1"/>
        <v>2.1104999998707855E-2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input_503104!A$2</f>
        <v>503104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IFERROR(VLOOKUP(B44,input_503104!L:R,7,FALSE),VLOOKUP(tables_503104!C44,input_503104!A:H,8,FALSE))</f>
        <v>4596.2</v>
      </c>
      <c r="P44" s="40">
        <f t="shared" ca="1" si="1"/>
        <v>2.3449999998564281E-3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input_503104!A$2</f>
        <v>503104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IFERROR(VLOOKUP(B45,input_503104!L:R,7,FALSE),VLOOKUP(tables_503104!C45,input_503104!A:H,8,FALSE))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input_503104!A$2</f>
        <v>503104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IFERROR(VLOOKUP(B46,input_503104!L:R,7,FALSE),VLOOKUP(tables_503104!C46,input_503104!A:H,8,FALSE))</f>
        <v>9455.0400000000009</v>
      </c>
      <c r="P46" s="40">
        <f t="shared" ca="1" si="1"/>
        <v>4.8239999997046531E-3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input_503104!A$2</f>
        <v>503104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IFERROR(VLOOKUP(B47,input_503104!L:R,7,FALSE),VLOOKUP(tables_503104!C47,input_503104!A:H,8,FALSE))</f>
        <v>1050.56</v>
      </c>
      <c r="P47" s="40">
        <f t="shared" ca="1" si="1"/>
        <v>5.359999999671836E-4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input_503104!A$2</f>
        <v>503104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IFERROR(VLOOKUP(B48,input_503104!L:R,7,FALSE),VLOOKUP(tables_503104!C48,input_503104!A:H,8,FALSE))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input_503104!A$2</f>
        <v>503104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IFERROR(VLOOKUP(B49,input_503104!L:R,7,FALSE),VLOOKUP(tables_503104!C49,input_503104!A:H,8,FALSE))</f>
        <v>9455.0400000000009</v>
      </c>
      <c r="P49" s="40">
        <f t="shared" ca="1" si="1"/>
        <v>4.8239999997046531E-3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input_503104!A$2</f>
        <v>503104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IFERROR(VLOOKUP(B50,input_503104!L:R,7,FALSE),VLOOKUP(tables_503104!C50,input_503104!A:H,8,FALSE))</f>
        <v>1050.56</v>
      </c>
      <c r="P50" s="40">
        <f t="shared" ca="1" si="1"/>
        <v>5.359999999671836E-4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input_503104!A$2</f>
        <v>503104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IFERROR(VLOOKUP(B51,input_503104!L:R,7,FALSE),VLOOKUP(tables_503104!C51,input_503104!A:H,8,FALSE))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input_503104!A$2</f>
        <v>503104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IFERROR(VLOOKUP(B52,input_503104!L:R,7,FALSE),VLOOKUP(tables_503104!C52,input_503104!A:H,8,FALSE))</f>
        <v>9187.1239999999998</v>
      </c>
      <c r="P52" s="40">
        <f t="shared" ca="1" si="1"/>
        <v>4.6873081629783273E-3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input_503104!A$2</f>
        <v>503104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IFERROR(VLOOKUP(B53,input_503104!L:R,7,FALSE),VLOOKUP(tables_503104!C53,input_503104!A:H,8,FALSE))</f>
        <v>142.476</v>
      </c>
      <c r="P53" s="40">
        <f t="shared" ca="1" si="1"/>
        <v>7.2691836730243346E-5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input_503104!A$2</f>
        <v>503104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IFERROR(VLOOKUP(B54,input_503104!L:R,7,FALSE),VLOOKUP(tables_503104!C54,input_503104!A:H,8,FALSE))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input_503104!A$2</f>
        <v>503104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IFERROR(VLOOKUP(B55,input_503104!L:R,7,FALSE),VLOOKUP(tables_503104!C55,input_503104!A:H,8,FALSE))</f>
        <v>38955.413330000003</v>
      </c>
      <c r="P55" s="40">
        <f t="shared" ca="1" si="1"/>
        <v>1.987521088143621E-2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input_503104!A$2</f>
        <v>503104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IFERROR(VLOOKUP(B56,input_503104!L:R,7,FALSE),VLOOKUP(tables_503104!C56,input_503104!A:H,8,FALSE))</f>
        <v>4596.2</v>
      </c>
      <c r="P56" s="40">
        <f t="shared" ca="1" si="1"/>
        <v>2.3449999998564281E-3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input_503104!A$2</f>
        <v>503104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IFERROR(VLOOKUP(B57,input_503104!L:R,7,FALSE),VLOOKUP(tables_503104!C57,input_503104!A:H,8,FALSE))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input_503104!A$2</f>
        <v>503104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IFERROR(VLOOKUP(B58,input_503104!L:R,7,FALSE),VLOOKUP(tables_503104!C58,input_503104!A:H,8,FALSE))</f>
        <v>9187.1239999999998</v>
      </c>
      <c r="P58" s="40">
        <f t="shared" ca="1" si="1"/>
        <v>4.6873081629783273E-3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input_503104!A$2</f>
        <v>503104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IFERROR(VLOOKUP(B59,input_503104!L:R,7,FALSE),VLOOKUP(tables_503104!C59,input_503104!A:H,8,FALSE))</f>
        <v>142.476</v>
      </c>
      <c r="P59" s="40">
        <f t="shared" ca="1" si="1"/>
        <v>7.2691836730243346E-5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input_503104!A$2</f>
        <v>503104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IFERROR(VLOOKUP(B60,input_503104!L:R,7,FALSE),VLOOKUP(tables_503104!C60,input_503104!A:H,8,FALSE))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input_503104!A$2</f>
        <v>503104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IFERROR(VLOOKUP(B61,input_503104!L:R,7,FALSE),VLOOKUP(tables_503104!C61,input_503104!A:H,8,FALSE))</f>
        <v>9187.1239999999998</v>
      </c>
      <c r="P61" s="40">
        <f t="shared" ca="1" si="1"/>
        <v>4.6873081629783273E-3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input_503104!A$2</f>
        <v>503104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IFERROR(VLOOKUP(B62,input_503104!L:R,7,FALSE),VLOOKUP(tables_503104!C62,input_503104!A:H,8,FALSE))</f>
        <v>142.476</v>
      </c>
      <c r="P62" s="40">
        <f t="shared" ca="1" si="1"/>
        <v>7.2691836730243346E-5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input_503104!A$2</f>
        <v>503104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IFERROR(VLOOKUP(B63,input_503104!L:R,7,FALSE),VLOOKUP(tables_503104!C63,input_503104!A:H,8,FALSE))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input_503104!A$2</f>
        <v>503104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IFERROR(VLOOKUP(B64,input_503104!L:R,7,FALSE),VLOOKUP(tables_503104!C64,input_503104!A:H,8,FALSE))</f>
        <v>9187.1239999999998</v>
      </c>
      <c r="P64" s="40">
        <f t="shared" ca="1" si="1"/>
        <v>4.6873081629783273E-3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input_503104!A$2</f>
        <v>503104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IFERROR(VLOOKUP(B65,input_503104!L:R,7,FALSE),VLOOKUP(tables_503104!C65,input_503104!A:H,8,FALSE))</f>
        <v>142.476</v>
      </c>
      <c r="P65" s="40">
        <f t="shared" ca="1" si="1"/>
        <v>7.2691836730243346E-5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input_503104!A$2</f>
        <v>503104</v>
      </c>
      <c r="B66" s="6">
        <v>190</v>
      </c>
      <c r="C66" s="7" t="str">
        <f t="shared" ref="C66:C129" si="4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IFERROR(VLOOKUP(B66,input_503104!L:R,7,FALSE),VLOOKUP(tables_503104!C66,input_503104!A:H,8,FALSE))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input_503104!A$2</f>
        <v>503104</v>
      </c>
      <c r="B67" s="6">
        <v>191</v>
      </c>
      <c r="C67" s="7" t="str">
        <f t="shared" si="4"/>
        <v>Premium4color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IFERROR(VLOOKUP(B67,input_503104!L:R,7,FALSE),VLOOKUP(tables_503104!C67,input_503104!A:H,8,FALSE))</f>
        <v>38955.413330000003</v>
      </c>
      <c r="P67" s="40">
        <f t="shared" ca="1" si="5"/>
        <v>1.987521088143621E-2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input_503104!A$2</f>
        <v>503104</v>
      </c>
      <c r="B68" s="6">
        <v>192</v>
      </c>
      <c r="C68" s="7" t="str">
        <f t="shared" si="4"/>
        <v>Premium5color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IFERROR(VLOOKUP(B68,input_503104!L:R,7,FALSE),VLOOKUP(tables_503104!C68,input_503104!A:H,8,FALSE))</f>
        <v>4596.2</v>
      </c>
      <c r="P68" s="40">
        <f t="shared" ca="1" si="5"/>
        <v>2.3449999998564281E-3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input_503104!A$2</f>
        <v>503104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IFERROR(VLOOKUP(B69,input_503104!L:R,7,FALSE),VLOOKUP(tables_503104!C69,input_503104!A:H,8,FALSE))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input_503104!A$2</f>
        <v>503104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IFERROR(VLOOKUP(B70,input_503104!L:R,7,FALSE),VLOOKUP(tables_503104!C70,input_503104!A:H,8,FALSE))</f>
        <v>9187.1239999999998</v>
      </c>
      <c r="P70" s="40">
        <f t="shared" ca="1" si="5"/>
        <v>4.6873081629783273E-3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input_503104!A$2</f>
        <v>503104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IFERROR(VLOOKUP(B71,input_503104!L:R,7,FALSE),VLOOKUP(tables_503104!C71,input_503104!A:H,8,FALSE))</f>
        <v>142.476</v>
      </c>
      <c r="P71" s="40">
        <f t="shared" ca="1" si="5"/>
        <v>7.2691836730243346E-5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input_503104!A$2</f>
        <v>503104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IFERROR(VLOOKUP(B72,input_503104!L:R,7,FALSE),VLOOKUP(tables_503104!C72,input_503104!A:H,8,FALSE))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input_503104!A$2</f>
        <v>503104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IFERROR(VLOOKUP(B73,input_503104!L:R,7,FALSE),VLOOKUP(tables_503104!C73,input_503104!A:H,8,FALSE))</f>
        <v>9187.1239999999998</v>
      </c>
      <c r="P73" s="40">
        <f t="shared" ca="1" si="5"/>
        <v>4.6873081629783273E-3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input_503104!A$2</f>
        <v>503104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IFERROR(VLOOKUP(B74,input_503104!L:R,7,FALSE),VLOOKUP(tables_503104!C74,input_503104!A:H,8,FALSE))</f>
        <v>142.476</v>
      </c>
      <c r="P74" s="40">
        <f t="shared" ca="1" si="5"/>
        <v>7.2691836730243346E-5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input_503104!A$2</f>
        <v>503104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IFERROR(VLOOKUP(B75,input_503104!L:R,7,FALSE),VLOOKUP(tables_503104!C75,input_503104!A:H,8,FALSE))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input_503104!A$2</f>
        <v>503104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IFERROR(VLOOKUP(B76,input_503104!L:R,7,FALSE),VLOOKUP(tables_503104!C76,input_503104!A:H,8,FALSE))</f>
        <v>9187.1239999999998</v>
      </c>
      <c r="P76" s="40">
        <f t="shared" ca="1" si="5"/>
        <v>4.6873081629783273E-3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input_503104!A$2</f>
        <v>503104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IFERROR(VLOOKUP(B77,input_503104!L:R,7,FALSE),VLOOKUP(tables_503104!C77,input_503104!A:H,8,FALSE))</f>
        <v>142.476</v>
      </c>
      <c r="P77" s="40">
        <f t="shared" ca="1" si="5"/>
        <v>7.2691836730243346E-5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input_503104!A$2</f>
        <v>503104</v>
      </c>
      <c r="B78" s="5">
        <v>202</v>
      </c>
      <c r="C78" s="7" t="str">
        <f t="shared" si="4"/>
        <v>Premium3color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IFERROR(VLOOKUP(B78,input_503104!L:R,7,FALSE),VLOOKUP(tables_503104!C78,input_503104!A:H,8,FALSE))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input_503104!A$2</f>
        <v>503104</v>
      </c>
      <c r="B79" s="5">
        <v>203</v>
      </c>
      <c r="C79" s="7" t="str">
        <f t="shared" si="4"/>
        <v>Premium4color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IFERROR(VLOOKUP(B79,input_503104!L:R,7,FALSE),VLOOKUP(tables_503104!C79,input_503104!A:H,8,FALSE))</f>
        <v>38955.413330000003</v>
      </c>
      <c r="P79" s="40">
        <f t="shared" ca="1" si="5"/>
        <v>1.987521088143621E-2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input_503104!A$2</f>
        <v>503104</v>
      </c>
      <c r="B80" s="5">
        <v>204</v>
      </c>
      <c r="C80" s="7" t="str">
        <f t="shared" si="4"/>
        <v>Premium5color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IFERROR(VLOOKUP(B80,input_503104!L:R,7,FALSE),VLOOKUP(tables_503104!C80,input_503104!A:H,8,FALSE))</f>
        <v>4596.2</v>
      </c>
      <c r="P80" s="40">
        <f t="shared" ca="1" si="5"/>
        <v>2.3449999998564281E-3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input_503104!A$2</f>
        <v>503104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IFERROR(VLOOKUP(B81,input_503104!L:R,7,FALSE),VLOOKUP(tables_503104!C81,input_503104!A:H,8,FALSE))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input_503104!A$2</f>
        <v>503104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IFERROR(VLOOKUP(B82,input_503104!L:R,7,FALSE),VLOOKUP(tables_503104!C82,input_503104!A:H,8,FALSE))</f>
        <v>9187.1239999999998</v>
      </c>
      <c r="P82" s="40">
        <f t="shared" ca="1" si="5"/>
        <v>4.6873081629783273E-3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input_503104!A$2</f>
        <v>503104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IFERROR(VLOOKUP(B83,input_503104!L:R,7,FALSE),VLOOKUP(tables_503104!C83,input_503104!A:H,8,FALSE))</f>
        <v>142.476</v>
      </c>
      <c r="P83" s="40">
        <f t="shared" ca="1" si="5"/>
        <v>7.2691836730243346E-5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input_503104!A$2</f>
        <v>503104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IFERROR(VLOOKUP(B84,input_503104!L:R,7,FALSE),VLOOKUP(tables_503104!C84,input_503104!A:H,8,FALSE))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input_503104!A$2</f>
        <v>503104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IFERROR(VLOOKUP(B85,input_503104!L:R,7,FALSE),VLOOKUP(tables_503104!C85,input_503104!A:H,8,FALSE))</f>
        <v>9187.1239999999998</v>
      </c>
      <c r="P85" s="40">
        <f t="shared" ca="1" si="5"/>
        <v>4.6873081629783273E-3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input_503104!A$2</f>
        <v>503104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IFERROR(VLOOKUP(B86,input_503104!L:R,7,FALSE),VLOOKUP(tables_503104!C86,input_503104!A:H,8,FALSE))</f>
        <v>142.476</v>
      </c>
      <c r="P86" s="40">
        <f t="shared" ca="1" si="5"/>
        <v>7.2691836730243346E-5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input_503104!A$2</f>
        <v>503104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IFERROR(VLOOKUP(B87,input_503104!L:R,7,FALSE),VLOOKUP(tables_503104!C87,input_503104!A:H,8,FALSE))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input_503104!A$2</f>
        <v>503104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IFERROR(VLOOKUP(B88,input_503104!L:R,7,FALSE),VLOOKUP(tables_503104!C88,input_503104!A:H,8,FALSE))</f>
        <v>9187.1239999999998</v>
      </c>
      <c r="P88" s="40">
        <f t="shared" ca="1" si="5"/>
        <v>4.6873081629783273E-3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input_503104!A$2</f>
        <v>503104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IFERROR(VLOOKUP(B89,input_503104!L:R,7,FALSE),VLOOKUP(tables_503104!C89,input_503104!A:H,8,FALSE))</f>
        <v>142.476</v>
      </c>
      <c r="P89" s="40">
        <f t="shared" ca="1" si="5"/>
        <v>7.2691836730243346E-5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input_503104!A$2</f>
        <v>503104</v>
      </c>
      <c r="B90" s="5">
        <v>214</v>
      </c>
      <c r="C90" s="7" t="str">
        <f t="shared" si="4"/>
        <v>Premium3color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IFERROR(VLOOKUP(B90,input_503104!L:R,7,FALSE),VLOOKUP(tables_503104!C90,input_503104!A:H,8,FALSE))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input_503104!A$2</f>
        <v>503104</v>
      </c>
      <c r="B91" s="5">
        <v>215</v>
      </c>
      <c r="C91" s="7" t="str">
        <f t="shared" si="4"/>
        <v>Premium4color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IFERROR(VLOOKUP(B91,input_503104!L:R,7,FALSE),VLOOKUP(tables_503104!C91,input_503104!A:H,8,FALSE))</f>
        <v>38955.413330000003</v>
      </c>
      <c r="P91" s="40">
        <f t="shared" ca="1" si="5"/>
        <v>1.987521088143621E-2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input_503104!A$2</f>
        <v>503104</v>
      </c>
      <c r="B92" s="5">
        <v>216</v>
      </c>
      <c r="C92" s="7" t="str">
        <f t="shared" si="4"/>
        <v>Premium5color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IFERROR(VLOOKUP(B92,input_503104!L:R,7,FALSE),VLOOKUP(tables_503104!C92,input_503104!A:H,8,FALSE))</f>
        <v>4596.2</v>
      </c>
      <c r="P92" s="40">
        <f t="shared" ca="1" si="5"/>
        <v>2.3449999998564281E-3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input_503104!A$2</f>
        <v>503104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IFERROR(VLOOKUP(B93,input_503104!L:R,7,FALSE),VLOOKUP(tables_503104!C93,input_503104!A:H,8,FALSE))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input_503104!A$2</f>
        <v>503104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IFERROR(VLOOKUP(B94,input_503104!L:R,7,FALSE),VLOOKUP(tables_503104!C94,input_503104!A:H,8,FALSE))</f>
        <v>9187.1239999999998</v>
      </c>
      <c r="P94" s="40">
        <f t="shared" ca="1" si="5"/>
        <v>4.6873081629783273E-3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input_503104!A$2</f>
        <v>503104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IFERROR(VLOOKUP(B95,input_503104!L:R,7,FALSE),VLOOKUP(tables_503104!C95,input_503104!A:H,8,FALSE))</f>
        <v>142.476</v>
      </c>
      <c r="P95" s="40">
        <f t="shared" ca="1" si="5"/>
        <v>7.2691836730243346E-5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input_503104!A$2</f>
        <v>503104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IFERROR(VLOOKUP(B96,input_503104!L:R,7,FALSE),VLOOKUP(tables_503104!C96,input_503104!A:H,8,FALSE))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input_503104!A$2</f>
        <v>503104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IFERROR(VLOOKUP(B97,input_503104!L:R,7,FALSE),VLOOKUP(tables_503104!C97,input_503104!A:H,8,FALSE))</f>
        <v>9187.1239999999998</v>
      </c>
      <c r="P97" s="40">
        <f t="shared" ca="1" si="5"/>
        <v>4.6873081629783273E-3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input_503104!A$2</f>
        <v>503104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IFERROR(VLOOKUP(B98,input_503104!L:R,7,FALSE),VLOOKUP(tables_503104!C98,input_503104!A:H,8,FALSE))</f>
        <v>142.476</v>
      </c>
      <c r="P98" s="40">
        <f t="shared" ca="1" si="5"/>
        <v>7.2691836730243346E-5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input_503104!A$2</f>
        <v>503104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IFERROR(VLOOKUP(B99,input_503104!L:R,7,FALSE),VLOOKUP(tables_503104!C99,input_503104!A:H,8,FALSE))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input_503104!A$2</f>
        <v>503104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IFERROR(VLOOKUP(B100,input_503104!L:R,7,FALSE),VLOOKUP(tables_503104!C100,input_503104!A:H,8,FALSE))</f>
        <v>9187.1239999999998</v>
      </c>
      <c r="P100" s="40">
        <f t="shared" ca="1" si="5"/>
        <v>4.6873081629783273E-3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input_503104!A$2</f>
        <v>503104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IFERROR(VLOOKUP(B101,input_503104!L:R,7,FALSE),VLOOKUP(tables_503104!C101,input_503104!A:H,8,FALSE))</f>
        <v>142.476</v>
      </c>
      <c r="P101" s="40">
        <f t="shared" ca="1" si="5"/>
        <v>7.2691836730243346E-5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input_503104!A$2</f>
        <v>503104</v>
      </c>
      <c r="B102" s="5">
        <v>226</v>
      </c>
      <c r="C102" s="7" t="str">
        <f t="shared" si="4"/>
        <v>Premium3color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IFERROR(VLOOKUP(B102,input_503104!L:R,7,FALSE),VLOOKUP(tables_503104!C102,input_503104!A:H,8,FALSE))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input_503104!A$2</f>
        <v>503104</v>
      </c>
      <c r="B103" s="5">
        <v>227</v>
      </c>
      <c r="C103" s="7" t="str">
        <f t="shared" si="4"/>
        <v>Premium4color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IFERROR(VLOOKUP(B103,input_503104!L:R,7,FALSE),VLOOKUP(tables_503104!C103,input_503104!A:H,8,FALSE))</f>
        <v>38955.413330000003</v>
      </c>
      <c r="P103" s="40">
        <f t="shared" ca="1" si="5"/>
        <v>1.987521088143621E-2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input_503104!A$2</f>
        <v>503104</v>
      </c>
      <c r="B104" s="5">
        <v>228</v>
      </c>
      <c r="C104" s="7" t="str">
        <f t="shared" si="4"/>
        <v>Premium5color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IFERROR(VLOOKUP(B104,input_503104!L:R,7,FALSE),VLOOKUP(tables_503104!C104,input_503104!A:H,8,FALSE))</f>
        <v>4596.2</v>
      </c>
      <c r="P104" s="40">
        <f t="shared" ca="1" si="5"/>
        <v>2.3449999998564281E-3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input_503104!A$2</f>
        <v>503104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IFERROR(VLOOKUP(B105,input_503104!L:R,7,FALSE),VLOOKUP(tables_503104!C105,input_503104!A:H,8,FALSE))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input_503104!A$2</f>
        <v>503104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IFERROR(VLOOKUP(B106,input_503104!L:R,7,FALSE),VLOOKUP(tables_503104!C106,input_503104!A:H,8,FALSE))</f>
        <v>9187.1239999999998</v>
      </c>
      <c r="P106" s="40">
        <f t="shared" ca="1" si="5"/>
        <v>4.6873081629783273E-3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input_503104!A$2</f>
        <v>503104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IFERROR(VLOOKUP(B107,input_503104!L:R,7,FALSE),VLOOKUP(tables_503104!C107,input_503104!A:H,8,FALSE))</f>
        <v>142.476</v>
      </c>
      <c r="P107" s="40">
        <f t="shared" ca="1" si="5"/>
        <v>7.2691836730243346E-5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input_503104!A$2</f>
        <v>503104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IFERROR(VLOOKUP(B108,input_503104!L:R,7,FALSE),VLOOKUP(tables_503104!C108,input_503104!A:H,8,FALSE))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input_503104!A$2</f>
        <v>503104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IFERROR(VLOOKUP(B109,input_503104!L:R,7,FALSE),VLOOKUP(tables_503104!C109,input_503104!A:H,8,FALSE))</f>
        <v>9187.1239999999998</v>
      </c>
      <c r="P109" s="40">
        <f t="shared" ca="1" si="5"/>
        <v>4.6873081629783273E-3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input_503104!A$2</f>
        <v>503104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IFERROR(VLOOKUP(B110,input_503104!L:R,7,FALSE),VLOOKUP(tables_503104!C110,input_503104!A:H,8,FALSE))</f>
        <v>142.476</v>
      </c>
      <c r="P110" s="40">
        <f t="shared" ca="1" si="5"/>
        <v>7.2691836730243346E-5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input_503104!A$2</f>
        <v>503104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IFERROR(VLOOKUP(B111,input_503104!L:R,7,FALSE),VLOOKUP(tables_503104!C111,input_503104!A:H,8,FALSE))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input_503104!A$2</f>
        <v>503104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IFERROR(VLOOKUP(B112,input_503104!L:R,7,FALSE),VLOOKUP(tables_503104!C112,input_503104!A:H,8,FALSE))</f>
        <v>9455.0400000000009</v>
      </c>
      <c r="P112" s="40">
        <f t="shared" ca="1" si="5"/>
        <v>4.8239999997046531E-3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input_503104!A$2</f>
        <v>503104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IFERROR(VLOOKUP(B113,input_503104!L:R,7,FALSE),VLOOKUP(tables_503104!C113,input_503104!A:H,8,FALSE))</f>
        <v>1050.56</v>
      </c>
      <c r="P113" s="40">
        <f t="shared" ca="1" si="5"/>
        <v>5.359999999671836E-4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input_503104!A$2</f>
        <v>503104</v>
      </c>
      <c r="B114" s="5">
        <v>238</v>
      </c>
      <c r="C114" s="7" t="str">
        <f t="shared" si="4"/>
        <v>Premium3color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IFERROR(VLOOKUP(B114,input_503104!L:R,7,FALSE),VLOOKUP(tables_503104!C114,input_503104!A:H,8,FALSE))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input_503104!A$2</f>
        <v>503104</v>
      </c>
      <c r="B115" s="5">
        <v>239</v>
      </c>
      <c r="C115" s="7" t="str">
        <f t="shared" si="4"/>
        <v>Premium4color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IFERROR(VLOOKUP(B115,input_503104!L:R,7,FALSE),VLOOKUP(tables_503104!C115,input_503104!A:H,8,FALSE))</f>
        <v>38955.413330000003</v>
      </c>
      <c r="P115" s="40">
        <f t="shared" ca="1" si="5"/>
        <v>1.987521088143621E-2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input_503104!A$2</f>
        <v>503104</v>
      </c>
      <c r="B116" s="5">
        <v>240</v>
      </c>
      <c r="C116" s="7" t="str">
        <f t="shared" si="4"/>
        <v>Premium5color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IFERROR(VLOOKUP(B116,input_503104!L:R,7,FALSE),VLOOKUP(tables_503104!C116,input_503104!A:H,8,FALSE))</f>
        <v>4596.2</v>
      </c>
      <c r="P116" s="40">
        <f t="shared" ca="1" si="5"/>
        <v>2.3449999998564281E-3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input_503104!A$2</f>
        <v>503104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IFERROR(VLOOKUP(B117,input_503104!L:R,7,FALSE),VLOOKUP(tables_503104!C117,input_503104!A:H,8,FALSE))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input_503104!A$2</f>
        <v>503104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IFERROR(VLOOKUP(B118,input_503104!L:R,7,FALSE),VLOOKUP(tables_503104!C118,input_503104!A:H,8,FALSE))</f>
        <v>9187.1239999999998</v>
      </c>
      <c r="P118" s="40">
        <f t="shared" ca="1" si="5"/>
        <v>4.6873081629783273E-3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input_503104!A$2</f>
        <v>503104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IFERROR(VLOOKUP(B119,input_503104!L:R,7,FALSE),VLOOKUP(tables_503104!C119,input_503104!A:H,8,FALSE))</f>
        <v>142.476</v>
      </c>
      <c r="P119" s="40">
        <f t="shared" ca="1" si="5"/>
        <v>7.2691836730243346E-5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input_503104!A$2</f>
        <v>503104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IFERROR(VLOOKUP(B120,input_503104!L:R,7,FALSE),VLOOKUP(tables_503104!C120,input_503104!A:H,8,FALSE))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input_503104!A$2</f>
        <v>503104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IFERROR(VLOOKUP(B121,input_503104!L:R,7,FALSE),VLOOKUP(tables_503104!C121,input_503104!A:H,8,FALSE))</f>
        <v>9187.1239999999998</v>
      </c>
      <c r="P121" s="40">
        <f t="shared" ca="1" si="5"/>
        <v>4.6873081629783273E-3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input_503104!A$2</f>
        <v>503104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IFERROR(VLOOKUP(B122,input_503104!L:R,7,FALSE),VLOOKUP(tables_503104!C122,input_503104!A:H,8,FALSE))</f>
        <v>142.476</v>
      </c>
      <c r="P122" s="40">
        <f t="shared" ca="1" si="5"/>
        <v>7.2691836730243346E-5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input_503104!A$2</f>
        <v>503104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IFERROR(VLOOKUP(B123,input_503104!L:R,7,FALSE),VLOOKUP(tables_503104!C123,input_503104!A:H,8,FALSE))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input_503104!A$2</f>
        <v>503104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IFERROR(VLOOKUP(B124,input_503104!L:R,7,FALSE),VLOOKUP(tables_503104!C124,input_503104!A:H,8,FALSE))</f>
        <v>9187.1239999999998</v>
      </c>
      <c r="P124" s="40">
        <f t="shared" ca="1" si="5"/>
        <v>4.6873081629783273E-3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input_503104!A$2</f>
        <v>503104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IFERROR(VLOOKUP(B125,input_503104!L:R,7,FALSE),VLOOKUP(tables_503104!C125,input_503104!A:H,8,FALSE))</f>
        <v>142.476</v>
      </c>
      <c r="P125" s="40">
        <f t="shared" ca="1" si="5"/>
        <v>7.2691836730243346E-5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input_503104!A$2</f>
        <v>503104</v>
      </c>
      <c r="B126" s="6">
        <v>250</v>
      </c>
      <c r="C126" s="7" t="str">
        <f t="shared" si="4"/>
        <v>Premium3color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IFERROR(VLOOKUP(B126,input_503104!L:R,7,FALSE),VLOOKUP(tables_503104!C126,input_503104!A:H,8,FALSE))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input_503104!A$2</f>
        <v>503104</v>
      </c>
      <c r="B127" s="6">
        <v>251</v>
      </c>
      <c r="C127" s="7" t="str">
        <f t="shared" si="4"/>
        <v>Premium4color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IFERROR(VLOOKUP(B127,input_503104!L:R,7,FALSE),VLOOKUP(tables_503104!C127,input_503104!A:H,8,FALSE))</f>
        <v>38955.413330000003</v>
      </c>
      <c r="P127" s="40">
        <f t="shared" ca="1" si="5"/>
        <v>1.987521088143621E-2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input_503104!A$2</f>
        <v>503104</v>
      </c>
      <c r="B128" s="6">
        <v>252</v>
      </c>
      <c r="C128" s="7" t="str">
        <f t="shared" si="4"/>
        <v>Premium5color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IFERROR(VLOOKUP(B128,input_503104!L:R,7,FALSE),VLOOKUP(tables_503104!C128,input_503104!A:H,8,FALSE))</f>
        <v>4596.2</v>
      </c>
      <c r="P128" s="40">
        <f t="shared" ca="1" si="5"/>
        <v>2.3449999998564281E-3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input_503104!A$2</f>
        <v>503104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IFERROR(VLOOKUP(B129,input_503104!L:R,7,FALSE),VLOOKUP(tables_503104!C129,input_503104!A:H,8,FALSE))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input_503104!A$2</f>
        <v>503104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IFERROR(VLOOKUP(B130,input_503104!L:R,7,FALSE),VLOOKUP(tables_503104!C130,input_503104!A:H,8,FALSE))</f>
        <v>9187.1239999999998</v>
      </c>
      <c r="P130" s="40">
        <f t="shared" ref="P130:P193" ca="1" si="9">O130/SUM(O:O)</f>
        <v>4.6873081629783273E-3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input_503104!A$2</f>
        <v>503104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IFERROR(VLOOKUP(B131,input_503104!L:R,7,FALSE),VLOOKUP(tables_503104!C131,input_503104!A:H,8,FALSE))</f>
        <v>142.476</v>
      </c>
      <c r="P131" s="40">
        <f t="shared" ca="1" si="9"/>
        <v>7.2691836730243346E-5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input_503104!A$2</f>
        <v>503104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IFERROR(VLOOKUP(B132,input_503104!L:R,7,FALSE),VLOOKUP(tables_503104!C132,input_503104!A:H,8,FALSE))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input_503104!A$2</f>
        <v>503104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IFERROR(VLOOKUP(B133,input_503104!L:R,7,FALSE),VLOOKUP(tables_503104!C133,input_503104!A:H,8,FALSE))</f>
        <v>9187.1239999999998</v>
      </c>
      <c r="P133" s="40">
        <f t="shared" ca="1" si="9"/>
        <v>4.6873081629783273E-3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input_503104!A$2</f>
        <v>503104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IFERROR(VLOOKUP(B134,input_503104!L:R,7,FALSE),VLOOKUP(tables_503104!C134,input_503104!A:H,8,FALSE))</f>
        <v>142.476</v>
      </c>
      <c r="P134" s="40">
        <f t="shared" ca="1" si="9"/>
        <v>7.2691836730243346E-5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input_503104!A$2</f>
        <v>503104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IFERROR(VLOOKUP(B135,input_503104!L:R,7,FALSE),VLOOKUP(tables_503104!C135,input_503104!A:H,8,FALSE))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input_503104!A$2</f>
        <v>503104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IFERROR(VLOOKUP(B136,input_503104!L:R,7,FALSE),VLOOKUP(tables_503104!C136,input_503104!A:H,8,FALSE))</f>
        <v>9187.1239999999998</v>
      </c>
      <c r="P136" s="40">
        <f t="shared" ca="1" si="9"/>
        <v>4.6873081629783273E-3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input_503104!A$2</f>
        <v>503104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IFERROR(VLOOKUP(B137,input_503104!L:R,7,FALSE),VLOOKUP(tables_503104!C137,input_503104!A:H,8,FALSE))</f>
        <v>142.476</v>
      </c>
      <c r="P137" s="40">
        <f t="shared" ca="1" si="9"/>
        <v>7.2691836730243346E-5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input_503104!A$2</f>
        <v>503104</v>
      </c>
      <c r="B138" s="6">
        <v>320</v>
      </c>
      <c r="C138" s="7" t="str">
        <f t="shared" si="8"/>
        <v>PremiumSS4color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IFERROR(VLOOKUP(B138,input_503104!L:R,7,FALSE),VLOOKUP(tables_503104!C138,input_503104!A:H,8,FALSE))</f>
        <v>2681.28</v>
      </c>
      <c r="P138" s="40">
        <f t="shared" ca="1" si="9"/>
        <v>1.3679999999162448E-3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input_503104!A$2</f>
        <v>503104</v>
      </c>
      <c r="B139" s="6">
        <v>321</v>
      </c>
      <c r="C139" s="7" t="str">
        <f t="shared" si="8"/>
        <v>PremiumSS5color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IFERROR(VLOOKUP(B139,input_503104!L:R,7,FALSE),VLOOKUP(tables_503104!C139,input_503104!A:H,8,FALSE))</f>
        <v>297.92</v>
      </c>
      <c r="P139" s="40">
        <f t="shared" ca="1" si="9"/>
        <v>1.5199999999069387E-4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input_503104!A$2</f>
        <v>503104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IFERROR(VLOOKUP(B140,input_503104!L:R,7,FALSE),VLOOKUP(tables_503104!C140,input_503104!A:H,8,FALSE))</f>
        <v>547.20000000000005</v>
      </c>
      <c r="P140" s="40">
        <f t="shared" ca="1" si="9"/>
        <v>2.7918367345229487E-4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input_503104!A$2</f>
        <v>503104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IFERROR(VLOOKUP(B141,input_503104!L:R,7,FALSE),VLOOKUP(tables_503104!C141,input_503104!A:H,8,FALSE))</f>
        <v>60.8</v>
      </c>
      <c r="P141" s="40">
        <f t="shared" ca="1" si="9"/>
        <v>3.1020408161366092E-5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input_503104!A$2</f>
        <v>503104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IFERROR(VLOOKUP(B142,input_503104!L:R,7,FALSE),VLOOKUP(tables_503104!C142,input_503104!A:H,8,FALSE))</f>
        <v>547.20000000000005</v>
      </c>
      <c r="P142" s="40">
        <f t="shared" ca="1" si="9"/>
        <v>2.7918367345229487E-4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input_503104!A$2</f>
        <v>503104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IFERROR(VLOOKUP(B143,input_503104!L:R,7,FALSE),VLOOKUP(tables_503104!C143,input_503104!A:H,8,FALSE))</f>
        <v>60.8</v>
      </c>
      <c r="P143" s="40">
        <f t="shared" ca="1" si="9"/>
        <v>3.1020408161366092E-5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input_503104!A$2</f>
        <v>503104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IFERROR(VLOOKUP(B144,input_503104!L:R,7,FALSE),VLOOKUP(tables_503104!C144,input_503104!A:H,8,FALSE))</f>
        <v>547.20000000000005</v>
      </c>
      <c r="P144" s="40">
        <f t="shared" ca="1" si="9"/>
        <v>2.7918367345229487E-4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input_503104!A$2</f>
        <v>503104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IFERROR(VLOOKUP(B145,input_503104!L:R,7,FALSE),VLOOKUP(tables_503104!C145,input_503104!A:H,8,FALSE))</f>
        <v>60.8</v>
      </c>
      <c r="P145" s="40">
        <f t="shared" ca="1" si="9"/>
        <v>3.1020408161366092E-5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input_503104!A$2</f>
        <v>503104</v>
      </c>
      <c r="B146" s="6">
        <v>380</v>
      </c>
      <c r="C146" s="7" t="str">
        <f t="shared" si="8"/>
        <v>Premium3color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IFERROR(VLOOKUP(B146,input_503104!L:R,7,FALSE),VLOOKUP(tables_503104!C146,input_503104!A:H,8,FALSE))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input_503104!A$2</f>
        <v>503104</v>
      </c>
      <c r="B147" s="6">
        <v>381</v>
      </c>
      <c r="C147" s="7" t="str">
        <f t="shared" si="8"/>
        <v>Premium4color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IFERROR(VLOOKUP(B147,input_503104!L:R,7,FALSE),VLOOKUP(tables_503104!C147,input_503104!A:H,8,FALSE))</f>
        <v>38955.413330000003</v>
      </c>
      <c r="P147" s="40">
        <f t="shared" ca="1" si="9"/>
        <v>1.987521088143621E-2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input_503104!A$2</f>
        <v>503104</v>
      </c>
      <c r="B148" s="6">
        <v>382</v>
      </c>
      <c r="C148" s="7" t="str">
        <f t="shared" si="8"/>
        <v>Premium5color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IFERROR(VLOOKUP(B148,input_503104!L:R,7,FALSE),VLOOKUP(tables_503104!C148,input_503104!A:H,8,FALSE))</f>
        <v>4596.2</v>
      </c>
      <c r="P148" s="40">
        <f t="shared" ca="1" si="9"/>
        <v>2.3449999998564281E-3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input_503104!A$2</f>
        <v>503104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IFERROR(VLOOKUP(B149,input_503104!L:R,7,FALSE),VLOOKUP(tables_503104!C149,input_503104!A:H,8,FALSE))</f>
        <v>547.20000000000005</v>
      </c>
      <c r="P149" s="40">
        <f t="shared" ca="1" si="9"/>
        <v>2.7918367345229487E-4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input_503104!A$2</f>
        <v>503104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IFERROR(VLOOKUP(B150,input_503104!L:R,7,FALSE),VLOOKUP(tables_503104!C150,input_503104!A:H,8,FALSE))</f>
        <v>60.8</v>
      </c>
      <c r="P150" s="40">
        <f t="shared" ca="1" si="9"/>
        <v>3.1020408161366092E-5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input_503104!A$2</f>
        <v>503104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IFERROR(VLOOKUP(B151,input_503104!L:R,7,FALSE),VLOOKUP(tables_503104!C151,input_503104!A:H,8,FALSE))</f>
        <v>547.20000000000005</v>
      </c>
      <c r="P151" s="40">
        <f t="shared" ca="1" si="9"/>
        <v>2.7918367345229487E-4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input_503104!A$2</f>
        <v>503104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IFERROR(VLOOKUP(B152,input_503104!L:R,7,FALSE),VLOOKUP(tables_503104!C152,input_503104!A:H,8,FALSE))</f>
        <v>60.8</v>
      </c>
      <c r="P152" s="40">
        <f t="shared" ca="1" si="9"/>
        <v>3.1020408161366092E-5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input_503104!A$2</f>
        <v>503104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IFERROR(VLOOKUP(B153,input_503104!L:R,7,FALSE),VLOOKUP(tables_503104!C153,input_503104!A:H,8,FALSE))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input_503104!A$2</f>
        <v>503104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IFERROR(VLOOKUP(B154,input_503104!L:R,7,FALSE),VLOOKUP(tables_503104!C154,input_503104!A:H,8,FALSE))</f>
        <v>9187.1239999999998</v>
      </c>
      <c r="P154" s="40">
        <f t="shared" ca="1" si="9"/>
        <v>4.6873081629783273E-3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input_503104!A$2</f>
        <v>503104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IFERROR(VLOOKUP(B155,input_503104!L:R,7,FALSE),VLOOKUP(tables_503104!C155,input_503104!A:H,8,FALSE))</f>
        <v>142.476</v>
      </c>
      <c r="P155" s="40">
        <f t="shared" ca="1" si="9"/>
        <v>7.2691836730243346E-5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input_503104!A$2</f>
        <v>503104</v>
      </c>
      <c r="B156" s="6">
        <v>390</v>
      </c>
      <c r="C156" s="7" t="str">
        <f t="shared" si="8"/>
        <v>PremiumSS4color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IFERROR(VLOOKUP(B156,input_503104!L:R,7,FALSE),VLOOKUP(tables_503104!C156,input_503104!A:H,8,FALSE))</f>
        <v>2681.28</v>
      </c>
      <c r="P156" s="40">
        <f t="shared" ca="1" si="9"/>
        <v>1.3679999999162448E-3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input_503104!A$2</f>
        <v>503104</v>
      </c>
      <c r="B157" s="6">
        <v>391</v>
      </c>
      <c r="C157" s="7" t="str">
        <f t="shared" si="8"/>
        <v>PremiumSS5color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IFERROR(VLOOKUP(B157,input_503104!L:R,7,FALSE),VLOOKUP(tables_503104!C157,input_503104!A:H,8,FALSE))</f>
        <v>297.92</v>
      </c>
      <c r="P157" s="40">
        <f t="shared" ca="1" si="9"/>
        <v>1.5199999999069387E-4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input_503104!A$2</f>
        <v>503104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IFERROR(VLOOKUP(B158,input_503104!L:R,7,FALSE),VLOOKUP(tables_503104!C158,input_503104!A:H,8,FALSE))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input_503104!A$2</f>
        <v>503104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IFERROR(VLOOKUP(B159,input_503104!L:R,7,FALSE),VLOOKUP(tables_503104!C159,input_503104!A:H,8,FALSE))</f>
        <v>9187.1239999999998</v>
      </c>
      <c r="P159" s="40">
        <f t="shared" ca="1" si="9"/>
        <v>4.6873081629783273E-3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input_503104!A$2</f>
        <v>503104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IFERROR(VLOOKUP(B160,input_503104!L:R,7,FALSE),VLOOKUP(tables_503104!C160,input_503104!A:H,8,FALSE))</f>
        <v>142.476</v>
      </c>
      <c r="P160" s="40">
        <f t="shared" ca="1" si="9"/>
        <v>7.2691836730243346E-5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input_503104!A$2</f>
        <v>503104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IFERROR(VLOOKUP(B161,input_503104!L:R,7,FALSE),VLOOKUP(tables_503104!C161,input_503104!A:H,8,FALSE))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input_503104!A$2</f>
        <v>503104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IFERROR(VLOOKUP(B162,input_503104!L:R,7,FALSE),VLOOKUP(tables_503104!C162,input_503104!A:H,8,FALSE))</f>
        <v>9187.1239999999998</v>
      </c>
      <c r="P162" s="40">
        <f t="shared" ca="1" si="9"/>
        <v>4.6873081629783273E-3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input_503104!A$2</f>
        <v>503104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IFERROR(VLOOKUP(B163,input_503104!L:R,7,FALSE),VLOOKUP(tables_503104!C163,input_503104!A:H,8,FALSE))</f>
        <v>142.476</v>
      </c>
      <c r="P163" s="40">
        <f t="shared" ca="1" si="9"/>
        <v>7.2691836730243346E-5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input_503104!A$2</f>
        <v>503104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IFERROR(VLOOKUP(B164,input_503104!L:R,7,FALSE),VLOOKUP(tables_503104!C164,input_503104!A:H,8,FALSE))</f>
        <v>547.20000000000005</v>
      </c>
      <c r="P164" s="40">
        <f t="shared" ca="1" si="9"/>
        <v>2.7918367345229487E-4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input_503104!A$2</f>
        <v>503104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IFERROR(VLOOKUP(B165,input_503104!L:R,7,FALSE),VLOOKUP(tables_503104!C165,input_503104!A:H,8,FALSE))</f>
        <v>60.8</v>
      </c>
      <c r="P165" s="40">
        <f t="shared" ca="1" si="9"/>
        <v>3.1020408161366092E-5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input_503104!A$2</f>
        <v>503104</v>
      </c>
      <c r="B166" s="6">
        <v>400</v>
      </c>
      <c r="C166" s="7" t="str">
        <f t="shared" si="8"/>
        <v>Premium3color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IFERROR(VLOOKUP(B166,input_503104!L:R,7,FALSE),VLOOKUP(tables_503104!C166,input_503104!A:H,8,FALSE))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input_503104!A$2</f>
        <v>503104</v>
      </c>
      <c r="B167" s="6">
        <v>401</v>
      </c>
      <c r="C167" s="7" t="str">
        <f t="shared" si="8"/>
        <v>Premium4color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IFERROR(VLOOKUP(B167,input_503104!L:R,7,FALSE),VLOOKUP(tables_503104!C167,input_503104!A:H,8,FALSE))</f>
        <v>38955.413330000003</v>
      </c>
      <c r="P167" s="40">
        <f t="shared" ca="1" si="9"/>
        <v>1.987521088143621E-2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input_503104!A$2</f>
        <v>503104</v>
      </c>
      <c r="B168" s="6">
        <v>402</v>
      </c>
      <c r="C168" s="7" t="str">
        <f t="shared" si="8"/>
        <v>Premium5color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IFERROR(VLOOKUP(B168,input_503104!L:R,7,FALSE),VLOOKUP(tables_503104!C168,input_503104!A:H,8,FALSE))</f>
        <v>4596.2</v>
      </c>
      <c r="P168" s="40">
        <f t="shared" ca="1" si="9"/>
        <v>2.3449999998564281E-3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input_503104!A$2</f>
        <v>503104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IFERROR(VLOOKUP(B169,input_503104!L:R,7,FALSE),VLOOKUP(tables_503104!C169,input_503104!A:H,8,FALSE))</f>
        <v>547.20000000000005</v>
      </c>
      <c r="P169" s="40">
        <f t="shared" ca="1" si="9"/>
        <v>2.7918367345229487E-4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input_503104!A$2</f>
        <v>503104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IFERROR(VLOOKUP(B170,input_503104!L:R,7,FALSE),VLOOKUP(tables_503104!C170,input_503104!A:H,8,FALSE))</f>
        <v>60.8</v>
      </c>
      <c r="P170" s="40">
        <f t="shared" ca="1" si="9"/>
        <v>3.1020408161366092E-5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input_503104!A$2</f>
        <v>503104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IFERROR(VLOOKUP(B171,input_503104!L:R,7,FALSE),VLOOKUP(tables_503104!C171,input_503104!A:H,8,FALSE))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input_503104!A$2</f>
        <v>503104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IFERROR(VLOOKUP(B172,input_503104!L:R,7,FALSE),VLOOKUP(tables_503104!C172,input_503104!A:H,8,FALSE))</f>
        <v>9187.1239999999998</v>
      </c>
      <c r="P172" s="40">
        <f t="shared" ca="1" si="9"/>
        <v>4.6873081629783273E-3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input_503104!A$2</f>
        <v>503104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IFERROR(VLOOKUP(B173,input_503104!L:R,7,FALSE),VLOOKUP(tables_503104!C173,input_503104!A:H,8,FALSE))</f>
        <v>142.476</v>
      </c>
      <c r="P173" s="40">
        <f t="shared" ca="1" si="9"/>
        <v>7.2691836730243346E-5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input_503104!A$2</f>
        <v>503104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IFERROR(VLOOKUP(B174,input_503104!L:R,7,FALSE),VLOOKUP(tables_503104!C174,input_503104!A:H,8,FALSE))</f>
        <v>547.20000000000005</v>
      </c>
      <c r="P174" s="40">
        <f t="shared" ca="1" si="9"/>
        <v>2.7918367345229487E-4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input_503104!A$2</f>
        <v>503104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IFERROR(VLOOKUP(B175,input_503104!L:R,7,FALSE),VLOOKUP(tables_503104!C175,input_503104!A:H,8,FALSE))</f>
        <v>60.8</v>
      </c>
      <c r="P175" s="40">
        <f t="shared" ca="1" si="9"/>
        <v>3.1020408161366092E-5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input_503104!A$2</f>
        <v>503104</v>
      </c>
      <c r="B176" s="6">
        <v>434</v>
      </c>
      <c r="C176" s="7" t="str">
        <f t="shared" si="8"/>
        <v>PremiumSS4color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IFERROR(VLOOKUP(B176,input_503104!L:R,7,FALSE),VLOOKUP(tables_503104!C176,input_503104!A:H,8,FALSE))</f>
        <v>2681.28</v>
      </c>
      <c r="P176" s="40">
        <f t="shared" ca="1" si="9"/>
        <v>1.3679999999162448E-3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input_503104!A$2</f>
        <v>503104</v>
      </c>
      <c r="B177" s="6">
        <v>435</v>
      </c>
      <c r="C177" s="7" t="str">
        <f t="shared" si="8"/>
        <v>PremiumSS5color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IFERROR(VLOOKUP(B177,input_503104!L:R,7,FALSE),VLOOKUP(tables_503104!C177,input_503104!A:H,8,FALSE))</f>
        <v>297.92</v>
      </c>
      <c r="P177" s="40">
        <f t="shared" ca="1" si="9"/>
        <v>1.5199999999069387E-4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input_503104!A$2</f>
        <v>503104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IFERROR(VLOOKUP(B178,input_503104!L:R,7,FALSE),VLOOKUP(tables_503104!C178,input_503104!A:H,8,FALSE))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input_503104!A$2</f>
        <v>503104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IFERROR(VLOOKUP(B179,input_503104!L:R,7,FALSE),VLOOKUP(tables_503104!C179,input_503104!A:H,8,FALSE))</f>
        <v>9187.1239999999998</v>
      </c>
      <c r="P179" s="40">
        <f t="shared" ca="1" si="9"/>
        <v>4.6873081629783273E-3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input_503104!A$2</f>
        <v>503104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IFERROR(VLOOKUP(B180,input_503104!L:R,7,FALSE),VLOOKUP(tables_503104!C180,input_503104!A:H,8,FALSE))</f>
        <v>142.476</v>
      </c>
      <c r="P180" s="40">
        <f t="shared" ca="1" si="9"/>
        <v>7.2691836730243346E-5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input_503104!A$2</f>
        <v>503104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IFERROR(VLOOKUP(B181,input_503104!L:R,7,FALSE),VLOOKUP(tables_503104!C181,input_503104!A:H,8,FALSE))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input_503104!A$2</f>
        <v>503104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IFERROR(VLOOKUP(B182,input_503104!L:R,7,FALSE),VLOOKUP(tables_503104!C182,input_503104!A:H,8,FALSE))</f>
        <v>9187.1239999999998</v>
      </c>
      <c r="P182" s="40">
        <f t="shared" ca="1" si="9"/>
        <v>4.6873081629783273E-3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input_503104!A$2</f>
        <v>503104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IFERROR(VLOOKUP(B183,input_503104!L:R,7,FALSE),VLOOKUP(tables_503104!C183,input_503104!A:H,8,FALSE))</f>
        <v>142.476</v>
      </c>
      <c r="P183" s="40">
        <f t="shared" ca="1" si="9"/>
        <v>7.2691836730243346E-5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input_503104!A$2</f>
        <v>503104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IFERROR(VLOOKUP(B184,input_503104!L:R,7,FALSE),VLOOKUP(tables_503104!C184,input_503104!A:H,8,FALSE))</f>
        <v>547.20000000000005</v>
      </c>
      <c r="P184" s="40">
        <f t="shared" ca="1" si="9"/>
        <v>2.7918367345229487E-4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input_503104!A$2</f>
        <v>503104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IFERROR(VLOOKUP(B185,input_503104!L:R,7,FALSE),VLOOKUP(tables_503104!C185,input_503104!A:H,8,FALSE))</f>
        <v>60.8</v>
      </c>
      <c r="P185" s="40">
        <f t="shared" ca="1" si="9"/>
        <v>3.1020408161366092E-5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input_503104!A$2</f>
        <v>503104</v>
      </c>
      <c r="B186" s="8">
        <v>462</v>
      </c>
      <c r="C186" s="7" t="str">
        <f t="shared" si="8"/>
        <v>Premium3color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IFERROR(VLOOKUP(B186,input_503104!L:R,7,FALSE),VLOOKUP(tables_503104!C186,input_503104!A:H,8,FALSE))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input_503104!A$2</f>
        <v>503104</v>
      </c>
      <c r="B187" s="8">
        <v>463</v>
      </c>
      <c r="C187" s="7" t="str">
        <f t="shared" si="8"/>
        <v>Premium4color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IFERROR(VLOOKUP(B187,input_503104!L:R,7,FALSE),VLOOKUP(tables_503104!C187,input_503104!A:H,8,FALSE))</f>
        <v>38955.413330000003</v>
      </c>
      <c r="P187" s="40">
        <f t="shared" ca="1" si="9"/>
        <v>1.987521088143621E-2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input_503104!A$2</f>
        <v>503104</v>
      </c>
      <c r="B188" s="8">
        <v>464</v>
      </c>
      <c r="C188" s="7" t="str">
        <f t="shared" si="8"/>
        <v>Premium5color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IFERROR(VLOOKUP(B188,input_503104!L:R,7,FALSE),VLOOKUP(tables_503104!C188,input_503104!A:H,8,FALSE))</f>
        <v>4596.2</v>
      </c>
      <c r="P188" s="40">
        <f t="shared" ca="1" si="9"/>
        <v>2.3449999998564281E-3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input_503104!A$2</f>
        <v>503104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IFERROR(VLOOKUP(B189,input_503104!L:R,7,FALSE),VLOOKUP(tables_503104!C189,input_503104!A:H,8,FALSE))</f>
        <v>547.20000000000005</v>
      </c>
      <c r="P189" s="40">
        <f t="shared" ca="1" si="9"/>
        <v>2.7918367345229487E-4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input_503104!A$2</f>
        <v>503104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IFERROR(VLOOKUP(B190,input_503104!L:R,7,FALSE),VLOOKUP(tables_503104!C190,input_503104!A:H,8,FALSE))</f>
        <v>60.8</v>
      </c>
      <c r="P190" s="40">
        <f t="shared" ca="1" si="9"/>
        <v>3.1020408161366092E-5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input_503104!A$2</f>
        <v>503104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IFERROR(VLOOKUP(B191,input_503104!L:R,7,FALSE),VLOOKUP(tables_503104!C191,input_503104!A:H,8,FALSE))</f>
        <v>547.20000000000005</v>
      </c>
      <c r="P191" s="40">
        <f t="shared" ca="1" si="9"/>
        <v>2.7918367345229487E-4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input_503104!A$2</f>
        <v>503104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IFERROR(VLOOKUP(B192,input_503104!L:R,7,FALSE),VLOOKUP(tables_503104!C192,input_503104!A:H,8,FALSE))</f>
        <v>60.8</v>
      </c>
      <c r="P192" s="40">
        <f t="shared" ca="1" si="9"/>
        <v>3.1020408161366092E-5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input_503104!A$2</f>
        <v>503104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IFERROR(VLOOKUP(B193,input_503104!L:R,7,FALSE),VLOOKUP(tables_503104!C193,input_503104!A:H,8,FALSE))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input_503104!A$2</f>
        <v>503104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IFERROR(VLOOKUP(B194,input_503104!L:R,7,FALSE),VLOOKUP(tables_503104!C194,input_503104!A:H,8,FALSE))</f>
        <v>9187.1239999999998</v>
      </c>
      <c r="P194" s="40">
        <f t="shared" ref="P194:P257" ca="1" si="13">O194/SUM(O:O)</f>
        <v>4.6873081629783273E-3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input_503104!A$2</f>
        <v>503104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IFERROR(VLOOKUP(B195,input_503104!L:R,7,FALSE),VLOOKUP(tables_503104!C195,input_503104!A:H,8,FALSE))</f>
        <v>142.476</v>
      </c>
      <c r="P195" s="40">
        <f t="shared" ca="1" si="13"/>
        <v>7.2691836730243346E-5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input_503104!A$2</f>
        <v>503104</v>
      </c>
      <c r="B196" s="6">
        <v>474</v>
      </c>
      <c r="C196" s="7" t="str">
        <f t="shared" si="12"/>
        <v>PremiumSS4color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IFERROR(VLOOKUP(B196,input_503104!L:R,7,FALSE),VLOOKUP(tables_503104!C196,input_503104!A:H,8,FALSE))</f>
        <v>2681.28</v>
      </c>
      <c r="P196" s="40">
        <f t="shared" ca="1" si="13"/>
        <v>1.3679999999162448E-3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input_503104!A$2</f>
        <v>503104</v>
      </c>
      <c r="B197" s="6">
        <v>475</v>
      </c>
      <c r="C197" s="7" t="str">
        <f t="shared" si="12"/>
        <v>PremiumSS5color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IFERROR(VLOOKUP(B197,input_503104!L:R,7,FALSE),VLOOKUP(tables_503104!C197,input_503104!A:H,8,FALSE))</f>
        <v>297.92</v>
      </c>
      <c r="P197" s="40">
        <f t="shared" ca="1" si="13"/>
        <v>1.5199999999069387E-4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input_503104!A$2</f>
        <v>503104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IFERROR(VLOOKUP(B198,input_503104!L:R,7,FALSE),VLOOKUP(tables_503104!C198,input_503104!A:H,8,FALSE))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input_503104!A$2</f>
        <v>503104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IFERROR(VLOOKUP(B199,input_503104!L:R,7,FALSE),VLOOKUP(tables_503104!C199,input_503104!A:H,8,FALSE))</f>
        <v>9187.1239999999998</v>
      </c>
      <c r="P199" s="40">
        <f t="shared" ca="1" si="13"/>
        <v>4.6873081629783273E-3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input_503104!A$2</f>
        <v>503104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IFERROR(VLOOKUP(B200,input_503104!L:R,7,FALSE),VLOOKUP(tables_503104!C200,input_503104!A:H,8,FALSE))</f>
        <v>142.476</v>
      </c>
      <c r="P200" s="40">
        <f t="shared" ca="1" si="13"/>
        <v>7.2691836730243346E-5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input_503104!A$2</f>
        <v>503104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IFERROR(VLOOKUP(B201,input_503104!L:R,7,FALSE),VLOOKUP(tables_503104!C201,input_503104!A:H,8,FALSE))</f>
        <v>547.20000000000005</v>
      </c>
      <c r="P201" s="40">
        <f t="shared" ca="1" si="13"/>
        <v>2.7918367345229487E-4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input_503104!A$2</f>
        <v>503104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IFERROR(VLOOKUP(B202,input_503104!L:R,7,FALSE),VLOOKUP(tables_503104!C202,input_503104!A:H,8,FALSE))</f>
        <v>60.8</v>
      </c>
      <c r="P202" s="40">
        <f t="shared" ca="1" si="13"/>
        <v>3.1020408161366092E-5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input_503104!A$2</f>
        <v>503104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IFERROR(VLOOKUP(B203,input_503104!L:R,7,FALSE),VLOOKUP(tables_503104!C203,input_503104!A:H,8,FALSE))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input_503104!A$2</f>
        <v>503104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IFERROR(VLOOKUP(B204,input_503104!L:R,7,FALSE),VLOOKUP(tables_503104!C204,input_503104!A:H,8,FALSE))</f>
        <v>9187.1239999999998</v>
      </c>
      <c r="P204" s="40">
        <f t="shared" ca="1" si="13"/>
        <v>4.6873081629783273E-3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input_503104!A$2</f>
        <v>503104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IFERROR(VLOOKUP(B205,input_503104!L:R,7,FALSE),VLOOKUP(tables_503104!C205,input_503104!A:H,8,FALSE))</f>
        <v>142.476</v>
      </c>
      <c r="P205" s="40">
        <f t="shared" ca="1" si="13"/>
        <v>7.2691836730243346E-5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input_503104!A$2</f>
        <v>503104</v>
      </c>
      <c r="B206" s="6">
        <v>492</v>
      </c>
      <c r="C206" s="7" t="str">
        <f t="shared" si="12"/>
        <v>PremiumSS4color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IFERROR(VLOOKUP(B206,input_503104!L:R,7,FALSE),VLOOKUP(tables_503104!C206,input_503104!A:H,8,FALSE))</f>
        <v>2681.28</v>
      </c>
      <c r="P206" s="40">
        <f t="shared" ca="1" si="13"/>
        <v>1.3679999999162448E-3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input_503104!A$2</f>
        <v>503104</v>
      </c>
      <c r="B207" s="6">
        <v>493</v>
      </c>
      <c r="C207" s="7" t="str">
        <f t="shared" si="12"/>
        <v>PremiumSS5color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IFERROR(VLOOKUP(B207,input_503104!L:R,7,FALSE),VLOOKUP(tables_503104!C207,input_503104!A:H,8,FALSE))</f>
        <v>297.92</v>
      </c>
      <c r="P207" s="40">
        <f t="shared" ca="1" si="13"/>
        <v>1.5199999999069387E-4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input_503104!A$2</f>
        <v>503104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IFERROR(VLOOKUP(B208,input_503104!L:R,7,FALSE),VLOOKUP(tables_503104!C208,input_503104!A:H,8,FALSE))</f>
        <v>547.20000000000005</v>
      </c>
      <c r="P208" s="40">
        <f t="shared" ca="1" si="13"/>
        <v>2.7918367345229487E-4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input_503104!A$2</f>
        <v>503104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IFERROR(VLOOKUP(B209,input_503104!L:R,7,FALSE),VLOOKUP(tables_503104!C209,input_503104!A:H,8,FALSE))</f>
        <v>60.8</v>
      </c>
      <c r="P209" s="40">
        <f t="shared" ca="1" si="13"/>
        <v>3.1020408161366092E-5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input_503104!A$2</f>
        <v>503104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IFERROR(VLOOKUP(B210,input_503104!L:R,7,FALSE),VLOOKUP(tables_503104!C210,input_503104!A:H,8,FALSE))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input_503104!A$2</f>
        <v>503104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IFERROR(VLOOKUP(B211,input_503104!L:R,7,FALSE),VLOOKUP(tables_503104!C211,input_503104!A:H,8,FALSE))</f>
        <v>9187.1239999999998</v>
      </c>
      <c r="P211" s="40">
        <f t="shared" ca="1" si="13"/>
        <v>4.6873081629783273E-3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input_503104!A$2</f>
        <v>503104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IFERROR(VLOOKUP(B212,input_503104!L:R,7,FALSE),VLOOKUP(tables_503104!C212,input_503104!A:H,8,FALSE))</f>
        <v>142.476</v>
      </c>
      <c r="P212" s="40">
        <f t="shared" ca="1" si="13"/>
        <v>7.2691836730243346E-5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input_503104!A$2</f>
        <v>503104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IFERROR(VLOOKUP(B213,input_503104!L:R,7,FALSE),VLOOKUP(tables_503104!C213,input_503104!A:H,8,FALSE))</f>
        <v>547.20000000000005</v>
      </c>
      <c r="P213" s="40">
        <f t="shared" ca="1" si="13"/>
        <v>2.7918367345229487E-4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input_503104!A$2</f>
        <v>503104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IFERROR(VLOOKUP(B214,input_503104!L:R,7,FALSE),VLOOKUP(tables_503104!C214,input_503104!A:H,8,FALSE))</f>
        <v>60.8</v>
      </c>
      <c r="P214" s="40">
        <f t="shared" ca="1" si="13"/>
        <v>3.1020408161366092E-5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input_503104!A$2</f>
        <v>503104</v>
      </c>
      <c r="B215" s="6">
        <v>560</v>
      </c>
      <c r="C215" s="7" t="str">
        <f t="shared" si="12"/>
        <v>premium5R3lesscolor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IFERROR(VLOOKUP(B215,input_503104!L:R,7,FALSE),VLOOKUP(tables_503104!C215,input_503104!A:H,8,FALSE))</f>
        <v>4596.2</v>
      </c>
      <c r="P215" s="40">
        <f t="shared" ca="1" si="13"/>
        <v>2.3449999998564281E-3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input_503104!A$2</f>
        <v>503104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IFERROR(VLOOKUP(B216,input_503104!L:R,7,FALSE),VLOOKUP(tables_503104!C216,input_503104!A:H,8,FALSE))</f>
        <v>358.79529000000002</v>
      </c>
      <c r="P216" s="40">
        <f t="shared" ca="1" si="13"/>
        <v>1.8305882141736373E-4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input_503104!A$2</f>
        <v>503104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IFERROR(VLOOKUP(B217,input_503104!L:R,7,FALSE),VLOOKUP(tables_503104!C217,input_503104!A:H,8,FALSE))</f>
        <v>358.79529000000002</v>
      </c>
      <c r="P217" s="40">
        <f t="shared" ca="1" si="13"/>
        <v>1.8305882141736373E-4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input_503104!A$2</f>
        <v>503104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IFERROR(VLOOKUP(B218,input_503104!L:R,7,FALSE),VLOOKUP(tables_503104!C218,input_503104!A:H,8,FALSE))</f>
        <v>358.79529000000002</v>
      </c>
      <c r="P218" s="40">
        <f t="shared" ca="1" si="13"/>
        <v>1.8305882141736373E-4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input_503104!A$2</f>
        <v>503104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IFERROR(VLOOKUP(B219,input_503104!L:R,7,FALSE),VLOOKUP(tables_503104!C219,input_503104!A:H,8,FALSE))</f>
        <v>358.79529000000002</v>
      </c>
      <c r="P219" s="40">
        <f t="shared" ca="1" si="13"/>
        <v>1.8305882141736373E-4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input_503104!A$2</f>
        <v>503104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IFERROR(VLOOKUP(B220,input_503104!L:R,7,FALSE),VLOOKUP(tables_503104!C220,input_503104!A:H,8,FALSE))</f>
        <v>358.79529000000002</v>
      </c>
      <c r="P220" s="40">
        <f t="shared" ca="1" si="13"/>
        <v>1.8305882141736373E-4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input_503104!A$2</f>
        <v>503104</v>
      </c>
      <c r="B221" s="6">
        <v>586</v>
      </c>
      <c r="C221" s="7" t="str">
        <f t="shared" si="12"/>
        <v>PremiumSS4color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>color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IFERROR(VLOOKUP(B221,input_503104!L:R,7,FALSE),VLOOKUP(tables_503104!C221,input_503104!A:H,8,FALSE))</f>
        <v>2681.28</v>
      </c>
      <c r="P221" s="40">
        <f t="shared" ca="1" si="13"/>
        <v>1.3679999999162448E-3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input_503104!A$2</f>
        <v>503104</v>
      </c>
      <c r="B222" s="6">
        <v>587</v>
      </c>
      <c r="C222" s="7" t="str">
        <f t="shared" si="12"/>
        <v>PremiumSS5color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IFERROR(VLOOKUP(B222,input_503104!L:R,7,FALSE),VLOOKUP(tables_503104!C222,input_503104!A:H,8,FALSE))</f>
        <v>297.92</v>
      </c>
      <c r="P222" s="40">
        <f t="shared" ca="1" si="13"/>
        <v>1.5199999999069387E-4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input_503104!A$2</f>
        <v>503104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IFERROR(VLOOKUP(B223,input_503104!L:R,7,FALSE),VLOOKUP(tables_503104!C223,input_503104!A:H,8,FALSE))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input_503104!A$2</f>
        <v>503104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IFERROR(VLOOKUP(B224,input_503104!L:R,7,FALSE),VLOOKUP(tables_503104!C224,input_503104!A:H,8,FALSE))</f>
        <v>9187.1239999999998</v>
      </c>
      <c r="P224" s="40">
        <f t="shared" ca="1" si="13"/>
        <v>4.6873081629783273E-3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input_503104!A$2</f>
        <v>503104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IFERROR(VLOOKUP(B225,input_503104!L:R,7,FALSE),VLOOKUP(tables_503104!C225,input_503104!A:H,8,FALSE))</f>
        <v>142.476</v>
      </c>
      <c r="P225" s="40">
        <f t="shared" ca="1" si="13"/>
        <v>7.2691836730243346E-5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input_503104!A$2</f>
        <v>503104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IFERROR(VLOOKUP(B226,input_503104!L:R,7,FALSE),VLOOKUP(tables_503104!C226,input_503104!A:H,8,FALSE))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input_503104!A$2</f>
        <v>503104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IFERROR(VLOOKUP(B227,input_503104!L:R,7,FALSE),VLOOKUP(tables_503104!C227,input_503104!A:H,8,FALSE))</f>
        <v>9187.1239999999998</v>
      </c>
      <c r="P227" s="40">
        <f t="shared" ca="1" si="13"/>
        <v>4.6873081629783273E-3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input_503104!A$2</f>
        <v>503104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IFERROR(VLOOKUP(B228,input_503104!L:R,7,FALSE),VLOOKUP(tables_503104!C228,input_503104!A:H,8,FALSE))</f>
        <v>142.476</v>
      </c>
      <c r="P228" s="40">
        <f t="shared" ca="1" si="13"/>
        <v>7.2691836730243346E-5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input_503104!A$2</f>
        <v>503104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IFERROR(VLOOKUP(B229,input_503104!L:R,7,FALSE),VLOOKUP(tables_503104!C229,input_503104!A:H,8,FALSE))</f>
        <v>547.20000000000005</v>
      </c>
      <c r="P229" s="40">
        <f t="shared" ca="1" si="13"/>
        <v>2.7918367345229487E-4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input_503104!A$2</f>
        <v>503104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IFERROR(VLOOKUP(B230,input_503104!L:R,7,FALSE),VLOOKUP(tables_503104!C230,input_503104!A:H,8,FALSE))</f>
        <v>60.8</v>
      </c>
      <c r="P230" s="40">
        <f t="shared" ca="1" si="13"/>
        <v>3.1020408161366092E-5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input_503104!A$2</f>
        <v>503104</v>
      </c>
      <c r="B231" s="6">
        <v>596</v>
      </c>
      <c r="C231" s="7" t="str">
        <f t="shared" si="12"/>
        <v>Premium3color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>color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IFERROR(VLOOKUP(B231,input_503104!L:R,7,FALSE),VLOOKUP(tables_503104!C231,input_503104!A:H,8,FALSE))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input_503104!A$2</f>
        <v>503104</v>
      </c>
      <c r="B232" s="6">
        <v>597</v>
      </c>
      <c r="C232" s="7" t="str">
        <f t="shared" si="12"/>
        <v>Premium4color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IFERROR(VLOOKUP(B232,input_503104!L:R,7,FALSE),VLOOKUP(tables_503104!C232,input_503104!A:H,8,FALSE))</f>
        <v>38955.413330000003</v>
      </c>
      <c r="P232" s="40">
        <f t="shared" ca="1" si="13"/>
        <v>1.987521088143621E-2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input_503104!A$2</f>
        <v>503104</v>
      </c>
      <c r="B233" s="6">
        <v>598</v>
      </c>
      <c r="C233" s="7" t="str">
        <f t="shared" si="12"/>
        <v>Premium5color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IFERROR(VLOOKUP(B233,input_503104!L:R,7,FALSE),VLOOKUP(tables_503104!C233,input_503104!A:H,8,FALSE))</f>
        <v>4596.2</v>
      </c>
      <c r="P233" s="40">
        <f t="shared" ca="1" si="13"/>
        <v>2.3449999998564281E-3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input_503104!A$2</f>
        <v>503104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IFERROR(VLOOKUP(B234,input_503104!L:R,7,FALSE),VLOOKUP(tables_503104!C234,input_503104!A:H,8,FALSE))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input_503104!A$2</f>
        <v>503104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IFERROR(VLOOKUP(B235,input_503104!L:R,7,FALSE),VLOOKUP(tables_503104!C235,input_503104!A:H,8,FALSE))</f>
        <v>9187.1239999999998</v>
      </c>
      <c r="P235" s="40">
        <f t="shared" ca="1" si="13"/>
        <v>4.6873081629783273E-3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input_503104!A$2</f>
        <v>503104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IFERROR(VLOOKUP(B236,input_503104!L:R,7,FALSE),VLOOKUP(tables_503104!C236,input_503104!A:H,8,FALSE))</f>
        <v>142.476</v>
      </c>
      <c r="P236" s="40">
        <f t="shared" ca="1" si="13"/>
        <v>7.2691836730243346E-5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input_503104!A$2</f>
        <v>503104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IFERROR(VLOOKUP(B237,input_503104!L:R,7,FALSE),VLOOKUP(tables_503104!C237,input_503104!A:H,8,FALSE))</f>
        <v>547.20000000000005</v>
      </c>
      <c r="P237" s="40">
        <f t="shared" ca="1" si="13"/>
        <v>2.7918367345229487E-4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input_503104!A$2</f>
        <v>503104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IFERROR(VLOOKUP(B238,input_503104!L:R,7,FALSE),VLOOKUP(tables_503104!C238,input_503104!A:H,8,FALSE))</f>
        <v>60.8</v>
      </c>
      <c r="P238" s="40">
        <f t="shared" ca="1" si="13"/>
        <v>3.1020408161366092E-5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input_503104!A$2</f>
        <v>503104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IFERROR(VLOOKUP(B239,input_503104!L:R,7,FALSE),VLOOKUP(tables_503104!C239,input_503104!A:H,8,FALSE))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input_503104!A$2</f>
        <v>503104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IFERROR(VLOOKUP(B240,input_503104!L:R,7,FALSE),VLOOKUP(tables_503104!C240,input_503104!A:H,8,FALSE))</f>
        <v>9187.1239999999998</v>
      </c>
      <c r="P240" s="40">
        <f t="shared" ca="1" si="13"/>
        <v>4.6873081629783273E-3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input_503104!A$2</f>
        <v>503104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IFERROR(VLOOKUP(B241,input_503104!L:R,7,FALSE),VLOOKUP(tables_503104!C241,input_503104!A:H,8,FALSE))</f>
        <v>142.476</v>
      </c>
      <c r="P241" s="40">
        <f t="shared" ca="1" si="13"/>
        <v>7.2691836730243346E-5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input_503104!A$2</f>
        <v>503104</v>
      </c>
      <c r="B242" s="6">
        <v>658</v>
      </c>
      <c r="C242" s="7" t="str">
        <f t="shared" si="12"/>
        <v>PremiumSS4color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IFERROR(VLOOKUP(B242,input_503104!L:R,7,FALSE),VLOOKUP(tables_503104!C242,input_503104!A:H,8,FALSE))</f>
        <v>2681.28</v>
      </c>
      <c r="P242" s="40">
        <f t="shared" ca="1" si="13"/>
        <v>1.3679999999162448E-3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input_503104!A$2</f>
        <v>503104</v>
      </c>
      <c r="B243" s="6">
        <v>659</v>
      </c>
      <c r="C243" s="7" t="str">
        <f t="shared" si="12"/>
        <v>PremiumSS5color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IFERROR(VLOOKUP(B243,input_503104!L:R,7,FALSE),VLOOKUP(tables_503104!C243,input_503104!A:H,8,FALSE))</f>
        <v>297.92</v>
      </c>
      <c r="P243" s="40">
        <f t="shared" ca="1" si="13"/>
        <v>1.5199999999069387E-4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input_503104!A$2</f>
        <v>503104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IFERROR(VLOOKUP(B244,input_503104!L:R,7,FALSE),VLOOKUP(tables_503104!C244,input_503104!A:H,8,FALSE))</f>
        <v>547.20000000000005</v>
      </c>
      <c r="P244" s="40">
        <f t="shared" ca="1" si="13"/>
        <v>2.7918367345229487E-4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input_503104!A$2</f>
        <v>503104</v>
      </c>
      <c r="B245" s="52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IFERROR(VLOOKUP(B245,input_503104!L:R,7,FALSE),VLOOKUP(tables_503104!C245,input_503104!A:H,8,FALSE))</f>
        <v>60.8</v>
      </c>
      <c r="P245" s="40">
        <f t="shared" ca="1" si="13"/>
        <v>3.1020408161366092E-5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input_503104!A$2</f>
        <v>503104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IFERROR(VLOOKUP(B246,input_503104!L:R,7,FALSE),VLOOKUP(tables_503104!C246,input_503104!A:H,8,FALSE))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input_503104!A$2</f>
        <v>503104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IFERROR(VLOOKUP(B247,input_503104!L:R,7,FALSE),VLOOKUP(tables_503104!C247,input_503104!A:H,8,FALSE))</f>
        <v>9187.1239999999998</v>
      </c>
      <c r="P247" s="40">
        <f t="shared" ca="1" si="13"/>
        <v>4.6873081629783273E-3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input_503104!A$2</f>
        <v>503104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IFERROR(VLOOKUP(B248,input_503104!L:R,7,FALSE),VLOOKUP(tables_503104!C248,input_503104!A:H,8,FALSE))</f>
        <v>142.476</v>
      </c>
      <c r="P248" s="40">
        <f t="shared" ca="1" si="13"/>
        <v>7.2691836730243346E-5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input_503104!A$2</f>
        <v>503104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IFERROR(VLOOKUP(B249,input_503104!L:R,7,FALSE),VLOOKUP(tables_503104!C249,input_503104!A:H,8,FALSE))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input_503104!A$2</f>
        <v>503104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IFERROR(VLOOKUP(B250,input_503104!L:R,7,FALSE),VLOOKUP(tables_503104!C250,input_503104!A:H,8,FALSE))</f>
        <v>9187.1239999999998</v>
      </c>
      <c r="P250" s="40">
        <f t="shared" ca="1" si="13"/>
        <v>4.6873081629783273E-3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input_503104!A$2</f>
        <v>503104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IFERROR(VLOOKUP(B251,input_503104!L:R,7,FALSE),VLOOKUP(tables_503104!C251,input_503104!A:H,8,FALSE))</f>
        <v>142.476</v>
      </c>
      <c r="P251" s="40">
        <f t="shared" ca="1" si="13"/>
        <v>7.2691836730243346E-5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input_503104!A$2</f>
        <v>503104</v>
      </c>
      <c r="B252" s="52">
        <v>668</v>
      </c>
      <c r="C252" s="7" t="str">
        <f t="shared" si="12"/>
        <v>Premium3color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>color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IFERROR(VLOOKUP(B252,input_503104!L:R,7,FALSE),VLOOKUP(tables_503104!C252,input_503104!A:H,8,FALSE))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input_503104!A$2</f>
        <v>503104</v>
      </c>
      <c r="B253" s="52">
        <v>669</v>
      </c>
      <c r="C253" s="7" t="str">
        <f t="shared" si="12"/>
        <v>Premium4color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IFERROR(VLOOKUP(B253,input_503104!L:R,7,FALSE),VLOOKUP(tables_503104!C253,input_503104!A:H,8,FALSE))</f>
        <v>38955.413330000003</v>
      </c>
      <c r="P253" s="40">
        <f t="shared" ca="1" si="13"/>
        <v>1.987521088143621E-2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input_503104!A$2</f>
        <v>503104</v>
      </c>
      <c r="B254" s="52">
        <v>670</v>
      </c>
      <c r="C254" s="7" t="str">
        <f t="shared" si="12"/>
        <v>Premium5color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IFERROR(VLOOKUP(B254,input_503104!L:R,7,FALSE),VLOOKUP(tables_503104!C254,input_503104!A:H,8,FALSE))</f>
        <v>4596.2</v>
      </c>
      <c r="P254" s="40">
        <f t="shared" ca="1" si="13"/>
        <v>2.3449999998564281E-3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input_503104!A$2</f>
        <v>503104</v>
      </c>
      <c r="B255" s="52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IFERROR(VLOOKUP(B255,input_503104!L:R,7,FALSE),VLOOKUP(tables_503104!C255,input_503104!A:H,8,FALSE))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input_503104!A$2</f>
        <v>503104</v>
      </c>
      <c r="B256" s="52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IFERROR(VLOOKUP(B256,input_503104!L:R,7,FALSE),VLOOKUP(tables_503104!C256,input_503104!A:H,8,FALSE))</f>
        <v>9187.1239999999998</v>
      </c>
      <c r="P256" s="40">
        <f t="shared" ca="1" si="13"/>
        <v>4.6873081629783273E-3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input_503104!A$2</f>
        <v>503104</v>
      </c>
      <c r="B257" s="52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IFERROR(VLOOKUP(B257,input_503104!L:R,7,FALSE),VLOOKUP(tables_503104!C257,input_503104!A:H,8,FALSE))</f>
        <v>142.476</v>
      </c>
      <c r="P257" s="40">
        <f t="shared" ca="1" si="13"/>
        <v>7.2691836730243346E-5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input_503104!A$2</f>
        <v>503104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IFERROR(VLOOKUP(B258,input_503104!L:R,7,FALSE),VLOOKUP(tables_503104!C258,input_503104!A:H,8,FALSE))</f>
        <v>547.20000000000005</v>
      </c>
      <c r="P258" s="40">
        <f t="shared" ref="P258:P305" ca="1" si="17">O258/SUM(O:O)</f>
        <v>2.7918367345229487E-4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input_503104!A$2</f>
        <v>503104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IF(K259="red","color","")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IFERROR(VLOOKUP(B259,input_503104!L:R,7,FALSE),VLOOKUP(tables_503104!C259,input_503104!A:H,8,FALSE))</f>
        <v>60.8</v>
      </c>
      <c r="P259" s="40">
        <f t="shared" ca="1" si="17"/>
        <v>3.1020408161366092E-5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input_503104!A$2</f>
        <v>503104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IFERROR(VLOOKUP(B260,input_503104!L:R,7,FALSE),VLOOKUP(tables_503104!C260,input_503104!A:H,8,FALSE))</f>
        <v>547.20000000000005</v>
      </c>
      <c r="P260" s="40">
        <f t="shared" ca="1" si="17"/>
        <v>2.7918367345229487E-4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input_503104!A$2</f>
        <v>503104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IFERROR(VLOOKUP(B261,input_503104!L:R,7,FALSE),VLOOKUP(tables_503104!C261,input_503104!A:H,8,FALSE))</f>
        <v>60.8</v>
      </c>
      <c r="P261" s="40">
        <f t="shared" ca="1" si="17"/>
        <v>3.1020408161366092E-5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input_503104!A$2</f>
        <v>503104</v>
      </c>
      <c r="B262" s="52">
        <v>728</v>
      </c>
      <c r="C262" s="7" t="str">
        <f t="shared" si="16"/>
        <v>Premium4R3lesscolor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IFERROR(VLOOKUP(B262,input_503104!L:R,7,FALSE),VLOOKUP(tables_503104!C262,input_503104!A:H,8,FALSE))</f>
        <v>35852.540009999997</v>
      </c>
      <c r="P262" s="40">
        <f t="shared" ca="1" si="17"/>
        <v>1.8292112248880072E-2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input_503104!A$2</f>
        <v>503104</v>
      </c>
      <c r="B263" s="52">
        <v>729</v>
      </c>
      <c r="C263" s="7" t="str">
        <f t="shared" si="16"/>
        <v>Premium5R3lesscolor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>color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IFERROR(VLOOKUP(B263,input_503104!L:R,7,FALSE),VLOOKUP(tables_503104!C263,input_503104!A:H,8,FALSE))</f>
        <v>4596.2</v>
      </c>
      <c r="P263" s="40">
        <f t="shared" ca="1" si="17"/>
        <v>2.3449999998564281E-3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input_503104!A$2</f>
        <v>503104</v>
      </c>
      <c r="B264" s="52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IFERROR(VLOOKUP(B264,input_503104!L:R,7,FALSE),VLOOKUP(tables_503104!C264,input_503104!A:H,8,FALSE))</f>
        <v>14781.30667</v>
      </c>
      <c r="P264" s="40">
        <f t="shared" ca="1" si="17"/>
        <v>7.5414829944362351E-3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input_503104!A$2</f>
        <v>503104</v>
      </c>
      <c r="B265" s="52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IFERROR(VLOOKUP(B265,input_503104!L:R,7,FALSE),VLOOKUP(tables_503104!C265,input_503104!A:H,8,FALSE))</f>
        <v>358.79529000000002</v>
      </c>
      <c r="P265" s="40">
        <f t="shared" ca="1" si="17"/>
        <v>1.8305882141736373E-4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input_503104!A$2</f>
        <v>503104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IFERROR(VLOOKUP(B266,input_503104!L:R,7,FALSE),VLOOKUP(tables_503104!C266,input_503104!A:H,8,FALSE))</f>
        <v>608</v>
      </c>
      <c r="P266" s="40">
        <f t="shared" ca="1" si="17"/>
        <v>3.1020408161366094E-4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input_503104!A$2</f>
        <v>503104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IFERROR(VLOOKUP(B267,input_503104!L:R,7,FALSE),VLOOKUP(tables_503104!C267,input_503104!A:H,8,FALSE))</f>
        <v>608</v>
      </c>
      <c r="P267" s="40">
        <f t="shared" ca="1" si="17"/>
        <v>3.1020408161366094E-4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input_503104!A$2</f>
        <v>503104</v>
      </c>
      <c r="B268" s="52">
        <v>742</v>
      </c>
      <c r="C268" s="7" t="str">
        <f t="shared" si="16"/>
        <v>PremiumSS5R5onlycolor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IFERROR(VLOOKUP(B268,input_503104!L:R,7,FALSE),VLOOKUP(tables_503104!C268,input_503104!A:H,8,FALSE))</f>
        <v>5470.8000099999999</v>
      </c>
      <c r="P268" s="40">
        <f t="shared" ca="1" si="17"/>
        <v>2.7912244947270676E-3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input_503104!A$2</f>
        <v>503104</v>
      </c>
      <c r="B269" s="52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IFERROR(VLOOKUP(B269,input_503104!L:R,7,FALSE),VLOOKUP(tables_503104!C269,input_503104!A:H,8,FALSE))</f>
        <v>608</v>
      </c>
      <c r="P269" s="40">
        <f t="shared" ca="1" si="17"/>
        <v>3.1020408161366094E-4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input_503104!A$2</f>
        <v>503104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IFERROR(VLOOKUP(B270,input_503104!L:R,7,FALSE),VLOOKUP(tables_503104!C270,input_503104!A:H,8,FALSE))</f>
        <v>14781.30667</v>
      </c>
      <c r="P270" s="40">
        <f t="shared" ca="1" si="17"/>
        <v>7.5414829944362351E-3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input_503104!A$2</f>
        <v>503104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IFERROR(VLOOKUP(B271,input_503104!L:R,7,FALSE),VLOOKUP(tables_503104!C271,input_503104!A:H,8,FALSE))</f>
        <v>358.79529000000002</v>
      </c>
      <c r="P271" s="40">
        <f t="shared" ca="1" si="17"/>
        <v>1.8305882141736373E-4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input_503104!A$2</f>
        <v>503104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IFERROR(VLOOKUP(B272,input_503104!L:R,7,FALSE),VLOOKUP(tables_503104!C272,input_503104!A:H,8,FALSE))</f>
        <v>14781.30667</v>
      </c>
      <c r="P272" s="40">
        <f t="shared" ca="1" si="17"/>
        <v>7.5414829944362351E-3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input_503104!A$2</f>
        <v>503104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IFERROR(VLOOKUP(B273,input_503104!L:R,7,FALSE),VLOOKUP(tables_503104!C273,input_503104!A:H,8,FALSE))</f>
        <v>358.79529000000002</v>
      </c>
      <c r="P273" s="40">
        <f t="shared" ca="1" si="17"/>
        <v>1.8305882141736373E-4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input_503104!A$2</f>
        <v>503104</v>
      </c>
      <c r="B274" s="72">
        <v>770</v>
      </c>
      <c r="C274" s="7" t="str">
        <f t="shared" si="16"/>
        <v>PremiumSS4color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>color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IFERROR(VLOOKUP(B274,input_503104!L:R,7,FALSE),VLOOKUP(tables_503104!C274,input_503104!A:H,8,FALSE))</f>
        <v>2681.28</v>
      </c>
      <c r="P274" s="40">
        <f t="shared" ca="1" si="17"/>
        <v>1.3679999999162448E-3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input_503104!A$2</f>
        <v>503104</v>
      </c>
      <c r="B275" s="72">
        <v>771</v>
      </c>
      <c r="C275" s="7" t="str">
        <f t="shared" si="16"/>
        <v>PremiumSS5color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IFERROR(VLOOKUP(B275,input_503104!L:R,7,FALSE),VLOOKUP(tables_503104!C275,input_503104!A:H,8,FALSE))</f>
        <v>297.92</v>
      </c>
      <c r="P275" s="40">
        <f t="shared" ca="1" si="17"/>
        <v>1.5199999999069387E-4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input_503104!A$2</f>
        <v>503104</v>
      </c>
      <c r="B276" s="7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IFERROR(VLOOKUP(B276,input_503104!L:R,7,FALSE),VLOOKUP(tables_503104!C276,input_503104!A:H,8,FALSE))</f>
        <v>547.20000000000005</v>
      </c>
      <c r="P276" s="40">
        <f t="shared" ca="1" si="17"/>
        <v>2.7918367345229487E-4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input_503104!A$2</f>
        <v>503104</v>
      </c>
      <c r="B277" s="7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IFERROR(VLOOKUP(B277,input_503104!L:R,7,FALSE),VLOOKUP(tables_503104!C277,input_503104!A:H,8,FALSE))</f>
        <v>60.8</v>
      </c>
      <c r="P277" s="40">
        <f t="shared" ca="1" si="17"/>
        <v>3.1020408161366092E-5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input_503104!A$2</f>
        <v>503104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IFERROR(VLOOKUP(B278,input_503104!L:R,7,FALSE),VLOOKUP(tables_503104!C278,input_503104!A:H,8,FALSE))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input_503104!A$2</f>
        <v>503104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IFERROR(VLOOKUP(B279,input_503104!L:R,7,FALSE),VLOOKUP(tables_503104!C279,input_503104!A:H,8,FALSE))</f>
        <v>9187.1239999999998</v>
      </c>
      <c r="P279" s="40">
        <f t="shared" ca="1" si="17"/>
        <v>4.6873081629783273E-3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input_503104!A$2</f>
        <v>503104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IFERROR(VLOOKUP(B280,input_503104!L:R,7,FALSE),VLOOKUP(tables_503104!C280,input_503104!A:H,8,FALSE))</f>
        <v>142.476</v>
      </c>
      <c r="P280" s="40">
        <f t="shared" ca="1" si="17"/>
        <v>7.2691836730243346E-5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input_503104!A$2</f>
        <v>503104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IFERROR(VLOOKUP(B281,input_503104!L:R,7,FALSE),VLOOKUP(tables_503104!C281,input_503104!A:H,8,FALSE))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input_503104!A$2</f>
        <v>503104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IFERROR(VLOOKUP(B282,input_503104!L:R,7,FALSE),VLOOKUP(tables_503104!C282,input_503104!A:H,8,FALSE))</f>
        <v>9187.1239999999998</v>
      </c>
      <c r="P282" s="40">
        <f t="shared" ca="1" si="17"/>
        <v>4.6873081629783273E-3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input_503104!A$2</f>
        <v>503104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IFERROR(VLOOKUP(B283,input_503104!L:R,7,FALSE),VLOOKUP(tables_503104!C283,input_503104!A:H,8,FALSE))</f>
        <v>142.476</v>
      </c>
      <c r="P283" s="40">
        <f t="shared" ca="1" si="17"/>
        <v>7.2691836730243346E-5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input_503104!A$2</f>
        <v>503104</v>
      </c>
      <c r="B284" s="5">
        <v>848</v>
      </c>
      <c r="C284" s="7" t="str">
        <f t="shared" si="16"/>
        <v>PremiumSS5R5onlycolor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>color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IFERROR(VLOOKUP(B284,input_503104!L:R,7,FALSE),VLOOKUP(tables_503104!C284,input_503104!A:H,8,FALSE))</f>
        <v>5470.8000099999999</v>
      </c>
      <c r="P284" s="40">
        <f t="shared" ca="1" si="17"/>
        <v>2.7912244947270676E-3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input_503104!A$2</f>
        <v>503104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IFERROR(VLOOKUP(B285,input_503104!L:R,7,FALSE),VLOOKUP(tables_503104!C285,input_503104!A:H,8,FALSE))</f>
        <v>608</v>
      </c>
      <c r="P285" s="40">
        <f t="shared" ca="1" si="17"/>
        <v>3.1020408161366094E-4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input_503104!A$2</f>
        <v>503104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IFERROR(VLOOKUP(B286,input_503104!L:R,7,FALSE),VLOOKUP(tables_503104!C286,input_503104!A:H,8,FALSE))</f>
        <v>14781.30667</v>
      </c>
      <c r="P286" s="40">
        <f t="shared" ca="1" si="17"/>
        <v>7.5414829944362351E-3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input_503104!A$2</f>
        <v>503104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IFERROR(VLOOKUP(B287,input_503104!L:R,7,FALSE),VLOOKUP(tables_503104!C287,input_503104!A:H,8,FALSE))</f>
        <v>358.79529000000002</v>
      </c>
      <c r="P287" s="40">
        <f t="shared" ca="1" si="17"/>
        <v>1.8305882141736373E-4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input_503104!A$2</f>
        <v>503104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IFERROR(VLOOKUP(B288,input_503104!L:R,7,FALSE),VLOOKUP(tables_503104!C288,input_503104!A:H,8,FALSE))</f>
        <v>14781.30667</v>
      </c>
      <c r="P288" s="40">
        <f t="shared" ca="1" si="17"/>
        <v>7.5414829944362351E-3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input_503104!A$2</f>
        <v>503104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IFERROR(VLOOKUP(B289,input_503104!L:R,7,FALSE),VLOOKUP(tables_503104!C289,input_503104!A:H,8,FALSE))</f>
        <v>358.79529000000002</v>
      </c>
      <c r="P289" s="40">
        <f t="shared" ca="1" si="17"/>
        <v>1.8305882141736373E-4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input_503104!A$2</f>
        <v>503104</v>
      </c>
      <c r="B290" s="5">
        <v>862</v>
      </c>
      <c r="C290" s="7" t="str">
        <f t="shared" si="16"/>
        <v>Premium4R3lesscolor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>color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IFERROR(VLOOKUP(B290,input_503104!L:R,7,FALSE),VLOOKUP(tables_503104!C290,input_503104!A:H,8,FALSE))</f>
        <v>35852.540009999997</v>
      </c>
      <c r="P290" s="40">
        <f t="shared" ca="1" si="17"/>
        <v>1.8292112248880072E-2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input_503104!A$2</f>
        <v>503104</v>
      </c>
      <c r="B291" s="5">
        <v>863</v>
      </c>
      <c r="C291" s="7" t="str">
        <f t="shared" si="16"/>
        <v>Premium5R3lesscolor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>color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IFERROR(VLOOKUP(B291,input_503104!L:R,7,FALSE),VLOOKUP(tables_503104!C291,input_503104!A:H,8,FALSE))</f>
        <v>4596.2</v>
      </c>
      <c r="P291" s="40">
        <f t="shared" ca="1" si="17"/>
        <v>2.3449999998564281E-3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input_503104!A$2</f>
        <v>503104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IFERROR(VLOOKUP(B292,input_503104!L:R,7,FALSE),VLOOKUP(tables_503104!C292,input_503104!A:H,8,FALSE))</f>
        <v>14781.30667</v>
      </c>
      <c r="P292" s="40">
        <f t="shared" ca="1" si="17"/>
        <v>7.5414829944362351E-3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input_503104!A$2</f>
        <v>503104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IFERROR(VLOOKUP(B293,input_503104!L:R,7,FALSE),VLOOKUP(tables_503104!C293,input_503104!A:H,8,FALSE))</f>
        <v>358.79529000000002</v>
      </c>
      <c r="P293" s="40">
        <f t="shared" ca="1" si="17"/>
        <v>1.8305882141736373E-4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input_503104!A$2</f>
        <v>503104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IFERROR(VLOOKUP(B294,input_503104!L:R,7,FALSE),VLOOKUP(tables_503104!C294,input_503104!A:H,8,FALSE))</f>
        <v>608</v>
      </c>
      <c r="P294" s="40">
        <f t="shared" ca="1" si="17"/>
        <v>3.1020408161366094E-4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input_503104!A$2</f>
        <v>503104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IFERROR(VLOOKUP(B295,input_503104!L:R,7,FALSE),VLOOKUP(tables_503104!C295,input_503104!A:H,8,FALSE))</f>
        <v>608</v>
      </c>
      <c r="P295" s="40">
        <f t="shared" ca="1" si="17"/>
        <v>3.1020408161366094E-4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input_503104!A$2</f>
        <v>503104</v>
      </c>
      <c r="B296" s="5">
        <v>937</v>
      </c>
      <c r="C296" s="7" t="str">
        <f t="shared" si="16"/>
        <v>PremiumSS5R5onlycolor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>color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IFERROR(VLOOKUP(B296,input_503104!L:R,7,FALSE),VLOOKUP(tables_503104!C296,input_503104!A:H,8,FALSE))</f>
        <v>5470.8000099999999</v>
      </c>
      <c r="P296" s="40">
        <f t="shared" ca="1" si="17"/>
        <v>2.7912244947270676E-3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input_503104!A$2</f>
        <v>503104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IFERROR(VLOOKUP(B297,input_503104!L:R,7,FALSE),VLOOKUP(tables_503104!C297,input_503104!A:H,8,FALSE))</f>
        <v>14781.30667</v>
      </c>
      <c r="P297" s="40">
        <f t="shared" ca="1" si="17"/>
        <v>7.5414829944362351E-3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input_503104!A$2</f>
        <v>503104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IFERROR(VLOOKUP(B298,input_503104!L:R,7,FALSE),VLOOKUP(tables_503104!C298,input_503104!A:H,8,FALSE))</f>
        <v>358.79529000000002</v>
      </c>
      <c r="P298" s="40">
        <f t="shared" ca="1" si="17"/>
        <v>1.8305882141736373E-4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input_503104!A$2</f>
        <v>503104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IFERROR(VLOOKUP(B299,input_503104!L:R,7,FALSE),VLOOKUP(tables_503104!C299,input_503104!A:H,8,FALSE))</f>
        <v>608</v>
      </c>
      <c r="P299" s="40">
        <f t="shared" ca="1" si="17"/>
        <v>3.1020408161366094E-4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input_503104!A$2</f>
        <v>503104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IFERROR(VLOOKUP(B300,input_503104!L:R,7,FALSE),VLOOKUP(tables_503104!C300,input_503104!A:H,8,FALSE))</f>
        <v>608</v>
      </c>
      <c r="P300" s="40">
        <f t="shared" ca="1" si="17"/>
        <v>3.1020408161366094E-4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input_503104!A$2</f>
        <v>503104</v>
      </c>
      <c r="B301" s="5">
        <v>1012</v>
      </c>
      <c r="C301" s="7" t="str">
        <f t="shared" si="16"/>
        <v>PremiumSS5R5onlycolor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>color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IFERROR(VLOOKUP(B301,input_503104!L:R,7,FALSE),VLOOKUP(tables_503104!C301,input_503104!A:H,8,FALSE))</f>
        <v>5470.8000099999999</v>
      </c>
      <c r="P301" s="40">
        <f t="shared" ca="1" si="17"/>
        <v>2.7912244947270676E-3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input_503104!A$2</f>
        <v>503104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IFERROR(VLOOKUP(B302,input_503104!L:R,7,FALSE),VLOOKUP(tables_503104!C302,input_503104!A:H,8,FALSE))</f>
        <v>608</v>
      </c>
      <c r="P302" s="40">
        <f t="shared" ca="1" si="17"/>
        <v>3.1020408161366094E-4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input_503104!A$2</f>
        <v>503104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IFERROR(VLOOKUP(B303,input_503104!L:R,7,FALSE),VLOOKUP(tables_503104!C303,input_503104!A:H,8,FALSE))</f>
        <v>14781.30667</v>
      </c>
      <c r="P303" s="40">
        <f t="shared" ca="1" si="17"/>
        <v>7.5414829944362351E-3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input_503104!A$2</f>
        <v>503104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IFERROR(VLOOKUP(B304,input_503104!L:R,7,FALSE),VLOOKUP(tables_503104!C304,input_503104!A:H,8,FALSE))</f>
        <v>358.79529000000002</v>
      </c>
      <c r="P304" s="40">
        <f t="shared" ca="1" si="17"/>
        <v>1.8305882141736373E-4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input_503104!A$2</f>
        <v>503104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IFERROR(VLOOKUP(B305,input_503104!L:R,7,FALSE),VLOOKUP(tables_503104!C305,input_503104!A:H,8,FALSE))</f>
        <v>608</v>
      </c>
      <c r="P305" s="40">
        <f t="shared" ca="1" si="17"/>
        <v>3.1020408161366094E-4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input_503104!A$2</f>
        <v>503104</v>
      </c>
      <c r="B306" s="5">
        <v>1026</v>
      </c>
      <c r="C306" s="7" t="str">
        <f t="shared" si="16"/>
        <v>Premium4R3lesscolor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>color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IFERROR(VLOOKUP(B306,input_503104!L:R,7,FALSE),VLOOKUP(tables_503104!C306,input_503104!A:H,8,FALSE))</f>
        <v>35852.540009999997</v>
      </c>
      <c r="P306" s="40">
        <f t="shared" ref="P306:P310" ca="1" si="20">O306/SUM(O:O)</f>
        <v>1.8292112248880072E-2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input_503104!A$2</f>
        <v>503104</v>
      </c>
      <c r="B307" s="5">
        <v>1027</v>
      </c>
      <c r="C307" s="7" t="str">
        <f t="shared" si="16"/>
        <v>Premium5R3lesscolor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>color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IFERROR(VLOOKUP(B307,input_503104!L:R,7,FALSE),VLOOKUP(tables_503104!C307,input_503104!A:H,8,FALSE))</f>
        <v>4596.2</v>
      </c>
      <c r="P307" s="40">
        <f t="shared" ca="1" si="20"/>
        <v>2.3449999998564281E-3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input_503104!A$2</f>
        <v>503104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IFERROR(VLOOKUP(B308,input_503104!L:R,7,FALSE),VLOOKUP(tables_503104!C308,input_503104!A:H,8,FALSE))</f>
        <v>608</v>
      </c>
      <c r="P308" s="40">
        <f t="shared" ca="1" si="20"/>
        <v>3.1020408161366094E-4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input_503104!A$2</f>
        <v>503104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IFERROR(VLOOKUP(B309,input_503104!L:R,7,FALSE),VLOOKUP(tables_503104!C309,input_503104!A:H,8,FALSE))</f>
        <v>608</v>
      </c>
      <c r="P309" s="40">
        <f t="shared" ca="1" si="20"/>
        <v>3.1020408161366094E-4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input_503104!A$2</f>
        <v>503104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IFERROR(VLOOKUP(B310,input_503104!L:R,7,FALSE),VLOOKUP(tables_503104!C310,input_503104!A:H,8,FALSE))</f>
        <v>608</v>
      </c>
      <c r="P310" s="40">
        <f t="shared" ca="1" si="20"/>
        <v>3.1020408161366094E-4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input_503104!A$2</f>
        <v>503104</v>
      </c>
      <c r="B311" s="5">
        <v>1067</v>
      </c>
      <c r="C311" s="7" t="str">
        <f t="shared" si="16"/>
        <v>Premium4R3lesscolor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>color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IFERROR(VLOOKUP(B311,input_503104!L:R,7,FALSE),VLOOKUP(tables_503104!C311,input_503104!A:H,8,FALSE))</f>
        <v>35852.540009999997</v>
      </c>
      <c r="P311" s="40">
        <f t="shared" ref="P311:P319" ca="1" si="21">O311/SUM(O:O)</f>
        <v>1.8292112248880072E-2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input_503104!A$2</f>
        <v>503104</v>
      </c>
      <c r="B312" s="5">
        <v>1068</v>
      </c>
      <c r="C312" s="7" t="str">
        <f t="shared" si="16"/>
        <v>Premium5R3lesscolor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>color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IFERROR(VLOOKUP(B312,input_503104!L:R,7,FALSE),VLOOKUP(tables_503104!C312,input_503104!A:H,8,FALSE))</f>
        <v>4596.2</v>
      </c>
      <c r="P312" s="40">
        <f t="shared" ca="1" si="21"/>
        <v>2.3449999998564281E-3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input_503104!A$2</f>
        <v>503104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IFERROR(VLOOKUP(B313,input_503104!L:R,7,FALSE),VLOOKUP(tables_503104!C313,input_503104!A:H,8,FALSE))</f>
        <v>608</v>
      </c>
      <c r="P313" s="40">
        <f t="shared" ca="1" si="21"/>
        <v>3.1020408161366094E-4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input_503104!A$2</f>
        <v>503104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IFERROR(VLOOKUP(B314,input_503104!L:R,7,FALSE),VLOOKUP(tables_503104!C314,input_503104!A:H,8,FALSE))</f>
        <v>608</v>
      </c>
      <c r="P314" s="40">
        <f t="shared" ca="1" si="21"/>
        <v>3.1020408161366094E-4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input_503104!A$2</f>
        <v>503104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IFERROR(VLOOKUP(B315,input_503104!L:R,7,FALSE),VLOOKUP(tables_503104!C315,input_503104!A:H,8,FALSE))</f>
        <v>608</v>
      </c>
      <c r="P315" s="40">
        <f t="shared" ca="1" si="21"/>
        <v>3.1020408161366094E-4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input_503104!A$2</f>
        <v>503104</v>
      </c>
      <c r="B316" s="5">
        <v>1100</v>
      </c>
      <c r="C316" s="7" t="str">
        <f t="shared" si="16"/>
        <v>PremiumSS5R5onlycolor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>color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IFERROR(VLOOKUP(B316,input_503104!L:R,7,FALSE),VLOOKUP(tables_503104!C316,input_503104!A:H,8,FALSE))</f>
        <v>5470.8000099999999</v>
      </c>
      <c r="P316" s="40">
        <f t="shared" ca="1" si="21"/>
        <v>2.7912244947270676E-3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input_503104!A$2</f>
        <v>503104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IFERROR(VLOOKUP(B317,input_503104!L:R,7,FALSE),VLOOKUP(tables_503104!C317,input_503104!A:H,8,FALSE))</f>
        <v>608</v>
      </c>
      <c r="P317" s="40">
        <f t="shared" ca="1" si="21"/>
        <v>3.1020408161366094E-4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input_503104!A$2</f>
        <v>503104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IFERROR(VLOOKUP(B318,input_503104!L:R,7,FALSE),VLOOKUP(tables_503104!C318,input_503104!A:H,8,FALSE))</f>
        <v>14781.30667</v>
      </c>
      <c r="P318" s="40">
        <f t="shared" ca="1" si="21"/>
        <v>7.5414829944362351E-3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input_503104!A$2</f>
        <v>503104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IFERROR(VLOOKUP(B319,input_503104!L:R,7,FALSE),VLOOKUP(tables_503104!C319,input_503104!A:H,8,FALSE))</f>
        <v>358.79529000000002</v>
      </c>
      <c r="P319" s="40">
        <f t="shared" ca="1" si="21"/>
        <v>1.8305882141736373E-4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input_503104!A$2</f>
        <v>503104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IFERROR(VLOOKUP(B320,input_503104!L:R,7,FALSE),VLOOKUP(tables_503104!C320,input_503104!A:H,8,FALSE))</f>
        <v>608</v>
      </c>
      <c r="P320" s="40">
        <f t="shared" ref="P320:P324" ca="1" si="22">O320/SUM(O:O)</f>
        <v>3.1020408161366094E-4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input_503104!A$2</f>
        <v>503104</v>
      </c>
      <c r="B321" s="5">
        <v>1137</v>
      </c>
      <c r="C321" s="7" t="str">
        <f t="shared" si="16"/>
        <v>PremiumSS5R5onlycolor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>color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IFERROR(VLOOKUP(B321,input_503104!L:R,7,FALSE),VLOOKUP(tables_503104!C321,input_503104!A:H,8,FALSE))</f>
        <v>5470.8000099999999</v>
      </c>
      <c r="P321" s="40">
        <f t="shared" ca="1" si="22"/>
        <v>2.7912244947270676E-3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input_503104!A$2</f>
        <v>503104</v>
      </c>
      <c r="B322" s="5">
        <v>1139</v>
      </c>
      <c r="C322" s="7" t="str">
        <f t="shared" ref="C322:C330" si="23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IFERROR(VLOOKUP(B322,input_503104!L:R,7,FALSE),VLOOKUP(tables_503104!C322,input_503104!A:H,8,FALSE))</f>
        <v>608</v>
      </c>
      <c r="P322" s="40">
        <f t="shared" ca="1" si="22"/>
        <v>3.1020408161366094E-4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input_503104!A$2</f>
        <v>503104</v>
      </c>
      <c r="B323" s="5">
        <v>1141</v>
      </c>
      <c r="C323" s="7" t="str">
        <f t="shared" si="23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6" si="25">IF(K323="red","color","")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IFERROR(VLOOKUP(B323,input_503104!L:R,7,FALSE),VLOOKUP(tables_503104!C323,input_503104!A:H,8,FALSE))</f>
        <v>608</v>
      </c>
      <c r="P323" s="40">
        <f t="shared" ca="1" si="22"/>
        <v>3.1020408161366094E-4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input_503104!A$2</f>
        <v>503104</v>
      </c>
      <c r="B324" s="2">
        <v>1143</v>
      </c>
      <c r="C324" s="88" t="str">
        <f t="shared" si="23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IFERROR(VLOOKUP(B324,input_503104!L:R,7,FALSE),VLOOKUP(tables_503104!C324,input_503104!A:H,8,FALSE))</f>
        <v>14781.30667</v>
      </c>
      <c r="P324" s="40">
        <f t="shared" ca="1" si="22"/>
        <v>7.5414829944362351E-3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input_503104!A$2</f>
        <v>503104</v>
      </c>
      <c r="B325" s="2">
        <v>1144</v>
      </c>
      <c r="C325" s="88" t="str">
        <f t="shared" si="23"/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5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IFERROR(VLOOKUP(B325,input_503104!L:R,7,FALSE),VLOOKUP(tables_503104!C325,input_503104!A:H,8,FALSE))</f>
        <v>358.79529000000002</v>
      </c>
      <c r="P325" s="40">
        <f t="shared" ref="P325:P330" ca="1" si="26">O325/SUM(O:O)</f>
        <v>1.8305882141736373E-4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input_503104!A$2</f>
        <v>503104</v>
      </c>
      <c r="B326" s="2">
        <v>1151</v>
      </c>
      <c r="C326" s="88" t="str">
        <f t="shared" si="23"/>
        <v>Premium4R3lesscolor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5"/>
        <v>color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IFERROR(VLOOKUP(B326,input_503104!L:R,7,FALSE),VLOOKUP(tables_503104!C326,input_503104!A:H,8,FALSE))</f>
        <v>35852.540009999997</v>
      </c>
      <c r="P326" s="40">
        <f t="shared" ca="1" si="26"/>
        <v>1.8292112248880072E-2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input_503104!A$2</f>
        <v>503104</v>
      </c>
      <c r="B327" s="2">
        <v>1152</v>
      </c>
      <c r="C327" s="88" t="str">
        <f t="shared" si="23"/>
        <v>Premium5R3lesscolor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5"/>
        <v>color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IFERROR(VLOOKUP(B327,input_503104!L:R,7,FALSE),VLOOKUP(tables_503104!C327,input_503104!A:H,8,FALSE))</f>
        <v>4596.2</v>
      </c>
      <c r="P327" s="40">
        <f t="shared" ca="1" si="26"/>
        <v>2.3449999998564281E-3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input_503104!A$2</f>
        <v>503104</v>
      </c>
      <c r="B328" s="2">
        <v>1153</v>
      </c>
      <c r="C328" s="88" t="str">
        <f t="shared" si="23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5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IFERROR(VLOOKUP(B328,input_503104!L:R,7,FALSE),VLOOKUP(tables_503104!C328,input_503104!A:H,8,FALSE))</f>
        <v>608</v>
      </c>
      <c r="P328" s="40">
        <f t="shared" ca="1" si="26"/>
        <v>3.1020408161366094E-4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input_503104!A$2</f>
        <v>503104</v>
      </c>
      <c r="B329" s="2">
        <v>1155</v>
      </c>
      <c r="C329" s="88" t="str">
        <f t="shared" si="23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5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IFERROR(VLOOKUP(B329,input_503104!L:R,7,FALSE),VLOOKUP(tables_503104!C329,input_503104!A:H,8,FALSE))</f>
        <v>608</v>
      </c>
      <c r="P329" s="40">
        <f t="shared" ca="1" si="26"/>
        <v>3.1020408161366094E-4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input_503104!A$2</f>
        <v>503104</v>
      </c>
      <c r="B330" s="2">
        <v>1157</v>
      </c>
      <c r="C330" s="88" t="str">
        <f t="shared" si="23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5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IFERROR(VLOOKUP(B330,input_503104!L:R,7,FALSE),VLOOKUP(tables_503104!C330,input_503104!A:H,8,FALSE))</f>
        <v>608</v>
      </c>
      <c r="P330" s="40">
        <f t="shared" ca="1" si="26"/>
        <v>3.1020408161366094E-4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input_503104!A$2</f>
        <v>503104</v>
      </c>
      <c r="B331" s="52">
        <v>1214</v>
      </c>
      <c r="C331" s="88" t="str">
        <f t="shared" ref="C331:C340" si="27">D331&amp;J331&amp;E331&amp;F331&amp;G331</f>
        <v>PremiumSS5R5only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5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IFERROR(VLOOKUP(B331,input_503104!L:R,7,FALSE),VLOOKUP(tables_503104!C331,input_503104!A:H,8,FALSE))</f>
        <v>608</v>
      </c>
      <c r="P331" s="40">
        <f t="shared" ref="P331:P340" ca="1" si="29">O331/SUM(O:O)</f>
        <v>3.1020408161366094E-4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input_503104!A$2</f>
        <v>503104</v>
      </c>
      <c r="B332" s="52">
        <v>1212</v>
      </c>
      <c r="C332" s="88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5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IFERROR(VLOOKUP(B332,input_503104!L:R,7,FALSE),VLOOKUP(tables_503104!C332,input_503104!A:H,8,FALSE))</f>
        <v>608</v>
      </c>
      <c r="P332" s="40">
        <f t="shared" ca="1" si="29"/>
        <v>3.1020408161366094E-4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input_503104!A$2</f>
        <v>503104</v>
      </c>
      <c r="B333" s="52">
        <v>1208</v>
      </c>
      <c r="C333" s="88" t="str">
        <f t="shared" si="27"/>
        <v>PremiumSS5R5onlycolor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5"/>
        <v>color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IFERROR(VLOOKUP(B333,input_503104!L:R,7,FALSE),VLOOKUP(tables_503104!C333,input_503104!A:H,8,FALSE))</f>
        <v>5470.8000099999999</v>
      </c>
      <c r="P333" s="40">
        <f t="shared" ca="1" si="29"/>
        <v>2.7912244947270676E-3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input_503104!A$2</f>
        <v>503104</v>
      </c>
      <c r="B334" s="98">
        <v>1210</v>
      </c>
      <c r="C334" s="88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5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IFERROR(VLOOKUP(B334,input_503104!L:R,7,FALSE),VLOOKUP(tables_503104!C334,input_503104!A:H,8,FALSE))</f>
        <v>14781.30667</v>
      </c>
      <c r="P334" s="40">
        <f t="shared" ca="1" si="29"/>
        <v>7.5414829944362351E-3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input_503104!A$2</f>
        <v>503104</v>
      </c>
      <c r="B335" s="52">
        <v>1211</v>
      </c>
      <c r="C335" s="88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5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IFERROR(VLOOKUP(B335,input_503104!L:R,7,FALSE),VLOOKUP(tables_503104!C335,input_503104!A:H,8,FALSE))</f>
        <v>358.79529000000002</v>
      </c>
      <c r="P335" s="40">
        <f t="shared" ca="1" si="29"/>
        <v>1.8305882141736373E-4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input_503104!A$2</f>
        <v>503104</v>
      </c>
      <c r="B336" s="2">
        <v>1224</v>
      </c>
      <c r="C336" s="88" t="str">
        <f t="shared" si="27"/>
        <v>Premium4R3lesscolor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5"/>
        <v>color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IFERROR(VLOOKUP(B336,input_503104!L:R,7,FALSE),VLOOKUP(tables_503104!C336,input_503104!A:H,8,FALSE))</f>
        <v>35852.540009999997</v>
      </c>
      <c r="P336" s="40">
        <f t="shared" ca="1" si="29"/>
        <v>1.8292112248880072E-2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input_503104!A$2</f>
        <v>503104</v>
      </c>
      <c r="B337" s="2">
        <v>1225</v>
      </c>
      <c r="C337" s="88" t="str">
        <f t="shared" si="27"/>
        <v>Premium5R3lesscolor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5"/>
        <v>color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IFERROR(VLOOKUP(B337,input_503104!L:R,7,FALSE),VLOOKUP(tables_503104!C337,input_503104!A:H,8,FALSE))</f>
        <v>4596.2</v>
      </c>
      <c r="P337" s="40">
        <f t="shared" ca="1" si="29"/>
        <v>2.3449999998564281E-3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input_503104!A$2</f>
        <v>503104</v>
      </c>
      <c r="B338" s="2">
        <v>1226</v>
      </c>
      <c r="C338" s="88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5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IFERROR(VLOOKUP(B338,input_503104!L:R,7,FALSE),VLOOKUP(tables_503104!C338,input_503104!A:H,8,FALSE))</f>
        <v>608</v>
      </c>
      <c r="P338" s="40">
        <f t="shared" ca="1" si="29"/>
        <v>3.1020408161366094E-4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input_503104!A$2</f>
        <v>503104</v>
      </c>
      <c r="B339" s="2">
        <v>1228</v>
      </c>
      <c r="C339" s="88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5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IFERROR(VLOOKUP(B339,input_503104!L:R,7,FALSE),VLOOKUP(tables_503104!C339,input_503104!A:H,8,FALSE))</f>
        <v>608</v>
      </c>
      <c r="P339" s="40">
        <f t="shared" ca="1" si="29"/>
        <v>3.1020408161366094E-4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input_503104!A$2</f>
        <v>503104</v>
      </c>
      <c r="B340" s="2">
        <v>1230</v>
      </c>
      <c r="C340" s="88" t="str">
        <f t="shared" si="27"/>
        <v>PremiumSS5R5only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5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IFERROR(VLOOKUP(B340,input_503104!L:R,7,FALSE),VLOOKUP(tables_503104!C340,input_503104!A:H,8,FALSE))</f>
        <v>608</v>
      </c>
      <c r="P340" s="40">
        <f t="shared" ca="1" si="29"/>
        <v>3.1020408161366094E-4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input_503104!A$2</f>
        <v>503104</v>
      </c>
      <c r="B341" s="2">
        <v>1244</v>
      </c>
      <c r="C341" s="88" t="str">
        <f t="shared" ref="C341" si="30">D341&amp;J341&amp;E341&amp;F341&amp;G341</f>
        <v>PremiumSS5R5onlycolor</v>
      </c>
      <c r="D341" s="7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5"/>
        <v>color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IFERROR(VLOOKUP(B341,input_503104!L:R,7,FALSE),VLOOKUP(tables_503104!C341,input_503104!A:H,8,FALSE))</f>
        <v>5470.8000099999999</v>
      </c>
      <c r="P341" s="40">
        <f t="shared" ref="P341" ca="1" si="32">O341/SUM(O:O)</f>
        <v>2.7912244947270676E-3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input_503104!A$2</f>
        <v>503104</v>
      </c>
      <c r="B342" s="2">
        <v>1246</v>
      </c>
      <c r="C342" s="88" t="str">
        <f t="shared" ref="C342:C346" si="33">D342&amp;J342&amp;E342&amp;F342&amp;G342</f>
        <v>PremiumSS5R5only</v>
      </c>
      <c r="D342" s="7" t="str">
        <f t="shared" ref="D342:D346" si="34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5"/>
        <v/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IFERROR(VLOOKUP(B342,input_503104!L:R,7,FALSE),VLOOKUP(tables_503104!C342,input_503104!A:H,8,FALSE))</f>
        <v>608</v>
      </c>
      <c r="P342" s="40">
        <f t="shared" ref="P342:P346" ca="1" si="35">O342/SUM(O:O)</f>
        <v>3.1020408161366094E-4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input_503104!A$2</f>
        <v>503104</v>
      </c>
      <c r="B343" s="2">
        <v>1248</v>
      </c>
      <c r="C343" s="88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5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IFERROR(VLOOKUP(B343,input_503104!L:R,7,FALSE),VLOOKUP(tables_503104!C343,input_503104!A:H,8,FALSE))</f>
        <v>14781.30667</v>
      </c>
      <c r="P343" s="40">
        <f t="shared" ca="1" si="35"/>
        <v>7.5414829944362351E-3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input_503104!A$2</f>
        <v>503104</v>
      </c>
      <c r="B344" s="2">
        <v>1249</v>
      </c>
      <c r="C344" s="88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5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IFERROR(VLOOKUP(B344,input_503104!L:R,7,FALSE),VLOOKUP(tables_503104!C344,input_503104!A:H,8,FALSE))</f>
        <v>358.79529000000002</v>
      </c>
      <c r="P344" s="40">
        <f t="shared" ca="1" si="35"/>
        <v>1.8305882141736373E-4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input_503104!A$2</f>
        <v>503104</v>
      </c>
      <c r="B345" s="2">
        <v>1250</v>
      </c>
      <c r="C345" s="88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5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IFERROR(VLOOKUP(B345,input_503104!L:R,7,FALSE),VLOOKUP(tables_503104!C345,input_503104!A:H,8,FALSE))</f>
        <v>608</v>
      </c>
      <c r="P345" s="40">
        <f t="shared" ca="1" si="35"/>
        <v>3.1020408161366094E-4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input_503104!A$2</f>
        <v>503104</v>
      </c>
      <c r="B346" s="1">
        <v>955</v>
      </c>
      <c r="C346" s="88" t="str">
        <f t="shared" si="33"/>
        <v>PremiumSSS5R3lesscolor</v>
      </c>
      <c r="D346" s="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 t="str">
        <f t="shared" si="25"/>
        <v>color</v>
      </c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9">
        <f>IFERROR(VLOOKUP(B346,input_503104!L:R,7,FALSE),VLOOKUP(tables_503104!C346,input_503104!A:H,8,FALSE))</f>
        <v>23520</v>
      </c>
      <c r="P346" s="40">
        <f t="shared" ca="1" si="35"/>
        <v>1.1999999999265305E-2</v>
      </c>
      <c r="Q346" s="78">
        <v>80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</sheetData>
  <autoFilter ref="A1:V294"/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9"/>
  <sheetViews>
    <sheetView showGridLines="0" zoomScale="90" zoomScaleNormal="90" zoomScalePageLayoutView="90" workbookViewId="0">
      <pane ySplit="1" topLeftCell="A2" activePane="bottomLeft" state="frozen"/>
      <selection activeCell="L296" sqref="L296"/>
      <selection pane="bottomLeft" activeCell="O4" sqref="O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87">
        <v>503104</v>
      </c>
      <c r="B2" s="89">
        <v>1100</v>
      </c>
      <c r="C2" s="88" t="str">
        <f t="shared" ref="C2:C3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北斎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不明</v>
      </c>
      <c r="O2" s="39">
        <v>10</v>
      </c>
      <c r="P2" s="40">
        <f>O2/SUM(O:O)</f>
        <v>0.5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87">
        <v>503104</v>
      </c>
      <c r="B3" s="89">
        <v>1208</v>
      </c>
      <c r="C3" s="88" t="str">
        <f t="shared" si="0"/>
        <v>PremiumSS5R5only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 t="str">
        <f t="shared" ref="G3" si="2">IF(K3="yellow","color","")</f>
        <v/>
      </c>
      <c r="H3" s="7" t="str">
        <f>VLOOKUP(B3,[1]characters!$A:$C,3,FALSE)</f>
        <v>ネメシス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god</v>
      </c>
      <c r="N3" s="7">
        <f>VLOOKUP(B3,[1]characters!$A:$G,7,FALSE)</f>
        <v>0</v>
      </c>
      <c r="O3" s="39">
        <v>10</v>
      </c>
      <c r="P3" s="40">
        <f>O3/SUM(O:O)</f>
        <v>0.5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97"/>
      <c r="B4" s="97"/>
    </row>
    <row r="5" spans="1:22" ht="21" customHeight="1" x14ac:dyDescent="0.15">
      <c r="A5" s="97"/>
      <c r="B5" s="97"/>
    </row>
    <row r="6" spans="1:22" ht="21" customHeight="1" x14ac:dyDescent="0.15">
      <c r="A6" s="97"/>
      <c r="B6" s="97"/>
    </row>
    <row r="7" spans="1:22" ht="21" customHeight="1" x14ac:dyDescent="0.15">
      <c r="A7" s="97"/>
      <c r="B7" s="97"/>
    </row>
    <row r="8" spans="1:22" ht="21" customHeight="1" x14ac:dyDescent="0.15">
      <c r="A8" s="97"/>
      <c r="B8" s="97"/>
    </row>
    <row r="9" spans="1:22" ht="21" customHeight="1" x14ac:dyDescent="0.15">
      <c r="A9" s="97"/>
      <c r="B9" s="97"/>
    </row>
    <row r="10" spans="1:22" ht="21" customHeight="1" x14ac:dyDescent="0.15">
      <c r="A10" s="97"/>
      <c r="B10" s="97"/>
    </row>
    <row r="11" spans="1:22" ht="21" customHeight="1" x14ac:dyDescent="0.15">
      <c r="A11" s="97"/>
      <c r="B11" s="97"/>
    </row>
    <row r="12" spans="1:22" ht="21" customHeight="1" x14ac:dyDescent="0.15">
      <c r="A12" s="97"/>
      <c r="B12" s="97"/>
    </row>
    <row r="13" spans="1:22" ht="21" customHeight="1" x14ac:dyDescent="0.15">
      <c r="A13" s="97"/>
      <c r="B13" s="97"/>
    </row>
    <row r="14" spans="1:22" ht="21" customHeight="1" x14ac:dyDescent="0.15">
      <c r="A14" s="97"/>
      <c r="B14" s="97"/>
    </row>
    <row r="15" spans="1:22" ht="21" customHeight="1" x14ac:dyDescent="0.15">
      <c r="A15" s="97"/>
      <c r="B15" s="97"/>
    </row>
    <row r="16" spans="1:22" ht="21" customHeight="1" x14ac:dyDescent="0.15">
      <c r="A16" s="97"/>
      <c r="B16" s="97"/>
    </row>
    <row r="17" spans="1:2" ht="21" customHeight="1" x14ac:dyDescent="0.15">
      <c r="A17" s="97"/>
      <c r="B17" s="97"/>
    </row>
    <row r="18" spans="1:2" ht="21" customHeight="1" x14ac:dyDescent="0.15">
      <c r="A18" s="97"/>
      <c r="B18" s="97"/>
    </row>
    <row r="19" spans="1:2" ht="21" customHeight="1" x14ac:dyDescent="0.15">
      <c r="A19" s="97"/>
      <c r="B19" s="97"/>
    </row>
    <row r="20" spans="1:2" ht="21" customHeight="1" x14ac:dyDescent="0.15">
      <c r="A20" s="97"/>
      <c r="B20" s="97"/>
    </row>
    <row r="21" spans="1:2" ht="21" customHeight="1" x14ac:dyDescent="0.15">
      <c r="A21" s="97"/>
      <c r="B21" s="97"/>
    </row>
    <row r="22" spans="1:2" ht="21" customHeight="1" x14ac:dyDescent="0.15">
      <c r="A22" s="97"/>
      <c r="B22" s="97"/>
    </row>
    <row r="23" spans="1:2" ht="21" customHeight="1" x14ac:dyDescent="0.15">
      <c r="A23" s="97"/>
      <c r="B23" s="97"/>
    </row>
    <row r="24" spans="1:2" ht="21" customHeight="1" x14ac:dyDescent="0.15">
      <c r="A24" s="97"/>
      <c r="B24" s="97"/>
    </row>
    <row r="25" spans="1:2" ht="21" customHeight="1" x14ac:dyDescent="0.15">
      <c r="A25" s="97"/>
      <c r="B25" s="97"/>
    </row>
    <row r="26" spans="1:2" ht="21" customHeight="1" x14ac:dyDescent="0.15">
      <c r="A26" s="97"/>
      <c r="B26" s="97"/>
    </row>
    <row r="27" spans="1:2" ht="21" customHeight="1" x14ac:dyDescent="0.15">
      <c r="A27" s="97"/>
      <c r="B27" s="97"/>
    </row>
    <row r="28" spans="1:2" ht="21" customHeight="1" x14ac:dyDescent="0.15">
      <c r="A28" s="97"/>
      <c r="B28" s="97"/>
    </row>
    <row r="29" spans="1:2" ht="21" customHeight="1" x14ac:dyDescent="0.15">
      <c r="A29" s="97"/>
      <c r="B29" s="97"/>
    </row>
    <row r="30" spans="1:2" ht="21" customHeight="1" x14ac:dyDescent="0.15">
      <c r="A30" s="97"/>
      <c r="B30" s="97"/>
    </row>
    <row r="31" spans="1:2" ht="21" customHeight="1" x14ac:dyDescent="0.15">
      <c r="A31" s="97"/>
      <c r="B31" s="97"/>
    </row>
    <row r="32" spans="1:2" ht="21" customHeight="1" x14ac:dyDescent="0.15">
      <c r="A32" s="97"/>
      <c r="B32" s="97"/>
    </row>
    <row r="33" spans="1:2" ht="21" customHeight="1" x14ac:dyDescent="0.15">
      <c r="A33" s="97"/>
      <c r="B33" s="97"/>
    </row>
    <row r="34" spans="1:2" ht="21" customHeight="1" x14ac:dyDescent="0.15">
      <c r="A34" s="97"/>
      <c r="B34" s="97"/>
    </row>
    <row r="35" spans="1:2" ht="21" customHeight="1" x14ac:dyDescent="0.15">
      <c r="A35" s="97"/>
      <c r="B35" s="97"/>
    </row>
    <row r="36" spans="1:2" ht="21" customHeight="1" x14ac:dyDescent="0.15">
      <c r="A36" s="97"/>
      <c r="B36" s="97"/>
    </row>
    <row r="37" spans="1:2" ht="21" customHeight="1" x14ac:dyDescent="0.15">
      <c r="A37" s="97"/>
      <c r="B37" s="97"/>
    </row>
    <row r="38" spans="1:2" ht="21" customHeight="1" x14ac:dyDescent="0.15">
      <c r="A38" s="97"/>
      <c r="B38" s="97"/>
    </row>
    <row r="39" spans="1:2" ht="21" customHeight="1" x14ac:dyDescent="0.15">
      <c r="A39" s="97"/>
      <c r="B39" s="97"/>
    </row>
  </sheetData>
  <autoFilter ref="A1:V3"/>
  <sortState ref="A2:V114">
    <sortCondition ref="G2"/>
  </sortState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workbookViewId="0">
      <selection activeCell="B17" sqref="B17:B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503105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955</v>
      </c>
      <c r="M3" s="31" t="str">
        <f>VLOOKUP(L3,[1]characters!$A:$C,3,FALSE)</f>
        <v>マクローリン</v>
      </c>
      <c r="N3" s="54">
        <v>1.6E-2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VLOOKUP(L3,tables_503105!B:C,2,FALSE)</f>
        <v>PremiumSSS5R3lesscolor</v>
      </c>
      <c r="R3" s="53">
        <f t="shared" ref="R3:R20" si="1">N3*A$51</f>
        <v>31360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VLOOKUP(L4,tables_503105!B:C,2,FALSE)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2.7755102040816329E-4</v>
      </c>
      <c r="F5">
        <f>(COUNTIF(tables_503105!C:C,input_503105!A28)+COUNTIF(tables_503105!C:C,input_503105!A29))</f>
        <v>50</v>
      </c>
      <c r="H5" s="75">
        <v>1.6E-2</v>
      </c>
      <c r="I5" s="26">
        <v>1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VLOOKUP(L5,tables_503105!B:C,2,FALSE)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1.3600000000000001E-3</v>
      </c>
      <c r="F6">
        <f>(COUNTIF(tables_503105!C:C,input_503105!A43)+COUNTIF(tables_503105!C:C,input_503105!A44))</f>
        <v>16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VLOOKUP(L6,tables_503105!B:C,2,FALSE)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5.3371428571428571E-3</v>
      </c>
      <c r="F7">
        <f>(COUNTIF(tables_503105!C:C,input_503105!A26)+COUNTIF(tables_503105!C:C,input_503105!A18)+COUNTIF(tables_503105!C:C,input_503105!A20)+COUNTIF(tables_503105!C:C,input_503105!A22))</f>
        <v>70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VLOOKUP(L7,tables_503105!B:C,2,FALSE)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2.3349999999999996E-2</v>
      </c>
      <c r="F8">
        <f>(COUNTIF(tables_503105!C:C,input_503105!A40)+COUNTIF(tables_503105!C:C,input_503105!A33)+COUNTIF(tables_503105!C:C,input_503105!A35)+COUNTIF(tables_503105!C:C,input_503105!A37))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VLOOKUP(L8,tables_503105!B:C,2,FALSE)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VLOOKUP(L9,tables_503105!B:C,2,FALSE)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0.93399999999999994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VLOOKUP(L10,tables_503105!B:C,2,FALSE)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VLOOKUP(L11,tables_503105!B:C,2,FALSE)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1.6E-2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VLOOKUP(L12,tables_503105!B:C,2,FALSE)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VLOOKUP(L13,tables_503105!B:C,2,FALSE)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VLOOKUP(L14,tables_503105!B:C,2,FALSE)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VLOOKUP(L15,tables_503105!B:C,2,FALSE)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VLOOKUP(L16,tables_503105!B:C,2,FALSE)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COUNTIF(tables_503105!C:C,input_503105!A17)-COUNTIF(Q:Q,A17)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VLOOKUP(L17,tables_503105!B:C,2,FALSE)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E$7*E18-B17+0.01-0.009</f>
        <v>8.1057142857142855E-2</v>
      </c>
      <c r="C18" s="76">
        <f t="shared" si="2"/>
        <v>0</v>
      </c>
      <c r="D18" s="66">
        <f t="shared" si="3"/>
        <v>8.1057142857142855E-2</v>
      </c>
      <c r="E18">
        <f>COUNTIF(tables_503105!C:C,input_503105!A18)-COUNTIF(Q:Q,A18)</f>
        <v>15</v>
      </c>
      <c r="F18" s="37">
        <f>IFERROR(B18/E18,0)</f>
        <v>5.4038095238095234E-3</v>
      </c>
      <c r="G18">
        <f t="shared" si="4"/>
        <v>158872</v>
      </c>
      <c r="H18">
        <f t="shared" si="5"/>
        <v>10591.46667</v>
      </c>
      <c r="I18">
        <f t="shared" si="6"/>
        <v>0.46666999999979453</v>
      </c>
      <c r="J18">
        <f t="shared" si="7"/>
        <v>2.142841836844966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VLOOKUP(L18,tables_503105!B:C,2,FALSE)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COUNTIF(tables_503105!C:C,input_503105!A19)-COUNTIF(Q:Q,A19)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VLOOKUP(L19,tables_503105!B:C,2,FALSE)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E$7*E20*B$6-0.02+E49</f>
        <v>0.19207208163775435</v>
      </c>
      <c r="C20" s="76">
        <f t="shared" si="2"/>
        <v>0</v>
      </c>
      <c r="D20" s="66">
        <f t="shared" si="3"/>
        <v>0.19207208163775435</v>
      </c>
      <c r="E20">
        <f>COUNTIF(tables_503105!C:C,input_503105!A20)-COUNTIF(Q:Q,A20)</f>
        <v>40</v>
      </c>
      <c r="F20" s="37">
        <f t="shared" si="8"/>
        <v>4.8018020409438585E-3</v>
      </c>
      <c r="G20">
        <f t="shared" si="4"/>
        <v>376461.28000999853</v>
      </c>
      <c r="H20">
        <f t="shared" si="5"/>
        <v>9411.5319999999992</v>
      </c>
      <c r="I20">
        <f t="shared" si="6"/>
        <v>0.5319999999992433</v>
      </c>
      <c r="J20">
        <f t="shared" si="7"/>
        <v>1.8796992481229744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VLOOKUP(L20,tables_503105!B:C,2,FALSE)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E$7*E21*B$7-0.001-G64</f>
        <v>4.1363269387749771E-4</v>
      </c>
      <c r="C21" s="76">
        <f t="shared" si="2"/>
        <v>0</v>
      </c>
      <c r="D21" s="66">
        <f t="shared" si="3"/>
        <v>4.1363269387749771E-4</v>
      </c>
      <c r="E21">
        <f>COUNTIF(tables_503105!C:C,input_503105!A21)-COUNTIF(Q:Q,A21)</f>
        <v>40</v>
      </c>
      <c r="F21" s="37">
        <f t="shared" si="8"/>
        <v>1.0340817346937442E-5</v>
      </c>
      <c r="G21">
        <f t="shared" si="4"/>
        <v>810.72007999989546</v>
      </c>
      <c r="H21">
        <f t="shared" si="5"/>
        <v>20.268000000000001</v>
      </c>
      <c r="I21">
        <f t="shared" si="6"/>
        <v>0.26800000000000068</v>
      </c>
      <c r="J21">
        <f t="shared" si="7"/>
        <v>3.7313432835820799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E$7*E22-B23+C50</f>
        <v>9.6495020403061071E-2</v>
      </c>
      <c r="C22" s="76">
        <f t="shared" si="2"/>
        <v>0</v>
      </c>
      <c r="D22" s="66">
        <f t="shared" si="3"/>
        <v>9.6495020403061071E-2</v>
      </c>
      <c r="E22">
        <f>COUNTIF(tables_503105!C:C,input_503105!A22)-COUNTIF(Q:Q,A22)</f>
        <v>12</v>
      </c>
      <c r="F22" s="37">
        <f t="shared" si="8"/>
        <v>8.0412517002550893E-3</v>
      </c>
      <c r="G22">
        <f t="shared" si="4"/>
        <v>189130.23998999971</v>
      </c>
      <c r="H22">
        <f t="shared" si="5"/>
        <v>15760.85333</v>
      </c>
      <c r="I22">
        <f t="shared" si="6"/>
        <v>0.85332999999991443</v>
      </c>
      <c r="J22">
        <f t="shared" si="7"/>
        <v>1.1718795776547177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E23*E7*B7-0.009</f>
        <v>7.3142857142858425E-5</v>
      </c>
      <c r="C23" s="76">
        <f t="shared" si="2"/>
        <v>0</v>
      </c>
      <c r="D23" s="66">
        <f t="shared" si="3"/>
        <v>7.3142857142858425E-5</v>
      </c>
      <c r="E23">
        <f>COUNTIF(tables_503105!C:C,input_503105!A23)-COUNTIF(Q:Q,A23)</f>
        <v>17</v>
      </c>
      <c r="F23" s="37">
        <f t="shared" si="8"/>
        <v>4.3025210084034366E-6</v>
      </c>
      <c r="G23">
        <f t="shared" si="4"/>
        <v>143.36000000000251</v>
      </c>
      <c r="H23">
        <f t="shared" si="5"/>
        <v>8.4329400000000003</v>
      </c>
      <c r="I23">
        <f t="shared" si="6"/>
        <v>0.43294000000000032</v>
      </c>
      <c r="J23">
        <f t="shared" si="7"/>
        <v>2.3097888852958821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COUNTIF(tables_503105!C:C,input_503105!A24)-COUNTIF(Q:Q,A24)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1.4410285714285714E-2</v>
      </c>
      <c r="C25" s="76">
        <f t="shared" si="2"/>
        <v>0</v>
      </c>
      <c r="D25" s="66">
        <f t="shared" si="3"/>
        <v>1.4410285714285714E-2</v>
      </c>
      <c r="E25">
        <f>COUNTIF(tables_503105!C:C,input_503105!A25)-COUNTIF(Q:Q,A25)</f>
        <v>3</v>
      </c>
      <c r="F25" s="37">
        <f t="shared" si="8"/>
        <v>4.8034285714285713E-3</v>
      </c>
      <c r="G25">
        <f t="shared" si="4"/>
        <v>28244.16</v>
      </c>
      <c r="H25">
        <f t="shared" si="5"/>
        <v>9414.7199999999993</v>
      </c>
      <c r="I25">
        <f t="shared" si="6"/>
        <v>0.71999999999934516</v>
      </c>
      <c r="J25">
        <f t="shared" si="7"/>
        <v>1.3888888888901521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1.601142857142857E-3</v>
      </c>
      <c r="C26" s="76">
        <f t="shared" si="2"/>
        <v>0</v>
      </c>
      <c r="D26" s="66">
        <f t="shared" si="3"/>
        <v>1.601142857142857E-3</v>
      </c>
      <c r="E26">
        <f>COUNTIF(tables_503105!C:C,input_503105!A26)-COUNTIF(Q:Q,A26)</f>
        <v>3</v>
      </c>
      <c r="F26" s="37">
        <f t="shared" si="8"/>
        <v>5.3371428571428569E-4</v>
      </c>
      <c r="G26">
        <f t="shared" si="4"/>
        <v>3138.24</v>
      </c>
      <c r="H26">
        <f t="shared" si="5"/>
        <v>1046.08</v>
      </c>
      <c r="I26">
        <f t="shared" si="6"/>
        <v>7.999999999992724E-2</v>
      </c>
      <c r="J26">
        <f t="shared" si="7"/>
        <v>12.500000000011369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4.9959183673469396E-3</v>
      </c>
      <c r="C27" s="76">
        <f t="shared" si="2"/>
        <v>0</v>
      </c>
      <c r="D27" s="66">
        <f t="shared" si="3"/>
        <v>4.9959183673469396E-3</v>
      </c>
      <c r="E27">
        <f>COUNTIF(tables_503105!C:C,input_503105!A27)-COUNTIF(Q:Q,A27)</f>
        <v>20</v>
      </c>
      <c r="F27" s="37">
        <f>IFERROR(B27/E27,0)</f>
        <v>2.4979591836734699E-4</v>
      </c>
      <c r="G27">
        <f t="shared" si="4"/>
        <v>9792.0000000000018</v>
      </c>
      <c r="H27">
        <f t="shared" si="5"/>
        <v>489.6</v>
      </c>
      <c r="I27">
        <f t="shared" si="6"/>
        <v>0.60000000000002274</v>
      </c>
      <c r="J27">
        <f t="shared" si="7"/>
        <v>1.6666666666666035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5.5510204081632658E-4</v>
      </c>
      <c r="C28" s="76">
        <f t="shared" si="2"/>
        <v>0</v>
      </c>
      <c r="D28" s="66">
        <f t="shared" si="3"/>
        <v>5.5510204081632658E-4</v>
      </c>
      <c r="E28">
        <f>COUNTIF(tables_503105!C:C,input_503105!A28)-COUNTIF(Q:Q,A28)</f>
        <v>20</v>
      </c>
      <c r="F28" s="37">
        <f t="shared" si="8"/>
        <v>2.7755102040816329E-5</v>
      </c>
      <c r="G28">
        <f t="shared" si="4"/>
        <v>1088</v>
      </c>
      <c r="H28">
        <f t="shared" si="5"/>
        <v>54.4</v>
      </c>
      <c r="I28">
        <f t="shared" si="6"/>
        <v>0.39999999999999858</v>
      </c>
      <c r="J28">
        <f t="shared" si="7"/>
        <v>2.5000000000000089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E$5*E29-F49</f>
        <v>8.3265306122448993E-3</v>
      </c>
      <c r="C29" s="76">
        <f t="shared" si="2"/>
        <v>0</v>
      </c>
      <c r="D29" s="66">
        <f t="shared" si="3"/>
        <v>8.3265306122448993E-3</v>
      </c>
      <c r="E29">
        <f>COUNTIF(tables_503105!C:C,input_503105!A29)-COUNTIF(Q:Q,A29)</f>
        <v>30</v>
      </c>
      <c r="F29" s="37">
        <f t="shared" si="8"/>
        <v>2.7755102040816329E-4</v>
      </c>
      <c r="G29">
        <f t="shared" si="4"/>
        <v>16320.000000000002</v>
      </c>
      <c r="H29">
        <f t="shared" si="5"/>
        <v>544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COUNTIF(tables_503105!C:C,input_503105!A30)-COUNTIF(Q:Q,A30)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COUNTIF(tables_503105!C:C,input_503105!A31)-COUNTIF(Q:Q,A31)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COUNTIF(tables_503105!C:C,input_503105!A32)-COUNTIF(Q:Q,A32)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E$8*E33-B32+0.02</f>
        <v>0.13674999999999998</v>
      </c>
      <c r="C33" s="76">
        <f t="shared" si="2"/>
        <v>0</v>
      </c>
      <c r="D33" s="66">
        <f t="shared" si="3"/>
        <v>0.13674999999999998</v>
      </c>
      <c r="E33">
        <f>COUNTIF(tables_503105!C:C,input_503105!A33)-COUNTIF(Q:Q,A33)</f>
        <v>5</v>
      </c>
      <c r="F33" s="37">
        <f>IFERROR(B33/E33,0)</f>
        <v>2.7349999999999996E-2</v>
      </c>
      <c r="G33">
        <f t="shared" si="4"/>
        <v>268029.99999999994</v>
      </c>
      <c r="H33">
        <f t="shared" si="5"/>
        <v>53606</v>
      </c>
      <c r="I33">
        <f t="shared" si="6"/>
        <v>0</v>
      </c>
      <c r="J33">
        <f t="shared" si="7"/>
        <v>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COUNTIF(tables_503105!C:C,input_503105!A34)-COUNTIF(Q:Q,A34)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E$8*E35*B$6+E49-C50</f>
        <v>0.2395924898061218</v>
      </c>
      <c r="C35" s="76">
        <f t="shared" si="2"/>
        <v>0</v>
      </c>
      <c r="D35" s="66">
        <f t="shared" si="3"/>
        <v>0.2395924898061218</v>
      </c>
      <c r="E35">
        <f>COUNTIF(tables_503105!C:C,input_503105!A35)-COUNTIF(Q:Q,A35)</f>
        <v>12</v>
      </c>
      <c r="F35" s="37">
        <f t="shared" si="9"/>
        <v>1.9966040817176817E-2</v>
      </c>
      <c r="G35">
        <f t="shared" si="4"/>
        <v>469601.28001999873</v>
      </c>
      <c r="H35">
        <f t="shared" si="5"/>
        <v>39133.440000000002</v>
      </c>
      <c r="I35">
        <f t="shared" si="6"/>
        <v>0.44000000000232831</v>
      </c>
      <c r="J35">
        <f t="shared" si="7"/>
        <v>2.2727272727152465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E$8*E36*B$7</f>
        <v>2.8019999999999996E-2</v>
      </c>
      <c r="C36" s="76">
        <f t="shared" si="2"/>
        <v>0</v>
      </c>
      <c r="D36" s="66">
        <f t="shared" si="3"/>
        <v>2.8019999999999996E-2</v>
      </c>
      <c r="E36">
        <f>COUNTIF(tables_503105!C:C,input_503105!A36)-COUNTIF(Q:Q,A36)</f>
        <v>12</v>
      </c>
      <c r="F36" s="37">
        <f t="shared" si="9"/>
        <v>2.3349999999999998E-3</v>
      </c>
      <c r="G36">
        <f t="shared" si="4"/>
        <v>54919.19999999999</v>
      </c>
      <c r="H36">
        <f t="shared" si="5"/>
        <v>4576.6000000000004</v>
      </c>
      <c r="I36">
        <f t="shared" si="6"/>
        <v>0.6000000000003638</v>
      </c>
      <c r="J36">
        <f t="shared" si="7"/>
        <v>1.6666666666656562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E$8*E37-B38-E49</f>
        <v>0.1038200612193885</v>
      </c>
      <c r="C37" s="76">
        <f t="shared" si="2"/>
        <v>0</v>
      </c>
      <c r="D37" s="66">
        <f t="shared" si="3"/>
        <v>0.1038200612193885</v>
      </c>
      <c r="E37">
        <f>COUNTIF(tables_503105!C:C,input_503105!A37)-COUNTIF(Q:Q,A37)</f>
        <v>6</v>
      </c>
      <c r="F37" s="37">
        <f t="shared" si="9"/>
        <v>1.730334353656475E-2</v>
      </c>
      <c r="G37">
        <f t="shared" si="4"/>
        <v>203487.31999000144</v>
      </c>
      <c r="H37">
        <f t="shared" si="5"/>
        <v>33914.553330000002</v>
      </c>
      <c r="I37">
        <f t="shared" si="6"/>
        <v>0.55333000000246102</v>
      </c>
      <c r="J37">
        <f t="shared" si="7"/>
        <v>1.8072398026413756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1.6344999999999998E-2</v>
      </c>
      <c r="C38" s="76">
        <f t="shared" si="2"/>
        <v>0</v>
      </c>
      <c r="D38" s="66">
        <f t="shared" si="3"/>
        <v>1.6344999999999998E-2</v>
      </c>
      <c r="E38">
        <f>COUNTIF(tables_503105!C:C,input_503105!A38)-COUNTIF(Q:Q,A38)</f>
        <v>7</v>
      </c>
      <c r="F38" s="37">
        <f t="shared" si="9"/>
        <v>2.3349999999999998E-3</v>
      </c>
      <c r="G38">
        <f t="shared" si="4"/>
        <v>32036.199999999997</v>
      </c>
      <c r="H38">
        <f t="shared" si="5"/>
        <v>4576.6000000000004</v>
      </c>
      <c r="I38">
        <f t="shared" si="6"/>
        <v>0.6000000000003638</v>
      </c>
      <c r="J38">
        <f t="shared" si="7"/>
        <v>1.6666666666656562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COUNTIF(tables_503105!C:C,input_503105!A39)-COUNTIF(Q:Q,A39)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2.1014999999999995E-2</v>
      </c>
      <c r="C40" s="76">
        <f t="shared" si="2"/>
        <v>0</v>
      </c>
      <c r="D40" s="66">
        <f t="shared" si="3"/>
        <v>2.1014999999999995E-2</v>
      </c>
      <c r="E40">
        <f>COUNTIF(tables_503105!C:C,input_503105!A40)-COUNTIF(Q:Q,A40)</f>
        <v>1</v>
      </c>
      <c r="F40" s="37">
        <f t="shared" si="9"/>
        <v>2.1014999999999995E-2</v>
      </c>
      <c r="G40">
        <f t="shared" si="4"/>
        <v>41189.399999999994</v>
      </c>
      <c r="H40">
        <f t="shared" si="5"/>
        <v>41189.4</v>
      </c>
      <c r="I40">
        <f t="shared" si="6"/>
        <v>0.40000000000145519</v>
      </c>
      <c r="J40">
        <f t="shared" si="7"/>
        <v>2.4999999999909051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2.3349999999999998E-3</v>
      </c>
      <c r="C41" s="76">
        <f t="shared" si="2"/>
        <v>0</v>
      </c>
      <c r="D41" s="66">
        <f t="shared" si="3"/>
        <v>2.3349999999999998E-3</v>
      </c>
      <c r="E41">
        <f>COUNTIF(tables_503105!C:C,input_503105!A41)-COUNTIF(Q:Q,A41)</f>
        <v>1</v>
      </c>
      <c r="F41" s="37">
        <f t="shared" si="9"/>
        <v>2.3349999999999998E-3</v>
      </c>
      <c r="G41">
        <f t="shared" si="4"/>
        <v>4576.5999999999995</v>
      </c>
      <c r="H41">
        <f t="shared" si="5"/>
        <v>4576.6000000000004</v>
      </c>
      <c r="I41">
        <f t="shared" si="6"/>
        <v>0.6000000000003638</v>
      </c>
      <c r="J41">
        <f t="shared" si="7"/>
        <v>1.6666666666656562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9.7920000000000004E-3</v>
      </c>
      <c r="C42" s="76">
        <f t="shared" si="2"/>
        <v>0</v>
      </c>
      <c r="D42" s="66">
        <f t="shared" si="3"/>
        <v>9.7920000000000004E-3</v>
      </c>
      <c r="E42">
        <f>COUNTIF(tables_503105!C:C,input_503105!A42)-COUNTIF(Q:Q,A42)</f>
        <v>8</v>
      </c>
      <c r="F42" s="37">
        <f>IFERROR(B42/E42,0)</f>
        <v>1.224E-3</v>
      </c>
      <c r="G42">
        <f t="shared" si="4"/>
        <v>19192.32</v>
      </c>
      <c r="H42">
        <f t="shared" si="5"/>
        <v>2399.04</v>
      </c>
      <c r="I42">
        <f t="shared" si="6"/>
        <v>3.999999999996362E-2</v>
      </c>
      <c r="J42">
        <f t="shared" si="7"/>
        <v>25.000000000022737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1.0880000000000002E-3</v>
      </c>
      <c r="C43" s="76">
        <f t="shared" si="2"/>
        <v>0</v>
      </c>
      <c r="D43" s="66">
        <f t="shared" si="3"/>
        <v>1.0880000000000002E-3</v>
      </c>
      <c r="E43">
        <f>COUNTIF(tables_503105!C:C,input_503105!A43)-COUNTIF(Q:Q,A43)</f>
        <v>8</v>
      </c>
      <c r="F43" s="37">
        <f t="shared" ref="F43:F46" si="10">IFERROR(B43/E43,0)</f>
        <v>1.3600000000000003E-4</v>
      </c>
      <c r="G43">
        <f t="shared" si="4"/>
        <v>2132.4800000000005</v>
      </c>
      <c r="H43">
        <f t="shared" si="5"/>
        <v>266.56</v>
      </c>
      <c r="I43">
        <f t="shared" si="6"/>
        <v>0.56000000000000227</v>
      </c>
      <c r="J43">
        <f t="shared" si="7"/>
        <v>1.7857142857142785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E$6*E44-E50+G64</f>
        <v>2.5242448974489837E-2</v>
      </c>
      <c r="C44" s="76">
        <f t="shared" si="2"/>
        <v>0</v>
      </c>
      <c r="D44" s="66">
        <f t="shared" si="3"/>
        <v>2.5242448974489837E-2</v>
      </c>
      <c r="E44">
        <f>COUNTIF(tables_503105!C:C,input_503105!A44)-COUNTIF(Q:Q,A44)</f>
        <v>8</v>
      </c>
      <c r="F44" s="37">
        <f t="shared" si="10"/>
        <v>3.1553061218112296E-3</v>
      </c>
      <c r="G44">
        <f t="shared" si="4"/>
        <v>49475.199990000081</v>
      </c>
      <c r="H44">
        <f t="shared" si="5"/>
        <v>6184.4</v>
      </c>
      <c r="I44">
        <f t="shared" si="6"/>
        <v>0.3999999999996362</v>
      </c>
      <c r="J44">
        <f t="shared" si="7"/>
        <v>2.5000000000022737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COUNTIF(tables_503105!C:C,input_503105!A45)-COUNTIF(Q:Q,A45)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B12</f>
        <v>1.6E-2</v>
      </c>
      <c r="C46" s="76">
        <f t="shared" si="2"/>
        <v>1.6E-2</v>
      </c>
      <c r="D46" s="66">
        <f t="shared" si="3"/>
        <v>0</v>
      </c>
      <c r="E46">
        <f>COUNTIF(tables_503105!C:C,input_503105!A46)-COUNTIF(Q:Q,A46)</f>
        <v>0</v>
      </c>
      <c r="F46" s="37">
        <f t="shared" si="10"/>
        <v>0</v>
      </c>
      <c r="G46">
        <f t="shared" si="4"/>
        <v>31360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1.0000000000408156</v>
      </c>
      <c r="C47" s="35">
        <f>SUM(C19:C31)</f>
        <v>0</v>
      </c>
      <c r="D47" s="36">
        <f t="shared" si="3"/>
        <v>1.0000000000408156</v>
      </c>
      <c r="L47" s="49"/>
      <c r="M47" s="49"/>
      <c r="N47" s="49"/>
      <c r="O47" s="49"/>
      <c r="P47" s="49"/>
      <c r="Q47" s="49"/>
      <c r="R47" s="51"/>
    </row>
    <row r="49" spans="1:8" x14ac:dyDescent="0.15">
      <c r="B49" t="s">
        <v>35</v>
      </c>
      <c r="C49" s="80">
        <f>SUM(B32:B46)</f>
        <v>0.60000000000000009</v>
      </c>
      <c r="E49" s="85">
        <v>1.9934938780611478E-2</v>
      </c>
      <c r="F49" s="85"/>
      <c r="G49" s="96">
        <f ca="1">0.9-G56</f>
        <v>5.1016968427575193E-12</v>
      </c>
      <c r="H49" s="94"/>
    </row>
    <row r="50" spans="1:8" x14ac:dyDescent="0.15">
      <c r="A50" t="s">
        <v>56</v>
      </c>
      <c r="B50" s="80">
        <f>C49-0.6</f>
        <v>0</v>
      </c>
      <c r="C50" s="80">
        <v>3.2522448974489637E-2</v>
      </c>
      <c r="D50" s="84"/>
      <c r="E50" s="85">
        <v>5.572489760204094E-3</v>
      </c>
      <c r="F50" s="93"/>
      <c r="G50" s="96">
        <f ca="1">G57-0.1</f>
        <v>-1.0204156963844468E-11</v>
      </c>
      <c r="H50" s="47"/>
    </row>
    <row r="51" spans="1:8" x14ac:dyDescent="0.15">
      <c r="A51" s="26">
        <f>LCM(F5-I5,F7-I6)*1000*2*2</f>
        <v>1960000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SUMIF(tables_503105!C:C,input_503105!A55,tables_503105!O:O)</f>
        <v>0</v>
      </c>
      <c r="C55" s="46">
        <f t="shared" ref="C55:C61" ca="1" si="11">B55/B$62</f>
        <v>0</v>
      </c>
      <c r="E55">
        <v>3</v>
      </c>
      <c r="F55">
        <f ca="1">SUMIF(tables_503105!J:J,input_503105!E55,tables_503105!O:O)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SUMIF(tables_503105!C:C,input_503105!A56,tables_503105!O:O)</f>
        <v>376461.2800000002</v>
      </c>
      <c r="C56" s="46">
        <f t="shared" ca="1" si="11"/>
        <v>0.9698810775160247</v>
      </c>
      <c r="E56">
        <v>4</v>
      </c>
      <c r="F56">
        <f ca="1">SUMIF(tables_503105!J:J,input_503105!E56,tables_503105!O:O)</f>
        <v>1763999.9999900006</v>
      </c>
      <c r="G56">
        <f ca="1">F56/A51</f>
        <v>0.89999999999489833</v>
      </c>
      <c r="H56" s="47">
        <f>B18+B20+B22+B25+B27+B30+B33+B35+B37+B40+B42+B45</f>
        <v>0.90000000000510116</v>
      </c>
    </row>
    <row r="57" spans="1:8" x14ac:dyDescent="0.15">
      <c r="A57" s="27" t="s">
        <v>90</v>
      </c>
      <c r="B57">
        <f ca="1">SUMIF(tables_503105!C:C,input_503105!A57,tables_503105!O:O)</f>
        <v>9792.0000000000036</v>
      </c>
      <c r="C57" s="46">
        <f t="shared" ca="1" si="11"/>
        <v>2.5227230569467629E-2</v>
      </c>
      <c r="E57">
        <v>5</v>
      </c>
      <c r="F57">
        <f ca="1">SUMIF(tables_503105!J:J,input_503105!E57,tables_503105!O:O)</f>
        <v>195999.99997999988</v>
      </c>
      <c r="G57">
        <f ca="1">F57/A51</f>
        <v>9.9999999989795849E-2</v>
      </c>
      <c r="H57" s="47">
        <f>B21+B23+B26+B28+B29+B31+B36+B38+B41+B43+B44+B46</f>
        <v>0.10000000003571427</v>
      </c>
    </row>
    <row r="58" spans="1:8" x14ac:dyDescent="0.15">
      <c r="A58" s="27" t="s">
        <v>94</v>
      </c>
      <c r="B58">
        <f>SUMIF(tables_503105!C:C,input_503105!A58,tables_503105!O:O)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SUMIF(tables_503105!C:C,input_503105!A59,tables_503105!O:O)</f>
        <v>810.72000000000082</v>
      </c>
      <c r="C59" s="46">
        <f t="shared" ca="1" si="11"/>
        <v>2.0886662956779828E-3</v>
      </c>
      <c r="E59" t="s">
        <v>37</v>
      </c>
      <c r="F59" s="47"/>
    </row>
    <row r="60" spans="1:8" x14ac:dyDescent="0.15">
      <c r="A60" s="27" t="s">
        <v>91</v>
      </c>
      <c r="B60">
        <f ca="1">SUMIF(tables_503105!C:C,input_503105!A60,tables_503105!O:O)</f>
        <v>1087.9999999999998</v>
      </c>
      <c r="C60" s="46">
        <f t="shared" ca="1" si="11"/>
        <v>2.8030256188297351E-3</v>
      </c>
      <c r="E60" t="s">
        <v>190</v>
      </c>
      <c r="F60" s="47">
        <f ca="1">SUMIF(tables_503105!I:I,input_503105!E60,tables_503105!P:P)</f>
        <v>0.22016365548806383</v>
      </c>
    </row>
    <row r="61" spans="1:8" x14ac:dyDescent="0.15">
      <c r="A61" s="27" t="s">
        <v>92</v>
      </c>
      <c r="B61">
        <f>SUMIF(tables_503105!C:C,input_503105!A61,tables_503105!O:O)</f>
        <v>0</v>
      </c>
      <c r="C61" s="46">
        <f t="shared" ca="1" si="11"/>
        <v>0</v>
      </c>
      <c r="E61" t="s">
        <v>191</v>
      </c>
      <c r="F61" s="47">
        <f ca="1">SUMIF(tables_503105!I:I,input_503105!E61,tables_503105!P:P)</f>
        <v>0.18578630612529276</v>
      </c>
    </row>
    <row r="62" spans="1:8" x14ac:dyDescent="0.15">
      <c r="A62" s="33" t="s">
        <v>42</v>
      </c>
      <c r="B62">
        <f ca="1">SUM(B55:B61)</f>
        <v>388152.00000000017</v>
      </c>
      <c r="C62" s="47">
        <f ca="1">SUM(C55:C61)</f>
        <v>1</v>
      </c>
      <c r="E62" t="s">
        <v>192</v>
      </c>
      <c r="F62" s="47">
        <f ca="1">SUMIF(tables_503105!I:I,input_503105!E62,tables_503105!P:P)</f>
        <v>0.52805003838563347</v>
      </c>
    </row>
    <row r="63" spans="1:8" x14ac:dyDescent="0.15">
      <c r="E63" t="s">
        <v>193</v>
      </c>
      <c r="F63" s="47">
        <f ca="1">SUMIF(tables_503105!I:I,input_503105!E63,tables_503105!P:P)</f>
        <v>4.5179387755793561E-2</v>
      </c>
      <c r="G63" s="86">
        <f ca="1">0.05-F63-F64</f>
        <v>-7.6530448644973603E-13</v>
      </c>
    </row>
    <row r="64" spans="1:8" x14ac:dyDescent="0.15">
      <c r="E64" t="s">
        <v>253</v>
      </c>
      <c r="F64" s="47">
        <f ca="1">SUMIF(tables_503105!I:I,input_503105!E64,tables_503105!P:P)</f>
        <v>4.8206122449717462E-3</v>
      </c>
      <c r="G64">
        <v>1.993493873469393E-2</v>
      </c>
    </row>
    <row r="65" spans="5:6" x14ac:dyDescent="0.15">
      <c r="E65" t="s">
        <v>254</v>
      </c>
      <c r="F65" s="47">
        <f ca="1">SUMIF(tables_503105!I:I,input_503105!E65,tables_503105!P:P)</f>
        <v>1.6000000000244909E-2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46"/>
  <sheetViews>
    <sheetView showGridLines="0" zoomScale="75" zoomScaleNormal="75" zoomScalePageLayoutView="75" workbookViewId="0">
      <pane ySplit="1" topLeftCell="A298" activePane="bottomLeft" state="frozen"/>
      <selection activeCell="U32" sqref="U32"/>
      <selection pane="bottomLeft" activeCell="B2" sqref="B2:B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input_503105!A$2</f>
        <v>503105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IFERROR(VLOOKUP(B2,input_503105!L:R,7,FALSE),VLOOKUP(tables_503105!C2,input_503105!A:H,8,FALSE))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input_503105!A$2</f>
        <v>503105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IFERROR(VLOOKUP(B3,input_503105!L:R,7,FALSE),VLOOKUP(tables_503105!C3,input_503105!A:H,8,FALSE))</f>
        <v>53606</v>
      </c>
      <c r="P3" s="40">
        <f t="shared" ca="1" si="1"/>
        <v>2.7350000000418644E-2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input_503105!A$2</f>
        <v>503105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IFERROR(VLOOKUP(B4,input_503105!L:R,7,FALSE),VLOOKUP(tables_503105!C4,input_503105!A:H,8,FALSE))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input_503105!A$2</f>
        <v>503105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IFERROR(VLOOKUP(B5,input_503105!L:R,7,FALSE),VLOOKUP(tables_503105!C5,input_503105!A:H,8,FALSE))</f>
        <v>10591.46667</v>
      </c>
      <c r="P5" s="40">
        <f t="shared" ca="1" si="1"/>
        <v>5.4038095255929189E-3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input_503105!A$2</f>
        <v>503105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IFERROR(VLOOKUP(B6,input_503105!L:R,7,FALSE),VLOOKUP(tables_503105!C6,input_503105!A:H,8,FALSE))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input_503105!A$2</f>
        <v>503105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IFERROR(VLOOKUP(B7,input_503105!L:R,7,FALSE),VLOOKUP(tables_503105!C7,input_503105!A:H,8,FALSE))</f>
        <v>10591.46667</v>
      </c>
      <c r="P7" s="40">
        <f t="shared" ca="1" si="1"/>
        <v>5.4038095255929189E-3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input_503105!A$2</f>
        <v>503105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IFERROR(VLOOKUP(B8,input_503105!L:R,7,FALSE),VLOOKUP(tables_503105!C8,input_503105!A:H,8,FALSE))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input_503105!A$2</f>
        <v>503105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IFERROR(VLOOKUP(B9,input_503105!L:R,7,FALSE),VLOOKUP(tables_503105!C9,input_503105!A:H,8,FALSE))</f>
        <v>10591.46667</v>
      </c>
      <c r="P9" s="40">
        <f t="shared" ca="1" si="1"/>
        <v>5.4038095255929189E-3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input_503105!A$2</f>
        <v>503105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IFERROR(VLOOKUP(B10,input_503105!L:R,7,FALSE),VLOOKUP(tables_503105!C10,input_503105!A:H,8,FALSE))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input_503105!A$2</f>
        <v>503105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IFERROR(VLOOKUP(B11,input_503105!L:R,7,FALSE),VLOOKUP(tables_503105!C11,input_503105!A:H,8,FALSE))</f>
        <v>53606</v>
      </c>
      <c r="P11" s="40">
        <f t="shared" ca="1" si="1"/>
        <v>2.7350000000418644E-2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input_503105!A$2</f>
        <v>503105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IFERROR(VLOOKUP(B12,input_503105!L:R,7,FALSE),VLOOKUP(tables_503105!C12,input_503105!A:H,8,FALSE))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input_503105!A$2</f>
        <v>503105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IFERROR(VLOOKUP(B13,input_503105!L:R,7,FALSE),VLOOKUP(tables_503105!C13,input_503105!A:H,8,FALSE))</f>
        <v>10591.46667</v>
      </c>
      <c r="P13" s="40">
        <f t="shared" ca="1" si="1"/>
        <v>5.4038095255929189E-3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input_503105!A$2</f>
        <v>503105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IFERROR(VLOOKUP(B14,input_503105!L:R,7,FALSE),VLOOKUP(tables_503105!C14,input_503105!A:H,8,FALSE))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input_503105!A$2</f>
        <v>503105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IFERROR(VLOOKUP(B15,input_503105!L:R,7,FALSE),VLOOKUP(tables_503105!C15,input_503105!A:H,8,FALSE))</f>
        <v>10591.46667</v>
      </c>
      <c r="P15" s="40">
        <f t="shared" ca="1" si="1"/>
        <v>5.4038095255929189E-3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input_503105!A$2</f>
        <v>503105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IFERROR(VLOOKUP(B16,input_503105!L:R,7,FALSE),VLOOKUP(tables_503105!C16,input_503105!A:H,8,FALSE))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input_503105!A$2</f>
        <v>503105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IFERROR(VLOOKUP(B17,input_503105!L:R,7,FALSE),VLOOKUP(tables_503105!C17,input_503105!A:H,8,FALSE))</f>
        <v>10591.46667</v>
      </c>
      <c r="P17" s="40">
        <f t="shared" ca="1" si="1"/>
        <v>5.4038095255929189E-3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input_503105!A$2</f>
        <v>503105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IFERROR(VLOOKUP(B18,input_503105!L:R,7,FALSE),VLOOKUP(tables_503105!C18,input_503105!A:H,8,FALSE))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input_503105!A$2</f>
        <v>503105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IFERROR(VLOOKUP(B19,input_503105!L:R,7,FALSE),VLOOKUP(tables_503105!C19,input_503105!A:H,8,FALSE))</f>
        <v>53606</v>
      </c>
      <c r="P19" s="40">
        <f t="shared" ca="1" si="1"/>
        <v>2.7350000000418644E-2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input_503105!A$2</f>
        <v>503105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IFERROR(VLOOKUP(B20,input_503105!L:R,7,FALSE),VLOOKUP(tables_503105!C20,input_503105!A:H,8,FALSE))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input_503105!A$2</f>
        <v>503105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IFERROR(VLOOKUP(B21,input_503105!L:R,7,FALSE),VLOOKUP(tables_503105!C21,input_503105!A:H,8,FALSE))</f>
        <v>10591.46667</v>
      </c>
      <c r="P21" s="40">
        <f t="shared" ca="1" si="1"/>
        <v>5.4038095255929189E-3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input_503105!A$2</f>
        <v>503105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IFERROR(VLOOKUP(B22,input_503105!L:R,7,FALSE),VLOOKUP(tables_503105!C22,input_503105!A:H,8,FALSE))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input_503105!A$2</f>
        <v>503105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IFERROR(VLOOKUP(B23,input_503105!L:R,7,FALSE),VLOOKUP(tables_503105!C23,input_503105!A:H,8,FALSE))</f>
        <v>10591.46667</v>
      </c>
      <c r="P23" s="40">
        <f t="shared" ca="1" si="1"/>
        <v>5.4038095255929189E-3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input_503105!A$2</f>
        <v>503105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IFERROR(VLOOKUP(B24,input_503105!L:R,7,FALSE),VLOOKUP(tables_503105!C24,input_503105!A:H,8,FALSE))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input_503105!A$2</f>
        <v>503105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IFERROR(VLOOKUP(B25,input_503105!L:R,7,FALSE),VLOOKUP(tables_503105!C25,input_503105!A:H,8,FALSE))</f>
        <v>10591.46667</v>
      </c>
      <c r="P25" s="40">
        <f t="shared" ca="1" si="1"/>
        <v>5.4038095255929189E-3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input_503105!A$2</f>
        <v>503105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IFERROR(VLOOKUP(B26,input_503105!L:R,7,FALSE),VLOOKUP(tables_503105!C26,input_503105!A:H,8,FALSE))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input_503105!A$2</f>
        <v>503105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IFERROR(VLOOKUP(B27,input_503105!L:R,7,FALSE),VLOOKUP(tables_503105!C27,input_503105!A:H,8,FALSE))</f>
        <v>53606</v>
      </c>
      <c r="P27" s="40">
        <f t="shared" ca="1" si="1"/>
        <v>2.7350000000418644E-2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input_503105!A$2</f>
        <v>503105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IFERROR(VLOOKUP(B28,input_503105!L:R,7,FALSE),VLOOKUP(tables_503105!C28,input_503105!A:H,8,FALSE))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input_503105!A$2</f>
        <v>503105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IFERROR(VLOOKUP(B29,input_503105!L:R,7,FALSE),VLOOKUP(tables_503105!C29,input_503105!A:H,8,FALSE))</f>
        <v>10591.46667</v>
      </c>
      <c r="P29" s="40">
        <f t="shared" ca="1" si="1"/>
        <v>5.4038095255929189E-3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input_503105!A$2</f>
        <v>503105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IFERROR(VLOOKUP(B30,input_503105!L:R,7,FALSE),VLOOKUP(tables_503105!C30,input_503105!A:H,8,FALSE))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input_503105!A$2</f>
        <v>503105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IFERROR(VLOOKUP(B31,input_503105!L:R,7,FALSE),VLOOKUP(tables_503105!C31,input_503105!A:H,8,FALSE))</f>
        <v>10591.46667</v>
      </c>
      <c r="P31" s="40">
        <f t="shared" ca="1" si="1"/>
        <v>5.4038095255929189E-3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input_503105!A$2</f>
        <v>503105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IFERROR(VLOOKUP(B32,input_503105!L:R,7,FALSE),VLOOKUP(tables_503105!C32,input_503105!A:H,8,FALSE))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input_503105!A$2</f>
        <v>503105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IFERROR(VLOOKUP(B33,input_503105!L:R,7,FALSE),VLOOKUP(tables_503105!C33,input_503105!A:H,8,FALSE))</f>
        <v>10591.46667</v>
      </c>
      <c r="P33" s="40">
        <f t="shared" ca="1" si="1"/>
        <v>5.4038095255929189E-3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input_503105!A$2</f>
        <v>503105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IFERROR(VLOOKUP(B34,input_503105!L:R,7,FALSE),VLOOKUP(tables_503105!C34,input_503105!A:H,8,FALSE))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input_503105!A$2</f>
        <v>503105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IFERROR(VLOOKUP(B35,input_503105!L:R,7,FALSE),VLOOKUP(tables_503105!C35,input_503105!A:H,8,FALSE))</f>
        <v>53606</v>
      </c>
      <c r="P35" s="40">
        <f t="shared" ca="1" si="1"/>
        <v>2.7350000000418644E-2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input_503105!A$2</f>
        <v>503105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IFERROR(VLOOKUP(B36,input_503105!L:R,7,FALSE),VLOOKUP(tables_503105!C36,input_503105!A:H,8,FALSE))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input_503105!A$2</f>
        <v>503105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IFERROR(VLOOKUP(B37,input_503105!L:R,7,FALSE),VLOOKUP(tables_503105!C37,input_503105!A:H,8,FALSE))</f>
        <v>10591.46667</v>
      </c>
      <c r="P37" s="40">
        <f t="shared" ca="1" si="1"/>
        <v>5.4038095255929189E-3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input_503105!A$2</f>
        <v>503105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IFERROR(VLOOKUP(B38,input_503105!L:R,7,FALSE),VLOOKUP(tables_503105!C38,input_503105!A:H,8,FALSE))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input_503105!A$2</f>
        <v>503105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IFERROR(VLOOKUP(B39,input_503105!L:R,7,FALSE),VLOOKUP(tables_503105!C39,input_503105!A:H,8,FALSE))</f>
        <v>10591.46667</v>
      </c>
      <c r="P39" s="40">
        <f t="shared" ca="1" si="1"/>
        <v>5.4038095255929189E-3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input_503105!A$2</f>
        <v>503105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IFERROR(VLOOKUP(B40,input_503105!L:R,7,FALSE),VLOOKUP(tables_503105!C40,input_503105!A:H,8,FALSE))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input_503105!A$2</f>
        <v>503105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IFERROR(VLOOKUP(B41,input_503105!L:R,7,FALSE),VLOOKUP(tables_503105!C41,input_503105!A:H,8,FALSE))</f>
        <v>10591.46667</v>
      </c>
      <c r="P41" s="40">
        <f t="shared" ca="1" si="1"/>
        <v>5.4038095255929189E-3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input_503105!A$2</f>
        <v>503105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IFERROR(VLOOKUP(B42,input_503105!L:R,7,FALSE),VLOOKUP(tables_503105!C42,input_503105!A:H,8,FALSE))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input_503105!A$2</f>
        <v>503105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IFERROR(VLOOKUP(B43,input_503105!L:R,7,FALSE),VLOOKUP(tables_503105!C43,input_503105!A:H,8,FALSE))</f>
        <v>41189.4</v>
      </c>
      <c r="P43" s="40">
        <f t="shared" ca="1" si="1"/>
        <v>2.1015000000321672E-2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input_503105!A$2</f>
        <v>503105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IFERROR(VLOOKUP(B44,input_503105!L:R,7,FALSE),VLOOKUP(tables_503105!C44,input_503105!A:H,8,FALSE))</f>
        <v>4576.6000000000004</v>
      </c>
      <c r="P44" s="40">
        <f t="shared" ca="1" si="1"/>
        <v>2.3350000000357416E-3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input_503105!A$2</f>
        <v>503105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IFERROR(VLOOKUP(B45,input_503105!L:R,7,FALSE),VLOOKUP(tables_503105!C45,input_503105!A:H,8,FALSE))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input_503105!A$2</f>
        <v>503105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IFERROR(VLOOKUP(B46,input_503105!L:R,7,FALSE),VLOOKUP(tables_503105!C46,input_503105!A:H,8,FALSE))</f>
        <v>9414.7199999999993</v>
      </c>
      <c r="P46" s="40">
        <f t="shared" ca="1" si="1"/>
        <v>4.8034285715020967E-3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input_503105!A$2</f>
        <v>503105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IFERROR(VLOOKUP(B47,input_503105!L:R,7,FALSE),VLOOKUP(tables_503105!C47,input_503105!A:H,8,FALSE))</f>
        <v>1046.08</v>
      </c>
      <c r="P47" s="40">
        <f t="shared" ca="1" si="1"/>
        <v>5.3371428572245516E-4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input_503105!A$2</f>
        <v>503105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IFERROR(VLOOKUP(B48,input_503105!L:R,7,FALSE),VLOOKUP(tables_503105!C48,input_503105!A:H,8,FALSE))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input_503105!A$2</f>
        <v>503105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IFERROR(VLOOKUP(B49,input_503105!L:R,7,FALSE),VLOOKUP(tables_503105!C49,input_503105!A:H,8,FALSE))</f>
        <v>9414.7199999999993</v>
      </c>
      <c r="P49" s="40">
        <f t="shared" ca="1" si="1"/>
        <v>4.8034285715020967E-3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input_503105!A$2</f>
        <v>503105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IFERROR(VLOOKUP(B50,input_503105!L:R,7,FALSE),VLOOKUP(tables_503105!C50,input_503105!A:H,8,FALSE))</f>
        <v>1046.08</v>
      </c>
      <c r="P50" s="40">
        <f t="shared" ca="1" si="1"/>
        <v>5.3371428572245516E-4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input_503105!A$2</f>
        <v>503105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IFERROR(VLOOKUP(B51,input_503105!L:R,7,FALSE),VLOOKUP(tables_503105!C51,input_503105!A:H,8,FALSE))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input_503105!A$2</f>
        <v>503105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IFERROR(VLOOKUP(B52,input_503105!L:R,7,FALSE),VLOOKUP(tables_503105!C52,input_503105!A:H,8,FALSE))</f>
        <v>9411.5319999999992</v>
      </c>
      <c r="P52" s="40">
        <f t="shared" ca="1" si="1"/>
        <v>4.8018020408898262E-3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input_503105!A$2</f>
        <v>503105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IFERROR(VLOOKUP(B53,input_503105!L:R,7,FALSE),VLOOKUP(tables_503105!C53,input_503105!A:H,8,FALSE))</f>
        <v>20.268000000000001</v>
      </c>
      <c r="P53" s="40">
        <f t="shared" ca="1" si="1"/>
        <v>1.0340816326688898E-5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input_503105!A$2</f>
        <v>503105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IFERROR(VLOOKUP(B54,input_503105!L:R,7,FALSE),VLOOKUP(tables_503105!C54,input_503105!A:H,8,FALSE))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input_503105!A$2</f>
        <v>503105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IFERROR(VLOOKUP(B55,input_503105!L:R,7,FALSE),VLOOKUP(tables_503105!C55,input_503105!A:H,8,FALSE))</f>
        <v>39133.440000000002</v>
      </c>
      <c r="P55" s="40">
        <f t="shared" ca="1" si="1"/>
        <v>1.9966040816632148E-2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input_503105!A$2</f>
        <v>503105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IFERROR(VLOOKUP(B56,input_503105!L:R,7,FALSE),VLOOKUP(tables_503105!C56,input_503105!A:H,8,FALSE))</f>
        <v>4576.6000000000004</v>
      </c>
      <c r="P56" s="40">
        <f t="shared" ca="1" si="1"/>
        <v>2.3350000000357416E-3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input_503105!A$2</f>
        <v>503105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IFERROR(VLOOKUP(B57,input_503105!L:R,7,FALSE),VLOOKUP(tables_503105!C57,input_503105!A:H,8,FALSE))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input_503105!A$2</f>
        <v>503105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IFERROR(VLOOKUP(B58,input_503105!L:R,7,FALSE),VLOOKUP(tables_503105!C58,input_503105!A:H,8,FALSE))</f>
        <v>9411.5319999999992</v>
      </c>
      <c r="P58" s="40">
        <f t="shared" ca="1" si="1"/>
        <v>4.8018020408898262E-3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input_503105!A$2</f>
        <v>503105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IFERROR(VLOOKUP(B59,input_503105!L:R,7,FALSE),VLOOKUP(tables_503105!C59,input_503105!A:H,8,FALSE))</f>
        <v>20.268000000000001</v>
      </c>
      <c r="P59" s="40">
        <f t="shared" ca="1" si="1"/>
        <v>1.0340816326688898E-5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input_503105!A$2</f>
        <v>503105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IFERROR(VLOOKUP(B60,input_503105!L:R,7,FALSE),VLOOKUP(tables_503105!C60,input_503105!A:H,8,FALSE))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input_503105!A$2</f>
        <v>503105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IFERROR(VLOOKUP(B61,input_503105!L:R,7,FALSE),VLOOKUP(tables_503105!C61,input_503105!A:H,8,FALSE))</f>
        <v>9411.5319999999992</v>
      </c>
      <c r="P61" s="40">
        <f t="shared" ca="1" si="1"/>
        <v>4.8018020408898262E-3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input_503105!A$2</f>
        <v>503105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IFERROR(VLOOKUP(B62,input_503105!L:R,7,FALSE),VLOOKUP(tables_503105!C62,input_503105!A:H,8,FALSE))</f>
        <v>20.268000000000001</v>
      </c>
      <c r="P62" s="40">
        <f t="shared" ca="1" si="1"/>
        <v>1.0340816326688898E-5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input_503105!A$2</f>
        <v>503105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IFERROR(VLOOKUP(B63,input_503105!L:R,7,FALSE),VLOOKUP(tables_503105!C63,input_503105!A:H,8,FALSE))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input_503105!A$2</f>
        <v>503105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IFERROR(VLOOKUP(B64,input_503105!L:R,7,FALSE),VLOOKUP(tables_503105!C64,input_503105!A:H,8,FALSE))</f>
        <v>9411.5319999999992</v>
      </c>
      <c r="P64" s="40">
        <f t="shared" ca="1" si="1"/>
        <v>4.8018020408898262E-3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input_503105!A$2</f>
        <v>503105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IFERROR(VLOOKUP(B65,input_503105!L:R,7,FALSE),VLOOKUP(tables_503105!C65,input_503105!A:H,8,FALSE))</f>
        <v>20.268000000000001</v>
      </c>
      <c r="P65" s="40">
        <f t="shared" ca="1" si="1"/>
        <v>1.0340816326688898E-5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input_503105!A$2</f>
        <v>503105</v>
      </c>
      <c r="B66" s="6">
        <v>190</v>
      </c>
      <c r="C66" s="7" t="str">
        <f t="shared" ref="C66:C129" si="4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IFERROR(VLOOKUP(B66,input_503105!L:R,7,FALSE),VLOOKUP(tables_503105!C66,input_503105!A:H,8,FALSE))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input_503105!A$2</f>
        <v>503105</v>
      </c>
      <c r="B67" s="6">
        <v>191</v>
      </c>
      <c r="C67" s="7" t="str">
        <f t="shared" si="4"/>
        <v>Premium4color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IFERROR(VLOOKUP(B67,input_503105!L:R,7,FALSE),VLOOKUP(tables_503105!C67,input_503105!A:H,8,FALSE))</f>
        <v>39133.440000000002</v>
      </c>
      <c r="P67" s="40">
        <f t="shared" ca="1" si="5"/>
        <v>1.9966040816632148E-2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input_503105!A$2</f>
        <v>503105</v>
      </c>
      <c r="B68" s="6">
        <v>192</v>
      </c>
      <c r="C68" s="7" t="str">
        <f t="shared" si="4"/>
        <v>Premium5color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IFERROR(VLOOKUP(B68,input_503105!L:R,7,FALSE),VLOOKUP(tables_503105!C68,input_503105!A:H,8,FALSE))</f>
        <v>4576.6000000000004</v>
      </c>
      <c r="P68" s="40">
        <f t="shared" ca="1" si="5"/>
        <v>2.3350000000357416E-3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input_503105!A$2</f>
        <v>503105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IFERROR(VLOOKUP(B69,input_503105!L:R,7,FALSE),VLOOKUP(tables_503105!C69,input_503105!A:H,8,FALSE))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input_503105!A$2</f>
        <v>503105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IFERROR(VLOOKUP(B70,input_503105!L:R,7,FALSE),VLOOKUP(tables_503105!C70,input_503105!A:H,8,FALSE))</f>
        <v>9411.5319999999992</v>
      </c>
      <c r="P70" s="40">
        <f t="shared" ca="1" si="5"/>
        <v>4.8018020408898262E-3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input_503105!A$2</f>
        <v>503105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IFERROR(VLOOKUP(B71,input_503105!L:R,7,FALSE),VLOOKUP(tables_503105!C71,input_503105!A:H,8,FALSE))</f>
        <v>20.268000000000001</v>
      </c>
      <c r="P71" s="40">
        <f t="shared" ca="1" si="5"/>
        <v>1.0340816326688898E-5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input_503105!A$2</f>
        <v>503105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IFERROR(VLOOKUP(B72,input_503105!L:R,7,FALSE),VLOOKUP(tables_503105!C72,input_503105!A:H,8,FALSE))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input_503105!A$2</f>
        <v>503105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IFERROR(VLOOKUP(B73,input_503105!L:R,7,FALSE),VLOOKUP(tables_503105!C73,input_503105!A:H,8,FALSE))</f>
        <v>9411.5319999999992</v>
      </c>
      <c r="P73" s="40">
        <f t="shared" ca="1" si="5"/>
        <v>4.8018020408898262E-3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input_503105!A$2</f>
        <v>503105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IFERROR(VLOOKUP(B74,input_503105!L:R,7,FALSE),VLOOKUP(tables_503105!C74,input_503105!A:H,8,FALSE))</f>
        <v>20.268000000000001</v>
      </c>
      <c r="P74" s="40">
        <f t="shared" ca="1" si="5"/>
        <v>1.0340816326688898E-5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input_503105!A$2</f>
        <v>503105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IFERROR(VLOOKUP(B75,input_503105!L:R,7,FALSE),VLOOKUP(tables_503105!C75,input_503105!A:H,8,FALSE))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input_503105!A$2</f>
        <v>503105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IFERROR(VLOOKUP(B76,input_503105!L:R,7,FALSE),VLOOKUP(tables_503105!C76,input_503105!A:H,8,FALSE))</f>
        <v>9411.5319999999992</v>
      </c>
      <c r="P76" s="40">
        <f t="shared" ca="1" si="5"/>
        <v>4.8018020408898262E-3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input_503105!A$2</f>
        <v>503105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IFERROR(VLOOKUP(B77,input_503105!L:R,7,FALSE),VLOOKUP(tables_503105!C77,input_503105!A:H,8,FALSE))</f>
        <v>20.268000000000001</v>
      </c>
      <c r="P77" s="40">
        <f t="shared" ca="1" si="5"/>
        <v>1.0340816326688898E-5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input_503105!A$2</f>
        <v>503105</v>
      </c>
      <c r="B78" s="5">
        <v>202</v>
      </c>
      <c r="C78" s="7" t="str">
        <f t="shared" si="4"/>
        <v>Premium3color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IFERROR(VLOOKUP(B78,input_503105!L:R,7,FALSE),VLOOKUP(tables_503105!C78,input_503105!A:H,8,FALSE))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input_503105!A$2</f>
        <v>503105</v>
      </c>
      <c r="B79" s="5">
        <v>203</v>
      </c>
      <c r="C79" s="7" t="str">
        <f t="shared" si="4"/>
        <v>Premium4color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IFERROR(VLOOKUP(B79,input_503105!L:R,7,FALSE),VLOOKUP(tables_503105!C79,input_503105!A:H,8,FALSE))</f>
        <v>39133.440000000002</v>
      </c>
      <c r="P79" s="40">
        <f t="shared" ca="1" si="5"/>
        <v>1.9966040816632148E-2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input_503105!A$2</f>
        <v>503105</v>
      </c>
      <c r="B80" s="5">
        <v>204</v>
      </c>
      <c r="C80" s="7" t="str">
        <f t="shared" si="4"/>
        <v>Premium5color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IFERROR(VLOOKUP(B80,input_503105!L:R,7,FALSE),VLOOKUP(tables_503105!C80,input_503105!A:H,8,FALSE))</f>
        <v>4576.6000000000004</v>
      </c>
      <c r="P80" s="40">
        <f t="shared" ca="1" si="5"/>
        <v>2.3350000000357416E-3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input_503105!A$2</f>
        <v>503105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IFERROR(VLOOKUP(B81,input_503105!L:R,7,FALSE),VLOOKUP(tables_503105!C81,input_503105!A:H,8,FALSE))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input_503105!A$2</f>
        <v>503105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IFERROR(VLOOKUP(B82,input_503105!L:R,7,FALSE),VLOOKUP(tables_503105!C82,input_503105!A:H,8,FALSE))</f>
        <v>9411.5319999999992</v>
      </c>
      <c r="P82" s="40">
        <f t="shared" ca="1" si="5"/>
        <v>4.8018020408898262E-3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input_503105!A$2</f>
        <v>503105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IFERROR(VLOOKUP(B83,input_503105!L:R,7,FALSE),VLOOKUP(tables_503105!C83,input_503105!A:H,8,FALSE))</f>
        <v>20.268000000000001</v>
      </c>
      <c r="P83" s="40">
        <f t="shared" ca="1" si="5"/>
        <v>1.0340816326688898E-5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input_503105!A$2</f>
        <v>503105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IFERROR(VLOOKUP(B84,input_503105!L:R,7,FALSE),VLOOKUP(tables_503105!C84,input_503105!A:H,8,FALSE))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input_503105!A$2</f>
        <v>503105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IFERROR(VLOOKUP(B85,input_503105!L:R,7,FALSE),VLOOKUP(tables_503105!C85,input_503105!A:H,8,FALSE))</f>
        <v>9411.5319999999992</v>
      </c>
      <c r="P85" s="40">
        <f t="shared" ca="1" si="5"/>
        <v>4.8018020408898262E-3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input_503105!A$2</f>
        <v>503105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IFERROR(VLOOKUP(B86,input_503105!L:R,7,FALSE),VLOOKUP(tables_503105!C86,input_503105!A:H,8,FALSE))</f>
        <v>20.268000000000001</v>
      </c>
      <c r="P86" s="40">
        <f t="shared" ca="1" si="5"/>
        <v>1.0340816326688898E-5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input_503105!A$2</f>
        <v>503105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IFERROR(VLOOKUP(B87,input_503105!L:R,7,FALSE),VLOOKUP(tables_503105!C87,input_503105!A:H,8,FALSE))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input_503105!A$2</f>
        <v>503105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IFERROR(VLOOKUP(B88,input_503105!L:R,7,FALSE),VLOOKUP(tables_503105!C88,input_503105!A:H,8,FALSE))</f>
        <v>9411.5319999999992</v>
      </c>
      <c r="P88" s="40">
        <f t="shared" ca="1" si="5"/>
        <v>4.8018020408898262E-3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input_503105!A$2</f>
        <v>503105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IFERROR(VLOOKUP(B89,input_503105!L:R,7,FALSE),VLOOKUP(tables_503105!C89,input_503105!A:H,8,FALSE))</f>
        <v>20.268000000000001</v>
      </c>
      <c r="P89" s="40">
        <f t="shared" ca="1" si="5"/>
        <v>1.0340816326688898E-5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input_503105!A$2</f>
        <v>503105</v>
      </c>
      <c r="B90" s="5">
        <v>214</v>
      </c>
      <c r="C90" s="7" t="str">
        <f t="shared" si="4"/>
        <v>Premium3color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IFERROR(VLOOKUP(B90,input_503105!L:R,7,FALSE),VLOOKUP(tables_503105!C90,input_503105!A:H,8,FALSE))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input_503105!A$2</f>
        <v>503105</v>
      </c>
      <c r="B91" s="5">
        <v>215</v>
      </c>
      <c r="C91" s="7" t="str">
        <f t="shared" si="4"/>
        <v>Premium4color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IFERROR(VLOOKUP(B91,input_503105!L:R,7,FALSE),VLOOKUP(tables_503105!C91,input_503105!A:H,8,FALSE))</f>
        <v>39133.440000000002</v>
      </c>
      <c r="P91" s="40">
        <f t="shared" ca="1" si="5"/>
        <v>1.9966040816632148E-2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input_503105!A$2</f>
        <v>503105</v>
      </c>
      <c r="B92" s="5">
        <v>216</v>
      </c>
      <c r="C92" s="7" t="str">
        <f t="shared" si="4"/>
        <v>Premium5color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IFERROR(VLOOKUP(B92,input_503105!L:R,7,FALSE),VLOOKUP(tables_503105!C92,input_503105!A:H,8,FALSE))</f>
        <v>4576.6000000000004</v>
      </c>
      <c r="P92" s="40">
        <f t="shared" ca="1" si="5"/>
        <v>2.3350000000357416E-3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input_503105!A$2</f>
        <v>503105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IFERROR(VLOOKUP(B93,input_503105!L:R,7,FALSE),VLOOKUP(tables_503105!C93,input_503105!A:H,8,FALSE))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input_503105!A$2</f>
        <v>503105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IFERROR(VLOOKUP(B94,input_503105!L:R,7,FALSE),VLOOKUP(tables_503105!C94,input_503105!A:H,8,FALSE))</f>
        <v>9411.5319999999992</v>
      </c>
      <c r="P94" s="40">
        <f t="shared" ca="1" si="5"/>
        <v>4.8018020408898262E-3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input_503105!A$2</f>
        <v>503105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IFERROR(VLOOKUP(B95,input_503105!L:R,7,FALSE),VLOOKUP(tables_503105!C95,input_503105!A:H,8,FALSE))</f>
        <v>20.268000000000001</v>
      </c>
      <c r="P95" s="40">
        <f t="shared" ca="1" si="5"/>
        <v>1.0340816326688898E-5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input_503105!A$2</f>
        <v>503105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IFERROR(VLOOKUP(B96,input_503105!L:R,7,FALSE),VLOOKUP(tables_503105!C96,input_503105!A:H,8,FALSE))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input_503105!A$2</f>
        <v>503105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IFERROR(VLOOKUP(B97,input_503105!L:R,7,FALSE),VLOOKUP(tables_503105!C97,input_503105!A:H,8,FALSE))</f>
        <v>9411.5319999999992</v>
      </c>
      <c r="P97" s="40">
        <f t="shared" ca="1" si="5"/>
        <v>4.8018020408898262E-3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input_503105!A$2</f>
        <v>503105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IFERROR(VLOOKUP(B98,input_503105!L:R,7,FALSE),VLOOKUP(tables_503105!C98,input_503105!A:H,8,FALSE))</f>
        <v>20.268000000000001</v>
      </c>
      <c r="P98" s="40">
        <f t="shared" ca="1" si="5"/>
        <v>1.0340816326688898E-5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input_503105!A$2</f>
        <v>503105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IFERROR(VLOOKUP(B99,input_503105!L:R,7,FALSE),VLOOKUP(tables_503105!C99,input_503105!A:H,8,FALSE))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input_503105!A$2</f>
        <v>503105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IFERROR(VLOOKUP(B100,input_503105!L:R,7,FALSE),VLOOKUP(tables_503105!C100,input_503105!A:H,8,FALSE))</f>
        <v>9411.5319999999992</v>
      </c>
      <c r="P100" s="40">
        <f t="shared" ca="1" si="5"/>
        <v>4.8018020408898262E-3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input_503105!A$2</f>
        <v>503105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IFERROR(VLOOKUP(B101,input_503105!L:R,7,FALSE),VLOOKUP(tables_503105!C101,input_503105!A:H,8,FALSE))</f>
        <v>20.268000000000001</v>
      </c>
      <c r="P101" s="40">
        <f t="shared" ca="1" si="5"/>
        <v>1.0340816326688898E-5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input_503105!A$2</f>
        <v>503105</v>
      </c>
      <c r="B102" s="5">
        <v>226</v>
      </c>
      <c r="C102" s="7" t="str">
        <f t="shared" si="4"/>
        <v>Premium3color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IFERROR(VLOOKUP(B102,input_503105!L:R,7,FALSE),VLOOKUP(tables_503105!C102,input_503105!A:H,8,FALSE))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input_503105!A$2</f>
        <v>503105</v>
      </c>
      <c r="B103" s="5">
        <v>227</v>
      </c>
      <c r="C103" s="7" t="str">
        <f t="shared" si="4"/>
        <v>Premium4color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IFERROR(VLOOKUP(B103,input_503105!L:R,7,FALSE),VLOOKUP(tables_503105!C103,input_503105!A:H,8,FALSE))</f>
        <v>39133.440000000002</v>
      </c>
      <c r="P103" s="40">
        <f t="shared" ca="1" si="5"/>
        <v>1.9966040816632148E-2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input_503105!A$2</f>
        <v>503105</v>
      </c>
      <c r="B104" s="5">
        <v>228</v>
      </c>
      <c r="C104" s="7" t="str">
        <f t="shared" si="4"/>
        <v>Premium5color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IFERROR(VLOOKUP(B104,input_503105!L:R,7,FALSE),VLOOKUP(tables_503105!C104,input_503105!A:H,8,FALSE))</f>
        <v>4576.6000000000004</v>
      </c>
      <c r="P104" s="40">
        <f t="shared" ca="1" si="5"/>
        <v>2.3350000000357416E-3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input_503105!A$2</f>
        <v>503105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IFERROR(VLOOKUP(B105,input_503105!L:R,7,FALSE),VLOOKUP(tables_503105!C105,input_503105!A:H,8,FALSE))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input_503105!A$2</f>
        <v>503105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IFERROR(VLOOKUP(B106,input_503105!L:R,7,FALSE),VLOOKUP(tables_503105!C106,input_503105!A:H,8,FALSE))</f>
        <v>9411.5319999999992</v>
      </c>
      <c r="P106" s="40">
        <f t="shared" ca="1" si="5"/>
        <v>4.8018020408898262E-3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input_503105!A$2</f>
        <v>503105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IFERROR(VLOOKUP(B107,input_503105!L:R,7,FALSE),VLOOKUP(tables_503105!C107,input_503105!A:H,8,FALSE))</f>
        <v>20.268000000000001</v>
      </c>
      <c r="P107" s="40">
        <f t="shared" ca="1" si="5"/>
        <v>1.0340816326688898E-5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input_503105!A$2</f>
        <v>503105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IFERROR(VLOOKUP(B108,input_503105!L:R,7,FALSE),VLOOKUP(tables_503105!C108,input_503105!A:H,8,FALSE))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input_503105!A$2</f>
        <v>503105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IFERROR(VLOOKUP(B109,input_503105!L:R,7,FALSE),VLOOKUP(tables_503105!C109,input_503105!A:H,8,FALSE))</f>
        <v>9411.5319999999992</v>
      </c>
      <c r="P109" s="40">
        <f t="shared" ca="1" si="5"/>
        <v>4.8018020408898262E-3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input_503105!A$2</f>
        <v>503105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IFERROR(VLOOKUP(B110,input_503105!L:R,7,FALSE),VLOOKUP(tables_503105!C110,input_503105!A:H,8,FALSE))</f>
        <v>20.268000000000001</v>
      </c>
      <c r="P110" s="40">
        <f t="shared" ca="1" si="5"/>
        <v>1.0340816326688898E-5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input_503105!A$2</f>
        <v>503105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IFERROR(VLOOKUP(B111,input_503105!L:R,7,FALSE),VLOOKUP(tables_503105!C111,input_503105!A:H,8,FALSE))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input_503105!A$2</f>
        <v>503105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IFERROR(VLOOKUP(B112,input_503105!L:R,7,FALSE),VLOOKUP(tables_503105!C112,input_503105!A:H,8,FALSE))</f>
        <v>9414.7199999999993</v>
      </c>
      <c r="P112" s="40">
        <f t="shared" ca="1" si="5"/>
        <v>4.8034285715020967E-3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input_503105!A$2</f>
        <v>503105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IFERROR(VLOOKUP(B113,input_503105!L:R,7,FALSE),VLOOKUP(tables_503105!C113,input_503105!A:H,8,FALSE))</f>
        <v>1046.08</v>
      </c>
      <c r="P113" s="40">
        <f t="shared" ca="1" si="5"/>
        <v>5.3371428572245516E-4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input_503105!A$2</f>
        <v>503105</v>
      </c>
      <c r="B114" s="5">
        <v>238</v>
      </c>
      <c r="C114" s="7" t="str">
        <f t="shared" si="4"/>
        <v>Premium3color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IFERROR(VLOOKUP(B114,input_503105!L:R,7,FALSE),VLOOKUP(tables_503105!C114,input_503105!A:H,8,FALSE))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input_503105!A$2</f>
        <v>503105</v>
      </c>
      <c r="B115" s="5">
        <v>239</v>
      </c>
      <c r="C115" s="7" t="str">
        <f t="shared" si="4"/>
        <v>Premium4color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IFERROR(VLOOKUP(B115,input_503105!L:R,7,FALSE),VLOOKUP(tables_503105!C115,input_503105!A:H,8,FALSE))</f>
        <v>39133.440000000002</v>
      </c>
      <c r="P115" s="40">
        <f t="shared" ca="1" si="5"/>
        <v>1.9966040816632148E-2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input_503105!A$2</f>
        <v>503105</v>
      </c>
      <c r="B116" s="5">
        <v>240</v>
      </c>
      <c r="C116" s="7" t="str">
        <f t="shared" si="4"/>
        <v>Premium5color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IFERROR(VLOOKUP(B116,input_503105!L:R,7,FALSE),VLOOKUP(tables_503105!C116,input_503105!A:H,8,FALSE))</f>
        <v>4576.6000000000004</v>
      </c>
      <c r="P116" s="40">
        <f t="shared" ca="1" si="5"/>
        <v>2.3350000000357416E-3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input_503105!A$2</f>
        <v>503105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IFERROR(VLOOKUP(B117,input_503105!L:R,7,FALSE),VLOOKUP(tables_503105!C117,input_503105!A:H,8,FALSE))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input_503105!A$2</f>
        <v>503105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IFERROR(VLOOKUP(B118,input_503105!L:R,7,FALSE),VLOOKUP(tables_503105!C118,input_503105!A:H,8,FALSE))</f>
        <v>9411.5319999999992</v>
      </c>
      <c r="P118" s="40">
        <f t="shared" ca="1" si="5"/>
        <v>4.8018020408898262E-3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input_503105!A$2</f>
        <v>503105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IFERROR(VLOOKUP(B119,input_503105!L:R,7,FALSE),VLOOKUP(tables_503105!C119,input_503105!A:H,8,FALSE))</f>
        <v>20.268000000000001</v>
      </c>
      <c r="P119" s="40">
        <f t="shared" ca="1" si="5"/>
        <v>1.0340816326688898E-5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input_503105!A$2</f>
        <v>503105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IFERROR(VLOOKUP(B120,input_503105!L:R,7,FALSE),VLOOKUP(tables_503105!C120,input_503105!A:H,8,FALSE))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input_503105!A$2</f>
        <v>503105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IFERROR(VLOOKUP(B121,input_503105!L:R,7,FALSE),VLOOKUP(tables_503105!C121,input_503105!A:H,8,FALSE))</f>
        <v>9411.5319999999992</v>
      </c>
      <c r="P121" s="40">
        <f t="shared" ca="1" si="5"/>
        <v>4.8018020408898262E-3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input_503105!A$2</f>
        <v>503105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IFERROR(VLOOKUP(B122,input_503105!L:R,7,FALSE),VLOOKUP(tables_503105!C122,input_503105!A:H,8,FALSE))</f>
        <v>20.268000000000001</v>
      </c>
      <c r="P122" s="40">
        <f t="shared" ca="1" si="5"/>
        <v>1.0340816326688898E-5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input_503105!A$2</f>
        <v>503105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IFERROR(VLOOKUP(B123,input_503105!L:R,7,FALSE),VLOOKUP(tables_503105!C123,input_503105!A:H,8,FALSE))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input_503105!A$2</f>
        <v>503105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IFERROR(VLOOKUP(B124,input_503105!L:R,7,FALSE),VLOOKUP(tables_503105!C124,input_503105!A:H,8,FALSE))</f>
        <v>9411.5319999999992</v>
      </c>
      <c r="P124" s="40">
        <f t="shared" ca="1" si="5"/>
        <v>4.8018020408898262E-3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input_503105!A$2</f>
        <v>503105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IFERROR(VLOOKUP(B125,input_503105!L:R,7,FALSE),VLOOKUP(tables_503105!C125,input_503105!A:H,8,FALSE))</f>
        <v>20.268000000000001</v>
      </c>
      <c r="P125" s="40">
        <f t="shared" ca="1" si="5"/>
        <v>1.0340816326688898E-5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input_503105!A$2</f>
        <v>503105</v>
      </c>
      <c r="B126" s="6">
        <v>250</v>
      </c>
      <c r="C126" s="7" t="str">
        <f t="shared" si="4"/>
        <v>Premium3color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IFERROR(VLOOKUP(B126,input_503105!L:R,7,FALSE),VLOOKUP(tables_503105!C126,input_503105!A:H,8,FALSE))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input_503105!A$2</f>
        <v>503105</v>
      </c>
      <c r="B127" s="6">
        <v>251</v>
      </c>
      <c r="C127" s="7" t="str">
        <f t="shared" si="4"/>
        <v>Premium4color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IFERROR(VLOOKUP(B127,input_503105!L:R,7,FALSE),VLOOKUP(tables_503105!C127,input_503105!A:H,8,FALSE))</f>
        <v>39133.440000000002</v>
      </c>
      <c r="P127" s="40">
        <f t="shared" ca="1" si="5"/>
        <v>1.9966040816632148E-2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input_503105!A$2</f>
        <v>503105</v>
      </c>
      <c r="B128" s="6">
        <v>252</v>
      </c>
      <c r="C128" s="7" t="str">
        <f t="shared" si="4"/>
        <v>Premium5color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IFERROR(VLOOKUP(B128,input_503105!L:R,7,FALSE),VLOOKUP(tables_503105!C128,input_503105!A:H,8,FALSE))</f>
        <v>4576.6000000000004</v>
      </c>
      <c r="P128" s="40">
        <f t="shared" ca="1" si="5"/>
        <v>2.3350000000357416E-3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input_503105!A$2</f>
        <v>503105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IFERROR(VLOOKUP(B129,input_503105!L:R,7,FALSE),VLOOKUP(tables_503105!C129,input_503105!A:H,8,FALSE))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input_503105!A$2</f>
        <v>503105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IFERROR(VLOOKUP(B130,input_503105!L:R,7,FALSE),VLOOKUP(tables_503105!C130,input_503105!A:H,8,FALSE))</f>
        <v>9411.5319999999992</v>
      </c>
      <c r="P130" s="40">
        <f t="shared" ref="P130:P193" ca="1" si="9">O130/SUM(O:O)</f>
        <v>4.8018020408898262E-3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input_503105!A$2</f>
        <v>503105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IFERROR(VLOOKUP(B131,input_503105!L:R,7,FALSE),VLOOKUP(tables_503105!C131,input_503105!A:H,8,FALSE))</f>
        <v>20.268000000000001</v>
      </c>
      <c r="P131" s="40">
        <f t="shared" ca="1" si="9"/>
        <v>1.0340816326688898E-5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input_503105!A$2</f>
        <v>503105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IFERROR(VLOOKUP(B132,input_503105!L:R,7,FALSE),VLOOKUP(tables_503105!C132,input_503105!A:H,8,FALSE))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input_503105!A$2</f>
        <v>503105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IFERROR(VLOOKUP(B133,input_503105!L:R,7,FALSE),VLOOKUP(tables_503105!C133,input_503105!A:H,8,FALSE))</f>
        <v>9411.5319999999992</v>
      </c>
      <c r="P133" s="40">
        <f t="shared" ca="1" si="9"/>
        <v>4.8018020408898262E-3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input_503105!A$2</f>
        <v>503105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IFERROR(VLOOKUP(B134,input_503105!L:R,7,FALSE),VLOOKUP(tables_503105!C134,input_503105!A:H,8,FALSE))</f>
        <v>20.268000000000001</v>
      </c>
      <c r="P134" s="40">
        <f t="shared" ca="1" si="9"/>
        <v>1.0340816326688898E-5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input_503105!A$2</f>
        <v>503105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IFERROR(VLOOKUP(B135,input_503105!L:R,7,FALSE),VLOOKUP(tables_503105!C135,input_503105!A:H,8,FALSE))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input_503105!A$2</f>
        <v>503105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IFERROR(VLOOKUP(B136,input_503105!L:R,7,FALSE),VLOOKUP(tables_503105!C136,input_503105!A:H,8,FALSE))</f>
        <v>9411.5319999999992</v>
      </c>
      <c r="P136" s="40">
        <f t="shared" ca="1" si="9"/>
        <v>4.8018020408898262E-3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input_503105!A$2</f>
        <v>503105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IFERROR(VLOOKUP(B137,input_503105!L:R,7,FALSE),VLOOKUP(tables_503105!C137,input_503105!A:H,8,FALSE))</f>
        <v>20.268000000000001</v>
      </c>
      <c r="P137" s="40">
        <f t="shared" ca="1" si="9"/>
        <v>1.0340816326688898E-5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input_503105!A$2</f>
        <v>503105</v>
      </c>
      <c r="B138" s="6">
        <v>320</v>
      </c>
      <c r="C138" s="7" t="str">
        <f t="shared" si="8"/>
        <v>PremiumSS4color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IFERROR(VLOOKUP(B138,input_503105!L:R,7,FALSE),VLOOKUP(tables_503105!C138,input_503105!A:H,8,FALSE))</f>
        <v>2399.04</v>
      </c>
      <c r="P138" s="40">
        <f t="shared" ca="1" si="9"/>
        <v>1.2240000000187355E-3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input_503105!A$2</f>
        <v>503105</v>
      </c>
      <c r="B139" s="6">
        <v>321</v>
      </c>
      <c r="C139" s="7" t="str">
        <f t="shared" si="8"/>
        <v>PremiumSS5color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IFERROR(VLOOKUP(B139,input_503105!L:R,7,FALSE),VLOOKUP(tables_503105!C139,input_503105!A:H,8,FALSE))</f>
        <v>266.56</v>
      </c>
      <c r="P139" s="40">
        <f t="shared" ca="1" si="9"/>
        <v>1.3600000000208172E-4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input_503105!A$2</f>
        <v>503105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IFERROR(VLOOKUP(B140,input_503105!L:R,7,FALSE),VLOOKUP(tables_503105!C140,input_503105!A:H,8,FALSE))</f>
        <v>489.6</v>
      </c>
      <c r="P140" s="40">
        <f t="shared" ca="1" si="9"/>
        <v>2.4979591837117054E-4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input_503105!A$2</f>
        <v>503105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IFERROR(VLOOKUP(B141,input_503105!L:R,7,FALSE),VLOOKUP(tables_503105!C141,input_503105!A:H,8,FALSE))</f>
        <v>54.4</v>
      </c>
      <c r="P141" s="40">
        <f t="shared" ca="1" si="9"/>
        <v>2.7755102041241167E-5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input_503105!A$2</f>
        <v>503105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IFERROR(VLOOKUP(B142,input_503105!L:R,7,FALSE),VLOOKUP(tables_503105!C142,input_503105!A:H,8,FALSE))</f>
        <v>489.6</v>
      </c>
      <c r="P142" s="40">
        <f t="shared" ca="1" si="9"/>
        <v>2.4979591837117054E-4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input_503105!A$2</f>
        <v>503105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IFERROR(VLOOKUP(B143,input_503105!L:R,7,FALSE),VLOOKUP(tables_503105!C143,input_503105!A:H,8,FALSE))</f>
        <v>54.4</v>
      </c>
      <c r="P143" s="40">
        <f t="shared" ca="1" si="9"/>
        <v>2.7755102041241167E-5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input_503105!A$2</f>
        <v>503105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IFERROR(VLOOKUP(B144,input_503105!L:R,7,FALSE),VLOOKUP(tables_503105!C144,input_503105!A:H,8,FALSE))</f>
        <v>489.6</v>
      </c>
      <c r="P144" s="40">
        <f t="shared" ca="1" si="9"/>
        <v>2.4979591837117054E-4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input_503105!A$2</f>
        <v>503105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IFERROR(VLOOKUP(B145,input_503105!L:R,7,FALSE),VLOOKUP(tables_503105!C145,input_503105!A:H,8,FALSE))</f>
        <v>54.4</v>
      </c>
      <c r="P145" s="40">
        <f t="shared" ca="1" si="9"/>
        <v>2.7755102041241167E-5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input_503105!A$2</f>
        <v>503105</v>
      </c>
      <c r="B146" s="6">
        <v>380</v>
      </c>
      <c r="C146" s="7" t="str">
        <f t="shared" si="8"/>
        <v>Premium3color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IFERROR(VLOOKUP(B146,input_503105!L:R,7,FALSE),VLOOKUP(tables_503105!C146,input_503105!A:H,8,FALSE))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input_503105!A$2</f>
        <v>503105</v>
      </c>
      <c r="B147" s="6">
        <v>381</v>
      </c>
      <c r="C147" s="7" t="str">
        <f t="shared" si="8"/>
        <v>Premium4color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IFERROR(VLOOKUP(B147,input_503105!L:R,7,FALSE),VLOOKUP(tables_503105!C147,input_503105!A:H,8,FALSE))</f>
        <v>39133.440000000002</v>
      </c>
      <c r="P147" s="40">
        <f t="shared" ca="1" si="9"/>
        <v>1.9966040816632148E-2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input_503105!A$2</f>
        <v>503105</v>
      </c>
      <c r="B148" s="6">
        <v>382</v>
      </c>
      <c r="C148" s="7" t="str">
        <f t="shared" si="8"/>
        <v>Premium5color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IFERROR(VLOOKUP(B148,input_503105!L:R,7,FALSE),VLOOKUP(tables_503105!C148,input_503105!A:H,8,FALSE))</f>
        <v>4576.6000000000004</v>
      </c>
      <c r="P148" s="40">
        <f t="shared" ca="1" si="9"/>
        <v>2.3350000000357416E-3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input_503105!A$2</f>
        <v>503105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IFERROR(VLOOKUP(B149,input_503105!L:R,7,FALSE),VLOOKUP(tables_503105!C149,input_503105!A:H,8,FALSE))</f>
        <v>489.6</v>
      </c>
      <c r="P149" s="40">
        <f t="shared" ca="1" si="9"/>
        <v>2.4979591837117054E-4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input_503105!A$2</f>
        <v>503105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IFERROR(VLOOKUP(B150,input_503105!L:R,7,FALSE),VLOOKUP(tables_503105!C150,input_503105!A:H,8,FALSE))</f>
        <v>54.4</v>
      </c>
      <c r="P150" s="40">
        <f t="shared" ca="1" si="9"/>
        <v>2.7755102041241167E-5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input_503105!A$2</f>
        <v>503105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IFERROR(VLOOKUP(B151,input_503105!L:R,7,FALSE),VLOOKUP(tables_503105!C151,input_503105!A:H,8,FALSE))</f>
        <v>489.6</v>
      </c>
      <c r="P151" s="40">
        <f t="shared" ca="1" si="9"/>
        <v>2.4979591837117054E-4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input_503105!A$2</f>
        <v>503105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IFERROR(VLOOKUP(B152,input_503105!L:R,7,FALSE),VLOOKUP(tables_503105!C152,input_503105!A:H,8,FALSE))</f>
        <v>54.4</v>
      </c>
      <c r="P152" s="40">
        <f t="shared" ca="1" si="9"/>
        <v>2.7755102041241167E-5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input_503105!A$2</f>
        <v>503105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IFERROR(VLOOKUP(B153,input_503105!L:R,7,FALSE),VLOOKUP(tables_503105!C153,input_503105!A:H,8,FALSE))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input_503105!A$2</f>
        <v>503105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IFERROR(VLOOKUP(B154,input_503105!L:R,7,FALSE),VLOOKUP(tables_503105!C154,input_503105!A:H,8,FALSE))</f>
        <v>9411.5319999999992</v>
      </c>
      <c r="P154" s="40">
        <f t="shared" ca="1" si="9"/>
        <v>4.8018020408898262E-3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input_503105!A$2</f>
        <v>503105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IFERROR(VLOOKUP(B155,input_503105!L:R,7,FALSE),VLOOKUP(tables_503105!C155,input_503105!A:H,8,FALSE))</f>
        <v>20.268000000000001</v>
      </c>
      <c r="P155" s="40">
        <f t="shared" ca="1" si="9"/>
        <v>1.0340816326688898E-5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input_503105!A$2</f>
        <v>503105</v>
      </c>
      <c r="B156" s="6">
        <v>390</v>
      </c>
      <c r="C156" s="7" t="str">
        <f t="shared" si="8"/>
        <v>PremiumSS4color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IFERROR(VLOOKUP(B156,input_503105!L:R,7,FALSE),VLOOKUP(tables_503105!C156,input_503105!A:H,8,FALSE))</f>
        <v>2399.04</v>
      </c>
      <c r="P156" s="40">
        <f t="shared" ca="1" si="9"/>
        <v>1.2240000000187355E-3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input_503105!A$2</f>
        <v>503105</v>
      </c>
      <c r="B157" s="6">
        <v>391</v>
      </c>
      <c r="C157" s="7" t="str">
        <f t="shared" si="8"/>
        <v>PremiumSS5color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IFERROR(VLOOKUP(B157,input_503105!L:R,7,FALSE),VLOOKUP(tables_503105!C157,input_503105!A:H,8,FALSE))</f>
        <v>266.56</v>
      </c>
      <c r="P157" s="40">
        <f t="shared" ca="1" si="9"/>
        <v>1.3600000000208172E-4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input_503105!A$2</f>
        <v>503105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IFERROR(VLOOKUP(B158,input_503105!L:R,7,FALSE),VLOOKUP(tables_503105!C158,input_503105!A:H,8,FALSE))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input_503105!A$2</f>
        <v>503105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IFERROR(VLOOKUP(B159,input_503105!L:R,7,FALSE),VLOOKUP(tables_503105!C159,input_503105!A:H,8,FALSE))</f>
        <v>9411.5319999999992</v>
      </c>
      <c r="P159" s="40">
        <f t="shared" ca="1" si="9"/>
        <v>4.8018020408898262E-3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input_503105!A$2</f>
        <v>503105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IFERROR(VLOOKUP(B160,input_503105!L:R,7,FALSE),VLOOKUP(tables_503105!C160,input_503105!A:H,8,FALSE))</f>
        <v>20.268000000000001</v>
      </c>
      <c r="P160" s="40">
        <f t="shared" ca="1" si="9"/>
        <v>1.0340816326688898E-5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input_503105!A$2</f>
        <v>503105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IFERROR(VLOOKUP(B161,input_503105!L:R,7,FALSE),VLOOKUP(tables_503105!C161,input_503105!A:H,8,FALSE))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input_503105!A$2</f>
        <v>503105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IFERROR(VLOOKUP(B162,input_503105!L:R,7,FALSE),VLOOKUP(tables_503105!C162,input_503105!A:H,8,FALSE))</f>
        <v>9411.5319999999992</v>
      </c>
      <c r="P162" s="40">
        <f t="shared" ca="1" si="9"/>
        <v>4.8018020408898262E-3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input_503105!A$2</f>
        <v>503105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IFERROR(VLOOKUP(B163,input_503105!L:R,7,FALSE),VLOOKUP(tables_503105!C163,input_503105!A:H,8,FALSE))</f>
        <v>20.268000000000001</v>
      </c>
      <c r="P163" s="40">
        <f t="shared" ca="1" si="9"/>
        <v>1.0340816326688898E-5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input_503105!A$2</f>
        <v>503105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IFERROR(VLOOKUP(B164,input_503105!L:R,7,FALSE),VLOOKUP(tables_503105!C164,input_503105!A:H,8,FALSE))</f>
        <v>489.6</v>
      </c>
      <c r="P164" s="40">
        <f t="shared" ca="1" si="9"/>
        <v>2.4979591837117054E-4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input_503105!A$2</f>
        <v>503105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IFERROR(VLOOKUP(B165,input_503105!L:R,7,FALSE),VLOOKUP(tables_503105!C165,input_503105!A:H,8,FALSE))</f>
        <v>54.4</v>
      </c>
      <c r="P165" s="40">
        <f t="shared" ca="1" si="9"/>
        <v>2.7755102041241167E-5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input_503105!A$2</f>
        <v>503105</v>
      </c>
      <c r="B166" s="6">
        <v>400</v>
      </c>
      <c r="C166" s="7" t="str">
        <f t="shared" si="8"/>
        <v>Premium3color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IFERROR(VLOOKUP(B166,input_503105!L:R,7,FALSE),VLOOKUP(tables_503105!C166,input_503105!A:H,8,FALSE))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input_503105!A$2</f>
        <v>503105</v>
      </c>
      <c r="B167" s="6">
        <v>401</v>
      </c>
      <c r="C167" s="7" t="str">
        <f t="shared" si="8"/>
        <v>Premium4color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IFERROR(VLOOKUP(B167,input_503105!L:R,7,FALSE),VLOOKUP(tables_503105!C167,input_503105!A:H,8,FALSE))</f>
        <v>39133.440000000002</v>
      </c>
      <c r="P167" s="40">
        <f t="shared" ca="1" si="9"/>
        <v>1.9966040816632148E-2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input_503105!A$2</f>
        <v>503105</v>
      </c>
      <c r="B168" s="6">
        <v>402</v>
      </c>
      <c r="C168" s="7" t="str">
        <f t="shared" si="8"/>
        <v>Premium5color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IFERROR(VLOOKUP(B168,input_503105!L:R,7,FALSE),VLOOKUP(tables_503105!C168,input_503105!A:H,8,FALSE))</f>
        <v>4576.6000000000004</v>
      </c>
      <c r="P168" s="40">
        <f t="shared" ca="1" si="9"/>
        <v>2.3350000000357416E-3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input_503105!A$2</f>
        <v>503105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IFERROR(VLOOKUP(B169,input_503105!L:R,7,FALSE),VLOOKUP(tables_503105!C169,input_503105!A:H,8,FALSE))</f>
        <v>489.6</v>
      </c>
      <c r="P169" s="40">
        <f t="shared" ca="1" si="9"/>
        <v>2.4979591837117054E-4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input_503105!A$2</f>
        <v>503105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IFERROR(VLOOKUP(B170,input_503105!L:R,7,FALSE),VLOOKUP(tables_503105!C170,input_503105!A:H,8,FALSE))</f>
        <v>54.4</v>
      </c>
      <c r="P170" s="40">
        <f t="shared" ca="1" si="9"/>
        <v>2.7755102041241167E-5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input_503105!A$2</f>
        <v>503105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IFERROR(VLOOKUP(B171,input_503105!L:R,7,FALSE),VLOOKUP(tables_503105!C171,input_503105!A:H,8,FALSE))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input_503105!A$2</f>
        <v>503105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IFERROR(VLOOKUP(B172,input_503105!L:R,7,FALSE),VLOOKUP(tables_503105!C172,input_503105!A:H,8,FALSE))</f>
        <v>9411.5319999999992</v>
      </c>
      <c r="P172" s="40">
        <f t="shared" ca="1" si="9"/>
        <v>4.8018020408898262E-3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input_503105!A$2</f>
        <v>503105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IFERROR(VLOOKUP(B173,input_503105!L:R,7,FALSE),VLOOKUP(tables_503105!C173,input_503105!A:H,8,FALSE))</f>
        <v>20.268000000000001</v>
      </c>
      <c r="P173" s="40">
        <f t="shared" ca="1" si="9"/>
        <v>1.0340816326688898E-5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input_503105!A$2</f>
        <v>503105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IFERROR(VLOOKUP(B174,input_503105!L:R,7,FALSE),VLOOKUP(tables_503105!C174,input_503105!A:H,8,FALSE))</f>
        <v>489.6</v>
      </c>
      <c r="P174" s="40">
        <f t="shared" ca="1" si="9"/>
        <v>2.4979591837117054E-4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input_503105!A$2</f>
        <v>503105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IFERROR(VLOOKUP(B175,input_503105!L:R,7,FALSE),VLOOKUP(tables_503105!C175,input_503105!A:H,8,FALSE))</f>
        <v>54.4</v>
      </c>
      <c r="P175" s="40">
        <f t="shared" ca="1" si="9"/>
        <v>2.7755102041241167E-5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input_503105!A$2</f>
        <v>503105</v>
      </c>
      <c r="B176" s="6">
        <v>434</v>
      </c>
      <c r="C176" s="7" t="str">
        <f t="shared" si="8"/>
        <v>PremiumSS4color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IFERROR(VLOOKUP(B176,input_503105!L:R,7,FALSE),VLOOKUP(tables_503105!C176,input_503105!A:H,8,FALSE))</f>
        <v>2399.04</v>
      </c>
      <c r="P176" s="40">
        <f t="shared" ca="1" si="9"/>
        <v>1.2240000000187355E-3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input_503105!A$2</f>
        <v>503105</v>
      </c>
      <c r="B177" s="6">
        <v>435</v>
      </c>
      <c r="C177" s="7" t="str">
        <f t="shared" si="8"/>
        <v>PremiumSS5color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IFERROR(VLOOKUP(B177,input_503105!L:R,7,FALSE),VLOOKUP(tables_503105!C177,input_503105!A:H,8,FALSE))</f>
        <v>266.56</v>
      </c>
      <c r="P177" s="40">
        <f t="shared" ca="1" si="9"/>
        <v>1.3600000000208172E-4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input_503105!A$2</f>
        <v>503105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IFERROR(VLOOKUP(B178,input_503105!L:R,7,FALSE),VLOOKUP(tables_503105!C178,input_503105!A:H,8,FALSE))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input_503105!A$2</f>
        <v>503105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IFERROR(VLOOKUP(B179,input_503105!L:R,7,FALSE),VLOOKUP(tables_503105!C179,input_503105!A:H,8,FALSE))</f>
        <v>9411.5319999999992</v>
      </c>
      <c r="P179" s="40">
        <f t="shared" ca="1" si="9"/>
        <v>4.8018020408898262E-3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input_503105!A$2</f>
        <v>503105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IFERROR(VLOOKUP(B180,input_503105!L:R,7,FALSE),VLOOKUP(tables_503105!C180,input_503105!A:H,8,FALSE))</f>
        <v>20.268000000000001</v>
      </c>
      <c r="P180" s="40">
        <f t="shared" ca="1" si="9"/>
        <v>1.0340816326688898E-5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input_503105!A$2</f>
        <v>503105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IFERROR(VLOOKUP(B181,input_503105!L:R,7,FALSE),VLOOKUP(tables_503105!C181,input_503105!A:H,8,FALSE))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input_503105!A$2</f>
        <v>503105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IFERROR(VLOOKUP(B182,input_503105!L:R,7,FALSE),VLOOKUP(tables_503105!C182,input_503105!A:H,8,FALSE))</f>
        <v>9411.5319999999992</v>
      </c>
      <c r="P182" s="40">
        <f t="shared" ca="1" si="9"/>
        <v>4.8018020408898262E-3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input_503105!A$2</f>
        <v>503105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IFERROR(VLOOKUP(B183,input_503105!L:R,7,FALSE),VLOOKUP(tables_503105!C183,input_503105!A:H,8,FALSE))</f>
        <v>20.268000000000001</v>
      </c>
      <c r="P183" s="40">
        <f t="shared" ca="1" si="9"/>
        <v>1.0340816326688898E-5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input_503105!A$2</f>
        <v>503105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IFERROR(VLOOKUP(B184,input_503105!L:R,7,FALSE),VLOOKUP(tables_503105!C184,input_503105!A:H,8,FALSE))</f>
        <v>489.6</v>
      </c>
      <c r="P184" s="40">
        <f t="shared" ca="1" si="9"/>
        <v>2.4979591837117054E-4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input_503105!A$2</f>
        <v>503105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IFERROR(VLOOKUP(B185,input_503105!L:R,7,FALSE),VLOOKUP(tables_503105!C185,input_503105!A:H,8,FALSE))</f>
        <v>54.4</v>
      </c>
      <c r="P185" s="40">
        <f t="shared" ca="1" si="9"/>
        <v>2.7755102041241167E-5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input_503105!A$2</f>
        <v>503105</v>
      </c>
      <c r="B186" s="8">
        <v>462</v>
      </c>
      <c r="C186" s="7" t="str">
        <f t="shared" si="8"/>
        <v>Premium3color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IFERROR(VLOOKUP(B186,input_503105!L:R,7,FALSE),VLOOKUP(tables_503105!C186,input_503105!A:H,8,FALSE))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input_503105!A$2</f>
        <v>503105</v>
      </c>
      <c r="B187" s="8">
        <v>463</v>
      </c>
      <c r="C187" s="7" t="str">
        <f t="shared" si="8"/>
        <v>Premium4color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IFERROR(VLOOKUP(B187,input_503105!L:R,7,FALSE),VLOOKUP(tables_503105!C187,input_503105!A:H,8,FALSE))</f>
        <v>39133.440000000002</v>
      </c>
      <c r="P187" s="40">
        <f t="shared" ca="1" si="9"/>
        <v>1.9966040816632148E-2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input_503105!A$2</f>
        <v>503105</v>
      </c>
      <c r="B188" s="8">
        <v>464</v>
      </c>
      <c r="C188" s="7" t="str">
        <f t="shared" si="8"/>
        <v>Premium5color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IFERROR(VLOOKUP(B188,input_503105!L:R,7,FALSE),VLOOKUP(tables_503105!C188,input_503105!A:H,8,FALSE))</f>
        <v>4576.6000000000004</v>
      </c>
      <c r="P188" s="40">
        <f t="shared" ca="1" si="9"/>
        <v>2.3350000000357416E-3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input_503105!A$2</f>
        <v>503105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IFERROR(VLOOKUP(B189,input_503105!L:R,7,FALSE),VLOOKUP(tables_503105!C189,input_503105!A:H,8,FALSE))</f>
        <v>489.6</v>
      </c>
      <c r="P189" s="40">
        <f t="shared" ca="1" si="9"/>
        <v>2.4979591837117054E-4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input_503105!A$2</f>
        <v>503105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IFERROR(VLOOKUP(B190,input_503105!L:R,7,FALSE),VLOOKUP(tables_503105!C190,input_503105!A:H,8,FALSE))</f>
        <v>54.4</v>
      </c>
      <c r="P190" s="40">
        <f t="shared" ca="1" si="9"/>
        <v>2.7755102041241167E-5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input_503105!A$2</f>
        <v>503105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IFERROR(VLOOKUP(B191,input_503105!L:R,7,FALSE),VLOOKUP(tables_503105!C191,input_503105!A:H,8,FALSE))</f>
        <v>489.6</v>
      </c>
      <c r="P191" s="40">
        <f t="shared" ca="1" si="9"/>
        <v>2.4979591837117054E-4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input_503105!A$2</f>
        <v>503105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IFERROR(VLOOKUP(B192,input_503105!L:R,7,FALSE),VLOOKUP(tables_503105!C192,input_503105!A:H,8,FALSE))</f>
        <v>54.4</v>
      </c>
      <c r="P192" s="40">
        <f t="shared" ca="1" si="9"/>
        <v>2.7755102041241167E-5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input_503105!A$2</f>
        <v>503105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IFERROR(VLOOKUP(B193,input_503105!L:R,7,FALSE),VLOOKUP(tables_503105!C193,input_503105!A:H,8,FALSE))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input_503105!A$2</f>
        <v>503105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IFERROR(VLOOKUP(B194,input_503105!L:R,7,FALSE),VLOOKUP(tables_503105!C194,input_503105!A:H,8,FALSE))</f>
        <v>9411.5319999999992</v>
      </c>
      <c r="P194" s="40">
        <f t="shared" ref="P194:P257" ca="1" si="13">O194/SUM(O:O)</f>
        <v>4.8018020408898262E-3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input_503105!A$2</f>
        <v>503105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IFERROR(VLOOKUP(B195,input_503105!L:R,7,FALSE),VLOOKUP(tables_503105!C195,input_503105!A:H,8,FALSE))</f>
        <v>20.268000000000001</v>
      </c>
      <c r="P195" s="40">
        <f t="shared" ca="1" si="13"/>
        <v>1.0340816326688898E-5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input_503105!A$2</f>
        <v>503105</v>
      </c>
      <c r="B196" s="6">
        <v>474</v>
      </c>
      <c r="C196" s="7" t="str">
        <f t="shared" si="12"/>
        <v>PremiumSS4color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IFERROR(VLOOKUP(B196,input_503105!L:R,7,FALSE),VLOOKUP(tables_503105!C196,input_503105!A:H,8,FALSE))</f>
        <v>2399.04</v>
      </c>
      <c r="P196" s="40">
        <f t="shared" ca="1" si="13"/>
        <v>1.2240000000187355E-3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input_503105!A$2</f>
        <v>503105</v>
      </c>
      <c r="B197" s="6">
        <v>475</v>
      </c>
      <c r="C197" s="7" t="str">
        <f t="shared" si="12"/>
        <v>PremiumSS5color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IFERROR(VLOOKUP(B197,input_503105!L:R,7,FALSE),VLOOKUP(tables_503105!C197,input_503105!A:H,8,FALSE))</f>
        <v>266.56</v>
      </c>
      <c r="P197" s="40">
        <f t="shared" ca="1" si="13"/>
        <v>1.3600000000208172E-4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input_503105!A$2</f>
        <v>503105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IFERROR(VLOOKUP(B198,input_503105!L:R,7,FALSE),VLOOKUP(tables_503105!C198,input_503105!A:H,8,FALSE))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input_503105!A$2</f>
        <v>503105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IFERROR(VLOOKUP(B199,input_503105!L:R,7,FALSE),VLOOKUP(tables_503105!C199,input_503105!A:H,8,FALSE))</f>
        <v>9411.5319999999992</v>
      </c>
      <c r="P199" s="40">
        <f t="shared" ca="1" si="13"/>
        <v>4.8018020408898262E-3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input_503105!A$2</f>
        <v>503105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IFERROR(VLOOKUP(B200,input_503105!L:R,7,FALSE),VLOOKUP(tables_503105!C200,input_503105!A:H,8,FALSE))</f>
        <v>20.268000000000001</v>
      </c>
      <c r="P200" s="40">
        <f t="shared" ca="1" si="13"/>
        <v>1.0340816326688898E-5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input_503105!A$2</f>
        <v>503105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IFERROR(VLOOKUP(B201,input_503105!L:R,7,FALSE),VLOOKUP(tables_503105!C201,input_503105!A:H,8,FALSE))</f>
        <v>489.6</v>
      </c>
      <c r="P201" s="40">
        <f t="shared" ca="1" si="13"/>
        <v>2.4979591837117054E-4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input_503105!A$2</f>
        <v>503105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IFERROR(VLOOKUP(B202,input_503105!L:R,7,FALSE),VLOOKUP(tables_503105!C202,input_503105!A:H,8,FALSE))</f>
        <v>54.4</v>
      </c>
      <c r="P202" s="40">
        <f t="shared" ca="1" si="13"/>
        <v>2.7755102041241167E-5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input_503105!A$2</f>
        <v>503105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IFERROR(VLOOKUP(B203,input_503105!L:R,7,FALSE),VLOOKUP(tables_503105!C203,input_503105!A:H,8,FALSE))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input_503105!A$2</f>
        <v>503105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IFERROR(VLOOKUP(B204,input_503105!L:R,7,FALSE),VLOOKUP(tables_503105!C204,input_503105!A:H,8,FALSE))</f>
        <v>9411.5319999999992</v>
      </c>
      <c r="P204" s="40">
        <f t="shared" ca="1" si="13"/>
        <v>4.8018020408898262E-3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input_503105!A$2</f>
        <v>503105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IFERROR(VLOOKUP(B205,input_503105!L:R,7,FALSE),VLOOKUP(tables_503105!C205,input_503105!A:H,8,FALSE))</f>
        <v>20.268000000000001</v>
      </c>
      <c r="P205" s="40">
        <f t="shared" ca="1" si="13"/>
        <v>1.0340816326688898E-5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input_503105!A$2</f>
        <v>503105</v>
      </c>
      <c r="B206" s="6">
        <v>492</v>
      </c>
      <c r="C206" s="7" t="str">
        <f t="shared" si="12"/>
        <v>PremiumSS4color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IFERROR(VLOOKUP(B206,input_503105!L:R,7,FALSE),VLOOKUP(tables_503105!C206,input_503105!A:H,8,FALSE))</f>
        <v>2399.04</v>
      </c>
      <c r="P206" s="40">
        <f t="shared" ca="1" si="13"/>
        <v>1.2240000000187355E-3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input_503105!A$2</f>
        <v>503105</v>
      </c>
      <c r="B207" s="6">
        <v>493</v>
      </c>
      <c r="C207" s="7" t="str">
        <f t="shared" si="12"/>
        <v>PremiumSS5color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IFERROR(VLOOKUP(B207,input_503105!L:R,7,FALSE),VLOOKUP(tables_503105!C207,input_503105!A:H,8,FALSE))</f>
        <v>266.56</v>
      </c>
      <c r="P207" s="40">
        <f t="shared" ca="1" si="13"/>
        <v>1.3600000000208172E-4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input_503105!A$2</f>
        <v>503105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IFERROR(VLOOKUP(B208,input_503105!L:R,7,FALSE),VLOOKUP(tables_503105!C208,input_503105!A:H,8,FALSE))</f>
        <v>489.6</v>
      </c>
      <c r="P208" s="40">
        <f t="shared" ca="1" si="13"/>
        <v>2.4979591837117054E-4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input_503105!A$2</f>
        <v>503105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IFERROR(VLOOKUP(B209,input_503105!L:R,7,FALSE),VLOOKUP(tables_503105!C209,input_503105!A:H,8,FALSE))</f>
        <v>54.4</v>
      </c>
      <c r="P209" s="40">
        <f t="shared" ca="1" si="13"/>
        <v>2.7755102041241167E-5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input_503105!A$2</f>
        <v>503105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IFERROR(VLOOKUP(B210,input_503105!L:R,7,FALSE),VLOOKUP(tables_503105!C210,input_503105!A:H,8,FALSE))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input_503105!A$2</f>
        <v>503105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IFERROR(VLOOKUP(B211,input_503105!L:R,7,FALSE),VLOOKUP(tables_503105!C211,input_503105!A:H,8,FALSE))</f>
        <v>9411.5319999999992</v>
      </c>
      <c r="P211" s="40">
        <f t="shared" ca="1" si="13"/>
        <v>4.8018020408898262E-3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input_503105!A$2</f>
        <v>503105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IFERROR(VLOOKUP(B212,input_503105!L:R,7,FALSE),VLOOKUP(tables_503105!C212,input_503105!A:H,8,FALSE))</f>
        <v>20.268000000000001</v>
      </c>
      <c r="P212" s="40">
        <f t="shared" ca="1" si="13"/>
        <v>1.0340816326688898E-5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input_503105!A$2</f>
        <v>503105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IFERROR(VLOOKUP(B213,input_503105!L:R,7,FALSE),VLOOKUP(tables_503105!C213,input_503105!A:H,8,FALSE))</f>
        <v>489.6</v>
      </c>
      <c r="P213" s="40">
        <f t="shared" ca="1" si="13"/>
        <v>2.4979591837117054E-4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input_503105!A$2</f>
        <v>503105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IFERROR(VLOOKUP(B214,input_503105!L:R,7,FALSE),VLOOKUP(tables_503105!C214,input_503105!A:H,8,FALSE))</f>
        <v>54.4</v>
      </c>
      <c r="P214" s="40">
        <f t="shared" ca="1" si="13"/>
        <v>2.7755102041241167E-5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input_503105!A$2</f>
        <v>503105</v>
      </c>
      <c r="B215" s="6">
        <v>560</v>
      </c>
      <c r="C215" s="7" t="str">
        <f t="shared" si="12"/>
        <v>premium5R3lesscolor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IFERROR(VLOOKUP(B215,input_503105!L:R,7,FALSE),VLOOKUP(tables_503105!C215,input_503105!A:H,8,FALSE))</f>
        <v>4576.6000000000004</v>
      </c>
      <c r="P215" s="40">
        <f t="shared" ca="1" si="13"/>
        <v>2.3350000000357416E-3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input_503105!A$2</f>
        <v>503105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IFERROR(VLOOKUP(B216,input_503105!L:R,7,FALSE),VLOOKUP(tables_503105!C216,input_503105!A:H,8,FALSE))</f>
        <v>8.4329400000000003</v>
      </c>
      <c r="P216" s="40">
        <f t="shared" ca="1" si="13"/>
        <v>4.3025204082291235E-6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input_503105!A$2</f>
        <v>503105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IFERROR(VLOOKUP(B217,input_503105!L:R,7,FALSE),VLOOKUP(tables_503105!C217,input_503105!A:H,8,FALSE))</f>
        <v>8.4329400000000003</v>
      </c>
      <c r="P217" s="40">
        <f t="shared" ca="1" si="13"/>
        <v>4.3025204082291235E-6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input_503105!A$2</f>
        <v>503105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IFERROR(VLOOKUP(B218,input_503105!L:R,7,FALSE),VLOOKUP(tables_503105!C218,input_503105!A:H,8,FALSE))</f>
        <v>8.4329400000000003</v>
      </c>
      <c r="P218" s="40">
        <f t="shared" ca="1" si="13"/>
        <v>4.3025204082291235E-6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input_503105!A$2</f>
        <v>503105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IFERROR(VLOOKUP(B219,input_503105!L:R,7,FALSE),VLOOKUP(tables_503105!C219,input_503105!A:H,8,FALSE))</f>
        <v>8.4329400000000003</v>
      </c>
      <c r="P219" s="40">
        <f t="shared" ca="1" si="13"/>
        <v>4.3025204082291235E-6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input_503105!A$2</f>
        <v>503105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IFERROR(VLOOKUP(B220,input_503105!L:R,7,FALSE),VLOOKUP(tables_503105!C220,input_503105!A:H,8,FALSE))</f>
        <v>8.4329400000000003</v>
      </c>
      <c r="P220" s="40">
        <f t="shared" ca="1" si="13"/>
        <v>4.3025204082291235E-6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input_503105!A$2</f>
        <v>503105</v>
      </c>
      <c r="B221" s="6">
        <v>586</v>
      </c>
      <c r="C221" s="7" t="str">
        <f t="shared" si="12"/>
        <v>PremiumSS4color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>color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IFERROR(VLOOKUP(B221,input_503105!L:R,7,FALSE),VLOOKUP(tables_503105!C221,input_503105!A:H,8,FALSE))</f>
        <v>2399.04</v>
      </c>
      <c r="P221" s="40">
        <f t="shared" ca="1" si="13"/>
        <v>1.2240000000187355E-3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input_503105!A$2</f>
        <v>503105</v>
      </c>
      <c r="B222" s="6">
        <v>587</v>
      </c>
      <c r="C222" s="7" t="str">
        <f t="shared" si="12"/>
        <v>PremiumSS5color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IFERROR(VLOOKUP(B222,input_503105!L:R,7,FALSE),VLOOKUP(tables_503105!C222,input_503105!A:H,8,FALSE))</f>
        <v>266.56</v>
      </c>
      <c r="P222" s="40">
        <f t="shared" ca="1" si="13"/>
        <v>1.3600000000208172E-4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input_503105!A$2</f>
        <v>503105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IFERROR(VLOOKUP(B223,input_503105!L:R,7,FALSE),VLOOKUP(tables_503105!C223,input_503105!A:H,8,FALSE))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input_503105!A$2</f>
        <v>503105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IFERROR(VLOOKUP(B224,input_503105!L:R,7,FALSE),VLOOKUP(tables_503105!C224,input_503105!A:H,8,FALSE))</f>
        <v>9411.5319999999992</v>
      </c>
      <c r="P224" s="40">
        <f t="shared" ca="1" si="13"/>
        <v>4.8018020408898262E-3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input_503105!A$2</f>
        <v>503105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IFERROR(VLOOKUP(B225,input_503105!L:R,7,FALSE),VLOOKUP(tables_503105!C225,input_503105!A:H,8,FALSE))</f>
        <v>20.268000000000001</v>
      </c>
      <c r="P225" s="40">
        <f t="shared" ca="1" si="13"/>
        <v>1.0340816326688898E-5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input_503105!A$2</f>
        <v>503105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IFERROR(VLOOKUP(B226,input_503105!L:R,7,FALSE),VLOOKUP(tables_503105!C226,input_503105!A:H,8,FALSE))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input_503105!A$2</f>
        <v>503105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IFERROR(VLOOKUP(B227,input_503105!L:R,7,FALSE),VLOOKUP(tables_503105!C227,input_503105!A:H,8,FALSE))</f>
        <v>9411.5319999999992</v>
      </c>
      <c r="P227" s="40">
        <f t="shared" ca="1" si="13"/>
        <v>4.8018020408898262E-3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input_503105!A$2</f>
        <v>503105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IFERROR(VLOOKUP(B228,input_503105!L:R,7,FALSE),VLOOKUP(tables_503105!C228,input_503105!A:H,8,FALSE))</f>
        <v>20.268000000000001</v>
      </c>
      <c r="P228" s="40">
        <f t="shared" ca="1" si="13"/>
        <v>1.0340816326688898E-5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input_503105!A$2</f>
        <v>503105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IFERROR(VLOOKUP(B229,input_503105!L:R,7,FALSE),VLOOKUP(tables_503105!C229,input_503105!A:H,8,FALSE))</f>
        <v>489.6</v>
      </c>
      <c r="P229" s="40">
        <f t="shared" ca="1" si="13"/>
        <v>2.4979591837117054E-4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input_503105!A$2</f>
        <v>503105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IFERROR(VLOOKUP(B230,input_503105!L:R,7,FALSE),VLOOKUP(tables_503105!C230,input_503105!A:H,8,FALSE))</f>
        <v>54.4</v>
      </c>
      <c r="P230" s="40">
        <f t="shared" ca="1" si="13"/>
        <v>2.7755102041241167E-5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input_503105!A$2</f>
        <v>503105</v>
      </c>
      <c r="B231" s="6">
        <v>596</v>
      </c>
      <c r="C231" s="7" t="str">
        <f t="shared" si="12"/>
        <v>Premium3color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>color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IFERROR(VLOOKUP(B231,input_503105!L:R,7,FALSE),VLOOKUP(tables_503105!C231,input_503105!A:H,8,FALSE))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input_503105!A$2</f>
        <v>503105</v>
      </c>
      <c r="B232" s="6">
        <v>597</v>
      </c>
      <c r="C232" s="7" t="str">
        <f t="shared" si="12"/>
        <v>Premium4color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IFERROR(VLOOKUP(B232,input_503105!L:R,7,FALSE),VLOOKUP(tables_503105!C232,input_503105!A:H,8,FALSE))</f>
        <v>39133.440000000002</v>
      </c>
      <c r="P232" s="40">
        <f t="shared" ca="1" si="13"/>
        <v>1.9966040816632148E-2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input_503105!A$2</f>
        <v>503105</v>
      </c>
      <c r="B233" s="6">
        <v>598</v>
      </c>
      <c r="C233" s="7" t="str">
        <f t="shared" si="12"/>
        <v>Premium5color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IFERROR(VLOOKUP(B233,input_503105!L:R,7,FALSE),VLOOKUP(tables_503105!C233,input_503105!A:H,8,FALSE))</f>
        <v>4576.6000000000004</v>
      </c>
      <c r="P233" s="40">
        <f t="shared" ca="1" si="13"/>
        <v>2.3350000000357416E-3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input_503105!A$2</f>
        <v>503105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IFERROR(VLOOKUP(B234,input_503105!L:R,7,FALSE),VLOOKUP(tables_503105!C234,input_503105!A:H,8,FALSE))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input_503105!A$2</f>
        <v>503105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IFERROR(VLOOKUP(B235,input_503105!L:R,7,FALSE),VLOOKUP(tables_503105!C235,input_503105!A:H,8,FALSE))</f>
        <v>9411.5319999999992</v>
      </c>
      <c r="P235" s="40">
        <f t="shared" ca="1" si="13"/>
        <v>4.8018020408898262E-3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input_503105!A$2</f>
        <v>503105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IFERROR(VLOOKUP(B236,input_503105!L:R,7,FALSE),VLOOKUP(tables_503105!C236,input_503105!A:H,8,FALSE))</f>
        <v>20.268000000000001</v>
      </c>
      <c r="P236" s="40">
        <f t="shared" ca="1" si="13"/>
        <v>1.0340816326688898E-5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input_503105!A$2</f>
        <v>503105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IFERROR(VLOOKUP(B237,input_503105!L:R,7,FALSE),VLOOKUP(tables_503105!C237,input_503105!A:H,8,FALSE))</f>
        <v>489.6</v>
      </c>
      <c r="P237" s="40">
        <f t="shared" ca="1" si="13"/>
        <v>2.4979591837117054E-4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input_503105!A$2</f>
        <v>503105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IFERROR(VLOOKUP(B238,input_503105!L:R,7,FALSE),VLOOKUP(tables_503105!C238,input_503105!A:H,8,FALSE))</f>
        <v>54.4</v>
      </c>
      <c r="P238" s="40">
        <f t="shared" ca="1" si="13"/>
        <v>2.7755102041241167E-5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input_503105!A$2</f>
        <v>503105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IFERROR(VLOOKUP(B239,input_503105!L:R,7,FALSE),VLOOKUP(tables_503105!C239,input_503105!A:H,8,FALSE))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input_503105!A$2</f>
        <v>503105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IFERROR(VLOOKUP(B240,input_503105!L:R,7,FALSE),VLOOKUP(tables_503105!C240,input_503105!A:H,8,FALSE))</f>
        <v>9411.5319999999992</v>
      </c>
      <c r="P240" s="40">
        <f t="shared" ca="1" si="13"/>
        <v>4.8018020408898262E-3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input_503105!A$2</f>
        <v>503105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IFERROR(VLOOKUP(B241,input_503105!L:R,7,FALSE),VLOOKUP(tables_503105!C241,input_503105!A:H,8,FALSE))</f>
        <v>20.268000000000001</v>
      </c>
      <c r="P241" s="40">
        <f t="shared" ca="1" si="13"/>
        <v>1.0340816326688898E-5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input_503105!A$2</f>
        <v>503105</v>
      </c>
      <c r="B242" s="6">
        <v>658</v>
      </c>
      <c r="C242" s="7" t="str">
        <f t="shared" si="12"/>
        <v>PremiumSS4color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IFERROR(VLOOKUP(B242,input_503105!L:R,7,FALSE),VLOOKUP(tables_503105!C242,input_503105!A:H,8,FALSE))</f>
        <v>2399.04</v>
      </c>
      <c r="P242" s="40">
        <f t="shared" ca="1" si="13"/>
        <v>1.2240000000187355E-3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input_503105!A$2</f>
        <v>503105</v>
      </c>
      <c r="B243" s="6">
        <v>659</v>
      </c>
      <c r="C243" s="7" t="str">
        <f t="shared" si="12"/>
        <v>PremiumSS5color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IFERROR(VLOOKUP(B243,input_503105!L:R,7,FALSE),VLOOKUP(tables_503105!C243,input_503105!A:H,8,FALSE))</f>
        <v>266.56</v>
      </c>
      <c r="P243" s="40">
        <f t="shared" ca="1" si="13"/>
        <v>1.3600000000208172E-4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input_503105!A$2</f>
        <v>503105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IFERROR(VLOOKUP(B244,input_503105!L:R,7,FALSE),VLOOKUP(tables_503105!C244,input_503105!A:H,8,FALSE))</f>
        <v>489.6</v>
      </c>
      <c r="P244" s="40">
        <f t="shared" ca="1" si="13"/>
        <v>2.4979591837117054E-4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input_503105!A$2</f>
        <v>503105</v>
      </c>
      <c r="B245" s="52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IFERROR(VLOOKUP(B245,input_503105!L:R,7,FALSE),VLOOKUP(tables_503105!C245,input_503105!A:H,8,FALSE))</f>
        <v>54.4</v>
      </c>
      <c r="P245" s="40">
        <f t="shared" ca="1" si="13"/>
        <v>2.7755102041241167E-5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input_503105!A$2</f>
        <v>503105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IFERROR(VLOOKUP(B246,input_503105!L:R,7,FALSE),VLOOKUP(tables_503105!C246,input_503105!A:H,8,FALSE))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input_503105!A$2</f>
        <v>503105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IFERROR(VLOOKUP(B247,input_503105!L:R,7,FALSE),VLOOKUP(tables_503105!C247,input_503105!A:H,8,FALSE))</f>
        <v>9411.5319999999992</v>
      </c>
      <c r="P247" s="40">
        <f t="shared" ca="1" si="13"/>
        <v>4.8018020408898262E-3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input_503105!A$2</f>
        <v>503105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IFERROR(VLOOKUP(B248,input_503105!L:R,7,FALSE),VLOOKUP(tables_503105!C248,input_503105!A:H,8,FALSE))</f>
        <v>20.268000000000001</v>
      </c>
      <c r="P248" s="40">
        <f t="shared" ca="1" si="13"/>
        <v>1.0340816326688898E-5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input_503105!A$2</f>
        <v>503105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IFERROR(VLOOKUP(B249,input_503105!L:R,7,FALSE),VLOOKUP(tables_503105!C249,input_503105!A:H,8,FALSE))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input_503105!A$2</f>
        <v>503105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IFERROR(VLOOKUP(B250,input_503105!L:R,7,FALSE),VLOOKUP(tables_503105!C250,input_503105!A:H,8,FALSE))</f>
        <v>9411.5319999999992</v>
      </c>
      <c r="P250" s="40">
        <f t="shared" ca="1" si="13"/>
        <v>4.8018020408898262E-3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input_503105!A$2</f>
        <v>503105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IFERROR(VLOOKUP(B251,input_503105!L:R,7,FALSE),VLOOKUP(tables_503105!C251,input_503105!A:H,8,FALSE))</f>
        <v>20.268000000000001</v>
      </c>
      <c r="P251" s="40">
        <f t="shared" ca="1" si="13"/>
        <v>1.0340816326688898E-5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input_503105!A$2</f>
        <v>503105</v>
      </c>
      <c r="B252" s="52">
        <v>668</v>
      </c>
      <c r="C252" s="7" t="str">
        <f t="shared" si="12"/>
        <v>Premium3color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>color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IFERROR(VLOOKUP(B252,input_503105!L:R,7,FALSE),VLOOKUP(tables_503105!C252,input_503105!A:H,8,FALSE))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input_503105!A$2</f>
        <v>503105</v>
      </c>
      <c r="B253" s="52">
        <v>669</v>
      </c>
      <c r="C253" s="7" t="str">
        <f t="shared" si="12"/>
        <v>Premium4color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IFERROR(VLOOKUP(B253,input_503105!L:R,7,FALSE),VLOOKUP(tables_503105!C253,input_503105!A:H,8,FALSE))</f>
        <v>39133.440000000002</v>
      </c>
      <c r="P253" s="40">
        <f t="shared" ca="1" si="13"/>
        <v>1.9966040816632148E-2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input_503105!A$2</f>
        <v>503105</v>
      </c>
      <c r="B254" s="52">
        <v>670</v>
      </c>
      <c r="C254" s="7" t="str">
        <f t="shared" si="12"/>
        <v>Premium5color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IFERROR(VLOOKUP(B254,input_503105!L:R,7,FALSE),VLOOKUP(tables_503105!C254,input_503105!A:H,8,FALSE))</f>
        <v>4576.6000000000004</v>
      </c>
      <c r="P254" s="40">
        <f t="shared" ca="1" si="13"/>
        <v>2.3350000000357416E-3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input_503105!A$2</f>
        <v>503105</v>
      </c>
      <c r="B255" s="52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IFERROR(VLOOKUP(B255,input_503105!L:R,7,FALSE),VLOOKUP(tables_503105!C255,input_503105!A:H,8,FALSE))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input_503105!A$2</f>
        <v>503105</v>
      </c>
      <c r="B256" s="52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IFERROR(VLOOKUP(B256,input_503105!L:R,7,FALSE),VLOOKUP(tables_503105!C256,input_503105!A:H,8,FALSE))</f>
        <v>9411.5319999999992</v>
      </c>
      <c r="P256" s="40">
        <f t="shared" ca="1" si="13"/>
        <v>4.8018020408898262E-3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input_503105!A$2</f>
        <v>503105</v>
      </c>
      <c r="B257" s="52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IFERROR(VLOOKUP(B257,input_503105!L:R,7,FALSE),VLOOKUP(tables_503105!C257,input_503105!A:H,8,FALSE))</f>
        <v>20.268000000000001</v>
      </c>
      <c r="P257" s="40">
        <f t="shared" ca="1" si="13"/>
        <v>1.0340816326688898E-5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input_503105!A$2</f>
        <v>503105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IFERROR(VLOOKUP(B258,input_503105!L:R,7,FALSE),VLOOKUP(tables_503105!C258,input_503105!A:H,8,FALSE))</f>
        <v>489.6</v>
      </c>
      <c r="P258" s="40">
        <f t="shared" ref="P258:P305" ca="1" si="17">O258/SUM(O:O)</f>
        <v>2.4979591837117054E-4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input_503105!A$2</f>
        <v>503105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IF(K259="red","color","")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IFERROR(VLOOKUP(B259,input_503105!L:R,7,FALSE),VLOOKUP(tables_503105!C259,input_503105!A:H,8,FALSE))</f>
        <v>54.4</v>
      </c>
      <c r="P259" s="40">
        <f t="shared" ca="1" si="17"/>
        <v>2.7755102041241167E-5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input_503105!A$2</f>
        <v>503105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IFERROR(VLOOKUP(B260,input_503105!L:R,7,FALSE),VLOOKUP(tables_503105!C260,input_503105!A:H,8,FALSE))</f>
        <v>489.6</v>
      </c>
      <c r="P260" s="40">
        <f t="shared" ca="1" si="17"/>
        <v>2.4979591837117054E-4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input_503105!A$2</f>
        <v>503105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IFERROR(VLOOKUP(B261,input_503105!L:R,7,FALSE),VLOOKUP(tables_503105!C261,input_503105!A:H,8,FALSE))</f>
        <v>54.4</v>
      </c>
      <c r="P261" s="40">
        <f t="shared" ca="1" si="17"/>
        <v>2.7755102041241167E-5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input_503105!A$2</f>
        <v>503105</v>
      </c>
      <c r="B262" s="52">
        <v>728</v>
      </c>
      <c r="C262" s="7" t="str">
        <f t="shared" si="16"/>
        <v>Premium4R3lesscolor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IFERROR(VLOOKUP(B262,input_503105!L:R,7,FALSE),VLOOKUP(tables_503105!C262,input_503105!A:H,8,FALSE))</f>
        <v>33914.553330000002</v>
      </c>
      <c r="P262" s="40">
        <f t="shared" ca="1" si="17"/>
        <v>1.7303343535979145E-2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input_503105!A$2</f>
        <v>503105</v>
      </c>
      <c r="B263" s="52">
        <v>729</v>
      </c>
      <c r="C263" s="7" t="str">
        <f t="shared" si="16"/>
        <v>Premium5R3lesscolor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>color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IFERROR(VLOOKUP(B263,input_503105!L:R,7,FALSE),VLOOKUP(tables_503105!C263,input_503105!A:H,8,FALSE))</f>
        <v>4576.6000000000004</v>
      </c>
      <c r="P263" s="40">
        <f t="shared" ca="1" si="17"/>
        <v>2.3350000000357416E-3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input_503105!A$2</f>
        <v>503105</v>
      </c>
      <c r="B264" s="52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IFERROR(VLOOKUP(B264,input_503105!L:R,7,FALSE),VLOOKUP(tables_503105!C264,input_503105!A:H,8,FALSE))</f>
        <v>15760.85333</v>
      </c>
      <c r="P264" s="40">
        <f t="shared" ca="1" si="17"/>
        <v>8.0412516991026778E-3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input_503105!A$2</f>
        <v>503105</v>
      </c>
      <c r="B265" s="52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IFERROR(VLOOKUP(B265,input_503105!L:R,7,FALSE),VLOOKUP(tables_503105!C265,input_503105!A:H,8,FALSE))</f>
        <v>8.4329400000000003</v>
      </c>
      <c r="P265" s="40">
        <f t="shared" ca="1" si="17"/>
        <v>4.3025204082291235E-6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input_503105!A$2</f>
        <v>503105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IFERROR(VLOOKUP(B266,input_503105!L:R,7,FALSE),VLOOKUP(tables_503105!C266,input_503105!A:H,8,FALSE))</f>
        <v>544</v>
      </c>
      <c r="P266" s="40">
        <f t="shared" ca="1" si="17"/>
        <v>2.7755102041241168E-4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input_503105!A$2</f>
        <v>503105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IFERROR(VLOOKUP(B267,input_503105!L:R,7,FALSE),VLOOKUP(tables_503105!C267,input_503105!A:H,8,FALSE))</f>
        <v>544</v>
      </c>
      <c r="P267" s="40">
        <f t="shared" ca="1" si="17"/>
        <v>2.7755102041241168E-4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input_503105!A$2</f>
        <v>503105</v>
      </c>
      <c r="B268" s="52">
        <v>742</v>
      </c>
      <c r="C268" s="7" t="str">
        <f t="shared" si="16"/>
        <v>PremiumSS5R5onlycolor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IFERROR(VLOOKUP(B268,input_503105!L:R,7,FALSE),VLOOKUP(tables_503105!C268,input_503105!A:H,8,FALSE))</f>
        <v>6184.4</v>
      </c>
      <c r="P268" s="40">
        <f t="shared" ca="1" si="17"/>
        <v>3.1553061224972772E-3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input_503105!A$2</f>
        <v>503105</v>
      </c>
      <c r="B269" s="52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IFERROR(VLOOKUP(B269,input_503105!L:R,7,FALSE),VLOOKUP(tables_503105!C269,input_503105!A:H,8,FALSE))</f>
        <v>544</v>
      </c>
      <c r="P269" s="40">
        <f t="shared" ca="1" si="17"/>
        <v>2.7755102041241168E-4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input_503105!A$2</f>
        <v>503105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IFERROR(VLOOKUP(B270,input_503105!L:R,7,FALSE),VLOOKUP(tables_503105!C270,input_503105!A:H,8,FALSE))</f>
        <v>15760.85333</v>
      </c>
      <c r="P270" s="40">
        <f t="shared" ca="1" si="17"/>
        <v>8.0412516991026778E-3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input_503105!A$2</f>
        <v>503105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IFERROR(VLOOKUP(B271,input_503105!L:R,7,FALSE),VLOOKUP(tables_503105!C271,input_503105!A:H,8,FALSE))</f>
        <v>8.4329400000000003</v>
      </c>
      <c r="P271" s="40">
        <f t="shared" ca="1" si="17"/>
        <v>4.3025204082291235E-6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input_503105!A$2</f>
        <v>503105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IFERROR(VLOOKUP(B272,input_503105!L:R,7,FALSE),VLOOKUP(tables_503105!C272,input_503105!A:H,8,FALSE))</f>
        <v>15760.85333</v>
      </c>
      <c r="P272" s="40">
        <f t="shared" ca="1" si="17"/>
        <v>8.0412516991026778E-3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input_503105!A$2</f>
        <v>503105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IFERROR(VLOOKUP(B273,input_503105!L:R,7,FALSE),VLOOKUP(tables_503105!C273,input_503105!A:H,8,FALSE))</f>
        <v>8.4329400000000003</v>
      </c>
      <c r="P273" s="40">
        <f t="shared" ca="1" si="17"/>
        <v>4.3025204082291235E-6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input_503105!A$2</f>
        <v>503105</v>
      </c>
      <c r="B274" s="72">
        <v>770</v>
      </c>
      <c r="C274" s="7" t="str">
        <f t="shared" si="16"/>
        <v>PremiumSS4color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>color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IFERROR(VLOOKUP(B274,input_503105!L:R,7,FALSE),VLOOKUP(tables_503105!C274,input_503105!A:H,8,FALSE))</f>
        <v>2399.04</v>
      </c>
      <c r="P274" s="40">
        <f t="shared" ca="1" si="17"/>
        <v>1.2240000000187355E-3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input_503105!A$2</f>
        <v>503105</v>
      </c>
      <c r="B275" s="72">
        <v>771</v>
      </c>
      <c r="C275" s="7" t="str">
        <f t="shared" si="16"/>
        <v>PremiumSS5color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IFERROR(VLOOKUP(B275,input_503105!L:R,7,FALSE),VLOOKUP(tables_503105!C275,input_503105!A:H,8,FALSE))</f>
        <v>266.56</v>
      </c>
      <c r="P275" s="40">
        <f t="shared" ca="1" si="17"/>
        <v>1.3600000000208172E-4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input_503105!A$2</f>
        <v>503105</v>
      </c>
      <c r="B276" s="7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IFERROR(VLOOKUP(B276,input_503105!L:R,7,FALSE),VLOOKUP(tables_503105!C276,input_503105!A:H,8,FALSE))</f>
        <v>489.6</v>
      </c>
      <c r="P276" s="40">
        <f t="shared" ca="1" si="17"/>
        <v>2.4979591837117054E-4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input_503105!A$2</f>
        <v>503105</v>
      </c>
      <c r="B277" s="7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IFERROR(VLOOKUP(B277,input_503105!L:R,7,FALSE),VLOOKUP(tables_503105!C277,input_503105!A:H,8,FALSE))</f>
        <v>54.4</v>
      </c>
      <c r="P277" s="40">
        <f t="shared" ca="1" si="17"/>
        <v>2.7755102041241167E-5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input_503105!A$2</f>
        <v>503105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IFERROR(VLOOKUP(B278,input_503105!L:R,7,FALSE),VLOOKUP(tables_503105!C278,input_503105!A:H,8,FALSE))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input_503105!A$2</f>
        <v>503105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IFERROR(VLOOKUP(B279,input_503105!L:R,7,FALSE),VLOOKUP(tables_503105!C279,input_503105!A:H,8,FALSE))</f>
        <v>9411.5319999999992</v>
      </c>
      <c r="P279" s="40">
        <f t="shared" ca="1" si="17"/>
        <v>4.8018020408898262E-3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input_503105!A$2</f>
        <v>503105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IFERROR(VLOOKUP(B280,input_503105!L:R,7,FALSE),VLOOKUP(tables_503105!C280,input_503105!A:H,8,FALSE))</f>
        <v>20.268000000000001</v>
      </c>
      <c r="P280" s="40">
        <f t="shared" ca="1" si="17"/>
        <v>1.0340816326688898E-5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input_503105!A$2</f>
        <v>503105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IFERROR(VLOOKUP(B281,input_503105!L:R,7,FALSE),VLOOKUP(tables_503105!C281,input_503105!A:H,8,FALSE))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input_503105!A$2</f>
        <v>503105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IFERROR(VLOOKUP(B282,input_503105!L:R,7,FALSE),VLOOKUP(tables_503105!C282,input_503105!A:H,8,FALSE))</f>
        <v>9411.5319999999992</v>
      </c>
      <c r="P282" s="40">
        <f t="shared" ca="1" si="17"/>
        <v>4.8018020408898262E-3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input_503105!A$2</f>
        <v>503105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IFERROR(VLOOKUP(B283,input_503105!L:R,7,FALSE),VLOOKUP(tables_503105!C283,input_503105!A:H,8,FALSE))</f>
        <v>20.268000000000001</v>
      </c>
      <c r="P283" s="40">
        <f t="shared" ca="1" si="17"/>
        <v>1.0340816326688898E-5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input_503105!A$2</f>
        <v>503105</v>
      </c>
      <c r="B284" s="5">
        <v>848</v>
      </c>
      <c r="C284" s="7" t="str">
        <f t="shared" si="16"/>
        <v>PremiumSS5R5onlycolor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>color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IFERROR(VLOOKUP(B284,input_503105!L:R,7,FALSE),VLOOKUP(tables_503105!C284,input_503105!A:H,8,FALSE))</f>
        <v>6184.4</v>
      </c>
      <c r="P284" s="40">
        <f t="shared" ca="1" si="17"/>
        <v>3.1553061224972772E-3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input_503105!A$2</f>
        <v>503105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IFERROR(VLOOKUP(B285,input_503105!L:R,7,FALSE),VLOOKUP(tables_503105!C285,input_503105!A:H,8,FALSE))</f>
        <v>544</v>
      </c>
      <c r="P285" s="40">
        <f t="shared" ca="1" si="17"/>
        <v>2.7755102041241168E-4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input_503105!A$2</f>
        <v>503105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IFERROR(VLOOKUP(B286,input_503105!L:R,7,FALSE),VLOOKUP(tables_503105!C286,input_503105!A:H,8,FALSE))</f>
        <v>15760.85333</v>
      </c>
      <c r="P286" s="40">
        <f t="shared" ca="1" si="17"/>
        <v>8.0412516991026778E-3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input_503105!A$2</f>
        <v>503105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IFERROR(VLOOKUP(B287,input_503105!L:R,7,FALSE),VLOOKUP(tables_503105!C287,input_503105!A:H,8,FALSE))</f>
        <v>8.4329400000000003</v>
      </c>
      <c r="P287" s="40">
        <f t="shared" ca="1" si="17"/>
        <v>4.3025204082291235E-6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input_503105!A$2</f>
        <v>503105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IFERROR(VLOOKUP(B288,input_503105!L:R,7,FALSE),VLOOKUP(tables_503105!C288,input_503105!A:H,8,FALSE))</f>
        <v>15760.85333</v>
      </c>
      <c r="P288" s="40">
        <f t="shared" ca="1" si="17"/>
        <v>8.0412516991026778E-3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input_503105!A$2</f>
        <v>503105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IFERROR(VLOOKUP(B289,input_503105!L:R,7,FALSE),VLOOKUP(tables_503105!C289,input_503105!A:H,8,FALSE))</f>
        <v>8.4329400000000003</v>
      </c>
      <c r="P289" s="40">
        <f t="shared" ca="1" si="17"/>
        <v>4.3025204082291235E-6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input_503105!A$2</f>
        <v>503105</v>
      </c>
      <c r="B290" s="5">
        <v>862</v>
      </c>
      <c r="C290" s="7" t="str">
        <f t="shared" si="16"/>
        <v>Premium4R3lesscolor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>color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IFERROR(VLOOKUP(B290,input_503105!L:R,7,FALSE),VLOOKUP(tables_503105!C290,input_503105!A:H,8,FALSE))</f>
        <v>33914.553330000002</v>
      </c>
      <c r="P290" s="40">
        <f t="shared" ca="1" si="17"/>
        <v>1.7303343535979145E-2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input_503105!A$2</f>
        <v>503105</v>
      </c>
      <c r="B291" s="5">
        <v>863</v>
      </c>
      <c r="C291" s="7" t="str">
        <f t="shared" si="16"/>
        <v>Premium5R3lesscolor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>color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IFERROR(VLOOKUP(B291,input_503105!L:R,7,FALSE),VLOOKUP(tables_503105!C291,input_503105!A:H,8,FALSE))</f>
        <v>4576.6000000000004</v>
      </c>
      <c r="P291" s="40">
        <f t="shared" ca="1" si="17"/>
        <v>2.3350000000357416E-3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input_503105!A$2</f>
        <v>503105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IFERROR(VLOOKUP(B292,input_503105!L:R,7,FALSE),VLOOKUP(tables_503105!C292,input_503105!A:H,8,FALSE))</f>
        <v>15760.85333</v>
      </c>
      <c r="P292" s="40">
        <f t="shared" ca="1" si="17"/>
        <v>8.0412516991026778E-3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input_503105!A$2</f>
        <v>503105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IFERROR(VLOOKUP(B293,input_503105!L:R,7,FALSE),VLOOKUP(tables_503105!C293,input_503105!A:H,8,FALSE))</f>
        <v>8.4329400000000003</v>
      </c>
      <c r="P293" s="40">
        <f t="shared" ca="1" si="17"/>
        <v>4.3025204082291235E-6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input_503105!A$2</f>
        <v>503105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IFERROR(VLOOKUP(B294,input_503105!L:R,7,FALSE),VLOOKUP(tables_503105!C294,input_503105!A:H,8,FALSE))</f>
        <v>544</v>
      </c>
      <c r="P294" s="40">
        <f t="shared" ca="1" si="17"/>
        <v>2.7755102041241168E-4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input_503105!A$2</f>
        <v>503105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IFERROR(VLOOKUP(B295,input_503105!L:R,7,FALSE),VLOOKUP(tables_503105!C295,input_503105!A:H,8,FALSE))</f>
        <v>544</v>
      </c>
      <c r="P295" s="40">
        <f t="shared" ca="1" si="17"/>
        <v>2.7755102041241168E-4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input_503105!A$2</f>
        <v>503105</v>
      </c>
      <c r="B296" s="5">
        <v>937</v>
      </c>
      <c r="C296" s="7" t="str">
        <f t="shared" si="16"/>
        <v>PremiumSS5R5onlycolor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>color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IFERROR(VLOOKUP(B296,input_503105!L:R,7,FALSE),VLOOKUP(tables_503105!C296,input_503105!A:H,8,FALSE))</f>
        <v>6184.4</v>
      </c>
      <c r="P296" s="40">
        <f t="shared" ca="1" si="17"/>
        <v>3.1553061224972772E-3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input_503105!A$2</f>
        <v>503105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IFERROR(VLOOKUP(B297,input_503105!L:R,7,FALSE),VLOOKUP(tables_503105!C297,input_503105!A:H,8,FALSE))</f>
        <v>15760.85333</v>
      </c>
      <c r="P297" s="40">
        <f t="shared" ca="1" si="17"/>
        <v>8.0412516991026778E-3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input_503105!A$2</f>
        <v>503105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IFERROR(VLOOKUP(B298,input_503105!L:R,7,FALSE),VLOOKUP(tables_503105!C298,input_503105!A:H,8,FALSE))</f>
        <v>8.4329400000000003</v>
      </c>
      <c r="P298" s="40">
        <f t="shared" ca="1" si="17"/>
        <v>4.3025204082291235E-6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input_503105!A$2</f>
        <v>503105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IFERROR(VLOOKUP(B299,input_503105!L:R,7,FALSE),VLOOKUP(tables_503105!C299,input_503105!A:H,8,FALSE))</f>
        <v>544</v>
      </c>
      <c r="P299" s="40">
        <f t="shared" ca="1" si="17"/>
        <v>2.7755102041241168E-4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input_503105!A$2</f>
        <v>503105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IFERROR(VLOOKUP(B300,input_503105!L:R,7,FALSE),VLOOKUP(tables_503105!C300,input_503105!A:H,8,FALSE))</f>
        <v>544</v>
      </c>
      <c r="P300" s="40">
        <f t="shared" ca="1" si="17"/>
        <v>2.7755102041241168E-4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input_503105!A$2</f>
        <v>503105</v>
      </c>
      <c r="B301" s="5">
        <v>1012</v>
      </c>
      <c r="C301" s="7" t="str">
        <f t="shared" si="16"/>
        <v>PremiumSS5R5onlycolor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>color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IFERROR(VLOOKUP(B301,input_503105!L:R,7,FALSE),VLOOKUP(tables_503105!C301,input_503105!A:H,8,FALSE))</f>
        <v>6184.4</v>
      </c>
      <c r="P301" s="40">
        <f t="shared" ca="1" si="17"/>
        <v>3.1553061224972772E-3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input_503105!A$2</f>
        <v>503105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IFERROR(VLOOKUP(B302,input_503105!L:R,7,FALSE),VLOOKUP(tables_503105!C302,input_503105!A:H,8,FALSE))</f>
        <v>544</v>
      </c>
      <c r="P302" s="40">
        <f t="shared" ca="1" si="17"/>
        <v>2.7755102041241168E-4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input_503105!A$2</f>
        <v>503105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IFERROR(VLOOKUP(B303,input_503105!L:R,7,FALSE),VLOOKUP(tables_503105!C303,input_503105!A:H,8,FALSE))</f>
        <v>15760.85333</v>
      </c>
      <c r="P303" s="40">
        <f t="shared" ca="1" si="17"/>
        <v>8.0412516991026778E-3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input_503105!A$2</f>
        <v>503105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IFERROR(VLOOKUP(B304,input_503105!L:R,7,FALSE),VLOOKUP(tables_503105!C304,input_503105!A:H,8,FALSE))</f>
        <v>8.4329400000000003</v>
      </c>
      <c r="P304" s="40">
        <f t="shared" ca="1" si="17"/>
        <v>4.3025204082291235E-6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input_503105!A$2</f>
        <v>503105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IFERROR(VLOOKUP(B305,input_503105!L:R,7,FALSE),VLOOKUP(tables_503105!C305,input_503105!A:H,8,FALSE))</f>
        <v>544</v>
      </c>
      <c r="P305" s="40">
        <f t="shared" ca="1" si="17"/>
        <v>2.7755102041241168E-4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input_503105!A$2</f>
        <v>503105</v>
      </c>
      <c r="B306" s="5">
        <v>1026</v>
      </c>
      <c r="C306" s="7" t="str">
        <f t="shared" si="16"/>
        <v>Premium4R3lesscolor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>color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IFERROR(VLOOKUP(B306,input_503105!L:R,7,FALSE),VLOOKUP(tables_503105!C306,input_503105!A:H,8,FALSE))</f>
        <v>33914.553330000002</v>
      </c>
      <c r="P306" s="40">
        <f t="shared" ref="P306:P310" ca="1" si="20">O306/SUM(O:O)</f>
        <v>1.7303343535979145E-2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input_503105!A$2</f>
        <v>503105</v>
      </c>
      <c r="B307" s="5">
        <v>1027</v>
      </c>
      <c r="C307" s="7" t="str">
        <f t="shared" si="16"/>
        <v>Premium5R3lesscolor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>color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IFERROR(VLOOKUP(B307,input_503105!L:R,7,FALSE),VLOOKUP(tables_503105!C307,input_503105!A:H,8,FALSE))</f>
        <v>4576.6000000000004</v>
      </c>
      <c r="P307" s="40">
        <f t="shared" ca="1" si="20"/>
        <v>2.3350000000357416E-3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input_503105!A$2</f>
        <v>503105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IFERROR(VLOOKUP(B308,input_503105!L:R,7,FALSE),VLOOKUP(tables_503105!C308,input_503105!A:H,8,FALSE))</f>
        <v>544</v>
      </c>
      <c r="P308" s="40">
        <f t="shared" ca="1" si="20"/>
        <v>2.7755102041241168E-4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input_503105!A$2</f>
        <v>503105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IFERROR(VLOOKUP(B309,input_503105!L:R,7,FALSE),VLOOKUP(tables_503105!C309,input_503105!A:H,8,FALSE))</f>
        <v>544</v>
      </c>
      <c r="P309" s="40">
        <f t="shared" ca="1" si="20"/>
        <v>2.7755102041241168E-4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input_503105!A$2</f>
        <v>503105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IFERROR(VLOOKUP(B310,input_503105!L:R,7,FALSE),VLOOKUP(tables_503105!C310,input_503105!A:H,8,FALSE))</f>
        <v>544</v>
      </c>
      <c r="P310" s="40">
        <f t="shared" ca="1" si="20"/>
        <v>2.7755102041241168E-4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input_503105!A$2</f>
        <v>503105</v>
      </c>
      <c r="B311" s="5">
        <v>1067</v>
      </c>
      <c r="C311" s="7" t="str">
        <f t="shared" si="16"/>
        <v>Premium4R3lesscolor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>color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IFERROR(VLOOKUP(B311,input_503105!L:R,7,FALSE),VLOOKUP(tables_503105!C311,input_503105!A:H,8,FALSE))</f>
        <v>33914.553330000002</v>
      </c>
      <c r="P311" s="40">
        <f t="shared" ref="P311:P319" ca="1" si="21">O311/SUM(O:O)</f>
        <v>1.7303343535979145E-2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input_503105!A$2</f>
        <v>503105</v>
      </c>
      <c r="B312" s="5">
        <v>1068</v>
      </c>
      <c r="C312" s="7" t="str">
        <f t="shared" si="16"/>
        <v>Premium5R3lesscolor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>color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IFERROR(VLOOKUP(B312,input_503105!L:R,7,FALSE),VLOOKUP(tables_503105!C312,input_503105!A:H,8,FALSE))</f>
        <v>4576.6000000000004</v>
      </c>
      <c r="P312" s="40">
        <f t="shared" ca="1" si="21"/>
        <v>2.3350000000357416E-3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input_503105!A$2</f>
        <v>503105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IFERROR(VLOOKUP(B313,input_503105!L:R,7,FALSE),VLOOKUP(tables_503105!C313,input_503105!A:H,8,FALSE))</f>
        <v>544</v>
      </c>
      <c r="P313" s="40">
        <f t="shared" ca="1" si="21"/>
        <v>2.7755102041241168E-4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input_503105!A$2</f>
        <v>503105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IFERROR(VLOOKUP(B314,input_503105!L:R,7,FALSE),VLOOKUP(tables_503105!C314,input_503105!A:H,8,FALSE))</f>
        <v>544</v>
      </c>
      <c r="P314" s="40">
        <f t="shared" ca="1" si="21"/>
        <v>2.7755102041241168E-4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input_503105!A$2</f>
        <v>503105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IFERROR(VLOOKUP(B315,input_503105!L:R,7,FALSE),VLOOKUP(tables_503105!C315,input_503105!A:H,8,FALSE))</f>
        <v>544</v>
      </c>
      <c r="P315" s="40">
        <f t="shared" ca="1" si="21"/>
        <v>2.7755102041241168E-4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input_503105!A$2</f>
        <v>503105</v>
      </c>
      <c r="B316" s="5">
        <v>1100</v>
      </c>
      <c r="C316" s="7" t="str">
        <f t="shared" si="16"/>
        <v>PremiumSS5R5onlycolor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>color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IFERROR(VLOOKUP(B316,input_503105!L:R,7,FALSE),VLOOKUP(tables_503105!C316,input_503105!A:H,8,FALSE))</f>
        <v>6184.4</v>
      </c>
      <c r="P316" s="40">
        <f t="shared" ca="1" si="21"/>
        <v>3.1553061224972772E-3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input_503105!A$2</f>
        <v>503105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IFERROR(VLOOKUP(B317,input_503105!L:R,7,FALSE),VLOOKUP(tables_503105!C317,input_503105!A:H,8,FALSE))</f>
        <v>544</v>
      </c>
      <c r="P317" s="40">
        <f t="shared" ca="1" si="21"/>
        <v>2.7755102041241168E-4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input_503105!A$2</f>
        <v>503105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IFERROR(VLOOKUP(B318,input_503105!L:R,7,FALSE),VLOOKUP(tables_503105!C318,input_503105!A:H,8,FALSE))</f>
        <v>15760.85333</v>
      </c>
      <c r="P318" s="40">
        <f t="shared" ca="1" si="21"/>
        <v>8.0412516991026778E-3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input_503105!A$2</f>
        <v>503105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IFERROR(VLOOKUP(B319,input_503105!L:R,7,FALSE),VLOOKUP(tables_503105!C319,input_503105!A:H,8,FALSE))</f>
        <v>8.4329400000000003</v>
      </c>
      <c r="P319" s="40">
        <f t="shared" ca="1" si="21"/>
        <v>4.3025204082291235E-6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input_503105!A$2</f>
        <v>503105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IFERROR(VLOOKUP(B320,input_503105!L:R,7,FALSE),VLOOKUP(tables_503105!C320,input_503105!A:H,8,FALSE))</f>
        <v>544</v>
      </c>
      <c r="P320" s="40">
        <f t="shared" ref="P320:P324" ca="1" si="22">O320/SUM(O:O)</f>
        <v>2.7755102041241168E-4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input_503105!A$2</f>
        <v>503105</v>
      </c>
      <c r="B321" s="5">
        <v>1137</v>
      </c>
      <c r="C321" s="7" t="str">
        <f t="shared" si="16"/>
        <v>PremiumSS5R5onlycolor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>color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IFERROR(VLOOKUP(B321,input_503105!L:R,7,FALSE),VLOOKUP(tables_503105!C321,input_503105!A:H,8,FALSE))</f>
        <v>6184.4</v>
      </c>
      <c r="P321" s="40">
        <f t="shared" ca="1" si="22"/>
        <v>3.1553061224972772E-3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input_503105!A$2</f>
        <v>503105</v>
      </c>
      <c r="B322" s="5">
        <v>1139</v>
      </c>
      <c r="C322" s="7" t="str">
        <f t="shared" ref="C322:C324" si="23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IFERROR(VLOOKUP(B322,input_503105!L:R,7,FALSE),VLOOKUP(tables_503105!C322,input_503105!A:H,8,FALSE))</f>
        <v>544</v>
      </c>
      <c r="P322" s="40">
        <f t="shared" ca="1" si="22"/>
        <v>2.7755102041241168E-4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input_503105!A$2</f>
        <v>503105</v>
      </c>
      <c r="B323" s="5">
        <v>1141</v>
      </c>
      <c r="C323" s="7" t="str">
        <f t="shared" si="23"/>
        <v>PremiumSS5R5only</v>
      </c>
      <c r="D323" s="7" t="str">
        <f t="shared" ref="D323:D324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1" si="25">IF(K323="red","color","")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IFERROR(VLOOKUP(B323,input_503105!L:R,7,FALSE),VLOOKUP(tables_503105!C323,input_503105!A:H,8,FALSE))</f>
        <v>544</v>
      </c>
      <c r="P323" s="40">
        <f t="shared" ca="1" si="22"/>
        <v>2.7755102041241168E-4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input_503105!A$2</f>
        <v>503105</v>
      </c>
      <c r="B324" s="2">
        <v>1143</v>
      </c>
      <c r="C324" s="7" t="str">
        <f t="shared" si="23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IFERROR(VLOOKUP(B324,input_503105!L:R,7,FALSE),VLOOKUP(tables_503105!C324,input_503105!A:H,8,FALSE))</f>
        <v>15760.85333</v>
      </c>
      <c r="P324" s="40">
        <f t="shared" ca="1" si="22"/>
        <v>8.0412516991026778E-3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input_503105!A$2</f>
        <v>503105</v>
      </c>
      <c r="B325" s="2">
        <v>1144</v>
      </c>
      <c r="C325" s="7" t="str">
        <f t="shared" ref="C325:C330" si="26">D325&amp;J325&amp;E325&amp;F325&amp;G325</f>
        <v>Premium5R3less</v>
      </c>
      <c r="D325" s="7" t="str">
        <f t="shared" ref="D325:D330" si="27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5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IFERROR(VLOOKUP(B325,input_503105!L:R,7,FALSE),VLOOKUP(tables_503105!C325,input_503105!A:H,8,FALSE))</f>
        <v>8.4329400000000003</v>
      </c>
      <c r="P325" s="40">
        <f t="shared" ref="P325:P330" ca="1" si="28">O325/SUM(O:O)</f>
        <v>4.3025204082291235E-6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input_503105!A$2</f>
        <v>503105</v>
      </c>
      <c r="B326" s="2">
        <v>1151</v>
      </c>
      <c r="C326" s="7" t="str">
        <f t="shared" si="26"/>
        <v>Premium4R3lesscolor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5"/>
        <v>color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IFERROR(VLOOKUP(B326,input_503105!L:R,7,FALSE),VLOOKUP(tables_503105!C326,input_503105!A:H,8,FALSE))</f>
        <v>33914.553330000002</v>
      </c>
      <c r="P326" s="40">
        <f t="shared" ca="1" si="28"/>
        <v>1.7303343535979145E-2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input_503105!A$2</f>
        <v>503105</v>
      </c>
      <c r="B327" s="2">
        <v>1152</v>
      </c>
      <c r="C327" s="7" t="str">
        <f t="shared" si="26"/>
        <v>Premium5R3lesscolor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5"/>
        <v>color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IFERROR(VLOOKUP(B327,input_503105!L:R,7,FALSE),VLOOKUP(tables_503105!C327,input_503105!A:H,8,FALSE))</f>
        <v>4576.6000000000004</v>
      </c>
      <c r="P327" s="40">
        <f t="shared" ca="1" si="28"/>
        <v>2.3350000000357416E-3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input_503105!A$2</f>
        <v>503105</v>
      </c>
      <c r="B328" s="2">
        <v>1153</v>
      </c>
      <c r="C328" s="7" t="str">
        <f t="shared" si="26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5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IFERROR(VLOOKUP(B328,input_503105!L:R,7,FALSE),VLOOKUP(tables_503105!C328,input_503105!A:H,8,FALSE))</f>
        <v>544</v>
      </c>
      <c r="P328" s="40">
        <f t="shared" ca="1" si="28"/>
        <v>2.7755102041241168E-4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input_503105!A$2</f>
        <v>503105</v>
      </c>
      <c r="B329" s="2">
        <v>1155</v>
      </c>
      <c r="C329" s="7" t="str">
        <f t="shared" si="26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5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IFERROR(VLOOKUP(B329,input_503105!L:R,7,FALSE),VLOOKUP(tables_503105!C329,input_503105!A:H,8,FALSE))</f>
        <v>544</v>
      </c>
      <c r="P329" s="40">
        <f t="shared" ca="1" si="28"/>
        <v>2.7755102041241168E-4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input_503105!A$2</f>
        <v>503105</v>
      </c>
      <c r="B330" s="2">
        <v>1157</v>
      </c>
      <c r="C330" s="7" t="str">
        <f t="shared" si="26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5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IFERROR(VLOOKUP(B330,input_503105!L:R,7,FALSE),VLOOKUP(tables_503105!C330,input_503105!A:H,8,FALSE))</f>
        <v>544</v>
      </c>
      <c r="P330" s="40">
        <f t="shared" ca="1" si="28"/>
        <v>2.7755102041241168E-4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input_503105!A$2</f>
        <v>503105</v>
      </c>
      <c r="B331" s="52">
        <v>1214</v>
      </c>
      <c r="C331" s="7" t="str">
        <f t="shared" ref="C331:C340" si="29">D331&amp;J331&amp;E331&amp;F331&amp;G331</f>
        <v>PremiumSS5R5only</v>
      </c>
      <c r="D331" s="7" t="str">
        <f t="shared" ref="D331:D340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5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IFERROR(VLOOKUP(B331,input_503105!L:R,7,FALSE),VLOOKUP(tables_503105!C331,input_503105!A:H,8,FALSE))</f>
        <v>544</v>
      </c>
      <c r="P331" s="40">
        <f t="shared" ref="P331:P340" ca="1" si="31">O331/SUM(O:O)</f>
        <v>2.7755102041241168E-4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input_503105!A$2</f>
        <v>503105</v>
      </c>
      <c r="B332" s="52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5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IFERROR(VLOOKUP(B332,input_503105!L:R,7,FALSE),VLOOKUP(tables_503105!C332,input_503105!A:H,8,FALSE))</f>
        <v>544</v>
      </c>
      <c r="P332" s="40">
        <f t="shared" ca="1" si="31"/>
        <v>2.7755102041241168E-4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input_503105!A$2</f>
        <v>503105</v>
      </c>
      <c r="B333" s="52">
        <v>1208</v>
      </c>
      <c r="C333" s="7" t="str">
        <f t="shared" si="29"/>
        <v>PremiumSS5R5onlycolor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5"/>
        <v>color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IFERROR(VLOOKUP(B333,input_503105!L:R,7,FALSE),VLOOKUP(tables_503105!C333,input_503105!A:H,8,FALSE))</f>
        <v>6184.4</v>
      </c>
      <c r="P333" s="40">
        <f t="shared" ca="1" si="31"/>
        <v>3.1553061224972772E-3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input_503105!A$2</f>
        <v>503105</v>
      </c>
      <c r="B334" s="98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5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IFERROR(VLOOKUP(B334,input_503105!L:R,7,FALSE),VLOOKUP(tables_503105!C334,input_503105!A:H,8,FALSE))</f>
        <v>15760.85333</v>
      </c>
      <c r="P334" s="40">
        <f t="shared" ca="1" si="31"/>
        <v>8.0412516991026778E-3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input_503105!A$2</f>
        <v>503105</v>
      </c>
      <c r="B335" s="52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5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IFERROR(VLOOKUP(B335,input_503105!L:R,7,FALSE),VLOOKUP(tables_503105!C335,input_503105!A:H,8,FALSE))</f>
        <v>8.4329400000000003</v>
      </c>
      <c r="P335" s="40">
        <f t="shared" ca="1" si="31"/>
        <v>4.3025204082291235E-6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input_503105!A$2</f>
        <v>503105</v>
      </c>
      <c r="B336" s="2">
        <v>1224</v>
      </c>
      <c r="C336" s="7" t="str">
        <f t="shared" si="29"/>
        <v>Premium4R3lesscolor</v>
      </c>
      <c r="D336" s="7" t="str">
        <f t="shared" si="30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5"/>
        <v>color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IFERROR(VLOOKUP(B336,input_503105!L:R,7,FALSE),VLOOKUP(tables_503105!C336,input_503105!A:H,8,FALSE))</f>
        <v>33914.553330000002</v>
      </c>
      <c r="P336" s="40">
        <f t="shared" ca="1" si="31"/>
        <v>1.7303343535979145E-2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input_503105!A$2</f>
        <v>503105</v>
      </c>
      <c r="B337" s="2">
        <v>1225</v>
      </c>
      <c r="C337" s="7" t="str">
        <f t="shared" si="29"/>
        <v>Premium5R3lesscolor</v>
      </c>
      <c r="D337" s="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5"/>
        <v>color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IFERROR(VLOOKUP(B337,input_503105!L:R,7,FALSE),VLOOKUP(tables_503105!C337,input_503105!A:H,8,FALSE))</f>
        <v>4576.6000000000004</v>
      </c>
      <c r="P337" s="40">
        <f t="shared" ca="1" si="31"/>
        <v>2.3350000000357416E-3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input_503105!A$2</f>
        <v>503105</v>
      </c>
      <c r="B338" s="2">
        <v>1226</v>
      </c>
      <c r="C338" s="7" t="str">
        <f t="shared" si="29"/>
        <v>PremiumSS5R5only</v>
      </c>
      <c r="D338" s="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5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IFERROR(VLOOKUP(B338,input_503105!L:R,7,FALSE),VLOOKUP(tables_503105!C338,input_503105!A:H,8,FALSE))</f>
        <v>544</v>
      </c>
      <c r="P338" s="40">
        <f t="shared" ca="1" si="31"/>
        <v>2.7755102041241168E-4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input_503105!A$2</f>
        <v>503105</v>
      </c>
      <c r="B339" s="2">
        <v>1228</v>
      </c>
      <c r="C339" s="7" t="str">
        <f t="shared" si="29"/>
        <v>PremiumSS5R5only</v>
      </c>
      <c r="D339" s="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5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IFERROR(VLOOKUP(B339,input_503105!L:R,7,FALSE),VLOOKUP(tables_503105!C339,input_503105!A:H,8,FALSE))</f>
        <v>544</v>
      </c>
      <c r="P339" s="40">
        <f t="shared" ca="1" si="31"/>
        <v>2.7755102041241168E-4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input_503105!A$2</f>
        <v>503105</v>
      </c>
      <c r="B340" s="2">
        <v>1230</v>
      </c>
      <c r="C340" s="7" t="str">
        <f t="shared" si="29"/>
        <v>PremiumSS5R5only</v>
      </c>
      <c r="D340" s="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5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IFERROR(VLOOKUP(B340,input_503105!L:R,7,FALSE),VLOOKUP(tables_503105!C340,input_503105!A:H,8,FALSE))</f>
        <v>544</v>
      </c>
      <c r="P340" s="40">
        <f t="shared" ca="1" si="31"/>
        <v>2.7755102041241168E-4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input_503105!A$2</f>
        <v>503105</v>
      </c>
      <c r="B341" s="2">
        <v>1244</v>
      </c>
      <c r="C341" s="7" t="str">
        <f t="shared" ref="C341" si="32">D341&amp;J341&amp;E341&amp;F341&amp;G341</f>
        <v>PremiumSS5R5onlycolor</v>
      </c>
      <c r="D341" s="7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5"/>
        <v>color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IFERROR(VLOOKUP(B341,input_503105!L:R,7,FALSE),VLOOKUP(tables_503105!C341,input_503105!A:H,8,FALSE))</f>
        <v>6184.4</v>
      </c>
      <c r="P341" s="40">
        <f t="shared" ref="P341" ca="1" si="34">O341/SUM(O:O)</f>
        <v>3.1553061224972772E-3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input_503105!A$2</f>
        <v>503105</v>
      </c>
      <c r="B342" s="2">
        <v>1246</v>
      </c>
      <c r="C342" s="7" t="str">
        <f t="shared" ref="C342:C346" si="35">D342&amp;J342&amp;E342&amp;F342&amp;G342</f>
        <v>PremiumSS5R5only</v>
      </c>
      <c r="D342" s="7" t="str">
        <f t="shared" ref="D342:D346" si="36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ref="G342:G346" si="37">IF(K342="red","color","")</f>
        <v/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IFERROR(VLOOKUP(B342,input_503105!L:R,7,FALSE),VLOOKUP(tables_503105!C342,input_503105!A:H,8,FALSE))</f>
        <v>544</v>
      </c>
      <c r="P342" s="40">
        <f t="shared" ref="P342:P346" ca="1" si="38">O342/SUM(O:O)</f>
        <v>2.7755102041241168E-4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input_503105!A$2</f>
        <v>503105</v>
      </c>
      <c r="B343" s="2">
        <v>1248</v>
      </c>
      <c r="C343" s="7" t="str">
        <f t="shared" si="35"/>
        <v>Premium4R3less</v>
      </c>
      <c r="D343" s="7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37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IFERROR(VLOOKUP(B343,input_503105!L:R,7,FALSE),VLOOKUP(tables_503105!C343,input_503105!A:H,8,FALSE))</f>
        <v>15760.85333</v>
      </c>
      <c r="P343" s="40">
        <f t="shared" ca="1" si="38"/>
        <v>8.0412516991026778E-3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input_503105!A$2</f>
        <v>503105</v>
      </c>
      <c r="B344" s="2">
        <v>1249</v>
      </c>
      <c r="C344" s="7" t="str">
        <f t="shared" si="35"/>
        <v>Premium5R3less</v>
      </c>
      <c r="D344" s="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37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IFERROR(VLOOKUP(B344,input_503105!L:R,7,FALSE),VLOOKUP(tables_503105!C344,input_503105!A:H,8,FALSE))</f>
        <v>8.4329400000000003</v>
      </c>
      <c r="P344" s="40">
        <f t="shared" ca="1" si="38"/>
        <v>4.3025204082291235E-6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input_503105!A$2</f>
        <v>503105</v>
      </c>
      <c r="B345" s="2">
        <v>1250</v>
      </c>
      <c r="C345" s="7" t="str">
        <f t="shared" si="35"/>
        <v>PremiumSS5R5only</v>
      </c>
      <c r="D345" s="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37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IFERROR(VLOOKUP(B345,input_503105!L:R,7,FALSE),VLOOKUP(tables_503105!C345,input_503105!A:H,8,FALSE))</f>
        <v>544</v>
      </c>
      <c r="P345" s="40">
        <f t="shared" ca="1" si="38"/>
        <v>2.7755102041241168E-4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input_503105!A$2</f>
        <v>503105</v>
      </c>
      <c r="B346" s="1">
        <v>955</v>
      </c>
      <c r="C346" s="7" t="str">
        <f t="shared" si="35"/>
        <v>PremiumSSS5R3lesscolor</v>
      </c>
      <c r="D346" s="7" t="str">
        <f t="shared" si="36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 t="str">
        <f t="shared" si="37"/>
        <v>color</v>
      </c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9">
        <f>IFERROR(VLOOKUP(B346,input_503105!L:R,7,FALSE),VLOOKUP(tables_503105!C346,input_503105!A:H,8,FALSE))</f>
        <v>31360</v>
      </c>
      <c r="P346" s="40">
        <f t="shared" ca="1" si="38"/>
        <v>1.6000000000244909E-2</v>
      </c>
      <c r="Q346" s="78">
        <v>80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</sheetData>
  <autoFilter ref="A1:V300"/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workbookViewId="0">
      <selection activeCell="B49" sqref="B49:G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503106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955</v>
      </c>
      <c r="M3" s="31" t="str">
        <f>VLOOKUP(L3,[1]characters!$A:$C,3,FALSE)</f>
        <v>マクローリン</v>
      </c>
      <c r="N3" s="54">
        <v>0.02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VLOOKUP(L3,tables_503106!B:C,2,FALSE)</f>
        <v>PremiumSSS5R3lesscolor</v>
      </c>
      <c r="R3" s="53">
        <f t="shared" ref="R3:R20" si="1">N3*A$51</f>
        <v>39200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VLOOKUP(L4,tables_503106!B:C,2,FALSE)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2.4489795918367351E-4</v>
      </c>
      <c r="F5">
        <f>(COUNTIF(tables_503106!C:C,input_503106!A28)+COUNTIF(tables_503106!C:C,input_503106!A29))</f>
        <v>50</v>
      </c>
      <c r="H5" s="75">
        <v>0.02</v>
      </c>
      <c r="I5" s="26">
        <v>1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VLOOKUP(L5,tables_503106!B:C,2,FALSE)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1.2000000000000001E-3</v>
      </c>
      <c r="F6">
        <f>(COUNTIF(tables_503106!C:C,input_503106!A43)+COUNTIF(tables_503106!C:C,input_503106!A44))</f>
        <v>16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VLOOKUP(L6,tables_503106!B:C,2,FALSE)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5.3142857142857141E-3</v>
      </c>
      <c r="F7">
        <f>(COUNTIF(tables_503106!C:C,input_503106!A25)+COUNTIF(tables_503106!C:C,input_503106!A18)+COUNTIF(tables_503106!C:C,input_503106!A20)+COUNTIF(tables_503106!C:C,input_503106!A22))</f>
        <v>70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VLOOKUP(L7,tables_503106!B:C,2,FALSE)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2.3249999999999996E-2</v>
      </c>
      <c r="F8">
        <f>(COUNTIF(tables_503106!C:C,input_503106!A40)+COUNTIF(tables_503106!C:C,input_503106!A33)+COUNTIF(tables_503106!C:C,input_503106!A35)+COUNTIF(tables_503106!C:C,input_503106!A37))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VLOOKUP(L8,tables_503106!B:C,2,FALSE)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VLOOKUP(L9,tables_503106!B:C,2,FALSE)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0.92999999999999994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VLOOKUP(L10,tables_503106!B:C,2,FALSE)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247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VLOOKUP(L11,tables_503106!B:C,2,FALSE)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0.02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VLOOKUP(L12,tables_503106!B:C,2,FALSE)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VLOOKUP(L13,tables_503106!B:C,2,FALSE)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VLOOKUP(L14,tables_503106!B:C,2,FALSE)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VLOOKUP(L15,tables_503106!B:C,2,FALSE)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VLOOKUP(L16,tables_503106!B:C,2,FALSE)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COUNTIF(tables_503106!C:C,input_503106!A17)-COUNTIF(Q:Q,A17)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VLOOKUP(L17,tables_503106!B:C,2,FALSE)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E$7*E18-B17+0.01-0.009</f>
        <v>8.0714285714285711E-2</v>
      </c>
      <c r="C18" s="76">
        <f t="shared" si="2"/>
        <v>0</v>
      </c>
      <c r="D18" s="66">
        <f t="shared" si="3"/>
        <v>8.0714285714285711E-2</v>
      </c>
      <c r="E18">
        <f>COUNTIF(tables_503106!C:C,input_503106!A18)-COUNTIF(Q:Q,A18)</f>
        <v>15</v>
      </c>
      <c r="F18" s="37">
        <f>IFERROR(B18/E18,0)</f>
        <v>5.3809523809523804E-3</v>
      </c>
      <c r="G18">
        <f t="shared" si="4"/>
        <v>158200</v>
      </c>
      <c r="H18">
        <f t="shared" si="5"/>
        <v>10546.666670000001</v>
      </c>
      <c r="I18">
        <f t="shared" si="6"/>
        <v>0.66667000000052212</v>
      </c>
      <c r="J18">
        <f t="shared" si="7"/>
        <v>1.499992500036325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VLOOKUP(L18,tables_503106!B:C,2,FALSE)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COUNTIF(tables_503106!C:C,input_503106!A19)-COUNTIF(Q:Q,A19)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VLOOKUP(L19,tables_503106!B:C,2,FALSE)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E$7*E20*B$6-0.03+E49</f>
        <v>0.18665183670918437</v>
      </c>
      <c r="C20" s="76">
        <f t="shared" si="2"/>
        <v>0</v>
      </c>
      <c r="D20" s="66">
        <f t="shared" si="3"/>
        <v>0.18665183670918437</v>
      </c>
      <c r="E20">
        <f>COUNTIF(tables_503106!C:C,input_503106!A20)-COUNTIF(Q:Q,A20)</f>
        <v>40</v>
      </c>
      <c r="F20" s="37">
        <f t="shared" si="8"/>
        <v>4.6662959177296093E-3</v>
      </c>
      <c r="G20">
        <f t="shared" si="4"/>
        <v>365837.59995000134</v>
      </c>
      <c r="H20">
        <f t="shared" si="5"/>
        <v>9145.94</v>
      </c>
      <c r="I20">
        <f t="shared" si="6"/>
        <v>0.94000000000050932</v>
      </c>
      <c r="J20">
        <f t="shared" si="7"/>
        <v>1.0638297872334661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VLOOKUP(L20,tables_503106!B:C,2,FALSE)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E$7*E21*B$7+0.009-G64</f>
        <v>4.9195918371121652E-3</v>
      </c>
      <c r="C21" s="76">
        <f t="shared" si="2"/>
        <v>0</v>
      </c>
      <c r="D21" s="66">
        <f t="shared" si="3"/>
        <v>4.9195918371121652E-3</v>
      </c>
      <c r="E21">
        <f>COUNTIF(tables_503106!C:C,input_503106!A21)-COUNTIF(Q:Q,A21)</f>
        <v>40</v>
      </c>
      <c r="F21" s="37">
        <f t="shared" si="8"/>
        <v>1.2298979592780413E-4</v>
      </c>
      <c r="G21">
        <f t="shared" si="4"/>
        <v>9642.4000007398445</v>
      </c>
      <c r="H21">
        <f t="shared" si="5"/>
        <v>241.06</v>
      </c>
      <c r="I21">
        <f t="shared" si="6"/>
        <v>6.0000000000002274E-2</v>
      </c>
      <c r="J21">
        <f t="shared" si="7"/>
        <v>16.666666666666035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E$7*E22-B23+C50</f>
        <v>9.9492244907785771E-2</v>
      </c>
      <c r="C22" s="76">
        <f t="shared" si="2"/>
        <v>0</v>
      </c>
      <c r="D22" s="66">
        <f t="shared" si="3"/>
        <v>9.9492244907785771E-2</v>
      </c>
      <c r="E22">
        <f>COUNTIF(tables_503106!C:C,input_503106!A22)-COUNTIF(Q:Q,A22)</f>
        <v>12</v>
      </c>
      <c r="F22" s="37">
        <f t="shared" si="8"/>
        <v>8.2910204089821481E-3</v>
      </c>
      <c r="G22">
        <f t="shared" si="4"/>
        <v>195004.80001926012</v>
      </c>
      <c r="H22">
        <f t="shared" si="5"/>
        <v>16250.4</v>
      </c>
      <c r="I22">
        <f t="shared" si="6"/>
        <v>0.3999999999996362</v>
      </c>
      <c r="J22">
        <f t="shared" si="7"/>
        <v>2.5000000000022737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E23*E7*B7-0.009</f>
        <v>3.4285714285715863E-5</v>
      </c>
      <c r="C23" s="76">
        <f t="shared" si="2"/>
        <v>0</v>
      </c>
      <c r="D23" s="66">
        <f t="shared" si="3"/>
        <v>3.4285714285715863E-5</v>
      </c>
      <c r="E23">
        <f>COUNTIF(tables_503106!C:C,input_503106!A23)-COUNTIF(Q:Q,A23)</f>
        <v>17</v>
      </c>
      <c r="F23" s="37">
        <f t="shared" si="8"/>
        <v>2.0168067226891684E-6</v>
      </c>
      <c r="G23">
        <f t="shared" si="4"/>
        <v>67.200000000003087</v>
      </c>
      <c r="H23">
        <f t="shared" si="5"/>
        <v>3.9529399999999999</v>
      </c>
      <c r="I23">
        <f t="shared" si="6"/>
        <v>0.9529399999999999</v>
      </c>
      <c r="J23">
        <f t="shared" si="7"/>
        <v>1.0493840115851996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COUNTIF(tables_503106!C:C,input_503106!A24)-COUNTIF(Q:Q,A24)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1.4348571428571428E-2</v>
      </c>
      <c r="C25" s="76">
        <f t="shared" si="2"/>
        <v>0</v>
      </c>
      <c r="D25" s="66">
        <f t="shared" si="3"/>
        <v>1.4348571428571428E-2</v>
      </c>
      <c r="E25">
        <f>COUNTIF(tables_503106!C:C,input_503106!A25)-COUNTIF(Q:Q,A25)</f>
        <v>3</v>
      </c>
      <c r="F25" s="37">
        <f t="shared" si="8"/>
        <v>4.7828571428571425E-3</v>
      </c>
      <c r="G25">
        <f t="shared" si="4"/>
        <v>28123.199999999997</v>
      </c>
      <c r="H25">
        <f t="shared" si="5"/>
        <v>9374.4</v>
      </c>
      <c r="I25">
        <f t="shared" si="6"/>
        <v>0.3999999999996362</v>
      </c>
      <c r="J25">
        <f t="shared" si="7"/>
        <v>2.5000000000022737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1.5942857142857143E-3</v>
      </c>
      <c r="C26" s="76">
        <f t="shared" si="2"/>
        <v>0</v>
      </c>
      <c r="D26" s="66">
        <f t="shared" si="3"/>
        <v>1.5942857142857143E-3</v>
      </c>
      <c r="E26">
        <f>COUNTIF(tables_503106!C:C,input_503106!A26)-COUNTIF(Q:Q,A26)</f>
        <v>3</v>
      </c>
      <c r="F26" s="37">
        <f t="shared" si="8"/>
        <v>5.3142857142857147E-4</v>
      </c>
      <c r="G26">
        <f t="shared" si="4"/>
        <v>3124.8</v>
      </c>
      <c r="H26">
        <f t="shared" si="5"/>
        <v>1041.5999999999999</v>
      </c>
      <c r="I26">
        <f t="shared" si="6"/>
        <v>0.59999999999990905</v>
      </c>
      <c r="J26">
        <f t="shared" si="7"/>
        <v>1.6666666666669192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4.4081632653061231E-3</v>
      </c>
      <c r="C27" s="76">
        <f t="shared" si="2"/>
        <v>0</v>
      </c>
      <c r="D27" s="66">
        <f t="shared" si="3"/>
        <v>4.4081632653061231E-3</v>
      </c>
      <c r="E27">
        <f>COUNTIF(tables_503106!C:C,input_503106!A27)-COUNTIF(Q:Q,A27)</f>
        <v>20</v>
      </c>
      <c r="F27" s="37">
        <f>IFERROR(B27/E27,0)</f>
        <v>2.2040816326530615E-4</v>
      </c>
      <c r="G27">
        <f t="shared" si="4"/>
        <v>8640.0000000000018</v>
      </c>
      <c r="H27">
        <f t="shared" si="5"/>
        <v>432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4.8979591836734702E-4</v>
      </c>
      <c r="C28" s="76">
        <f t="shared" si="2"/>
        <v>0</v>
      </c>
      <c r="D28" s="66">
        <f t="shared" si="3"/>
        <v>4.8979591836734702E-4</v>
      </c>
      <c r="E28">
        <f>COUNTIF(tables_503106!C:C,input_503106!A28)-COUNTIF(Q:Q,A28)</f>
        <v>20</v>
      </c>
      <c r="F28" s="37">
        <f t="shared" si="8"/>
        <v>2.4489795918367352E-5</v>
      </c>
      <c r="G28">
        <f t="shared" si="4"/>
        <v>960.00000000000011</v>
      </c>
      <c r="H28">
        <f t="shared" si="5"/>
        <v>48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E$5*E29-F49</f>
        <v>7.3469387755102054E-3</v>
      </c>
      <c r="C29" s="76">
        <f t="shared" si="2"/>
        <v>0</v>
      </c>
      <c r="D29" s="66">
        <f t="shared" si="3"/>
        <v>7.3469387755102054E-3</v>
      </c>
      <c r="E29">
        <f>COUNTIF(tables_503106!C:C,input_503106!A29)-COUNTIF(Q:Q,A29)</f>
        <v>30</v>
      </c>
      <c r="F29" s="37">
        <f t="shared" si="8"/>
        <v>2.4489795918367351E-4</v>
      </c>
      <c r="G29">
        <f t="shared" si="4"/>
        <v>14400.000000000002</v>
      </c>
      <c r="H29">
        <f t="shared" si="5"/>
        <v>480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COUNTIF(tables_503106!C:C,input_503106!A30)-COUNTIF(Q:Q,A30)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COUNTIF(tables_503106!C:C,input_503106!A31)-COUNTIF(Q:Q,A31)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COUNTIF(tables_503106!C:C,input_503106!A32)-COUNTIF(Q:Q,A32)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E$8*E33-B32+0.02</f>
        <v>0.13624999999999998</v>
      </c>
      <c r="C33" s="76">
        <f t="shared" si="2"/>
        <v>0</v>
      </c>
      <c r="D33" s="66">
        <f t="shared" si="3"/>
        <v>0.13624999999999998</v>
      </c>
      <c r="E33">
        <f>COUNTIF(tables_503106!C:C,input_503106!A33)-COUNTIF(Q:Q,A33)</f>
        <v>5</v>
      </c>
      <c r="F33" s="37">
        <f>IFERROR(B33/E33,0)</f>
        <v>2.7249999999999996E-2</v>
      </c>
      <c r="G33">
        <f t="shared" si="4"/>
        <v>267049.99999999994</v>
      </c>
      <c r="H33">
        <f t="shared" si="5"/>
        <v>53410</v>
      </c>
      <c r="I33">
        <f t="shared" si="6"/>
        <v>0</v>
      </c>
      <c r="J33">
        <f t="shared" si="7"/>
        <v>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COUNTIF(tables_503106!C:C,input_503106!A34)-COUNTIF(Q:Q,A34)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E$8*E35*B$6+E49-C50</f>
        <v>0.24068244894425572</v>
      </c>
      <c r="C35" s="76">
        <f t="shared" si="2"/>
        <v>0</v>
      </c>
      <c r="D35" s="66">
        <f t="shared" si="3"/>
        <v>0.24068244894425572</v>
      </c>
      <c r="E35">
        <f>COUNTIF(tables_503106!C:C,input_503106!A35)-COUNTIF(Q:Q,A35)</f>
        <v>12</v>
      </c>
      <c r="F35" s="37">
        <f t="shared" si="9"/>
        <v>2.0056870745354644E-2</v>
      </c>
      <c r="G35">
        <f t="shared" si="4"/>
        <v>471737.59993074124</v>
      </c>
      <c r="H35">
        <f t="shared" si="5"/>
        <v>39311.466659999998</v>
      </c>
      <c r="I35">
        <f t="shared" si="6"/>
        <v>0.46665999999822816</v>
      </c>
      <c r="J35">
        <f t="shared" si="7"/>
        <v>2.142887755547501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E$8*E36*B$7</f>
        <v>2.7899999999999998E-2</v>
      </c>
      <c r="C36" s="76">
        <f t="shared" si="2"/>
        <v>0</v>
      </c>
      <c r="D36" s="66">
        <f t="shared" si="3"/>
        <v>2.7899999999999998E-2</v>
      </c>
      <c r="E36">
        <f>COUNTIF(tables_503106!C:C,input_503106!A36)-COUNTIF(Q:Q,A36)</f>
        <v>12</v>
      </c>
      <c r="F36" s="37">
        <f t="shared" si="9"/>
        <v>2.3249999999999998E-3</v>
      </c>
      <c r="G36">
        <f t="shared" si="4"/>
        <v>54683.999999999993</v>
      </c>
      <c r="H36">
        <f t="shared" si="5"/>
        <v>4557</v>
      </c>
      <c r="I36">
        <f t="shared" si="6"/>
        <v>0</v>
      </c>
      <c r="J36">
        <f t="shared" si="7"/>
        <v>1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E$8*E37-B38-E49</f>
        <v>9.7887449005101337E-2</v>
      </c>
      <c r="C37" s="76">
        <f t="shared" si="2"/>
        <v>0</v>
      </c>
      <c r="D37" s="66">
        <f t="shared" si="3"/>
        <v>9.7887449005101337E-2</v>
      </c>
      <c r="E37">
        <f>COUNTIF(tables_503106!C:C,input_503106!A37)-COUNTIF(Q:Q,A37)</f>
        <v>6</v>
      </c>
      <c r="F37" s="37">
        <f t="shared" si="9"/>
        <v>1.6314574834183557E-2</v>
      </c>
      <c r="G37">
        <f t="shared" si="4"/>
        <v>191859.40004999863</v>
      </c>
      <c r="H37">
        <f t="shared" si="5"/>
        <v>31976.56667</v>
      </c>
      <c r="I37">
        <f t="shared" si="6"/>
        <v>0.56667000000015832</v>
      </c>
      <c r="J37">
        <f t="shared" si="7"/>
        <v>1.7646955017906729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1.6274999999999998E-2</v>
      </c>
      <c r="C38" s="76">
        <f t="shared" si="2"/>
        <v>0</v>
      </c>
      <c r="D38" s="66">
        <f t="shared" si="3"/>
        <v>1.6274999999999998E-2</v>
      </c>
      <c r="E38">
        <f>COUNTIF(tables_503106!C:C,input_503106!A38)-COUNTIF(Q:Q,A38)</f>
        <v>7</v>
      </c>
      <c r="F38" s="37">
        <f t="shared" si="9"/>
        <v>2.3249999999999998E-3</v>
      </c>
      <c r="G38">
        <f t="shared" si="4"/>
        <v>31898.999999999996</v>
      </c>
      <c r="H38">
        <f t="shared" si="5"/>
        <v>4557</v>
      </c>
      <c r="I38">
        <f t="shared" si="6"/>
        <v>0</v>
      </c>
      <c r="J38">
        <f t="shared" si="7"/>
        <v>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COUNTIF(tables_503106!C:C,input_503106!A39)-COUNTIF(Q:Q,A39)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2.0924999999999996E-2</v>
      </c>
      <c r="C40" s="76">
        <f t="shared" si="2"/>
        <v>0</v>
      </c>
      <c r="D40" s="66">
        <f t="shared" si="3"/>
        <v>2.0924999999999996E-2</v>
      </c>
      <c r="E40">
        <f>COUNTIF(tables_503106!C:C,input_503106!A40)-COUNTIF(Q:Q,A40)</f>
        <v>1</v>
      </c>
      <c r="F40" s="37">
        <f t="shared" si="9"/>
        <v>2.0924999999999996E-2</v>
      </c>
      <c r="G40">
        <f t="shared" si="4"/>
        <v>41012.999999999993</v>
      </c>
      <c r="H40">
        <f t="shared" si="5"/>
        <v>41013</v>
      </c>
      <c r="I40">
        <f t="shared" si="6"/>
        <v>0</v>
      </c>
      <c r="J40">
        <f t="shared" si="7"/>
        <v>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2.3249999999999998E-3</v>
      </c>
      <c r="C41" s="76">
        <f t="shared" si="2"/>
        <v>0</v>
      </c>
      <c r="D41" s="66">
        <f t="shared" si="3"/>
        <v>2.3249999999999998E-3</v>
      </c>
      <c r="E41">
        <f>COUNTIF(tables_503106!C:C,input_503106!A41)-COUNTIF(Q:Q,A41)</f>
        <v>1</v>
      </c>
      <c r="F41" s="37">
        <f t="shared" si="9"/>
        <v>2.3249999999999998E-3</v>
      </c>
      <c r="G41">
        <f t="shared" si="4"/>
        <v>4557</v>
      </c>
      <c r="H41">
        <f t="shared" si="5"/>
        <v>4557</v>
      </c>
      <c r="I41">
        <f t="shared" si="6"/>
        <v>0</v>
      </c>
      <c r="J41">
        <f t="shared" si="7"/>
        <v>1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E$6*E42*(B$5+B$6)+0.01</f>
        <v>1.8640000000000004E-2</v>
      </c>
      <c r="C42" s="76">
        <f t="shared" si="2"/>
        <v>0</v>
      </c>
      <c r="D42" s="66">
        <f t="shared" si="3"/>
        <v>1.8640000000000004E-2</v>
      </c>
      <c r="E42">
        <f>COUNTIF(tables_503106!C:C,input_503106!A42)-COUNTIF(Q:Q,A42)</f>
        <v>8</v>
      </c>
      <c r="F42" s="37">
        <f>IFERROR(B42/E42,0)</f>
        <v>2.3300000000000005E-3</v>
      </c>
      <c r="G42">
        <f t="shared" si="4"/>
        <v>36534.400000000009</v>
      </c>
      <c r="H42">
        <f t="shared" si="5"/>
        <v>4566.8</v>
      </c>
      <c r="I42">
        <f t="shared" si="6"/>
        <v>0.8000000000001819</v>
      </c>
      <c r="J42">
        <f t="shared" si="7"/>
        <v>1.2499999999997158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9.6000000000000013E-4</v>
      </c>
      <c r="C43" s="76">
        <f t="shared" si="2"/>
        <v>0</v>
      </c>
      <c r="D43" s="66">
        <f t="shared" si="3"/>
        <v>9.6000000000000013E-4</v>
      </c>
      <c r="E43">
        <f>COUNTIF(tables_503106!C:C,input_503106!A43)-COUNTIF(Q:Q,A43)</f>
        <v>8</v>
      </c>
      <c r="F43" s="37">
        <f t="shared" ref="F43:F46" si="10">IFERROR(B43/E43,0)</f>
        <v>1.2000000000000002E-4</v>
      </c>
      <c r="G43">
        <f t="shared" si="4"/>
        <v>1881.6000000000004</v>
      </c>
      <c r="H43">
        <f t="shared" si="5"/>
        <v>235.2</v>
      </c>
      <c r="I43">
        <f t="shared" si="6"/>
        <v>0.19999999999998863</v>
      </c>
      <c r="J43">
        <f t="shared" si="7"/>
        <v>5.0000000000002842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E$6*E44-E50+G64-0.01</f>
        <v>1.8155102050642948E-2</v>
      </c>
      <c r="C44" s="76">
        <f t="shared" si="2"/>
        <v>0</v>
      </c>
      <c r="D44" s="66">
        <f t="shared" si="3"/>
        <v>1.8155102050642948E-2</v>
      </c>
      <c r="E44">
        <f>COUNTIF(tables_503106!C:C,input_503106!A44)-COUNTIF(Q:Q,A44)</f>
        <v>8</v>
      </c>
      <c r="F44" s="37">
        <f t="shared" si="10"/>
        <v>2.2693877563303684E-3</v>
      </c>
      <c r="G44">
        <f t="shared" si="4"/>
        <v>35584.00001926018</v>
      </c>
      <c r="H44">
        <f t="shared" si="5"/>
        <v>4448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COUNTIF(tables_503106!C:C,input_503106!A45)-COUNTIF(Q:Q,A45)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B12</f>
        <v>0.02</v>
      </c>
      <c r="C46" s="76">
        <f t="shared" si="2"/>
        <v>0.02</v>
      </c>
      <c r="D46" s="66">
        <f t="shared" si="3"/>
        <v>0</v>
      </c>
      <c r="E46">
        <f>COUNTIF(tables_503106!C:C,input_503106!A46)-COUNTIF(Q:Q,A46)</f>
        <v>0</v>
      </c>
      <c r="F46" s="37">
        <f t="shared" si="10"/>
        <v>0</v>
      </c>
      <c r="G46">
        <f t="shared" si="4"/>
        <v>39200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0.99999999998469458</v>
      </c>
      <c r="C47" s="35">
        <f>SUM(C19:C31)</f>
        <v>0</v>
      </c>
      <c r="D47" s="36">
        <f t="shared" si="3"/>
        <v>0.99999999998469458</v>
      </c>
      <c r="L47" s="49"/>
      <c r="M47" s="49"/>
      <c r="N47" s="49"/>
      <c r="O47" s="49"/>
      <c r="P47" s="49"/>
      <c r="Q47" s="49"/>
      <c r="R47" s="51"/>
    </row>
    <row r="49" spans="1:8" x14ac:dyDescent="0.15">
      <c r="B49" t="s">
        <v>35</v>
      </c>
      <c r="C49" s="80">
        <f>SUM(B32:B46)</f>
        <v>0.6</v>
      </c>
      <c r="E49" s="85">
        <v>2.533755099489865E-2</v>
      </c>
      <c r="F49" s="85"/>
      <c r="G49" s="96">
        <f ca="1">0.9-G56</f>
        <v>5.103140132689532E-12</v>
      </c>
      <c r="H49" s="94"/>
    </row>
    <row r="50" spans="1:8" x14ac:dyDescent="0.15">
      <c r="A50" t="s">
        <v>56</v>
      </c>
      <c r="B50" s="80">
        <f>C49-0.6</f>
        <v>0</v>
      </c>
      <c r="C50" s="80">
        <v>3.5755102050642917E-2</v>
      </c>
      <c r="D50" s="84"/>
      <c r="E50" s="85">
        <v>6.7824489693877471E-3</v>
      </c>
      <c r="F50" s="93"/>
      <c r="G50" s="96">
        <f ca="1">G57-0.1</f>
        <v>-1.0204115330481045E-11</v>
      </c>
      <c r="H50" s="47"/>
    </row>
    <row r="51" spans="1:8" x14ac:dyDescent="0.15">
      <c r="A51" s="26">
        <f>LCM(F5-I5,F7-I6)*1000*2*2</f>
        <v>1960000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SUMIF(tables_503106!C:C,input_503106!A55,tables_503106!O:O)</f>
        <v>0</v>
      </c>
      <c r="C55" s="46">
        <f t="shared" ref="C55:C61" ca="1" si="11">B55/B$62</f>
        <v>0</v>
      </c>
      <c r="E55">
        <v>3</v>
      </c>
      <c r="F55">
        <f ca="1">SUMIF(tables_503106!J:J,input_503106!E55,tables_503106!O:O)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SUMIF(tables_503106!C:C,input_503106!A56,tables_503106!O:O)</f>
        <v>365837.60000000003</v>
      </c>
      <c r="C56" s="46">
        <f t="shared" ca="1" si="11"/>
        <v>0.95003012361067829</v>
      </c>
      <c r="E56">
        <v>4</v>
      </c>
      <c r="F56">
        <f ca="1">SUMIF(tables_503106!J:J,input_503106!E56,tables_503106!O:O)</f>
        <v>1763999.9999899978</v>
      </c>
      <c r="G56">
        <f ca="1">F56/A51</f>
        <v>0.89999999999489688</v>
      </c>
      <c r="H56" s="47">
        <f>B18+B20+B22+B25+B27+B30+B33+B35+B37+B40+B42+B45</f>
        <v>0.89999999997449054</v>
      </c>
    </row>
    <row r="57" spans="1:8" x14ac:dyDescent="0.15">
      <c r="A57" s="27" t="s">
        <v>90</v>
      </c>
      <c r="B57">
        <f ca="1">SUMIF(tables_503106!C:C,input_503106!A57,tables_503106!O:O)</f>
        <v>8640</v>
      </c>
      <c r="C57" s="46">
        <f t="shared" ca="1" si="11"/>
        <v>2.2436896229354936E-2</v>
      </c>
      <c r="E57">
        <v>5</v>
      </c>
      <c r="F57">
        <f ca="1">SUMIF(tables_503106!J:J,input_503106!E57,tables_503106!O:O)</f>
        <v>195999.99997999994</v>
      </c>
      <c r="G57">
        <f ca="1">F57/A51</f>
        <v>9.999999998979589E-2</v>
      </c>
      <c r="H57" s="47">
        <f>B21+B23+B26+B28+B29+B31+B36+B38+B41+B43+B44+B46</f>
        <v>0.10000000001020411</v>
      </c>
    </row>
    <row r="58" spans="1:8" x14ac:dyDescent="0.15">
      <c r="A58" s="27" t="s">
        <v>94</v>
      </c>
      <c r="B58">
        <f>SUMIF(tables_503106!C:C,input_503106!A58,tables_503106!O:O)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SUMIF(tables_503106!C:C,input_503106!A59,tables_503106!O:O)</f>
        <v>9642.4000000000033</v>
      </c>
      <c r="C59" s="46">
        <f t="shared" ca="1" si="11"/>
        <v>2.5039991690038437E-2</v>
      </c>
      <c r="E59" t="s">
        <v>37</v>
      </c>
      <c r="F59" s="47"/>
    </row>
    <row r="60" spans="1:8" x14ac:dyDescent="0.15">
      <c r="A60" s="27" t="s">
        <v>91</v>
      </c>
      <c r="B60">
        <f ca="1">SUMIF(tables_503106!C:C,input_503106!A60,tables_503106!O:O)</f>
        <v>960</v>
      </c>
      <c r="C60" s="46">
        <f t="shared" ca="1" si="11"/>
        <v>2.4929884699283261E-3</v>
      </c>
      <c r="E60" t="s">
        <v>190</v>
      </c>
      <c r="F60" s="47">
        <f ca="1">SUMIF(tables_503106!I:I,input_503106!E60,tables_503106!P:P)</f>
        <v>0.2192993697737648</v>
      </c>
    </row>
    <row r="61" spans="1:8" x14ac:dyDescent="0.15">
      <c r="A61" s="27" t="s">
        <v>92</v>
      </c>
      <c r="B61">
        <f>SUMIF(tables_503106!C:C,input_503106!A61,tables_503106!O:O)</f>
        <v>0</v>
      </c>
      <c r="C61" s="46">
        <f t="shared" ca="1" si="11"/>
        <v>0</v>
      </c>
      <c r="E61" t="s">
        <v>191</v>
      </c>
      <c r="F61" s="47">
        <f ca="1">SUMIF(tables_503106!I:I,input_503106!E61,tables_503106!P:P)</f>
        <v>0.18566676869671944</v>
      </c>
    </row>
    <row r="62" spans="1:8" x14ac:dyDescent="0.15">
      <c r="A62" s="33" t="s">
        <v>42</v>
      </c>
      <c r="B62">
        <f ca="1">SUM(B55:B61)</f>
        <v>385080.00000000006</v>
      </c>
      <c r="C62" s="47">
        <f ca="1">SUM(C55:C61)</f>
        <v>1</v>
      </c>
      <c r="E62" t="s">
        <v>192</v>
      </c>
      <c r="F62" s="47">
        <f ca="1">SUMIF(tables_503106!I:I,input_503106!E62,tables_503106!P:P)</f>
        <v>0.52503386152844445</v>
      </c>
    </row>
    <row r="63" spans="1:8" x14ac:dyDescent="0.15">
      <c r="E63" t="s">
        <v>193</v>
      </c>
      <c r="F63" s="47">
        <f ca="1">SUMIF(tables_503106!I:I,input_503106!E63,tables_503106!P:P)</f>
        <v>4.6261224490504065E-2</v>
      </c>
      <c r="G63" s="86">
        <f ca="1">0.05-F63-F64</f>
        <v>-7.6537170698443013E-13</v>
      </c>
    </row>
    <row r="64" spans="1:8" x14ac:dyDescent="0.15">
      <c r="E64" t="s">
        <v>253</v>
      </c>
      <c r="F64" s="47">
        <f ca="1">SUMIF(tables_503106!I:I,input_503106!E64,tables_503106!P:P)</f>
        <v>3.7387755102613099E-3</v>
      </c>
      <c r="G64">
        <v>2.5337551020030692E-2</v>
      </c>
    </row>
    <row r="65" spans="5:6" x14ac:dyDescent="0.15">
      <c r="E65" t="s">
        <v>255</v>
      </c>
      <c r="F65" s="47">
        <f ca="1">SUMIF(tables_503106!I:I,input_503106!E65,tables_503106!P:P)</f>
        <v>2.0000000000306131E-2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6"/>
  <sheetViews>
    <sheetView showGridLines="0" zoomScale="70" zoomScaleNormal="70" zoomScalePageLayoutView="70" workbookViewId="0">
      <pane ySplit="1" topLeftCell="A2" activePane="bottomLeft" state="frozen"/>
      <selection activeCell="B13" sqref="B13"/>
      <selection pane="bottomLeft" activeCell="B346" sqref="B2:B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input_503106!A$2</f>
        <v>503106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IFERROR(VLOOKUP(B2,input_503106!L:R,7,FALSE),VLOOKUP(tables_503106!C2,input_503106!A:H,8,FALSE))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input_503106!A$2</f>
        <v>503106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IFERROR(VLOOKUP(B3,input_503106!L:R,7,FALSE),VLOOKUP(tables_503106!C3,input_503106!A:H,8,FALSE))</f>
        <v>53410</v>
      </c>
      <c r="P3" s="40">
        <f t="shared" ca="1" si="1"/>
        <v>2.7250000000417104E-2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input_503106!A$2</f>
        <v>503106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IFERROR(VLOOKUP(B4,input_503106!L:R,7,FALSE),VLOOKUP(tables_503106!C4,input_503106!A:H,8,FALSE))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input_503106!A$2</f>
        <v>503106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IFERROR(VLOOKUP(B5,input_503106!L:R,7,FALSE),VLOOKUP(tables_503106!C5,input_503106!A:H,8,FALSE))</f>
        <v>10546.666670000001</v>
      </c>
      <c r="P5" s="40">
        <f t="shared" ca="1" si="1"/>
        <v>5.3809523827354254E-3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input_503106!A$2</f>
        <v>503106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IFERROR(VLOOKUP(B6,input_503106!L:R,7,FALSE),VLOOKUP(tables_503106!C6,input_503106!A:H,8,FALSE))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input_503106!A$2</f>
        <v>503106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IFERROR(VLOOKUP(B7,input_503106!L:R,7,FALSE),VLOOKUP(tables_503106!C7,input_503106!A:H,8,FALSE))</f>
        <v>10546.666670000001</v>
      </c>
      <c r="P7" s="40">
        <f t="shared" ca="1" si="1"/>
        <v>5.3809523827354254E-3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input_503106!A$2</f>
        <v>503106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IFERROR(VLOOKUP(B8,input_503106!L:R,7,FALSE),VLOOKUP(tables_503106!C8,input_503106!A:H,8,FALSE))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input_503106!A$2</f>
        <v>503106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IFERROR(VLOOKUP(B9,input_503106!L:R,7,FALSE),VLOOKUP(tables_503106!C9,input_503106!A:H,8,FALSE))</f>
        <v>10546.666670000001</v>
      </c>
      <c r="P9" s="40">
        <f t="shared" ca="1" si="1"/>
        <v>5.3809523827354254E-3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input_503106!A$2</f>
        <v>503106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IFERROR(VLOOKUP(B10,input_503106!L:R,7,FALSE),VLOOKUP(tables_503106!C10,input_503106!A:H,8,FALSE))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input_503106!A$2</f>
        <v>503106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IFERROR(VLOOKUP(B11,input_503106!L:R,7,FALSE),VLOOKUP(tables_503106!C11,input_503106!A:H,8,FALSE))</f>
        <v>53410</v>
      </c>
      <c r="P11" s="40">
        <f t="shared" ca="1" si="1"/>
        <v>2.7250000000417104E-2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input_503106!A$2</f>
        <v>503106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IFERROR(VLOOKUP(B12,input_503106!L:R,7,FALSE),VLOOKUP(tables_503106!C12,input_503106!A:H,8,FALSE))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input_503106!A$2</f>
        <v>503106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IFERROR(VLOOKUP(B13,input_503106!L:R,7,FALSE),VLOOKUP(tables_503106!C13,input_503106!A:H,8,FALSE))</f>
        <v>10546.666670000001</v>
      </c>
      <c r="P13" s="40">
        <f t="shared" ca="1" si="1"/>
        <v>5.3809523827354254E-3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input_503106!A$2</f>
        <v>503106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IFERROR(VLOOKUP(B14,input_503106!L:R,7,FALSE),VLOOKUP(tables_503106!C14,input_503106!A:H,8,FALSE))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input_503106!A$2</f>
        <v>503106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IFERROR(VLOOKUP(B15,input_503106!L:R,7,FALSE),VLOOKUP(tables_503106!C15,input_503106!A:H,8,FALSE))</f>
        <v>10546.666670000001</v>
      </c>
      <c r="P15" s="40">
        <f t="shared" ca="1" si="1"/>
        <v>5.3809523827354254E-3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input_503106!A$2</f>
        <v>503106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IFERROR(VLOOKUP(B16,input_503106!L:R,7,FALSE),VLOOKUP(tables_503106!C16,input_503106!A:H,8,FALSE))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input_503106!A$2</f>
        <v>503106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IFERROR(VLOOKUP(B17,input_503106!L:R,7,FALSE),VLOOKUP(tables_503106!C17,input_503106!A:H,8,FALSE))</f>
        <v>10546.666670000001</v>
      </c>
      <c r="P17" s="40">
        <f t="shared" ca="1" si="1"/>
        <v>5.3809523827354254E-3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input_503106!A$2</f>
        <v>503106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IFERROR(VLOOKUP(B18,input_503106!L:R,7,FALSE),VLOOKUP(tables_503106!C18,input_503106!A:H,8,FALSE))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input_503106!A$2</f>
        <v>503106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IFERROR(VLOOKUP(B19,input_503106!L:R,7,FALSE),VLOOKUP(tables_503106!C19,input_503106!A:H,8,FALSE))</f>
        <v>53410</v>
      </c>
      <c r="P19" s="40">
        <f t="shared" ca="1" si="1"/>
        <v>2.7250000000417104E-2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input_503106!A$2</f>
        <v>503106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IFERROR(VLOOKUP(B20,input_503106!L:R,7,FALSE),VLOOKUP(tables_503106!C20,input_503106!A:H,8,FALSE))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input_503106!A$2</f>
        <v>503106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IFERROR(VLOOKUP(B21,input_503106!L:R,7,FALSE),VLOOKUP(tables_503106!C21,input_503106!A:H,8,FALSE))</f>
        <v>10546.666670000001</v>
      </c>
      <c r="P21" s="40">
        <f t="shared" ca="1" si="1"/>
        <v>5.3809523827354254E-3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input_503106!A$2</f>
        <v>503106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IFERROR(VLOOKUP(B22,input_503106!L:R,7,FALSE),VLOOKUP(tables_503106!C22,input_503106!A:H,8,FALSE))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input_503106!A$2</f>
        <v>503106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IFERROR(VLOOKUP(B23,input_503106!L:R,7,FALSE),VLOOKUP(tables_503106!C23,input_503106!A:H,8,FALSE))</f>
        <v>10546.666670000001</v>
      </c>
      <c r="P23" s="40">
        <f t="shared" ca="1" si="1"/>
        <v>5.3809523827354254E-3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input_503106!A$2</f>
        <v>503106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IFERROR(VLOOKUP(B24,input_503106!L:R,7,FALSE),VLOOKUP(tables_503106!C24,input_503106!A:H,8,FALSE))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input_503106!A$2</f>
        <v>503106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IFERROR(VLOOKUP(B25,input_503106!L:R,7,FALSE),VLOOKUP(tables_503106!C25,input_503106!A:H,8,FALSE))</f>
        <v>10546.666670000001</v>
      </c>
      <c r="P25" s="40">
        <f t="shared" ca="1" si="1"/>
        <v>5.3809523827354254E-3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input_503106!A$2</f>
        <v>503106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IFERROR(VLOOKUP(B26,input_503106!L:R,7,FALSE),VLOOKUP(tables_503106!C26,input_503106!A:H,8,FALSE))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input_503106!A$2</f>
        <v>503106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IFERROR(VLOOKUP(B27,input_503106!L:R,7,FALSE),VLOOKUP(tables_503106!C27,input_503106!A:H,8,FALSE))</f>
        <v>53410</v>
      </c>
      <c r="P27" s="40">
        <f t="shared" ca="1" si="1"/>
        <v>2.7250000000417104E-2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input_503106!A$2</f>
        <v>503106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IFERROR(VLOOKUP(B28,input_503106!L:R,7,FALSE),VLOOKUP(tables_503106!C28,input_503106!A:H,8,FALSE))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input_503106!A$2</f>
        <v>503106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IFERROR(VLOOKUP(B29,input_503106!L:R,7,FALSE),VLOOKUP(tables_503106!C29,input_503106!A:H,8,FALSE))</f>
        <v>10546.666670000001</v>
      </c>
      <c r="P29" s="40">
        <f t="shared" ca="1" si="1"/>
        <v>5.3809523827354254E-3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input_503106!A$2</f>
        <v>503106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IFERROR(VLOOKUP(B30,input_503106!L:R,7,FALSE),VLOOKUP(tables_503106!C30,input_503106!A:H,8,FALSE))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input_503106!A$2</f>
        <v>503106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IFERROR(VLOOKUP(B31,input_503106!L:R,7,FALSE),VLOOKUP(tables_503106!C31,input_503106!A:H,8,FALSE))</f>
        <v>10546.666670000001</v>
      </c>
      <c r="P31" s="40">
        <f t="shared" ca="1" si="1"/>
        <v>5.3809523827354254E-3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input_503106!A$2</f>
        <v>503106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IFERROR(VLOOKUP(B32,input_503106!L:R,7,FALSE),VLOOKUP(tables_503106!C32,input_503106!A:H,8,FALSE))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input_503106!A$2</f>
        <v>503106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IFERROR(VLOOKUP(B33,input_503106!L:R,7,FALSE),VLOOKUP(tables_503106!C33,input_503106!A:H,8,FALSE))</f>
        <v>10546.666670000001</v>
      </c>
      <c r="P33" s="40">
        <f t="shared" ca="1" si="1"/>
        <v>5.3809523827354254E-3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input_503106!A$2</f>
        <v>503106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IFERROR(VLOOKUP(B34,input_503106!L:R,7,FALSE),VLOOKUP(tables_503106!C34,input_503106!A:H,8,FALSE))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input_503106!A$2</f>
        <v>503106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IFERROR(VLOOKUP(B35,input_503106!L:R,7,FALSE),VLOOKUP(tables_503106!C35,input_503106!A:H,8,FALSE))</f>
        <v>53410</v>
      </c>
      <c r="P35" s="40">
        <f t="shared" ca="1" si="1"/>
        <v>2.7250000000417104E-2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input_503106!A$2</f>
        <v>503106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IFERROR(VLOOKUP(B36,input_503106!L:R,7,FALSE),VLOOKUP(tables_503106!C36,input_503106!A:H,8,FALSE))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input_503106!A$2</f>
        <v>503106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IFERROR(VLOOKUP(B37,input_503106!L:R,7,FALSE),VLOOKUP(tables_503106!C37,input_503106!A:H,8,FALSE))</f>
        <v>10546.666670000001</v>
      </c>
      <c r="P37" s="40">
        <f t="shared" ca="1" si="1"/>
        <v>5.3809523827354254E-3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input_503106!A$2</f>
        <v>503106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IFERROR(VLOOKUP(B38,input_503106!L:R,7,FALSE),VLOOKUP(tables_503106!C38,input_503106!A:H,8,FALSE))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input_503106!A$2</f>
        <v>503106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IFERROR(VLOOKUP(B39,input_503106!L:R,7,FALSE),VLOOKUP(tables_503106!C39,input_503106!A:H,8,FALSE))</f>
        <v>10546.666670000001</v>
      </c>
      <c r="P39" s="40">
        <f t="shared" ca="1" si="1"/>
        <v>5.3809523827354254E-3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input_503106!A$2</f>
        <v>503106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IFERROR(VLOOKUP(B40,input_503106!L:R,7,FALSE),VLOOKUP(tables_503106!C40,input_503106!A:H,8,FALSE))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input_503106!A$2</f>
        <v>503106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IFERROR(VLOOKUP(B41,input_503106!L:R,7,FALSE),VLOOKUP(tables_503106!C41,input_503106!A:H,8,FALSE))</f>
        <v>10546.666670000001</v>
      </c>
      <c r="P41" s="40">
        <f t="shared" ca="1" si="1"/>
        <v>5.3809523827354254E-3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input_503106!A$2</f>
        <v>503106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IFERROR(VLOOKUP(B42,input_503106!L:R,7,FALSE),VLOOKUP(tables_503106!C42,input_503106!A:H,8,FALSE))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input_503106!A$2</f>
        <v>503106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IFERROR(VLOOKUP(B43,input_503106!L:R,7,FALSE),VLOOKUP(tables_503106!C43,input_503106!A:H,8,FALSE))</f>
        <v>41013</v>
      </c>
      <c r="P43" s="40">
        <f t="shared" ca="1" si="1"/>
        <v>2.0925000000320292E-2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input_503106!A$2</f>
        <v>503106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IFERROR(VLOOKUP(B44,input_503106!L:R,7,FALSE),VLOOKUP(tables_503106!C44,input_503106!A:H,8,FALSE))</f>
        <v>4557</v>
      </c>
      <c r="P44" s="40">
        <f t="shared" ca="1" si="1"/>
        <v>2.3250000000355877E-3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input_503106!A$2</f>
        <v>503106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IFERROR(VLOOKUP(B45,input_503106!L:R,7,FALSE),VLOOKUP(tables_503106!C45,input_503106!A:H,8,FALSE))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input_503106!A$2</f>
        <v>503106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IFERROR(VLOOKUP(B46,input_503106!L:R,7,FALSE),VLOOKUP(tables_503106!C46,input_503106!A:H,8,FALSE))</f>
        <v>9374.4</v>
      </c>
      <c r="P46" s="40">
        <f t="shared" ca="1" si="1"/>
        <v>4.7828571429303522E-3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input_503106!A$2</f>
        <v>503106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IFERROR(VLOOKUP(B47,input_503106!L:R,7,FALSE),VLOOKUP(tables_503106!C47,input_503106!A:H,8,FALSE))</f>
        <v>1041.5999999999999</v>
      </c>
      <c r="P47" s="40">
        <f t="shared" ca="1" si="1"/>
        <v>5.314285714367057E-4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input_503106!A$2</f>
        <v>503106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IFERROR(VLOOKUP(B48,input_503106!L:R,7,FALSE),VLOOKUP(tables_503106!C48,input_503106!A:H,8,FALSE))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input_503106!A$2</f>
        <v>503106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IFERROR(VLOOKUP(B49,input_503106!L:R,7,FALSE),VLOOKUP(tables_503106!C49,input_503106!A:H,8,FALSE))</f>
        <v>9374.4</v>
      </c>
      <c r="P49" s="40">
        <f t="shared" ca="1" si="1"/>
        <v>4.7828571429303522E-3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input_503106!A$2</f>
        <v>503106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IFERROR(VLOOKUP(B50,input_503106!L:R,7,FALSE),VLOOKUP(tables_503106!C50,input_503106!A:H,8,FALSE))</f>
        <v>1041.5999999999999</v>
      </c>
      <c r="P50" s="40">
        <f t="shared" ca="1" si="1"/>
        <v>5.314285714367057E-4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input_503106!A$2</f>
        <v>503106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IFERROR(VLOOKUP(B51,input_503106!L:R,7,FALSE),VLOOKUP(tables_503106!C51,input_503106!A:H,8,FALSE))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input_503106!A$2</f>
        <v>503106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IFERROR(VLOOKUP(B52,input_503106!L:R,7,FALSE),VLOOKUP(tables_503106!C52,input_503106!A:H,8,FALSE))</f>
        <v>9145.94</v>
      </c>
      <c r="P52" s="40">
        <f t="shared" ca="1" si="1"/>
        <v>4.6662959184387721E-3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input_503106!A$2</f>
        <v>503106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IFERROR(VLOOKUP(B53,input_503106!L:R,7,FALSE),VLOOKUP(tables_503106!C53,input_503106!A:H,8,FALSE))</f>
        <v>241.06</v>
      </c>
      <c r="P53" s="40">
        <f t="shared" ca="1" si="1"/>
        <v>1.229897959202499E-4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input_503106!A$2</f>
        <v>503106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IFERROR(VLOOKUP(B54,input_503106!L:R,7,FALSE),VLOOKUP(tables_503106!C54,input_503106!A:H,8,FALSE))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input_503106!A$2</f>
        <v>503106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IFERROR(VLOOKUP(B55,input_503106!L:R,7,FALSE),VLOOKUP(tables_503106!C55,input_503106!A:H,8,FALSE))</f>
        <v>39311.466659999998</v>
      </c>
      <c r="P55" s="40">
        <f t="shared" ca="1" si="1"/>
        <v>2.0056870745204961E-2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input_503106!A$2</f>
        <v>503106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IFERROR(VLOOKUP(B56,input_503106!L:R,7,FALSE),VLOOKUP(tables_503106!C56,input_503106!A:H,8,FALSE))</f>
        <v>4557</v>
      </c>
      <c r="P56" s="40">
        <f t="shared" ca="1" si="1"/>
        <v>2.3250000000355877E-3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input_503106!A$2</f>
        <v>503106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IFERROR(VLOOKUP(B57,input_503106!L:R,7,FALSE),VLOOKUP(tables_503106!C57,input_503106!A:H,8,FALSE))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input_503106!A$2</f>
        <v>503106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IFERROR(VLOOKUP(B58,input_503106!L:R,7,FALSE),VLOOKUP(tables_503106!C58,input_503106!A:H,8,FALSE))</f>
        <v>9145.94</v>
      </c>
      <c r="P58" s="40">
        <f t="shared" ca="1" si="1"/>
        <v>4.6662959184387721E-3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input_503106!A$2</f>
        <v>503106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IFERROR(VLOOKUP(B59,input_503106!L:R,7,FALSE),VLOOKUP(tables_503106!C59,input_503106!A:H,8,FALSE))</f>
        <v>241.06</v>
      </c>
      <c r="P59" s="40">
        <f t="shared" ca="1" si="1"/>
        <v>1.229897959202499E-4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input_503106!A$2</f>
        <v>503106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IFERROR(VLOOKUP(B60,input_503106!L:R,7,FALSE),VLOOKUP(tables_503106!C60,input_503106!A:H,8,FALSE))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input_503106!A$2</f>
        <v>503106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IFERROR(VLOOKUP(B61,input_503106!L:R,7,FALSE),VLOOKUP(tables_503106!C61,input_503106!A:H,8,FALSE))</f>
        <v>9145.94</v>
      </c>
      <c r="P61" s="40">
        <f t="shared" ca="1" si="1"/>
        <v>4.6662959184387721E-3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input_503106!A$2</f>
        <v>503106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IFERROR(VLOOKUP(B62,input_503106!L:R,7,FALSE),VLOOKUP(tables_503106!C62,input_503106!A:H,8,FALSE))</f>
        <v>241.06</v>
      </c>
      <c r="P62" s="40">
        <f t="shared" ca="1" si="1"/>
        <v>1.229897959202499E-4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input_503106!A$2</f>
        <v>503106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IFERROR(VLOOKUP(B63,input_503106!L:R,7,FALSE),VLOOKUP(tables_503106!C63,input_503106!A:H,8,FALSE))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input_503106!A$2</f>
        <v>503106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IFERROR(VLOOKUP(B64,input_503106!L:R,7,FALSE),VLOOKUP(tables_503106!C64,input_503106!A:H,8,FALSE))</f>
        <v>9145.94</v>
      </c>
      <c r="P64" s="40">
        <f t="shared" ca="1" si="1"/>
        <v>4.6662959184387721E-3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input_503106!A$2</f>
        <v>503106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IFERROR(VLOOKUP(B65,input_503106!L:R,7,FALSE),VLOOKUP(tables_503106!C65,input_503106!A:H,8,FALSE))</f>
        <v>241.06</v>
      </c>
      <c r="P65" s="40">
        <f t="shared" ca="1" si="1"/>
        <v>1.229897959202499E-4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input_503106!A$2</f>
        <v>503106</v>
      </c>
      <c r="B66" s="6">
        <v>190</v>
      </c>
      <c r="C66" s="7" t="str">
        <f t="shared" ref="C66:C129" si="4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IFERROR(VLOOKUP(B66,input_503106!L:R,7,FALSE),VLOOKUP(tables_503106!C66,input_503106!A:H,8,FALSE))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input_503106!A$2</f>
        <v>503106</v>
      </c>
      <c r="B67" s="6">
        <v>191</v>
      </c>
      <c r="C67" s="7" t="str">
        <f t="shared" si="4"/>
        <v>Premium4color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IFERROR(VLOOKUP(B67,input_503106!L:R,7,FALSE),VLOOKUP(tables_503106!C67,input_503106!A:H,8,FALSE))</f>
        <v>39311.466659999998</v>
      </c>
      <c r="P67" s="40">
        <f t="shared" ca="1" si="5"/>
        <v>2.0056870745204961E-2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input_503106!A$2</f>
        <v>503106</v>
      </c>
      <c r="B68" s="6">
        <v>192</v>
      </c>
      <c r="C68" s="7" t="str">
        <f t="shared" si="4"/>
        <v>Premium5color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IFERROR(VLOOKUP(B68,input_503106!L:R,7,FALSE),VLOOKUP(tables_503106!C68,input_503106!A:H,8,FALSE))</f>
        <v>4557</v>
      </c>
      <c r="P68" s="40">
        <f t="shared" ca="1" si="5"/>
        <v>2.3250000000355877E-3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input_503106!A$2</f>
        <v>503106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IFERROR(VLOOKUP(B69,input_503106!L:R,7,FALSE),VLOOKUP(tables_503106!C69,input_503106!A:H,8,FALSE))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input_503106!A$2</f>
        <v>503106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IFERROR(VLOOKUP(B70,input_503106!L:R,7,FALSE),VLOOKUP(tables_503106!C70,input_503106!A:H,8,FALSE))</f>
        <v>9145.94</v>
      </c>
      <c r="P70" s="40">
        <f t="shared" ca="1" si="5"/>
        <v>4.6662959184387721E-3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input_503106!A$2</f>
        <v>503106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IFERROR(VLOOKUP(B71,input_503106!L:R,7,FALSE),VLOOKUP(tables_503106!C71,input_503106!A:H,8,FALSE))</f>
        <v>241.06</v>
      </c>
      <c r="P71" s="40">
        <f t="shared" ca="1" si="5"/>
        <v>1.229897959202499E-4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input_503106!A$2</f>
        <v>503106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IFERROR(VLOOKUP(B72,input_503106!L:R,7,FALSE),VLOOKUP(tables_503106!C72,input_503106!A:H,8,FALSE))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input_503106!A$2</f>
        <v>503106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IFERROR(VLOOKUP(B73,input_503106!L:R,7,FALSE),VLOOKUP(tables_503106!C73,input_503106!A:H,8,FALSE))</f>
        <v>9145.94</v>
      </c>
      <c r="P73" s="40">
        <f t="shared" ca="1" si="5"/>
        <v>4.6662959184387721E-3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input_503106!A$2</f>
        <v>503106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IFERROR(VLOOKUP(B74,input_503106!L:R,7,FALSE),VLOOKUP(tables_503106!C74,input_503106!A:H,8,FALSE))</f>
        <v>241.06</v>
      </c>
      <c r="P74" s="40">
        <f t="shared" ca="1" si="5"/>
        <v>1.229897959202499E-4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input_503106!A$2</f>
        <v>503106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IFERROR(VLOOKUP(B75,input_503106!L:R,7,FALSE),VLOOKUP(tables_503106!C75,input_503106!A:H,8,FALSE))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input_503106!A$2</f>
        <v>503106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IFERROR(VLOOKUP(B76,input_503106!L:R,7,FALSE),VLOOKUP(tables_503106!C76,input_503106!A:H,8,FALSE))</f>
        <v>9145.94</v>
      </c>
      <c r="P76" s="40">
        <f t="shared" ca="1" si="5"/>
        <v>4.6662959184387721E-3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input_503106!A$2</f>
        <v>503106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IFERROR(VLOOKUP(B77,input_503106!L:R,7,FALSE),VLOOKUP(tables_503106!C77,input_503106!A:H,8,FALSE))</f>
        <v>241.06</v>
      </c>
      <c r="P77" s="40">
        <f t="shared" ca="1" si="5"/>
        <v>1.229897959202499E-4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input_503106!A$2</f>
        <v>503106</v>
      </c>
      <c r="B78" s="5">
        <v>202</v>
      </c>
      <c r="C78" s="7" t="str">
        <f t="shared" si="4"/>
        <v>Premium3color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IFERROR(VLOOKUP(B78,input_503106!L:R,7,FALSE),VLOOKUP(tables_503106!C78,input_503106!A:H,8,FALSE))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input_503106!A$2</f>
        <v>503106</v>
      </c>
      <c r="B79" s="5">
        <v>203</v>
      </c>
      <c r="C79" s="7" t="str">
        <f t="shared" si="4"/>
        <v>Premium4color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IFERROR(VLOOKUP(B79,input_503106!L:R,7,FALSE),VLOOKUP(tables_503106!C79,input_503106!A:H,8,FALSE))</f>
        <v>39311.466659999998</v>
      </c>
      <c r="P79" s="40">
        <f t="shared" ca="1" si="5"/>
        <v>2.0056870745204961E-2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input_503106!A$2</f>
        <v>503106</v>
      </c>
      <c r="B80" s="5">
        <v>204</v>
      </c>
      <c r="C80" s="7" t="str">
        <f t="shared" si="4"/>
        <v>Premium5color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IFERROR(VLOOKUP(B80,input_503106!L:R,7,FALSE),VLOOKUP(tables_503106!C80,input_503106!A:H,8,FALSE))</f>
        <v>4557</v>
      </c>
      <c r="P80" s="40">
        <f t="shared" ca="1" si="5"/>
        <v>2.3250000000355877E-3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input_503106!A$2</f>
        <v>503106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IFERROR(VLOOKUP(B81,input_503106!L:R,7,FALSE),VLOOKUP(tables_503106!C81,input_503106!A:H,8,FALSE))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input_503106!A$2</f>
        <v>503106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IFERROR(VLOOKUP(B82,input_503106!L:R,7,FALSE),VLOOKUP(tables_503106!C82,input_503106!A:H,8,FALSE))</f>
        <v>9145.94</v>
      </c>
      <c r="P82" s="40">
        <f t="shared" ca="1" si="5"/>
        <v>4.6662959184387721E-3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input_503106!A$2</f>
        <v>503106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IFERROR(VLOOKUP(B83,input_503106!L:R,7,FALSE),VLOOKUP(tables_503106!C83,input_503106!A:H,8,FALSE))</f>
        <v>241.06</v>
      </c>
      <c r="P83" s="40">
        <f t="shared" ca="1" si="5"/>
        <v>1.229897959202499E-4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input_503106!A$2</f>
        <v>503106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IFERROR(VLOOKUP(B84,input_503106!L:R,7,FALSE),VLOOKUP(tables_503106!C84,input_503106!A:H,8,FALSE))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input_503106!A$2</f>
        <v>503106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IFERROR(VLOOKUP(B85,input_503106!L:R,7,FALSE),VLOOKUP(tables_503106!C85,input_503106!A:H,8,FALSE))</f>
        <v>9145.94</v>
      </c>
      <c r="P85" s="40">
        <f t="shared" ca="1" si="5"/>
        <v>4.6662959184387721E-3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input_503106!A$2</f>
        <v>503106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IFERROR(VLOOKUP(B86,input_503106!L:R,7,FALSE),VLOOKUP(tables_503106!C86,input_503106!A:H,8,FALSE))</f>
        <v>241.06</v>
      </c>
      <c r="P86" s="40">
        <f t="shared" ca="1" si="5"/>
        <v>1.229897959202499E-4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input_503106!A$2</f>
        <v>503106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IFERROR(VLOOKUP(B87,input_503106!L:R,7,FALSE),VLOOKUP(tables_503106!C87,input_503106!A:H,8,FALSE))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input_503106!A$2</f>
        <v>503106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IFERROR(VLOOKUP(B88,input_503106!L:R,7,FALSE),VLOOKUP(tables_503106!C88,input_503106!A:H,8,FALSE))</f>
        <v>9145.94</v>
      </c>
      <c r="P88" s="40">
        <f t="shared" ca="1" si="5"/>
        <v>4.6662959184387721E-3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input_503106!A$2</f>
        <v>503106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IFERROR(VLOOKUP(B89,input_503106!L:R,7,FALSE),VLOOKUP(tables_503106!C89,input_503106!A:H,8,FALSE))</f>
        <v>241.06</v>
      </c>
      <c r="P89" s="40">
        <f t="shared" ca="1" si="5"/>
        <v>1.229897959202499E-4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input_503106!A$2</f>
        <v>503106</v>
      </c>
      <c r="B90" s="5">
        <v>214</v>
      </c>
      <c r="C90" s="7" t="str">
        <f t="shared" si="4"/>
        <v>Premium3color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IFERROR(VLOOKUP(B90,input_503106!L:R,7,FALSE),VLOOKUP(tables_503106!C90,input_503106!A:H,8,FALSE))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input_503106!A$2</f>
        <v>503106</v>
      </c>
      <c r="B91" s="5">
        <v>215</v>
      </c>
      <c r="C91" s="7" t="str">
        <f t="shared" si="4"/>
        <v>Premium4color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IFERROR(VLOOKUP(B91,input_503106!L:R,7,FALSE),VLOOKUP(tables_503106!C91,input_503106!A:H,8,FALSE))</f>
        <v>39311.466659999998</v>
      </c>
      <c r="P91" s="40">
        <f t="shared" ca="1" si="5"/>
        <v>2.0056870745204961E-2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input_503106!A$2</f>
        <v>503106</v>
      </c>
      <c r="B92" s="5">
        <v>216</v>
      </c>
      <c r="C92" s="7" t="str">
        <f t="shared" si="4"/>
        <v>Premium5color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IFERROR(VLOOKUP(B92,input_503106!L:R,7,FALSE),VLOOKUP(tables_503106!C92,input_503106!A:H,8,FALSE))</f>
        <v>4557</v>
      </c>
      <c r="P92" s="40">
        <f t="shared" ca="1" si="5"/>
        <v>2.3250000000355877E-3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input_503106!A$2</f>
        <v>503106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IFERROR(VLOOKUP(B93,input_503106!L:R,7,FALSE),VLOOKUP(tables_503106!C93,input_503106!A:H,8,FALSE))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input_503106!A$2</f>
        <v>503106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IFERROR(VLOOKUP(B94,input_503106!L:R,7,FALSE),VLOOKUP(tables_503106!C94,input_503106!A:H,8,FALSE))</f>
        <v>9145.94</v>
      </c>
      <c r="P94" s="40">
        <f t="shared" ca="1" si="5"/>
        <v>4.6662959184387721E-3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input_503106!A$2</f>
        <v>503106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IFERROR(VLOOKUP(B95,input_503106!L:R,7,FALSE),VLOOKUP(tables_503106!C95,input_503106!A:H,8,FALSE))</f>
        <v>241.06</v>
      </c>
      <c r="P95" s="40">
        <f t="shared" ca="1" si="5"/>
        <v>1.229897959202499E-4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input_503106!A$2</f>
        <v>503106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IFERROR(VLOOKUP(B96,input_503106!L:R,7,FALSE),VLOOKUP(tables_503106!C96,input_503106!A:H,8,FALSE))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input_503106!A$2</f>
        <v>503106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IFERROR(VLOOKUP(B97,input_503106!L:R,7,FALSE),VLOOKUP(tables_503106!C97,input_503106!A:H,8,FALSE))</f>
        <v>9145.94</v>
      </c>
      <c r="P97" s="40">
        <f t="shared" ca="1" si="5"/>
        <v>4.6662959184387721E-3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input_503106!A$2</f>
        <v>503106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IFERROR(VLOOKUP(B98,input_503106!L:R,7,FALSE),VLOOKUP(tables_503106!C98,input_503106!A:H,8,FALSE))</f>
        <v>241.06</v>
      </c>
      <c r="P98" s="40">
        <f t="shared" ca="1" si="5"/>
        <v>1.229897959202499E-4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input_503106!A$2</f>
        <v>503106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IFERROR(VLOOKUP(B99,input_503106!L:R,7,FALSE),VLOOKUP(tables_503106!C99,input_503106!A:H,8,FALSE))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input_503106!A$2</f>
        <v>503106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IFERROR(VLOOKUP(B100,input_503106!L:R,7,FALSE),VLOOKUP(tables_503106!C100,input_503106!A:H,8,FALSE))</f>
        <v>9145.94</v>
      </c>
      <c r="P100" s="40">
        <f t="shared" ca="1" si="5"/>
        <v>4.6662959184387721E-3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input_503106!A$2</f>
        <v>503106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IFERROR(VLOOKUP(B101,input_503106!L:R,7,FALSE),VLOOKUP(tables_503106!C101,input_503106!A:H,8,FALSE))</f>
        <v>241.06</v>
      </c>
      <c r="P101" s="40">
        <f t="shared" ca="1" si="5"/>
        <v>1.229897959202499E-4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input_503106!A$2</f>
        <v>503106</v>
      </c>
      <c r="B102" s="5">
        <v>226</v>
      </c>
      <c r="C102" s="7" t="str">
        <f t="shared" si="4"/>
        <v>Premium3color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IFERROR(VLOOKUP(B102,input_503106!L:R,7,FALSE),VLOOKUP(tables_503106!C102,input_503106!A:H,8,FALSE))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input_503106!A$2</f>
        <v>503106</v>
      </c>
      <c r="B103" s="5">
        <v>227</v>
      </c>
      <c r="C103" s="7" t="str">
        <f t="shared" si="4"/>
        <v>Premium4color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IFERROR(VLOOKUP(B103,input_503106!L:R,7,FALSE),VLOOKUP(tables_503106!C103,input_503106!A:H,8,FALSE))</f>
        <v>39311.466659999998</v>
      </c>
      <c r="P103" s="40">
        <f t="shared" ca="1" si="5"/>
        <v>2.0056870745204961E-2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input_503106!A$2</f>
        <v>503106</v>
      </c>
      <c r="B104" s="5">
        <v>228</v>
      </c>
      <c r="C104" s="7" t="str">
        <f t="shared" si="4"/>
        <v>Premium5color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IFERROR(VLOOKUP(B104,input_503106!L:R,7,FALSE),VLOOKUP(tables_503106!C104,input_503106!A:H,8,FALSE))</f>
        <v>4557</v>
      </c>
      <c r="P104" s="40">
        <f t="shared" ca="1" si="5"/>
        <v>2.3250000000355877E-3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input_503106!A$2</f>
        <v>503106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IFERROR(VLOOKUP(B105,input_503106!L:R,7,FALSE),VLOOKUP(tables_503106!C105,input_503106!A:H,8,FALSE))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input_503106!A$2</f>
        <v>503106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IFERROR(VLOOKUP(B106,input_503106!L:R,7,FALSE),VLOOKUP(tables_503106!C106,input_503106!A:H,8,FALSE))</f>
        <v>9145.94</v>
      </c>
      <c r="P106" s="40">
        <f t="shared" ca="1" si="5"/>
        <v>4.6662959184387721E-3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input_503106!A$2</f>
        <v>503106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IFERROR(VLOOKUP(B107,input_503106!L:R,7,FALSE),VLOOKUP(tables_503106!C107,input_503106!A:H,8,FALSE))</f>
        <v>241.06</v>
      </c>
      <c r="P107" s="40">
        <f t="shared" ca="1" si="5"/>
        <v>1.229897959202499E-4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input_503106!A$2</f>
        <v>503106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IFERROR(VLOOKUP(B108,input_503106!L:R,7,FALSE),VLOOKUP(tables_503106!C108,input_503106!A:H,8,FALSE))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input_503106!A$2</f>
        <v>503106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IFERROR(VLOOKUP(B109,input_503106!L:R,7,FALSE),VLOOKUP(tables_503106!C109,input_503106!A:H,8,FALSE))</f>
        <v>9145.94</v>
      </c>
      <c r="P109" s="40">
        <f t="shared" ca="1" si="5"/>
        <v>4.6662959184387721E-3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input_503106!A$2</f>
        <v>503106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IFERROR(VLOOKUP(B110,input_503106!L:R,7,FALSE),VLOOKUP(tables_503106!C110,input_503106!A:H,8,FALSE))</f>
        <v>241.06</v>
      </c>
      <c r="P110" s="40">
        <f t="shared" ca="1" si="5"/>
        <v>1.229897959202499E-4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input_503106!A$2</f>
        <v>503106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IFERROR(VLOOKUP(B111,input_503106!L:R,7,FALSE),VLOOKUP(tables_503106!C111,input_503106!A:H,8,FALSE))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input_503106!A$2</f>
        <v>503106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IFERROR(VLOOKUP(B112,input_503106!L:R,7,FALSE),VLOOKUP(tables_503106!C112,input_503106!A:H,8,FALSE))</f>
        <v>9374.4</v>
      </c>
      <c r="P112" s="40">
        <f t="shared" ca="1" si="5"/>
        <v>4.7828571429303522E-3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input_503106!A$2</f>
        <v>503106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IFERROR(VLOOKUP(B113,input_503106!L:R,7,FALSE),VLOOKUP(tables_503106!C113,input_503106!A:H,8,FALSE))</f>
        <v>1041.5999999999999</v>
      </c>
      <c r="P113" s="40">
        <f t="shared" ca="1" si="5"/>
        <v>5.314285714367057E-4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input_503106!A$2</f>
        <v>503106</v>
      </c>
      <c r="B114" s="5">
        <v>238</v>
      </c>
      <c r="C114" s="7" t="str">
        <f t="shared" si="4"/>
        <v>Premium3color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IFERROR(VLOOKUP(B114,input_503106!L:R,7,FALSE),VLOOKUP(tables_503106!C114,input_503106!A:H,8,FALSE))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input_503106!A$2</f>
        <v>503106</v>
      </c>
      <c r="B115" s="5">
        <v>239</v>
      </c>
      <c r="C115" s="7" t="str">
        <f t="shared" si="4"/>
        <v>Premium4color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IFERROR(VLOOKUP(B115,input_503106!L:R,7,FALSE),VLOOKUP(tables_503106!C115,input_503106!A:H,8,FALSE))</f>
        <v>39311.466659999998</v>
      </c>
      <c r="P115" s="40">
        <f t="shared" ca="1" si="5"/>
        <v>2.0056870745204961E-2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input_503106!A$2</f>
        <v>503106</v>
      </c>
      <c r="B116" s="5">
        <v>240</v>
      </c>
      <c r="C116" s="7" t="str">
        <f t="shared" si="4"/>
        <v>Premium5color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IFERROR(VLOOKUP(B116,input_503106!L:R,7,FALSE),VLOOKUP(tables_503106!C116,input_503106!A:H,8,FALSE))</f>
        <v>4557</v>
      </c>
      <c r="P116" s="40">
        <f t="shared" ca="1" si="5"/>
        <v>2.3250000000355877E-3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input_503106!A$2</f>
        <v>503106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IFERROR(VLOOKUP(B117,input_503106!L:R,7,FALSE),VLOOKUP(tables_503106!C117,input_503106!A:H,8,FALSE))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input_503106!A$2</f>
        <v>503106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IFERROR(VLOOKUP(B118,input_503106!L:R,7,FALSE),VLOOKUP(tables_503106!C118,input_503106!A:H,8,FALSE))</f>
        <v>9145.94</v>
      </c>
      <c r="P118" s="40">
        <f t="shared" ca="1" si="5"/>
        <v>4.6662959184387721E-3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input_503106!A$2</f>
        <v>503106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IFERROR(VLOOKUP(B119,input_503106!L:R,7,FALSE),VLOOKUP(tables_503106!C119,input_503106!A:H,8,FALSE))</f>
        <v>241.06</v>
      </c>
      <c r="P119" s="40">
        <f t="shared" ca="1" si="5"/>
        <v>1.229897959202499E-4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input_503106!A$2</f>
        <v>503106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IFERROR(VLOOKUP(B120,input_503106!L:R,7,FALSE),VLOOKUP(tables_503106!C120,input_503106!A:H,8,FALSE))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input_503106!A$2</f>
        <v>503106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IFERROR(VLOOKUP(B121,input_503106!L:R,7,FALSE),VLOOKUP(tables_503106!C121,input_503106!A:H,8,FALSE))</f>
        <v>9145.94</v>
      </c>
      <c r="P121" s="40">
        <f t="shared" ca="1" si="5"/>
        <v>4.6662959184387721E-3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input_503106!A$2</f>
        <v>503106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IFERROR(VLOOKUP(B122,input_503106!L:R,7,FALSE),VLOOKUP(tables_503106!C122,input_503106!A:H,8,FALSE))</f>
        <v>241.06</v>
      </c>
      <c r="P122" s="40">
        <f t="shared" ca="1" si="5"/>
        <v>1.229897959202499E-4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input_503106!A$2</f>
        <v>503106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IFERROR(VLOOKUP(B123,input_503106!L:R,7,FALSE),VLOOKUP(tables_503106!C123,input_503106!A:H,8,FALSE))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input_503106!A$2</f>
        <v>503106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IFERROR(VLOOKUP(B124,input_503106!L:R,7,FALSE),VLOOKUP(tables_503106!C124,input_503106!A:H,8,FALSE))</f>
        <v>9145.94</v>
      </c>
      <c r="P124" s="40">
        <f t="shared" ca="1" si="5"/>
        <v>4.6662959184387721E-3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input_503106!A$2</f>
        <v>503106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IFERROR(VLOOKUP(B125,input_503106!L:R,7,FALSE),VLOOKUP(tables_503106!C125,input_503106!A:H,8,FALSE))</f>
        <v>241.06</v>
      </c>
      <c r="P125" s="40">
        <f t="shared" ca="1" si="5"/>
        <v>1.229897959202499E-4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input_503106!A$2</f>
        <v>503106</v>
      </c>
      <c r="B126" s="6">
        <v>250</v>
      </c>
      <c r="C126" s="7" t="str">
        <f t="shared" si="4"/>
        <v>Premium3color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IFERROR(VLOOKUP(B126,input_503106!L:R,7,FALSE),VLOOKUP(tables_503106!C126,input_503106!A:H,8,FALSE))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input_503106!A$2</f>
        <v>503106</v>
      </c>
      <c r="B127" s="6">
        <v>251</v>
      </c>
      <c r="C127" s="7" t="str">
        <f t="shared" si="4"/>
        <v>Premium4color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IFERROR(VLOOKUP(B127,input_503106!L:R,7,FALSE),VLOOKUP(tables_503106!C127,input_503106!A:H,8,FALSE))</f>
        <v>39311.466659999998</v>
      </c>
      <c r="P127" s="40">
        <f t="shared" ca="1" si="5"/>
        <v>2.0056870745204961E-2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input_503106!A$2</f>
        <v>503106</v>
      </c>
      <c r="B128" s="6">
        <v>252</v>
      </c>
      <c r="C128" s="7" t="str">
        <f t="shared" si="4"/>
        <v>Premium5color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IFERROR(VLOOKUP(B128,input_503106!L:R,7,FALSE),VLOOKUP(tables_503106!C128,input_503106!A:H,8,FALSE))</f>
        <v>4557</v>
      </c>
      <c r="P128" s="40">
        <f t="shared" ca="1" si="5"/>
        <v>2.3250000000355877E-3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input_503106!A$2</f>
        <v>503106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IFERROR(VLOOKUP(B129,input_503106!L:R,7,FALSE),VLOOKUP(tables_503106!C129,input_503106!A:H,8,FALSE))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input_503106!A$2</f>
        <v>503106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IFERROR(VLOOKUP(B130,input_503106!L:R,7,FALSE),VLOOKUP(tables_503106!C130,input_503106!A:H,8,FALSE))</f>
        <v>9145.94</v>
      </c>
      <c r="P130" s="40">
        <f t="shared" ref="P130:P193" ca="1" si="9">O130/SUM(O:O)</f>
        <v>4.6662959184387721E-3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input_503106!A$2</f>
        <v>503106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IFERROR(VLOOKUP(B131,input_503106!L:R,7,FALSE),VLOOKUP(tables_503106!C131,input_503106!A:H,8,FALSE))</f>
        <v>241.06</v>
      </c>
      <c r="P131" s="40">
        <f t="shared" ca="1" si="9"/>
        <v>1.229897959202499E-4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input_503106!A$2</f>
        <v>503106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IFERROR(VLOOKUP(B132,input_503106!L:R,7,FALSE),VLOOKUP(tables_503106!C132,input_503106!A:H,8,FALSE))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input_503106!A$2</f>
        <v>503106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IFERROR(VLOOKUP(B133,input_503106!L:R,7,FALSE),VLOOKUP(tables_503106!C133,input_503106!A:H,8,FALSE))</f>
        <v>9145.94</v>
      </c>
      <c r="P133" s="40">
        <f t="shared" ca="1" si="9"/>
        <v>4.6662959184387721E-3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input_503106!A$2</f>
        <v>503106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IFERROR(VLOOKUP(B134,input_503106!L:R,7,FALSE),VLOOKUP(tables_503106!C134,input_503106!A:H,8,FALSE))</f>
        <v>241.06</v>
      </c>
      <c r="P134" s="40">
        <f t="shared" ca="1" si="9"/>
        <v>1.229897959202499E-4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input_503106!A$2</f>
        <v>503106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IFERROR(VLOOKUP(B135,input_503106!L:R,7,FALSE),VLOOKUP(tables_503106!C135,input_503106!A:H,8,FALSE))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input_503106!A$2</f>
        <v>503106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IFERROR(VLOOKUP(B136,input_503106!L:R,7,FALSE),VLOOKUP(tables_503106!C136,input_503106!A:H,8,FALSE))</f>
        <v>9145.94</v>
      </c>
      <c r="P136" s="40">
        <f t="shared" ca="1" si="9"/>
        <v>4.6662959184387721E-3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input_503106!A$2</f>
        <v>503106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IFERROR(VLOOKUP(B137,input_503106!L:R,7,FALSE),VLOOKUP(tables_503106!C137,input_503106!A:H,8,FALSE))</f>
        <v>241.06</v>
      </c>
      <c r="P137" s="40">
        <f t="shared" ca="1" si="9"/>
        <v>1.229897959202499E-4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input_503106!A$2</f>
        <v>503106</v>
      </c>
      <c r="B138" s="6">
        <v>320</v>
      </c>
      <c r="C138" s="7" t="str">
        <f t="shared" si="8"/>
        <v>PremiumSS4color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IFERROR(VLOOKUP(B138,input_503106!L:R,7,FALSE),VLOOKUP(tables_503106!C138,input_503106!A:H,8,FALSE))</f>
        <v>4566.8</v>
      </c>
      <c r="P138" s="40">
        <f t="shared" ca="1" si="9"/>
        <v>2.3300000000356647E-3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input_503106!A$2</f>
        <v>503106</v>
      </c>
      <c r="B139" s="6">
        <v>321</v>
      </c>
      <c r="C139" s="7" t="str">
        <f t="shared" si="8"/>
        <v>PremiumSS5color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IFERROR(VLOOKUP(B139,input_503106!L:R,7,FALSE),VLOOKUP(tables_503106!C139,input_503106!A:H,8,FALSE))</f>
        <v>235.2</v>
      </c>
      <c r="P139" s="40">
        <f t="shared" ca="1" si="9"/>
        <v>1.2000000000183679E-4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input_503106!A$2</f>
        <v>503106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IFERROR(VLOOKUP(B140,input_503106!L:R,7,FALSE),VLOOKUP(tables_503106!C140,input_503106!A:H,8,FALSE))</f>
        <v>432</v>
      </c>
      <c r="P140" s="40">
        <f t="shared" ca="1" si="9"/>
        <v>2.2040816326867983E-4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input_503106!A$2</f>
        <v>503106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IFERROR(VLOOKUP(B141,input_503106!L:R,7,FALSE),VLOOKUP(tables_503106!C141,input_503106!A:H,8,FALSE))</f>
        <v>48</v>
      </c>
      <c r="P141" s="40">
        <f t="shared" ca="1" si="9"/>
        <v>2.4489795918742201E-5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input_503106!A$2</f>
        <v>503106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IFERROR(VLOOKUP(B142,input_503106!L:R,7,FALSE),VLOOKUP(tables_503106!C142,input_503106!A:H,8,FALSE))</f>
        <v>432</v>
      </c>
      <c r="P142" s="40">
        <f t="shared" ca="1" si="9"/>
        <v>2.2040816326867983E-4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input_503106!A$2</f>
        <v>503106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IFERROR(VLOOKUP(B143,input_503106!L:R,7,FALSE),VLOOKUP(tables_503106!C143,input_503106!A:H,8,FALSE))</f>
        <v>48</v>
      </c>
      <c r="P143" s="40">
        <f t="shared" ca="1" si="9"/>
        <v>2.4489795918742201E-5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input_503106!A$2</f>
        <v>503106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IFERROR(VLOOKUP(B144,input_503106!L:R,7,FALSE),VLOOKUP(tables_503106!C144,input_503106!A:H,8,FALSE))</f>
        <v>432</v>
      </c>
      <c r="P144" s="40">
        <f t="shared" ca="1" si="9"/>
        <v>2.2040816326867983E-4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input_503106!A$2</f>
        <v>503106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IFERROR(VLOOKUP(B145,input_503106!L:R,7,FALSE),VLOOKUP(tables_503106!C145,input_503106!A:H,8,FALSE))</f>
        <v>48</v>
      </c>
      <c r="P145" s="40">
        <f t="shared" ca="1" si="9"/>
        <v>2.4489795918742201E-5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input_503106!A$2</f>
        <v>503106</v>
      </c>
      <c r="B146" s="6">
        <v>380</v>
      </c>
      <c r="C146" s="7" t="str">
        <f t="shared" si="8"/>
        <v>Premium3color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IFERROR(VLOOKUP(B146,input_503106!L:R,7,FALSE),VLOOKUP(tables_503106!C146,input_503106!A:H,8,FALSE))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input_503106!A$2</f>
        <v>503106</v>
      </c>
      <c r="B147" s="6">
        <v>381</v>
      </c>
      <c r="C147" s="7" t="str">
        <f t="shared" si="8"/>
        <v>Premium4color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IFERROR(VLOOKUP(B147,input_503106!L:R,7,FALSE),VLOOKUP(tables_503106!C147,input_503106!A:H,8,FALSE))</f>
        <v>39311.466659999998</v>
      </c>
      <c r="P147" s="40">
        <f t="shared" ca="1" si="9"/>
        <v>2.0056870745204961E-2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input_503106!A$2</f>
        <v>503106</v>
      </c>
      <c r="B148" s="6">
        <v>382</v>
      </c>
      <c r="C148" s="7" t="str">
        <f t="shared" si="8"/>
        <v>Premium5color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IFERROR(VLOOKUP(B148,input_503106!L:R,7,FALSE),VLOOKUP(tables_503106!C148,input_503106!A:H,8,FALSE))</f>
        <v>4557</v>
      </c>
      <c r="P148" s="40">
        <f t="shared" ca="1" si="9"/>
        <v>2.3250000000355877E-3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input_503106!A$2</f>
        <v>503106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IFERROR(VLOOKUP(B149,input_503106!L:R,7,FALSE),VLOOKUP(tables_503106!C149,input_503106!A:H,8,FALSE))</f>
        <v>432</v>
      </c>
      <c r="P149" s="40">
        <f t="shared" ca="1" si="9"/>
        <v>2.2040816326867983E-4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input_503106!A$2</f>
        <v>503106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IFERROR(VLOOKUP(B150,input_503106!L:R,7,FALSE),VLOOKUP(tables_503106!C150,input_503106!A:H,8,FALSE))</f>
        <v>48</v>
      </c>
      <c r="P150" s="40">
        <f t="shared" ca="1" si="9"/>
        <v>2.4489795918742201E-5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input_503106!A$2</f>
        <v>503106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IFERROR(VLOOKUP(B151,input_503106!L:R,7,FALSE),VLOOKUP(tables_503106!C151,input_503106!A:H,8,FALSE))</f>
        <v>432</v>
      </c>
      <c r="P151" s="40">
        <f t="shared" ca="1" si="9"/>
        <v>2.2040816326867983E-4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input_503106!A$2</f>
        <v>503106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IFERROR(VLOOKUP(B152,input_503106!L:R,7,FALSE),VLOOKUP(tables_503106!C152,input_503106!A:H,8,FALSE))</f>
        <v>48</v>
      </c>
      <c r="P152" s="40">
        <f t="shared" ca="1" si="9"/>
        <v>2.4489795918742201E-5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input_503106!A$2</f>
        <v>503106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IFERROR(VLOOKUP(B153,input_503106!L:R,7,FALSE),VLOOKUP(tables_503106!C153,input_503106!A:H,8,FALSE))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input_503106!A$2</f>
        <v>503106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IFERROR(VLOOKUP(B154,input_503106!L:R,7,FALSE),VLOOKUP(tables_503106!C154,input_503106!A:H,8,FALSE))</f>
        <v>9145.94</v>
      </c>
      <c r="P154" s="40">
        <f t="shared" ca="1" si="9"/>
        <v>4.6662959184387721E-3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input_503106!A$2</f>
        <v>503106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IFERROR(VLOOKUP(B155,input_503106!L:R,7,FALSE),VLOOKUP(tables_503106!C155,input_503106!A:H,8,FALSE))</f>
        <v>241.06</v>
      </c>
      <c r="P155" s="40">
        <f t="shared" ca="1" si="9"/>
        <v>1.229897959202499E-4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input_503106!A$2</f>
        <v>503106</v>
      </c>
      <c r="B156" s="6">
        <v>390</v>
      </c>
      <c r="C156" s="7" t="str">
        <f t="shared" si="8"/>
        <v>PremiumSS4color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IFERROR(VLOOKUP(B156,input_503106!L:R,7,FALSE),VLOOKUP(tables_503106!C156,input_503106!A:H,8,FALSE))</f>
        <v>4566.8</v>
      </c>
      <c r="P156" s="40">
        <f t="shared" ca="1" si="9"/>
        <v>2.3300000000356647E-3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input_503106!A$2</f>
        <v>503106</v>
      </c>
      <c r="B157" s="6">
        <v>391</v>
      </c>
      <c r="C157" s="7" t="str">
        <f t="shared" si="8"/>
        <v>PremiumSS5color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IFERROR(VLOOKUP(B157,input_503106!L:R,7,FALSE),VLOOKUP(tables_503106!C157,input_503106!A:H,8,FALSE))</f>
        <v>235.2</v>
      </c>
      <c r="P157" s="40">
        <f t="shared" ca="1" si="9"/>
        <v>1.2000000000183679E-4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input_503106!A$2</f>
        <v>503106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IFERROR(VLOOKUP(B158,input_503106!L:R,7,FALSE),VLOOKUP(tables_503106!C158,input_503106!A:H,8,FALSE))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input_503106!A$2</f>
        <v>503106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IFERROR(VLOOKUP(B159,input_503106!L:R,7,FALSE),VLOOKUP(tables_503106!C159,input_503106!A:H,8,FALSE))</f>
        <v>9145.94</v>
      </c>
      <c r="P159" s="40">
        <f t="shared" ca="1" si="9"/>
        <v>4.6662959184387721E-3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input_503106!A$2</f>
        <v>503106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IFERROR(VLOOKUP(B160,input_503106!L:R,7,FALSE),VLOOKUP(tables_503106!C160,input_503106!A:H,8,FALSE))</f>
        <v>241.06</v>
      </c>
      <c r="P160" s="40">
        <f t="shared" ca="1" si="9"/>
        <v>1.229897959202499E-4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input_503106!A$2</f>
        <v>503106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IFERROR(VLOOKUP(B161,input_503106!L:R,7,FALSE),VLOOKUP(tables_503106!C161,input_503106!A:H,8,FALSE))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input_503106!A$2</f>
        <v>503106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IFERROR(VLOOKUP(B162,input_503106!L:R,7,FALSE),VLOOKUP(tables_503106!C162,input_503106!A:H,8,FALSE))</f>
        <v>9145.94</v>
      </c>
      <c r="P162" s="40">
        <f t="shared" ca="1" si="9"/>
        <v>4.6662959184387721E-3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input_503106!A$2</f>
        <v>503106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IFERROR(VLOOKUP(B163,input_503106!L:R,7,FALSE),VLOOKUP(tables_503106!C163,input_503106!A:H,8,FALSE))</f>
        <v>241.06</v>
      </c>
      <c r="P163" s="40">
        <f t="shared" ca="1" si="9"/>
        <v>1.229897959202499E-4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input_503106!A$2</f>
        <v>503106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IFERROR(VLOOKUP(B164,input_503106!L:R,7,FALSE),VLOOKUP(tables_503106!C164,input_503106!A:H,8,FALSE))</f>
        <v>432</v>
      </c>
      <c r="P164" s="40">
        <f t="shared" ca="1" si="9"/>
        <v>2.2040816326867983E-4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input_503106!A$2</f>
        <v>503106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IFERROR(VLOOKUP(B165,input_503106!L:R,7,FALSE),VLOOKUP(tables_503106!C165,input_503106!A:H,8,FALSE))</f>
        <v>48</v>
      </c>
      <c r="P165" s="40">
        <f t="shared" ca="1" si="9"/>
        <v>2.4489795918742201E-5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input_503106!A$2</f>
        <v>503106</v>
      </c>
      <c r="B166" s="6">
        <v>400</v>
      </c>
      <c r="C166" s="7" t="str">
        <f t="shared" si="8"/>
        <v>Premium3color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IFERROR(VLOOKUP(B166,input_503106!L:R,7,FALSE),VLOOKUP(tables_503106!C166,input_503106!A:H,8,FALSE))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input_503106!A$2</f>
        <v>503106</v>
      </c>
      <c r="B167" s="6">
        <v>401</v>
      </c>
      <c r="C167" s="7" t="str">
        <f t="shared" si="8"/>
        <v>Premium4color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IFERROR(VLOOKUP(B167,input_503106!L:R,7,FALSE),VLOOKUP(tables_503106!C167,input_503106!A:H,8,FALSE))</f>
        <v>39311.466659999998</v>
      </c>
      <c r="P167" s="40">
        <f t="shared" ca="1" si="9"/>
        <v>2.0056870745204961E-2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input_503106!A$2</f>
        <v>503106</v>
      </c>
      <c r="B168" s="6">
        <v>402</v>
      </c>
      <c r="C168" s="7" t="str">
        <f t="shared" si="8"/>
        <v>Premium5color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IFERROR(VLOOKUP(B168,input_503106!L:R,7,FALSE),VLOOKUP(tables_503106!C168,input_503106!A:H,8,FALSE))</f>
        <v>4557</v>
      </c>
      <c r="P168" s="40">
        <f t="shared" ca="1" si="9"/>
        <v>2.3250000000355877E-3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input_503106!A$2</f>
        <v>503106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IFERROR(VLOOKUP(B169,input_503106!L:R,7,FALSE),VLOOKUP(tables_503106!C169,input_503106!A:H,8,FALSE))</f>
        <v>432</v>
      </c>
      <c r="P169" s="40">
        <f t="shared" ca="1" si="9"/>
        <v>2.2040816326867983E-4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input_503106!A$2</f>
        <v>503106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IFERROR(VLOOKUP(B170,input_503106!L:R,7,FALSE),VLOOKUP(tables_503106!C170,input_503106!A:H,8,FALSE))</f>
        <v>48</v>
      </c>
      <c r="P170" s="40">
        <f t="shared" ca="1" si="9"/>
        <v>2.4489795918742201E-5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input_503106!A$2</f>
        <v>503106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IFERROR(VLOOKUP(B171,input_503106!L:R,7,FALSE),VLOOKUP(tables_503106!C171,input_503106!A:H,8,FALSE))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input_503106!A$2</f>
        <v>503106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IFERROR(VLOOKUP(B172,input_503106!L:R,7,FALSE),VLOOKUP(tables_503106!C172,input_503106!A:H,8,FALSE))</f>
        <v>9145.94</v>
      </c>
      <c r="P172" s="40">
        <f t="shared" ca="1" si="9"/>
        <v>4.6662959184387721E-3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input_503106!A$2</f>
        <v>503106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IFERROR(VLOOKUP(B173,input_503106!L:R,7,FALSE),VLOOKUP(tables_503106!C173,input_503106!A:H,8,FALSE))</f>
        <v>241.06</v>
      </c>
      <c r="P173" s="40">
        <f t="shared" ca="1" si="9"/>
        <v>1.229897959202499E-4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input_503106!A$2</f>
        <v>503106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IFERROR(VLOOKUP(B174,input_503106!L:R,7,FALSE),VLOOKUP(tables_503106!C174,input_503106!A:H,8,FALSE))</f>
        <v>432</v>
      </c>
      <c r="P174" s="40">
        <f t="shared" ca="1" si="9"/>
        <v>2.2040816326867983E-4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input_503106!A$2</f>
        <v>503106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IFERROR(VLOOKUP(B175,input_503106!L:R,7,FALSE),VLOOKUP(tables_503106!C175,input_503106!A:H,8,FALSE))</f>
        <v>48</v>
      </c>
      <c r="P175" s="40">
        <f t="shared" ca="1" si="9"/>
        <v>2.4489795918742201E-5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input_503106!A$2</f>
        <v>503106</v>
      </c>
      <c r="B176" s="6">
        <v>434</v>
      </c>
      <c r="C176" s="7" t="str">
        <f t="shared" si="8"/>
        <v>PremiumSS4color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IFERROR(VLOOKUP(B176,input_503106!L:R,7,FALSE),VLOOKUP(tables_503106!C176,input_503106!A:H,8,FALSE))</f>
        <v>4566.8</v>
      </c>
      <c r="P176" s="40">
        <f t="shared" ca="1" si="9"/>
        <v>2.3300000000356647E-3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input_503106!A$2</f>
        <v>503106</v>
      </c>
      <c r="B177" s="6">
        <v>435</v>
      </c>
      <c r="C177" s="7" t="str">
        <f t="shared" si="8"/>
        <v>PremiumSS5color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IFERROR(VLOOKUP(B177,input_503106!L:R,7,FALSE),VLOOKUP(tables_503106!C177,input_503106!A:H,8,FALSE))</f>
        <v>235.2</v>
      </c>
      <c r="P177" s="40">
        <f t="shared" ca="1" si="9"/>
        <v>1.2000000000183679E-4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input_503106!A$2</f>
        <v>503106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IFERROR(VLOOKUP(B178,input_503106!L:R,7,FALSE),VLOOKUP(tables_503106!C178,input_503106!A:H,8,FALSE))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input_503106!A$2</f>
        <v>503106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IFERROR(VLOOKUP(B179,input_503106!L:R,7,FALSE),VLOOKUP(tables_503106!C179,input_503106!A:H,8,FALSE))</f>
        <v>9145.94</v>
      </c>
      <c r="P179" s="40">
        <f t="shared" ca="1" si="9"/>
        <v>4.6662959184387721E-3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input_503106!A$2</f>
        <v>503106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IFERROR(VLOOKUP(B180,input_503106!L:R,7,FALSE),VLOOKUP(tables_503106!C180,input_503106!A:H,8,FALSE))</f>
        <v>241.06</v>
      </c>
      <c r="P180" s="40">
        <f t="shared" ca="1" si="9"/>
        <v>1.229897959202499E-4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input_503106!A$2</f>
        <v>503106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IFERROR(VLOOKUP(B181,input_503106!L:R,7,FALSE),VLOOKUP(tables_503106!C181,input_503106!A:H,8,FALSE))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input_503106!A$2</f>
        <v>503106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IFERROR(VLOOKUP(B182,input_503106!L:R,7,FALSE),VLOOKUP(tables_503106!C182,input_503106!A:H,8,FALSE))</f>
        <v>9145.94</v>
      </c>
      <c r="P182" s="40">
        <f t="shared" ca="1" si="9"/>
        <v>4.6662959184387721E-3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input_503106!A$2</f>
        <v>503106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IFERROR(VLOOKUP(B183,input_503106!L:R,7,FALSE),VLOOKUP(tables_503106!C183,input_503106!A:H,8,FALSE))</f>
        <v>241.06</v>
      </c>
      <c r="P183" s="40">
        <f t="shared" ca="1" si="9"/>
        <v>1.229897959202499E-4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input_503106!A$2</f>
        <v>503106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IFERROR(VLOOKUP(B184,input_503106!L:R,7,FALSE),VLOOKUP(tables_503106!C184,input_503106!A:H,8,FALSE))</f>
        <v>432</v>
      </c>
      <c r="P184" s="40">
        <f t="shared" ca="1" si="9"/>
        <v>2.2040816326867983E-4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input_503106!A$2</f>
        <v>503106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IFERROR(VLOOKUP(B185,input_503106!L:R,7,FALSE),VLOOKUP(tables_503106!C185,input_503106!A:H,8,FALSE))</f>
        <v>48</v>
      </c>
      <c r="P185" s="40">
        <f t="shared" ca="1" si="9"/>
        <v>2.4489795918742201E-5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input_503106!A$2</f>
        <v>503106</v>
      </c>
      <c r="B186" s="8">
        <v>462</v>
      </c>
      <c r="C186" s="7" t="str">
        <f t="shared" si="8"/>
        <v>Premium3color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IFERROR(VLOOKUP(B186,input_503106!L:R,7,FALSE),VLOOKUP(tables_503106!C186,input_503106!A:H,8,FALSE))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input_503106!A$2</f>
        <v>503106</v>
      </c>
      <c r="B187" s="8">
        <v>463</v>
      </c>
      <c r="C187" s="7" t="str">
        <f t="shared" si="8"/>
        <v>Premium4color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IFERROR(VLOOKUP(B187,input_503106!L:R,7,FALSE),VLOOKUP(tables_503106!C187,input_503106!A:H,8,FALSE))</f>
        <v>39311.466659999998</v>
      </c>
      <c r="P187" s="40">
        <f t="shared" ca="1" si="9"/>
        <v>2.0056870745204961E-2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input_503106!A$2</f>
        <v>503106</v>
      </c>
      <c r="B188" s="8">
        <v>464</v>
      </c>
      <c r="C188" s="7" t="str">
        <f t="shared" si="8"/>
        <v>Premium5color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IFERROR(VLOOKUP(B188,input_503106!L:R,7,FALSE),VLOOKUP(tables_503106!C188,input_503106!A:H,8,FALSE))</f>
        <v>4557</v>
      </c>
      <c r="P188" s="40">
        <f t="shared" ca="1" si="9"/>
        <v>2.3250000000355877E-3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input_503106!A$2</f>
        <v>503106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IFERROR(VLOOKUP(B189,input_503106!L:R,7,FALSE),VLOOKUP(tables_503106!C189,input_503106!A:H,8,FALSE))</f>
        <v>432</v>
      </c>
      <c r="P189" s="40">
        <f t="shared" ca="1" si="9"/>
        <v>2.2040816326867983E-4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input_503106!A$2</f>
        <v>503106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IFERROR(VLOOKUP(B190,input_503106!L:R,7,FALSE),VLOOKUP(tables_503106!C190,input_503106!A:H,8,FALSE))</f>
        <v>48</v>
      </c>
      <c r="P190" s="40">
        <f t="shared" ca="1" si="9"/>
        <v>2.4489795918742201E-5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input_503106!A$2</f>
        <v>503106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IFERROR(VLOOKUP(B191,input_503106!L:R,7,FALSE),VLOOKUP(tables_503106!C191,input_503106!A:H,8,FALSE))</f>
        <v>432</v>
      </c>
      <c r="P191" s="40">
        <f t="shared" ca="1" si="9"/>
        <v>2.2040816326867983E-4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input_503106!A$2</f>
        <v>503106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IFERROR(VLOOKUP(B192,input_503106!L:R,7,FALSE),VLOOKUP(tables_503106!C192,input_503106!A:H,8,FALSE))</f>
        <v>48</v>
      </c>
      <c r="P192" s="40">
        <f t="shared" ca="1" si="9"/>
        <v>2.4489795918742201E-5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input_503106!A$2</f>
        <v>503106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IFERROR(VLOOKUP(B193,input_503106!L:R,7,FALSE),VLOOKUP(tables_503106!C193,input_503106!A:H,8,FALSE))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input_503106!A$2</f>
        <v>503106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IFERROR(VLOOKUP(B194,input_503106!L:R,7,FALSE),VLOOKUP(tables_503106!C194,input_503106!A:H,8,FALSE))</f>
        <v>9145.94</v>
      </c>
      <c r="P194" s="40">
        <f t="shared" ref="P194:P257" ca="1" si="13">O194/SUM(O:O)</f>
        <v>4.6662959184387721E-3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input_503106!A$2</f>
        <v>503106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IFERROR(VLOOKUP(B195,input_503106!L:R,7,FALSE),VLOOKUP(tables_503106!C195,input_503106!A:H,8,FALSE))</f>
        <v>241.06</v>
      </c>
      <c r="P195" s="40">
        <f t="shared" ca="1" si="13"/>
        <v>1.229897959202499E-4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input_503106!A$2</f>
        <v>503106</v>
      </c>
      <c r="B196" s="6">
        <v>474</v>
      </c>
      <c r="C196" s="7" t="str">
        <f t="shared" si="12"/>
        <v>PremiumSS4color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IFERROR(VLOOKUP(B196,input_503106!L:R,7,FALSE),VLOOKUP(tables_503106!C196,input_503106!A:H,8,FALSE))</f>
        <v>4566.8</v>
      </c>
      <c r="P196" s="40">
        <f t="shared" ca="1" si="13"/>
        <v>2.3300000000356647E-3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input_503106!A$2</f>
        <v>503106</v>
      </c>
      <c r="B197" s="6">
        <v>475</v>
      </c>
      <c r="C197" s="7" t="str">
        <f t="shared" si="12"/>
        <v>PremiumSS5color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IFERROR(VLOOKUP(B197,input_503106!L:R,7,FALSE),VLOOKUP(tables_503106!C197,input_503106!A:H,8,FALSE))</f>
        <v>235.2</v>
      </c>
      <c r="P197" s="40">
        <f t="shared" ca="1" si="13"/>
        <v>1.2000000000183679E-4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input_503106!A$2</f>
        <v>503106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IFERROR(VLOOKUP(B198,input_503106!L:R,7,FALSE),VLOOKUP(tables_503106!C198,input_503106!A:H,8,FALSE))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input_503106!A$2</f>
        <v>503106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IFERROR(VLOOKUP(B199,input_503106!L:R,7,FALSE),VLOOKUP(tables_503106!C199,input_503106!A:H,8,FALSE))</f>
        <v>9145.94</v>
      </c>
      <c r="P199" s="40">
        <f t="shared" ca="1" si="13"/>
        <v>4.6662959184387721E-3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input_503106!A$2</f>
        <v>503106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IFERROR(VLOOKUP(B200,input_503106!L:R,7,FALSE),VLOOKUP(tables_503106!C200,input_503106!A:H,8,FALSE))</f>
        <v>241.06</v>
      </c>
      <c r="P200" s="40">
        <f t="shared" ca="1" si="13"/>
        <v>1.229897959202499E-4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input_503106!A$2</f>
        <v>503106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IFERROR(VLOOKUP(B201,input_503106!L:R,7,FALSE),VLOOKUP(tables_503106!C201,input_503106!A:H,8,FALSE))</f>
        <v>432</v>
      </c>
      <c r="P201" s="40">
        <f t="shared" ca="1" si="13"/>
        <v>2.2040816326867983E-4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input_503106!A$2</f>
        <v>503106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IFERROR(VLOOKUP(B202,input_503106!L:R,7,FALSE),VLOOKUP(tables_503106!C202,input_503106!A:H,8,FALSE))</f>
        <v>48</v>
      </c>
      <c r="P202" s="40">
        <f t="shared" ca="1" si="13"/>
        <v>2.4489795918742201E-5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input_503106!A$2</f>
        <v>503106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IFERROR(VLOOKUP(B203,input_503106!L:R,7,FALSE),VLOOKUP(tables_503106!C203,input_503106!A:H,8,FALSE))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input_503106!A$2</f>
        <v>503106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IFERROR(VLOOKUP(B204,input_503106!L:R,7,FALSE),VLOOKUP(tables_503106!C204,input_503106!A:H,8,FALSE))</f>
        <v>9145.94</v>
      </c>
      <c r="P204" s="40">
        <f t="shared" ca="1" si="13"/>
        <v>4.6662959184387721E-3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input_503106!A$2</f>
        <v>503106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IFERROR(VLOOKUP(B205,input_503106!L:R,7,FALSE),VLOOKUP(tables_503106!C205,input_503106!A:H,8,FALSE))</f>
        <v>241.06</v>
      </c>
      <c r="P205" s="40">
        <f t="shared" ca="1" si="13"/>
        <v>1.229897959202499E-4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input_503106!A$2</f>
        <v>503106</v>
      </c>
      <c r="B206" s="6">
        <v>492</v>
      </c>
      <c r="C206" s="7" t="str">
        <f t="shared" si="12"/>
        <v>PremiumSS4color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IFERROR(VLOOKUP(B206,input_503106!L:R,7,FALSE),VLOOKUP(tables_503106!C206,input_503106!A:H,8,FALSE))</f>
        <v>4566.8</v>
      </c>
      <c r="P206" s="40">
        <f t="shared" ca="1" si="13"/>
        <v>2.3300000000356647E-3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input_503106!A$2</f>
        <v>503106</v>
      </c>
      <c r="B207" s="6">
        <v>493</v>
      </c>
      <c r="C207" s="7" t="str">
        <f t="shared" si="12"/>
        <v>PremiumSS5color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IFERROR(VLOOKUP(B207,input_503106!L:R,7,FALSE),VLOOKUP(tables_503106!C207,input_503106!A:H,8,FALSE))</f>
        <v>235.2</v>
      </c>
      <c r="P207" s="40">
        <f t="shared" ca="1" si="13"/>
        <v>1.2000000000183679E-4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input_503106!A$2</f>
        <v>503106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IFERROR(VLOOKUP(B208,input_503106!L:R,7,FALSE),VLOOKUP(tables_503106!C208,input_503106!A:H,8,FALSE))</f>
        <v>432</v>
      </c>
      <c r="P208" s="40">
        <f t="shared" ca="1" si="13"/>
        <v>2.2040816326867983E-4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input_503106!A$2</f>
        <v>503106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IFERROR(VLOOKUP(B209,input_503106!L:R,7,FALSE),VLOOKUP(tables_503106!C209,input_503106!A:H,8,FALSE))</f>
        <v>48</v>
      </c>
      <c r="P209" s="40">
        <f t="shared" ca="1" si="13"/>
        <v>2.4489795918742201E-5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input_503106!A$2</f>
        <v>503106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IFERROR(VLOOKUP(B210,input_503106!L:R,7,FALSE),VLOOKUP(tables_503106!C210,input_503106!A:H,8,FALSE))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input_503106!A$2</f>
        <v>503106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IFERROR(VLOOKUP(B211,input_503106!L:R,7,FALSE),VLOOKUP(tables_503106!C211,input_503106!A:H,8,FALSE))</f>
        <v>9145.94</v>
      </c>
      <c r="P211" s="40">
        <f t="shared" ca="1" si="13"/>
        <v>4.6662959184387721E-3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input_503106!A$2</f>
        <v>503106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IFERROR(VLOOKUP(B212,input_503106!L:R,7,FALSE),VLOOKUP(tables_503106!C212,input_503106!A:H,8,FALSE))</f>
        <v>241.06</v>
      </c>
      <c r="P212" s="40">
        <f t="shared" ca="1" si="13"/>
        <v>1.229897959202499E-4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input_503106!A$2</f>
        <v>503106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IFERROR(VLOOKUP(B213,input_503106!L:R,7,FALSE),VLOOKUP(tables_503106!C213,input_503106!A:H,8,FALSE))</f>
        <v>432</v>
      </c>
      <c r="P213" s="40">
        <f t="shared" ca="1" si="13"/>
        <v>2.2040816326867983E-4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input_503106!A$2</f>
        <v>503106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IFERROR(VLOOKUP(B214,input_503106!L:R,7,FALSE),VLOOKUP(tables_503106!C214,input_503106!A:H,8,FALSE))</f>
        <v>48</v>
      </c>
      <c r="P214" s="40">
        <f t="shared" ca="1" si="13"/>
        <v>2.4489795918742201E-5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input_503106!A$2</f>
        <v>503106</v>
      </c>
      <c r="B215" s="6">
        <v>560</v>
      </c>
      <c r="C215" s="7" t="str">
        <f t="shared" si="12"/>
        <v>premium5R3lesscolor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IFERROR(VLOOKUP(B215,input_503106!L:R,7,FALSE),VLOOKUP(tables_503106!C215,input_503106!A:H,8,FALSE))</f>
        <v>4557</v>
      </c>
      <c r="P215" s="40">
        <f t="shared" ca="1" si="13"/>
        <v>2.3250000000355877E-3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input_503106!A$2</f>
        <v>503106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IFERROR(VLOOKUP(B216,input_503106!L:R,7,FALSE),VLOOKUP(tables_503106!C216,input_503106!A:H,8,FALSE))</f>
        <v>3.9529399999999999</v>
      </c>
      <c r="P216" s="40">
        <f t="shared" ca="1" si="13"/>
        <v>2.01680612247985E-6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input_503106!A$2</f>
        <v>503106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IFERROR(VLOOKUP(B217,input_503106!L:R,7,FALSE),VLOOKUP(tables_503106!C217,input_503106!A:H,8,FALSE))</f>
        <v>3.9529399999999999</v>
      </c>
      <c r="P217" s="40">
        <f t="shared" ca="1" si="13"/>
        <v>2.01680612247985E-6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input_503106!A$2</f>
        <v>503106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IFERROR(VLOOKUP(B218,input_503106!L:R,7,FALSE),VLOOKUP(tables_503106!C218,input_503106!A:H,8,FALSE))</f>
        <v>3.9529399999999999</v>
      </c>
      <c r="P218" s="40">
        <f t="shared" ca="1" si="13"/>
        <v>2.01680612247985E-6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input_503106!A$2</f>
        <v>503106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IFERROR(VLOOKUP(B219,input_503106!L:R,7,FALSE),VLOOKUP(tables_503106!C219,input_503106!A:H,8,FALSE))</f>
        <v>3.9529399999999999</v>
      </c>
      <c r="P219" s="40">
        <f t="shared" ca="1" si="13"/>
        <v>2.01680612247985E-6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input_503106!A$2</f>
        <v>503106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IFERROR(VLOOKUP(B220,input_503106!L:R,7,FALSE),VLOOKUP(tables_503106!C220,input_503106!A:H,8,FALSE))</f>
        <v>3.9529399999999999</v>
      </c>
      <c r="P220" s="40">
        <f t="shared" ca="1" si="13"/>
        <v>2.01680612247985E-6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input_503106!A$2</f>
        <v>503106</v>
      </c>
      <c r="B221" s="6">
        <v>586</v>
      </c>
      <c r="C221" s="7" t="str">
        <f t="shared" si="12"/>
        <v>PremiumSS4color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>color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IFERROR(VLOOKUP(B221,input_503106!L:R,7,FALSE),VLOOKUP(tables_503106!C221,input_503106!A:H,8,FALSE))</f>
        <v>4566.8</v>
      </c>
      <c r="P221" s="40">
        <f t="shared" ca="1" si="13"/>
        <v>2.3300000000356647E-3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input_503106!A$2</f>
        <v>503106</v>
      </c>
      <c r="B222" s="6">
        <v>587</v>
      </c>
      <c r="C222" s="7" t="str">
        <f t="shared" si="12"/>
        <v>PremiumSS5color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IFERROR(VLOOKUP(B222,input_503106!L:R,7,FALSE),VLOOKUP(tables_503106!C222,input_503106!A:H,8,FALSE))</f>
        <v>235.2</v>
      </c>
      <c r="P222" s="40">
        <f t="shared" ca="1" si="13"/>
        <v>1.2000000000183679E-4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input_503106!A$2</f>
        <v>503106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IFERROR(VLOOKUP(B223,input_503106!L:R,7,FALSE),VLOOKUP(tables_503106!C223,input_503106!A:H,8,FALSE))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input_503106!A$2</f>
        <v>503106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IFERROR(VLOOKUP(B224,input_503106!L:R,7,FALSE),VLOOKUP(tables_503106!C224,input_503106!A:H,8,FALSE))</f>
        <v>9145.94</v>
      </c>
      <c r="P224" s="40">
        <f t="shared" ca="1" si="13"/>
        <v>4.6662959184387721E-3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input_503106!A$2</f>
        <v>503106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IFERROR(VLOOKUP(B225,input_503106!L:R,7,FALSE),VLOOKUP(tables_503106!C225,input_503106!A:H,8,FALSE))</f>
        <v>241.06</v>
      </c>
      <c r="P225" s="40">
        <f t="shared" ca="1" si="13"/>
        <v>1.229897959202499E-4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input_503106!A$2</f>
        <v>503106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IFERROR(VLOOKUP(B226,input_503106!L:R,7,FALSE),VLOOKUP(tables_503106!C226,input_503106!A:H,8,FALSE))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input_503106!A$2</f>
        <v>503106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IFERROR(VLOOKUP(B227,input_503106!L:R,7,FALSE),VLOOKUP(tables_503106!C227,input_503106!A:H,8,FALSE))</f>
        <v>9145.94</v>
      </c>
      <c r="P227" s="40">
        <f t="shared" ca="1" si="13"/>
        <v>4.6662959184387721E-3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input_503106!A$2</f>
        <v>503106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IFERROR(VLOOKUP(B228,input_503106!L:R,7,FALSE),VLOOKUP(tables_503106!C228,input_503106!A:H,8,FALSE))</f>
        <v>241.06</v>
      </c>
      <c r="P228" s="40">
        <f t="shared" ca="1" si="13"/>
        <v>1.229897959202499E-4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input_503106!A$2</f>
        <v>503106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IFERROR(VLOOKUP(B229,input_503106!L:R,7,FALSE),VLOOKUP(tables_503106!C229,input_503106!A:H,8,FALSE))</f>
        <v>432</v>
      </c>
      <c r="P229" s="40">
        <f t="shared" ca="1" si="13"/>
        <v>2.2040816326867983E-4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input_503106!A$2</f>
        <v>503106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IFERROR(VLOOKUP(B230,input_503106!L:R,7,FALSE),VLOOKUP(tables_503106!C230,input_503106!A:H,8,FALSE))</f>
        <v>48</v>
      </c>
      <c r="P230" s="40">
        <f t="shared" ca="1" si="13"/>
        <v>2.4489795918742201E-5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input_503106!A$2</f>
        <v>503106</v>
      </c>
      <c r="B231" s="6">
        <v>596</v>
      </c>
      <c r="C231" s="7" t="str">
        <f t="shared" si="12"/>
        <v>Premium3color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>color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IFERROR(VLOOKUP(B231,input_503106!L:R,7,FALSE),VLOOKUP(tables_503106!C231,input_503106!A:H,8,FALSE))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input_503106!A$2</f>
        <v>503106</v>
      </c>
      <c r="B232" s="6">
        <v>597</v>
      </c>
      <c r="C232" s="7" t="str">
        <f t="shared" si="12"/>
        <v>Premium4color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IFERROR(VLOOKUP(B232,input_503106!L:R,7,FALSE),VLOOKUP(tables_503106!C232,input_503106!A:H,8,FALSE))</f>
        <v>39311.466659999998</v>
      </c>
      <c r="P232" s="40">
        <f t="shared" ca="1" si="13"/>
        <v>2.0056870745204961E-2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input_503106!A$2</f>
        <v>503106</v>
      </c>
      <c r="B233" s="6">
        <v>598</v>
      </c>
      <c r="C233" s="7" t="str">
        <f t="shared" si="12"/>
        <v>Premium5color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IFERROR(VLOOKUP(B233,input_503106!L:R,7,FALSE),VLOOKUP(tables_503106!C233,input_503106!A:H,8,FALSE))</f>
        <v>4557</v>
      </c>
      <c r="P233" s="40">
        <f t="shared" ca="1" si="13"/>
        <v>2.3250000000355877E-3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input_503106!A$2</f>
        <v>503106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IFERROR(VLOOKUP(B234,input_503106!L:R,7,FALSE),VLOOKUP(tables_503106!C234,input_503106!A:H,8,FALSE))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input_503106!A$2</f>
        <v>503106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IFERROR(VLOOKUP(B235,input_503106!L:R,7,FALSE),VLOOKUP(tables_503106!C235,input_503106!A:H,8,FALSE))</f>
        <v>9145.94</v>
      </c>
      <c r="P235" s="40">
        <f t="shared" ca="1" si="13"/>
        <v>4.6662959184387721E-3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input_503106!A$2</f>
        <v>503106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IFERROR(VLOOKUP(B236,input_503106!L:R,7,FALSE),VLOOKUP(tables_503106!C236,input_503106!A:H,8,FALSE))</f>
        <v>241.06</v>
      </c>
      <c r="P236" s="40">
        <f t="shared" ca="1" si="13"/>
        <v>1.229897959202499E-4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input_503106!A$2</f>
        <v>503106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IFERROR(VLOOKUP(B237,input_503106!L:R,7,FALSE),VLOOKUP(tables_503106!C237,input_503106!A:H,8,FALSE))</f>
        <v>432</v>
      </c>
      <c r="P237" s="40">
        <f t="shared" ca="1" si="13"/>
        <v>2.2040816326867983E-4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input_503106!A$2</f>
        <v>503106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IFERROR(VLOOKUP(B238,input_503106!L:R,7,FALSE),VLOOKUP(tables_503106!C238,input_503106!A:H,8,FALSE))</f>
        <v>48</v>
      </c>
      <c r="P238" s="40">
        <f t="shared" ca="1" si="13"/>
        <v>2.4489795918742201E-5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input_503106!A$2</f>
        <v>503106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IFERROR(VLOOKUP(B239,input_503106!L:R,7,FALSE),VLOOKUP(tables_503106!C239,input_503106!A:H,8,FALSE))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input_503106!A$2</f>
        <v>503106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IFERROR(VLOOKUP(B240,input_503106!L:R,7,FALSE),VLOOKUP(tables_503106!C240,input_503106!A:H,8,FALSE))</f>
        <v>9145.94</v>
      </c>
      <c r="P240" s="40">
        <f t="shared" ca="1" si="13"/>
        <v>4.6662959184387721E-3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input_503106!A$2</f>
        <v>503106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IFERROR(VLOOKUP(B241,input_503106!L:R,7,FALSE),VLOOKUP(tables_503106!C241,input_503106!A:H,8,FALSE))</f>
        <v>241.06</v>
      </c>
      <c r="P241" s="40">
        <f t="shared" ca="1" si="13"/>
        <v>1.229897959202499E-4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input_503106!A$2</f>
        <v>503106</v>
      </c>
      <c r="B242" s="6">
        <v>658</v>
      </c>
      <c r="C242" s="7" t="str">
        <f t="shared" si="12"/>
        <v>PremiumSS4color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IFERROR(VLOOKUP(B242,input_503106!L:R,7,FALSE),VLOOKUP(tables_503106!C242,input_503106!A:H,8,FALSE))</f>
        <v>4566.8</v>
      </c>
      <c r="P242" s="40">
        <f t="shared" ca="1" si="13"/>
        <v>2.3300000000356647E-3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input_503106!A$2</f>
        <v>503106</v>
      </c>
      <c r="B243" s="6">
        <v>659</v>
      </c>
      <c r="C243" s="7" t="str">
        <f t="shared" si="12"/>
        <v>PremiumSS5color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IFERROR(VLOOKUP(B243,input_503106!L:R,7,FALSE),VLOOKUP(tables_503106!C243,input_503106!A:H,8,FALSE))</f>
        <v>235.2</v>
      </c>
      <c r="P243" s="40">
        <f t="shared" ca="1" si="13"/>
        <v>1.2000000000183679E-4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input_503106!A$2</f>
        <v>503106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IFERROR(VLOOKUP(B244,input_503106!L:R,7,FALSE),VLOOKUP(tables_503106!C244,input_503106!A:H,8,FALSE))</f>
        <v>432</v>
      </c>
      <c r="P244" s="40">
        <f t="shared" ca="1" si="13"/>
        <v>2.2040816326867983E-4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input_503106!A$2</f>
        <v>503106</v>
      </c>
      <c r="B245" s="52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IFERROR(VLOOKUP(B245,input_503106!L:R,7,FALSE),VLOOKUP(tables_503106!C245,input_503106!A:H,8,FALSE))</f>
        <v>48</v>
      </c>
      <c r="P245" s="40">
        <f t="shared" ca="1" si="13"/>
        <v>2.4489795918742201E-5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input_503106!A$2</f>
        <v>503106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IFERROR(VLOOKUP(B246,input_503106!L:R,7,FALSE),VLOOKUP(tables_503106!C246,input_503106!A:H,8,FALSE))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input_503106!A$2</f>
        <v>503106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IFERROR(VLOOKUP(B247,input_503106!L:R,7,FALSE),VLOOKUP(tables_503106!C247,input_503106!A:H,8,FALSE))</f>
        <v>9145.94</v>
      </c>
      <c r="P247" s="40">
        <f t="shared" ca="1" si="13"/>
        <v>4.6662959184387721E-3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input_503106!A$2</f>
        <v>503106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IFERROR(VLOOKUP(B248,input_503106!L:R,7,FALSE),VLOOKUP(tables_503106!C248,input_503106!A:H,8,FALSE))</f>
        <v>241.06</v>
      </c>
      <c r="P248" s="40">
        <f t="shared" ca="1" si="13"/>
        <v>1.229897959202499E-4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input_503106!A$2</f>
        <v>503106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IFERROR(VLOOKUP(B249,input_503106!L:R,7,FALSE),VLOOKUP(tables_503106!C249,input_503106!A:H,8,FALSE))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input_503106!A$2</f>
        <v>503106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IFERROR(VLOOKUP(B250,input_503106!L:R,7,FALSE),VLOOKUP(tables_503106!C250,input_503106!A:H,8,FALSE))</f>
        <v>9145.94</v>
      </c>
      <c r="P250" s="40">
        <f t="shared" ca="1" si="13"/>
        <v>4.6662959184387721E-3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input_503106!A$2</f>
        <v>503106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IFERROR(VLOOKUP(B251,input_503106!L:R,7,FALSE),VLOOKUP(tables_503106!C251,input_503106!A:H,8,FALSE))</f>
        <v>241.06</v>
      </c>
      <c r="P251" s="40">
        <f t="shared" ca="1" si="13"/>
        <v>1.229897959202499E-4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input_503106!A$2</f>
        <v>503106</v>
      </c>
      <c r="B252" s="52">
        <v>668</v>
      </c>
      <c r="C252" s="7" t="str">
        <f t="shared" si="12"/>
        <v>Premium3color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>color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IFERROR(VLOOKUP(B252,input_503106!L:R,7,FALSE),VLOOKUP(tables_503106!C252,input_503106!A:H,8,FALSE))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input_503106!A$2</f>
        <v>503106</v>
      </c>
      <c r="B253" s="52">
        <v>669</v>
      </c>
      <c r="C253" s="7" t="str">
        <f t="shared" si="12"/>
        <v>Premium4color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IFERROR(VLOOKUP(B253,input_503106!L:R,7,FALSE),VLOOKUP(tables_503106!C253,input_503106!A:H,8,FALSE))</f>
        <v>39311.466659999998</v>
      </c>
      <c r="P253" s="40">
        <f t="shared" ca="1" si="13"/>
        <v>2.0056870745204961E-2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input_503106!A$2</f>
        <v>503106</v>
      </c>
      <c r="B254" s="52">
        <v>670</v>
      </c>
      <c r="C254" s="7" t="str">
        <f t="shared" si="12"/>
        <v>Premium5color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IFERROR(VLOOKUP(B254,input_503106!L:R,7,FALSE),VLOOKUP(tables_503106!C254,input_503106!A:H,8,FALSE))</f>
        <v>4557</v>
      </c>
      <c r="P254" s="40">
        <f t="shared" ca="1" si="13"/>
        <v>2.3250000000355877E-3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input_503106!A$2</f>
        <v>503106</v>
      </c>
      <c r="B255" s="52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IFERROR(VLOOKUP(B255,input_503106!L:R,7,FALSE),VLOOKUP(tables_503106!C255,input_503106!A:H,8,FALSE))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input_503106!A$2</f>
        <v>503106</v>
      </c>
      <c r="B256" s="52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IFERROR(VLOOKUP(B256,input_503106!L:R,7,FALSE),VLOOKUP(tables_503106!C256,input_503106!A:H,8,FALSE))</f>
        <v>9145.94</v>
      </c>
      <c r="P256" s="40">
        <f t="shared" ca="1" si="13"/>
        <v>4.6662959184387721E-3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input_503106!A$2</f>
        <v>503106</v>
      </c>
      <c r="B257" s="52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IFERROR(VLOOKUP(B257,input_503106!L:R,7,FALSE),VLOOKUP(tables_503106!C257,input_503106!A:H,8,FALSE))</f>
        <v>241.06</v>
      </c>
      <c r="P257" s="40">
        <f t="shared" ca="1" si="13"/>
        <v>1.229897959202499E-4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input_503106!A$2</f>
        <v>503106</v>
      </c>
      <c r="B258" s="52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IFERROR(VLOOKUP(B258,input_503106!L:R,7,FALSE),VLOOKUP(tables_503106!C258,input_503106!A:H,8,FALSE))</f>
        <v>432</v>
      </c>
      <c r="P258" s="40">
        <f t="shared" ref="P258:P305" ca="1" si="17">O258/SUM(O:O)</f>
        <v>2.2040816326867983E-4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input_503106!A$2</f>
        <v>503106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IF(K259="red","color","")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IFERROR(VLOOKUP(B259,input_503106!L:R,7,FALSE),VLOOKUP(tables_503106!C259,input_503106!A:H,8,FALSE))</f>
        <v>48</v>
      </c>
      <c r="P259" s="40">
        <f t="shared" ca="1" si="17"/>
        <v>2.4489795918742201E-5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input_503106!A$2</f>
        <v>503106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IFERROR(VLOOKUP(B260,input_503106!L:R,7,FALSE),VLOOKUP(tables_503106!C260,input_503106!A:H,8,FALSE))</f>
        <v>432</v>
      </c>
      <c r="P260" s="40">
        <f t="shared" ca="1" si="17"/>
        <v>2.2040816326867983E-4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input_503106!A$2</f>
        <v>503106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IFERROR(VLOOKUP(B261,input_503106!L:R,7,FALSE),VLOOKUP(tables_503106!C261,input_503106!A:H,8,FALSE))</f>
        <v>48</v>
      </c>
      <c r="P261" s="40">
        <f t="shared" ca="1" si="17"/>
        <v>2.4489795918742201E-5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input_503106!A$2</f>
        <v>503106</v>
      </c>
      <c r="B262" s="52">
        <v>728</v>
      </c>
      <c r="C262" s="7" t="str">
        <f t="shared" si="16"/>
        <v>Premium4R3lesscolor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IFERROR(VLOOKUP(B262,input_503106!L:R,7,FALSE),VLOOKUP(tables_503106!C262,input_503106!A:H,8,FALSE))</f>
        <v>31976.56667</v>
      </c>
      <c r="P262" s="40">
        <f t="shared" ca="1" si="17"/>
        <v>1.6314574831882374E-2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input_503106!A$2</f>
        <v>503106</v>
      </c>
      <c r="B263" s="52">
        <v>729</v>
      </c>
      <c r="C263" s="7" t="str">
        <f t="shared" si="16"/>
        <v>Premium5R3lesscolor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>color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IFERROR(VLOOKUP(B263,input_503106!L:R,7,FALSE),VLOOKUP(tables_503106!C263,input_503106!A:H,8,FALSE))</f>
        <v>4557</v>
      </c>
      <c r="P263" s="40">
        <f t="shared" ca="1" si="17"/>
        <v>2.3250000000355877E-3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input_503106!A$2</f>
        <v>503106</v>
      </c>
      <c r="B264" s="52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IFERROR(VLOOKUP(B264,input_503106!L:R,7,FALSE),VLOOKUP(tables_503106!C264,input_503106!A:H,8,FALSE))</f>
        <v>16250.4</v>
      </c>
      <c r="P264" s="40">
        <f t="shared" ca="1" si="17"/>
        <v>8.2910204082901721E-3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input_503106!A$2</f>
        <v>503106</v>
      </c>
      <c r="B265" s="52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IFERROR(VLOOKUP(B265,input_503106!L:R,7,FALSE),VLOOKUP(tables_503106!C265,input_503106!A:H,8,FALSE))</f>
        <v>3.9529399999999999</v>
      </c>
      <c r="P265" s="40">
        <f t="shared" ca="1" si="17"/>
        <v>2.01680612247985E-6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input_503106!A$2</f>
        <v>503106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IFERROR(VLOOKUP(B266,input_503106!L:R,7,FALSE),VLOOKUP(tables_503106!C266,input_503106!A:H,8,FALSE))</f>
        <v>480</v>
      </c>
      <c r="P266" s="40">
        <f t="shared" ca="1" si="17"/>
        <v>2.4489795918742203E-4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input_503106!A$2</f>
        <v>503106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IFERROR(VLOOKUP(B267,input_503106!L:R,7,FALSE),VLOOKUP(tables_503106!C267,input_503106!A:H,8,FALSE))</f>
        <v>480</v>
      </c>
      <c r="P267" s="40">
        <f t="shared" ca="1" si="17"/>
        <v>2.4489795918742203E-4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input_503106!A$2</f>
        <v>503106</v>
      </c>
      <c r="B268" s="52">
        <v>742</v>
      </c>
      <c r="C268" s="7" t="str">
        <f t="shared" si="16"/>
        <v>PremiumSS5R5onlycolor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IFERROR(VLOOKUP(B268,input_503106!L:R,7,FALSE),VLOOKUP(tables_503106!C268,input_503106!A:H,8,FALSE))</f>
        <v>4448</v>
      </c>
      <c r="P268" s="40">
        <f t="shared" ca="1" si="17"/>
        <v>2.2693877551367772E-3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input_503106!A$2</f>
        <v>503106</v>
      </c>
      <c r="B269" s="52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IFERROR(VLOOKUP(B269,input_503106!L:R,7,FALSE),VLOOKUP(tables_503106!C269,input_503106!A:H,8,FALSE))</f>
        <v>480</v>
      </c>
      <c r="P269" s="40">
        <f t="shared" ca="1" si="17"/>
        <v>2.4489795918742203E-4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input_503106!A$2</f>
        <v>503106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IFERROR(VLOOKUP(B270,input_503106!L:R,7,FALSE),VLOOKUP(tables_503106!C270,input_503106!A:H,8,FALSE))</f>
        <v>16250.4</v>
      </c>
      <c r="P270" s="40">
        <f t="shared" ca="1" si="17"/>
        <v>8.2910204082901721E-3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input_503106!A$2</f>
        <v>503106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IFERROR(VLOOKUP(B271,input_503106!L:R,7,FALSE),VLOOKUP(tables_503106!C271,input_503106!A:H,8,FALSE))</f>
        <v>3.9529399999999999</v>
      </c>
      <c r="P271" s="40">
        <f t="shared" ca="1" si="17"/>
        <v>2.01680612247985E-6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input_503106!A$2</f>
        <v>503106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IFERROR(VLOOKUP(B272,input_503106!L:R,7,FALSE),VLOOKUP(tables_503106!C272,input_503106!A:H,8,FALSE))</f>
        <v>16250.4</v>
      </c>
      <c r="P272" s="40">
        <f t="shared" ca="1" si="17"/>
        <v>8.2910204082901721E-3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input_503106!A$2</f>
        <v>503106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IFERROR(VLOOKUP(B273,input_503106!L:R,7,FALSE),VLOOKUP(tables_503106!C273,input_503106!A:H,8,FALSE))</f>
        <v>3.9529399999999999</v>
      </c>
      <c r="P273" s="40">
        <f t="shared" ca="1" si="17"/>
        <v>2.01680612247985E-6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input_503106!A$2</f>
        <v>503106</v>
      </c>
      <c r="B274" s="72">
        <v>770</v>
      </c>
      <c r="C274" s="7" t="str">
        <f t="shared" si="16"/>
        <v>PremiumSS4color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>color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IFERROR(VLOOKUP(B274,input_503106!L:R,7,FALSE),VLOOKUP(tables_503106!C274,input_503106!A:H,8,FALSE))</f>
        <v>4566.8</v>
      </c>
      <c r="P274" s="40">
        <f t="shared" ca="1" si="17"/>
        <v>2.3300000000356647E-3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input_503106!A$2</f>
        <v>503106</v>
      </c>
      <c r="B275" s="72">
        <v>771</v>
      </c>
      <c r="C275" s="7" t="str">
        <f t="shared" si="16"/>
        <v>PremiumSS5color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IFERROR(VLOOKUP(B275,input_503106!L:R,7,FALSE),VLOOKUP(tables_503106!C275,input_503106!A:H,8,FALSE))</f>
        <v>235.2</v>
      </c>
      <c r="P275" s="40">
        <f t="shared" ca="1" si="17"/>
        <v>1.2000000000183679E-4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input_503106!A$2</f>
        <v>503106</v>
      </c>
      <c r="B276" s="7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IFERROR(VLOOKUP(B276,input_503106!L:R,7,FALSE),VLOOKUP(tables_503106!C276,input_503106!A:H,8,FALSE))</f>
        <v>432</v>
      </c>
      <c r="P276" s="40">
        <f t="shared" ca="1" si="17"/>
        <v>2.2040816326867983E-4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input_503106!A$2</f>
        <v>503106</v>
      </c>
      <c r="B277" s="7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IFERROR(VLOOKUP(B277,input_503106!L:R,7,FALSE),VLOOKUP(tables_503106!C277,input_503106!A:H,8,FALSE))</f>
        <v>48</v>
      </c>
      <c r="P277" s="40">
        <f t="shared" ca="1" si="17"/>
        <v>2.4489795918742201E-5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input_503106!A$2</f>
        <v>503106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IFERROR(VLOOKUP(B278,input_503106!L:R,7,FALSE),VLOOKUP(tables_503106!C278,input_503106!A:H,8,FALSE))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input_503106!A$2</f>
        <v>503106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IFERROR(VLOOKUP(B279,input_503106!L:R,7,FALSE),VLOOKUP(tables_503106!C279,input_503106!A:H,8,FALSE))</f>
        <v>9145.94</v>
      </c>
      <c r="P279" s="40">
        <f t="shared" ca="1" si="17"/>
        <v>4.6662959184387721E-3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input_503106!A$2</f>
        <v>503106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IFERROR(VLOOKUP(B280,input_503106!L:R,7,FALSE),VLOOKUP(tables_503106!C280,input_503106!A:H,8,FALSE))</f>
        <v>241.06</v>
      </c>
      <c r="P280" s="40">
        <f t="shared" ca="1" si="17"/>
        <v>1.229897959202499E-4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input_503106!A$2</f>
        <v>503106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IFERROR(VLOOKUP(B281,input_503106!L:R,7,FALSE),VLOOKUP(tables_503106!C281,input_503106!A:H,8,FALSE))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input_503106!A$2</f>
        <v>503106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IFERROR(VLOOKUP(B282,input_503106!L:R,7,FALSE),VLOOKUP(tables_503106!C282,input_503106!A:H,8,FALSE))</f>
        <v>9145.94</v>
      </c>
      <c r="P282" s="40">
        <f t="shared" ca="1" si="17"/>
        <v>4.6662959184387721E-3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input_503106!A$2</f>
        <v>503106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IFERROR(VLOOKUP(B283,input_503106!L:R,7,FALSE),VLOOKUP(tables_503106!C283,input_503106!A:H,8,FALSE))</f>
        <v>241.06</v>
      </c>
      <c r="P283" s="40">
        <f t="shared" ca="1" si="17"/>
        <v>1.229897959202499E-4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input_503106!A$2</f>
        <v>503106</v>
      </c>
      <c r="B284" s="5">
        <v>848</v>
      </c>
      <c r="C284" s="7" t="str">
        <f t="shared" si="16"/>
        <v>PremiumSS5R5onlycolor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>color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IFERROR(VLOOKUP(B284,input_503106!L:R,7,FALSE),VLOOKUP(tables_503106!C284,input_503106!A:H,8,FALSE))</f>
        <v>4448</v>
      </c>
      <c r="P284" s="40">
        <f t="shared" ca="1" si="17"/>
        <v>2.2693877551367772E-3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input_503106!A$2</f>
        <v>503106</v>
      </c>
      <c r="B285" s="5">
        <v>850</v>
      </c>
      <c r="C285" s="7" t="str">
        <f t="shared" ref="C285:C290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IFERROR(VLOOKUP(B285,input_503106!L:R,7,FALSE),VLOOKUP(tables_503106!C285,input_503106!A:H,8,FALSE))</f>
        <v>480</v>
      </c>
      <c r="P285" s="40">
        <f t="shared" ca="1" si="17"/>
        <v>2.4489795918742203E-4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input_503106!A$2</f>
        <v>503106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IFERROR(VLOOKUP(B286,input_503106!L:R,7,FALSE),VLOOKUP(tables_503106!C286,input_503106!A:H,8,FALSE))</f>
        <v>16250.4</v>
      </c>
      <c r="P286" s="40">
        <f t="shared" ca="1" si="17"/>
        <v>8.2910204082901721E-3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input_503106!A$2</f>
        <v>503106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IFERROR(VLOOKUP(B287,input_503106!L:R,7,FALSE),VLOOKUP(tables_503106!C287,input_503106!A:H,8,FALSE))</f>
        <v>3.9529399999999999</v>
      </c>
      <c r="P287" s="40">
        <f t="shared" ca="1" si="17"/>
        <v>2.01680612247985E-6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input_503106!A$2</f>
        <v>503106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IFERROR(VLOOKUP(B288,input_503106!L:R,7,FALSE),VLOOKUP(tables_503106!C288,input_503106!A:H,8,FALSE))</f>
        <v>16250.4</v>
      </c>
      <c r="P288" s="40">
        <f t="shared" ca="1" si="17"/>
        <v>8.2910204082901721E-3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input_503106!A$2</f>
        <v>503106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IFERROR(VLOOKUP(B289,input_503106!L:R,7,FALSE),VLOOKUP(tables_503106!C289,input_503106!A:H,8,FALSE))</f>
        <v>3.9529399999999999</v>
      </c>
      <c r="P289" s="40">
        <f t="shared" ca="1" si="17"/>
        <v>2.01680612247985E-6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input_503106!A$2</f>
        <v>503106</v>
      </c>
      <c r="B290" s="5">
        <v>862</v>
      </c>
      <c r="C290" s="7" t="str">
        <f t="shared" si="20"/>
        <v>Premium4R3lesscolor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>color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IFERROR(VLOOKUP(B290,input_503106!L:R,7,FALSE),VLOOKUP(tables_503106!C290,input_503106!A:H,8,FALSE))</f>
        <v>31976.56667</v>
      </c>
      <c r="P290" s="40">
        <f t="shared" ca="1" si="17"/>
        <v>1.6314574831882374E-2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input_503106!A$2</f>
        <v>503106</v>
      </c>
      <c r="B291" s="5">
        <v>863</v>
      </c>
      <c r="C291" s="7" t="str">
        <f t="shared" ref="C291:C300" si="21">D291&amp;J291&amp;E291&amp;F291&amp;G291</f>
        <v>Premium5R3lesscolor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>color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IFERROR(VLOOKUP(B291,input_503106!L:R,7,FALSE),VLOOKUP(tables_503106!C291,input_503106!A:H,8,FALSE))</f>
        <v>4557</v>
      </c>
      <c r="P291" s="40">
        <f t="shared" ca="1" si="17"/>
        <v>2.3250000000355877E-3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input_503106!A$2</f>
        <v>503106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IFERROR(VLOOKUP(B292,input_503106!L:R,7,FALSE),VLOOKUP(tables_503106!C292,input_503106!A:H,8,FALSE))</f>
        <v>16250.4</v>
      </c>
      <c r="P292" s="40">
        <f t="shared" ca="1" si="17"/>
        <v>8.2910204082901721E-3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input_503106!A$2</f>
        <v>503106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IFERROR(VLOOKUP(B293,input_503106!L:R,7,FALSE),VLOOKUP(tables_503106!C293,input_503106!A:H,8,FALSE))</f>
        <v>3.9529399999999999</v>
      </c>
      <c r="P293" s="40">
        <f t="shared" ca="1" si="17"/>
        <v>2.01680612247985E-6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input_503106!A$2</f>
        <v>503106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IFERROR(VLOOKUP(B294,input_503106!L:R,7,FALSE),VLOOKUP(tables_503106!C294,input_503106!A:H,8,FALSE))</f>
        <v>480</v>
      </c>
      <c r="P294" s="40">
        <f t="shared" ca="1" si="17"/>
        <v>2.4489795918742203E-4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input_503106!A$2</f>
        <v>503106</v>
      </c>
      <c r="B295" s="5">
        <v>868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IFERROR(VLOOKUP(B295,input_503106!L:R,7,FALSE),VLOOKUP(tables_503106!C295,input_503106!A:H,8,FALSE))</f>
        <v>480</v>
      </c>
      <c r="P295" s="40">
        <f t="shared" ca="1" si="17"/>
        <v>2.4489795918742203E-4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input_503106!A$2</f>
        <v>503106</v>
      </c>
      <c r="B296" s="5">
        <v>937</v>
      </c>
      <c r="C296" s="7" t="str">
        <f t="shared" si="21"/>
        <v>PremiumSS5R5onlycolor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>color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IFERROR(VLOOKUP(B296,input_503106!L:R,7,FALSE),VLOOKUP(tables_503106!C296,input_503106!A:H,8,FALSE))</f>
        <v>4448</v>
      </c>
      <c r="P296" s="40">
        <f t="shared" ca="1" si="17"/>
        <v>2.2693877551367772E-3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input_503106!A$2</f>
        <v>503106</v>
      </c>
      <c r="B297" s="5">
        <v>939</v>
      </c>
      <c r="C297" s="7" t="str">
        <f t="shared" si="21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IFERROR(VLOOKUP(B297,input_503106!L:R,7,FALSE),VLOOKUP(tables_503106!C297,input_503106!A:H,8,FALSE))</f>
        <v>16250.4</v>
      </c>
      <c r="P297" s="40">
        <f t="shared" ca="1" si="17"/>
        <v>8.2910204082901721E-3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input_503106!A$2</f>
        <v>503106</v>
      </c>
      <c r="B298" s="5">
        <v>940</v>
      </c>
      <c r="C298" s="7" t="str">
        <f t="shared" si="21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IFERROR(VLOOKUP(B298,input_503106!L:R,7,FALSE),VLOOKUP(tables_503106!C298,input_503106!A:H,8,FALSE))</f>
        <v>3.9529399999999999</v>
      </c>
      <c r="P298" s="40">
        <f t="shared" ca="1" si="17"/>
        <v>2.01680612247985E-6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input_503106!A$2</f>
        <v>503106</v>
      </c>
      <c r="B299" s="5">
        <v>941</v>
      </c>
      <c r="C299" s="7" t="str">
        <f t="shared" si="21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IFERROR(VLOOKUP(B299,input_503106!L:R,7,FALSE),VLOOKUP(tables_503106!C299,input_503106!A:H,8,FALSE))</f>
        <v>480</v>
      </c>
      <c r="P299" s="40">
        <f t="shared" ca="1" si="17"/>
        <v>2.4489795918742203E-4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input_503106!A$2</f>
        <v>503106</v>
      </c>
      <c r="B300" s="5">
        <v>943</v>
      </c>
      <c r="C300" s="7" t="str">
        <f t="shared" si="21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IFERROR(VLOOKUP(B300,input_503106!L:R,7,FALSE),VLOOKUP(tables_503106!C300,input_503106!A:H,8,FALSE))</f>
        <v>480</v>
      </c>
      <c r="P300" s="40">
        <f t="shared" ca="1" si="17"/>
        <v>2.4489795918742203E-4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input_503106!A$2</f>
        <v>503106</v>
      </c>
      <c r="B301" s="5">
        <v>1012</v>
      </c>
      <c r="C301" s="7" t="str">
        <f t="shared" ref="C301:C305" si="22">D301&amp;J301&amp;E301&amp;F301&amp;G301</f>
        <v>PremiumSS5R5onlycolor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>color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IFERROR(VLOOKUP(B301,input_503106!L:R,7,FALSE),VLOOKUP(tables_503106!C301,input_503106!A:H,8,FALSE))</f>
        <v>4448</v>
      </c>
      <c r="P301" s="40">
        <f t="shared" ca="1" si="17"/>
        <v>2.2693877551367772E-3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input_503106!A$2</f>
        <v>503106</v>
      </c>
      <c r="B302" s="5">
        <v>1014</v>
      </c>
      <c r="C302" s="7" t="str">
        <f t="shared" si="22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IFERROR(VLOOKUP(B302,input_503106!L:R,7,FALSE),VLOOKUP(tables_503106!C302,input_503106!A:H,8,FALSE))</f>
        <v>480</v>
      </c>
      <c r="P302" s="40">
        <f t="shared" ca="1" si="17"/>
        <v>2.4489795918742203E-4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input_503106!A$2</f>
        <v>503106</v>
      </c>
      <c r="B303" s="5">
        <v>1016</v>
      </c>
      <c r="C303" s="7" t="str">
        <f t="shared" si="22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IFERROR(VLOOKUP(B303,input_503106!L:R,7,FALSE),VLOOKUP(tables_503106!C303,input_503106!A:H,8,FALSE))</f>
        <v>16250.4</v>
      </c>
      <c r="P303" s="40">
        <f t="shared" ca="1" si="17"/>
        <v>8.2910204082901721E-3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input_503106!A$2</f>
        <v>503106</v>
      </c>
      <c r="B304" s="5">
        <v>1017</v>
      </c>
      <c r="C304" s="7" t="str">
        <f t="shared" si="22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IFERROR(VLOOKUP(B304,input_503106!L:R,7,FALSE),VLOOKUP(tables_503106!C304,input_503106!A:H,8,FALSE))</f>
        <v>3.9529399999999999</v>
      </c>
      <c r="P304" s="40">
        <f t="shared" ca="1" si="17"/>
        <v>2.01680612247985E-6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input_503106!A$2</f>
        <v>503106</v>
      </c>
      <c r="B305" s="5">
        <v>1018</v>
      </c>
      <c r="C305" s="7" t="str">
        <f t="shared" si="22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IFERROR(VLOOKUP(B305,input_503106!L:R,7,FALSE),VLOOKUP(tables_503106!C305,input_503106!A:H,8,FALSE))</f>
        <v>480</v>
      </c>
      <c r="P305" s="40">
        <f t="shared" ca="1" si="17"/>
        <v>2.4489795918742203E-4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input_503106!A$2</f>
        <v>503106</v>
      </c>
      <c r="B306" s="5">
        <v>1026</v>
      </c>
      <c r="C306" s="7" t="str">
        <f t="shared" ref="C306:C310" si="23">D306&amp;J306&amp;E306&amp;F306&amp;G306</f>
        <v>Premium4R3lesscolor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>color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IFERROR(VLOOKUP(B306,input_503106!L:R,7,FALSE),VLOOKUP(tables_503106!C306,input_503106!A:H,8,FALSE))</f>
        <v>31976.56667</v>
      </c>
      <c r="P306" s="40">
        <f t="shared" ref="P306:P310" ca="1" si="24">O306/SUM(O:O)</f>
        <v>1.6314574831882374E-2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input_503106!A$2</f>
        <v>503106</v>
      </c>
      <c r="B307" s="5">
        <v>1027</v>
      </c>
      <c r="C307" s="7" t="str">
        <f t="shared" si="23"/>
        <v>Premium5R3lesscolor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>color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IFERROR(VLOOKUP(B307,input_503106!L:R,7,FALSE),VLOOKUP(tables_503106!C307,input_503106!A:H,8,FALSE))</f>
        <v>4557</v>
      </c>
      <c r="P307" s="40">
        <f t="shared" ca="1" si="24"/>
        <v>2.3250000000355877E-3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input_503106!A$2</f>
        <v>503106</v>
      </c>
      <c r="B308" s="5">
        <v>1028</v>
      </c>
      <c r="C308" s="7" t="str">
        <f t="shared" si="23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IFERROR(VLOOKUP(B308,input_503106!L:R,7,FALSE),VLOOKUP(tables_503106!C308,input_503106!A:H,8,FALSE))</f>
        <v>480</v>
      </c>
      <c r="P308" s="40">
        <f t="shared" ca="1" si="24"/>
        <v>2.4489795918742203E-4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input_503106!A$2</f>
        <v>503106</v>
      </c>
      <c r="B309" s="5">
        <v>1031</v>
      </c>
      <c r="C309" s="7" t="str">
        <f t="shared" si="23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IFERROR(VLOOKUP(B309,input_503106!L:R,7,FALSE),VLOOKUP(tables_503106!C309,input_503106!A:H,8,FALSE))</f>
        <v>480</v>
      </c>
      <c r="P309" s="40">
        <f t="shared" ca="1" si="24"/>
        <v>2.4489795918742203E-4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input_503106!A$2</f>
        <v>503106</v>
      </c>
      <c r="B310" s="5">
        <v>1033</v>
      </c>
      <c r="C310" s="7" t="str">
        <f t="shared" si="23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IFERROR(VLOOKUP(B310,input_503106!L:R,7,FALSE),VLOOKUP(tables_503106!C310,input_503106!A:H,8,FALSE))</f>
        <v>480</v>
      </c>
      <c r="P310" s="40">
        <f t="shared" ca="1" si="24"/>
        <v>2.4489795918742203E-4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input_503106!A$2</f>
        <v>503106</v>
      </c>
      <c r="B311" s="5">
        <v>1067</v>
      </c>
      <c r="C311" s="7" t="str">
        <f t="shared" ref="C311:C319" si="25">D311&amp;J311&amp;E311&amp;F311&amp;G311</f>
        <v>Premium4R3lesscolor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>color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IFERROR(VLOOKUP(B311,input_503106!L:R,7,FALSE),VLOOKUP(tables_503106!C311,input_503106!A:H,8,FALSE))</f>
        <v>31976.56667</v>
      </c>
      <c r="P311" s="40">
        <f t="shared" ref="P311:P319" ca="1" si="26">O311/SUM(O:O)</f>
        <v>1.6314574831882374E-2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input_503106!A$2</f>
        <v>503106</v>
      </c>
      <c r="B312" s="5">
        <v>1068</v>
      </c>
      <c r="C312" s="7" t="str">
        <f t="shared" si="25"/>
        <v>Premium5R3lesscolor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>color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IFERROR(VLOOKUP(B312,input_503106!L:R,7,FALSE),VLOOKUP(tables_503106!C312,input_503106!A:H,8,FALSE))</f>
        <v>4557</v>
      </c>
      <c r="P312" s="40">
        <f t="shared" ca="1" si="26"/>
        <v>2.3250000000355877E-3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input_503106!A$2</f>
        <v>503106</v>
      </c>
      <c r="B313" s="5">
        <v>1069</v>
      </c>
      <c r="C313" s="7" t="str">
        <f t="shared" si="25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IFERROR(VLOOKUP(B313,input_503106!L:R,7,FALSE),VLOOKUP(tables_503106!C313,input_503106!A:H,8,FALSE))</f>
        <v>480</v>
      </c>
      <c r="P313" s="40">
        <f t="shared" ca="1" si="26"/>
        <v>2.4489795918742203E-4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input_503106!A$2</f>
        <v>503106</v>
      </c>
      <c r="B314" s="5">
        <v>1072</v>
      </c>
      <c r="C314" s="7" t="str">
        <f t="shared" si="25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IFERROR(VLOOKUP(B314,input_503106!L:R,7,FALSE),VLOOKUP(tables_503106!C314,input_503106!A:H,8,FALSE))</f>
        <v>480</v>
      </c>
      <c r="P314" s="40">
        <f t="shared" ca="1" si="26"/>
        <v>2.4489795918742203E-4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input_503106!A$2</f>
        <v>503106</v>
      </c>
      <c r="B315" s="5">
        <v>1074</v>
      </c>
      <c r="C315" s="7" t="str">
        <f t="shared" si="25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IFERROR(VLOOKUP(B315,input_503106!L:R,7,FALSE),VLOOKUP(tables_503106!C315,input_503106!A:H,8,FALSE))</f>
        <v>480</v>
      </c>
      <c r="P315" s="40">
        <f t="shared" ca="1" si="26"/>
        <v>2.4489795918742203E-4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input_503106!A$2</f>
        <v>503106</v>
      </c>
      <c r="B316" s="5">
        <v>1100</v>
      </c>
      <c r="C316" s="7" t="str">
        <f t="shared" si="25"/>
        <v>PremiumSS5R5onlycolor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>color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IFERROR(VLOOKUP(B316,input_503106!L:R,7,FALSE),VLOOKUP(tables_503106!C316,input_503106!A:H,8,FALSE))</f>
        <v>4448</v>
      </c>
      <c r="P316" s="40">
        <f t="shared" ca="1" si="26"/>
        <v>2.2693877551367772E-3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input_503106!A$2</f>
        <v>503106</v>
      </c>
      <c r="B317" s="5">
        <v>1102</v>
      </c>
      <c r="C317" s="7" t="str">
        <f t="shared" si="25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IFERROR(VLOOKUP(B317,input_503106!L:R,7,FALSE),VLOOKUP(tables_503106!C317,input_503106!A:H,8,FALSE))</f>
        <v>480</v>
      </c>
      <c r="P317" s="40">
        <f t="shared" ca="1" si="26"/>
        <v>2.4489795918742203E-4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input_503106!A$2</f>
        <v>503106</v>
      </c>
      <c r="B318" s="5">
        <v>1104</v>
      </c>
      <c r="C318" s="7" t="str">
        <f t="shared" si="25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IFERROR(VLOOKUP(B318,input_503106!L:R,7,FALSE),VLOOKUP(tables_503106!C318,input_503106!A:H,8,FALSE))</f>
        <v>16250.4</v>
      </c>
      <c r="P318" s="40">
        <f t="shared" ca="1" si="26"/>
        <v>8.2910204082901721E-3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input_503106!A$2</f>
        <v>503106</v>
      </c>
      <c r="B319" s="5">
        <v>1105</v>
      </c>
      <c r="C319" s="7" t="str">
        <f t="shared" si="25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IFERROR(VLOOKUP(B319,input_503106!L:R,7,FALSE),VLOOKUP(tables_503106!C319,input_503106!A:H,8,FALSE))</f>
        <v>3.9529399999999999</v>
      </c>
      <c r="P319" s="40">
        <f t="shared" ca="1" si="26"/>
        <v>2.01680612247985E-6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input_503106!A$2</f>
        <v>503106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IFERROR(VLOOKUP(B320,input_503106!L:R,7,FALSE),VLOOKUP(tables_503106!C320,input_503106!A:H,8,FALSE))</f>
        <v>480</v>
      </c>
      <c r="P320" s="40">
        <f t="shared" ref="P320:P324" ca="1" si="28">O320/SUM(O:O)</f>
        <v>2.4489795918742203E-4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input_503106!A$2</f>
        <v>503106</v>
      </c>
      <c r="B321" s="5">
        <v>1137</v>
      </c>
      <c r="C321" s="7" t="str">
        <f t="shared" si="27"/>
        <v>PremiumSS5R5onlycolor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>color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IFERROR(VLOOKUP(B321,input_503106!L:R,7,FALSE),VLOOKUP(tables_503106!C321,input_503106!A:H,8,FALSE))</f>
        <v>4448</v>
      </c>
      <c r="P321" s="40">
        <f t="shared" ca="1" si="28"/>
        <v>2.2693877551367772E-3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input_503106!A$2</f>
        <v>503106</v>
      </c>
      <c r="B322" s="5">
        <v>1139</v>
      </c>
      <c r="C322" s="7" t="str">
        <f t="shared" si="2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IFERROR(VLOOKUP(B322,input_503106!L:R,7,FALSE),VLOOKUP(tables_503106!C322,input_503106!A:H,8,FALSE))</f>
        <v>480</v>
      </c>
      <c r="P322" s="40">
        <f t="shared" ca="1" si="28"/>
        <v>2.4489795918742203E-4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input_503106!A$2</f>
        <v>503106</v>
      </c>
      <c r="B323" s="5">
        <v>1141</v>
      </c>
      <c r="C323" s="7" t="str">
        <f t="shared" si="27"/>
        <v>PremiumSS5R5only</v>
      </c>
      <c r="D323" s="7" t="str">
        <f t="shared" ref="D323:D330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1" si="30">IF(K323="red","color","")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IFERROR(VLOOKUP(B323,input_503106!L:R,7,FALSE),VLOOKUP(tables_503106!C323,input_503106!A:H,8,FALSE))</f>
        <v>480</v>
      </c>
      <c r="P323" s="40">
        <f t="shared" ca="1" si="28"/>
        <v>2.4489795918742203E-4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input_503106!A$2</f>
        <v>503106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0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IFERROR(VLOOKUP(B324,input_503106!L:R,7,FALSE),VLOOKUP(tables_503106!C324,input_503106!A:H,8,FALSE))</f>
        <v>16250.4</v>
      </c>
      <c r="P324" s="40">
        <f t="shared" ca="1" si="28"/>
        <v>8.2910204082901721E-3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input_503106!A$2</f>
        <v>503106</v>
      </c>
      <c r="B325" s="2">
        <v>1144</v>
      </c>
      <c r="C325" s="7" t="str">
        <f t="shared" ref="C325:C330" si="31">D325&amp;J325&amp;E325&amp;F325&amp;G325</f>
        <v>Premium5R3less</v>
      </c>
      <c r="D325" s="7" t="str">
        <f t="shared" si="2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30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IFERROR(VLOOKUP(B325,input_503106!L:R,7,FALSE),VLOOKUP(tables_503106!C325,input_503106!A:H,8,FALSE))</f>
        <v>3.9529399999999999</v>
      </c>
      <c r="P325" s="40">
        <f t="shared" ref="P325:P330" ca="1" si="32">O325/SUM(O:O)</f>
        <v>2.01680612247985E-6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input_503106!A$2</f>
        <v>503106</v>
      </c>
      <c r="B326" s="2">
        <v>1151</v>
      </c>
      <c r="C326" s="7" t="str">
        <f t="shared" si="31"/>
        <v>Premium4R3lesscolor</v>
      </c>
      <c r="D326" s="7" t="str">
        <f t="shared" si="2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30"/>
        <v>color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IFERROR(VLOOKUP(B326,input_503106!L:R,7,FALSE),VLOOKUP(tables_503106!C326,input_503106!A:H,8,FALSE))</f>
        <v>31976.56667</v>
      </c>
      <c r="P326" s="40">
        <f t="shared" ca="1" si="32"/>
        <v>1.6314574831882374E-2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input_503106!A$2</f>
        <v>503106</v>
      </c>
      <c r="B327" s="2">
        <v>1152</v>
      </c>
      <c r="C327" s="7" t="str">
        <f t="shared" si="31"/>
        <v>Premium5R3lesscolor</v>
      </c>
      <c r="D327" s="7" t="str">
        <f t="shared" si="2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30"/>
        <v>color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IFERROR(VLOOKUP(B327,input_503106!L:R,7,FALSE),VLOOKUP(tables_503106!C327,input_503106!A:H,8,FALSE))</f>
        <v>4557</v>
      </c>
      <c r="P327" s="40">
        <f t="shared" ca="1" si="32"/>
        <v>2.3250000000355877E-3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input_503106!A$2</f>
        <v>503106</v>
      </c>
      <c r="B328" s="2">
        <v>1153</v>
      </c>
      <c r="C328" s="7" t="str">
        <f t="shared" si="31"/>
        <v>PremiumSS5R5only</v>
      </c>
      <c r="D328" s="7" t="str">
        <f t="shared" si="2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30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IFERROR(VLOOKUP(B328,input_503106!L:R,7,FALSE),VLOOKUP(tables_503106!C328,input_503106!A:H,8,FALSE))</f>
        <v>480</v>
      </c>
      <c r="P328" s="40">
        <f t="shared" ca="1" si="32"/>
        <v>2.4489795918742203E-4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input_503106!A$2</f>
        <v>503106</v>
      </c>
      <c r="B329" s="2">
        <v>1155</v>
      </c>
      <c r="C329" s="7" t="str">
        <f t="shared" si="31"/>
        <v>PremiumSS5R5only</v>
      </c>
      <c r="D329" s="7" t="str">
        <f t="shared" si="2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30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IFERROR(VLOOKUP(B329,input_503106!L:R,7,FALSE),VLOOKUP(tables_503106!C329,input_503106!A:H,8,FALSE))</f>
        <v>480</v>
      </c>
      <c r="P329" s="40">
        <f t="shared" ca="1" si="32"/>
        <v>2.4489795918742203E-4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input_503106!A$2</f>
        <v>503106</v>
      </c>
      <c r="B330" s="2">
        <v>1157</v>
      </c>
      <c r="C330" s="7" t="str">
        <f t="shared" si="31"/>
        <v>PremiumSS5R5only</v>
      </c>
      <c r="D330" s="7" t="str">
        <f t="shared" si="2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30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IFERROR(VLOOKUP(B330,input_503106!L:R,7,FALSE),VLOOKUP(tables_503106!C330,input_503106!A:H,8,FALSE))</f>
        <v>480</v>
      </c>
      <c r="P330" s="40">
        <f t="shared" ca="1" si="32"/>
        <v>2.4489795918742203E-4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input_503106!A$2</f>
        <v>503106</v>
      </c>
      <c r="B331" s="52">
        <v>1214</v>
      </c>
      <c r="C331" s="7" t="str">
        <f t="shared" ref="C331:C340" si="33">D331&amp;J331&amp;E331&amp;F331&amp;G331</f>
        <v>PremiumSS5R5only</v>
      </c>
      <c r="D331" s="7" t="str">
        <f t="shared" ref="D331:D340" si="3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30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IFERROR(VLOOKUP(B331,input_503106!L:R,7,FALSE),VLOOKUP(tables_503106!C331,input_503106!A:H,8,FALSE))</f>
        <v>480</v>
      </c>
      <c r="P331" s="40">
        <f t="shared" ref="P331:P340" ca="1" si="35">O331/SUM(O:O)</f>
        <v>2.4489795918742203E-4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input_503106!A$2</f>
        <v>503106</v>
      </c>
      <c r="B332" s="52">
        <v>1212</v>
      </c>
      <c r="C332" s="7" t="str">
        <f t="shared" si="33"/>
        <v>PremiumSS5R5only</v>
      </c>
      <c r="D332" s="7" t="str">
        <f t="shared" si="3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30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IFERROR(VLOOKUP(B332,input_503106!L:R,7,FALSE),VLOOKUP(tables_503106!C332,input_503106!A:H,8,FALSE))</f>
        <v>480</v>
      </c>
      <c r="P332" s="40">
        <f t="shared" ca="1" si="35"/>
        <v>2.4489795918742203E-4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input_503106!A$2</f>
        <v>503106</v>
      </c>
      <c r="B333" s="52">
        <v>1208</v>
      </c>
      <c r="C333" s="7" t="str">
        <f t="shared" si="33"/>
        <v>PremiumSS5R5onlycolor</v>
      </c>
      <c r="D333" s="7" t="str">
        <f t="shared" si="3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30"/>
        <v>color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IFERROR(VLOOKUP(B333,input_503106!L:R,7,FALSE),VLOOKUP(tables_503106!C333,input_503106!A:H,8,FALSE))</f>
        <v>4448</v>
      </c>
      <c r="P333" s="40">
        <f t="shared" ca="1" si="35"/>
        <v>2.2693877551367772E-3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input_503106!A$2</f>
        <v>503106</v>
      </c>
      <c r="B334" s="98">
        <v>1210</v>
      </c>
      <c r="C334" s="7" t="str">
        <f t="shared" si="33"/>
        <v>Premium4R3less</v>
      </c>
      <c r="D334" s="7" t="str">
        <f t="shared" si="3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30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IFERROR(VLOOKUP(B334,input_503106!L:R,7,FALSE),VLOOKUP(tables_503106!C334,input_503106!A:H,8,FALSE))</f>
        <v>16250.4</v>
      </c>
      <c r="P334" s="40">
        <f t="shared" ca="1" si="35"/>
        <v>8.2910204082901721E-3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input_503106!A$2</f>
        <v>503106</v>
      </c>
      <c r="B335" s="52">
        <v>1211</v>
      </c>
      <c r="C335" s="7" t="str">
        <f t="shared" si="33"/>
        <v>Premium5R3less</v>
      </c>
      <c r="D335" s="7" t="str">
        <f t="shared" si="3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30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IFERROR(VLOOKUP(B335,input_503106!L:R,7,FALSE),VLOOKUP(tables_503106!C335,input_503106!A:H,8,FALSE))</f>
        <v>3.9529399999999999</v>
      </c>
      <c r="P335" s="40">
        <f t="shared" ca="1" si="35"/>
        <v>2.01680612247985E-6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input_503106!A$2</f>
        <v>503106</v>
      </c>
      <c r="B336" s="2">
        <v>1224</v>
      </c>
      <c r="C336" s="7" t="str">
        <f t="shared" si="33"/>
        <v>Premium4R3lesscolor</v>
      </c>
      <c r="D336" s="7" t="str">
        <f t="shared" si="3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30"/>
        <v>color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IFERROR(VLOOKUP(B336,input_503106!L:R,7,FALSE),VLOOKUP(tables_503106!C336,input_503106!A:H,8,FALSE))</f>
        <v>31976.56667</v>
      </c>
      <c r="P336" s="40">
        <f t="shared" ca="1" si="35"/>
        <v>1.6314574831882374E-2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input_503106!A$2</f>
        <v>503106</v>
      </c>
      <c r="B337" s="2">
        <v>1225</v>
      </c>
      <c r="C337" s="7" t="str">
        <f t="shared" si="33"/>
        <v>Premium5R3lesscolor</v>
      </c>
      <c r="D337" s="7" t="str">
        <f t="shared" si="3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30"/>
        <v>color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IFERROR(VLOOKUP(B337,input_503106!L:R,7,FALSE),VLOOKUP(tables_503106!C337,input_503106!A:H,8,FALSE))</f>
        <v>4557</v>
      </c>
      <c r="P337" s="40">
        <f t="shared" ca="1" si="35"/>
        <v>2.3250000000355877E-3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input_503106!A$2</f>
        <v>503106</v>
      </c>
      <c r="B338" s="2">
        <v>1226</v>
      </c>
      <c r="C338" s="7" t="str">
        <f t="shared" si="33"/>
        <v>PremiumSS5R5only</v>
      </c>
      <c r="D338" s="7" t="str">
        <f t="shared" si="3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30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IFERROR(VLOOKUP(B338,input_503106!L:R,7,FALSE),VLOOKUP(tables_503106!C338,input_503106!A:H,8,FALSE))</f>
        <v>480</v>
      </c>
      <c r="P338" s="40">
        <f t="shared" ca="1" si="35"/>
        <v>2.4489795918742203E-4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input_503106!A$2</f>
        <v>503106</v>
      </c>
      <c r="B339" s="2">
        <v>1228</v>
      </c>
      <c r="C339" s="7" t="str">
        <f t="shared" si="33"/>
        <v>PremiumSS5R5only</v>
      </c>
      <c r="D339" s="7" t="str">
        <f t="shared" si="3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30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IFERROR(VLOOKUP(B339,input_503106!L:R,7,FALSE),VLOOKUP(tables_503106!C339,input_503106!A:H,8,FALSE))</f>
        <v>480</v>
      </c>
      <c r="P339" s="40">
        <f t="shared" ca="1" si="35"/>
        <v>2.4489795918742203E-4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input_503106!A$2</f>
        <v>503106</v>
      </c>
      <c r="B340" s="2">
        <v>1230</v>
      </c>
      <c r="C340" s="7" t="str">
        <f t="shared" si="33"/>
        <v>PremiumSS5R5only</v>
      </c>
      <c r="D340" s="7" t="str">
        <f t="shared" si="3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30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IFERROR(VLOOKUP(B340,input_503106!L:R,7,FALSE),VLOOKUP(tables_503106!C340,input_503106!A:H,8,FALSE))</f>
        <v>480</v>
      </c>
      <c r="P340" s="40">
        <f t="shared" ca="1" si="35"/>
        <v>2.4489795918742203E-4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input_503106!A$2</f>
        <v>503106</v>
      </c>
      <c r="B341" s="2">
        <v>1244</v>
      </c>
      <c r="C341" s="7" t="str">
        <f t="shared" ref="C341" si="36">D341&amp;J341&amp;E341&amp;F341&amp;G341</f>
        <v>PremiumSS5R5onlycolor</v>
      </c>
      <c r="D341" s="7" t="str">
        <f t="shared" ref="D341" si="37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30"/>
        <v>color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IFERROR(VLOOKUP(B341,input_503106!L:R,7,FALSE),VLOOKUP(tables_503106!C341,input_503106!A:H,8,FALSE))</f>
        <v>4448</v>
      </c>
      <c r="P341" s="40">
        <f t="shared" ref="P341" ca="1" si="38">O341/SUM(O:O)</f>
        <v>2.2693877551367772E-3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input_503106!A$2</f>
        <v>503106</v>
      </c>
      <c r="B342" s="2">
        <v>1246</v>
      </c>
      <c r="C342" s="7" t="str">
        <f t="shared" ref="C342:C346" si="39">D342&amp;J342&amp;E342&amp;F342&amp;G342</f>
        <v>PremiumSS5R5only</v>
      </c>
      <c r="D342" s="7" t="str">
        <f t="shared" ref="D342:D346" si="40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ref="G342:G346" si="41">IF(K342="red","color","")</f>
        <v/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IFERROR(VLOOKUP(B342,input_503106!L:R,7,FALSE),VLOOKUP(tables_503106!C342,input_503106!A:H,8,FALSE))</f>
        <v>480</v>
      </c>
      <c r="P342" s="40">
        <f t="shared" ref="P342:P346" ca="1" si="42">O342/SUM(O:O)</f>
        <v>2.4489795918742203E-4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input_503106!A$2</f>
        <v>503106</v>
      </c>
      <c r="B343" s="2">
        <v>1248</v>
      </c>
      <c r="C343" s="7" t="str">
        <f t="shared" si="39"/>
        <v>Premium4R3less</v>
      </c>
      <c r="D343" s="7" t="str">
        <f t="shared" si="40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41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IFERROR(VLOOKUP(B343,input_503106!L:R,7,FALSE),VLOOKUP(tables_503106!C343,input_503106!A:H,8,FALSE))</f>
        <v>16250.4</v>
      </c>
      <c r="P343" s="40">
        <f t="shared" ca="1" si="42"/>
        <v>8.2910204082901721E-3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input_503106!A$2</f>
        <v>503106</v>
      </c>
      <c r="B344" s="2">
        <v>1249</v>
      </c>
      <c r="C344" s="7" t="str">
        <f t="shared" si="39"/>
        <v>Premium5R3less</v>
      </c>
      <c r="D344" s="7" t="str">
        <f t="shared" si="40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41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IFERROR(VLOOKUP(B344,input_503106!L:R,7,FALSE),VLOOKUP(tables_503106!C344,input_503106!A:H,8,FALSE))</f>
        <v>3.9529399999999999</v>
      </c>
      <c r="P344" s="40">
        <f t="shared" ca="1" si="42"/>
        <v>2.01680612247985E-6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input_503106!A$2</f>
        <v>503106</v>
      </c>
      <c r="B345" s="2">
        <v>1250</v>
      </c>
      <c r="C345" s="7" t="str">
        <f t="shared" si="39"/>
        <v>PremiumSS5R5only</v>
      </c>
      <c r="D345" s="7" t="str">
        <f t="shared" si="40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41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IFERROR(VLOOKUP(B345,input_503106!L:R,7,FALSE),VLOOKUP(tables_503106!C345,input_503106!A:H,8,FALSE))</f>
        <v>480</v>
      </c>
      <c r="P345" s="40">
        <f t="shared" ca="1" si="42"/>
        <v>2.4489795918742203E-4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input_503106!A$2</f>
        <v>503106</v>
      </c>
      <c r="B346" s="1">
        <v>955</v>
      </c>
      <c r="C346" s="7" t="str">
        <f t="shared" si="39"/>
        <v>PremiumSSS5R3lesscolor</v>
      </c>
      <c r="D346" s="7" t="str">
        <f t="shared" si="40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 t="str">
        <f t="shared" si="41"/>
        <v>color</v>
      </c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9">
        <f>IFERROR(VLOOKUP(B346,input_503106!L:R,7,FALSE),VLOOKUP(tables_503106!C346,input_503106!A:H,8,FALSE))</f>
        <v>39200</v>
      </c>
      <c r="P346" s="40">
        <f t="shared" ca="1" si="42"/>
        <v>2.0000000000306131E-2</v>
      </c>
      <c r="Q346" s="78">
        <v>80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</sheetData>
  <autoFilter ref="A1:V300"/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65"/>
  <sheetViews>
    <sheetView workbookViewId="0">
      <selection activeCell="B19" sqref="B1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503100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955</v>
      </c>
      <c r="M3" s="31" t="str">
        <f>VLOOKUP(L3,[1]characters!$A:$C,3,FALSE)</f>
        <v>マクローリン</v>
      </c>
      <c r="N3" s="54">
        <v>2.4E-2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VLOOKUP(L3,tables_503100!B:C,2,FALSE)</f>
        <v>PremiumSSS5R3lesscolor</v>
      </c>
      <c r="R3" s="53">
        <f t="shared" ref="R3:R20" si="1">N3*A$51</f>
        <v>47040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VLOOKUP(L4,tables_503100!B:C,2,FALSE)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2.122448979591837E-4</v>
      </c>
      <c r="F5">
        <f>(COUNTIF(tables_503100!C:C,input_503100!A28)+COUNTIF(tables_503100!C:C,input_503100!A29))</f>
        <v>50</v>
      </c>
      <c r="H5" s="75">
        <v>2.4E-2</v>
      </c>
      <c r="I5" s="26">
        <v>1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VLOOKUP(L5,tables_503100!B:C,2,FALSE)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1.0400000000000001E-3</v>
      </c>
      <c r="F6">
        <f>(COUNTIF(tables_503100!C:C,input_503100!A43)+COUNTIF(tables_503100!C:C,input_503100!A44))</f>
        <v>16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VLOOKUP(L6,tables_503100!B:C,2,FALSE)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5.2914285714285719E-3</v>
      </c>
      <c r="F7">
        <f>(COUNTIF(tables_503100!C:C,input_503100!A25)+COUNTIF(tables_503100!C:C,input_503100!A18)+COUNTIF(tables_503100!C:C,input_503100!A20)+COUNTIF(tables_503100!C:C,input_503100!A22))</f>
        <v>70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VLOOKUP(L7,tables_503100!B:C,2,FALSE)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2.315E-2</v>
      </c>
      <c r="F8">
        <f>(COUNTIF(tables_503100!C:C,input_503100!A40)+COUNTIF(tables_503100!C:C,input_503100!A33)+COUNTIF(tables_503100!C:C,input_503100!A35)+COUNTIF(tables_503100!C:C,input_503100!A37))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VLOOKUP(L8,tables_503100!B:C,2,FALSE)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VLOOKUP(L9,tables_503100!B:C,2,FALSE)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0.92599999999999993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VLOOKUP(L10,tables_503100!B:C,2,FALSE)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VLOOKUP(L11,tables_503100!B:C,2,FALSE)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2.4E-2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VLOOKUP(L12,tables_503100!B:C,2,FALSE)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VLOOKUP(L13,tables_503100!B:C,2,FALSE)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VLOOKUP(L14,tables_503100!B:C,2,FALSE)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VLOOKUP(L15,tables_503100!B:C,2,FALSE)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VLOOKUP(L16,tables_503100!B:C,2,FALSE)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COUNTIF(tables_503100!C:C,input_503100!A17)-COUNTIF(Q:Q,A17)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VLOOKUP(L17,tables_503100!B:C,2,FALSE)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E$7*E18-B17+0.01-0.0117</f>
        <v>7.7671428571428572E-2</v>
      </c>
      <c r="C18" s="76">
        <f t="shared" si="2"/>
        <v>0</v>
      </c>
      <c r="D18" s="66">
        <f t="shared" si="3"/>
        <v>7.7671428571428572E-2</v>
      </c>
      <c r="E18">
        <f>COUNTIF(tables_503100!C:C,input_503100!A18)-COUNTIF(Q:Q,A18)</f>
        <v>15</v>
      </c>
      <c r="F18" s="37">
        <f>IFERROR(B18/E18,0)</f>
        <v>5.1780952380952377E-3</v>
      </c>
      <c r="G18">
        <f t="shared" si="4"/>
        <v>152236</v>
      </c>
      <c r="H18">
        <f t="shared" si="5"/>
        <v>10149.06667</v>
      </c>
      <c r="I18">
        <f t="shared" si="6"/>
        <v>6.6670000000158325E-2</v>
      </c>
      <c r="J18">
        <f t="shared" si="7"/>
        <v>14.999250037462506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VLOOKUP(L18,tables_503100!B:C,2,FALSE)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COUNTIF(tables_503100!C:C,input_503100!A19)-COUNTIF(Q:Q,A19)</f>
        <v>40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VLOOKUP(L19,tables_503100!B:C,2,FALSE)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E$7*E20*B$6-0.027+E49</f>
        <v>0.19423159178061286</v>
      </c>
      <c r="C20" s="76">
        <f t="shared" si="2"/>
        <v>0</v>
      </c>
      <c r="D20" s="66">
        <f t="shared" si="3"/>
        <v>0.19423159178061286</v>
      </c>
      <c r="E20">
        <f>COUNTIF(tables_503100!C:C,input_503100!A20)-COUNTIF(Q:Q,A20)</f>
        <v>40</v>
      </c>
      <c r="F20" s="37">
        <f t="shared" si="8"/>
        <v>4.8557897945153217E-3</v>
      </c>
      <c r="G20">
        <f t="shared" si="4"/>
        <v>380693.91989000118</v>
      </c>
      <c r="H20">
        <f t="shared" si="5"/>
        <v>9517.348</v>
      </c>
      <c r="I20">
        <f t="shared" si="6"/>
        <v>0.34799999999995634</v>
      </c>
      <c r="J20">
        <f t="shared" si="7"/>
        <v>2.873563218391165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VLOOKUP(L20,tables_503100!B:C,2,FALSE)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E$7*E21*B$7+0.0197-G64</f>
        <v>1.2555101993571433E-4</v>
      </c>
      <c r="C21" s="76">
        <f t="shared" si="2"/>
        <v>0</v>
      </c>
      <c r="D21" s="66">
        <f t="shared" si="3"/>
        <v>1.2555101993571433E-4</v>
      </c>
      <c r="E21">
        <f>COUNTIF(tables_503100!C:C,input_503100!A21)-COUNTIF(Q:Q,A21)</f>
        <v>40</v>
      </c>
      <c r="F21" s="37">
        <f t="shared" si="8"/>
        <v>3.1387754983928583E-6</v>
      </c>
      <c r="G21">
        <f t="shared" si="4"/>
        <v>246.07999907400009</v>
      </c>
      <c r="H21">
        <f t="shared" si="5"/>
        <v>6.1520000000000001</v>
      </c>
      <c r="I21">
        <f t="shared" si="6"/>
        <v>0.15200000000000014</v>
      </c>
      <c r="J21">
        <f t="shared" si="7"/>
        <v>6.5789473684210469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E$7*E22-B23+C50</f>
        <v>0.10218946939843175</v>
      </c>
      <c r="C22" s="76">
        <f t="shared" si="2"/>
        <v>0</v>
      </c>
      <c r="D22" s="66">
        <f t="shared" si="3"/>
        <v>0.10218946939843175</v>
      </c>
      <c r="E22">
        <f>COUNTIF(tables_503100!C:C,input_503100!A22)-COUNTIF(Q:Q,A22)</f>
        <v>12</v>
      </c>
      <c r="F22" s="37">
        <f t="shared" si="8"/>
        <v>8.5157891165359798E-3</v>
      </c>
      <c r="G22">
        <f t="shared" si="4"/>
        <v>200291.36002092622</v>
      </c>
      <c r="H22">
        <f t="shared" si="5"/>
        <v>16690.946670000001</v>
      </c>
      <c r="I22">
        <f t="shared" si="6"/>
        <v>0.94667000000117696</v>
      </c>
      <c r="J22">
        <f t="shared" si="7"/>
        <v>1.0563343086806984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E23*E7*B7-0.0087</f>
        <v>2.9542857142857322E-4</v>
      </c>
      <c r="C23" s="76">
        <f t="shared" si="2"/>
        <v>0</v>
      </c>
      <c r="D23" s="66">
        <f t="shared" si="3"/>
        <v>2.9542857142857322E-4</v>
      </c>
      <c r="E23">
        <f>COUNTIF(tables_503100!C:C,input_503100!A23)-COUNTIF(Q:Q,A23)</f>
        <v>17</v>
      </c>
      <c r="F23" s="37">
        <f t="shared" si="8"/>
        <v>1.7378151260504307E-5</v>
      </c>
      <c r="G23">
        <f t="shared" si="4"/>
        <v>579.04000000000349</v>
      </c>
      <c r="H23">
        <f t="shared" si="5"/>
        <v>34.06118</v>
      </c>
      <c r="I23">
        <f t="shared" si="6"/>
        <v>6.1180000000000234E-2</v>
      </c>
      <c r="J23">
        <f t="shared" si="7"/>
        <v>16.345210853219942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COUNTIF(tables_503100!C:C,input_503100!A24)-COUNTIF(Q:Q,A24)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1.4286857142857143E-2</v>
      </c>
      <c r="C25" s="76">
        <f t="shared" si="2"/>
        <v>0</v>
      </c>
      <c r="D25" s="66">
        <f t="shared" si="3"/>
        <v>1.4286857142857143E-2</v>
      </c>
      <c r="E25">
        <f>COUNTIF(tables_503100!C:C,input_503100!A25)-COUNTIF(Q:Q,A25)</f>
        <v>3</v>
      </c>
      <c r="F25" s="37">
        <f t="shared" si="8"/>
        <v>4.7622857142857146E-3</v>
      </c>
      <c r="G25">
        <f t="shared" si="4"/>
        <v>28002.240000000002</v>
      </c>
      <c r="H25">
        <f t="shared" si="5"/>
        <v>9334.08</v>
      </c>
      <c r="I25">
        <f t="shared" si="6"/>
        <v>7.999999999992724E-2</v>
      </c>
      <c r="J25">
        <f t="shared" si="7"/>
        <v>12.500000000011369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E$7*B$7*E26-0.001</f>
        <v>5.8742857142857164E-4</v>
      </c>
      <c r="C26" s="76">
        <f t="shared" si="2"/>
        <v>0</v>
      </c>
      <c r="D26" s="66">
        <f t="shared" si="3"/>
        <v>5.8742857142857164E-4</v>
      </c>
      <c r="E26">
        <f>COUNTIF(tables_503100!C:C,input_503100!A26)-COUNTIF(Q:Q,A26)</f>
        <v>3</v>
      </c>
      <c r="F26" s="37">
        <f t="shared" si="8"/>
        <v>1.9580952380952388E-4</v>
      </c>
      <c r="G26">
        <f t="shared" si="4"/>
        <v>1151.3600000000004</v>
      </c>
      <c r="H26">
        <f t="shared" si="5"/>
        <v>383.78667000000002</v>
      </c>
      <c r="I26">
        <f t="shared" si="6"/>
        <v>0.78667000000001508</v>
      </c>
      <c r="J26">
        <f t="shared" si="7"/>
        <v>1.2711810543175421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3.8204081632653071E-3</v>
      </c>
      <c r="C27" s="76">
        <f t="shared" si="2"/>
        <v>0</v>
      </c>
      <c r="D27" s="66">
        <f t="shared" si="3"/>
        <v>3.8204081632653071E-3</v>
      </c>
      <c r="E27">
        <f>COUNTIF(tables_503100!C:C,input_503100!A27)-COUNTIF(Q:Q,A27)</f>
        <v>20</v>
      </c>
      <c r="F27" s="37">
        <f>IFERROR(B27/E27,0)</f>
        <v>1.9102040816326536E-4</v>
      </c>
      <c r="G27">
        <f t="shared" si="4"/>
        <v>7488.0000000000018</v>
      </c>
      <c r="H27">
        <f t="shared" si="5"/>
        <v>374.4</v>
      </c>
      <c r="I27">
        <f t="shared" si="6"/>
        <v>0.39999999999997726</v>
      </c>
      <c r="J27">
        <f t="shared" si="7"/>
        <v>2.5000000000001421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4.2448979591836746E-4</v>
      </c>
      <c r="C28" s="76">
        <f t="shared" si="2"/>
        <v>0</v>
      </c>
      <c r="D28" s="66">
        <f t="shared" si="3"/>
        <v>4.2448979591836746E-4</v>
      </c>
      <c r="E28">
        <f>COUNTIF(tables_503100!C:C,input_503100!A28)-COUNTIF(Q:Q,A28)</f>
        <v>20</v>
      </c>
      <c r="F28" s="37">
        <f t="shared" si="8"/>
        <v>2.1224489795918374E-5</v>
      </c>
      <c r="G28">
        <f t="shared" si="4"/>
        <v>832.00000000000023</v>
      </c>
      <c r="H28">
        <f t="shared" si="5"/>
        <v>41.6</v>
      </c>
      <c r="I28">
        <f t="shared" si="6"/>
        <v>0.60000000000000142</v>
      </c>
      <c r="J28">
        <f t="shared" si="7"/>
        <v>1.6666666666666627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E$5*E29-F49</f>
        <v>6.3673469387755107E-3</v>
      </c>
      <c r="C29" s="76">
        <f t="shared" si="2"/>
        <v>0</v>
      </c>
      <c r="D29" s="66">
        <f t="shared" si="3"/>
        <v>6.3673469387755107E-3</v>
      </c>
      <c r="E29">
        <f>COUNTIF(tables_503100!C:C,input_503100!A29)-COUNTIF(Q:Q,A29)</f>
        <v>30</v>
      </c>
      <c r="F29" s="37">
        <f t="shared" si="8"/>
        <v>2.122448979591837E-4</v>
      </c>
      <c r="G29">
        <f t="shared" si="4"/>
        <v>12480.000000000002</v>
      </c>
      <c r="H29">
        <f t="shared" si="5"/>
        <v>416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COUNTIF(tables_503100!C:C,input_503100!A30)-COUNTIF(Q:Q,A30)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COUNTIF(tables_503100!C:C,input_503100!A31)-COUNTIF(Q:Q,A31)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COUNTIF(tables_503100!C:C,input_503100!A32)-COUNTIF(Q:Q,A32)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E$8*E33-B32+0.02</f>
        <v>0.13575000000000001</v>
      </c>
      <c r="C33" s="76">
        <f t="shared" si="2"/>
        <v>0</v>
      </c>
      <c r="D33" s="66">
        <f t="shared" si="3"/>
        <v>0.13575000000000001</v>
      </c>
      <c r="E33">
        <f>COUNTIF(tables_503100!C:C,input_503100!A33)-COUNTIF(Q:Q,A33)</f>
        <v>5</v>
      </c>
      <c r="F33" s="37">
        <f>IFERROR(B33/E33,0)</f>
        <v>2.7150000000000001E-2</v>
      </c>
      <c r="G33">
        <f t="shared" si="4"/>
        <v>266070</v>
      </c>
      <c r="H33">
        <f t="shared" si="5"/>
        <v>53214</v>
      </c>
      <c r="I33">
        <f t="shared" si="6"/>
        <v>0</v>
      </c>
      <c r="J33">
        <f t="shared" si="7"/>
        <v>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COUNTIF(tables_503100!C:C,input_503100!A34)-COUNTIF(Q:Q,A34)</f>
        <v>12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E$8*E35*B$6+E49-C50</f>
        <v>0.24177240809646683</v>
      </c>
      <c r="C35" s="76">
        <f t="shared" si="2"/>
        <v>0</v>
      </c>
      <c r="D35" s="66">
        <f t="shared" si="3"/>
        <v>0.24177240809646683</v>
      </c>
      <c r="E35">
        <f>COUNTIF(tables_503100!C:C,input_503100!A35)-COUNTIF(Q:Q,A35)</f>
        <v>12</v>
      </c>
      <c r="F35" s="37">
        <f t="shared" si="9"/>
        <v>2.014770067470557E-2</v>
      </c>
      <c r="G35">
        <f t="shared" si="4"/>
        <v>473873.91986907501</v>
      </c>
      <c r="H35">
        <f t="shared" si="5"/>
        <v>39489.493320000001</v>
      </c>
      <c r="I35">
        <f t="shared" si="6"/>
        <v>0.49332000000140397</v>
      </c>
      <c r="J35">
        <f t="shared" si="7"/>
        <v>2.0270818130162045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E$8*E36*B$7</f>
        <v>2.7779999999999999E-2</v>
      </c>
      <c r="C36" s="76">
        <f t="shared" si="2"/>
        <v>0</v>
      </c>
      <c r="D36" s="66">
        <f t="shared" si="3"/>
        <v>2.7779999999999999E-2</v>
      </c>
      <c r="E36">
        <f>COUNTIF(tables_503100!C:C,input_503100!A36)-COUNTIF(Q:Q,A36)</f>
        <v>12</v>
      </c>
      <c r="F36" s="37">
        <f t="shared" si="9"/>
        <v>2.3149999999999998E-3</v>
      </c>
      <c r="G36">
        <f t="shared" si="4"/>
        <v>54448.799999999996</v>
      </c>
      <c r="H36">
        <f t="shared" si="5"/>
        <v>4537.3999999999996</v>
      </c>
      <c r="I36">
        <f t="shared" si="6"/>
        <v>0.3999999999996362</v>
      </c>
      <c r="J36">
        <f t="shared" si="7"/>
        <v>2.5000000000022737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E$8*E37-B38-E49</f>
        <v>9.195483679081573E-2</v>
      </c>
      <c r="C37" s="76">
        <f t="shared" si="2"/>
        <v>0</v>
      </c>
      <c r="D37" s="66">
        <f t="shared" si="3"/>
        <v>9.195483679081573E-2</v>
      </c>
      <c r="E37">
        <f>COUNTIF(tables_503100!C:C,input_503100!A37)-COUNTIF(Q:Q,A37)</f>
        <v>6</v>
      </c>
      <c r="F37" s="37">
        <f t="shared" si="9"/>
        <v>1.5325806131802622E-2</v>
      </c>
      <c r="G37">
        <f t="shared" si="4"/>
        <v>180231.48010999884</v>
      </c>
      <c r="H37">
        <f t="shared" si="5"/>
        <v>30038.580020000001</v>
      </c>
      <c r="I37">
        <f t="shared" si="6"/>
        <v>0.58002000000124099</v>
      </c>
      <c r="J37">
        <f t="shared" si="7"/>
        <v>1.7240784800487232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1.6205000000000001E-2</v>
      </c>
      <c r="C38" s="76">
        <f t="shared" si="2"/>
        <v>0</v>
      </c>
      <c r="D38" s="66">
        <f t="shared" si="3"/>
        <v>1.6205000000000001E-2</v>
      </c>
      <c r="E38">
        <f>COUNTIF(tables_503100!C:C,input_503100!A38)-COUNTIF(Q:Q,A38)</f>
        <v>7</v>
      </c>
      <c r="F38" s="37">
        <f t="shared" si="9"/>
        <v>2.3150000000000002E-3</v>
      </c>
      <c r="G38">
        <f t="shared" si="4"/>
        <v>31761.800000000003</v>
      </c>
      <c r="H38">
        <f t="shared" si="5"/>
        <v>4537.3999999999996</v>
      </c>
      <c r="I38">
        <f t="shared" si="6"/>
        <v>0.3999999999996362</v>
      </c>
      <c r="J38">
        <f t="shared" si="7"/>
        <v>2.5000000000022737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COUNTIF(tables_503100!C:C,input_503100!A39)-COUNTIF(Q:Q,A39)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2.0834999999999999E-2</v>
      </c>
      <c r="C40" s="76">
        <f t="shared" si="2"/>
        <v>0</v>
      </c>
      <c r="D40" s="66">
        <f t="shared" si="3"/>
        <v>2.0834999999999999E-2</v>
      </c>
      <c r="E40">
        <f>COUNTIF(tables_503100!C:C,input_503100!A40)-COUNTIF(Q:Q,A40)</f>
        <v>1</v>
      </c>
      <c r="F40" s="37">
        <f t="shared" si="9"/>
        <v>2.0834999999999999E-2</v>
      </c>
      <c r="G40">
        <f t="shared" si="4"/>
        <v>40836.6</v>
      </c>
      <c r="H40">
        <f t="shared" si="5"/>
        <v>40836.6</v>
      </c>
      <c r="I40">
        <f t="shared" si="6"/>
        <v>0.59999999999854481</v>
      </c>
      <c r="J40">
        <f t="shared" si="7"/>
        <v>1.6666666666707088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2.3150000000000002E-3</v>
      </c>
      <c r="C41" s="76">
        <f t="shared" si="2"/>
        <v>0</v>
      </c>
      <c r="D41" s="66">
        <f t="shared" si="3"/>
        <v>2.3150000000000002E-3</v>
      </c>
      <c r="E41">
        <f>COUNTIF(tables_503100!C:C,input_503100!A41)-COUNTIF(Q:Q,A41)</f>
        <v>1</v>
      </c>
      <c r="F41" s="37">
        <f t="shared" si="9"/>
        <v>2.3150000000000002E-3</v>
      </c>
      <c r="G41">
        <f t="shared" si="4"/>
        <v>4537.4000000000005</v>
      </c>
      <c r="H41">
        <f t="shared" si="5"/>
        <v>4537.3999999999996</v>
      </c>
      <c r="I41">
        <f t="shared" si="6"/>
        <v>0.3999999999996362</v>
      </c>
      <c r="J41">
        <f t="shared" si="7"/>
        <v>2.5000000000022737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E$6*E42*(B$5+B$6)+0.01</f>
        <v>1.7488E-2</v>
      </c>
      <c r="C42" s="76">
        <f t="shared" si="2"/>
        <v>0</v>
      </c>
      <c r="D42" s="66">
        <f t="shared" si="3"/>
        <v>1.7488E-2</v>
      </c>
      <c r="E42">
        <f>COUNTIF(tables_503100!C:C,input_503100!A42)-COUNTIF(Q:Q,A42)</f>
        <v>8</v>
      </c>
      <c r="F42" s="37">
        <f>IFERROR(B42/E42,0)</f>
        <v>2.186E-3</v>
      </c>
      <c r="G42">
        <f t="shared" si="4"/>
        <v>34276.480000000003</v>
      </c>
      <c r="H42">
        <f t="shared" si="5"/>
        <v>4284.5600000000004</v>
      </c>
      <c r="I42">
        <f t="shared" si="6"/>
        <v>0.56000000000040018</v>
      </c>
      <c r="J42">
        <f t="shared" si="7"/>
        <v>1.7857142857130097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8.3200000000000017E-4</v>
      </c>
      <c r="C43" s="76">
        <f t="shared" si="2"/>
        <v>0</v>
      </c>
      <c r="D43" s="66">
        <f t="shared" si="3"/>
        <v>8.3200000000000017E-4</v>
      </c>
      <c r="E43">
        <f>COUNTIF(tables_503100!C:C,input_503100!A43)-COUNTIF(Q:Q,A43)</f>
        <v>8</v>
      </c>
      <c r="F43" s="37">
        <f t="shared" ref="F43:F46" si="10">IFERROR(B43/E43,0)</f>
        <v>1.0400000000000002E-4</v>
      </c>
      <c r="G43">
        <f t="shared" si="4"/>
        <v>1630.7200000000003</v>
      </c>
      <c r="H43">
        <f t="shared" si="5"/>
        <v>203.84</v>
      </c>
      <c r="I43">
        <f t="shared" si="6"/>
        <v>0.84000000000000341</v>
      </c>
      <c r="J43">
        <f t="shared" si="7"/>
        <v>1.1904761904761856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E$6*E44-E50+G64-0.02</f>
        <v>2.1067755112717346E-2</v>
      </c>
      <c r="C44" s="76">
        <f t="shared" si="2"/>
        <v>0</v>
      </c>
      <c r="D44" s="66">
        <f t="shared" si="3"/>
        <v>2.1067755112717346E-2</v>
      </c>
      <c r="E44">
        <f>COUNTIF(tables_503100!C:C,input_503100!A44)-COUNTIF(Q:Q,A44)</f>
        <v>8</v>
      </c>
      <c r="F44" s="37">
        <f t="shared" si="10"/>
        <v>2.6334693890896683E-3</v>
      </c>
      <c r="G44">
        <f t="shared" si="4"/>
        <v>41292.800020925999</v>
      </c>
      <c r="H44">
        <f t="shared" si="5"/>
        <v>5161.6000000000004</v>
      </c>
      <c r="I44">
        <f t="shared" si="6"/>
        <v>0.6000000000003638</v>
      </c>
      <c r="J44">
        <f t="shared" si="7"/>
        <v>1.6666666666656562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COUNTIF(tables_503100!C:C,input_503100!A45)-COUNTIF(Q:Q,A45)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B12</f>
        <v>2.4E-2</v>
      </c>
      <c r="C46" s="76">
        <f t="shared" si="2"/>
        <v>2.4E-2</v>
      </c>
      <c r="D46" s="66">
        <f t="shared" si="3"/>
        <v>0</v>
      </c>
      <c r="E46">
        <f>COUNTIF(tables_503100!C:C,input_503100!A46)-COUNTIF(Q:Q,A46)</f>
        <v>0</v>
      </c>
      <c r="F46" s="37">
        <f t="shared" si="10"/>
        <v>0</v>
      </c>
      <c r="G46">
        <f t="shared" si="4"/>
        <v>47040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0.99999999995408229</v>
      </c>
      <c r="C47" s="35">
        <f>SUM(C19:C31)</f>
        <v>0</v>
      </c>
      <c r="D47" s="36">
        <f t="shared" si="3"/>
        <v>0.99999999995408229</v>
      </c>
      <c r="L47" s="49"/>
      <c r="M47" s="49"/>
      <c r="N47" s="49"/>
      <c r="O47" s="49"/>
      <c r="P47" s="49"/>
      <c r="Q47" s="49"/>
      <c r="R47" s="51"/>
    </row>
    <row r="49" spans="1:8" x14ac:dyDescent="0.15">
      <c r="B49" t="s">
        <v>35</v>
      </c>
      <c r="C49" s="80">
        <f>SUM(B32:B46)</f>
        <v>0.6</v>
      </c>
      <c r="E49" s="85">
        <v>3.0740163209184268E-2</v>
      </c>
      <c r="F49" s="85"/>
      <c r="G49" s="96">
        <f ca="1">0.9-G56</f>
        <v>-2.5509261369904834E-11</v>
      </c>
      <c r="H49" s="94"/>
    </row>
    <row r="50" spans="1:8" x14ac:dyDescent="0.15">
      <c r="A50" t="s">
        <v>56</v>
      </c>
      <c r="B50" s="80">
        <f>C49-0.6</f>
        <v>0</v>
      </c>
      <c r="C50" s="80">
        <v>3.8987755112717459E-2</v>
      </c>
      <c r="D50" s="84"/>
      <c r="E50" s="85">
        <v>7.9924081530612229E-3</v>
      </c>
      <c r="F50" s="93"/>
      <c r="G50" s="96">
        <f ca="1">G57-0.1</f>
        <v>3.5714306512169003E-11</v>
      </c>
      <c r="H50" s="47"/>
    </row>
    <row r="51" spans="1:8" x14ac:dyDescent="0.15">
      <c r="A51" s="26">
        <f>LCM(F5-I5,F7-I6)*1000*2*2</f>
        <v>1960000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SUMIF(tables_503100!C:C,input_503100!A55,tables_503100!O:O)</f>
        <v>0</v>
      </c>
      <c r="C55" s="46">
        <f t="shared" ref="C55:C61" ca="1" si="11">B55/B$62</f>
        <v>0</v>
      </c>
      <c r="E55">
        <v>3</v>
      </c>
      <c r="F55">
        <f ca="1">SUMIF(tables_503100!J:J,input_503100!E55,tables_503100!O:O)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SUMIF(tables_503100!C:C,input_503100!A56,tables_503100!O:O)</f>
        <v>380693.92</v>
      </c>
      <c r="C56" s="46">
        <f t="shared" ca="1" si="11"/>
        <v>0.97799393721420125</v>
      </c>
      <c r="E56">
        <v>4</v>
      </c>
      <c r="F56">
        <f ca="1">SUMIF(tables_503100!J:J,input_503100!E56,tables_503100!O:O)</f>
        <v>1764000.0000499983</v>
      </c>
      <c r="G56">
        <f ca="1">F56/A51</f>
        <v>0.90000000002550928</v>
      </c>
      <c r="H56" s="47">
        <f>B18+B20+B22+B25+B27+B30+B33+B35+B37+B40+B42+B45</f>
        <v>0.89999999994387825</v>
      </c>
    </row>
    <row r="57" spans="1:8" x14ac:dyDescent="0.15">
      <c r="A57" s="27" t="s">
        <v>90</v>
      </c>
      <c r="B57">
        <f ca="1">SUMIF(tables_503100!C:C,input_503100!A57,tables_503100!O:O)</f>
        <v>7487.9999999999973</v>
      </c>
      <c r="C57" s="46">
        <f t="shared" ca="1" si="11"/>
        <v>1.9236500025689763E-2</v>
      </c>
      <c r="E57">
        <v>5</v>
      </c>
      <c r="F57">
        <f ca="1">SUMIF(tables_503100!J:J,input_503100!E57,tables_503100!O:O)</f>
        <v>196000.00007000004</v>
      </c>
      <c r="G57">
        <f ca="1">F57/A51</f>
        <v>0.10000000003571431</v>
      </c>
      <c r="H57" s="47">
        <f>B21+B23+B26+B28+B29+B31+B36+B38+B41+B43+B44+B46</f>
        <v>0.10000000001020407</v>
      </c>
    </row>
    <row r="58" spans="1:8" x14ac:dyDescent="0.15">
      <c r="A58" s="27" t="s">
        <v>94</v>
      </c>
      <c r="B58">
        <f>SUMIF(tables_503100!C:C,input_503100!A58,tables_503100!O:O)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SUMIF(tables_503100!C:C,input_503100!A59,tables_503100!O:O)</f>
        <v>246.07999999999976</v>
      </c>
      <c r="C59" s="46">
        <f t="shared" ca="1" si="11"/>
        <v>6.3217386836561616E-4</v>
      </c>
      <c r="E59" t="s">
        <v>37</v>
      </c>
      <c r="F59" s="47"/>
    </row>
    <row r="60" spans="1:8" x14ac:dyDescent="0.15">
      <c r="A60" s="27" t="s">
        <v>91</v>
      </c>
      <c r="B60">
        <f ca="1">SUMIF(tables_503100!C:C,input_503100!A60,tables_503100!O:O)</f>
        <v>832.00000000000023</v>
      </c>
      <c r="C60" s="46">
        <f t="shared" ca="1" si="11"/>
        <v>2.1373888917433086E-3</v>
      </c>
      <c r="E60" t="s">
        <v>190</v>
      </c>
      <c r="F60" s="47">
        <f ca="1">SUMIF(tables_503100!I:I,input_503100!E60,tables_503100!P:P)</f>
        <v>0.21582331934903132</v>
      </c>
    </row>
    <row r="61" spans="1:8" x14ac:dyDescent="0.15">
      <c r="A61" s="27" t="s">
        <v>92</v>
      </c>
      <c r="B61">
        <f>SUMIF(tables_503100!C:C,input_503100!A61,tables_503100!O:O)</f>
        <v>0</v>
      </c>
      <c r="C61" s="46">
        <f t="shared" ca="1" si="11"/>
        <v>0</v>
      </c>
      <c r="E61" t="s">
        <v>191</v>
      </c>
      <c r="F61" s="47">
        <f ca="1">SUMIF(tables_503100!I:I,input_503100!E61,tables_503100!P:P)</f>
        <v>0.186083064590648</v>
      </c>
    </row>
    <row r="62" spans="1:8" x14ac:dyDescent="0.15">
      <c r="A62" s="33" t="s">
        <v>42</v>
      </c>
      <c r="B62">
        <f ca="1">SUM(B55:B61)</f>
        <v>389260</v>
      </c>
      <c r="C62" s="47">
        <f ca="1">SUM(C55:C61)</f>
        <v>1</v>
      </c>
      <c r="E62" t="s">
        <v>192</v>
      </c>
      <c r="F62" s="47">
        <f ca="1">SUMIF(tables_503100!I:I,input_503100!E62,tables_503100!P:P)</f>
        <v>0.52409361606485161</v>
      </c>
    </row>
    <row r="63" spans="1:8" x14ac:dyDescent="0.15">
      <c r="E63" t="s">
        <v>193</v>
      </c>
      <c r="F63" s="47">
        <f ca="1">SUMIF(tables_503100!I:I,input_503100!E63,tables_503100!P:P)</f>
        <v>4.6093061221667821E-2</v>
      </c>
      <c r="G63" s="86">
        <f ca="1">0.05-F63-F64</f>
        <v>3.0611771797972587E-12</v>
      </c>
    </row>
    <row r="64" spans="1:8" x14ac:dyDescent="0.15">
      <c r="E64" t="s">
        <v>253</v>
      </c>
      <c r="F64" s="47">
        <f ca="1">SUMIF(tables_503100!I:I,input_503100!E64,tables_503100!P:P)</f>
        <v>3.9069387752710049E-3</v>
      </c>
      <c r="G64">
        <v>4.0740163265778569E-2</v>
      </c>
    </row>
    <row r="65" spans="5:6" x14ac:dyDescent="0.15">
      <c r="E65" t="s">
        <v>255</v>
      </c>
      <c r="F65" s="47">
        <f ca="1">SUMIF(tables_503100!I:I,input_503100!E65,tables_503100!P:P)</f>
        <v>2.399999999853062E-2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46"/>
  <sheetViews>
    <sheetView showGridLines="0" zoomScale="70" zoomScaleNormal="70" zoomScalePageLayoutView="70" workbookViewId="0">
      <pane ySplit="1" topLeftCell="A329" activePane="bottomLeft" state="frozen"/>
      <selection activeCell="B13" sqref="B13"/>
      <selection pane="bottomLeft" activeCell="Q355" sqref="Q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input_503100!A$2</f>
        <v>503100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IFERROR(VLOOKUP(B2,input_503100!L:R,7,FALSE),VLOOKUP(tables_503100!C2,input_503100!A:H,8,FALSE))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input_503100!A$2</f>
        <v>503100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IFERROR(VLOOKUP(B3,input_503100!L:R,7,FALSE),VLOOKUP(tables_503100!C3,input_503100!A:H,8,FALSE))</f>
        <v>53214</v>
      </c>
      <c r="P3" s="40">
        <f t="shared" ca="1" si="1"/>
        <v>2.7149999998337764E-2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input_503100!A$2</f>
        <v>503100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IFERROR(VLOOKUP(B4,input_503100!L:R,7,FALSE),VLOOKUP(tables_503100!C4,input_503100!A:H,8,FALSE))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input_503100!A$2</f>
        <v>503100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IFERROR(VLOOKUP(B5,input_503100!L:R,7,FALSE),VLOOKUP(tables_503100!C5,input_503100!A:H,8,FALSE))</f>
        <v>10149.06667</v>
      </c>
      <c r="P5" s="40">
        <f t="shared" ca="1" si="1"/>
        <v>5.1780952394788939E-3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input_503100!A$2</f>
        <v>503100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IFERROR(VLOOKUP(B6,input_503100!L:R,7,FALSE),VLOOKUP(tables_503100!C6,input_503100!A:H,8,FALSE))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input_503100!A$2</f>
        <v>503100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IFERROR(VLOOKUP(B7,input_503100!L:R,7,FALSE),VLOOKUP(tables_503100!C7,input_503100!A:H,8,FALSE))</f>
        <v>10149.06667</v>
      </c>
      <c r="P7" s="40">
        <f t="shared" ca="1" si="1"/>
        <v>5.1780952394788939E-3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input_503100!A$2</f>
        <v>503100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IFERROR(VLOOKUP(B8,input_503100!L:R,7,FALSE),VLOOKUP(tables_503100!C8,input_503100!A:H,8,FALSE))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input_503100!A$2</f>
        <v>503100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IFERROR(VLOOKUP(B9,input_503100!L:R,7,FALSE),VLOOKUP(tables_503100!C9,input_503100!A:H,8,FALSE))</f>
        <v>10149.06667</v>
      </c>
      <c r="P9" s="40">
        <f t="shared" ca="1" si="1"/>
        <v>5.1780952394788939E-3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input_503100!A$2</f>
        <v>503100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IFERROR(VLOOKUP(B10,input_503100!L:R,7,FALSE),VLOOKUP(tables_503100!C10,input_503100!A:H,8,FALSE))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input_503100!A$2</f>
        <v>503100</v>
      </c>
      <c r="B11" s="8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IFERROR(VLOOKUP(B11,input_503100!L:R,7,FALSE),VLOOKUP(tables_503100!C11,input_503100!A:H,8,FALSE))</f>
        <v>53214</v>
      </c>
      <c r="P11" s="40">
        <f t="shared" ca="1" si="1"/>
        <v>2.7149999998337764E-2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input_503100!A$2</f>
        <v>503100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IFERROR(VLOOKUP(B12,input_503100!L:R,7,FALSE),VLOOKUP(tables_503100!C12,input_503100!A:H,8,FALSE))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input_503100!A$2</f>
        <v>503100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IFERROR(VLOOKUP(B13,input_503100!L:R,7,FALSE),VLOOKUP(tables_503100!C13,input_503100!A:H,8,FALSE))</f>
        <v>10149.06667</v>
      </c>
      <c r="P13" s="40">
        <f t="shared" ca="1" si="1"/>
        <v>5.1780952394788939E-3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input_503100!A$2</f>
        <v>503100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IFERROR(VLOOKUP(B14,input_503100!L:R,7,FALSE),VLOOKUP(tables_503100!C14,input_503100!A:H,8,FALSE))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input_503100!A$2</f>
        <v>503100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IFERROR(VLOOKUP(B15,input_503100!L:R,7,FALSE),VLOOKUP(tables_503100!C15,input_503100!A:H,8,FALSE))</f>
        <v>10149.06667</v>
      </c>
      <c r="P15" s="40">
        <f t="shared" ca="1" si="1"/>
        <v>5.1780952394788939E-3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input_503100!A$2</f>
        <v>503100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IFERROR(VLOOKUP(B16,input_503100!L:R,7,FALSE),VLOOKUP(tables_503100!C16,input_503100!A:H,8,FALSE))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input_503100!A$2</f>
        <v>503100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IFERROR(VLOOKUP(B17,input_503100!L:R,7,FALSE),VLOOKUP(tables_503100!C17,input_503100!A:H,8,FALSE))</f>
        <v>10149.06667</v>
      </c>
      <c r="P17" s="40">
        <f t="shared" ca="1" si="1"/>
        <v>5.1780952394788939E-3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input_503100!A$2</f>
        <v>503100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IFERROR(VLOOKUP(B18,input_503100!L:R,7,FALSE),VLOOKUP(tables_503100!C18,input_503100!A:H,8,FALSE))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input_503100!A$2</f>
        <v>503100</v>
      </c>
      <c r="B19" s="10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IFERROR(VLOOKUP(B19,input_503100!L:R,7,FALSE),VLOOKUP(tables_503100!C19,input_503100!A:H,8,FALSE))</f>
        <v>53214</v>
      </c>
      <c r="P19" s="40">
        <f t="shared" ca="1" si="1"/>
        <v>2.7149999998337764E-2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input_503100!A$2</f>
        <v>503100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IFERROR(VLOOKUP(B20,input_503100!L:R,7,FALSE),VLOOKUP(tables_503100!C20,input_503100!A:H,8,FALSE))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input_503100!A$2</f>
        <v>503100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IFERROR(VLOOKUP(B21,input_503100!L:R,7,FALSE),VLOOKUP(tables_503100!C21,input_503100!A:H,8,FALSE))</f>
        <v>10149.06667</v>
      </c>
      <c r="P21" s="40">
        <f t="shared" ca="1" si="1"/>
        <v>5.1780952394788939E-3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input_503100!A$2</f>
        <v>503100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IFERROR(VLOOKUP(B22,input_503100!L:R,7,FALSE),VLOOKUP(tables_503100!C22,input_503100!A:H,8,FALSE))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input_503100!A$2</f>
        <v>503100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IFERROR(VLOOKUP(B23,input_503100!L:R,7,FALSE),VLOOKUP(tables_503100!C23,input_503100!A:H,8,FALSE))</f>
        <v>10149.06667</v>
      </c>
      <c r="P23" s="40">
        <f t="shared" ca="1" si="1"/>
        <v>5.1780952394788939E-3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input_503100!A$2</f>
        <v>503100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IFERROR(VLOOKUP(B24,input_503100!L:R,7,FALSE),VLOOKUP(tables_503100!C24,input_503100!A:H,8,FALSE))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input_503100!A$2</f>
        <v>503100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IFERROR(VLOOKUP(B25,input_503100!L:R,7,FALSE),VLOOKUP(tables_503100!C25,input_503100!A:H,8,FALSE))</f>
        <v>10149.06667</v>
      </c>
      <c r="P25" s="40">
        <f t="shared" ca="1" si="1"/>
        <v>5.1780952394788939E-3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input_503100!A$2</f>
        <v>503100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IFERROR(VLOOKUP(B26,input_503100!L:R,7,FALSE),VLOOKUP(tables_503100!C26,input_503100!A:H,8,FALSE))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input_503100!A$2</f>
        <v>503100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IFERROR(VLOOKUP(B27,input_503100!L:R,7,FALSE),VLOOKUP(tables_503100!C27,input_503100!A:H,8,FALSE))</f>
        <v>53214</v>
      </c>
      <c r="P27" s="40">
        <f t="shared" ca="1" si="1"/>
        <v>2.7149999998337764E-2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input_503100!A$2</f>
        <v>503100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IFERROR(VLOOKUP(B28,input_503100!L:R,7,FALSE),VLOOKUP(tables_503100!C28,input_503100!A:H,8,FALSE))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input_503100!A$2</f>
        <v>503100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IFERROR(VLOOKUP(B29,input_503100!L:R,7,FALSE),VLOOKUP(tables_503100!C29,input_503100!A:H,8,FALSE))</f>
        <v>10149.06667</v>
      </c>
      <c r="P29" s="40">
        <f t="shared" ca="1" si="1"/>
        <v>5.1780952394788939E-3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input_503100!A$2</f>
        <v>503100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IFERROR(VLOOKUP(B30,input_503100!L:R,7,FALSE),VLOOKUP(tables_503100!C30,input_503100!A:H,8,FALSE))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input_503100!A$2</f>
        <v>503100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IFERROR(VLOOKUP(B31,input_503100!L:R,7,FALSE),VLOOKUP(tables_503100!C31,input_503100!A:H,8,FALSE))</f>
        <v>10149.06667</v>
      </c>
      <c r="P31" s="40">
        <f t="shared" ca="1" si="1"/>
        <v>5.1780952394788939E-3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input_503100!A$2</f>
        <v>503100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IFERROR(VLOOKUP(B32,input_503100!L:R,7,FALSE),VLOOKUP(tables_503100!C32,input_503100!A:H,8,FALSE))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input_503100!A$2</f>
        <v>503100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IFERROR(VLOOKUP(B33,input_503100!L:R,7,FALSE),VLOOKUP(tables_503100!C33,input_503100!A:H,8,FALSE))</f>
        <v>10149.06667</v>
      </c>
      <c r="P33" s="40">
        <f t="shared" ca="1" si="1"/>
        <v>5.1780952394788939E-3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input_503100!A$2</f>
        <v>503100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IFERROR(VLOOKUP(B34,input_503100!L:R,7,FALSE),VLOOKUP(tables_503100!C34,input_503100!A:H,8,FALSE))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input_503100!A$2</f>
        <v>503100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IFERROR(VLOOKUP(B35,input_503100!L:R,7,FALSE),VLOOKUP(tables_503100!C35,input_503100!A:H,8,FALSE))</f>
        <v>53214</v>
      </c>
      <c r="P35" s="40">
        <f t="shared" ca="1" si="1"/>
        <v>2.7149999998337764E-2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input_503100!A$2</f>
        <v>503100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IFERROR(VLOOKUP(B36,input_503100!L:R,7,FALSE),VLOOKUP(tables_503100!C36,input_503100!A:H,8,FALSE))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input_503100!A$2</f>
        <v>503100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IFERROR(VLOOKUP(B37,input_503100!L:R,7,FALSE),VLOOKUP(tables_503100!C37,input_503100!A:H,8,FALSE))</f>
        <v>10149.06667</v>
      </c>
      <c r="P37" s="40">
        <f t="shared" ca="1" si="1"/>
        <v>5.1780952394788939E-3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input_503100!A$2</f>
        <v>503100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IFERROR(VLOOKUP(B38,input_503100!L:R,7,FALSE),VLOOKUP(tables_503100!C38,input_503100!A:H,8,FALSE))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input_503100!A$2</f>
        <v>503100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IFERROR(VLOOKUP(B39,input_503100!L:R,7,FALSE),VLOOKUP(tables_503100!C39,input_503100!A:H,8,FALSE))</f>
        <v>10149.06667</v>
      </c>
      <c r="P39" s="40">
        <f t="shared" ca="1" si="1"/>
        <v>5.1780952394788939E-3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input_503100!A$2</f>
        <v>503100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IFERROR(VLOOKUP(B40,input_503100!L:R,7,FALSE),VLOOKUP(tables_503100!C40,input_503100!A:H,8,FALSE))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input_503100!A$2</f>
        <v>503100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IFERROR(VLOOKUP(B41,input_503100!L:R,7,FALSE),VLOOKUP(tables_503100!C41,input_503100!A:H,8,FALSE))</f>
        <v>10149.06667</v>
      </c>
      <c r="P41" s="40">
        <f t="shared" ca="1" si="1"/>
        <v>5.1780952394788939E-3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input_503100!A$2</f>
        <v>503100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IFERROR(VLOOKUP(B42,input_503100!L:R,7,FALSE),VLOOKUP(tables_503100!C42,input_503100!A:H,8,FALSE))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input_503100!A$2</f>
        <v>503100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IFERROR(VLOOKUP(B43,input_503100!L:R,7,FALSE),VLOOKUP(tables_503100!C43,input_503100!A:H,8,FALSE))</f>
        <v>40836.6</v>
      </c>
      <c r="P43" s="40">
        <f t="shared" ca="1" si="1"/>
        <v>2.0834999998724395E-2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input_503100!A$2</f>
        <v>503100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IFERROR(VLOOKUP(B44,input_503100!L:R,7,FALSE),VLOOKUP(tables_503100!C44,input_503100!A:H,8,FALSE))</f>
        <v>4537.3999999999996</v>
      </c>
      <c r="P44" s="40">
        <f t="shared" ca="1" si="1"/>
        <v>2.3149999998582659E-3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input_503100!A$2</f>
        <v>503100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IFERROR(VLOOKUP(B45,input_503100!L:R,7,FALSE),VLOOKUP(tables_503100!C45,input_503100!A:H,8,FALSE))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input_503100!A$2</f>
        <v>503100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IFERROR(VLOOKUP(B46,input_503100!L:R,7,FALSE),VLOOKUP(tables_503100!C46,input_503100!A:H,8,FALSE))</f>
        <v>9334.08</v>
      </c>
      <c r="P46" s="40">
        <f t="shared" ca="1" si="1"/>
        <v>4.7622857139941474E-3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input_503100!A$2</f>
        <v>503100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IFERROR(VLOOKUP(B47,input_503100!L:R,7,FALSE),VLOOKUP(tables_503100!C47,input_503100!A:H,8,FALSE))</f>
        <v>383.78667000000002</v>
      </c>
      <c r="P47" s="40">
        <f t="shared" ca="1" si="1"/>
        <v>1.9580952549821582E-4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input_503100!A$2</f>
        <v>503100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IFERROR(VLOOKUP(B48,input_503100!L:R,7,FALSE),VLOOKUP(tables_503100!C48,input_503100!A:H,8,FALSE))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input_503100!A$2</f>
        <v>503100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IFERROR(VLOOKUP(B49,input_503100!L:R,7,FALSE),VLOOKUP(tables_503100!C49,input_503100!A:H,8,FALSE))</f>
        <v>9334.08</v>
      </c>
      <c r="P49" s="40">
        <f t="shared" ca="1" si="1"/>
        <v>4.7622857139941474E-3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input_503100!A$2</f>
        <v>503100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IFERROR(VLOOKUP(B50,input_503100!L:R,7,FALSE),VLOOKUP(tables_503100!C50,input_503100!A:H,8,FALSE))</f>
        <v>383.78667000000002</v>
      </c>
      <c r="P50" s="40">
        <f t="shared" ca="1" si="1"/>
        <v>1.9580952549821582E-4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input_503100!A$2</f>
        <v>503100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IFERROR(VLOOKUP(B51,input_503100!L:R,7,FALSE),VLOOKUP(tables_503100!C51,input_503100!A:H,8,FALSE))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input_503100!A$2</f>
        <v>503100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IFERROR(VLOOKUP(B52,input_503100!L:R,7,FALSE),VLOOKUP(tables_503100!C52,input_503100!A:H,8,FALSE))</f>
        <v>9517.348</v>
      </c>
      <c r="P52" s="40">
        <f t="shared" ca="1" si="1"/>
        <v>4.8557897956210761E-3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input_503100!A$2</f>
        <v>503100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IFERROR(VLOOKUP(B53,input_503100!L:R,7,FALSE),VLOOKUP(tables_503100!C53,input_503100!A:H,8,FALSE))</f>
        <v>6.1520000000000001</v>
      </c>
      <c r="P53" s="40">
        <f t="shared" ca="1" si="1"/>
        <v>3.1387755100119129E-6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input_503100!A$2</f>
        <v>503100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IFERROR(VLOOKUP(B54,input_503100!L:R,7,FALSE),VLOOKUP(tables_503100!C54,input_503100!A:H,8,FALSE))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input_503100!A$2</f>
        <v>503100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IFERROR(VLOOKUP(B55,input_503100!L:R,7,FALSE),VLOOKUP(tables_503100!C55,input_503100!A:H,8,FALSE))</f>
        <v>39489.493320000001</v>
      </c>
      <c r="P55" s="40">
        <f t="shared" ca="1" si="1"/>
        <v>2.0147700672235862E-2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input_503100!A$2</f>
        <v>503100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IFERROR(VLOOKUP(B56,input_503100!L:R,7,FALSE),VLOOKUP(tables_503100!C56,input_503100!A:H,8,FALSE))</f>
        <v>4537.3999999999996</v>
      </c>
      <c r="P56" s="40">
        <f t="shared" ca="1" si="1"/>
        <v>2.3149999998582659E-3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input_503100!A$2</f>
        <v>503100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IFERROR(VLOOKUP(B57,input_503100!L:R,7,FALSE),VLOOKUP(tables_503100!C57,input_503100!A:H,8,FALSE))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input_503100!A$2</f>
        <v>503100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IFERROR(VLOOKUP(B58,input_503100!L:R,7,FALSE),VLOOKUP(tables_503100!C58,input_503100!A:H,8,FALSE))</f>
        <v>9517.348</v>
      </c>
      <c r="P58" s="40">
        <f t="shared" ca="1" si="1"/>
        <v>4.8557897956210761E-3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input_503100!A$2</f>
        <v>503100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IFERROR(VLOOKUP(B59,input_503100!L:R,7,FALSE),VLOOKUP(tables_503100!C59,input_503100!A:H,8,FALSE))</f>
        <v>6.1520000000000001</v>
      </c>
      <c r="P59" s="40">
        <f t="shared" ca="1" si="1"/>
        <v>3.1387755100119129E-6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input_503100!A$2</f>
        <v>503100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IFERROR(VLOOKUP(B60,input_503100!L:R,7,FALSE),VLOOKUP(tables_503100!C60,input_503100!A:H,8,FALSE))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input_503100!A$2</f>
        <v>503100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IFERROR(VLOOKUP(B61,input_503100!L:R,7,FALSE),VLOOKUP(tables_503100!C61,input_503100!A:H,8,FALSE))</f>
        <v>9517.348</v>
      </c>
      <c r="P61" s="40">
        <f t="shared" ca="1" si="1"/>
        <v>4.8557897956210761E-3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input_503100!A$2</f>
        <v>503100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IFERROR(VLOOKUP(B62,input_503100!L:R,7,FALSE),VLOOKUP(tables_503100!C62,input_503100!A:H,8,FALSE))</f>
        <v>6.1520000000000001</v>
      </c>
      <c r="P62" s="40">
        <f t="shared" ca="1" si="1"/>
        <v>3.1387755100119129E-6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input_503100!A$2</f>
        <v>503100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IFERROR(VLOOKUP(B63,input_503100!L:R,7,FALSE),VLOOKUP(tables_503100!C63,input_503100!A:H,8,FALSE))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input_503100!A$2</f>
        <v>503100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IFERROR(VLOOKUP(B64,input_503100!L:R,7,FALSE),VLOOKUP(tables_503100!C64,input_503100!A:H,8,FALSE))</f>
        <v>9517.348</v>
      </c>
      <c r="P64" s="40">
        <f t="shared" ca="1" si="1"/>
        <v>4.8557897956210761E-3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input_503100!A$2</f>
        <v>503100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IFERROR(VLOOKUP(B65,input_503100!L:R,7,FALSE),VLOOKUP(tables_503100!C65,input_503100!A:H,8,FALSE))</f>
        <v>6.1520000000000001</v>
      </c>
      <c r="P65" s="40">
        <f t="shared" ca="1" si="1"/>
        <v>3.1387755100119129E-6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input_503100!A$2</f>
        <v>503100</v>
      </c>
      <c r="B66" s="6">
        <v>190</v>
      </c>
      <c r="C66" s="7" t="str">
        <f t="shared" ref="C66:C129" si="4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IFERROR(VLOOKUP(B66,input_503100!L:R,7,FALSE),VLOOKUP(tables_503100!C66,input_503100!A:H,8,FALSE))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input_503100!A$2</f>
        <v>503100</v>
      </c>
      <c r="B67" s="6">
        <v>191</v>
      </c>
      <c r="C67" s="7" t="str">
        <f t="shared" si="4"/>
        <v>Premium4color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IFERROR(VLOOKUP(B67,input_503100!L:R,7,FALSE),VLOOKUP(tables_503100!C67,input_503100!A:H,8,FALSE))</f>
        <v>39489.493320000001</v>
      </c>
      <c r="P67" s="40">
        <f t="shared" ca="1" si="5"/>
        <v>2.0147700672235862E-2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input_503100!A$2</f>
        <v>503100</v>
      </c>
      <c r="B68" s="6">
        <v>192</v>
      </c>
      <c r="C68" s="7" t="str">
        <f t="shared" si="4"/>
        <v>Premium5color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IFERROR(VLOOKUP(B68,input_503100!L:R,7,FALSE),VLOOKUP(tables_503100!C68,input_503100!A:H,8,FALSE))</f>
        <v>4537.3999999999996</v>
      </c>
      <c r="P68" s="40">
        <f t="shared" ca="1" si="5"/>
        <v>2.3149999998582659E-3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input_503100!A$2</f>
        <v>503100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IFERROR(VLOOKUP(B69,input_503100!L:R,7,FALSE),VLOOKUP(tables_503100!C69,input_503100!A:H,8,FALSE))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input_503100!A$2</f>
        <v>503100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IFERROR(VLOOKUP(B70,input_503100!L:R,7,FALSE),VLOOKUP(tables_503100!C70,input_503100!A:H,8,FALSE))</f>
        <v>9517.348</v>
      </c>
      <c r="P70" s="40">
        <f t="shared" ca="1" si="5"/>
        <v>4.8557897956210761E-3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input_503100!A$2</f>
        <v>503100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IFERROR(VLOOKUP(B71,input_503100!L:R,7,FALSE),VLOOKUP(tables_503100!C71,input_503100!A:H,8,FALSE))</f>
        <v>6.1520000000000001</v>
      </c>
      <c r="P71" s="40">
        <f t="shared" ca="1" si="5"/>
        <v>3.1387755100119129E-6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input_503100!A$2</f>
        <v>503100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IFERROR(VLOOKUP(B72,input_503100!L:R,7,FALSE),VLOOKUP(tables_503100!C72,input_503100!A:H,8,FALSE))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input_503100!A$2</f>
        <v>503100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IFERROR(VLOOKUP(B73,input_503100!L:R,7,FALSE),VLOOKUP(tables_503100!C73,input_503100!A:H,8,FALSE))</f>
        <v>9517.348</v>
      </c>
      <c r="P73" s="40">
        <f t="shared" ca="1" si="5"/>
        <v>4.8557897956210761E-3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input_503100!A$2</f>
        <v>503100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IFERROR(VLOOKUP(B74,input_503100!L:R,7,FALSE),VLOOKUP(tables_503100!C74,input_503100!A:H,8,FALSE))</f>
        <v>6.1520000000000001</v>
      </c>
      <c r="P74" s="40">
        <f t="shared" ca="1" si="5"/>
        <v>3.1387755100119129E-6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input_503100!A$2</f>
        <v>503100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IFERROR(VLOOKUP(B75,input_503100!L:R,7,FALSE),VLOOKUP(tables_503100!C75,input_503100!A:H,8,FALSE))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input_503100!A$2</f>
        <v>503100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IFERROR(VLOOKUP(B76,input_503100!L:R,7,FALSE),VLOOKUP(tables_503100!C76,input_503100!A:H,8,FALSE))</f>
        <v>9517.348</v>
      </c>
      <c r="P76" s="40">
        <f t="shared" ca="1" si="5"/>
        <v>4.8557897956210761E-3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input_503100!A$2</f>
        <v>503100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IFERROR(VLOOKUP(B77,input_503100!L:R,7,FALSE),VLOOKUP(tables_503100!C77,input_503100!A:H,8,FALSE))</f>
        <v>6.1520000000000001</v>
      </c>
      <c r="P77" s="40">
        <f t="shared" ca="1" si="5"/>
        <v>3.1387755100119129E-6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input_503100!A$2</f>
        <v>503100</v>
      </c>
      <c r="B78" s="5">
        <v>202</v>
      </c>
      <c r="C78" s="7" t="str">
        <f t="shared" si="4"/>
        <v>Premium3color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IFERROR(VLOOKUP(B78,input_503100!L:R,7,FALSE),VLOOKUP(tables_503100!C78,input_503100!A:H,8,FALSE))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input_503100!A$2</f>
        <v>503100</v>
      </c>
      <c r="B79" s="5">
        <v>203</v>
      </c>
      <c r="C79" s="7" t="str">
        <f t="shared" si="4"/>
        <v>Premium4color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IFERROR(VLOOKUP(B79,input_503100!L:R,7,FALSE),VLOOKUP(tables_503100!C79,input_503100!A:H,8,FALSE))</f>
        <v>39489.493320000001</v>
      </c>
      <c r="P79" s="40">
        <f t="shared" ca="1" si="5"/>
        <v>2.0147700672235862E-2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input_503100!A$2</f>
        <v>503100</v>
      </c>
      <c r="B80" s="5">
        <v>204</v>
      </c>
      <c r="C80" s="7" t="str">
        <f t="shared" si="4"/>
        <v>Premium5color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IFERROR(VLOOKUP(B80,input_503100!L:R,7,FALSE),VLOOKUP(tables_503100!C80,input_503100!A:H,8,FALSE))</f>
        <v>4537.3999999999996</v>
      </c>
      <c r="P80" s="40">
        <f t="shared" ca="1" si="5"/>
        <v>2.3149999998582659E-3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input_503100!A$2</f>
        <v>503100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IFERROR(VLOOKUP(B81,input_503100!L:R,7,FALSE),VLOOKUP(tables_503100!C81,input_503100!A:H,8,FALSE))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input_503100!A$2</f>
        <v>503100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IFERROR(VLOOKUP(B82,input_503100!L:R,7,FALSE),VLOOKUP(tables_503100!C82,input_503100!A:H,8,FALSE))</f>
        <v>9517.348</v>
      </c>
      <c r="P82" s="40">
        <f t="shared" ca="1" si="5"/>
        <v>4.8557897956210761E-3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input_503100!A$2</f>
        <v>503100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IFERROR(VLOOKUP(B83,input_503100!L:R,7,FALSE),VLOOKUP(tables_503100!C83,input_503100!A:H,8,FALSE))</f>
        <v>6.1520000000000001</v>
      </c>
      <c r="P83" s="40">
        <f t="shared" ca="1" si="5"/>
        <v>3.1387755100119129E-6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input_503100!A$2</f>
        <v>503100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IFERROR(VLOOKUP(B84,input_503100!L:R,7,FALSE),VLOOKUP(tables_503100!C84,input_503100!A:H,8,FALSE))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input_503100!A$2</f>
        <v>503100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IFERROR(VLOOKUP(B85,input_503100!L:R,7,FALSE),VLOOKUP(tables_503100!C85,input_503100!A:H,8,FALSE))</f>
        <v>9517.348</v>
      </c>
      <c r="P85" s="40">
        <f t="shared" ca="1" si="5"/>
        <v>4.8557897956210761E-3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input_503100!A$2</f>
        <v>503100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IFERROR(VLOOKUP(B86,input_503100!L:R,7,FALSE),VLOOKUP(tables_503100!C86,input_503100!A:H,8,FALSE))</f>
        <v>6.1520000000000001</v>
      </c>
      <c r="P86" s="40">
        <f t="shared" ca="1" si="5"/>
        <v>3.1387755100119129E-6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input_503100!A$2</f>
        <v>503100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IFERROR(VLOOKUP(B87,input_503100!L:R,7,FALSE),VLOOKUP(tables_503100!C87,input_503100!A:H,8,FALSE))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input_503100!A$2</f>
        <v>503100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IFERROR(VLOOKUP(B88,input_503100!L:R,7,FALSE),VLOOKUP(tables_503100!C88,input_503100!A:H,8,FALSE))</f>
        <v>9517.348</v>
      </c>
      <c r="P88" s="40">
        <f t="shared" ca="1" si="5"/>
        <v>4.8557897956210761E-3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input_503100!A$2</f>
        <v>503100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IFERROR(VLOOKUP(B89,input_503100!L:R,7,FALSE),VLOOKUP(tables_503100!C89,input_503100!A:H,8,FALSE))</f>
        <v>6.1520000000000001</v>
      </c>
      <c r="P89" s="40">
        <f t="shared" ca="1" si="5"/>
        <v>3.1387755100119129E-6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input_503100!A$2</f>
        <v>503100</v>
      </c>
      <c r="B90" s="5">
        <v>214</v>
      </c>
      <c r="C90" s="7" t="str">
        <f t="shared" si="4"/>
        <v>Premium3color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IFERROR(VLOOKUP(B90,input_503100!L:R,7,FALSE),VLOOKUP(tables_503100!C90,input_503100!A:H,8,FALSE))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input_503100!A$2</f>
        <v>503100</v>
      </c>
      <c r="B91" s="5">
        <v>215</v>
      </c>
      <c r="C91" s="7" t="str">
        <f t="shared" si="4"/>
        <v>Premium4color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IFERROR(VLOOKUP(B91,input_503100!L:R,7,FALSE),VLOOKUP(tables_503100!C91,input_503100!A:H,8,FALSE))</f>
        <v>39489.493320000001</v>
      </c>
      <c r="P91" s="40">
        <f t="shared" ca="1" si="5"/>
        <v>2.0147700672235862E-2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input_503100!A$2</f>
        <v>503100</v>
      </c>
      <c r="B92" s="5">
        <v>216</v>
      </c>
      <c r="C92" s="7" t="str">
        <f t="shared" si="4"/>
        <v>Premium5color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IFERROR(VLOOKUP(B92,input_503100!L:R,7,FALSE),VLOOKUP(tables_503100!C92,input_503100!A:H,8,FALSE))</f>
        <v>4537.3999999999996</v>
      </c>
      <c r="P92" s="40">
        <f t="shared" ca="1" si="5"/>
        <v>2.3149999998582659E-3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input_503100!A$2</f>
        <v>503100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IFERROR(VLOOKUP(B93,input_503100!L:R,7,FALSE),VLOOKUP(tables_503100!C93,input_503100!A:H,8,FALSE))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input_503100!A$2</f>
        <v>503100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IFERROR(VLOOKUP(B94,input_503100!L:R,7,FALSE),VLOOKUP(tables_503100!C94,input_503100!A:H,8,FALSE))</f>
        <v>9517.348</v>
      </c>
      <c r="P94" s="40">
        <f t="shared" ca="1" si="5"/>
        <v>4.8557897956210761E-3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input_503100!A$2</f>
        <v>503100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IFERROR(VLOOKUP(B95,input_503100!L:R,7,FALSE),VLOOKUP(tables_503100!C95,input_503100!A:H,8,FALSE))</f>
        <v>6.1520000000000001</v>
      </c>
      <c r="P95" s="40">
        <f t="shared" ca="1" si="5"/>
        <v>3.1387755100119129E-6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input_503100!A$2</f>
        <v>503100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IFERROR(VLOOKUP(B96,input_503100!L:R,7,FALSE),VLOOKUP(tables_503100!C96,input_503100!A:H,8,FALSE))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input_503100!A$2</f>
        <v>503100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IFERROR(VLOOKUP(B97,input_503100!L:R,7,FALSE),VLOOKUP(tables_503100!C97,input_503100!A:H,8,FALSE))</f>
        <v>9517.348</v>
      </c>
      <c r="P97" s="40">
        <f t="shared" ca="1" si="5"/>
        <v>4.8557897956210761E-3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input_503100!A$2</f>
        <v>503100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IFERROR(VLOOKUP(B98,input_503100!L:R,7,FALSE),VLOOKUP(tables_503100!C98,input_503100!A:H,8,FALSE))</f>
        <v>6.1520000000000001</v>
      </c>
      <c r="P98" s="40">
        <f t="shared" ca="1" si="5"/>
        <v>3.1387755100119129E-6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input_503100!A$2</f>
        <v>503100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IFERROR(VLOOKUP(B99,input_503100!L:R,7,FALSE),VLOOKUP(tables_503100!C99,input_503100!A:H,8,FALSE))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input_503100!A$2</f>
        <v>503100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IFERROR(VLOOKUP(B100,input_503100!L:R,7,FALSE),VLOOKUP(tables_503100!C100,input_503100!A:H,8,FALSE))</f>
        <v>9517.348</v>
      </c>
      <c r="P100" s="40">
        <f t="shared" ca="1" si="5"/>
        <v>4.8557897956210761E-3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input_503100!A$2</f>
        <v>503100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IFERROR(VLOOKUP(B101,input_503100!L:R,7,FALSE),VLOOKUP(tables_503100!C101,input_503100!A:H,8,FALSE))</f>
        <v>6.1520000000000001</v>
      </c>
      <c r="P101" s="40">
        <f t="shared" ca="1" si="5"/>
        <v>3.1387755100119129E-6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input_503100!A$2</f>
        <v>503100</v>
      </c>
      <c r="B102" s="5">
        <v>226</v>
      </c>
      <c r="C102" s="7" t="str">
        <f t="shared" si="4"/>
        <v>Premium3color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IFERROR(VLOOKUP(B102,input_503100!L:R,7,FALSE),VLOOKUP(tables_503100!C102,input_503100!A:H,8,FALSE))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input_503100!A$2</f>
        <v>503100</v>
      </c>
      <c r="B103" s="5">
        <v>227</v>
      </c>
      <c r="C103" s="7" t="str">
        <f t="shared" si="4"/>
        <v>Premium4color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IFERROR(VLOOKUP(B103,input_503100!L:R,7,FALSE),VLOOKUP(tables_503100!C103,input_503100!A:H,8,FALSE))</f>
        <v>39489.493320000001</v>
      </c>
      <c r="P103" s="40">
        <f t="shared" ca="1" si="5"/>
        <v>2.0147700672235862E-2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input_503100!A$2</f>
        <v>503100</v>
      </c>
      <c r="B104" s="5">
        <v>228</v>
      </c>
      <c r="C104" s="7" t="str">
        <f t="shared" si="4"/>
        <v>Premium5color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IFERROR(VLOOKUP(B104,input_503100!L:R,7,FALSE),VLOOKUP(tables_503100!C104,input_503100!A:H,8,FALSE))</f>
        <v>4537.3999999999996</v>
      </c>
      <c r="P104" s="40">
        <f t="shared" ca="1" si="5"/>
        <v>2.3149999998582659E-3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input_503100!A$2</f>
        <v>503100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IFERROR(VLOOKUP(B105,input_503100!L:R,7,FALSE),VLOOKUP(tables_503100!C105,input_503100!A:H,8,FALSE))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input_503100!A$2</f>
        <v>503100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IFERROR(VLOOKUP(B106,input_503100!L:R,7,FALSE),VLOOKUP(tables_503100!C106,input_503100!A:H,8,FALSE))</f>
        <v>9517.348</v>
      </c>
      <c r="P106" s="40">
        <f t="shared" ca="1" si="5"/>
        <v>4.8557897956210761E-3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input_503100!A$2</f>
        <v>503100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IFERROR(VLOOKUP(B107,input_503100!L:R,7,FALSE),VLOOKUP(tables_503100!C107,input_503100!A:H,8,FALSE))</f>
        <v>6.1520000000000001</v>
      </c>
      <c r="P107" s="40">
        <f t="shared" ca="1" si="5"/>
        <v>3.1387755100119129E-6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input_503100!A$2</f>
        <v>503100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IFERROR(VLOOKUP(B108,input_503100!L:R,7,FALSE),VLOOKUP(tables_503100!C108,input_503100!A:H,8,FALSE))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input_503100!A$2</f>
        <v>503100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IFERROR(VLOOKUP(B109,input_503100!L:R,7,FALSE),VLOOKUP(tables_503100!C109,input_503100!A:H,8,FALSE))</f>
        <v>9517.348</v>
      </c>
      <c r="P109" s="40">
        <f t="shared" ca="1" si="5"/>
        <v>4.8557897956210761E-3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input_503100!A$2</f>
        <v>503100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IFERROR(VLOOKUP(B110,input_503100!L:R,7,FALSE),VLOOKUP(tables_503100!C110,input_503100!A:H,8,FALSE))</f>
        <v>6.1520000000000001</v>
      </c>
      <c r="P110" s="40">
        <f t="shared" ca="1" si="5"/>
        <v>3.1387755100119129E-6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input_503100!A$2</f>
        <v>503100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IFERROR(VLOOKUP(B111,input_503100!L:R,7,FALSE),VLOOKUP(tables_503100!C111,input_503100!A:H,8,FALSE))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input_503100!A$2</f>
        <v>503100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IFERROR(VLOOKUP(B112,input_503100!L:R,7,FALSE),VLOOKUP(tables_503100!C112,input_503100!A:H,8,FALSE))</f>
        <v>9334.08</v>
      </c>
      <c r="P112" s="40">
        <f t="shared" ca="1" si="5"/>
        <v>4.7622857139941474E-3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input_503100!A$2</f>
        <v>503100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IFERROR(VLOOKUP(B113,input_503100!L:R,7,FALSE),VLOOKUP(tables_503100!C113,input_503100!A:H,8,FALSE))</f>
        <v>383.78667000000002</v>
      </c>
      <c r="P113" s="40">
        <f t="shared" ca="1" si="5"/>
        <v>1.9580952549821582E-4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input_503100!A$2</f>
        <v>503100</v>
      </c>
      <c r="B114" s="5">
        <v>238</v>
      </c>
      <c r="C114" s="7" t="str">
        <f t="shared" si="4"/>
        <v>Premium3color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IFERROR(VLOOKUP(B114,input_503100!L:R,7,FALSE),VLOOKUP(tables_503100!C114,input_503100!A:H,8,FALSE))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input_503100!A$2</f>
        <v>503100</v>
      </c>
      <c r="B115" s="5">
        <v>239</v>
      </c>
      <c r="C115" s="7" t="str">
        <f t="shared" si="4"/>
        <v>Premium4color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IFERROR(VLOOKUP(B115,input_503100!L:R,7,FALSE),VLOOKUP(tables_503100!C115,input_503100!A:H,8,FALSE))</f>
        <v>39489.493320000001</v>
      </c>
      <c r="P115" s="40">
        <f t="shared" ca="1" si="5"/>
        <v>2.0147700672235862E-2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input_503100!A$2</f>
        <v>503100</v>
      </c>
      <c r="B116" s="5">
        <v>240</v>
      </c>
      <c r="C116" s="7" t="str">
        <f t="shared" si="4"/>
        <v>Premium5color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IFERROR(VLOOKUP(B116,input_503100!L:R,7,FALSE),VLOOKUP(tables_503100!C116,input_503100!A:H,8,FALSE))</f>
        <v>4537.3999999999996</v>
      </c>
      <c r="P116" s="40">
        <f t="shared" ca="1" si="5"/>
        <v>2.3149999998582659E-3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input_503100!A$2</f>
        <v>503100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IFERROR(VLOOKUP(B117,input_503100!L:R,7,FALSE),VLOOKUP(tables_503100!C117,input_503100!A:H,8,FALSE))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input_503100!A$2</f>
        <v>503100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IFERROR(VLOOKUP(B118,input_503100!L:R,7,FALSE),VLOOKUP(tables_503100!C118,input_503100!A:H,8,FALSE))</f>
        <v>9517.348</v>
      </c>
      <c r="P118" s="40">
        <f t="shared" ca="1" si="5"/>
        <v>4.8557897956210761E-3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input_503100!A$2</f>
        <v>503100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IFERROR(VLOOKUP(B119,input_503100!L:R,7,FALSE),VLOOKUP(tables_503100!C119,input_503100!A:H,8,FALSE))</f>
        <v>6.1520000000000001</v>
      </c>
      <c r="P119" s="40">
        <f t="shared" ca="1" si="5"/>
        <v>3.1387755100119129E-6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input_503100!A$2</f>
        <v>503100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IFERROR(VLOOKUP(B120,input_503100!L:R,7,FALSE),VLOOKUP(tables_503100!C120,input_503100!A:H,8,FALSE))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input_503100!A$2</f>
        <v>503100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IFERROR(VLOOKUP(B121,input_503100!L:R,7,FALSE),VLOOKUP(tables_503100!C121,input_503100!A:H,8,FALSE))</f>
        <v>9517.348</v>
      </c>
      <c r="P121" s="40">
        <f t="shared" ca="1" si="5"/>
        <v>4.8557897956210761E-3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input_503100!A$2</f>
        <v>503100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IFERROR(VLOOKUP(B122,input_503100!L:R,7,FALSE),VLOOKUP(tables_503100!C122,input_503100!A:H,8,FALSE))</f>
        <v>6.1520000000000001</v>
      </c>
      <c r="P122" s="40">
        <f t="shared" ca="1" si="5"/>
        <v>3.1387755100119129E-6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input_503100!A$2</f>
        <v>503100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IFERROR(VLOOKUP(B123,input_503100!L:R,7,FALSE),VLOOKUP(tables_503100!C123,input_503100!A:H,8,FALSE))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input_503100!A$2</f>
        <v>503100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IFERROR(VLOOKUP(B124,input_503100!L:R,7,FALSE),VLOOKUP(tables_503100!C124,input_503100!A:H,8,FALSE))</f>
        <v>9517.348</v>
      </c>
      <c r="P124" s="40">
        <f t="shared" ca="1" si="5"/>
        <v>4.8557897956210761E-3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input_503100!A$2</f>
        <v>503100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IFERROR(VLOOKUP(B125,input_503100!L:R,7,FALSE),VLOOKUP(tables_503100!C125,input_503100!A:H,8,FALSE))</f>
        <v>6.1520000000000001</v>
      </c>
      <c r="P125" s="40">
        <f t="shared" ca="1" si="5"/>
        <v>3.1387755100119129E-6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input_503100!A$2</f>
        <v>503100</v>
      </c>
      <c r="B126" s="6">
        <v>250</v>
      </c>
      <c r="C126" s="7" t="str">
        <f t="shared" si="4"/>
        <v>Premium3color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IFERROR(VLOOKUP(B126,input_503100!L:R,7,FALSE),VLOOKUP(tables_503100!C126,input_503100!A:H,8,FALSE))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input_503100!A$2</f>
        <v>503100</v>
      </c>
      <c r="B127" s="6">
        <v>251</v>
      </c>
      <c r="C127" s="7" t="str">
        <f t="shared" si="4"/>
        <v>Premium4color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IFERROR(VLOOKUP(B127,input_503100!L:R,7,FALSE),VLOOKUP(tables_503100!C127,input_503100!A:H,8,FALSE))</f>
        <v>39489.493320000001</v>
      </c>
      <c r="P127" s="40">
        <f t="shared" ca="1" si="5"/>
        <v>2.0147700672235862E-2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input_503100!A$2</f>
        <v>503100</v>
      </c>
      <c r="B128" s="6">
        <v>252</v>
      </c>
      <c r="C128" s="7" t="str">
        <f t="shared" si="4"/>
        <v>Premium5color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IFERROR(VLOOKUP(B128,input_503100!L:R,7,FALSE),VLOOKUP(tables_503100!C128,input_503100!A:H,8,FALSE))</f>
        <v>4537.3999999999996</v>
      </c>
      <c r="P128" s="40">
        <f t="shared" ca="1" si="5"/>
        <v>2.3149999998582659E-3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input_503100!A$2</f>
        <v>503100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IFERROR(VLOOKUP(B129,input_503100!L:R,7,FALSE),VLOOKUP(tables_503100!C129,input_503100!A:H,8,FALSE))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input_503100!A$2</f>
        <v>503100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IFERROR(VLOOKUP(B130,input_503100!L:R,7,FALSE),VLOOKUP(tables_503100!C130,input_503100!A:H,8,FALSE))</f>
        <v>9517.348</v>
      </c>
      <c r="P130" s="40">
        <f t="shared" ref="P130:P193" ca="1" si="9">O130/SUM(O:O)</f>
        <v>4.8557897956210761E-3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input_503100!A$2</f>
        <v>503100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IFERROR(VLOOKUP(B131,input_503100!L:R,7,FALSE),VLOOKUP(tables_503100!C131,input_503100!A:H,8,FALSE))</f>
        <v>6.1520000000000001</v>
      </c>
      <c r="P131" s="40">
        <f t="shared" ca="1" si="9"/>
        <v>3.1387755100119129E-6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input_503100!A$2</f>
        <v>503100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IFERROR(VLOOKUP(B132,input_503100!L:R,7,FALSE),VLOOKUP(tables_503100!C132,input_503100!A:H,8,FALSE))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input_503100!A$2</f>
        <v>503100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IFERROR(VLOOKUP(B133,input_503100!L:R,7,FALSE),VLOOKUP(tables_503100!C133,input_503100!A:H,8,FALSE))</f>
        <v>9517.348</v>
      </c>
      <c r="P133" s="40">
        <f t="shared" ca="1" si="9"/>
        <v>4.8557897956210761E-3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input_503100!A$2</f>
        <v>503100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IFERROR(VLOOKUP(B134,input_503100!L:R,7,FALSE),VLOOKUP(tables_503100!C134,input_503100!A:H,8,FALSE))</f>
        <v>6.1520000000000001</v>
      </c>
      <c r="P134" s="40">
        <f t="shared" ca="1" si="9"/>
        <v>3.1387755100119129E-6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input_503100!A$2</f>
        <v>503100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IFERROR(VLOOKUP(B135,input_503100!L:R,7,FALSE),VLOOKUP(tables_503100!C135,input_503100!A:H,8,FALSE))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input_503100!A$2</f>
        <v>503100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IFERROR(VLOOKUP(B136,input_503100!L:R,7,FALSE),VLOOKUP(tables_503100!C136,input_503100!A:H,8,FALSE))</f>
        <v>9517.348</v>
      </c>
      <c r="P136" s="40">
        <f t="shared" ca="1" si="9"/>
        <v>4.8557897956210761E-3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input_503100!A$2</f>
        <v>503100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IFERROR(VLOOKUP(B137,input_503100!L:R,7,FALSE),VLOOKUP(tables_503100!C137,input_503100!A:H,8,FALSE))</f>
        <v>6.1520000000000001</v>
      </c>
      <c r="P137" s="40">
        <f t="shared" ca="1" si="9"/>
        <v>3.1387755100119129E-6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input_503100!A$2</f>
        <v>503100</v>
      </c>
      <c r="B138" s="6">
        <v>320</v>
      </c>
      <c r="C138" s="7" t="str">
        <f t="shared" si="8"/>
        <v>PremiumSS4color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IFERROR(VLOOKUP(B138,input_503100!L:R,7,FALSE),VLOOKUP(tables_503100!C138,input_503100!A:H,8,FALSE))</f>
        <v>4284.5600000000004</v>
      </c>
      <c r="P138" s="40">
        <f t="shared" ca="1" si="9"/>
        <v>2.1859999998661644E-3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input_503100!A$2</f>
        <v>503100</v>
      </c>
      <c r="B139" s="6">
        <v>321</v>
      </c>
      <c r="C139" s="7" t="str">
        <f t="shared" si="8"/>
        <v>PremiumSS5color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IFERROR(VLOOKUP(B139,input_503100!L:R,7,FALSE),VLOOKUP(tables_503100!C139,input_503100!A:H,8,FALSE))</f>
        <v>203.84</v>
      </c>
      <c r="P139" s="40">
        <f t="shared" ca="1" si="9"/>
        <v>1.0399999999363269E-4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input_503100!A$2</f>
        <v>503100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IFERROR(VLOOKUP(B140,input_503100!L:R,7,FALSE),VLOOKUP(tables_503100!C140,input_503100!A:H,8,FALSE))</f>
        <v>374.4</v>
      </c>
      <c r="P140" s="40">
        <f t="shared" ca="1" si="9"/>
        <v>1.9102040815157024E-4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input_503100!A$2</f>
        <v>503100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IFERROR(VLOOKUP(B141,input_503100!L:R,7,FALSE),VLOOKUP(tables_503100!C141,input_503100!A:H,8,FALSE))</f>
        <v>41.6</v>
      </c>
      <c r="P141" s="40">
        <f t="shared" ca="1" si="9"/>
        <v>2.1224489794618918E-5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input_503100!A$2</f>
        <v>503100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IFERROR(VLOOKUP(B142,input_503100!L:R,7,FALSE),VLOOKUP(tables_503100!C142,input_503100!A:H,8,FALSE))</f>
        <v>374.4</v>
      </c>
      <c r="P142" s="40">
        <f t="shared" ca="1" si="9"/>
        <v>1.9102040815157024E-4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input_503100!A$2</f>
        <v>503100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IFERROR(VLOOKUP(B143,input_503100!L:R,7,FALSE),VLOOKUP(tables_503100!C143,input_503100!A:H,8,FALSE))</f>
        <v>41.6</v>
      </c>
      <c r="P143" s="40">
        <f t="shared" ca="1" si="9"/>
        <v>2.1224489794618918E-5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input_503100!A$2</f>
        <v>503100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IFERROR(VLOOKUP(B144,input_503100!L:R,7,FALSE),VLOOKUP(tables_503100!C144,input_503100!A:H,8,FALSE))</f>
        <v>374.4</v>
      </c>
      <c r="P144" s="40">
        <f t="shared" ca="1" si="9"/>
        <v>1.9102040815157024E-4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input_503100!A$2</f>
        <v>503100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IFERROR(VLOOKUP(B145,input_503100!L:R,7,FALSE),VLOOKUP(tables_503100!C145,input_503100!A:H,8,FALSE))</f>
        <v>41.6</v>
      </c>
      <c r="P145" s="40">
        <f t="shared" ca="1" si="9"/>
        <v>2.1224489794618918E-5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input_503100!A$2</f>
        <v>503100</v>
      </c>
      <c r="B146" s="6">
        <v>380</v>
      </c>
      <c r="C146" s="7" t="str">
        <f t="shared" si="8"/>
        <v>Premium3color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IFERROR(VLOOKUP(B146,input_503100!L:R,7,FALSE),VLOOKUP(tables_503100!C146,input_503100!A:H,8,FALSE))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input_503100!A$2</f>
        <v>503100</v>
      </c>
      <c r="B147" s="6">
        <v>381</v>
      </c>
      <c r="C147" s="7" t="str">
        <f t="shared" si="8"/>
        <v>Premium4color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IFERROR(VLOOKUP(B147,input_503100!L:R,7,FALSE),VLOOKUP(tables_503100!C147,input_503100!A:H,8,FALSE))</f>
        <v>39489.493320000001</v>
      </c>
      <c r="P147" s="40">
        <f t="shared" ca="1" si="9"/>
        <v>2.0147700672235862E-2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input_503100!A$2</f>
        <v>503100</v>
      </c>
      <c r="B148" s="6">
        <v>382</v>
      </c>
      <c r="C148" s="7" t="str">
        <f t="shared" si="8"/>
        <v>Premium5color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IFERROR(VLOOKUP(B148,input_503100!L:R,7,FALSE),VLOOKUP(tables_503100!C148,input_503100!A:H,8,FALSE))</f>
        <v>4537.3999999999996</v>
      </c>
      <c r="P148" s="40">
        <f t="shared" ca="1" si="9"/>
        <v>2.3149999998582659E-3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input_503100!A$2</f>
        <v>503100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IFERROR(VLOOKUP(B149,input_503100!L:R,7,FALSE),VLOOKUP(tables_503100!C149,input_503100!A:H,8,FALSE))</f>
        <v>374.4</v>
      </c>
      <c r="P149" s="40">
        <f t="shared" ca="1" si="9"/>
        <v>1.9102040815157024E-4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input_503100!A$2</f>
        <v>503100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IFERROR(VLOOKUP(B150,input_503100!L:R,7,FALSE),VLOOKUP(tables_503100!C150,input_503100!A:H,8,FALSE))</f>
        <v>41.6</v>
      </c>
      <c r="P150" s="40">
        <f t="shared" ca="1" si="9"/>
        <v>2.1224489794618918E-5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input_503100!A$2</f>
        <v>503100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IFERROR(VLOOKUP(B151,input_503100!L:R,7,FALSE),VLOOKUP(tables_503100!C151,input_503100!A:H,8,FALSE))</f>
        <v>374.4</v>
      </c>
      <c r="P151" s="40">
        <f t="shared" ca="1" si="9"/>
        <v>1.9102040815157024E-4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input_503100!A$2</f>
        <v>503100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IFERROR(VLOOKUP(B152,input_503100!L:R,7,FALSE),VLOOKUP(tables_503100!C152,input_503100!A:H,8,FALSE))</f>
        <v>41.6</v>
      </c>
      <c r="P152" s="40">
        <f t="shared" ca="1" si="9"/>
        <v>2.1224489794618918E-5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input_503100!A$2</f>
        <v>503100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IFERROR(VLOOKUP(B153,input_503100!L:R,7,FALSE),VLOOKUP(tables_503100!C153,input_503100!A:H,8,FALSE))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input_503100!A$2</f>
        <v>503100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IFERROR(VLOOKUP(B154,input_503100!L:R,7,FALSE),VLOOKUP(tables_503100!C154,input_503100!A:H,8,FALSE))</f>
        <v>9517.348</v>
      </c>
      <c r="P154" s="40">
        <f t="shared" ca="1" si="9"/>
        <v>4.8557897956210761E-3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input_503100!A$2</f>
        <v>503100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IFERROR(VLOOKUP(B155,input_503100!L:R,7,FALSE),VLOOKUP(tables_503100!C155,input_503100!A:H,8,FALSE))</f>
        <v>6.1520000000000001</v>
      </c>
      <c r="P155" s="40">
        <f t="shared" ca="1" si="9"/>
        <v>3.1387755100119129E-6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input_503100!A$2</f>
        <v>503100</v>
      </c>
      <c r="B156" s="6">
        <v>390</v>
      </c>
      <c r="C156" s="7" t="str">
        <f t="shared" si="8"/>
        <v>PremiumSS4color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IFERROR(VLOOKUP(B156,input_503100!L:R,7,FALSE),VLOOKUP(tables_503100!C156,input_503100!A:H,8,FALSE))</f>
        <v>4284.5600000000004</v>
      </c>
      <c r="P156" s="40">
        <f t="shared" ca="1" si="9"/>
        <v>2.1859999998661644E-3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input_503100!A$2</f>
        <v>503100</v>
      </c>
      <c r="B157" s="6">
        <v>391</v>
      </c>
      <c r="C157" s="7" t="str">
        <f t="shared" si="8"/>
        <v>PremiumSS5color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IFERROR(VLOOKUP(B157,input_503100!L:R,7,FALSE),VLOOKUP(tables_503100!C157,input_503100!A:H,8,FALSE))</f>
        <v>203.84</v>
      </c>
      <c r="P157" s="40">
        <f t="shared" ca="1" si="9"/>
        <v>1.0399999999363269E-4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input_503100!A$2</f>
        <v>503100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IFERROR(VLOOKUP(B158,input_503100!L:R,7,FALSE),VLOOKUP(tables_503100!C158,input_503100!A:H,8,FALSE))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input_503100!A$2</f>
        <v>503100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IFERROR(VLOOKUP(B159,input_503100!L:R,7,FALSE),VLOOKUP(tables_503100!C159,input_503100!A:H,8,FALSE))</f>
        <v>9517.348</v>
      </c>
      <c r="P159" s="40">
        <f t="shared" ca="1" si="9"/>
        <v>4.8557897956210761E-3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input_503100!A$2</f>
        <v>503100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IFERROR(VLOOKUP(B160,input_503100!L:R,7,FALSE),VLOOKUP(tables_503100!C160,input_503100!A:H,8,FALSE))</f>
        <v>6.1520000000000001</v>
      </c>
      <c r="P160" s="40">
        <f t="shared" ca="1" si="9"/>
        <v>3.1387755100119129E-6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input_503100!A$2</f>
        <v>503100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IFERROR(VLOOKUP(B161,input_503100!L:R,7,FALSE),VLOOKUP(tables_503100!C161,input_503100!A:H,8,FALSE))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input_503100!A$2</f>
        <v>503100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IFERROR(VLOOKUP(B162,input_503100!L:R,7,FALSE),VLOOKUP(tables_503100!C162,input_503100!A:H,8,FALSE))</f>
        <v>9517.348</v>
      </c>
      <c r="P162" s="40">
        <f t="shared" ca="1" si="9"/>
        <v>4.8557897956210761E-3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input_503100!A$2</f>
        <v>503100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IFERROR(VLOOKUP(B163,input_503100!L:R,7,FALSE),VLOOKUP(tables_503100!C163,input_503100!A:H,8,FALSE))</f>
        <v>6.1520000000000001</v>
      </c>
      <c r="P163" s="40">
        <f t="shared" ca="1" si="9"/>
        <v>3.1387755100119129E-6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input_503100!A$2</f>
        <v>503100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IFERROR(VLOOKUP(B164,input_503100!L:R,7,FALSE),VLOOKUP(tables_503100!C164,input_503100!A:H,8,FALSE))</f>
        <v>374.4</v>
      </c>
      <c r="P164" s="40">
        <f t="shared" ca="1" si="9"/>
        <v>1.9102040815157024E-4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input_503100!A$2</f>
        <v>503100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IFERROR(VLOOKUP(B165,input_503100!L:R,7,FALSE),VLOOKUP(tables_503100!C165,input_503100!A:H,8,FALSE))</f>
        <v>41.6</v>
      </c>
      <c r="P165" s="40">
        <f t="shared" ca="1" si="9"/>
        <v>2.1224489794618918E-5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input_503100!A$2</f>
        <v>503100</v>
      </c>
      <c r="B166" s="6">
        <v>400</v>
      </c>
      <c r="C166" s="7" t="str">
        <f t="shared" si="8"/>
        <v>Premium3color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IFERROR(VLOOKUP(B166,input_503100!L:R,7,FALSE),VLOOKUP(tables_503100!C166,input_503100!A:H,8,FALSE))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input_503100!A$2</f>
        <v>503100</v>
      </c>
      <c r="B167" s="6">
        <v>401</v>
      </c>
      <c r="C167" s="7" t="str">
        <f t="shared" si="8"/>
        <v>Premium4color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IFERROR(VLOOKUP(B167,input_503100!L:R,7,FALSE),VLOOKUP(tables_503100!C167,input_503100!A:H,8,FALSE))</f>
        <v>39489.493320000001</v>
      </c>
      <c r="P167" s="40">
        <f t="shared" ca="1" si="9"/>
        <v>2.0147700672235862E-2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input_503100!A$2</f>
        <v>503100</v>
      </c>
      <c r="B168" s="6">
        <v>402</v>
      </c>
      <c r="C168" s="7" t="str">
        <f t="shared" si="8"/>
        <v>Premium5color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IFERROR(VLOOKUP(B168,input_503100!L:R,7,FALSE),VLOOKUP(tables_503100!C168,input_503100!A:H,8,FALSE))</f>
        <v>4537.3999999999996</v>
      </c>
      <c r="P168" s="40">
        <f t="shared" ca="1" si="9"/>
        <v>2.3149999998582659E-3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input_503100!A$2</f>
        <v>503100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IFERROR(VLOOKUP(B169,input_503100!L:R,7,FALSE),VLOOKUP(tables_503100!C169,input_503100!A:H,8,FALSE))</f>
        <v>374.4</v>
      </c>
      <c r="P169" s="40">
        <f t="shared" ca="1" si="9"/>
        <v>1.9102040815157024E-4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input_503100!A$2</f>
        <v>503100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IFERROR(VLOOKUP(B170,input_503100!L:R,7,FALSE),VLOOKUP(tables_503100!C170,input_503100!A:H,8,FALSE))</f>
        <v>41.6</v>
      </c>
      <c r="P170" s="40">
        <f t="shared" ca="1" si="9"/>
        <v>2.1224489794618918E-5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input_503100!A$2</f>
        <v>503100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IFERROR(VLOOKUP(B171,input_503100!L:R,7,FALSE),VLOOKUP(tables_503100!C171,input_503100!A:H,8,FALSE))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input_503100!A$2</f>
        <v>503100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IFERROR(VLOOKUP(B172,input_503100!L:R,7,FALSE),VLOOKUP(tables_503100!C172,input_503100!A:H,8,FALSE))</f>
        <v>9517.348</v>
      </c>
      <c r="P172" s="40">
        <f t="shared" ca="1" si="9"/>
        <v>4.8557897956210761E-3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input_503100!A$2</f>
        <v>503100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IFERROR(VLOOKUP(B173,input_503100!L:R,7,FALSE),VLOOKUP(tables_503100!C173,input_503100!A:H,8,FALSE))</f>
        <v>6.1520000000000001</v>
      </c>
      <c r="P173" s="40">
        <f t="shared" ca="1" si="9"/>
        <v>3.1387755100119129E-6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input_503100!A$2</f>
        <v>503100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IFERROR(VLOOKUP(B174,input_503100!L:R,7,FALSE),VLOOKUP(tables_503100!C174,input_503100!A:H,8,FALSE))</f>
        <v>374.4</v>
      </c>
      <c r="P174" s="40">
        <f t="shared" ca="1" si="9"/>
        <v>1.9102040815157024E-4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input_503100!A$2</f>
        <v>503100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IFERROR(VLOOKUP(B175,input_503100!L:R,7,FALSE),VLOOKUP(tables_503100!C175,input_503100!A:H,8,FALSE))</f>
        <v>41.6</v>
      </c>
      <c r="P175" s="40">
        <f t="shared" ca="1" si="9"/>
        <v>2.1224489794618918E-5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input_503100!A$2</f>
        <v>503100</v>
      </c>
      <c r="B176" s="6">
        <v>434</v>
      </c>
      <c r="C176" s="7" t="str">
        <f t="shared" si="8"/>
        <v>PremiumSS4color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IFERROR(VLOOKUP(B176,input_503100!L:R,7,FALSE),VLOOKUP(tables_503100!C176,input_503100!A:H,8,FALSE))</f>
        <v>4284.5600000000004</v>
      </c>
      <c r="P176" s="40">
        <f t="shared" ca="1" si="9"/>
        <v>2.1859999998661644E-3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input_503100!A$2</f>
        <v>503100</v>
      </c>
      <c r="B177" s="6">
        <v>435</v>
      </c>
      <c r="C177" s="7" t="str">
        <f t="shared" si="8"/>
        <v>PremiumSS5color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IFERROR(VLOOKUP(B177,input_503100!L:R,7,FALSE),VLOOKUP(tables_503100!C177,input_503100!A:H,8,FALSE))</f>
        <v>203.84</v>
      </c>
      <c r="P177" s="40">
        <f t="shared" ca="1" si="9"/>
        <v>1.0399999999363269E-4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input_503100!A$2</f>
        <v>503100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IFERROR(VLOOKUP(B178,input_503100!L:R,7,FALSE),VLOOKUP(tables_503100!C178,input_503100!A:H,8,FALSE))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input_503100!A$2</f>
        <v>503100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IFERROR(VLOOKUP(B179,input_503100!L:R,7,FALSE),VLOOKUP(tables_503100!C179,input_503100!A:H,8,FALSE))</f>
        <v>9517.348</v>
      </c>
      <c r="P179" s="40">
        <f t="shared" ca="1" si="9"/>
        <v>4.8557897956210761E-3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input_503100!A$2</f>
        <v>503100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IFERROR(VLOOKUP(B180,input_503100!L:R,7,FALSE),VLOOKUP(tables_503100!C180,input_503100!A:H,8,FALSE))</f>
        <v>6.1520000000000001</v>
      </c>
      <c r="P180" s="40">
        <f t="shared" ca="1" si="9"/>
        <v>3.1387755100119129E-6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input_503100!A$2</f>
        <v>503100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IFERROR(VLOOKUP(B181,input_503100!L:R,7,FALSE),VLOOKUP(tables_503100!C181,input_503100!A:H,8,FALSE))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input_503100!A$2</f>
        <v>503100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IFERROR(VLOOKUP(B182,input_503100!L:R,7,FALSE),VLOOKUP(tables_503100!C182,input_503100!A:H,8,FALSE))</f>
        <v>9517.348</v>
      </c>
      <c r="P182" s="40">
        <f t="shared" ca="1" si="9"/>
        <v>4.8557897956210761E-3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input_503100!A$2</f>
        <v>503100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IFERROR(VLOOKUP(B183,input_503100!L:R,7,FALSE),VLOOKUP(tables_503100!C183,input_503100!A:H,8,FALSE))</f>
        <v>6.1520000000000001</v>
      </c>
      <c r="P183" s="40">
        <f t="shared" ca="1" si="9"/>
        <v>3.1387755100119129E-6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input_503100!A$2</f>
        <v>503100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IFERROR(VLOOKUP(B184,input_503100!L:R,7,FALSE),VLOOKUP(tables_503100!C184,input_503100!A:H,8,FALSE))</f>
        <v>374.4</v>
      </c>
      <c r="P184" s="40">
        <f t="shared" ca="1" si="9"/>
        <v>1.9102040815157024E-4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input_503100!A$2</f>
        <v>503100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IFERROR(VLOOKUP(B185,input_503100!L:R,7,FALSE),VLOOKUP(tables_503100!C185,input_503100!A:H,8,FALSE))</f>
        <v>41.6</v>
      </c>
      <c r="P185" s="40">
        <f t="shared" ca="1" si="9"/>
        <v>2.1224489794618918E-5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input_503100!A$2</f>
        <v>503100</v>
      </c>
      <c r="B186" s="8">
        <v>462</v>
      </c>
      <c r="C186" s="7" t="str">
        <f t="shared" si="8"/>
        <v>Premium3color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IFERROR(VLOOKUP(B186,input_503100!L:R,7,FALSE),VLOOKUP(tables_503100!C186,input_503100!A:H,8,FALSE))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input_503100!A$2</f>
        <v>503100</v>
      </c>
      <c r="B187" s="8">
        <v>463</v>
      </c>
      <c r="C187" s="7" t="str">
        <f t="shared" si="8"/>
        <v>Premium4color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IFERROR(VLOOKUP(B187,input_503100!L:R,7,FALSE),VLOOKUP(tables_503100!C187,input_503100!A:H,8,FALSE))</f>
        <v>39489.493320000001</v>
      </c>
      <c r="P187" s="40">
        <f t="shared" ca="1" si="9"/>
        <v>2.0147700672235862E-2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input_503100!A$2</f>
        <v>503100</v>
      </c>
      <c r="B188" s="8">
        <v>464</v>
      </c>
      <c r="C188" s="7" t="str">
        <f t="shared" si="8"/>
        <v>Premium5color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IFERROR(VLOOKUP(B188,input_503100!L:R,7,FALSE),VLOOKUP(tables_503100!C188,input_503100!A:H,8,FALSE))</f>
        <v>4537.3999999999996</v>
      </c>
      <c r="P188" s="40">
        <f t="shared" ca="1" si="9"/>
        <v>2.3149999998582659E-3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input_503100!A$2</f>
        <v>503100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IFERROR(VLOOKUP(B189,input_503100!L:R,7,FALSE),VLOOKUP(tables_503100!C189,input_503100!A:H,8,FALSE))</f>
        <v>374.4</v>
      </c>
      <c r="P189" s="40">
        <f t="shared" ca="1" si="9"/>
        <v>1.9102040815157024E-4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input_503100!A$2</f>
        <v>503100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IFERROR(VLOOKUP(B190,input_503100!L:R,7,FALSE),VLOOKUP(tables_503100!C190,input_503100!A:H,8,FALSE))</f>
        <v>41.6</v>
      </c>
      <c r="P190" s="40">
        <f t="shared" ca="1" si="9"/>
        <v>2.1224489794618918E-5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input_503100!A$2</f>
        <v>503100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IFERROR(VLOOKUP(B191,input_503100!L:R,7,FALSE),VLOOKUP(tables_503100!C191,input_503100!A:H,8,FALSE))</f>
        <v>374.4</v>
      </c>
      <c r="P191" s="40">
        <f t="shared" ca="1" si="9"/>
        <v>1.9102040815157024E-4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input_503100!A$2</f>
        <v>503100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IFERROR(VLOOKUP(B192,input_503100!L:R,7,FALSE),VLOOKUP(tables_503100!C192,input_503100!A:H,8,FALSE))</f>
        <v>41.6</v>
      </c>
      <c r="P192" s="40">
        <f t="shared" ca="1" si="9"/>
        <v>2.1224489794618918E-5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input_503100!A$2</f>
        <v>503100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IFERROR(VLOOKUP(B193,input_503100!L:R,7,FALSE),VLOOKUP(tables_503100!C193,input_503100!A:H,8,FALSE))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input_503100!A$2</f>
        <v>503100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IFERROR(VLOOKUP(B194,input_503100!L:R,7,FALSE),VLOOKUP(tables_503100!C194,input_503100!A:H,8,FALSE))</f>
        <v>9517.348</v>
      </c>
      <c r="P194" s="40">
        <f t="shared" ref="P194:P257" ca="1" si="13">O194/SUM(O:O)</f>
        <v>4.8557897956210761E-3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input_503100!A$2</f>
        <v>503100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IFERROR(VLOOKUP(B195,input_503100!L:R,7,FALSE),VLOOKUP(tables_503100!C195,input_503100!A:H,8,FALSE))</f>
        <v>6.1520000000000001</v>
      </c>
      <c r="P195" s="40">
        <f t="shared" ca="1" si="13"/>
        <v>3.1387755100119129E-6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input_503100!A$2</f>
        <v>503100</v>
      </c>
      <c r="B196" s="6">
        <v>474</v>
      </c>
      <c r="C196" s="7" t="str">
        <f t="shared" si="12"/>
        <v>PremiumSS4color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IFERROR(VLOOKUP(B196,input_503100!L:R,7,FALSE),VLOOKUP(tables_503100!C196,input_503100!A:H,8,FALSE))</f>
        <v>4284.5600000000004</v>
      </c>
      <c r="P196" s="40">
        <f t="shared" ca="1" si="13"/>
        <v>2.1859999998661644E-3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input_503100!A$2</f>
        <v>503100</v>
      </c>
      <c r="B197" s="6">
        <v>475</v>
      </c>
      <c r="C197" s="7" t="str">
        <f t="shared" si="12"/>
        <v>PremiumSS5color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IFERROR(VLOOKUP(B197,input_503100!L:R,7,FALSE),VLOOKUP(tables_503100!C197,input_503100!A:H,8,FALSE))</f>
        <v>203.84</v>
      </c>
      <c r="P197" s="40">
        <f t="shared" ca="1" si="13"/>
        <v>1.0399999999363269E-4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input_503100!A$2</f>
        <v>503100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IFERROR(VLOOKUP(B198,input_503100!L:R,7,FALSE),VLOOKUP(tables_503100!C198,input_503100!A:H,8,FALSE))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input_503100!A$2</f>
        <v>503100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IFERROR(VLOOKUP(B199,input_503100!L:R,7,FALSE),VLOOKUP(tables_503100!C199,input_503100!A:H,8,FALSE))</f>
        <v>9517.348</v>
      </c>
      <c r="P199" s="40">
        <f t="shared" ca="1" si="13"/>
        <v>4.8557897956210761E-3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input_503100!A$2</f>
        <v>503100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IFERROR(VLOOKUP(B200,input_503100!L:R,7,FALSE),VLOOKUP(tables_503100!C200,input_503100!A:H,8,FALSE))</f>
        <v>6.1520000000000001</v>
      </c>
      <c r="P200" s="40">
        <f t="shared" ca="1" si="13"/>
        <v>3.1387755100119129E-6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input_503100!A$2</f>
        <v>503100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IFERROR(VLOOKUP(B201,input_503100!L:R,7,FALSE),VLOOKUP(tables_503100!C201,input_503100!A:H,8,FALSE))</f>
        <v>374.4</v>
      </c>
      <c r="P201" s="40">
        <f t="shared" ca="1" si="13"/>
        <v>1.9102040815157024E-4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input_503100!A$2</f>
        <v>503100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IFERROR(VLOOKUP(B202,input_503100!L:R,7,FALSE),VLOOKUP(tables_503100!C202,input_503100!A:H,8,FALSE))</f>
        <v>41.6</v>
      </c>
      <c r="P202" s="40">
        <f t="shared" ca="1" si="13"/>
        <v>2.1224489794618918E-5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input_503100!A$2</f>
        <v>503100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IFERROR(VLOOKUP(B203,input_503100!L:R,7,FALSE),VLOOKUP(tables_503100!C203,input_503100!A:H,8,FALSE))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input_503100!A$2</f>
        <v>503100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IFERROR(VLOOKUP(B204,input_503100!L:R,7,FALSE),VLOOKUP(tables_503100!C204,input_503100!A:H,8,FALSE))</f>
        <v>9517.348</v>
      </c>
      <c r="P204" s="40">
        <f t="shared" ca="1" si="13"/>
        <v>4.8557897956210761E-3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input_503100!A$2</f>
        <v>503100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IFERROR(VLOOKUP(B205,input_503100!L:R,7,FALSE),VLOOKUP(tables_503100!C205,input_503100!A:H,8,FALSE))</f>
        <v>6.1520000000000001</v>
      </c>
      <c r="P205" s="40">
        <f t="shared" ca="1" si="13"/>
        <v>3.1387755100119129E-6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input_503100!A$2</f>
        <v>503100</v>
      </c>
      <c r="B206" s="6">
        <v>492</v>
      </c>
      <c r="C206" s="7" t="str">
        <f t="shared" si="12"/>
        <v>PremiumSS4color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IFERROR(VLOOKUP(B206,input_503100!L:R,7,FALSE),VLOOKUP(tables_503100!C206,input_503100!A:H,8,FALSE))</f>
        <v>4284.5600000000004</v>
      </c>
      <c r="P206" s="40">
        <f t="shared" ca="1" si="13"/>
        <v>2.1859999998661644E-3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input_503100!A$2</f>
        <v>503100</v>
      </c>
      <c r="B207" s="6">
        <v>493</v>
      </c>
      <c r="C207" s="7" t="str">
        <f t="shared" si="12"/>
        <v>PremiumSS5color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IFERROR(VLOOKUP(B207,input_503100!L:R,7,FALSE),VLOOKUP(tables_503100!C207,input_503100!A:H,8,FALSE))</f>
        <v>203.84</v>
      </c>
      <c r="P207" s="40">
        <f t="shared" ca="1" si="13"/>
        <v>1.0399999999363269E-4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input_503100!A$2</f>
        <v>503100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IFERROR(VLOOKUP(B208,input_503100!L:R,7,FALSE),VLOOKUP(tables_503100!C208,input_503100!A:H,8,FALSE))</f>
        <v>374.4</v>
      </c>
      <c r="P208" s="40">
        <f t="shared" ca="1" si="13"/>
        <v>1.9102040815157024E-4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input_503100!A$2</f>
        <v>503100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IFERROR(VLOOKUP(B209,input_503100!L:R,7,FALSE),VLOOKUP(tables_503100!C209,input_503100!A:H,8,FALSE))</f>
        <v>41.6</v>
      </c>
      <c r="P209" s="40">
        <f t="shared" ca="1" si="13"/>
        <v>2.1224489794618918E-5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input_503100!A$2</f>
        <v>503100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IFERROR(VLOOKUP(B210,input_503100!L:R,7,FALSE),VLOOKUP(tables_503100!C210,input_503100!A:H,8,FALSE))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input_503100!A$2</f>
        <v>503100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IFERROR(VLOOKUP(B211,input_503100!L:R,7,FALSE),VLOOKUP(tables_503100!C211,input_503100!A:H,8,FALSE))</f>
        <v>9517.348</v>
      </c>
      <c r="P211" s="40">
        <f t="shared" ca="1" si="13"/>
        <v>4.8557897956210761E-3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input_503100!A$2</f>
        <v>503100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IFERROR(VLOOKUP(B212,input_503100!L:R,7,FALSE),VLOOKUP(tables_503100!C212,input_503100!A:H,8,FALSE))</f>
        <v>6.1520000000000001</v>
      </c>
      <c r="P212" s="40">
        <f t="shared" ca="1" si="13"/>
        <v>3.1387755100119129E-6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input_503100!A$2</f>
        <v>503100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IFERROR(VLOOKUP(B213,input_503100!L:R,7,FALSE),VLOOKUP(tables_503100!C213,input_503100!A:H,8,FALSE))</f>
        <v>374.4</v>
      </c>
      <c r="P213" s="40">
        <f t="shared" ca="1" si="13"/>
        <v>1.9102040815157024E-4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input_503100!A$2</f>
        <v>503100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IFERROR(VLOOKUP(B214,input_503100!L:R,7,FALSE),VLOOKUP(tables_503100!C214,input_503100!A:H,8,FALSE))</f>
        <v>41.6</v>
      </c>
      <c r="P214" s="40">
        <f t="shared" ca="1" si="13"/>
        <v>2.1224489794618918E-5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input_503100!A$2</f>
        <v>503100</v>
      </c>
      <c r="B215" s="6">
        <v>560</v>
      </c>
      <c r="C215" s="7" t="str">
        <f t="shared" si="12"/>
        <v>premium5R3lesscolor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IFERROR(VLOOKUP(B215,input_503100!L:R,7,FALSE),VLOOKUP(tables_503100!C215,input_503100!A:H,8,FALSE))</f>
        <v>4537.3999999999996</v>
      </c>
      <c r="P215" s="40">
        <f t="shared" ca="1" si="13"/>
        <v>2.3149999998582659E-3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input_503100!A$2</f>
        <v>503100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IFERROR(VLOOKUP(B216,input_503100!L:R,7,FALSE),VLOOKUP(tables_503100!C216,input_503100!A:H,8,FALSE))</f>
        <v>34.06118</v>
      </c>
      <c r="P216" s="40">
        <f t="shared" ca="1" si="13"/>
        <v>1.7378153060160529E-5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input_503100!A$2</f>
        <v>503100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IFERROR(VLOOKUP(B217,input_503100!L:R,7,FALSE),VLOOKUP(tables_503100!C217,input_503100!A:H,8,FALSE))</f>
        <v>34.06118</v>
      </c>
      <c r="P217" s="40">
        <f t="shared" ca="1" si="13"/>
        <v>1.7378153060160529E-5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input_503100!A$2</f>
        <v>503100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IFERROR(VLOOKUP(B218,input_503100!L:R,7,FALSE),VLOOKUP(tables_503100!C218,input_503100!A:H,8,FALSE))</f>
        <v>34.06118</v>
      </c>
      <c r="P218" s="40">
        <f t="shared" ca="1" si="13"/>
        <v>1.7378153060160529E-5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input_503100!A$2</f>
        <v>503100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IFERROR(VLOOKUP(B219,input_503100!L:R,7,FALSE),VLOOKUP(tables_503100!C219,input_503100!A:H,8,FALSE))</f>
        <v>34.06118</v>
      </c>
      <c r="P219" s="40">
        <f t="shared" ca="1" si="13"/>
        <v>1.7378153060160529E-5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input_503100!A$2</f>
        <v>503100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IFERROR(VLOOKUP(B220,input_503100!L:R,7,FALSE),VLOOKUP(tables_503100!C220,input_503100!A:H,8,FALSE))</f>
        <v>34.06118</v>
      </c>
      <c r="P220" s="40">
        <f t="shared" ca="1" si="13"/>
        <v>1.7378153060160529E-5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input_503100!A$2</f>
        <v>503100</v>
      </c>
      <c r="B221" s="6">
        <v>586</v>
      </c>
      <c r="C221" s="7" t="str">
        <f t="shared" si="12"/>
        <v>PremiumSS4color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>color</v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IFERROR(VLOOKUP(B221,input_503100!L:R,7,FALSE),VLOOKUP(tables_503100!C221,input_503100!A:H,8,FALSE))</f>
        <v>4284.5600000000004</v>
      </c>
      <c r="P221" s="40">
        <f t="shared" ca="1" si="13"/>
        <v>2.1859999998661644E-3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input_503100!A$2</f>
        <v>503100</v>
      </c>
      <c r="B222" s="6">
        <v>587</v>
      </c>
      <c r="C222" s="7" t="str">
        <f t="shared" si="12"/>
        <v>PremiumSS5color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>color</v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IFERROR(VLOOKUP(B222,input_503100!L:R,7,FALSE),VLOOKUP(tables_503100!C222,input_503100!A:H,8,FALSE))</f>
        <v>203.84</v>
      </c>
      <c r="P222" s="40">
        <f t="shared" ca="1" si="13"/>
        <v>1.0399999999363269E-4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input_503100!A$2</f>
        <v>503100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IFERROR(VLOOKUP(B223,input_503100!L:R,7,FALSE),VLOOKUP(tables_503100!C223,input_503100!A:H,8,FALSE))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input_503100!A$2</f>
        <v>503100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IFERROR(VLOOKUP(B224,input_503100!L:R,7,FALSE),VLOOKUP(tables_503100!C224,input_503100!A:H,8,FALSE))</f>
        <v>9517.348</v>
      </c>
      <c r="P224" s="40">
        <f t="shared" ca="1" si="13"/>
        <v>4.8557897956210761E-3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input_503100!A$2</f>
        <v>503100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IFERROR(VLOOKUP(B225,input_503100!L:R,7,FALSE),VLOOKUP(tables_503100!C225,input_503100!A:H,8,FALSE))</f>
        <v>6.1520000000000001</v>
      </c>
      <c r="P225" s="40">
        <f t="shared" ca="1" si="13"/>
        <v>3.1387755100119129E-6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input_503100!A$2</f>
        <v>503100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IFERROR(VLOOKUP(B226,input_503100!L:R,7,FALSE),VLOOKUP(tables_503100!C226,input_503100!A:H,8,FALSE))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input_503100!A$2</f>
        <v>503100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IFERROR(VLOOKUP(B227,input_503100!L:R,7,FALSE),VLOOKUP(tables_503100!C227,input_503100!A:H,8,FALSE))</f>
        <v>9517.348</v>
      </c>
      <c r="P227" s="40">
        <f t="shared" ca="1" si="13"/>
        <v>4.8557897956210761E-3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input_503100!A$2</f>
        <v>503100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IFERROR(VLOOKUP(B228,input_503100!L:R,7,FALSE),VLOOKUP(tables_503100!C228,input_503100!A:H,8,FALSE))</f>
        <v>6.1520000000000001</v>
      </c>
      <c r="P228" s="40">
        <f t="shared" ca="1" si="13"/>
        <v>3.1387755100119129E-6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input_503100!A$2</f>
        <v>503100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IFERROR(VLOOKUP(B229,input_503100!L:R,7,FALSE),VLOOKUP(tables_503100!C229,input_503100!A:H,8,FALSE))</f>
        <v>374.4</v>
      </c>
      <c r="P229" s="40">
        <f t="shared" ca="1" si="13"/>
        <v>1.9102040815157024E-4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input_503100!A$2</f>
        <v>503100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IFERROR(VLOOKUP(B230,input_503100!L:R,7,FALSE),VLOOKUP(tables_503100!C230,input_503100!A:H,8,FALSE))</f>
        <v>41.6</v>
      </c>
      <c r="P230" s="40">
        <f t="shared" ca="1" si="13"/>
        <v>2.1224489794618918E-5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input_503100!A$2</f>
        <v>503100</v>
      </c>
      <c r="B231" s="6">
        <v>596</v>
      </c>
      <c r="C231" s="7" t="str">
        <f t="shared" si="12"/>
        <v>Premium3color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>color</v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IFERROR(VLOOKUP(B231,input_503100!L:R,7,FALSE),VLOOKUP(tables_503100!C231,input_503100!A:H,8,FALSE))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input_503100!A$2</f>
        <v>503100</v>
      </c>
      <c r="B232" s="6">
        <v>597</v>
      </c>
      <c r="C232" s="7" t="str">
        <f t="shared" si="12"/>
        <v>Premium4color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>color</v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IFERROR(VLOOKUP(B232,input_503100!L:R,7,FALSE),VLOOKUP(tables_503100!C232,input_503100!A:H,8,FALSE))</f>
        <v>39489.493320000001</v>
      </c>
      <c r="P232" s="40">
        <f t="shared" ca="1" si="13"/>
        <v>2.0147700672235862E-2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input_503100!A$2</f>
        <v>503100</v>
      </c>
      <c r="B233" s="6">
        <v>598</v>
      </c>
      <c r="C233" s="7" t="str">
        <f t="shared" si="12"/>
        <v>Premium5color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>color</v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IFERROR(VLOOKUP(B233,input_503100!L:R,7,FALSE),VLOOKUP(tables_503100!C233,input_503100!A:H,8,FALSE))</f>
        <v>4537.3999999999996</v>
      </c>
      <c r="P233" s="40">
        <f t="shared" ca="1" si="13"/>
        <v>2.3149999998582659E-3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input_503100!A$2</f>
        <v>503100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IFERROR(VLOOKUP(B234,input_503100!L:R,7,FALSE),VLOOKUP(tables_503100!C234,input_503100!A:H,8,FALSE))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input_503100!A$2</f>
        <v>503100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IFERROR(VLOOKUP(B235,input_503100!L:R,7,FALSE),VLOOKUP(tables_503100!C235,input_503100!A:H,8,FALSE))</f>
        <v>9517.348</v>
      </c>
      <c r="P235" s="40">
        <f t="shared" ca="1" si="13"/>
        <v>4.8557897956210761E-3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input_503100!A$2</f>
        <v>503100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IFERROR(VLOOKUP(B236,input_503100!L:R,7,FALSE),VLOOKUP(tables_503100!C236,input_503100!A:H,8,FALSE))</f>
        <v>6.1520000000000001</v>
      </c>
      <c r="P236" s="40">
        <f t="shared" ca="1" si="13"/>
        <v>3.1387755100119129E-6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input_503100!A$2</f>
        <v>503100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IFERROR(VLOOKUP(B237,input_503100!L:R,7,FALSE),VLOOKUP(tables_503100!C237,input_503100!A:H,8,FALSE))</f>
        <v>374.4</v>
      </c>
      <c r="P237" s="40">
        <f t="shared" ca="1" si="13"/>
        <v>1.9102040815157024E-4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input_503100!A$2</f>
        <v>503100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IFERROR(VLOOKUP(B238,input_503100!L:R,7,FALSE),VLOOKUP(tables_503100!C238,input_503100!A:H,8,FALSE))</f>
        <v>41.6</v>
      </c>
      <c r="P238" s="40">
        <f t="shared" ca="1" si="13"/>
        <v>2.1224489794618918E-5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input_503100!A$2</f>
        <v>503100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IFERROR(VLOOKUP(B239,input_503100!L:R,7,FALSE),VLOOKUP(tables_503100!C239,input_503100!A:H,8,FALSE))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input_503100!A$2</f>
        <v>503100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IFERROR(VLOOKUP(B240,input_503100!L:R,7,FALSE),VLOOKUP(tables_503100!C240,input_503100!A:H,8,FALSE))</f>
        <v>9517.348</v>
      </c>
      <c r="P240" s="40">
        <f t="shared" ca="1" si="13"/>
        <v>4.8557897956210761E-3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input_503100!A$2</f>
        <v>503100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IFERROR(VLOOKUP(B241,input_503100!L:R,7,FALSE),VLOOKUP(tables_503100!C241,input_503100!A:H,8,FALSE))</f>
        <v>6.1520000000000001</v>
      </c>
      <c r="P241" s="40">
        <f t="shared" ca="1" si="13"/>
        <v>3.1387755100119129E-6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input_503100!A$2</f>
        <v>503100</v>
      </c>
      <c r="B242" s="6">
        <v>658</v>
      </c>
      <c r="C242" s="7" t="str">
        <f t="shared" si="12"/>
        <v>PremiumSS4color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>color</v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IFERROR(VLOOKUP(B242,input_503100!L:R,7,FALSE),VLOOKUP(tables_503100!C242,input_503100!A:H,8,FALSE))</f>
        <v>4284.5600000000004</v>
      </c>
      <c r="P242" s="40">
        <f t="shared" ca="1" si="13"/>
        <v>2.1859999998661644E-3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input_503100!A$2</f>
        <v>503100</v>
      </c>
      <c r="B243" s="6">
        <v>659</v>
      </c>
      <c r="C243" s="7" t="str">
        <f t="shared" si="12"/>
        <v>PremiumSS5color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>color</v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IFERROR(VLOOKUP(B243,input_503100!L:R,7,FALSE),VLOOKUP(tables_503100!C243,input_503100!A:H,8,FALSE))</f>
        <v>203.84</v>
      </c>
      <c r="P243" s="40">
        <f t="shared" ca="1" si="13"/>
        <v>1.0399999999363269E-4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input_503100!A$2</f>
        <v>503100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IFERROR(VLOOKUP(B244,input_503100!L:R,7,FALSE),VLOOKUP(tables_503100!C244,input_503100!A:H,8,FALSE))</f>
        <v>374.4</v>
      </c>
      <c r="P244" s="40">
        <f t="shared" ca="1" si="13"/>
        <v>1.9102040815157024E-4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input_503100!A$2</f>
        <v>503100</v>
      </c>
      <c r="B245" s="52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IFERROR(VLOOKUP(B245,input_503100!L:R,7,FALSE),VLOOKUP(tables_503100!C245,input_503100!A:H,8,FALSE))</f>
        <v>41.6</v>
      </c>
      <c r="P245" s="40">
        <f t="shared" ca="1" si="13"/>
        <v>2.1224489794618918E-5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input_503100!A$2</f>
        <v>503100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IFERROR(VLOOKUP(B246,input_503100!L:R,7,FALSE),VLOOKUP(tables_503100!C246,input_503100!A:H,8,FALSE))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input_503100!A$2</f>
        <v>503100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IFERROR(VLOOKUP(B247,input_503100!L:R,7,FALSE),VLOOKUP(tables_503100!C247,input_503100!A:H,8,FALSE))</f>
        <v>9517.348</v>
      </c>
      <c r="P247" s="40">
        <f t="shared" ca="1" si="13"/>
        <v>4.8557897956210761E-3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input_503100!A$2</f>
        <v>503100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IFERROR(VLOOKUP(B248,input_503100!L:R,7,FALSE),VLOOKUP(tables_503100!C248,input_503100!A:H,8,FALSE))</f>
        <v>6.1520000000000001</v>
      </c>
      <c r="P248" s="40">
        <f t="shared" ca="1" si="13"/>
        <v>3.1387755100119129E-6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input_503100!A$2</f>
        <v>503100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IFERROR(VLOOKUP(B249,input_503100!L:R,7,FALSE),VLOOKUP(tables_503100!C249,input_503100!A:H,8,FALSE))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input_503100!A$2</f>
        <v>503100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IFERROR(VLOOKUP(B250,input_503100!L:R,7,FALSE),VLOOKUP(tables_503100!C250,input_503100!A:H,8,FALSE))</f>
        <v>9517.348</v>
      </c>
      <c r="P250" s="40">
        <f t="shared" ca="1" si="13"/>
        <v>4.8557897956210761E-3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input_503100!A$2</f>
        <v>503100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IFERROR(VLOOKUP(B251,input_503100!L:R,7,FALSE),VLOOKUP(tables_503100!C251,input_503100!A:H,8,FALSE))</f>
        <v>6.1520000000000001</v>
      </c>
      <c r="P251" s="40">
        <f t="shared" ca="1" si="13"/>
        <v>3.1387755100119129E-6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input_503100!A$2</f>
        <v>503100</v>
      </c>
      <c r="B252" s="52">
        <v>668</v>
      </c>
      <c r="C252" s="7" t="str">
        <f t="shared" si="12"/>
        <v>Premium3color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>color</v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IFERROR(VLOOKUP(B252,input_503100!L:R,7,FALSE),VLOOKUP(tables_503100!C252,input_503100!A:H,8,FALSE))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input_503100!A$2</f>
        <v>503100</v>
      </c>
      <c r="B253" s="52">
        <v>669</v>
      </c>
      <c r="C253" s="7" t="str">
        <f t="shared" si="12"/>
        <v>Premium4color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>color</v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IFERROR(VLOOKUP(B253,input_503100!L:R,7,FALSE),VLOOKUP(tables_503100!C253,input_503100!A:H,8,FALSE))</f>
        <v>39489.493320000001</v>
      </c>
      <c r="P253" s="40">
        <f t="shared" ca="1" si="13"/>
        <v>2.0147700672235862E-2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input_503100!A$2</f>
        <v>503100</v>
      </c>
      <c r="B254" s="52">
        <v>670</v>
      </c>
      <c r="C254" s="7" t="str">
        <f t="shared" si="12"/>
        <v>Premium5color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>color</v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IFERROR(VLOOKUP(B254,input_503100!L:R,7,FALSE),VLOOKUP(tables_503100!C254,input_503100!A:H,8,FALSE))</f>
        <v>4537.3999999999996</v>
      </c>
      <c r="P254" s="40">
        <f t="shared" ca="1" si="13"/>
        <v>2.3149999998582659E-3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input_503100!A$2</f>
        <v>503100</v>
      </c>
      <c r="B255" s="52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IFERROR(VLOOKUP(B255,input_503100!L:R,7,FALSE),VLOOKUP(tables_503100!C255,input_503100!A:H,8,FALSE))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input_503100!A$2</f>
        <v>503100</v>
      </c>
      <c r="B256" s="52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IFERROR(VLOOKUP(B256,input_503100!L:R,7,FALSE),VLOOKUP(tables_503100!C256,input_503100!A:H,8,FALSE))</f>
        <v>9517.348</v>
      </c>
      <c r="P256" s="40">
        <f t="shared" ca="1" si="13"/>
        <v>4.8557897956210761E-3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input_503100!A$2</f>
        <v>503100</v>
      </c>
      <c r="B257" s="52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IFERROR(VLOOKUP(B257,input_503100!L:R,7,FALSE),VLOOKUP(tables_503100!C257,input_503100!A:H,8,FALSE))</f>
        <v>6.1520000000000001</v>
      </c>
      <c r="P257" s="40">
        <f t="shared" ca="1" si="13"/>
        <v>3.1387755100119129E-6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input_503100!A$2</f>
        <v>503100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IFERROR(VLOOKUP(B258,input_503100!L:R,7,FALSE),VLOOKUP(tables_503100!C258,input_503100!A:H,8,FALSE))</f>
        <v>374.4</v>
      </c>
      <c r="P258" s="40">
        <f t="shared" ref="P258:P321" ca="1" si="17">O258/SUM(O:O)</f>
        <v>1.9102040815157024E-4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input_503100!A$2</f>
        <v>503100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IF(K259="red","color","")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IFERROR(VLOOKUP(B259,input_503100!L:R,7,FALSE),VLOOKUP(tables_503100!C259,input_503100!A:H,8,FALSE))</f>
        <v>41.6</v>
      </c>
      <c r="P259" s="40">
        <f t="shared" ca="1" si="17"/>
        <v>2.1224489794618918E-5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input_503100!A$2</f>
        <v>503100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IFERROR(VLOOKUP(B260,input_503100!L:R,7,FALSE),VLOOKUP(tables_503100!C260,input_503100!A:H,8,FALSE))</f>
        <v>374.4</v>
      </c>
      <c r="P260" s="40">
        <f t="shared" ca="1" si="17"/>
        <v>1.9102040815157024E-4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input_503100!A$2</f>
        <v>503100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IFERROR(VLOOKUP(B261,input_503100!L:R,7,FALSE),VLOOKUP(tables_503100!C261,input_503100!A:H,8,FALSE))</f>
        <v>41.6</v>
      </c>
      <c r="P261" s="40">
        <f t="shared" ca="1" si="17"/>
        <v>2.1224489794618918E-5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input_503100!A$2</f>
        <v>503100</v>
      </c>
      <c r="B262" s="52">
        <v>728</v>
      </c>
      <c r="C262" s="7" t="str">
        <f t="shared" si="16"/>
        <v>Premium4R3lesscolor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IFERROR(VLOOKUP(B262,input_503100!L:R,7,FALSE),VLOOKUP(tables_503100!C262,input_503100!A:H,8,FALSE))</f>
        <v>30038.580020000001</v>
      </c>
      <c r="P262" s="40">
        <f t="shared" ca="1" si="17"/>
        <v>1.5325806131714753E-2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input_503100!A$2</f>
        <v>503100</v>
      </c>
      <c r="B263" s="52">
        <v>729</v>
      </c>
      <c r="C263" s="7" t="str">
        <f t="shared" si="16"/>
        <v>Premium5R3lesscolor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>color</v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IFERROR(VLOOKUP(B263,input_503100!L:R,7,FALSE),VLOOKUP(tables_503100!C263,input_503100!A:H,8,FALSE))</f>
        <v>4537.3999999999996</v>
      </c>
      <c r="P263" s="40">
        <f t="shared" ca="1" si="17"/>
        <v>2.3149999998582659E-3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input_503100!A$2</f>
        <v>503100</v>
      </c>
      <c r="B264" s="52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IFERROR(VLOOKUP(B264,input_503100!L:R,7,FALSE),VLOOKUP(tables_503100!C264,input_503100!A:H,8,FALSE))</f>
        <v>16690.946670000001</v>
      </c>
      <c r="P264" s="40">
        <f t="shared" ca="1" si="17"/>
        <v>8.5157891168255676E-3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input_503100!A$2</f>
        <v>503100</v>
      </c>
      <c r="B265" s="52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IFERROR(VLOOKUP(B265,input_503100!L:R,7,FALSE),VLOOKUP(tables_503100!C265,input_503100!A:H,8,FALSE))</f>
        <v>34.06118</v>
      </c>
      <c r="P265" s="40">
        <f t="shared" ca="1" si="17"/>
        <v>1.7378153060160529E-5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input_503100!A$2</f>
        <v>503100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IFERROR(VLOOKUP(B266,input_503100!L:R,7,FALSE),VLOOKUP(tables_503100!C266,input_503100!A:H,8,FALSE))</f>
        <v>416</v>
      </c>
      <c r="P266" s="40">
        <f t="shared" ca="1" si="17"/>
        <v>2.1224489794618916E-4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input_503100!A$2</f>
        <v>503100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IFERROR(VLOOKUP(B267,input_503100!L:R,7,FALSE),VLOOKUP(tables_503100!C267,input_503100!A:H,8,FALSE))</f>
        <v>416</v>
      </c>
      <c r="P267" s="40">
        <f t="shared" ca="1" si="17"/>
        <v>2.1224489794618916E-4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input_503100!A$2</f>
        <v>503100</v>
      </c>
      <c r="B268" s="52">
        <v>742</v>
      </c>
      <c r="C268" s="7" t="str">
        <f t="shared" si="16"/>
        <v>PremiumSS5R5onlycolor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>color</v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IFERROR(VLOOKUP(B268,input_503100!L:R,7,FALSE),VLOOKUP(tables_503100!C268,input_503100!A:H,8,FALSE))</f>
        <v>5161.6000000000004</v>
      </c>
      <c r="P268" s="40">
        <f t="shared" ca="1" si="17"/>
        <v>2.6334693875938705E-3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input_503100!A$2</f>
        <v>503100</v>
      </c>
      <c r="B269" s="52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IFERROR(VLOOKUP(B269,input_503100!L:R,7,FALSE),VLOOKUP(tables_503100!C269,input_503100!A:H,8,FALSE))</f>
        <v>416</v>
      </c>
      <c r="P269" s="40">
        <f t="shared" ca="1" si="17"/>
        <v>2.1224489794618916E-4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input_503100!A$2</f>
        <v>503100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IFERROR(VLOOKUP(B270,input_503100!L:R,7,FALSE),VLOOKUP(tables_503100!C270,input_503100!A:H,8,FALSE))</f>
        <v>16690.946670000001</v>
      </c>
      <c r="P270" s="40">
        <f t="shared" ca="1" si="17"/>
        <v>8.5157891168255676E-3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input_503100!A$2</f>
        <v>503100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IFERROR(VLOOKUP(B271,input_503100!L:R,7,FALSE),VLOOKUP(tables_503100!C271,input_503100!A:H,8,FALSE))</f>
        <v>34.06118</v>
      </c>
      <c r="P271" s="40">
        <f t="shared" ca="1" si="17"/>
        <v>1.7378153060160529E-5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input_503100!A$2</f>
        <v>503100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IFERROR(VLOOKUP(B272,input_503100!L:R,7,FALSE),VLOOKUP(tables_503100!C272,input_503100!A:H,8,FALSE))</f>
        <v>16690.946670000001</v>
      </c>
      <c r="P272" s="40">
        <f t="shared" ca="1" si="17"/>
        <v>8.5157891168255676E-3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input_503100!A$2</f>
        <v>503100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IFERROR(VLOOKUP(B273,input_503100!L:R,7,FALSE),VLOOKUP(tables_503100!C273,input_503100!A:H,8,FALSE))</f>
        <v>34.06118</v>
      </c>
      <c r="P273" s="40">
        <f t="shared" ca="1" si="17"/>
        <v>1.7378153060160529E-5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input_503100!A$2</f>
        <v>503100</v>
      </c>
      <c r="B274" s="72">
        <v>770</v>
      </c>
      <c r="C274" s="7" t="str">
        <f t="shared" si="16"/>
        <v>PremiumSS4color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>color</v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IFERROR(VLOOKUP(B274,input_503100!L:R,7,FALSE),VLOOKUP(tables_503100!C274,input_503100!A:H,8,FALSE))</f>
        <v>4284.5600000000004</v>
      </c>
      <c r="P274" s="40">
        <f t="shared" ca="1" si="17"/>
        <v>2.1859999998661644E-3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input_503100!A$2</f>
        <v>503100</v>
      </c>
      <c r="B275" s="72">
        <v>771</v>
      </c>
      <c r="C275" s="7" t="str">
        <f t="shared" si="16"/>
        <v>PremiumSS5color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>color</v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IFERROR(VLOOKUP(B275,input_503100!L:R,7,FALSE),VLOOKUP(tables_503100!C275,input_503100!A:H,8,FALSE))</f>
        <v>203.84</v>
      </c>
      <c r="P275" s="40">
        <f t="shared" ca="1" si="17"/>
        <v>1.0399999999363269E-4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input_503100!A$2</f>
        <v>503100</v>
      </c>
      <c r="B276" s="7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IFERROR(VLOOKUP(B276,input_503100!L:R,7,FALSE),VLOOKUP(tables_503100!C276,input_503100!A:H,8,FALSE))</f>
        <v>374.4</v>
      </c>
      <c r="P276" s="40">
        <f t="shared" ca="1" si="17"/>
        <v>1.9102040815157024E-4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input_503100!A$2</f>
        <v>503100</v>
      </c>
      <c r="B277" s="7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IFERROR(VLOOKUP(B277,input_503100!L:R,7,FALSE),VLOOKUP(tables_503100!C277,input_503100!A:H,8,FALSE))</f>
        <v>41.6</v>
      </c>
      <c r="P277" s="40">
        <f t="shared" ca="1" si="17"/>
        <v>2.1224489794618918E-5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input_503100!A$2</f>
        <v>503100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IFERROR(VLOOKUP(B278,input_503100!L:R,7,FALSE),VLOOKUP(tables_503100!C278,input_503100!A:H,8,FALSE))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input_503100!A$2</f>
        <v>503100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IFERROR(VLOOKUP(B279,input_503100!L:R,7,FALSE),VLOOKUP(tables_503100!C279,input_503100!A:H,8,FALSE))</f>
        <v>9517.348</v>
      </c>
      <c r="P279" s="40">
        <f t="shared" ca="1" si="17"/>
        <v>4.8557897956210761E-3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input_503100!A$2</f>
        <v>503100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IFERROR(VLOOKUP(B280,input_503100!L:R,7,FALSE),VLOOKUP(tables_503100!C280,input_503100!A:H,8,FALSE))</f>
        <v>6.1520000000000001</v>
      </c>
      <c r="P280" s="40">
        <f t="shared" ca="1" si="17"/>
        <v>3.1387755100119129E-6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input_503100!A$2</f>
        <v>503100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IFERROR(VLOOKUP(B281,input_503100!L:R,7,FALSE),VLOOKUP(tables_503100!C281,input_503100!A:H,8,FALSE))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input_503100!A$2</f>
        <v>503100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IFERROR(VLOOKUP(B282,input_503100!L:R,7,FALSE),VLOOKUP(tables_503100!C282,input_503100!A:H,8,FALSE))</f>
        <v>9517.348</v>
      </c>
      <c r="P282" s="40">
        <f t="shared" ca="1" si="17"/>
        <v>4.8557897956210761E-3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input_503100!A$2</f>
        <v>503100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IFERROR(VLOOKUP(B283,input_503100!L:R,7,FALSE),VLOOKUP(tables_503100!C283,input_503100!A:H,8,FALSE))</f>
        <v>6.1520000000000001</v>
      </c>
      <c r="P283" s="40">
        <f t="shared" ca="1" si="17"/>
        <v>3.1387755100119129E-6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input_503100!A$2</f>
        <v>503100</v>
      </c>
      <c r="B284" s="5">
        <v>848</v>
      </c>
      <c r="C284" s="7" t="str">
        <f t="shared" si="16"/>
        <v>PremiumSS5R5onlycolor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>color</v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IFERROR(VLOOKUP(B284,input_503100!L:R,7,FALSE),VLOOKUP(tables_503100!C284,input_503100!A:H,8,FALSE))</f>
        <v>5161.6000000000004</v>
      </c>
      <c r="P284" s="40">
        <f t="shared" ca="1" si="17"/>
        <v>2.6334693875938705E-3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input_503100!A$2</f>
        <v>503100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IFERROR(VLOOKUP(B285,input_503100!L:R,7,FALSE),VLOOKUP(tables_503100!C285,input_503100!A:H,8,FALSE))</f>
        <v>416</v>
      </c>
      <c r="P285" s="40">
        <f t="shared" ca="1" si="17"/>
        <v>2.1224489794618916E-4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input_503100!A$2</f>
        <v>503100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IFERROR(VLOOKUP(B286,input_503100!L:R,7,FALSE),VLOOKUP(tables_503100!C286,input_503100!A:H,8,FALSE))</f>
        <v>16690.946670000001</v>
      </c>
      <c r="P286" s="40">
        <f t="shared" ca="1" si="17"/>
        <v>8.5157891168255676E-3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input_503100!A$2</f>
        <v>503100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IFERROR(VLOOKUP(B287,input_503100!L:R,7,FALSE),VLOOKUP(tables_503100!C287,input_503100!A:H,8,FALSE))</f>
        <v>34.06118</v>
      </c>
      <c r="P287" s="40">
        <f t="shared" ca="1" si="17"/>
        <v>1.7378153060160529E-5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input_503100!A$2</f>
        <v>503100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IFERROR(VLOOKUP(B288,input_503100!L:R,7,FALSE),VLOOKUP(tables_503100!C288,input_503100!A:H,8,FALSE))</f>
        <v>16690.946670000001</v>
      </c>
      <c r="P288" s="40">
        <f t="shared" ca="1" si="17"/>
        <v>8.5157891168255676E-3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input_503100!A$2</f>
        <v>503100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IFERROR(VLOOKUP(B289,input_503100!L:R,7,FALSE),VLOOKUP(tables_503100!C289,input_503100!A:H,8,FALSE))</f>
        <v>34.06118</v>
      </c>
      <c r="P289" s="40">
        <f t="shared" ca="1" si="17"/>
        <v>1.7378153060160529E-5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input_503100!A$2</f>
        <v>503100</v>
      </c>
      <c r="B290" s="5">
        <v>862</v>
      </c>
      <c r="C290" s="7" t="str">
        <f t="shared" si="16"/>
        <v>Premium4R3lesscolor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>color</v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IFERROR(VLOOKUP(B290,input_503100!L:R,7,FALSE),VLOOKUP(tables_503100!C290,input_503100!A:H,8,FALSE))</f>
        <v>30038.580020000001</v>
      </c>
      <c r="P290" s="40">
        <f t="shared" ca="1" si="17"/>
        <v>1.5325806131714753E-2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input_503100!A$2</f>
        <v>503100</v>
      </c>
      <c r="B291" s="5">
        <v>863</v>
      </c>
      <c r="C291" s="7" t="str">
        <f t="shared" si="16"/>
        <v>Premium5R3lesscolor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>color</v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IFERROR(VLOOKUP(B291,input_503100!L:R,7,FALSE),VLOOKUP(tables_503100!C291,input_503100!A:H,8,FALSE))</f>
        <v>4537.3999999999996</v>
      </c>
      <c r="P291" s="40">
        <f t="shared" ca="1" si="17"/>
        <v>2.3149999998582659E-3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input_503100!A$2</f>
        <v>503100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IFERROR(VLOOKUP(B292,input_503100!L:R,7,FALSE),VLOOKUP(tables_503100!C292,input_503100!A:H,8,FALSE))</f>
        <v>16690.946670000001</v>
      </c>
      <c r="P292" s="40">
        <f t="shared" ca="1" si="17"/>
        <v>8.5157891168255676E-3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input_503100!A$2</f>
        <v>503100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IFERROR(VLOOKUP(B293,input_503100!L:R,7,FALSE),VLOOKUP(tables_503100!C293,input_503100!A:H,8,FALSE))</f>
        <v>34.06118</v>
      </c>
      <c r="P293" s="40">
        <f t="shared" ca="1" si="17"/>
        <v>1.7378153060160529E-5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input_503100!A$2</f>
        <v>503100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IFERROR(VLOOKUP(B294,input_503100!L:R,7,FALSE),VLOOKUP(tables_503100!C294,input_503100!A:H,8,FALSE))</f>
        <v>416</v>
      </c>
      <c r="P294" s="40">
        <f t="shared" ca="1" si="17"/>
        <v>2.1224489794618916E-4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input_503100!A$2</f>
        <v>503100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IFERROR(VLOOKUP(B295,input_503100!L:R,7,FALSE),VLOOKUP(tables_503100!C295,input_503100!A:H,8,FALSE))</f>
        <v>416</v>
      </c>
      <c r="P295" s="40">
        <f t="shared" ca="1" si="17"/>
        <v>2.1224489794618916E-4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input_503100!A$2</f>
        <v>503100</v>
      </c>
      <c r="B296" s="5">
        <v>937</v>
      </c>
      <c r="C296" s="7" t="str">
        <f t="shared" si="16"/>
        <v>PremiumSS5R5onlycolor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>color</v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IFERROR(VLOOKUP(B296,input_503100!L:R,7,FALSE),VLOOKUP(tables_503100!C296,input_503100!A:H,8,FALSE))</f>
        <v>5161.6000000000004</v>
      </c>
      <c r="P296" s="40">
        <f t="shared" ca="1" si="17"/>
        <v>2.6334693875938705E-3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input_503100!A$2</f>
        <v>503100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IFERROR(VLOOKUP(B297,input_503100!L:R,7,FALSE),VLOOKUP(tables_503100!C297,input_503100!A:H,8,FALSE))</f>
        <v>16690.946670000001</v>
      </c>
      <c r="P297" s="40">
        <f t="shared" ca="1" si="17"/>
        <v>8.5157891168255676E-3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input_503100!A$2</f>
        <v>503100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IFERROR(VLOOKUP(B298,input_503100!L:R,7,FALSE),VLOOKUP(tables_503100!C298,input_503100!A:H,8,FALSE))</f>
        <v>34.06118</v>
      </c>
      <c r="P298" s="40">
        <f t="shared" ca="1" si="17"/>
        <v>1.7378153060160529E-5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input_503100!A$2</f>
        <v>503100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IFERROR(VLOOKUP(B299,input_503100!L:R,7,FALSE),VLOOKUP(tables_503100!C299,input_503100!A:H,8,FALSE))</f>
        <v>416</v>
      </c>
      <c r="P299" s="40">
        <f t="shared" ca="1" si="17"/>
        <v>2.1224489794618916E-4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input_503100!A$2</f>
        <v>503100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IFERROR(VLOOKUP(B300,input_503100!L:R,7,FALSE),VLOOKUP(tables_503100!C300,input_503100!A:H,8,FALSE))</f>
        <v>416</v>
      </c>
      <c r="P300" s="40">
        <f t="shared" ca="1" si="17"/>
        <v>2.1224489794618916E-4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input_503100!A$2</f>
        <v>503100</v>
      </c>
      <c r="B301" s="5">
        <v>1012</v>
      </c>
      <c r="C301" s="7" t="str">
        <f t="shared" si="16"/>
        <v>PremiumSS5R5onlycolor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>color</v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IFERROR(VLOOKUP(B301,input_503100!L:R,7,FALSE),VLOOKUP(tables_503100!C301,input_503100!A:H,8,FALSE))</f>
        <v>5161.6000000000004</v>
      </c>
      <c r="P301" s="40">
        <f t="shared" ca="1" si="17"/>
        <v>2.6334693875938705E-3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input_503100!A$2</f>
        <v>503100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IFERROR(VLOOKUP(B302,input_503100!L:R,7,FALSE),VLOOKUP(tables_503100!C302,input_503100!A:H,8,FALSE))</f>
        <v>416</v>
      </c>
      <c r="P302" s="40">
        <f t="shared" ca="1" si="17"/>
        <v>2.1224489794618916E-4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input_503100!A$2</f>
        <v>503100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IFERROR(VLOOKUP(B303,input_503100!L:R,7,FALSE),VLOOKUP(tables_503100!C303,input_503100!A:H,8,FALSE))</f>
        <v>16690.946670000001</v>
      </c>
      <c r="P303" s="40">
        <f t="shared" ca="1" si="17"/>
        <v>8.5157891168255676E-3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input_503100!A$2</f>
        <v>503100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IFERROR(VLOOKUP(B304,input_503100!L:R,7,FALSE),VLOOKUP(tables_503100!C304,input_503100!A:H,8,FALSE))</f>
        <v>34.06118</v>
      </c>
      <c r="P304" s="40">
        <f t="shared" ca="1" si="17"/>
        <v>1.7378153060160529E-5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input_503100!A$2</f>
        <v>503100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IFERROR(VLOOKUP(B305,input_503100!L:R,7,FALSE),VLOOKUP(tables_503100!C305,input_503100!A:H,8,FALSE))</f>
        <v>416</v>
      </c>
      <c r="P305" s="40">
        <f t="shared" ca="1" si="17"/>
        <v>2.1224489794618916E-4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input_503100!A$2</f>
        <v>503100</v>
      </c>
      <c r="B306" s="5">
        <v>1026</v>
      </c>
      <c r="C306" s="7" t="str">
        <f t="shared" si="16"/>
        <v>Premium4R3lesscolor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>color</v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IFERROR(VLOOKUP(B306,input_503100!L:R,7,FALSE),VLOOKUP(tables_503100!C306,input_503100!A:H,8,FALSE))</f>
        <v>30038.580020000001</v>
      </c>
      <c r="P306" s="40">
        <f t="shared" ca="1" si="17"/>
        <v>1.5325806131714753E-2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input_503100!A$2</f>
        <v>503100</v>
      </c>
      <c r="B307" s="5">
        <v>1027</v>
      </c>
      <c r="C307" s="7" t="str">
        <f t="shared" si="16"/>
        <v>Premium5R3lesscolor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>color</v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IFERROR(VLOOKUP(B307,input_503100!L:R,7,FALSE),VLOOKUP(tables_503100!C307,input_503100!A:H,8,FALSE))</f>
        <v>4537.3999999999996</v>
      </c>
      <c r="P307" s="40">
        <f t="shared" ca="1" si="17"/>
        <v>2.3149999998582659E-3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input_503100!A$2</f>
        <v>503100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IFERROR(VLOOKUP(B308,input_503100!L:R,7,FALSE),VLOOKUP(tables_503100!C308,input_503100!A:H,8,FALSE))</f>
        <v>416</v>
      </c>
      <c r="P308" s="40">
        <f t="shared" ca="1" si="17"/>
        <v>2.1224489794618916E-4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input_503100!A$2</f>
        <v>503100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IFERROR(VLOOKUP(B309,input_503100!L:R,7,FALSE),VLOOKUP(tables_503100!C309,input_503100!A:H,8,FALSE))</f>
        <v>416</v>
      </c>
      <c r="P309" s="40">
        <f t="shared" ca="1" si="17"/>
        <v>2.1224489794618916E-4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input_503100!A$2</f>
        <v>503100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IFERROR(VLOOKUP(B310,input_503100!L:R,7,FALSE),VLOOKUP(tables_503100!C310,input_503100!A:H,8,FALSE))</f>
        <v>416</v>
      </c>
      <c r="P310" s="40">
        <f t="shared" ca="1" si="17"/>
        <v>2.1224489794618916E-4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input_503100!A$2</f>
        <v>503100</v>
      </c>
      <c r="B311" s="5">
        <v>1067</v>
      </c>
      <c r="C311" s="7" t="str">
        <f t="shared" si="16"/>
        <v>Premium4R3lesscolor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>color</v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IFERROR(VLOOKUP(B311,input_503100!L:R,7,FALSE),VLOOKUP(tables_503100!C311,input_503100!A:H,8,FALSE))</f>
        <v>30038.580020000001</v>
      </c>
      <c r="P311" s="40">
        <f t="shared" ca="1" si="17"/>
        <v>1.5325806131714753E-2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input_503100!A$2</f>
        <v>503100</v>
      </c>
      <c r="B312" s="5">
        <v>1068</v>
      </c>
      <c r="C312" s="7" t="str">
        <f t="shared" si="16"/>
        <v>Premium5R3lesscolor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>color</v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IFERROR(VLOOKUP(B312,input_503100!L:R,7,FALSE),VLOOKUP(tables_503100!C312,input_503100!A:H,8,FALSE))</f>
        <v>4537.3999999999996</v>
      </c>
      <c r="P312" s="40">
        <f t="shared" ca="1" si="17"/>
        <v>2.3149999998582659E-3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input_503100!A$2</f>
        <v>503100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IFERROR(VLOOKUP(B313,input_503100!L:R,7,FALSE),VLOOKUP(tables_503100!C313,input_503100!A:H,8,FALSE))</f>
        <v>416</v>
      </c>
      <c r="P313" s="40">
        <f t="shared" ca="1" si="17"/>
        <v>2.1224489794618916E-4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input_503100!A$2</f>
        <v>503100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IFERROR(VLOOKUP(B314,input_503100!L:R,7,FALSE),VLOOKUP(tables_503100!C314,input_503100!A:H,8,FALSE))</f>
        <v>416</v>
      </c>
      <c r="P314" s="40">
        <f t="shared" ca="1" si="17"/>
        <v>2.1224489794618916E-4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input_503100!A$2</f>
        <v>503100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IFERROR(VLOOKUP(B315,input_503100!L:R,7,FALSE),VLOOKUP(tables_503100!C315,input_503100!A:H,8,FALSE))</f>
        <v>416</v>
      </c>
      <c r="P315" s="40">
        <f t="shared" ca="1" si="17"/>
        <v>2.1224489794618916E-4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input_503100!A$2</f>
        <v>503100</v>
      </c>
      <c r="B316" s="5">
        <v>1100</v>
      </c>
      <c r="C316" s="7" t="str">
        <f t="shared" si="16"/>
        <v>PremiumSS5R5onlycolor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>color</v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IFERROR(VLOOKUP(B316,input_503100!L:R,7,FALSE),VLOOKUP(tables_503100!C316,input_503100!A:H,8,FALSE))</f>
        <v>5161.6000000000004</v>
      </c>
      <c r="P316" s="40">
        <f t="shared" ca="1" si="17"/>
        <v>2.6334693875938705E-3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input_503100!A$2</f>
        <v>503100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IFERROR(VLOOKUP(B317,input_503100!L:R,7,FALSE),VLOOKUP(tables_503100!C317,input_503100!A:H,8,FALSE))</f>
        <v>416</v>
      </c>
      <c r="P317" s="40">
        <f t="shared" ca="1" si="17"/>
        <v>2.1224489794618916E-4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input_503100!A$2</f>
        <v>503100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IFERROR(VLOOKUP(B318,input_503100!L:R,7,FALSE),VLOOKUP(tables_503100!C318,input_503100!A:H,8,FALSE))</f>
        <v>16690.946670000001</v>
      </c>
      <c r="P318" s="40">
        <f t="shared" ca="1" si="17"/>
        <v>8.5157891168255676E-3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input_503100!A$2</f>
        <v>503100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IFERROR(VLOOKUP(B319,input_503100!L:R,7,FALSE),VLOOKUP(tables_503100!C319,input_503100!A:H,8,FALSE))</f>
        <v>34.06118</v>
      </c>
      <c r="P319" s="40">
        <f t="shared" ca="1" si="17"/>
        <v>1.7378153060160529E-5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input_503100!A$2</f>
        <v>503100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IFERROR(VLOOKUP(B320,input_503100!L:R,7,FALSE),VLOOKUP(tables_503100!C320,input_503100!A:H,8,FALSE))</f>
        <v>416</v>
      </c>
      <c r="P320" s="40">
        <f t="shared" ca="1" si="17"/>
        <v>2.1224489794618916E-4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input_503100!A$2</f>
        <v>503100</v>
      </c>
      <c r="B321" s="5">
        <v>1137</v>
      </c>
      <c r="C321" s="7" t="str">
        <f t="shared" si="16"/>
        <v>PremiumSS5R5onlycolor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>color</v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IFERROR(VLOOKUP(B321,input_503100!L:R,7,FALSE),VLOOKUP(tables_503100!C321,input_503100!A:H,8,FALSE))</f>
        <v>5161.6000000000004</v>
      </c>
      <c r="P321" s="40">
        <f t="shared" ca="1" si="17"/>
        <v>2.6334693875938705E-3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input_503100!A$2</f>
        <v>503100</v>
      </c>
      <c r="B322" s="5">
        <v>1139</v>
      </c>
      <c r="C322" s="7" t="str">
        <f t="shared" ref="C322:C341" si="20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IFERROR(VLOOKUP(B322,input_503100!L:R,7,FALSE),VLOOKUP(tables_503100!C322,input_503100!A:H,8,FALSE))</f>
        <v>416</v>
      </c>
      <c r="P322" s="40">
        <f t="shared" ref="P322:P341" ca="1" si="21">O322/SUM(O:O)</f>
        <v>2.1224489794618916E-4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input_503100!A$2</f>
        <v>503100</v>
      </c>
      <c r="B323" s="5">
        <v>1141</v>
      </c>
      <c r="C323" s="7" t="str">
        <f t="shared" si="20"/>
        <v>PremiumSS5R5only</v>
      </c>
      <c r="D323" s="7" t="str">
        <f t="shared" ref="D323:D341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1" si="23">IF(K323="red","color","")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IFERROR(VLOOKUP(B323,input_503100!L:R,7,FALSE),VLOOKUP(tables_503100!C323,input_503100!A:H,8,FALSE))</f>
        <v>416</v>
      </c>
      <c r="P323" s="40">
        <f t="shared" ca="1" si="21"/>
        <v>2.1224489794618916E-4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input_503100!A$2</f>
        <v>503100</v>
      </c>
      <c r="B324" s="2">
        <v>1143</v>
      </c>
      <c r="C324" s="7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IFERROR(VLOOKUP(B324,input_503100!L:R,7,FALSE),VLOOKUP(tables_503100!C324,input_503100!A:H,8,FALSE))</f>
        <v>16690.946670000001</v>
      </c>
      <c r="P324" s="40">
        <f t="shared" ca="1" si="21"/>
        <v>8.5157891168255676E-3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input_503100!A$2</f>
        <v>503100</v>
      </c>
      <c r="B325" s="2">
        <v>1144</v>
      </c>
      <c r="C325" s="7" t="str">
        <f t="shared" si="20"/>
        <v>Premium5R3less</v>
      </c>
      <c r="D325" s="7" t="str">
        <f t="shared" si="22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3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IFERROR(VLOOKUP(B325,input_503100!L:R,7,FALSE),VLOOKUP(tables_503100!C325,input_503100!A:H,8,FALSE))</f>
        <v>34.06118</v>
      </c>
      <c r="P325" s="40">
        <f t="shared" ca="1" si="21"/>
        <v>1.7378153060160529E-5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input_503100!A$2</f>
        <v>503100</v>
      </c>
      <c r="B326" s="2">
        <v>1151</v>
      </c>
      <c r="C326" s="7" t="str">
        <f t="shared" si="20"/>
        <v>Premium4R3lesscolor</v>
      </c>
      <c r="D326" s="7" t="str">
        <f t="shared" si="22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3"/>
        <v>color</v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IFERROR(VLOOKUP(B326,input_503100!L:R,7,FALSE),VLOOKUP(tables_503100!C326,input_503100!A:H,8,FALSE))</f>
        <v>30038.580020000001</v>
      </c>
      <c r="P326" s="40">
        <f t="shared" ca="1" si="21"/>
        <v>1.5325806131714753E-2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input_503100!A$2</f>
        <v>503100</v>
      </c>
      <c r="B327" s="2">
        <v>1152</v>
      </c>
      <c r="C327" s="7" t="str">
        <f t="shared" si="20"/>
        <v>Premium5R3lesscolor</v>
      </c>
      <c r="D327" s="7" t="str">
        <f t="shared" si="22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3"/>
        <v>color</v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IFERROR(VLOOKUP(B327,input_503100!L:R,7,FALSE),VLOOKUP(tables_503100!C327,input_503100!A:H,8,FALSE))</f>
        <v>4537.3999999999996</v>
      </c>
      <c r="P327" s="40">
        <f t="shared" ca="1" si="21"/>
        <v>2.3149999998582659E-3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input_503100!A$2</f>
        <v>503100</v>
      </c>
      <c r="B328" s="2">
        <v>1153</v>
      </c>
      <c r="C328" s="7" t="str">
        <f t="shared" si="20"/>
        <v>PremiumSS5R5only</v>
      </c>
      <c r="D328" s="7" t="str">
        <f t="shared" si="22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3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IFERROR(VLOOKUP(B328,input_503100!L:R,7,FALSE),VLOOKUP(tables_503100!C328,input_503100!A:H,8,FALSE))</f>
        <v>416</v>
      </c>
      <c r="P328" s="40">
        <f t="shared" ca="1" si="21"/>
        <v>2.1224489794618916E-4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input_503100!A$2</f>
        <v>503100</v>
      </c>
      <c r="B329" s="2">
        <v>1155</v>
      </c>
      <c r="C329" s="7" t="str">
        <f t="shared" si="20"/>
        <v>PremiumSS5R5only</v>
      </c>
      <c r="D329" s="7" t="str">
        <f t="shared" si="22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3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IFERROR(VLOOKUP(B329,input_503100!L:R,7,FALSE),VLOOKUP(tables_503100!C329,input_503100!A:H,8,FALSE))</f>
        <v>416</v>
      </c>
      <c r="P329" s="40">
        <f t="shared" ca="1" si="21"/>
        <v>2.1224489794618916E-4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input_503100!A$2</f>
        <v>503100</v>
      </c>
      <c r="B330" s="2">
        <v>1157</v>
      </c>
      <c r="C330" s="7" t="str">
        <f t="shared" si="20"/>
        <v>PremiumSS5R5only</v>
      </c>
      <c r="D330" s="7" t="str">
        <f t="shared" si="22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3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IFERROR(VLOOKUP(B330,input_503100!L:R,7,FALSE),VLOOKUP(tables_503100!C330,input_503100!A:H,8,FALSE))</f>
        <v>416</v>
      </c>
      <c r="P330" s="40">
        <f t="shared" ca="1" si="21"/>
        <v>2.1224489794618916E-4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input_503100!A$2</f>
        <v>503100</v>
      </c>
      <c r="B331" s="52">
        <v>1214</v>
      </c>
      <c r="C331" s="7" t="str">
        <f t="shared" si="20"/>
        <v>PremiumSS5R5only</v>
      </c>
      <c r="D331" s="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3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IFERROR(VLOOKUP(B331,input_503100!L:R,7,FALSE),VLOOKUP(tables_503100!C331,input_503100!A:H,8,FALSE))</f>
        <v>416</v>
      </c>
      <c r="P331" s="40">
        <f t="shared" ca="1" si="21"/>
        <v>2.1224489794618916E-4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input_503100!A$2</f>
        <v>503100</v>
      </c>
      <c r="B332" s="52">
        <v>1212</v>
      </c>
      <c r="C332" s="7" t="str">
        <f t="shared" si="20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3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IFERROR(VLOOKUP(B332,input_503100!L:R,7,FALSE),VLOOKUP(tables_503100!C332,input_503100!A:H,8,FALSE))</f>
        <v>416</v>
      </c>
      <c r="P332" s="40">
        <f t="shared" ca="1" si="21"/>
        <v>2.1224489794618916E-4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input_503100!A$2</f>
        <v>503100</v>
      </c>
      <c r="B333" s="52">
        <v>1208</v>
      </c>
      <c r="C333" s="7" t="str">
        <f t="shared" si="20"/>
        <v>PremiumSS5R5onlycolor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3"/>
        <v>color</v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IFERROR(VLOOKUP(B333,input_503100!L:R,7,FALSE),VLOOKUP(tables_503100!C333,input_503100!A:H,8,FALSE))</f>
        <v>5161.6000000000004</v>
      </c>
      <c r="P333" s="40">
        <f t="shared" ca="1" si="21"/>
        <v>2.6334693875938705E-3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input_503100!A$2</f>
        <v>503100</v>
      </c>
      <c r="B334" s="98">
        <v>1210</v>
      </c>
      <c r="C334" s="7" t="str">
        <f t="shared" si="20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3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IFERROR(VLOOKUP(B334,input_503100!L:R,7,FALSE),VLOOKUP(tables_503100!C334,input_503100!A:H,8,FALSE))</f>
        <v>16690.946670000001</v>
      </c>
      <c r="P334" s="40">
        <f t="shared" ca="1" si="21"/>
        <v>8.5157891168255676E-3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input_503100!A$2</f>
        <v>503100</v>
      </c>
      <c r="B335" s="52">
        <v>1211</v>
      </c>
      <c r="C335" s="7" t="str">
        <f t="shared" si="20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3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IFERROR(VLOOKUP(B335,input_503100!L:R,7,FALSE),VLOOKUP(tables_503100!C335,input_503100!A:H,8,FALSE))</f>
        <v>34.06118</v>
      </c>
      <c r="P335" s="40">
        <f t="shared" ca="1" si="21"/>
        <v>1.7378153060160529E-5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input_503100!A$2</f>
        <v>503100</v>
      </c>
      <c r="B336" s="2">
        <v>1224</v>
      </c>
      <c r="C336" s="7" t="str">
        <f t="shared" si="20"/>
        <v>Premium4R3lesscolor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3"/>
        <v>color</v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IFERROR(VLOOKUP(B336,input_503100!L:R,7,FALSE),VLOOKUP(tables_503100!C336,input_503100!A:H,8,FALSE))</f>
        <v>30038.580020000001</v>
      </c>
      <c r="P336" s="40">
        <f t="shared" ca="1" si="21"/>
        <v>1.5325806131714753E-2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input_503100!A$2</f>
        <v>503100</v>
      </c>
      <c r="B337" s="2">
        <v>1225</v>
      </c>
      <c r="C337" s="7" t="str">
        <f t="shared" si="20"/>
        <v>Premium5R3lesscolor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3"/>
        <v>color</v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IFERROR(VLOOKUP(B337,input_503100!L:R,7,FALSE),VLOOKUP(tables_503100!C337,input_503100!A:H,8,FALSE))</f>
        <v>4537.3999999999996</v>
      </c>
      <c r="P337" s="40">
        <f t="shared" ca="1" si="21"/>
        <v>2.3149999998582659E-3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input_503100!A$2</f>
        <v>503100</v>
      </c>
      <c r="B338" s="2">
        <v>1226</v>
      </c>
      <c r="C338" s="7" t="str">
        <f t="shared" si="20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3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IFERROR(VLOOKUP(B338,input_503100!L:R,7,FALSE),VLOOKUP(tables_503100!C338,input_503100!A:H,8,FALSE))</f>
        <v>416</v>
      </c>
      <c r="P338" s="40">
        <f t="shared" ca="1" si="21"/>
        <v>2.1224489794618916E-4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input_503100!A$2</f>
        <v>503100</v>
      </c>
      <c r="B339" s="2">
        <v>1228</v>
      </c>
      <c r="C339" s="7" t="str">
        <f t="shared" si="20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3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IFERROR(VLOOKUP(B339,input_503100!L:R,7,FALSE),VLOOKUP(tables_503100!C339,input_503100!A:H,8,FALSE))</f>
        <v>416</v>
      </c>
      <c r="P339" s="40">
        <f t="shared" ca="1" si="21"/>
        <v>2.1224489794618916E-4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input_503100!A$2</f>
        <v>503100</v>
      </c>
      <c r="B340" s="2">
        <v>1230</v>
      </c>
      <c r="C340" s="7" t="str">
        <f t="shared" si="20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3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IFERROR(VLOOKUP(B340,input_503100!L:R,7,FALSE),VLOOKUP(tables_503100!C340,input_503100!A:H,8,FALSE))</f>
        <v>416</v>
      </c>
      <c r="P340" s="40">
        <f t="shared" ca="1" si="21"/>
        <v>2.1224489794618916E-4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input_503100!A$2</f>
        <v>503100</v>
      </c>
      <c r="B341" s="2">
        <v>1244</v>
      </c>
      <c r="C341" s="7" t="str">
        <f t="shared" si="20"/>
        <v>PremiumSS5R5onlycolor</v>
      </c>
      <c r="D341" s="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3"/>
        <v>color</v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IFERROR(VLOOKUP(B341,input_503100!L:R,7,FALSE),VLOOKUP(tables_503100!C341,input_503100!A:H,8,FALSE))</f>
        <v>5161.6000000000004</v>
      </c>
      <c r="P341" s="40">
        <f t="shared" ca="1" si="21"/>
        <v>2.6334693875938705E-3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input_503100!A$2</f>
        <v>503100</v>
      </c>
      <c r="B342" s="2">
        <v>1246</v>
      </c>
      <c r="C342" s="7" t="str">
        <f t="shared" ref="C342:C346" si="24">D342&amp;J342&amp;E342&amp;F342&amp;G342</f>
        <v>PremiumSS5R5only</v>
      </c>
      <c r="D342" s="7" t="str">
        <f t="shared" ref="D342:D346" si="25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ref="G342:G346" si="26">IF(K342="red","color","")</f>
        <v/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IFERROR(VLOOKUP(B342,input_503100!L:R,7,FALSE),VLOOKUP(tables_503100!C342,input_503100!A:H,8,FALSE))</f>
        <v>416</v>
      </c>
      <c r="P342" s="40">
        <f t="shared" ref="P342:P346" ca="1" si="27">O342/SUM(O:O)</f>
        <v>2.1224489794618916E-4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input_503100!A$2</f>
        <v>503100</v>
      </c>
      <c r="B343" s="2">
        <v>1248</v>
      </c>
      <c r="C343" s="7" t="str">
        <f t="shared" si="24"/>
        <v>Premium4R3less</v>
      </c>
      <c r="D343" s="7" t="str">
        <f t="shared" si="25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6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IFERROR(VLOOKUP(B343,input_503100!L:R,7,FALSE),VLOOKUP(tables_503100!C343,input_503100!A:H,8,FALSE))</f>
        <v>16690.946670000001</v>
      </c>
      <c r="P343" s="40">
        <f t="shared" ca="1" si="27"/>
        <v>8.5157891168255676E-3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input_503100!A$2</f>
        <v>503100</v>
      </c>
      <c r="B344" s="2">
        <v>1249</v>
      </c>
      <c r="C344" s="7" t="str">
        <f t="shared" si="24"/>
        <v>Premium5R3less</v>
      </c>
      <c r="D344" s="7" t="str">
        <f t="shared" si="25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6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IFERROR(VLOOKUP(B344,input_503100!L:R,7,FALSE),VLOOKUP(tables_503100!C344,input_503100!A:H,8,FALSE))</f>
        <v>34.06118</v>
      </c>
      <c r="P344" s="40">
        <f t="shared" ca="1" si="27"/>
        <v>1.7378153060160529E-5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input_503100!A$2</f>
        <v>503100</v>
      </c>
      <c r="B345" s="2">
        <v>1250</v>
      </c>
      <c r="C345" s="7" t="str">
        <f t="shared" si="24"/>
        <v>PremiumSS5R5only</v>
      </c>
      <c r="D345" s="7" t="str">
        <f t="shared" si="25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6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IFERROR(VLOOKUP(B345,input_503100!L:R,7,FALSE),VLOOKUP(tables_503100!C345,input_503100!A:H,8,FALSE))</f>
        <v>416</v>
      </c>
      <c r="P345" s="40">
        <f t="shared" ca="1" si="27"/>
        <v>2.1224489794618916E-4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input_503100!A$2</f>
        <v>503100</v>
      </c>
      <c r="B346" s="1">
        <v>955</v>
      </c>
      <c r="C346" s="7" t="str">
        <f t="shared" si="24"/>
        <v>PremiumSSS5R3lesscolor</v>
      </c>
      <c r="D346" s="7" t="str">
        <f t="shared" si="25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 t="str">
        <f t="shared" si="26"/>
        <v>color</v>
      </c>
      <c r="H346" s="7" t="str">
        <f>VLOOKUP(B346,[1]characters!$A:$C,3,FALSE)</f>
        <v>マクローリン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technical</v>
      </c>
      <c r="M346" s="7" t="str">
        <f>VLOOKUP(B346,[1]characters!$A:$M,13,FALSE)</f>
        <v>academia</v>
      </c>
      <c r="N346" s="7" t="str">
        <f>VLOOKUP(B346,[1]characters!$A:$G,7,FALSE)</f>
        <v>男性</v>
      </c>
      <c r="O346" s="39">
        <f>IFERROR(VLOOKUP(B346,input_503100!L:R,7,FALSE),VLOOKUP(tables_503100!C346,input_503100!A:H,8,FALSE))</f>
        <v>47040</v>
      </c>
      <c r="P346" s="40">
        <f t="shared" ca="1" si="27"/>
        <v>2.399999999853062E-2</v>
      </c>
      <c r="Q346" s="78">
        <v>80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</sheetData>
  <autoFilter ref="A1:V300"/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11" sqref="A11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11</v>
      </c>
      <c r="C1" s="14" t="s">
        <v>12</v>
      </c>
      <c r="D1" s="14" t="s">
        <v>13</v>
      </c>
      <c r="E1" s="14" t="s">
        <v>14</v>
      </c>
      <c r="F1" s="13" t="s">
        <v>2</v>
      </c>
      <c r="G1" s="44" t="s">
        <v>71</v>
      </c>
      <c r="H1" s="44" t="s">
        <v>72</v>
      </c>
      <c r="I1" s="45" t="s">
        <v>73</v>
      </c>
      <c r="J1" s="45" t="s">
        <v>74</v>
      </c>
      <c r="K1" s="45" t="s">
        <v>75</v>
      </c>
      <c r="L1" s="45" t="s">
        <v>76</v>
      </c>
      <c r="M1" s="45" t="s">
        <v>77</v>
      </c>
      <c r="N1" s="13" t="s">
        <v>15</v>
      </c>
      <c r="O1" s="13" t="s">
        <v>16</v>
      </c>
      <c r="P1" s="13" t="s">
        <v>17</v>
      </c>
      <c r="Q1" s="13" t="s">
        <v>18</v>
      </c>
    </row>
    <row r="2" spans="1:17" ht="21" customHeight="1" x14ac:dyDescent="0.15">
      <c r="A2" s="99">
        <v>503103</v>
      </c>
      <c r="B2" s="99">
        <v>5031031</v>
      </c>
      <c r="C2" s="70" t="s">
        <v>257</v>
      </c>
      <c r="D2" s="70">
        <v>1000000</v>
      </c>
      <c r="E2" s="70" t="s">
        <v>258</v>
      </c>
      <c r="F2" s="7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0" t="s">
        <v>259</v>
      </c>
      <c r="O2" s="70" t="s">
        <v>260</v>
      </c>
      <c r="P2" s="70" t="s">
        <v>261</v>
      </c>
      <c r="Q2" s="71" t="s">
        <v>262</v>
      </c>
    </row>
    <row r="3" spans="1:17" ht="21" customHeight="1" x14ac:dyDescent="0.15">
      <c r="A3" s="99">
        <v>503105</v>
      </c>
      <c r="B3" s="99">
        <v>5031051</v>
      </c>
      <c r="C3" s="1" t="s">
        <v>263</v>
      </c>
      <c r="D3" s="1">
        <v>125</v>
      </c>
      <c r="E3" s="1">
        <v>4</v>
      </c>
      <c r="F3" s="70">
        <v>1</v>
      </c>
      <c r="G3" s="1">
        <v>0</v>
      </c>
      <c r="H3" s="1">
        <v>0</v>
      </c>
      <c r="I3" s="1">
        <v>0</v>
      </c>
      <c r="J3" s="1">
        <v>0</v>
      </c>
      <c r="K3" s="1">
        <v>1</v>
      </c>
      <c r="L3" s="1">
        <v>1</v>
      </c>
      <c r="M3" s="1">
        <v>1</v>
      </c>
      <c r="N3" s="70" t="s">
        <v>259</v>
      </c>
      <c r="O3" s="70" t="s">
        <v>264</v>
      </c>
      <c r="P3" s="70" t="s">
        <v>261</v>
      </c>
      <c r="Q3" s="71" t="s">
        <v>265</v>
      </c>
    </row>
    <row r="4" spans="1:17" ht="21" customHeight="1" x14ac:dyDescent="0.15">
      <c r="A4" s="99">
        <v>503106</v>
      </c>
      <c r="B4" s="99">
        <v>5031061</v>
      </c>
      <c r="C4" s="1" t="s">
        <v>266</v>
      </c>
      <c r="D4" s="1">
        <v>1</v>
      </c>
      <c r="E4" s="1">
        <v>3</v>
      </c>
      <c r="F4" s="70">
        <v>1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1</v>
      </c>
      <c r="N4" s="70" t="s">
        <v>259</v>
      </c>
      <c r="O4" s="70" t="s">
        <v>267</v>
      </c>
      <c r="P4" s="70" t="s">
        <v>261</v>
      </c>
      <c r="Q4" s="71" t="s">
        <v>268</v>
      </c>
    </row>
    <row r="5" spans="1:17" ht="21" customHeight="1" x14ac:dyDescent="0.15">
      <c r="A5" s="69"/>
      <c r="B5" s="69"/>
      <c r="G5" s="77"/>
      <c r="H5" s="77"/>
      <c r="I5" s="77"/>
      <c r="J5" s="77"/>
      <c r="K5" s="77"/>
      <c r="L5" s="77"/>
      <c r="M5" s="77"/>
      <c r="N5" s="70"/>
      <c r="O5" s="70"/>
      <c r="P5" s="70"/>
      <c r="Q5" s="71"/>
    </row>
  </sheetData>
  <autoFilter ref="A1:F1"/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20</v>
      </c>
      <c r="B1" s="3" t="s">
        <v>21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2">
        <v>668</v>
      </c>
      <c r="B246" s="7" t="str">
        <f>VLOOKUP(A246,[1]characters!$A:$C,3,FALSE)</f>
        <v>アグニ</v>
      </c>
    </row>
    <row r="247" spans="1:2" x14ac:dyDescent="0.15">
      <c r="A247" s="52">
        <v>669</v>
      </c>
      <c r="B247" s="7" t="str">
        <f>VLOOKUP(A247,[1]characters!$A:$C,3,FALSE)</f>
        <v>天地の仲界 アグニ</v>
      </c>
    </row>
    <row r="248" spans="1:2" x14ac:dyDescent="0.15">
      <c r="A248" s="52">
        <v>670</v>
      </c>
      <c r="B248" s="7" t="str">
        <f>VLOOKUP(A248,[1]characters!$A:$C,3,FALSE)</f>
        <v>陽天の噴煙 アグニ</v>
      </c>
    </row>
    <row r="249" spans="1:2" x14ac:dyDescent="0.15">
      <c r="A249" s="52">
        <v>671</v>
      </c>
      <c r="B249" s="7" t="str">
        <f>VLOOKUP(A249,[1]characters!$A:$C,3,FALSE)</f>
        <v>ハヌマーン</v>
      </c>
    </row>
    <row r="250" spans="1:2" x14ac:dyDescent="0.15">
      <c r="A250" s="52">
        <v>672</v>
      </c>
      <c r="B250" s="7" t="str">
        <f>VLOOKUP(A250,[1]characters!$A:$C,3,FALSE)</f>
        <v>西遊韋駄天 ハヌマーン</v>
      </c>
    </row>
    <row r="251" spans="1:2" x14ac:dyDescent="0.15">
      <c r="A251" s="52">
        <v>673</v>
      </c>
      <c r="B251" s="7" t="str">
        <f>VLOOKUP(A251,[1]characters!$A:$C,3,FALSE)</f>
        <v>変幻自在の猿王 ハヌマーン</v>
      </c>
    </row>
    <row r="252" spans="1:2" x14ac:dyDescent="0.15">
      <c r="A252" s="52">
        <v>674</v>
      </c>
      <c r="B252" s="7" t="str">
        <f>VLOOKUP(A252,[1]characters!$A:$C,3,FALSE)</f>
        <v>サラスヴァティ</v>
      </c>
    </row>
    <row r="253" spans="1:2" x14ac:dyDescent="0.15">
      <c r="A253" s="52">
        <v>675</v>
      </c>
      <c r="B253" s="7" t="str">
        <f>VLOOKUP(A253,[1]characters!$A:$C,3,FALSE)</f>
        <v>芸楽の奔流 サラスヴァティ</v>
      </c>
    </row>
    <row r="254" spans="1:2" x14ac:dyDescent="0.15">
      <c r="A254" s="52">
        <v>676</v>
      </c>
      <c r="B254" s="7" t="str">
        <f>VLOOKUP(A254,[1]characters!$A:$C,3,FALSE)</f>
        <v>ヴィシュヌ</v>
      </c>
    </row>
    <row r="255" spans="1:2" x14ac:dyDescent="0.15">
      <c r="A255" s="52">
        <v>677</v>
      </c>
      <c r="B255" s="7" t="str">
        <f>VLOOKUP(A255,[1]characters!$A:$C,3,FALSE)</f>
        <v>武遊闊歩 ヴィシュヌ</v>
      </c>
    </row>
    <row r="256" spans="1:2" x14ac:dyDescent="0.15">
      <c r="A256" s="52">
        <v>770</v>
      </c>
      <c r="B256" s="7" t="str">
        <f>VLOOKUP(A256,[1]characters!$A:$C,3,FALSE)</f>
        <v>ハヅル</v>
      </c>
    </row>
    <row r="257" spans="1:2" x14ac:dyDescent="0.15">
      <c r="A257" s="52">
        <v>771</v>
      </c>
      <c r="B257" s="7" t="str">
        <f>VLOOKUP(A257,[1]characters!$A:$C,3,FALSE)</f>
        <v>天織羽鶴 ハヅル</v>
      </c>
    </row>
    <row r="258" spans="1:2" x14ac:dyDescent="0.15">
      <c r="A258" s="52">
        <v>772</v>
      </c>
      <c r="B258" s="7" t="str">
        <f>VLOOKUP(A258,[1]characters!$A:$C,3,FALSE)</f>
        <v>イナバ</v>
      </c>
    </row>
    <row r="259" spans="1:2" x14ac:dyDescent="0.15">
      <c r="A259" s="52">
        <v>773</v>
      </c>
      <c r="B259" s="7" t="str">
        <f>VLOOKUP(A259,[1]characters!$A:$C,3,FALSE)</f>
        <v>浮跳天兎 イナバ</v>
      </c>
    </row>
    <row r="260" spans="1:2" x14ac:dyDescent="0.15">
      <c r="A260" s="52">
        <v>774</v>
      </c>
      <c r="B260" s="7" t="str">
        <f>VLOOKUP(A260,[1]characters!$A:$C,3,FALSE)</f>
        <v>ミズチ</v>
      </c>
    </row>
    <row r="261" spans="1:2" x14ac:dyDescent="0.15">
      <c r="A261" s="52">
        <v>775</v>
      </c>
      <c r="B261" s="7" t="str">
        <f>VLOOKUP(A261,[1]characters!$A:$C,3,FALSE)</f>
        <v>水底霊竜 ミズチ</v>
      </c>
    </row>
    <row r="262" spans="1:2" x14ac:dyDescent="0.15">
      <c r="A262" s="52">
        <v>776</v>
      </c>
      <c r="B262" s="7" t="str">
        <f>VLOOKUP(A262,[1]characters!$A:$C,3,FALSE)</f>
        <v>水竜底主 ミズチ</v>
      </c>
    </row>
    <row r="263" spans="1:2" x14ac:dyDescent="0.15">
      <c r="A263" s="52">
        <v>777</v>
      </c>
      <c r="B263" s="7" t="str">
        <f>VLOOKUP(A263,[1]characters!$A:$C,3,FALSE)</f>
        <v>ガメック</v>
      </c>
    </row>
    <row r="264" spans="1:2" x14ac:dyDescent="0.15">
      <c r="A264" s="52">
        <v>778</v>
      </c>
      <c r="B264" s="7" t="str">
        <f>VLOOKUP(A264,[1]characters!$A:$C,3,FALSE)</f>
        <v>一亀懸明 ガメック</v>
      </c>
    </row>
    <row r="265" spans="1:2" x14ac:dyDescent="0.15">
      <c r="A265" s="52">
        <v>779</v>
      </c>
      <c r="B265" s="7" t="str">
        <f>VLOOKUP(A265,[1]characters!$A:$C,3,FALSE)</f>
        <v>頑堅咬亀 ガメック</v>
      </c>
    </row>
    <row r="266" spans="1:2" x14ac:dyDescent="0.15">
      <c r="A266" s="52">
        <v>779</v>
      </c>
      <c r="B266" s="7" t="str">
        <f>VLOOKUP(A266,[1]characters!$A:$C,3,FALSE)</f>
        <v>頑堅咬亀 ガメック</v>
      </c>
    </row>
  </sheetData>
  <phoneticPr fontId="9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2" t="s">
        <v>44</v>
      </c>
      <c r="B1" s="32"/>
    </row>
    <row r="2" spans="1:2" x14ac:dyDescent="0.15">
      <c r="A2" s="27" t="s">
        <v>1</v>
      </c>
      <c r="B2" s="31" t="s">
        <v>48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27">
        <v>169</v>
      </c>
      <c r="B6" s="31" t="str">
        <f>VLOOKUP(A6,[1]characters!$A:$C,3,FALSE)</f>
        <v>オセ</v>
      </c>
    </row>
    <row r="7" spans="1:2" x14ac:dyDescent="0.15">
      <c r="A7" s="27">
        <v>170</v>
      </c>
      <c r="B7" s="31" t="str">
        <f>VLOOKUP(A7,[1]characters!$A:$C,3,FALSE)</f>
        <v>識徒 オセ</v>
      </c>
    </row>
    <row r="8" spans="1:2" x14ac:dyDescent="0.15">
      <c r="A8" s="27">
        <v>171</v>
      </c>
      <c r="B8" s="31" t="str">
        <f>VLOOKUP(A8,[1]characters!$A:$C,3,FALSE)</f>
        <v>精解の預知者 オセ</v>
      </c>
    </row>
    <row r="9" spans="1:2" x14ac:dyDescent="0.15">
      <c r="A9" s="27">
        <v>172</v>
      </c>
      <c r="B9" s="31" t="str">
        <f>VLOOKUP(A9,[1]characters!$A:$C,3,FALSE)</f>
        <v>フォルネウス</v>
      </c>
    </row>
    <row r="10" spans="1:2" x14ac:dyDescent="0.15">
      <c r="A10" s="27">
        <v>173</v>
      </c>
      <c r="B10" s="31" t="str">
        <f>VLOOKUP(A10,[1]characters!$A:$C,3,FALSE)</f>
        <v>公爵 フォルネウス</v>
      </c>
    </row>
    <row r="11" spans="1:2" x14ac:dyDescent="0.15">
      <c r="A11" s="27">
        <v>174</v>
      </c>
      <c r="B11" s="31" t="str">
        <f>VLOOKUP(A11,[1]characters!$A:$C,3,FALSE)</f>
        <v>偽愛の大公爵 フォルネウス</v>
      </c>
    </row>
    <row r="12" spans="1:2" x14ac:dyDescent="0.15">
      <c r="A12" s="27">
        <v>235</v>
      </c>
      <c r="B12" s="31" t="str">
        <f>VLOOKUP(A12,[1]characters!$A:$C,3,FALSE)</f>
        <v>イザナミ</v>
      </c>
    </row>
    <row r="13" spans="1:2" x14ac:dyDescent="0.15">
      <c r="A13" s="27">
        <v>236</v>
      </c>
      <c r="B13" s="31" t="str">
        <f>VLOOKUP(A13,[1]characters!$A:$C,3,FALSE)</f>
        <v>神産 イザナミ</v>
      </c>
    </row>
    <row r="14" spans="1:2" x14ac:dyDescent="0.15">
      <c r="A14" s="27">
        <v>237</v>
      </c>
      <c r="B14" s="31" t="str">
        <f>VLOOKUP(A14,[1]characters!$A:$C,3,FALSE)</f>
        <v>森羅万象の神母 イザナミ</v>
      </c>
    </row>
  </sheetData>
  <phoneticPr fontId="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確率の考え方</vt:lpstr>
      <vt:lpstr>Sheet1</vt:lpstr>
      <vt:lpstr>output</vt:lpstr>
      <vt:lpstr>input_503101</vt:lpstr>
      <vt:lpstr>tables_503101</vt:lpstr>
      <vt:lpstr>input_503103</vt:lpstr>
      <vt:lpstr>tables_503103</vt:lpstr>
      <vt:lpstr>input_503104</vt:lpstr>
      <vt:lpstr>tables_503104</vt:lpstr>
      <vt:lpstr>tables_settle_503104</vt:lpstr>
      <vt:lpstr>input_503105</vt:lpstr>
      <vt:lpstr>tables_503105</vt:lpstr>
      <vt:lpstr>input_503106</vt:lpstr>
      <vt:lpstr>tables_503106</vt:lpstr>
      <vt:lpstr>input_503100</vt:lpstr>
      <vt:lpstr>tables_503100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2017-01-05T12:35:27Z</dcterms:modified>
</cp:coreProperties>
</file>