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ukutani/Documents/BULL_data/master_excel/"/>
    </mc:Choice>
  </mc:AlternateContent>
  <bookViews>
    <workbookView xWindow="220" yWindow="460" windowWidth="21780" windowHeight="174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xlnm._FilterDatabase" localSheetId="3" hidden="1">enemy_habitat_S!$B$1:$Y$2</definedName>
    <definedName name="_xlnm._FilterDatabase" localSheetId="2" hidden="1">enemy_habitats!$B$1:$AL$2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4" i="1" l="1"/>
  <c r="X34" i="1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J55" i="11"/>
  <c r="A52" i="11"/>
  <c r="A53" i="11"/>
  <c r="A54" i="11"/>
  <c r="A55" i="11"/>
  <c r="O10" i="9"/>
  <c r="N10" i="9"/>
  <c r="M10" i="9"/>
  <c r="L10" i="9"/>
  <c r="K10" i="9"/>
  <c r="J10" i="9"/>
  <c r="I10" i="9"/>
  <c r="H10" i="9"/>
  <c r="G10" i="9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E10" i="9"/>
  <c r="D10" i="9"/>
  <c r="A10" i="9"/>
  <c r="J54" i="11"/>
  <c r="D9" i="9"/>
  <c r="E9" i="9"/>
  <c r="G9" i="9"/>
  <c r="H9" i="9"/>
  <c r="I9" i="9"/>
  <c r="J9" i="9"/>
  <c r="K9" i="9"/>
  <c r="L9" i="9"/>
  <c r="M9" i="9"/>
  <c r="N9" i="9"/>
  <c r="O9" i="9"/>
  <c r="A9" i="9"/>
  <c r="J53" i="11"/>
  <c r="O8" i="9"/>
  <c r="N8" i="9"/>
  <c r="M8" i="9"/>
  <c r="L8" i="9"/>
  <c r="K8" i="9"/>
  <c r="J8" i="9"/>
  <c r="I8" i="9"/>
  <c r="H8" i="9"/>
  <c r="G8" i="9"/>
  <c r="E8" i="9"/>
  <c r="D8" i="9"/>
  <c r="A8" i="9"/>
  <c r="J52" i="11"/>
  <c r="T35" i="1"/>
  <c r="T34" i="1"/>
  <c r="O7" i="9"/>
  <c r="N7" i="9"/>
  <c r="M7" i="9"/>
  <c r="L7" i="9"/>
  <c r="K7" i="9"/>
  <c r="J7" i="9"/>
  <c r="I7" i="9"/>
  <c r="H7" i="9"/>
  <c r="G7" i="9"/>
  <c r="E7" i="9"/>
  <c r="D7" i="9"/>
  <c r="A7" i="9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J22" i="11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G6" i="9"/>
  <c r="H6" i="9"/>
  <c r="I6" i="9"/>
  <c r="J6" i="9"/>
  <c r="K6" i="9"/>
  <c r="L6" i="9"/>
  <c r="M6" i="9"/>
  <c r="N6" i="9"/>
  <c r="J5" i="11"/>
  <c r="O6" i="9"/>
  <c r="J7" i="11"/>
  <c r="J8" i="11"/>
  <c r="J10" i="11"/>
  <c r="J12" i="11"/>
  <c r="J14" i="11"/>
  <c r="J15" i="11"/>
  <c r="J17" i="11"/>
  <c r="J18" i="11"/>
  <c r="J19" i="11"/>
  <c r="J20" i="11"/>
  <c r="J23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W14" i="7"/>
  <c r="W15" i="7"/>
  <c r="W16" i="7"/>
  <c r="H14" i="7"/>
  <c r="I14" i="7"/>
  <c r="J14" i="7"/>
  <c r="H15" i="7"/>
  <c r="I15" i="7"/>
  <c r="J15" i="7"/>
  <c r="H16" i="7"/>
  <c r="I16" i="7"/>
  <c r="J16" i="7"/>
  <c r="AF34" i="1"/>
  <c r="AH34" i="1"/>
  <c r="AF35" i="1"/>
  <c r="AH35" i="1"/>
  <c r="AF36" i="1"/>
  <c r="AH36" i="1"/>
  <c r="AF37" i="1"/>
  <c r="AH37" i="1"/>
  <c r="AF38" i="1"/>
  <c r="AH38" i="1"/>
  <c r="AF39" i="1"/>
  <c r="AH39" i="1"/>
  <c r="AF40" i="1"/>
  <c r="AH40" i="1"/>
  <c r="AG34" i="1"/>
  <c r="AG35" i="1"/>
  <c r="AG36" i="1"/>
  <c r="AG37" i="1"/>
  <c r="AG38" i="1"/>
  <c r="AG39" i="1"/>
  <c r="AG40" i="1"/>
  <c r="D34" i="1"/>
  <c r="F34" i="1"/>
  <c r="D35" i="1"/>
  <c r="F35" i="1"/>
  <c r="D36" i="1"/>
  <c r="F36" i="1"/>
  <c r="D37" i="1"/>
  <c r="F37" i="1"/>
  <c r="D38" i="1"/>
  <c r="F38" i="1"/>
  <c r="D39" i="1"/>
  <c r="F39" i="1"/>
  <c r="D40" i="1"/>
  <c r="F40" i="1"/>
  <c r="W34" i="1"/>
  <c r="V35" i="1"/>
  <c r="W35" i="1"/>
  <c r="X35" i="1"/>
  <c r="V36" i="1"/>
  <c r="W36" i="1"/>
  <c r="X36" i="1"/>
  <c r="V37" i="1"/>
  <c r="W37" i="1"/>
  <c r="X37" i="1"/>
  <c r="V38" i="1"/>
  <c r="W38" i="1"/>
  <c r="X38" i="1"/>
  <c r="V39" i="1"/>
  <c r="W39" i="1"/>
  <c r="X39" i="1"/>
  <c r="V40" i="1"/>
  <c r="W40" i="1"/>
  <c r="X40" i="1"/>
  <c r="J51" i="11"/>
  <c r="J50" i="11"/>
  <c r="J24" i="11"/>
  <c r="J21" i="11"/>
  <c r="J16" i="11"/>
  <c r="J13" i="11"/>
  <c r="J11" i="11"/>
  <c r="J9" i="11"/>
  <c r="J6" i="11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R16" i="7"/>
  <c r="Q16" i="7"/>
  <c r="P16" i="7"/>
  <c r="O16" i="7"/>
  <c r="N16" i="7"/>
  <c r="D16" i="7"/>
  <c r="F16" i="7"/>
  <c r="E16" i="7"/>
  <c r="A16" i="7"/>
  <c r="R15" i="7"/>
  <c r="Q15" i="7"/>
  <c r="P15" i="7"/>
  <c r="O15" i="7"/>
  <c r="N15" i="7"/>
  <c r="D15" i="7"/>
  <c r="F15" i="7"/>
  <c r="E15" i="7"/>
  <c r="A15" i="7"/>
  <c r="R14" i="7"/>
  <c r="Q14" i="7"/>
  <c r="P14" i="7"/>
  <c r="O14" i="7"/>
  <c r="N14" i="7"/>
  <c r="D14" i="7"/>
  <c r="F14" i="7"/>
  <c r="E14" i="7"/>
  <c r="A14" i="7"/>
  <c r="AK40" i="1"/>
  <c r="AI40" i="1"/>
  <c r="Z40" i="1"/>
  <c r="T40" i="1"/>
  <c r="Q40" i="1"/>
  <c r="P40" i="1"/>
  <c r="O40" i="1"/>
  <c r="N40" i="1"/>
  <c r="M40" i="1"/>
  <c r="H40" i="1"/>
  <c r="J40" i="1"/>
  <c r="I40" i="1"/>
  <c r="E40" i="1"/>
  <c r="A40" i="1"/>
  <c r="AK39" i="1"/>
  <c r="AI39" i="1"/>
  <c r="Z39" i="1"/>
  <c r="T39" i="1"/>
  <c r="Q39" i="1"/>
  <c r="P39" i="1"/>
  <c r="O39" i="1"/>
  <c r="N39" i="1"/>
  <c r="M39" i="1"/>
  <c r="H39" i="1"/>
  <c r="J39" i="1"/>
  <c r="I39" i="1"/>
  <c r="E39" i="1"/>
  <c r="A39" i="1"/>
  <c r="AK38" i="1"/>
  <c r="AI38" i="1"/>
  <c r="Z38" i="1"/>
  <c r="T38" i="1"/>
  <c r="Q38" i="1"/>
  <c r="P38" i="1"/>
  <c r="O38" i="1"/>
  <c r="N38" i="1"/>
  <c r="M38" i="1"/>
  <c r="H38" i="1"/>
  <c r="J38" i="1"/>
  <c r="I38" i="1"/>
  <c r="E38" i="1"/>
  <c r="A38" i="1"/>
  <c r="AK37" i="1"/>
  <c r="AI37" i="1"/>
  <c r="Z37" i="1"/>
  <c r="T37" i="1"/>
  <c r="Q37" i="1"/>
  <c r="P37" i="1"/>
  <c r="O37" i="1"/>
  <c r="N37" i="1"/>
  <c r="M37" i="1"/>
  <c r="H37" i="1"/>
  <c r="J37" i="1"/>
  <c r="I37" i="1"/>
  <c r="E37" i="1"/>
  <c r="A37" i="1"/>
  <c r="AK36" i="1"/>
  <c r="AI36" i="1"/>
  <c r="Z36" i="1"/>
  <c r="T36" i="1"/>
  <c r="Q36" i="1"/>
  <c r="P36" i="1"/>
  <c r="O36" i="1"/>
  <c r="N36" i="1"/>
  <c r="M36" i="1"/>
  <c r="H36" i="1"/>
  <c r="J36" i="1"/>
  <c r="I36" i="1"/>
  <c r="E36" i="1"/>
  <c r="A36" i="1"/>
  <c r="AK35" i="1"/>
  <c r="AI35" i="1"/>
  <c r="Z35" i="1"/>
  <c r="Q35" i="1"/>
  <c r="P35" i="1"/>
  <c r="O35" i="1"/>
  <c r="N35" i="1"/>
  <c r="M35" i="1"/>
  <c r="H35" i="1"/>
  <c r="J35" i="1"/>
  <c r="I35" i="1"/>
  <c r="E35" i="1"/>
  <c r="A35" i="1"/>
  <c r="AK34" i="1"/>
  <c r="AI34" i="1"/>
  <c r="Z34" i="1"/>
  <c r="Q34" i="1"/>
  <c r="P34" i="1"/>
  <c r="O34" i="1"/>
  <c r="N34" i="1"/>
  <c r="M34" i="1"/>
  <c r="H34" i="1"/>
  <c r="J34" i="1"/>
  <c r="I34" i="1"/>
  <c r="E34" i="1"/>
  <c r="A34" i="1"/>
  <c r="G21" i="2"/>
  <c r="H21" i="2"/>
  <c r="E21" i="2"/>
  <c r="D21" i="2"/>
  <c r="A21" i="2"/>
  <c r="B21" i="2"/>
  <c r="G20" i="2"/>
  <c r="H20" i="2"/>
  <c r="E20" i="2"/>
  <c r="D20" i="2"/>
  <c r="A20" i="2"/>
  <c r="B20" i="2"/>
  <c r="G19" i="2"/>
  <c r="H19" i="2"/>
  <c r="E19" i="2"/>
  <c r="D19" i="2"/>
  <c r="A19" i="2"/>
  <c r="B19" i="2"/>
  <c r="G18" i="2"/>
  <c r="H18" i="2"/>
  <c r="E18" i="2"/>
  <c r="D18" i="2"/>
  <c r="A18" i="2"/>
  <c r="B18" i="2"/>
  <c r="D5" i="9"/>
  <c r="E13" i="16"/>
  <c r="N3" i="22"/>
  <c r="G3" i="22"/>
  <c r="F3" i="22"/>
  <c r="D3" i="22"/>
  <c r="C3" i="22"/>
  <c r="A3" i="22"/>
  <c r="N2" i="22"/>
  <c r="G2" i="22"/>
  <c r="F2" i="22"/>
  <c r="D2" i="22"/>
  <c r="C2" i="22"/>
  <c r="A2" i="22"/>
  <c r="V3" i="1"/>
  <c r="X3" i="1"/>
  <c r="V4" i="1"/>
  <c r="X4" i="1"/>
  <c r="V5" i="1"/>
  <c r="X5" i="1"/>
  <c r="V6" i="1"/>
  <c r="X6" i="1"/>
  <c r="V7" i="1"/>
  <c r="X7" i="1"/>
  <c r="V8" i="1"/>
  <c r="X8" i="1"/>
  <c r="V9" i="1"/>
  <c r="X9" i="1"/>
  <c r="V10" i="1"/>
  <c r="X10" i="1"/>
  <c r="V11" i="1"/>
  <c r="X11" i="1"/>
  <c r="V12" i="1"/>
  <c r="X12" i="1"/>
  <c r="V13" i="1"/>
  <c r="X13" i="1"/>
  <c r="V14" i="1"/>
  <c r="X14" i="1"/>
  <c r="V15" i="1"/>
  <c r="X15" i="1"/>
  <c r="V16" i="1"/>
  <c r="X16" i="1"/>
  <c r="V17" i="1"/>
  <c r="X17" i="1"/>
  <c r="V18" i="1"/>
  <c r="X18" i="1"/>
  <c r="V19" i="1"/>
  <c r="X19" i="1"/>
  <c r="V20" i="1"/>
  <c r="X20" i="1"/>
  <c r="V21" i="1"/>
  <c r="X21" i="1"/>
  <c r="V22" i="1"/>
  <c r="X22" i="1"/>
  <c r="V23" i="1"/>
  <c r="X23" i="1"/>
  <c r="V24" i="1"/>
  <c r="X24" i="1"/>
  <c r="V25" i="1"/>
  <c r="X25" i="1"/>
  <c r="V26" i="1"/>
  <c r="X26" i="1"/>
  <c r="V27" i="1"/>
  <c r="X27" i="1"/>
  <c r="V28" i="1"/>
  <c r="X28" i="1"/>
  <c r="V29" i="1"/>
  <c r="X29" i="1"/>
  <c r="V30" i="1"/>
  <c r="X30" i="1"/>
  <c r="V31" i="1"/>
  <c r="X31" i="1"/>
  <c r="V32" i="1"/>
  <c r="X32" i="1"/>
  <c r="V33" i="1"/>
  <c r="X33" i="1"/>
  <c r="V2" i="1"/>
  <c r="X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2" i="1"/>
  <c r="T33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2" i="1"/>
  <c r="G8" i="10"/>
  <c r="H8" i="10"/>
  <c r="I8" i="10"/>
  <c r="J8" i="10"/>
  <c r="K8" i="10"/>
  <c r="M8" i="10"/>
  <c r="N8" i="10"/>
  <c r="O8" i="10"/>
  <c r="P8" i="10"/>
  <c r="Q8" i="10"/>
  <c r="R8" i="10"/>
  <c r="T8" i="10"/>
  <c r="U8" i="10"/>
  <c r="V8" i="10"/>
  <c r="W8" i="10"/>
  <c r="X8" i="10"/>
  <c r="G9" i="10"/>
  <c r="H9" i="10"/>
  <c r="I9" i="10"/>
  <c r="J9" i="10"/>
  <c r="K9" i="10"/>
  <c r="M9" i="10"/>
  <c r="N9" i="10"/>
  <c r="O9" i="10"/>
  <c r="P9" i="10"/>
  <c r="Q9" i="10"/>
  <c r="R9" i="10"/>
  <c r="T9" i="10"/>
  <c r="U9" i="10"/>
  <c r="V9" i="10"/>
  <c r="W9" i="10"/>
  <c r="X9" i="10"/>
  <c r="G10" i="10"/>
  <c r="H10" i="10"/>
  <c r="I10" i="10"/>
  <c r="J10" i="10"/>
  <c r="K10" i="10"/>
  <c r="M10" i="10"/>
  <c r="N10" i="10"/>
  <c r="O10" i="10"/>
  <c r="P10" i="10"/>
  <c r="Q10" i="10"/>
  <c r="R10" i="10"/>
  <c r="T10" i="10"/>
  <c r="U10" i="10"/>
  <c r="V10" i="10"/>
  <c r="W10" i="10"/>
  <c r="X10" i="10"/>
  <c r="G11" i="10"/>
  <c r="H11" i="10"/>
  <c r="I11" i="10"/>
  <c r="J11" i="10"/>
  <c r="K11" i="10"/>
  <c r="M11" i="10"/>
  <c r="N11" i="10"/>
  <c r="O11" i="10"/>
  <c r="P11" i="10"/>
  <c r="Q11" i="10"/>
  <c r="R11" i="10"/>
  <c r="T11" i="10"/>
  <c r="U11" i="10"/>
  <c r="V11" i="10"/>
  <c r="W11" i="10"/>
  <c r="X11" i="10"/>
  <c r="G12" i="10"/>
  <c r="H12" i="10"/>
  <c r="I12" i="10"/>
  <c r="J12" i="10"/>
  <c r="K12" i="10"/>
  <c r="M12" i="10"/>
  <c r="N12" i="10"/>
  <c r="O12" i="10"/>
  <c r="P12" i="10"/>
  <c r="Q12" i="10"/>
  <c r="R12" i="10"/>
  <c r="T12" i="10"/>
  <c r="U12" i="10"/>
  <c r="V12" i="10"/>
  <c r="W12" i="10"/>
  <c r="X12" i="10"/>
  <c r="G13" i="10"/>
  <c r="H13" i="10"/>
  <c r="I13" i="10"/>
  <c r="J13" i="10"/>
  <c r="K13" i="10"/>
  <c r="M13" i="10"/>
  <c r="N13" i="10"/>
  <c r="O13" i="10"/>
  <c r="P13" i="10"/>
  <c r="Q13" i="10"/>
  <c r="R13" i="10"/>
  <c r="T13" i="10"/>
  <c r="U13" i="10"/>
  <c r="V13" i="10"/>
  <c r="W13" i="10"/>
  <c r="X13" i="10"/>
  <c r="G14" i="10"/>
  <c r="H14" i="10"/>
  <c r="I14" i="10"/>
  <c r="J14" i="10"/>
  <c r="K14" i="10"/>
  <c r="M14" i="10"/>
  <c r="N14" i="10"/>
  <c r="O14" i="10"/>
  <c r="P14" i="10"/>
  <c r="Q14" i="10"/>
  <c r="R14" i="10"/>
  <c r="T14" i="10"/>
  <c r="U14" i="10"/>
  <c r="V14" i="10"/>
  <c r="W14" i="10"/>
  <c r="X14" i="10"/>
  <c r="G15" i="10"/>
  <c r="H15" i="10"/>
  <c r="I15" i="10"/>
  <c r="J15" i="10"/>
  <c r="K15" i="10"/>
  <c r="M15" i="10"/>
  <c r="N15" i="10"/>
  <c r="O15" i="10"/>
  <c r="P15" i="10"/>
  <c r="Q15" i="10"/>
  <c r="R15" i="10"/>
  <c r="T15" i="10"/>
  <c r="U15" i="10"/>
  <c r="V15" i="10"/>
  <c r="W15" i="10"/>
  <c r="X15" i="10"/>
  <c r="G16" i="10"/>
  <c r="H16" i="10"/>
  <c r="I16" i="10"/>
  <c r="J16" i="10"/>
  <c r="K16" i="10"/>
  <c r="M16" i="10"/>
  <c r="N16" i="10"/>
  <c r="O16" i="10"/>
  <c r="P16" i="10"/>
  <c r="Q16" i="10"/>
  <c r="R16" i="10"/>
  <c r="T16" i="10"/>
  <c r="U16" i="10"/>
  <c r="V16" i="10"/>
  <c r="W16" i="10"/>
  <c r="X16" i="10"/>
  <c r="G17" i="10"/>
  <c r="H17" i="10"/>
  <c r="I17" i="10"/>
  <c r="J17" i="10"/>
  <c r="K17" i="10"/>
  <c r="M17" i="10"/>
  <c r="N17" i="10"/>
  <c r="O17" i="10"/>
  <c r="P17" i="10"/>
  <c r="Q17" i="10"/>
  <c r="R17" i="10"/>
  <c r="T17" i="10"/>
  <c r="U17" i="10"/>
  <c r="V17" i="10"/>
  <c r="W17" i="10"/>
  <c r="X17" i="10"/>
  <c r="G18" i="10"/>
  <c r="H18" i="10"/>
  <c r="I18" i="10"/>
  <c r="J18" i="10"/>
  <c r="K18" i="10"/>
  <c r="M18" i="10"/>
  <c r="N18" i="10"/>
  <c r="O18" i="10"/>
  <c r="P18" i="10"/>
  <c r="Q18" i="10"/>
  <c r="R18" i="10"/>
  <c r="T18" i="10"/>
  <c r="U18" i="10"/>
  <c r="V18" i="10"/>
  <c r="W18" i="10"/>
  <c r="X18" i="10"/>
  <c r="G19" i="10"/>
  <c r="H19" i="10"/>
  <c r="I19" i="10"/>
  <c r="J19" i="10"/>
  <c r="K19" i="10"/>
  <c r="M19" i="10"/>
  <c r="N19" i="10"/>
  <c r="O19" i="10"/>
  <c r="P19" i="10"/>
  <c r="Q19" i="10"/>
  <c r="R19" i="10"/>
  <c r="T19" i="10"/>
  <c r="U19" i="10"/>
  <c r="V19" i="10"/>
  <c r="W19" i="10"/>
  <c r="X19" i="10"/>
  <c r="G20" i="10"/>
  <c r="H20" i="10"/>
  <c r="I20" i="10"/>
  <c r="J20" i="10"/>
  <c r="K20" i="10"/>
  <c r="M20" i="10"/>
  <c r="N20" i="10"/>
  <c r="O20" i="10"/>
  <c r="P20" i="10"/>
  <c r="Q20" i="10"/>
  <c r="R20" i="10"/>
  <c r="T20" i="10"/>
  <c r="U20" i="10"/>
  <c r="V20" i="10"/>
  <c r="W20" i="10"/>
  <c r="X20" i="10"/>
  <c r="G21" i="10"/>
  <c r="H21" i="10"/>
  <c r="I21" i="10"/>
  <c r="J21" i="10"/>
  <c r="K21" i="10"/>
  <c r="M21" i="10"/>
  <c r="N21" i="10"/>
  <c r="O21" i="10"/>
  <c r="P21" i="10"/>
  <c r="Q21" i="10"/>
  <c r="R21" i="10"/>
  <c r="T21" i="10"/>
  <c r="U21" i="10"/>
  <c r="V21" i="10"/>
  <c r="W21" i="10"/>
  <c r="X21" i="10"/>
  <c r="M7" i="10"/>
  <c r="T7" i="10"/>
  <c r="V7" i="10"/>
  <c r="X7" i="10"/>
  <c r="W7" i="10"/>
  <c r="U7" i="10"/>
  <c r="N7" i="10"/>
  <c r="P7" i="10"/>
  <c r="R7" i="10"/>
  <c r="Q7" i="10"/>
  <c r="O7" i="10"/>
  <c r="G7" i="10"/>
  <c r="I7" i="10"/>
  <c r="K7" i="10"/>
  <c r="J7" i="10"/>
  <c r="H7" i="10"/>
  <c r="D6" i="9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E6" i="9"/>
  <c r="A6" i="9"/>
  <c r="A4" i="9"/>
  <c r="D4" i="9"/>
  <c r="E4" i="9"/>
  <c r="G4" i="9"/>
  <c r="H4" i="9"/>
  <c r="I4" i="9"/>
  <c r="J4" i="9"/>
  <c r="K4" i="9"/>
  <c r="L4" i="9"/>
  <c r="M4" i="9"/>
  <c r="N4" i="9"/>
  <c r="J4" i="11"/>
  <c r="O4" i="9"/>
  <c r="A5" i="9"/>
  <c r="E5" i="9"/>
  <c r="G5" i="9"/>
  <c r="H5" i="9"/>
  <c r="I5" i="9"/>
  <c r="J5" i="9"/>
  <c r="K5" i="9"/>
  <c r="L5" i="9"/>
  <c r="M5" i="9"/>
  <c r="N5" i="9"/>
  <c r="O5" i="9"/>
  <c r="A3" i="9"/>
  <c r="D3" i="9"/>
  <c r="E3" i="9"/>
  <c r="G3" i="9"/>
  <c r="H3" i="9"/>
  <c r="I3" i="9"/>
  <c r="J3" i="9"/>
  <c r="K3" i="9"/>
  <c r="L3" i="9"/>
  <c r="M3" i="9"/>
  <c r="N3" i="9"/>
  <c r="J3" i="11"/>
  <c r="O3" i="9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13" i="7"/>
  <c r="R13" i="7"/>
  <c r="Q13" i="7"/>
  <c r="P13" i="7"/>
  <c r="O13" i="7"/>
  <c r="N13" i="7"/>
  <c r="H13" i="7"/>
  <c r="J13" i="7"/>
  <c r="I13" i="7"/>
  <c r="D13" i="7"/>
  <c r="F13" i="7"/>
  <c r="E13" i="7"/>
  <c r="A13" i="7"/>
  <c r="W12" i="7"/>
  <c r="R12" i="7"/>
  <c r="Q12" i="7"/>
  <c r="P12" i="7"/>
  <c r="O12" i="7"/>
  <c r="N12" i="7"/>
  <c r="H12" i="7"/>
  <c r="J12" i="7"/>
  <c r="I12" i="7"/>
  <c r="D12" i="7"/>
  <c r="F12" i="7"/>
  <c r="E12" i="7"/>
  <c r="A12" i="7"/>
  <c r="W11" i="7"/>
  <c r="R11" i="7"/>
  <c r="Q11" i="7"/>
  <c r="P11" i="7"/>
  <c r="O11" i="7"/>
  <c r="N11" i="7"/>
  <c r="H11" i="7"/>
  <c r="J11" i="7"/>
  <c r="I11" i="7"/>
  <c r="D11" i="7"/>
  <c r="F11" i="7"/>
  <c r="E11" i="7"/>
  <c r="A11" i="7"/>
  <c r="W10" i="7"/>
  <c r="R10" i="7"/>
  <c r="Q10" i="7"/>
  <c r="P10" i="7"/>
  <c r="O10" i="7"/>
  <c r="N10" i="7"/>
  <c r="H10" i="7"/>
  <c r="J10" i="7"/>
  <c r="I10" i="7"/>
  <c r="D10" i="7"/>
  <c r="F10" i="7"/>
  <c r="E10" i="7"/>
  <c r="A10" i="7"/>
  <c r="W9" i="7"/>
  <c r="R9" i="7"/>
  <c r="Q9" i="7"/>
  <c r="P9" i="7"/>
  <c r="O9" i="7"/>
  <c r="N9" i="7"/>
  <c r="H9" i="7"/>
  <c r="J9" i="7"/>
  <c r="I9" i="7"/>
  <c r="D9" i="7"/>
  <c r="F9" i="7"/>
  <c r="E9" i="7"/>
  <c r="A9" i="7"/>
  <c r="W8" i="7"/>
  <c r="R8" i="7"/>
  <c r="Q8" i="7"/>
  <c r="P8" i="7"/>
  <c r="O8" i="7"/>
  <c r="N8" i="7"/>
  <c r="H8" i="7"/>
  <c r="J8" i="7"/>
  <c r="I8" i="7"/>
  <c r="D8" i="7"/>
  <c r="F8" i="7"/>
  <c r="E8" i="7"/>
  <c r="A8" i="7"/>
  <c r="W7" i="7"/>
  <c r="R7" i="7"/>
  <c r="Q7" i="7"/>
  <c r="P7" i="7"/>
  <c r="O7" i="7"/>
  <c r="N7" i="7"/>
  <c r="H7" i="7"/>
  <c r="J7" i="7"/>
  <c r="I7" i="7"/>
  <c r="D7" i="7"/>
  <c r="F7" i="7"/>
  <c r="E7" i="7"/>
  <c r="A7" i="7"/>
  <c r="W6" i="7"/>
  <c r="R6" i="7"/>
  <c r="Q6" i="7"/>
  <c r="P6" i="7"/>
  <c r="O6" i="7"/>
  <c r="N6" i="7"/>
  <c r="H6" i="7"/>
  <c r="J6" i="7"/>
  <c r="I6" i="7"/>
  <c r="D6" i="7"/>
  <c r="F6" i="7"/>
  <c r="E6" i="7"/>
  <c r="A6" i="7"/>
  <c r="W5" i="7"/>
  <c r="R5" i="7"/>
  <c r="Q5" i="7"/>
  <c r="P5" i="7"/>
  <c r="O5" i="7"/>
  <c r="N5" i="7"/>
  <c r="H5" i="7"/>
  <c r="J5" i="7"/>
  <c r="I5" i="7"/>
  <c r="D5" i="7"/>
  <c r="F5" i="7"/>
  <c r="E5" i="7"/>
  <c r="A5" i="7"/>
  <c r="AH33" i="1"/>
  <c r="AK33" i="1"/>
  <c r="AI33" i="1"/>
  <c r="AG33" i="1"/>
  <c r="Z33" i="1"/>
  <c r="Q33" i="1"/>
  <c r="P33" i="1"/>
  <c r="O33" i="1"/>
  <c r="N33" i="1"/>
  <c r="M33" i="1"/>
  <c r="H33" i="1"/>
  <c r="J33" i="1"/>
  <c r="I33" i="1"/>
  <c r="D33" i="1"/>
  <c r="F33" i="1"/>
  <c r="E33" i="1"/>
  <c r="A33" i="1"/>
  <c r="AF32" i="1"/>
  <c r="AH32" i="1"/>
  <c r="AK32" i="1"/>
  <c r="AI32" i="1"/>
  <c r="AG32" i="1"/>
  <c r="Z32" i="1"/>
  <c r="Q32" i="1"/>
  <c r="P32" i="1"/>
  <c r="O32" i="1"/>
  <c r="N32" i="1"/>
  <c r="M32" i="1"/>
  <c r="H32" i="1"/>
  <c r="J32" i="1"/>
  <c r="I32" i="1"/>
  <c r="D32" i="1"/>
  <c r="F32" i="1"/>
  <c r="E32" i="1"/>
  <c r="A32" i="1"/>
  <c r="AF31" i="1"/>
  <c r="AH31" i="1"/>
  <c r="AK31" i="1"/>
  <c r="AI31" i="1"/>
  <c r="AG31" i="1"/>
  <c r="Z31" i="1"/>
  <c r="Q31" i="1"/>
  <c r="P31" i="1"/>
  <c r="O31" i="1"/>
  <c r="N31" i="1"/>
  <c r="M31" i="1"/>
  <c r="H31" i="1"/>
  <c r="J31" i="1"/>
  <c r="I31" i="1"/>
  <c r="D31" i="1"/>
  <c r="F31" i="1"/>
  <c r="E31" i="1"/>
  <c r="A31" i="1"/>
  <c r="AF30" i="1"/>
  <c r="AH30" i="1"/>
  <c r="AK30" i="1"/>
  <c r="AI30" i="1"/>
  <c r="AG30" i="1"/>
  <c r="Z30" i="1"/>
  <c r="Q30" i="1"/>
  <c r="P30" i="1"/>
  <c r="O30" i="1"/>
  <c r="N30" i="1"/>
  <c r="M30" i="1"/>
  <c r="H30" i="1"/>
  <c r="J30" i="1"/>
  <c r="I30" i="1"/>
  <c r="D30" i="1"/>
  <c r="F30" i="1"/>
  <c r="E30" i="1"/>
  <c r="A30" i="1"/>
  <c r="AF29" i="1"/>
  <c r="AH29" i="1"/>
  <c r="AK29" i="1"/>
  <c r="AI29" i="1"/>
  <c r="AG29" i="1"/>
  <c r="Z29" i="1"/>
  <c r="Q29" i="1"/>
  <c r="P29" i="1"/>
  <c r="O29" i="1"/>
  <c r="N29" i="1"/>
  <c r="M29" i="1"/>
  <c r="H29" i="1"/>
  <c r="J29" i="1"/>
  <c r="I29" i="1"/>
  <c r="D29" i="1"/>
  <c r="F29" i="1"/>
  <c r="E29" i="1"/>
  <c r="A29" i="1"/>
  <c r="AF28" i="1"/>
  <c r="AH28" i="1"/>
  <c r="AK28" i="1"/>
  <c r="AI28" i="1"/>
  <c r="AG28" i="1"/>
  <c r="Z28" i="1"/>
  <c r="Q28" i="1"/>
  <c r="P28" i="1"/>
  <c r="O28" i="1"/>
  <c r="N28" i="1"/>
  <c r="M28" i="1"/>
  <c r="H28" i="1"/>
  <c r="J28" i="1"/>
  <c r="I28" i="1"/>
  <c r="D28" i="1"/>
  <c r="F28" i="1"/>
  <c r="E28" i="1"/>
  <c r="A28" i="1"/>
  <c r="AF27" i="1"/>
  <c r="AH27" i="1"/>
  <c r="AK27" i="1"/>
  <c r="AI27" i="1"/>
  <c r="AG27" i="1"/>
  <c r="Z27" i="1"/>
  <c r="Q27" i="1"/>
  <c r="P27" i="1"/>
  <c r="O27" i="1"/>
  <c r="N27" i="1"/>
  <c r="M27" i="1"/>
  <c r="H27" i="1"/>
  <c r="J27" i="1"/>
  <c r="I27" i="1"/>
  <c r="D27" i="1"/>
  <c r="F27" i="1"/>
  <c r="E27" i="1"/>
  <c r="A27" i="1"/>
  <c r="AF26" i="1"/>
  <c r="AH26" i="1"/>
  <c r="AK26" i="1"/>
  <c r="AI26" i="1"/>
  <c r="AG26" i="1"/>
  <c r="Z26" i="1"/>
  <c r="Q26" i="1"/>
  <c r="P26" i="1"/>
  <c r="O26" i="1"/>
  <c r="N26" i="1"/>
  <c r="M26" i="1"/>
  <c r="H26" i="1"/>
  <c r="J26" i="1"/>
  <c r="I26" i="1"/>
  <c r="D26" i="1"/>
  <c r="F26" i="1"/>
  <c r="E26" i="1"/>
  <c r="A26" i="1"/>
  <c r="AH25" i="1"/>
  <c r="AK25" i="1"/>
  <c r="AI25" i="1"/>
  <c r="AG25" i="1"/>
  <c r="Z25" i="1"/>
  <c r="Q25" i="1"/>
  <c r="P25" i="1"/>
  <c r="O25" i="1"/>
  <c r="N25" i="1"/>
  <c r="M25" i="1"/>
  <c r="H25" i="1"/>
  <c r="J25" i="1"/>
  <c r="I25" i="1"/>
  <c r="D25" i="1"/>
  <c r="F25" i="1"/>
  <c r="E25" i="1"/>
  <c r="A25" i="1"/>
  <c r="AF24" i="1"/>
  <c r="AH24" i="1"/>
  <c r="AK24" i="1"/>
  <c r="AI24" i="1"/>
  <c r="AG24" i="1"/>
  <c r="Z24" i="1"/>
  <c r="Q24" i="1"/>
  <c r="P24" i="1"/>
  <c r="O24" i="1"/>
  <c r="N24" i="1"/>
  <c r="M24" i="1"/>
  <c r="H24" i="1"/>
  <c r="J24" i="1"/>
  <c r="I24" i="1"/>
  <c r="D24" i="1"/>
  <c r="F24" i="1"/>
  <c r="E24" i="1"/>
  <c r="A24" i="1"/>
  <c r="AF23" i="1"/>
  <c r="AH23" i="1"/>
  <c r="AK23" i="1"/>
  <c r="AI23" i="1"/>
  <c r="AG23" i="1"/>
  <c r="Z23" i="1"/>
  <c r="Q23" i="1"/>
  <c r="P23" i="1"/>
  <c r="O23" i="1"/>
  <c r="N23" i="1"/>
  <c r="M23" i="1"/>
  <c r="H23" i="1"/>
  <c r="J23" i="1"/>
  <c r="I23" i="1"/>
  <c r="D23" i="1"/>
  <c r="F23" i="1"/>
  <c r="E23" i="1"/>
  <c r="A23" i="1"/>
  <c r="AF22" i="1"/>
  <c r="AH22" i="1"/>
  <c r="AK22" i="1"/>
  <c r="AI22" i="1"/>
  <c r="AG22" i="1"/>
  <c r="Z22" i="1"/>
  <c r="Q22" i="1"/>
  <c r="P22" i="1"/>
  <c r="O22" i="1"/>
  <c r="N22" i="1"/>
  <c r="M22" i="1"/>
  <c r="H22" i="1"/>
  <c r="J22" i="1"/>
  <c r="I22" i="1"/>
  <c r="D22" i="1"/>
  <c r="F22" i="1"/>
  <c r="E22" i="1"/>
  <c r="A22" i="1"/>
  <c r="AF21" i="1"/>
  <c r="AH21" i="1"/>
  <c r="AK21" i="1"/>
  <c r="AI21" i="1"/>
  <c r="AG21" i="1"/>
  <c r="Z21" i="1"/>
  <c r="Q21" i="1"/>
  <c r="P21" i="1"/>
  <c r="O21" i="1"/>
  <c r="N21" i="1"/>
  <c r="M21" i="1"/>
  <c r="H21" i="1"/>
  <c r="J21" i="1"/>
  <c r="I21" i="1"/>
  <c r="D21" i="1"/>
  <c r="F21" i="1"/>
  <c r="E21" i="1"/>
  <c r="A21" i="1"/>
  <c r="AF20" i="1"/>
  <c r="AH20" i="1"/>
  <c r="AK20" i="1"/>
  <c r="AI20" i="1"/>
  <c r="AG20" i="1"/>
  <c r="Z20" i="1"/>
  <c r="Q20" i="1"/>
  <c r="P20" i="1"/>
  <c r="O20" i="1"/>
  <c r="N20" i="1"/>
  <c r="M20" i="1"/>
  <c r="H20" i="1"/>
  <c r="J20" i="1"/>
  <c r="I20" i="1"/>
  <c r="D20" i="1"/>
  <c r="F20" i="1"/>
  <c r="E20" i="1"/>
  <c r="A20" i="1"/>
  <c r="AF19" i="1"/>
  <c r="AH19" i="1"/>
  <c r="AK19" i="1"/>
  <c r="AI19" i="1"/>
  <c r="AG19" i="1"/>
  <c r="Z19" i="1"/>
  <c r="Q19" i="1"/>
  <c r="P19" i="1"/>
  <c r="O19" i="1"/>
  <c r="N19" i="1"/>
  <c r="M19" i="1"/>
  <c r="H19" i="1"/>
  <c r="J19" i="1"/>
  <c r="I19" i="1"/>
  <c r="D19" i="1"/>
  <c r="F19" i="1"/>
  <c r="E19" i="1"/>
  <c r="A19" i="1"/>
  <c r="AF18" i="1"/>
  <c r="AH18" i="1"/>
  <c r="AK18" i="1"/>
  <c r="AI18" i="1"/>
  <c r="AG18" i="1"/>
  <c r="Z18" i="1"/>
  <c r="Q18" i="1"/>
  <c r="P18" i="1"/>
  <c r="O18" i="1"/>
  <c r="N18" i="1"/>
  <c r="M18" i="1"/>
  <c r="H18" i="1"/>
  <c r="J18" i="1"/>
  <c r="I18" i="1"/>
  <c r="D18" i="1"/>
  <c r="F18" i="1"/>
  <c r="E18" i="1"/>
  <c r="A18" i="1"/>
  <c r="AH17" i="1"/>
  <c r="AK17" i="1"/>
  <c r="AI17" i="1"/>
  <c r="AG17" i="1"/>
  <c r="Z17" i="1"/>
  <c r="Q17" i="1"/>
  <c r="P17" i="1"/>
  <c r="O17" i="1"/>
  <c r="N17" i="1"/>
  <c r="M17" i="1"/>
  <c r="H17" i="1"/>
  <c r="J17" i="1"/>
  <c r="I17" i="1"/>
  <c r="D17" i="1"/>
  <c r="F17" i="1"/>
  <c r="E17" i="1"/>
  <c r="A17" i="1"/>
  <c r="AF16" i="1"/>
  <c r="AH16" i="1"/>
  <c r="AK16" i="1"/>
  <c r="AI16" i="1"/>
  <c r="AG16" i="1"/>
  <c r="Z16" i="1"/>
  <c r="Q16" i="1"/>
  <c r="P16" i="1"/>
  <c r="O16" i="1"/>
  <c r="N16" i="1"/>
  <c r="M16" i="1"/>
  <c r="H16" i="1"/>
  <c r="J16" i="1"/>
  <c r="I16" i="1"/>
  <c r="D16" i="1"/>
  <c r="F16" i="1"/>
  <c r="E16" i="1"/>
  <c r="A16" i="1"/>
  <c r="AF15" i="1"/>
  <c r="AH15" i="1"/>
  <c r="AK15" i="1"/>
  <c r="AI15" i="1"/>
  <c r="AG15" i="1"/>
  <c r="Z15" i="1"/>
  <c r="Q15" i="1"/>
  <c r="P15" i="1"/>
  <c r="O15" i="1"/>
  <c r="N15" i="1"/>
  <c r="M15" i="1"/>
  <c r="H15" i="1"/>
  <c r="J15" i="1"/>
  <c r="I15" i="1"/>
  <c r="D15" i="1"/>
  <c r="F15" i="1"/>
  <c r="E15" i="1"/>
  <c r="A15" i="1"/>
  <c r="AF14" i="1"/>
  <c r="AH14" i="1"/>
  <c r="AK14" i="1"/>
  <c r="AI14" i="1"/>
  <c r="AG14" i="1"/>
  <c r="Z14" i="1"/>
  <c r="Q14" i="1"/>
  <c r="P14" i="1"/>
  <c r="O14" i="1"/>
  <c r="N14" i="1"/>
  <c r="M14" i="1"/>
  <c r="H14" i="1"/>
  <c r="J14" i="1"/>
  <c r="I14" i="1"/>
  <c r="D14" i="1"/>
  <c r="F14" i="1"/>
  <c r="E14" i="1"/>
  <c r="A14" i="1"/>
  <c r="AF13" i="1"/>
  <c r="AH13" i="1"/>
  <c r="AK13" i="1"/>
  <c r="AI13" i="1"/>
  <c r="AG13" i="1"/>
  <c r="Z13" i="1"/>
  <c r="Q13" i="1"/>
  <c r="P13" i="1"/>
  <c r="O13" i="1"/>
  <c r="N13" i="1"/>
  <c r="M13" i="1"/>
  <c r="H13" i="1"/>
  <c r="J13" i="1"/>
  <c r="I13" i="1"/>
  <c r="D13" i="1"/>
  <c r="F13" i="1"/>
  <c r="E13" i="1"/>
  <c r="A13" i="1"/>
  <c r="AF12" i="1"/>
  <c r="AH12" i="1"/>
  <c r="AK12" i="1"/>
  <c r="AI12" i="1"/>
  <c r="AG12" i="1"/>
  <c r="Z12" i="1"/>
  <c r="Q12" i="1"/>
  <c r="P12" i="1"/>
  <c r="O12" i="1"/>
  <c r="N12" i="1"/>
  <c r="M12" i="1"/>
  <c r="H12" i="1"/>
  <c r="J12" i="1"/>
  <c r="I12" i="1"/>
  <c r="D12" i="1"/>
  <c r="F12" i="1"/>
  <c r="E12" i="1"/>
  <c r="A12" i="1"/>
  <c r="AF11" i="1"/>
  <c r="AH11" i="1"/>
  <c r="AK11" i="1"/>
  <c r="AI11" i="1"/>
  <c r="AG11" i="1"/>
  <c r="Z11" i="1"/>
  <c r="Q11" i="1"/>
  <c r="P11" i="1"/>
  <c r="O11" i="1"/>
  <c r="N11" i="1"/>
  <c r="M11" i="1"/>
  <c r="H11" i="1"/>
  <c r="J11" i="1"/>
  <c r="I11" i="1"/>
  <c r="D11" i="1"/>
  <c r="F11" i="1"/>
  <c r="E11" i="1"/>
  <c r="A11" i="1"/>
  <c r="AF10" i="1"/>
  <c r="AH10" i="1"/>
  <c r="AK10" i="1"/>
  <c r="AI10" i="1"/>
  <c r="AG10" i="1"/>
  <c r="Z10" i="1"/>
  <c r="Q10" i="1"/>
  <c r="P10" i="1"/>
  <c r="O10" i="1"/>
  <c r="N10" i="1"/>
  <c r="M10" i="1"/>
  <c r="H10" i="1"/>
  <c r="J10" i="1"/>
  <c r="I10" i="1"/>
  <c r="D10" i="1"/>
  <c r="F10" i="1"/>
  <c r="E10" i="1"/>
  <c r="A10" i="1"/>
  <c r="H2" i="1"/>
  <c r="H3" i="1"/>
  <c r="H4" i="1"/>
  <c r="H5" i="1"/>
  <c r="H6" i="1"/>
  <c r="H7" i="1"/>
  <c r="H8" i="1"/>
  <c r="H9" i="1"/>
  <c r="G17" i="2"/>
  <c r="H17" i="2"/>
  <c r="E17" i="2"/>
  <c r="D17" i="2"/>
  <c r="A17" i="2"/>
  <c r="B17" i="2"/>
  <c r="G16" i="2"/>
  <c r="H16" i="2"/>
  <c r="E16" i="2"/>
  <c r="D16" i="2"/>
  <c r="A16" i="2"/>
  <c r="B16" i="2"/>
  <c r="G15" i="2"/>
  <c r="H15" i="2"/>
  <c r="E15" i="2"/>
  <c r="D15" i="2"/>
  <c r="A15" i="2"/>
  <c r="B15" i="2"/>
  <c r="G14" i="2"/>
  <c r="H14" i="2"/>
  <c r="E14" i="2"/>
  <c r="D14" i="2"/>
  <c r="A14" i="2"/>
  <c r="B14" i="2"/>
  <c r="G13" i="2"/>
  <c r="H13" i="2"/>
  <c r="E13" i="2"/>
  <c r="D13" i="2"/>
  <c r="A13" i="2"/>
  <c r="B13" i="2"/>
  <c r="G12" i="2"/>
  <c r="H12" i="2"/>
  <c r="E12" i="2"/>
  <c r="D12" i="2"/>
  <c r="A12" i="2"/>
  <c r="B12" i="2"/>
  <c r="G11" i="2"/>
  <c r="H11" i="2"/>
  <c r="E11" i="2"/>
  <c r="D11" i="2"/>
  <c r="A11" i="2"/>
  <c r="B11" i="2"/>
  <c r="G10" i="2"/>
  <c r="H10" i="2"/>
  <c r="E10" i="2"/>
  <c r="D10" i="2"/>
  <c r="A10" i="2"/>
  <c r="B10" i="2"/>
  <c r="G9" i="2"/>
  <c r="H9" i="2"/>
  <c r="E9" i="2"/>
  <c r="D9" i="2"/>
  <c r="A9" i="2"/>
  <c r="B9" i="2"/>
  <c r="G8" i="2"/>
  <c r="H8" i="2"/>
  <c r="E8" i="2"/>
  <c r="D8" i="2"/>
  <c r="A8" i="2"/>
  <c r="B8" i="2"/>
  <c r="G7" i="2"/>
  <c r="H7" i="2"/>
  <c r="E7" i="2"/>
  <c r="D7" i="2"/>
  <c r="A7" i="2"/>
  <c r="B7" i="2"/>
  <c r="G6" i="2"/>
  <c r="H6" i="2"/>
  <c r="E6" i="2"/>
  <c r="D6" i="2"/>
  <c r="A6" i="2"/>
  <c r="B6" i="2"/>
  <c r="E12" i="16"/>
  <c r="E11" i="16"/>
  <c r="E10" i="16"/>
  <c r="E9" i="16"/>
  <c r="E8" i="16"/>
  <c r="E7" i="16"/>
  <c r="E6" i="16"/>
  <c r="E5" i="16"/>
  <c r="E4" i="16"/>
  <c r="E3" i="16"/>
  <c r="E2" i="16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W2" i="7"/>
  <c r="R2" i="7"/>
  <c r="Q2" i="7"/>
  <c r="P2" i="7"/>
  <c r="O2" i="7"/>
  <c r="N2" i="7"/>
  <c r="H2" i="7"/>
  <c r="J2" i="7"/>
  <c r="I2" i="7"/>
  <c r="D2" i="7"/>
  <c r="F2" i="7"/>
  <c r="E2" i="7"/>
  <c r="A2" i="7"/>
  <c r="AH9" i="1"/>
  <c r="AK9" i="1"/>
  <c r="AI9" i="1"/>
  <c r="AG9" i="1"/>
  <c r="Z9" i="1"/>
  <c r="Q9" i="1"/>
  <c r="P9" i="1"/>
  <c r="O9" i="1"/>
  <c r="N9" i="1"/>
  <c r="M9" i="1"/>
  <c r="J9" i="1"/>
  <c r="I9" i="1"/>
  <c r="D9" i="1"/>
  <c r="F9" i="1"/>
  <c r="E9" i="1"/>
  <c r="A9" i="1"/>
  <c r="AF8" i="1"/>
  <c r="AH8" i="1"/>
  <c r="AK8" i="1"/>
  <c r="AI8" i="1"/>
  <c r="AG8" i="1"/>
  <c r="Z8" i="1"/>
  <c r="Q8" i="1"/>
  <c r="P8" i="1"/>
  <c r="O8" i="1"/>
  <c r="N8" i="1"/>
  <c r="M8" i="1"/>
  <c r="J8" i="1"/>
  <c r="I8" i="1"/>
  <c r="D8" i="1"/>
  <c r="F8" i="1"/>
  <c r="E8" i="1"/>
  <c r="A8" i="1"/>
  <c r="AF7" i="1"/>
  <c r="AH7" i="1"/>
  <c r="AK7" i="1"/>
  <c r="AI7" i="1"/>
  <c r="AG7" i="1"/>
  <c r="Z7" i="1"/>
  <c r="Q7" i="1"/>
  <c r="P7" i="1"/>
  <c r="O7" i="1"/>
  <c r="N7" i="1"/>
  <c r="M7" i="1"/>
  <c r="J7" i="1"/>
  <c r="I7" i="1"/>
  <c r="D7" i="1"/>
  <c r="F7" i="1"/>
  <c r="E7" i="1"/>
  <c r="A7" i="1"/>
  <c r="AF6" i="1"/>
  <c r="AH6" i="1"/>
  <c r="AK6" i="1"/>
  <c r="AI6" i="1"/>
  <c r="AG6" i="1"/>
  <c r="Z6" i="1"/>
  <c r="Q6" i="1"/>
  <c r="P6" i="1"/>
  <c r="O6" i="1"/>
  <c r="N6" i="1"/>
  <c r="M6" i="1"/>
  <c r="J6" i="1"/>
  <c r="I6" i="1"/>
  <c r="D6" i="1"/>
  <c r="F6" i="1"/>
  <c r="E6" i="1"/>
  <c r="A6" i="1"/>
  <c r="AF5" i="1"/>
  <c r="AH5" i="1"/>
  <c r="AK5" i="1"/>
  <c r="AI5" i="1"/>
  <c r="AG5" i="1"/>
  <c r="Z5" i="1"/>
  <c r="Q5" i="1"/>
  <c r="P5" i="1"/>
  <c r="O5" i="1"/>
  <c r="N5" i="1"/>
  <c r="M5" i="1"/>
  <c r="J5" i="1"/>
  <c r="I5" i="1"/>
  <c r="D5" i="1"/>
  <c r="F5" i="1"/>
  <c r="E5" i="1"/>
  <c r="A5" i="1"/>
  <c r="AF4" i="1"/>
  <c r="AH4" i="1"/>
  <c r="AK4" i="1"/>
  <c r="AI4" i="1"/>
  <c r="AG4" i="1"/>
  <c r="Z4" i="1"/>
  <c r="Q4" i="1"/>
  <c r="P4" i="1"/>
  <c r="O4" i="1"/>
  <c r="N4" i="1"/>
  <c r="M4" i="1"/>
  <c r="J4" i="1"/>
  <c r="I4" i="1"/>
  <c r="D4" i="1"/>
  <c r="F4" i="1"/>
  <c r="E4" i="1"/>
  <c r="A4" i="1"/>
  <c r="AF3" i="1"/>
  <c r="AH3" i="1"/>
  <c r="AK3" i="1"/>
  <c r="AI3" i="1"/>
  <c r="AG3" i="1"/>
  <c r="Z3" i="1"/>
  <c r="Q3" i="1"/>
  <c r="P3" i="1"/>
  <c r="O3" i="1"/>
  <c r="N3" i="1"/>
  <c r="M3" i="1"/>
  <c r="J3" i="1"/>
  <c r="I3" i="1"/>
  <c r="D3" i="1"/>
  <c r="F3" i="1"/>
  <c r="E3" i="1"/>
  <c r="A3" i="1"/>
  <c r="AF2" i="1"/>
  <c r="AH2" i="1"/>
  <c r="AK2" i="1"/>
  <c r="AI2" i="1"/>
  <c r="AG2" i="1"/>
  <c r="Z2" i="1"/>
  <c r="Q2" i="1"/>
  <c r="P2" i="1"/>
  <c r="O2" i="1"/>
  <c r="N2" i="1"/>
  <c r="M2" i="1"/>
  <c r="J2" i="1"/>
  <c r="I2" i="1"/>
  <c r="D2" i="1"/>
  <c r="F2" i="1"/>
  <c r="E2" i="1"/>
  <c r="A2" i="1"/>
  <c r="G3" i="2"/>
  <c r="A3" i="2"/>
  <c r="B3" i="2"/>
  <c r="D3" i="2"/>
  <c r="E3" i="2"/>
  <c r="H3" i="2"/>
  <c r="G4" i="2"/>
  <c r="A4" i="2"/>
  <c r="B4" i="2"/>
  <c r="D4" i="2"/>
  <c r="E4" i="2"/>
  <c r="H4" i="2"/>
  <c r="G5" i="2"/>
  <c r="A5" i="2"/>
  <c r="B5" i="2"/>
  <c r="D5" i="2"/>
  <c r="E5" i="2"/>
  <c r="H5" i="2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B2" i="19"/>
  <c r="G2" i="19"/>
  <c r="F2" i="19"/>
  <c r="D2" i="19"/>
  <c r="C2" i="19"/>
  <c r="J2" i="11"/>
  <c r="O2" i="9"/>
  <c r="N2" i="9"/>
  <c r="M2" i="9"/>
  <c r="L2" i="9"/>
  <c r="K2" i="9"/>
  <c r="J2" i="9"/>
  <c r="I2" i="9"/>
  <c r="H2" i="9"/>
  <c r="G2" i="9"/>
  <c r="E2" i="9"/>
  <c r="D2" i="9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G2" i="2"/>
  <c r="A2" i="2"/>
  <c r="A2" i="9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R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<sst xmlns="http://schemas.openxmlformats.org/spreadsheetml/2006/main" count="1441" uniqueCount="456">
  <si>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</si>
  <si>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</si>
  <si>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</si>
  <si>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</si>
  <si>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</si>
  <si>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</si>
  <si>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</si>
  <si>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</si>
  <si>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</si>
  <si>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</si>
  <si>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</si>
  <si>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</si>
  <si>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</si>
  <si>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</si>
  <si>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</si>
  <si>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</si>
  <si>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</si>
  <si>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</si>
  <si>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</si>
  <si>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</si>
  <si>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</si>
  <si>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</si>
  <si>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</si>
  <si>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</si>
  <si>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</si>
  <si>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</si>
  <si>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</si>
  <si>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</si>
  <si>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</si>
  <si>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</si>
  <si>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</si>
  <si>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</si>
  <si>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</si>
  <si>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</si>
  <si>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</si>
  <si>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</si>
  <si>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</si>
  <si>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</si>
  <si>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</si>
  <si>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</si>
  <si>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</si>
  <si>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</si>
  <si>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</si>
  <si>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</si>
  <si>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</si>
  <si>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</si>
  <si>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</si>
  <si>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</si>
  <si>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</si>
  <si>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</si>
  <si>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</si>
  <si>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</si>
  <si>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</si>
  <si>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</si>
  <si>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</si>
  <si>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</si>
  <si>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</si>
  <si>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</si>
  <si>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</si>
  <si>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</si>
  <si>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</si>
  <si>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</si>
  <si>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</si>
  <si>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</si>
  <si>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</si>
  <si>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</si>
  <si>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</si>
  <si>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</si>
  <si>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</si>
  <si>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</si>
  <si>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</si>
  <si>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</si>
  <si>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</si>
  <si>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</si>
  <si>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</si>
  <si>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</si>
  <si>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</si>
  <si>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</si>
  <si>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</si>
  <si>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</si>
  <si>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</si>
  <si>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</si>
  <si>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</si>
  <si>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</si>
  <si>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</si>
  <si>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</si>
  <si>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</si>
  <si>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</si>
  <si>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</si>
  <si>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</si>
  <si>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</si>
  <si>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</si>
  <si>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</si>
  <si>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</si>
  <si>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</si>
  <si>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</si>
  <si>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</si>
  <si>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</si>
  <si>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</si>
  <si>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</si>
  <si>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</si>
  <si>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</si>
  <si>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</si>
  <si>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</si>
  <si>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</si>
  <si>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</si>
  <si>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</si>
  <si>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</si>
  <si>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</si>
  <si>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</si>
  <si>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</si>
  <si>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</si>
  <si>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</si>
  <si>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</si>
  <si>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</si>
  <si>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</si>
  <si>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</si>
  <si>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</si>
  <si>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</si>
  <si>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</si>
  <si>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</si>
  <si>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</si>
  <si>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</si>
  <si>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</si>
  <si>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</si>
  <si>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</si>
  <si>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</si>
  <si>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</si>
  <si>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</si>
  <si>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</si>
  <si>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</si>
  <si>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</si>
  <si>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</si>
  <si>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</si>
  <si>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</si>
  <si>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</si>
  <si>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</si>
  <si>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</si>
  <si>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</si>
  <si>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</si>
  <si>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</si>
  <si>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</si>
  <si>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</si>
  <si>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</si>
  <si>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</si>
  <si>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</si>
  <si>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</si>
  <si>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</si>
  <si>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</si>
  <si>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</si>
  <si>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</si>
  <si>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</si>
  <si>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</si>
  <si>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</si>
  <si>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</si>
  <si>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</si>
  <si>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</si>
  <si>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</si>
  <si>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</si>
  <si>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</si>
  <si>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</si>
  <si>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</si>
  <si>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</si>
  <si>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</si>
  <si>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</si>
  <si>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</si>
  <si>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</si>
  <si>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</si>
  <si>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</si>
  <si>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</si>
  <si>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</si>
  <si>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</si>
  <si>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</si>
  <si>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</si>
  <si>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</si>
  <si>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</si>
  <si>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</si>
  <si>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</si>
  <si>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</si>
  <si>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</si>
  <si>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</si>
  <si>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</si>
  <si>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</si>
  <si>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</si>
  <si>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</si>
  <si>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</si>
  <si>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</si>
  <si>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</si>
  <si>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</si>
  <si>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</si>
  <si>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</si>
  <si>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</si>
  <si>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</si>
  <si>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</si>
  <si>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</si>
  <si>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</si>
  <si>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</si>
  <si>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</si>
  <si>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</si>
  <si>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</si>
  <si>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敵が強すぎます</t>
    <rPh sb="0" eb="2">
      <t>テk</t>
    </rPh>
    <rPh sb="2" eb="7">
      <t>ツヨs</t>
    </rPh>
    <phoneticPr fontId="5"/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</si>
  <si>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</si>
  <si>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</si>
  <si>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</si>
  <si>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</si>
  <si>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</si>
  <si>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</si>
  <si>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</si>
  <si>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</si>
  <si>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</si>
  <si>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</si>
  <si>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</si>
  <si>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</si>
  <si>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</si>
  <si>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</si>
  <si>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</si>
  <si>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</si>
  <si>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</si>
  <si>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</si>
  <si>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</si>
  <si>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null</t>
    <phoneticPr fontId="5"/>
  </si>
  <si>
    <t>NULL</t>
    <phoneticPr fontId="5"/>
  </si>
  <si>
    <t>old</t>
    <phoneticPr fontId="5"/>
  </si>
  <si>
    <t>old</t>
    <phoneticPr fontId="5"/>
  </si>
  <si>
    <t>ablitytest01</t>
    <phoneticPr fontId="5"/>
  </si>
  <si>
    <t>爆風カッツ！！！！</t>
    <rPh sb="0" eb="2">
      <t>バクフ</t>
    </rPh>
    <phoneticPr fontId="5"/>
  </si>
  <si>
    <t>ボムパネルの爆風範囲が半減する</t>
    <rPh sb="6" eb="10">
      <t>バクフ</t>
    </rPh>
    <rPh sb="11" eb="13">
      <t>ハンゲn</t>
    </rPh>
    <phoneticPr fontId="5"/>
  </si>
  <si>
    <t xml:space="preserve">[effect:virus, turn:-1, target:unit_all, rate:1, val:0.4, animation:enemy_virus]    </t>
    <phoneticPr fontId="5"/>
  </si>
  <si>
    <t>ウィルスっ！</t>
    <phoneticPr fontId="5"/>
  </si>
  <si>
    <t>味方全体をウィルス状態にする</t>
    <rPh sb="0" eb="4">
      <t>ミカt</t>
    </rPh>
    <phoneticPr fontId="5"/>
  </si>
  <si>
    <t xml:space="preserve">[effect:drop_block, block_type:jammer, color:block_all, val:0, rate:0.5, turn:-1, animation:jammer_influence04]    </t>
    <phoneticPr fontId="5"/>
  </si>
  <si>
    <t>おじゃま！</t>
    <phoneticPr fontId="5"/>
  </si>
  <si>
    <t>お邪魔パネルを確立でドロップ</t>
    <rPh sb="7" eb="9">
      <t>カクリt</t>
    </rPh>
    <phoneticPr fontId="5"/>
  </si>
  <si>
    <t>爆風プロテクツッ！！！！！</t>
    <rPh sb="0" eb="2">
      <t>バクフ</t>
    </rPh>
    <phoneticPr fontId="5"/>
  </si>
  <si>
    <t>ボムパネルの爆風範囲が半減+
ドロップするパネルが確率でプロテクト状態に！</t>
    <rPh sb="6" eb="10">
      <t>バクフ</t>
    </rPh>
    <rPh sb="11" eb="13">
      <t>ハンゲn</t>
    </rPh>
    <phoneticPr fontId="5"/>
  </si>
  <si>
    <t xml:space="preserve">[effect:change_bomb_range, turn:-1, target:unit_all, val:0.5, rate:1, animation:bomb_small]    </t>
    <phoneticPr fontId="5"/>
  </si>
  <si>
    <t xml:space="preserve">[effect:drop_freeze, block_type:block_all, frozen_count:1, rate:0.5, turn:-1],[effect:change_bomb_range, turn:-1, target:unit_all, val:0.5, rate:1, animation:bomb_small],[effect:enemy_message, val1:1, val2:3.2]    </t>
    <phoneticPr fontId="5"/>
  </si>
  <si>
    <t>連続攻撃</t>
    <phoneticPr fontId="5"/>
  </si>
  <si>
    <t>攻撃</t>
    <phoneticPr fontId="5"/>
  </si>
  <si>
    <t>行動頻度UP</t>
    <phoneticPr fontId="5"/>
  </si>
  <si>
    <t>全体攻撃</t>
    <phoneticPr fontId="5"/>
  </si>
  <si>
    <t>全体攻撃</t>
    <phoneticPr fontId="5"/>
  </si>
  <si>
    <t>ウィルス付与攻撃</t>
    <phoneticPr fontId="5"/>
  </si>
  <si>
    <t>2ターンウィルス</t>
    <phoneticPr fontId="5"/>
  </si>
  <si>
    <t>爆風軽減</t>
    <phoneticPr fontId="5"/>
  </si>
  <si>
    <t>10ターン爆風軽減</t>
    <phoneticPr fontId="5"/>
  </si>
  <si>
    <t>状態異常無効</t>
    <phoneticPr fontId="5"/>
  </si>
  <si>
    <t>スキルバインド付与攻撃</t>
    <phoneticPr fontId="5"/>
  </si>
  <si>
    <t>1ターンスキルバインド</t>
    <phoneticPr fontId="5"/>
  </si>
  <si>
    <t>全体に大ダメージ</t>
    <phoneticPr fontId="5"/>
  </si>
  <si>
    <t>状態異常を永続無効</t>
    <phoneticPr fontId="5"/>
  </si>
  <si>
    <t>黄パネル吸収攻撃</t>
    <phoneticPr fontId="5"/>
  </si>
  <si>
    <t>黄パネルを最大10個吸収して攻撃</t>
    <phoneticPr fontId="5"/>
  </si>
  <si>
    <t>全体攻撃+防御力DOWN</t>
    <phoneticPr fontId="5"/>
  </si>
  <si>
    <t>超連続攻撃</t>
    <phoneticPr fontId="5"/>
  </si>
  <si>
    <t>次の攻撃は強力なきがする</t>
    <phoneticPr fontId="5"/>
  </si>
  <si>
    <t>次のターン超強力な一撃！！！</t>
    <phoneticPr fontId="5"/>
  </si>
  <si>
    <t>嵐を呼ぶ</t>
    <phoneticPr fontId="5"/>
  </si>
  <si>
    <t>超強力砂嵐!</t>
    <phoneticPr fontId="5"/>
  </si>
  <si>
    <t>超強力な一撃!</t>
    <phoneticPr fontId="5"/>
  </si>
  <si>
    <t>連続攻撃S</t>
    <phoneticPr fontId="5"/>
  </si>
  <si>
    <t>攻撃</t>
    <phoneticPr fontId="5"/>
  </si>
  <si>
    <t>連続攻撃S2</t>
    <phoneticPr fontId="5"/>
  </si>
  <si>
    <t>hp</t>
    <phoneticPr fontId="5"/>
  </si>
  <si>
    <t>attack</t>
    <phoneticPr fontId="5"/>
  </si>
  <si>
    <t>通常攻撃(0.7倍)</t>
    <phoneticPr fontId="5"/>
  </si>
  <si>
    <t>ダメージ/スピード</t>
    <phoneticPr fontId="5"/>
  </si>
  <si>
    <t xml:space="preserve"> 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</si>
  <si>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</si>
  <si>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</si>
  <si>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</si>
  <si>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</si>
  <si>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stage_target</t>
    <phoneticPr fontId="5"/>
  </si>
  <si>
    <t>bonus_category</t>
    <phoneticPr fontId="5"/>
  </si>
  <si>
    <t>bonus_category</t>
    <phoneticPr fontId="5"/>
  </si>
  <si>
    <t>bonus_id</t>
    <phoneticPr fontId="5"/>
  </si>
  <si>
    <t>weight</t>
    <phoneticPr fontId="5"/>
  </si>
  <si>
    <t>everyone</t>
    <phoneticPr fontId="5"/>
  </si>
  <si>
    <t>clear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</si>
  <si>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</si>
  <si>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</si>
  <si>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</si>
  <si>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stage_bonuses_</t>
    <phoneticPr fontId="5"/>
  </si>
  <si>
    <t>stage_bonuses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</si>
  <si>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</si>
  <si>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</si>
  <si>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</si>
  <si>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</si>
  <si>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</si>
  <si>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</si>
  <si>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</si>
  <si>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</si>
  <si>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</si>
  <si>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</si>
  <si>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</si>
  <si>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</si>
  <si>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</si>
  <si>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old</t>
    <phoneticPr fontId="7"/>
  </si>
  <si>
    <t>item</t>
    <phoneticPr fontId="5"/>
  </si>
  <si>
    <t>incidence</t>
    <phoneticPr fontId="5"/>
  </si>
  <si>
    <t xml:space="preserve">[effect:force_change_block, new_block:block_blue, target:block_green, count:0, val:0, animation:change_block],
[effect:force_change_block, new_block:block_yellow, target:block_red, count:0, val:0, animation:change_block],
[effect:force_change_block, new_block:block_heart, target:block_blue, count:0, val:0, animation:change_block],
[effect:force_change_block, new_block:block_red, target:block_heart, count:0, val:0, animation:change_block],
[effect:force_change_block, new_block:block_green, target:block_yellow, count:0, val:0, animation:change_block]
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</si>
  <si>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</si>
  <si>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</si>
  <si>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</si>
  <si>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</si>
  <si>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</si>
  <si>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お邪魔しますよ！</t>
    <phoneticPr fontId="5"/>
  </si>
  <si>
    <t>なし</t>
    <phoneticPr fontId="5"/>
  </si>
  <si>
    <t>[effect:heal, target:enemy_all, val:0.2, animation:enemy_heal]</t>
    <phoneticPr fontId="5"/>
  </si>
  <si>
    <t>一斉オペレーション</t>
    <phoneticPr fontId="5"/>
  </si>
  <si>
    <t>全体回復</t>
    <rPh sb="0" eb="4">
      <t>ゼンタイカイフク</t>
    </rPh>
    <phoneticPr fontId="5"/>
  </si>
  <si>
    <t>[effect:spread, val:0.30]</t>
    <phoneticPr fontId="5"/>
  </si>
  <si>
    <t>ja</t>
    <phoneticPr fontId="5"/>
  </si>
  <si>
    <t>凍結の団攻</t>
    <phoneticPr fontId="5"/>
  </si>
  <si>
    <t>全体攻撃</t>
    <rPh sb="0" eb="4">
      <t>ゼンタイコウゲキ</t>
    </rPh>
    <phoneticPr fontId="5"/>
  </si>
  <si>
    <t>[effect:fix_speed, target:myself, turn:2],[effect:enemy_message, val1:1.0, val2:0]</t>
    <phoneticPr fontId="5"/>
  </si>
  <si>
    <t>ja</t>
    <phoneticPr fontId="5"/>
  </si>
  <si>
    <t>ギギ…</t>
    <phoneticPr fontId="5"/>
  </si>
  <si>
    <t>なし</t>
    <phoneticPr fontId="5"/>
  </si>
  <si>
    <t>[effect:kamikaze, val:1.0]</t>
    <phoneticPr fontId="5"/>
  </si>
  <si>
    <t>ja</t>
    <phoneticPr fontId="5"/>
  </si>
  <si>
    <t>自爆</t>
    <rPh sb="0" eb="2">
      <t>ジバク</t>
    </rPh>
    <phoneticPr fontId="5"/>
  </si>
  <si>
    <t>自爆攻撃</t>
    <rPh sb="0" eb="4">
      <t>ジバクコウゲキ</t>
    </rPh>
    <phoneticPr fontId="5"/>
  </si>
  <si>
    <t>[effect:virus, target:unit_all, turn:-1, rate:1, val:0.07, animation:enemy_virus],[effect:fix_speed, target:myself, turn:2],[effect:enemy_message, val1:1, val2:1.8]</t>
    <phoneticPr fontId="5"/>
  </si>
  <si>
    <t>ja</t>
    <phoneticPr fontId="5"/>
  </si>
  <si>
    <t>バイパーワールド</t>
    <phoneticPr fontId="5"/>
  </si>
  <si>
    <t>解除されるまでウイルス</t>
    <rPh sb="0" eb="2">
      <t>カイジョサレルマデウイルス</t>
    </rPh>
    <phoneticPr fontId="5"/>
  </si>
  <si>
    <t>[effect:rush, count:4, val:0.30]</t>
    <phoneticPr fontId="5"/>
  </si>
  <si>
    <t>発火の纏攻</t>
    <phoneticPr fontId="5"/>
  </si>
  <si>
    <t>4回連続攻撃</t>
    <phoneticPr fontId="5"/>
  </si>
  <si>
    <t>[effect:virus, target:unit_all, turn:3, rate:1, val:0.15, animation:enemy_virus],[effect:fix_speed, target:myself, turn:2],[effect:enemy_message, val1:1, val2:1.8]</t>
    <phoneticPr fontId="5"/>
  </si>
  <si>
    <t>ja</t>
    <phoneticPr fontId="5"/>
  </si>
  <si>
    <t>バイパーワールド改</t>
    <phoneticPr fontId="5"/>
  </si>
  <si>
    <t>3ターンウイルス</t>
    <phoneticPr fontId="5"/>
  </si>
  <si>
    <t>[effect:rush, count:8, val:0.20]</t>
    <phoneticPr fontId="5"/>
  </si>
  <si>
    <t>ja</t>
    <phoneticPr fontId="5"/>
  </si>
  <si>
    <t>大発火の纏攻</t>
    <rPh sb="0" eb="1">
      <t>dai</t>
    </rPh>
    <phoneticPr fontId="5"/>
  </si>
  <si>
    <t>8回連続攻撃</t>
    <phoneticPr fontId="5"/>
  </si>
  <si>
    <t>[effect:fix_speed, target:myself, turn:2],[effect:enemy_message, val1:0, val2:0]</t>
    <phoneticPr fontId="5"/>
  </si>
  <si>
    <t>使用しない</t>
    <rPh sb="0" eb="2">
      <t>シヨウ</t>
    </rPh>
    <phoneticPr fontId="5"/>
  </si>
  <si>
    <t>なし</t>
    <phoneticPr fontId="5"/>
  </si>
  <si>
    <t>[effect:rush, count:1, val:1.0],[effect:heal, target:enemy_one, val:0.1, animation:enemy_heal]</t>
    <phoneticPr fontId="5"/>
  </si>
  <si>
    <t>ちょこっと吸血</t>
    <phoneticPr fontId="5"/>
  </si>
  <si>
    <t>攻撃＋自己回復</t>
    <rPh sb="0" eb="2">
      <t>コウゲキ</t>
    </rPh>
    <rPh sb="3" eb="5">
      <t>jiko</t>
    </rPh>
    <rPh sb="5" eb="7">
      <t>カイフク</t>
    </rPh>
    <phoneticPr fontId="5"/>
  </si>
  <si>
    <t>[effect:fix_speed, target:myself, turn:1],[effect:enemy_message, val1:1.5, val2:0]</t>
    <phoneticPr fontId="5"/>
  </si>
  <si>
    <t>みんな突撃するよー！</t>
    <phoneticPr fontId="5"/>
  </si>
  <si>
    <t>[effect:spread, val:0.30]</t>
    <phoneticPr fontId="5"/>
  </si>
  <si>
    <t>ja</t>
    <phoneticPr fontId="5"/>
  </si>
  <si>
    <t>発電の囲攻</t>
    <phoneticPr fontId="5"/>
  </si>
  <si>
    <t>[effect:enhance_enemy, target:enemy_all, turn:3, status:defense, val:5000, calc:add, animation:enemy_enhance_defense]</t>
    <phoneticPr fontId="5"/>
  </si>
  <si>
    <t>全方位ガード</t>
    <phoneticPr fontId="5"/>
  </si>
  <si>
    <t>3ターン敵全体の防御力UP</t>
    <rPh sb="4" eb="5">
      <t>teki</t>
    </rPh>
    <rPh sb="5" eb="7">
      <t>ゼンタイ</t>
    </rPh>
    <rPh sb="8" eb="11">
      <t>ボウギョリョク</t>
    </rPh>
    <phoneticPr fontId="5"/>
  </si>
  <si>
    <t>[effect:fix_speed, target:myself, turn:2],[effect:enemy_message, val1:0, val2:0]</t>
    <phoneticPr fontId="5"/>
  </si>
  <si>
    <t>ja</t>
    <phoneticPr fontId="5"/>
  </si>
  <si>
    <t>使用しない</t>
    <rPh sb="0" eb="2">
      <t>シヨウシナイ</t>
    </rPh>
    <phoneticPr fontId="5"/>
  </si>
  <si>
    <t>なし</t>
    <phoneticPr fontId="5"/>
  </si>
  <si>
    <t>[effect:critical, val:1.2, animation:enemy_critical]</t>
    <phoneticPr fontId="5"/>
  </si>
  <si>
    <t>ja</t>
    <phoneticPr fontId="5"/>
  </si>
  <si>
    <t>モヤスゾ！</t>
    <phoneticPr fontId="5"/>
  </si>
  <si>
    <t>クリティカル！</t>
    <phoneticPr fontId="5"/>
  </si>
  <si>
    <t>[effect:enhance_enemy, target:enemy_yellow, turn:-1, status:attack, val:0.2, calc:mul, animation:enemy_enhance_attack]</t>
    <phoneticPr fontId="5"/>
  </si>
  <si>
    <t>ja</t>
    <phoneticPr fontId="5"/>
  </si>
  <si>
    <t>ツヨクスルゾ！</t>
    <phoneticPr fontId="5"/>
  </si>
  <si>
    <t>ニムダの攻撃力UP</t>
    <rPh sb="4" eb="7">
      <t>コウゲキリョク</t>
    </rPh>
    <phoneticPr fontId="5"/>
  </si>
  <si>
    <t>[effect:remove_enhancement, target:unit_all, target_effect:all, animation:frozen_wave],[effect:fix_speed, target:myself, turn:1],[effect:enemy_message, val1:1, val2:1.8]</t>
    <phoneticPr fontId="5"/>
  </si>
  <si>
    <t>ja</t>
    <phoneticPr fontId="5"/>
  </si>
  <si>
    <t>僕に何か用かい…？</t>
    <rPh sb="0" eb="1">
      <t>ボクニ</t>
    </rPh>
    <rPh sb="2" eb="3">
      <t>ナニカ</t>
    </rPh>
    <rPh sb="4" eb="5">
      <t>ヨウ</t>
    </rPh>
    <phoneticPr fontId="5"/>
  </si>
  <si>
    <t>全ての効果を解除</t>
    <rPh sb="0" eb="1">
      <t>スベテノ</t>
    </rPh>
    <rPh sb="3" eb="5">
      <t>コウカ</t>
    </rPh>
    <rPh sb="6" eb="8">
      <t>カイジョ</t>
    </rPh>
    <phoneticPr fontId="5"/>
  </si>
  <si>
    <t>[effect:change_attribute, target:myself, color:red, turn:-1, animation:change_attribute_red]</t>
    <phoneticPr fontId="5"/>
  </si>
  <si>
    <t>オーバーライト</t>
    <phoneticPr fontId="5"/>
  </si>
  <si>
    <t>赤属性に変化</t>
    <rPh sb="0" eb="3">
      <t>アカゾクセイ</t>
    </rPh>
    <rPh sb="4" eb="6">
      <t>ヘンカ</t>
    </rPh>
    <phoneticPr fontId="5"/>
  </si>
  <si>
    <t>[effect:damage_anti_color, target:unit_all, color:red, val1:0.75, val2:0.25]</t>
    <phoneticPr fontId="5"/>
  </si>
  <si>
    <t>レッドハッキング</t>
    <phoneticPr fontId="5"/>
  </si>
  <si>
    <t>赤属性のユニットに大ダメージ</t>
    <rPh sb="0" eb="3">
      <t>アカゾクセイ</t>
    </rPh>
    <rPh sb="9" eb="10">
      <t>ダイダメージ</t>
    </rPh>
    <phoneticPr fontId="5"/>
  </si>
  <si>
    <t>[effect:damage_anti_color, target:unit_all, color:blue, val1:0.75, val2:0.25]</t>
    <phoneticPr fontId="5"/>
  </si>
  <si>
    <t>ja</t>
    <phoneticPr fontId="5"/>
  </si>
  <si>
    <t>ブルーハッキング</t>
    <phoneticPr fontId="5"/>
  </si>
  <si>
    <t>青属性のユニットに大ダメージ</t>
    <rPh sb="0" eb="1">
      <t>アオ</t>
    </rPh>
    <phoneticPr fontId="5"/>
  </si>
  <si>
    <t>[effect:damage_anti_color, target:unit_all, color:green, val1:0.75, val2:0.25]</t>
    <phoneticPr fontId="5"/>
  </si>
  <si>
    <t>グリーンハッキング</t>
    <phoneticPr fontId="5"/>
  </si>
  <si>
    <t>緑属性のユニットに大ダメージ</t>
    <rPh sb="0" eb="1">
      <t>ミドリ</t>
    </rPh>
    <rPh sb="1" eb="3">
      <t>ゾクセイ</t>
    </rPh>
    <phoneticPr fontId="5"/>
  </si>
  <si>
    <t>[effect:damage_anti_color, target:unit_all, color:yellow, val1:0.75, val2:0.25]</t>
    <phoneticPr fontId="5"/>
  </si>
  <si>
    <t>イエローハッキング</t>
    <phoneticPr fontId="5"/>
  </si>
  <si>
    <t>黄属性のユニットに大ダメージ</t>
    <rPh sb="0" eb="3">
      <t>キゾクセイ</t>
    </rPh>
    <rPh sb="9" eb="10">
      <t>ダイダメージ</t>
    </rPh>
    <phoneticPr fontId="5"/>
  </si>
  <si>
    <t xml:space="preserve">[effect:panel_freeze, target:block_blue, count:-1, break_count:1] </t>
    <phoneticPr fontId="5"/>
  </si>
  <si>
    <t>ロック…</t>
    <phoneticPr fontId="5"/>
  </si>
  <si>
    <t>青パネルプロテクト</t>
    <rPh sb="0" eb="1">
      <t>アオパネル</t>
    </rPh>
    <phoneticPr fontId="5"/>
  </si>
  <si>
    <t>[effect:break_attack_fix, target:unit_all, val:150, lowest_val:1000, count:-1, color:blue, block01:block_blue]</t>
    <phoneticPr fontId="5"/>
  </si>
  <si>
    <t>それ…貰うよ…</t>
    <rPh sb="3" eb="4">
      <t>モラウヨ</t>
    </rPh>
    <phoneticPr fontId="5"/>
  </si>
  <si>
    <t>青パネルを吸収し、攻撃</t>
    <rPh sb="0" eb="1">
      <t>アオパネル</t>
    </rPh>
    <rPh sb="5" eb="7">
      <t>キュウシュウ</t>
    </rPh>
    <rPh sb="9" eb="11">
      <t>キュウシュウコウゲキ</t>
    </rPh>
    <phoneticPr fontId="5"/>
  </si>
  <si>
    <t>[effect:remove_enhancement, target:unit_all, target_effect:all, animation:frozen_wave],[effect:fix_speed, target:myself, turn:1],[effect:enemy_message, val1:1.8, val2:1.8]</t>
    <phoneticPr fontId="5"/>
  </si>
  <si>
    <t>さぁ…出ておいで…</t>
    <phoneticPr fontId="5"/>
  </si>
  <si>
    <t>[effect:change_attribute, target:myself, color:blue, turn:-1, animation:change_attribute_blue]</t>
    <phoneticPr fontId="5"/>
  </si>
  <si>
    <t>オーバーライト</t>
    <phoneticPr fontId="5"/>
  </si>
  <si>
    <t>青属性に変化</t>
    <rPh sb="0" eb="1">
      <t>アオ</t>
    </rPh>
    <rPh sb="1" eb="3">
      <t>アカゾクセイ</t>
    </rPh>
    <rPh sb="4" eb="6">
      <t>ヘンカ</t>
    </rPh>
    <phoneticPr fontId="5"/>
  </si>
  <si>
    <t>[effect:damage_anti_color, target:unit_all, color:red, val1:0.75, val2:0.25]</t>
  </si>
  <si>
    <t>レッドハッキング</t>
  </si>
  <si>
    <t>[effect:damage_anti_color, target:unit_all, color:blue, val1:0.75, val2:0.25]</t>
  </si>
  <si>
    <t>ブルーハッキング</t>
  </si>
  <si>
    <t>[effect:damage_anti_color, target:unit_all, color:green, val1:0.75, val2:0.25]</t>
  </si>
  <si>
    <t>グリーンハッキング</t>
  </si>
  <si>
    <t>[effect:damage_anti_color, target:unit_all, color:yellow, val1:0.75, val2:0.25]</t>
  </si>
  <si>
    <t>イエローハッキング</t>
  </si>
  <si>
    <t xml:space="preserve">[effect:panel_freeze, target:block_yellow, count:-1, break_count:1] </t>
    <phoneticPr fontId="5"/>
  </si>
  <si>
    <t>下ごしらえしないとね…</t>
    <phoneticPr fontId="5"/>
  </si>
  <si>
    <t>黄パネルプロテクト</t>
    <rPh sb="0" eb="1">
      <t>キ</t>
    </rPh>
    <phoneticPr fontId="5"/>
  </si>
  <si>
    <t>[effect:break_attack_fix, target:unit_all, val:150, lowest_val:1000, count:-1, color:yellow, block01:block_yellow],[effect:enemy_message, val1:2.2, val2:1.8]</t>
    <phoneticPr fontId="5"/>
  </si>
  <si>
    <t>さぁ君達…食事の時間だよ…</t>
    <phoneticPr fontId="5"/>
  </si>
  <si>
    <t>黄パネルを吸収し、攻撃</t>
    <rPh sb="0" eb="1">
      <t>キ</t>
    </rPh>
    <rPh sb="5" eb="7">
      <t>キュウシュウ</t>
    </rPh>
    <rPh sb="9" eb="11">
      <t>キュウシュウコウゲキ</t>
    </rPh>
    <phoneticPr fontId="5"/>
  </si>
  <si>
    <t>[effect:virus, target:unit_all, turn:3, rate:1, val:0.1, animation:enemy_virus]</t>
    <phoneticPr fontId="5"/>
  </si>
  <si>
    <t>侵食</t>
    <rPh sb="0" eb="2">
      <t>sinnsyoku</t>
    </rPh>
    <phoneticPr fontId="5"/>
  </si>
  <si>
    <t>3ターンウィルス</t>
    <phoneticPr fontId="5"/>
  </si>
  <si>
    <t>[effect:damage_anti_abnormal, target:unit_all, target_effect01:virus, val1:0.4, val2:0.25]</t>
    <phoneticPr fontId="5"/>
  </si>
  <si>
    <t>内部破壊</t>
    <rPh sb="0" eb="2">
      <t>ナイブ</t>
    </rPh>
    <rPh sb="2" eb="4">
      <t>ハカイ</t>
    </rPh>
    <phoneticPr fontId="5"/>
  </si>
  <si>
    <t>ウィルス状態のユニットに大ダメージ</t>
    <rPh sb="4" eb="6">
      <t>ジョウタイノ</t>
    </rPh>
    <rPh sb="12" eb="13">
      <t>ダイダメージ</t>
    </rPh>
    <phoneticPr fontId="5"/>
  </si>
  <si>
    <t>[effect:remove_enhancement, target:unit_all, target_effect:all, animation:frozen_wave],[effect:change_attribute, target:myself, color:yellow, turn:-1, animation:change_attribute_yellow],[effect:fix_speed, target:myself, turn:1],[effect:enemy_message, val1:1.5, val2:1.8]</t>
    <phoneticPr fontId="5"/>
  </si>
  <si>
    <t>どうなっても知らないよ…</t>
    <phoneticPr fontId="5"/>
  </si>
  <si>
    <t>全ての効果を解除＋黄属性に変化</t>
    <rPh sb="0" eb="1">
      <t>スベテノ</t>
    </rPh>
    <rPh sb="3" eb="5">
      <t>コウカ</t>
    </rPh>
    <rPh sb="6" eb="8">
      <t>カイジョ</t>
    </rPh>
    <rPh sb="9" eb="12">
      <t>キゾクセイ</t>
    </rPh>
    <rPh sb="13" eb="15">
      <t>ヘンカ</t>
    </rPh>
    <phoneticPr fontId="5"/>
  </si>
  <si>
    <t>[effect:change_attribute, target:myself, color:green, turn:-1, animation:change_attribute_green]</t>
    <phoneticPr fontId="5"/>
  </si>
  <si>
    <t>オーバーライト</t>
    <phoneticPr fontId="5"/>
  </si>
  <si>
    <t>緑属性に変化</t>
    <rPh sb="0" eb="1">
      <t>ミドリ</t>
    </rPh>
    <rPh sb="1" eb="3">
      <t>アカゾクセイ</t>
    </rPh>
    <rPh sb="4" eb="6">
      <t>ヘンカ</t>
    </rPh>
    <phoneticPr fontId="5"/>
  </si>
  <si>
    <t>ja</t>
    <phoneticPr fontId="5"/>
  </si>
  <si>
    <t>[effect:panel_freeze, target:block_green, count:-1, break_count:1] ,[effect:enemy_message, val1:1.2, val2:2.5]</t>
    <phoneticPr fontId="5"/>
  </si>
  <si>
    <t>『シュルルルゥ…』</t>
    <phoneticPr fontId="5"/>
  </si>
  <si>
    <t>怪物達が怒っているようだ
※緑パネルプロテクト※</t>
    <rPh sb="0" eb="2">
      <t>カイブツ</t>
    </rPh>
    <rPh sb="2" eb="3">
      <t>タチ</t>
    </rPh>
    <rPh sb="4" eb="5">
      <t>okotteイル</t>
    </rPh>
    <rPh sb="14" eb="15">
      <t>ミドリ</t>
    </rPh>
    <phoneticPr fontId="5"/>
  </si>
  <si>
    <t>[effect:break_attack_fix, target:unit_all, val:150, lowest_val:1000, count:-1, color:green, block01:block_green],[effect:enemy_message, val1:1.2, val2:2.5]</t>
    <phoneticPr fontId="5"/>
  </si>
  <si>
    <t>ja</t>
    <phoneticPr fontId="5"/>
  </si>
  <si>
    <t>『シャアアァ！』</t>
    <phoneticPr fontId="5"/>
  </si>
  <si>
    <t>怪物達が襲ってくる！
※緑パネルを吸収し、攻撃※</t>
    <rPh sb="0" eb="2">
      <t>カイブツ</t>
    </rPh>
    <rPh sb="2" eb="3">
      <t>タチ</t>
    </rPh>
    <rPh sb="4" eb="5">
      <t>オソッテクル</t>
    </rPh>
    <rPh sb="12" eb="13">
      <t>ミドリ</t>
    </rPh>
    <rPh sb="17" eb="19">
      <t>キュウシュウ</t>
    </rPh>
    <rPh sb="21" eb="23">
      <t>キュウシュウコウゲキ</t>
    </rPh>
    <phoneticPr fontId="5"/>
  </si>
  <si>
    <t>[effect:enemy_message, val1:1, val2:1.8]</t>
    <phoneticPr fontId="5"/>
  </si>
  <si>
    <t>もう止められないよ…</t>
    <rPh sb="2" eb="3">
      <t>トメラレナイヨ</t>
    </rPh>
    <phoneticPr fontId="5"/>
  </si>
  <si>
    <t>次のターン強力な攻撃</t>
    <rPh sb="0" eb="1">
      <t>ツギノターン</t>
    </rPh>
    <rPh sb="5" eb="7">
      <t>kyouryoku</t>
    </rPh>
    <rPh sb="8" eb="10">
      <t>コウゲキ</t>
    </rPh>
    <phoneticPr fontId="5"/>
  </si>
  <si>
    <t>[effect:spread, val:1.0]</t>
    <phoneticPr fontId="5"/>
  </si>
  <si>
    <t>セクタ２５６</t>
    <phoneticPr fontId="5"/>
  </si>
  <si>
    <t>[effect:enemy_message, val1:1.8, val2:0]</t>
    <phoneticPr fontId="5"/>
  </si>
  <si>
    <t>どうやら彼らも満腹みたいだ…</t>
    <rPh sb="4" eb="5">
      <t>カレラ</t>
    </rPh>
    <rPh sb="7" eb="9">
      <t>マンプク</t>
    </rPh>
    <phoneticPr fontId="5"/>
  </si>
  <si>
    <t>なし</t>
    <phoneticPr fontId="5"/>
  </si>
  <si>
    <t>[effect:break_attack_fix, target:unit_all, val:80, lowest_val:600, count:-1, color:blue, block01:block_blue]</t>
    <phoneticPr fontId="5"/>
  </si>
  <si>
    <t>[effect:break_attack_fix, target:unit_all, val:80, lowest_val:600, count:-1, color:yellow, block01:block_yellow],[effect:enemy_message, val1:2.2, val2:1.8]</t>
    <phoneticPr fontId="5"/>
  </si>
  <si>
    <t>さぁ君達…食事の時間だよ…</t>
    <phoneticPr fontId="5"/>
  </si>
  <si>
    <t>[effect:break_attack_fix, target:unit_all, val:80, lowest_val:600, count:-1, color:green, block01:block_green],[effect:enemy_message, val1:1.2, val2:2.5]</t>
    <phoneticPr fontId="5"/>
  </si>
  <si>
    <t>『シャアアァ！』</t>
    <phoneticPr fontId="5"/>
  </si>
  <si>
    <t>null</t>
    <phoneticPr fontId="5"/>
  </si>
  <si>
    <t>ウィルス+攻撃(弱)</t>
    <phoneticPr fontId="5"/>
  </si>
  <si>
    <t>1体に攻撃＋2ターンウィルス</t>
    <phoneticPr fontId="5"/>
  </si>
  <si>
    <t>[effect:damage_abnormal, target:unit_one, val:1, status:virus, turn:2, rate:1, val_abnormal:0.5]</t>
    <phoneticPr fontId="5"/>
  </si>
  <si>
    <t>ウィルス+攻撃(強)</t>
    <phoneticPr fontId="5"/>
  </si>
  <si>
    <t>[effect:damage_abnormal, target:unit_one, val:1.5, status:virus, turn:2, rate:1, val_abnormal:0.5]</t>
    <phoneticPr fontId="5"/>
  </si>
  <si>
    <t>1体に攻撃＋2ターンウィルス</t>
    <phoneticPr fontId="5"/>
  </si>
  <si>
    <t>ウィルス+攻撃</t>
    <phoneticPr fontId="5"/>
  </si>
  <si>
    <t>null</t>
    <phoneticPr fontId="5"/>
  </si>
  <si>
    <t>null</t>
    <phoneticPr fontId="5"/>
  </si>
  <si>
    <t>[effect:fix_speed, target:enemy_green, turn:1],[effect:fix_speed, target:myself, turn:2],[effect:enemy_message, val1:1.5, val2:0]</t>
    <phoneticPr fontId="5"/>
  </si>
  <si>
    <t xml:space="preserve">[effect:hungup, target:unit_right, turn:3, rate:1, animation:hungup01],[effect:hungup, target:unit_left, turn:3, rate:1, animation:hungup01],[effect:hungup, target:unit_both, turn:3, rate:1, animation:hungup01] </t>
    <phoneticPr fontId="5"/>
  </si>
  <si>
    <t>[effect:damage_abnormal, target:unit_one, val:0.75, status:virus, turn:2, rate:1, val_abnormal:0.5]</t>
    <phoneticPr fontId="5"/>
  </si>
  <si>
    <t>１２３４５６７８９０１２３４５６７８９０１２３４５６７８９０１２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</si>
</sst>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7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medium">
        <color auto="1"/>
      </top>
      <bottom style="thin">
        <color rgb="FF000000"/>
      </bottom>
      <diagonal/>
    </border>
    <border>
      <left/>
      <right style="thin">
        <color rgb="FF000000"/>
      </right>
      <top style="medium">
        <color auto="1"/>
      </top>
      <bottom style="thin">
        <color rgb="FF000000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indexed="8"/>
      </left>
      <right/>
      <top/>
      <bottom/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medium">
        <color auto="1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medium">
        <color auto="1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/>
      <right style="thin">
        <color indexed="8"/>
      </right>
      <top style="medium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/>
      <right style="thin">
        <color indexed="8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medium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</borders>
  <cellStyleXfs count="94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0" applyNumberFormat="0" applyAlignment="0" applyProtection="0"/>
    <xf numFmtId="0" fontId="33" fillId="17" borderId="0" applyNumberFormat="0" applyBorder="0" applyAlignment="0" applyProtection="0"/>
    <xf numFmtId="0" fontId="34" fillId="18" borderId="11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2" applyNumberFormat="0" applyAlignment="0" applyProtection="0"/>
    <xf numFmtId="0" fontId="38" fillId="0" borderId="0" applyNumberFormat="0" applyFill="0" applyBorder="0" applyAlignment="0" applyProtection="0"/>
    <xf numFmtId="0" fontId="39" fillId="0" borderId="13" applyNumberFormat="0" applyFill="0" applyAlignment="0" applyProtection="0"/>
    <xf numFmtId="0" fontId="40" fillId="0" borderId="14" applyNumberFormat="0" applyFill="0" applyAlignment="0" applyProtection="0"/>
    <xf numFmtId="0" fontId="41" fillId="0" borderId="15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6" applyNumberFormat="0" applyFill="0" applyAlignment="0" applyProtection="0"/>
    <xf numFmtId="0" fontId="46" fillId="18" borderId="17" applyNumberFormat="0" applyAlignment="0" applyProtection="0"/>
    <xf numFmtId="0" fontId="46" fillId="29" borderId="17" applyNumberFormat="0" applyAlignment="0" applyProtection="0"/>
    <xf numFmtId="0" fontId="34" fillId="17" borderId="11" applyNumberFormat="0" applyAlignment="0" applyProtection="0"/>
    <xf numFmtId="0" fontId="47" fillId="0" borderId="18" applyNumberFormat="0" applyFill="0" applyAlignment="0" applyProtection="0"/>
    <xf numFmtId="0" fontId="48" fillId="29" borderId="11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9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3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5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7" xfId="0" applyFont="1" applyFill="1" applyBorder="1" applyAlignment="1">
      <alignment vertical="center"/>
    </xf>
    <xf numFmtId="0" fontId="6" fillId="5" borderId="5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5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5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5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5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5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5" xfId="0" applyFont="1" applyFill="1" applyBorder="1" applyAlignment="1">
      <alignment horizontal="left" vertical="center"/>
    </xf>
    <xf numFmtId="0" fontId="16" fillId="0" borderId="5" xfId="0" applyFont="1" applyFill="1" applyBorder="1" applyAlignment="1">
      <alignment vertical="center"/>
    </xf>
    <xf numFmtId="0" fontId="16" fillId="3" borderId="5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5" xfId="0" applyFont="1" applyFill="1" applyBorder="1" applyAlignment="1">
      <alignment horizontal="left" vertical="center"/>
    </xf>
    <xf numFmtId="0" fontId="16" fillId="0" borderId="5" xfId="0" applyFont="1" applyFill="1" applyBorder="1" applyAlignment="1">
      <alignment horizontal="left" vertical="center" wrapText="1"/>
    </xf>
    <xf numFmtId="14" fontId="16" fillId="0" borderId="5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5" xfId="0" applyFont="1" applyFill="1" applyBorder="1"/>
    <xf numFmtId="0" fontId="0" fillId="11" borderId="5" xfId="0" applyFill="1" applyBorder="1"/>
    <xf numFmtId="0" fontId="0" fillId="0" borderId="5" xfId="0" applyBorder="1"/>
    <xf numFmtId="0" fontId="0" fillId="6" borderId="5" xfId="0" applyFill="1" applyBorder="1"/>
    <xf numFmtId="0" fontId="26" fillId="12" borderId="5" xfId="0" applyFont="1" applyFill="1" applyBorder="1"/>
    <xf numFmtId="0" fontId="13" fillId="11" borderId="5" xfId="434" applyFont="1" applyFill="1" applyBorder="1" applyAlignment="1"/>
    <xf numFmtId="0" fontId="24" fillId="0" borderId="5" xfId="434" applyBorder="1" applyAlignment="1"/>
    <xf numFmtId="0" fontId="0" fillId="13" borderId="5" xfId="0" applyFill="1" applyBorder="1"/>
    <xf numFmtId="0" fontId="16" fillId="3" borderId="5" xfId="0" applyFont="1" applyFill="1" applyBorder="1" applyAlignment="1">
      <alignment horizontal="left" vertical="center" wrapText="1"/>
    </xf>
    <xf numFmtId="0" fontId="16" fillId="6" borderId="5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5" xfId="615" applyFont="1" applyFill="1" applyBorder="1"/>
    <xf numFmtId="0" fontId="0" fillId="0" borderId="5" xfId="615" applyFont="1" applyBorder="1"/>
    <xf numFmtId="0" fontId="2" fillId="11" borderId="5" xfId="615" applyFill="1" applyBorder="1"/>
    <xf numFmtId="0" fontId="4" fillId="0" borderId="5" xfId="0" applyFont="1" applyBorder="1" applyAlignment="1">
      <alignment vertical="center"/>
    </xf>
    <xf numFmtId="0" fontId="16" fillId="3" borderId="5" xfId="614" applyFont="1" applyFill="1" applyBorder="1" applyAlignment="1">
      <alignment horizontal="left"/>
    </xf>
    <xf numFmtId="0" fontId="16" fillId="6" borderId="5" xfId="0" applyFont="1" applyFill="1" applyBorder="1" applyAlignment="1">
      <alignment horizontal="center"/>
    </xf>
    <xf numFmtId="56" fontId="16" fillId="6" borderId="5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5" xfId="0" applyFont="1" applyFill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14" borderId="5" xfId="0" applyFont="1" applyFill="1" applyBorder="1" applyAlignment="1">
      <alignment horizontal="center"/>
    </xf>
    <xf numFmtId="0" fontId="16" fillId="15" borderId="5" xfId="0" applyFont="1" applyFill="1" applyBorder="1" applyAlignment="1">
      <alignment horizontal="center"/>
    </xf>
    <xf numFmtId="0" fontId="0" fillId="15" borderId="5" xfId="0" applyFill="1" applyBorder="1"/>
    <xf numFmtId="0" fontId="27" fillId="0" borderId="5" xfId="0" applyFont="1" applyFill="1" applyBorder="1"/>
    <xf numFmtId="0" fontId="28" fillId="0" borderId="5" xfId="0" applyFont="1" applyFill="1" applyBorder="1"/>
    <xf numFmtId="0" fontId="29" fillId="3" borderId="9" xfId="0" applyFont="1" applyFill="1" applyBorder="1" applyAlignment="1">
      <alignment vertical="center"/>
    </xf>
    <xf numFmtId="0" fontId="30" fillId="0" borderId="5" xfId="0" applyFont="1" applyFill="1" applyBorder="1"/>
    <xf numFmtId="0" fontId="29" fillId="0" borderId="9" xfId="0" applyFont="1" applyFill="1" applyBorder="1" applyAlignment="1">
      <alignment vertical="center"/>
    </xf>
    <xf numFmtId="0" fontId="30" fillId="14" borderId="5" xfId="0" applyFont="1" applyFill="1" applyBorder="1"/>
    <xf numFmtId="0" fontId="31" fillId="0" borderId="5" xfId="0" applyFont="1" applyFill="1" applyBorder="1"/>
    <xf numFmtId="38" fontId="16" fillId="0" borderId="5" xfId="628" applyFont="1" applyFill="1" applyBorder="1" applyAlignment="1"/>
    <xf numFmtId="0" fontId="27" fillId="0" borderId="0" xfId="0" applyFont="1" applyFill="1"/>
    <xf numFmtId="0" fontId="16" fillId="30" borderId="5" xfId="0" applyFont="1" applyFill="1" applyBorder="1" applyAlignment="1">
      <alignment horizontal="center"/>
    </xf>
    <xf numFmtId="0" fontId="30" fillId="30" borderId="5" xfId="0" applyFont="1" applyFill="1" applyBorder="1"/>
    <xf numFmtId="0" fontId="16" fillId="13" borderId="5" xfId="0" applyFont="1" applyFill="1" applyBorder="1" applyAlignment="1">
      <alignment horizontal="center"/>
    </xf>
    <xf numFmtId="56" fontId="16" fillId="14" borderId="5" xfId="0" applyNumberFormat="1" applyFont="1" applyFill="1" applyBorder="1" applyAlignment="1">
      <alignment horizontal="center"/>
    </xf>
    <xf numFmtId="0" fontId="31" fillId="14" borderId="5" xfId="0" applyFont="1" applyFill="1" applyBorder="1"/>
    <xf numFmtId="38" fontId="16" fillId="14" borderId="5" xfId="628" applyFont="1" applyFill="1" applyBorder="1" applyAlignment="1"/>
    <xf numFmtId="0" fontId="16" fillId="6" borderId="5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12" fillId="7" borderId="20" xfId="0" applyFont="1" applyFill="1" applyBorder="1" applyAlignment="1">
      <alignment vertical="center"/>
    </xf>
    <xf numFmtId="0" fontId="4" fillId="0" borderId="21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vertical="center"/>
    </xf>
    <xf numFmtId="0" fontId="6" fillId="0" borderId="21" xfId="0" applyFont="1" applyFill="1" applyBorder="1" applyAlignment="1">
      <alignment vertical="center"/>
    </xf>
    <xf numFmtId="0" fontId="4" fillId="0" borderId="21" xfId="0" applyFont="1" applyBorder="1" applyAlignment="1">
      <alignment horizontal="center" vertical="center"/>
    </xf>
    <xf numFmtId="0" fontId="6" fillId="5" borderId="23" xfId="0" applyFont="1" applyFill="1" applyBorder="1" applyAlignment="1">
      <alignment vertical="center"/>
    </xf>
    <xf numFmtId="0" fontId="8" fillId="0" borderId="24" xfId="0" applyFont="1" applyBorder="1" applyAlignment="1">
      <alignment vertical="center"/>
    </xf>
    <xf numFmtId="0" fontId="6" fillId="31" borderId="22" xfId="0" applyFont="1" applyFill="1" applyBorder="1" applyAlignment="1">
      <alignment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4" fillId="3" borderId="21" xfId="0" applyFont="1" applyFill="1" applyBorder="1" applyAlignment="1">
      <alignment vertical="center"/>
    </xf>
    <xf numFmtId="0" fontId="4" fillId="0" borderId="21" xfId="0" applyFont="1" applyFill="1" applyBorder="1" applyAlignment="1">
      <alignment vertical="center"/>
    </xf>
    <xf numFmtId="0" fontId="4" fillId="0" borderId="21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12" fillId="7" borderId="28" xfId="0" applyFont="1" applyFill="1" applyBorder="1" applyAlignment="1">
      <alignment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6" fillId="31" borderId="3" xfId="0" applyFont="1" applyFill="1" applyBorder="1" applyAlignment="1">
      <alignment vertical="center"/>
    </xf>
    <xf numFmtId="0" fontId="11" fillId="0" borderId="30" xfId="0" applyFont="1" applyBorder="1" applyAlignment="1">
      <alignment vertical="center"/>
    </xf>
    <xf numFmtId="0" fontId="11" fillId="0" borderId="31" xfId="0" applyFont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51" fillId="31" borderId="3" xfId="0" applyFont="1" applyFill="1" applyBorder="1" applyAlignment="1">
      <alignment vertical="center"/>
    </xf>
    <xf numFmtId="0" fontId="12" fillId="7" borderId="33" xfId="0" applyFont="1" applyFill="1" applyBorder="1" applyAlignment="1">
      <alignment vertical="center"/>
    </xf>
    <xf numFmtId="0" fontId="4" fillId="0" borderId="34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vertical="center"/>
    </xf>
    <xf numFmtId="0" fontId="6" fillId="0" borderId="34" xfId="0" applyFont="1" applyFill="1" applyBorder="1" applyAlignment="1">
      <alignment vertical="center"/>
    </xf>
    <xf numFmtId="0" fontId="4" fillId="0" borderId="34" xfId="0" applyFont="1" applyBorder="1" applyAlignment="1">
      <alignment horizontal="center" vertical="center"/>
    </xf>
    <xf numFmtId="0" fontId="6" fillId="5" borderId="36" xfId="0" applyFont="1" applyFill="1" applyBorder="1" applyAlignment="1">
      <alignment vertical="center"/>
    </xf>
    <xf numFmtId="0" fontId="8" fillId="0" borderId="37" xfId="0" applyFont="1" applyBorder="1" applyAlignment="1">
      <alignment vertical="center"/>
    </xf>
    <xf numFmtId="176" fontId="8" fillId="0" borderId="36" xfId="0" applyNumberFormat="1" applyFont="1" applyBorder="1" applyAlignment="1">
      <alignment vertical="center"/>
    </xf>
    <xf numFmtId="176" fontId="8" fillId="0" borderId="5" xfId="0" applyNumberFormat="1" applyFont="1" applyBorder="1" applyAlignment="1">
      <alignment vertical="center"/>
    </xf>
    <xf numFmtId="0" fontId="8" fillId="0" borderId="38" xfId="0" applyFont="1" applyBorder="1" applyAlignment="1">
      <alignment vertical="center"/>
    </xf>
    <xf numFmtId="0" fontId="4" fillId="32" borderId="34" xfId="0" applyFont="1" applyFill="1" applyBorder="1" applyAlignment="1">
      <alignment vertical="center"/>
    </xf>
    <xf numFmtId="0" fontId="11" fillId="0" borderId="39" xfId="0" applyFont="1" applyBorder="1" applyAlignment="1">
      <alignment vertical="center"/>
    </xf>
    <xf numFmtId="0" fontId="11" fillId="0" borderId="40" xfId="0" applyFont="1" applyBorder="1" applyAlignment="1">
      <alignment vertical="center"/>
    </xf>
    <xf numFmtId="0" fontId="6" fillId="5" borderId="4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34" xfId="0" applyFont="1" applyFill="1" applyBorder="1" applyAlignment="1">
      <alignment vertical="center"/>
    </xf>
    <xf numFmtId="0" fontId="4" fillId="3" borderId="34" xfId="0" applyFont="1" applyFill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8" fillId="0" borderId="44" xfId="0" applyFont="1" applyBorder="1" applyAlignment="1">
      <alignment vertical="center"/>
    </xf>
    <xf numFmtId="176" fontId="8" fillId="0" borderId="45" xfId="0" applyNumberFormat="1" applyFont="1" applyBorder="1" applyAlignment="1">
      <alignment vertical="center"/>
    </xf>
    <xf numFmtId="176" fontId="8" fillId="0" borderId="29" xfId="0" applyNumberFormat="1" applyFont="1" applyBorder="1" applyAlignment="1">
      <alignment vertical="center"/>
    </xf>
    <xf numFmtId="0" fontId="6" fillId="33" borderId="22" xfId="0" applyFont="1" applyFill="1" applyBorder="1" applyAlignment="1">
      <alignment vertical="center"/>
    </xf>
    <xf numFmtId="0" fontId="6" fillId="5" borderId="46" xfId="0" applyFont="1" applyFill="1" applyBorder="1" applyAlignment="1">
      <alignment vertical="center"/>
    </xf>
    <xf numFmtId="0" fontId="6" fillId="5" borderId="47" xfId="0" applyFont="1" applyFill="1" applyBorder="1" applyAlignment="1">
      <alignment vertical="center"/>
    </xf>
    <xf numFmtId="176" fontId="8" fillId="0" borderId="37" xfId="0" applyNumberFormat="1" applyFont="1" applyBorder="1" applyAlignment="1">
      <alignment vertical="center"/>
    </xf>
    <xf numFmtId="0" fontId="6" fillId="5" borderId="48" xfId="0" applyFont="1" applyFill="1" applyBorder="1" applyAlignment="1">
      <alignment vertical="center"/>
    </xf>
    <xf numFmtId="0" fontId="4" fillId="34" borderId="5" xfId="0" applyFont="1" applyFill="1" applyBorder="1" applyAlignment="1">
      <alignment horizontal="left" vertical="center"/>
    </xf>
    <xf numFmtId="0" fontId="4" fillId="34" borderId="0" xfId="0" applyFont="1" applyFill="1" applyAlignment="1">
      <alignment vertical="center"/>
    </xf>
    <xf numFmtId="0" fontId="4" fillId="2" borderId="6" xfId="0" applyFont="1" applyFill="1" applyBorder="1" applyAlignment="1">
      <alignment horizontal="left" vertical="center"/>
    </xf>
    <xf numFmtId="176" fontId="8" fillId="0" borderId="49" xfId="0" applyNumberFormat="1" applyFont="1" applyBorder="1" applyAlignment="1">
      <alignment vertical="center"/>
    </xf>
    <xf numFmtId="176" fontId="8" fillId="0" borderId="50" xfId="0" applyNumberFormat="1" applyFont="1" applyBorder="1" applyAlignment="1">
      <alignment vertical="center"/>
    </xf>
    <xf numFmtId="0" fontId="4" fillId="2" borderId="8" xfId="0" applyFont="1" applyFill="1" applyBorder="1" applyAlignment="1">
      <alignment horizontal="left" vertical="center"/>
    </xf>
    <xf numFmtId="0" fontId="8" fillId="0" borderId="51" xfId="0" applyFont="1" applyBorder="1" applyAlignment="1">
      <alignment vertical="center"/>
    </xf>
    <xf numFmtId="0" fontId="8" fillId="0" borderId="52" xfId="0" applyFont="1" applyBorder="1" applyAlignment="1">
      <alignment vertical="center"/>
    </xf>
    <xf numFmtId="1" fontId="32" fillId="34" borderId="5" xfId="0" applyNumberFormat="1" applyFont="1" applyFill="1" applyBorder="1" applyAlignment="1">
      <alignment vertical="center"/>
    </xf>
    <xf numFmtId="0" fontId="4" fillId="34" borderId="8" xfId="0" applyFont="1" applyFill="1" applyBorder="1" applyAlignment="1">
      <alignment horizontal="left" vertical="center"/>
    </xf>
    <xf numFmtId="0" fontId="4" fillId="0" borderId="2" xfId="0" applyFont="1" applyFill="1" applyBorder="1" applyAlignment="1">
      <alignment vertical="center"/>
    </xf>
    <xf numFmtId="0" fontId="4" fillId="0" borderId="5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5" borderId="54" xfId="0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8" fillId="0" borderId="55" xfId="0" applyFont="1" applyBorder="1" applyAlignment="1">
      <alignment vertical="center"/>
    </xf>
    <xf numFmtId="176" fontId="8" fillId="0" borderId="41" xfId="0" applyNumberFormat="1" applyFont="1" applyBorder="1" applyAlignment="1">
      <alignment vertical="center"/>
    </xf>
    <xf numFmtId="1" fontId="32" fillId="34" borderId="2" xfId="0" applyNumberFormat="1" applyFont="1" applyFill="1" applyBorder="1" applyAlignment="1">
      <alignment vertical="center"/>
    </xf>
    <xf numFmtId="176" fontId="8" fillId="0" borderId="2" xfId="0" applyNumberFormat="1" applyFont="1" applyBorder="1" applyAlignment="1">
      <alignment vertical="center"/>
    </xf>
    <xf numFmtId="0" fontId="8" fillId="0" borderId="56" xfId="0" applyFont="1" applyBorder="1" applyAlignment="1">
      <alignment vertical="center"/>
    </xf>
    <xf numFmtId="0" fontId="4" fillId="32" borderId="2" xfId="0" applyFont="1" applyFill="1" applyBorder="1" applyAlignment="1">
      <alignment vertical="center"/>
    </xf>
    <xf numFmtId="0" fontId="11" fillId="0" borderId="57" xfId="0" applyFont="1" applyBorder="1" applyAlignment="1">
      <alignment vertical="center"/>
    </xf>
    <xf numFmtId="0" fontId="11" fillId="0" borderId="58" xfId="0" applyFont="1" applyBorder="1" applyAlignment="1">
      <alignment vertical="center"/>
    </xf>
    <xf numFmtId="0" fontId="4" fillId="0" borderId="59" xfId="0" applyFont="1" applyBorder="1" applyAlignment="1">
      <alignment vertical="center"/>
    </xf>
    <xf numFmtId="1" fontId="32" fillId="34" borderId="21" xfId="0" applyNumberFormat="1" applyFont="1" applyFill="1" applyBorder="1" applyAlignment="1">
      <alignment vertical="center"/>
    </xf>
    <xf numFmtId="0" fontId="4" fillId="0" borderId="60" xfId="0" applyFont="1" applyBorder="1" applyAlignment="1">
      <alignment vertical="center"/>
    </xf>
    <xf numFmtId="0" fontId="13" fillId="7" borderId="0" xfId="0" applyFont="1" applyFill="1" applyAlignment="1">
      <alignment horizontal="center"/>
    </xf>
    <xf numFmtId="0" fontId="52" fillId="6" borderId="5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5" xfId="0" applyFont="1" applyFill="1" applyBorder="1"/>
    <xf numFmtId="22" fontId="30" fillId="0" borderId="5" xfId="0" quotePrefix="1" applyNumberFormat="1" applyFont="1" applyFill="1" applyBorder="1"/>
    <xf numFmtId="0" fontId="30" fillId="0" borderId="5" xfId="0" quotePrefix="1" applyFont="1" applyFill="1" applyBorder="1"/>
    <xf numFmtId="0" fontId="2" fillId="0" borderId="5" xfId="615" applyBorder="1"/>
    <xf numFmtId="0" fontId="16" fillId="0" borderId="5" xfId="0" applyFont="1" applyFill="1" applyBorder="1" applyAlignment="1">
      <alignment vertical="center" wrapText="1"/>
    </xf>
    <xf numFmtId="0" fontId="6" fillId="5" borderId="21" xfId="0" applyFont="1" applyFill="1" applyBorder="1" applyAlignment="1">
      <alignment vertical="center"/>
    </xf>
    <xf numFmtId="0" fontId="6" fillId="3" borderId="21" xfId="0" applyFont="1" applyFill="1" applyBorder="1" applyAlignment="1">
      <alignment vertical="center"/>
    </xf>
    <xf numFmtId="0" fontId="6" fillId="0" borderId="60" xfId="0" applyFont="1" applyFill="1" applyBorder="1" applyAlignment="1">
      <alignment vertical="center"/>
    </xf>
    <xf numFmtId="0" fontId="6" fillId="0" borderId="61" xfId="0" applyFont="1" applyFill="1" applyBorder="1" applyAlignment="1">
      <alignment vertical="center"/>
    </xf>
    <xf numFmtId="0" fontId="6" fillId="5" borderId="34" xfId="0" applyFont="1" applyFill="1" applyBorder="1" applyAlignment="1">
      <alignment vertical="center"/>
    </xf>
    <xf numFmtId="0" fontId="6" fillId="3" borderId="34" xfId="0" applyFont="1" applyFill="1" applyBorder="1" applyAlignment="1">
      <alignment vertical="center"/>
    </xf>
    <xf numFmtId="0" fontId="6" fillId="0" borderId="62" xfId="0" applyFont="1" applyFill="1" applyBorder="1" applyAlignment="1">
      <alignment vertical="center"/>
    </xf>
    <xf numFmtId="176" fontId="8" fillId="0" borderId="24" xfId="0" applyNumberFormat="1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4" fillId="0" borderId="63" xfId="0" applyFont="1" applyBorder="1" applyAlignment="1">
      <alignment vertical="center"/>
    </xf>
    <xf numFmtId="0" fontId="4" fillId="0" borderId="64" xfId="0" applyFont="1" applyBorder="1" applyAlignment="1">
      <alignment vertical="center"/>
    </xf>
    <xf numFmtId="0" fontId="4" fillId="0" borderId="65" xfId="0" applyFont="1" applyBorder="1" applyAlignment="1">
      <alignment vertical="center"/>
    </xf>
    <xf numFmtId="0" fontId="4" fillId="0" borderId="61" xfId="0" applyFont="1" applyBorder="1" applyAlignment="1">
      <alignment vertical="center"/>
    </xf>
    <xf numFmtId="1" fontId="32" fillId="34" borderId="34" xfId="0" applyNumberFormat="1" applyFont="1" applyFill="1" applyBorder="1" applyAlignment="1">
      <alignment vertical="center"/>
    </xf>
    <xf numFmtId="0" fontId="4" fillId="0" borderId="66" xfId="0" applyFont="1" applyBorder="1" applyAlignment="1">
      <alignment vertical="center"/>
    </xf>
    <xf numFmtId="0" fontId="4" fillId="0" borderId="62" xfId="0" applyFont="1" applyBorder="1" applyAlignment="1">
      <alignment vertical="center"/>
    </xf>
    <xf numFmtId="0" fontId="16" fillId="35" borderId="5" xfId="0" applyFont="1" applyFill="1" applyBorder="1" applyAlignment="1">
      <alignment vertical="center"/>
    </xf>
    <xf numFmtId="0" fontId="16" fillId="35" borderId="5" xfId="0" applyFont="1" applyFill="1" applyBorder="1" applyAlignment="1">
      <alignment horizontal="left" vertical="center"/>
    </xf>
    <xf numFmtId="0" fontId="16" fillId="35" borderId="5" xfId="0" applyFont="1" applyFill="1" applyBorder="1" applyAlignment="1">
      <alignment horizontal="left" vertical="center" wrapText="1"/>
    </xf>
    <xf numFmtId="0" fontId="16" fillId="36" borderId="5" xfId="0" applyFont="1" applyFill="1" applyBorder="1" applyAlignment="1">
      <alignment vertical="center"/>
    </xf>
    <xf numFmtId="0" fontId="16" fillId="36" borderId="5" xfId="0" applyFont="1" applyFill="1" applyBorder="1" applyAlignment="1">
      <alignment horizontal="left" vertical="center"/>
    </xf>
    <xf numFmtId="0" fontId="16" fillId="36" borderId="5" xfId="0" applyFont="1" applyFill="1" applyBorder="1" applyAlignment="1">
      <alignment horizontal="left" vertical="center" wrapText="1"/>
    </xf>
    <xf numFmtId="0" fontId="16" fillId="37" borderId="5" xfId="0" applyFont="1" applyFill="1" applyBorder="1" applyAlignment="1">
      <alignment vertical="center"/>
    </xf>
    <xf numFmtId="0" fontId="16" fillId="37" borderId="5" xfId="0" applyFont="1" applyFill="1" applyBorder="1" applyAlignment="1">
      <alignment horizontal="left" vertical="center"/>
    </xf>
    <xf numFmtId="0" fontId="16" fillId="37" borderId="5" xfId="0" applyFont="1" applyFill="1" applyBorder="1" applyAlignment="1">
      <alignment horizontal="left" vertical="center" wrapText="1"/>
    </xf>
    <xf numFmtId="0" fontId="16" fillId="15" borderId="5" xfId="0" applyFont="1" applyFill="1" applyBorder="1" applyAlignment="1">
      <alignment vertical="center"/>
    </xf>
    <xf numFmtId="0" fontId="16" fillId="15" borderId="5" xfId="0" applyFont="1" applyFill="1" applyBorder="1" applyAlignment="1">
      <alignment horizontal="left" vertical="center"/>
    </xf>
    <xf numFmtId="0" fontId="16" fillId="15" borderId="5" xfId="0" applyFont="1" applyFill="1" applyBorder="1" applyAlignment="1">
      <alignment horizontal="left" vertical="center" wrapText="1"/>
    </xf>
    <xf numFmtId="0" fontId="16" fillId="38" borderId="5" xfId="0" applyFont="1" applyFill="1" applyBorder="1" applyAlignment="1">
      <alignment vertical="center"/>
    </xf>
    <xf numFmtId="0" fontId="16" fillId="38" borderId="5" xfId="0" applyFont="1" applyFill="1" applyBorder="1" applyAlignment="1">
      <alignment horizontal="left" vertical="center"/>
    </xf>
    <xf numFmtId="0" fontId="16" fillId="38" borderId="5" xfId="0" applyFont="1" applyFill="1" applyBorder="1" applyAlignment="1">
      <alignment horizontal="left" vertical="center" wrapText="1"/>
    </xf>
    <xf numFmtId="14" fontId="16" fillId="38" borderId="5" xfId="0" applyNumberFormat="1" applyFont="1" applyFill="1" applyBorder="1" applyAlignment="1">
      <alignment horizontal="left" vertical="center"/>
    </xf>
    <xf numFmtId="0" fontId="16" fillId="38" borderId="0" xfId="0" applyFont="1" applyFill="1" applyAlignment="1">
      <alignment vertical="center"/>
    </xf>
    <xf numFmtId="0" fontId="16" fillId="39" borderId="5" xfId="0" applyFont="1" applyFill="1" applyBorder="1" applyAlignment="1">
      <alignment vertical="center"/>
    </xf>
    <xf numFmtId="0" fontId="16" fillId="39" borderId="5" xfId="0" applyFont="1" applyFill="1" applyBorder="1" applyAlignment="1">
      <alignment horizontal="left" vertical="center"/>
    </xf>
    <xf numFmtId="0" fontId="16" fillId="39" borderId="5" xfId="0" applyFont="1" applyFill="1" applyBorder="1" applyAlignment="1">
      <alignment horizontal="left" vertical="center" wrapText="1"/>
    </xf>
    <xf numFmtId="0" fontId="16" fillId="6" borderId="5" xfId="0" applyFont="1" applyFill="1" applyBorder="1" applyAlignment="1">
      <alignment vertical="center"/>
    </xf>
    <xf numFmtId="0" fontId="16" fillId="6" borderId="5" xfId="0" applyFont="1" applyFill="1" applyBorder="1" applyAlignment="1">
      <alignment horizontal="left" vertical="center"/>
    </xf>
    <xf numFmtId="0" fontId="16" fillId="6" borderId="5" xfId="0" applyFont="1" applyFill="1" applyBorder="1" applyAlignment="1">
      <alignment horizontal="left" vertical="center" wrapText="1"/>
    </xf>
    <xf numFmtId="0" fontId="16" fillId="2" borderId="5" xfId="0" applyFont="1" applyFill="1" applyBorder="1" applyAlignment="1">
      <alignment vertical="center"/>
    </xf>
    <xf numFmtId="0" fontId="16" fillId="2" borderId="5" xfId="0" applyFont="1" applyFill="1" applyBorder="1" applyAlignment="1">
      <alignment horizontal="left" vertical="center"/>
    </xf>
    <xf numFmtId="0" fontId="16" fillId="2" borderId="5" xfId="0" applyFont="1" applyFill="1" applyBorder="1" applyAlignment="1">
      <alignment horizontal="left" vertical="center" wrapText="1"/>
    </xf>
    <xf numFmtId="0" fontId="16" fillId="32" borderId="5" xfId="0" applyFont="1" applyFill="1" applyBorder="1" applyAlignment="1">
      <alignment vertical="center"/>
    </xf>
    <xf numFmtId="0" fontId="6" fillId="5" borderId="67" xfId="0" applyFont="1" applyFill="1" applyBorder="1" applyAlignment="1">
      <alignment vertical="center"/>
    </xf>
    <xf numFmtId="0" fontId="6" fillId="5" borderId="2" xfId="0" applyFont="1" applyFill="1" applyBorder="1" applyAlignment="1">
      <alignment vertical="center"/>
    </xf>
    <xf numFmtId="0" fontId="4" fillId="0" borderId="68" xfId="0" applyFont="1" applyBorder="1" applyAlignment="1">
      <alignment vertical="center"/>
    </xf>
    <xf numFmtId="0" fontId="4" fillId="0" borderId="69" xfId="0" applyFont="1" applyBorder="1" applyAlignment="1">
      <alignment vertical="center"/>
    </xf>
    <xf numFmtId="0" fontId="4" fillId="0" borderId="70" xfId="0" applyFont="1" applyBorder="1" applyAlignment="1">
      <alignment vertical="center"/>
    </xf>
    <xf numFmtId="49" fontId="16" fillId="0" borderId="5" xfId="0" applyNumberFormat="1" applyFont="1" applyFill="1" applyBorder="1" applyAlignment="1">
      <alignment horizontal="left" vertical="center" wrapText="1"/>
    </xf>
  </cellXfs>
  <cellStyles count="94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赤字強調" xfId="431"/>
    <cellStyle name="青字強調" xfId="430"/>
  </cellStyles>
  <dxfs count="5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9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event_anniversary_advent_0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event_V2_advent_3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14001</v>
          </cell>
        </row>
        <row r="94">
          <cell r="A94">
            <v>14002</v>
          </cell>
        </row>
        <row r="95">
          <cell r="A95">
            <v>14003</v>
          </cell>
        </row>
        <row r="96">
          <cell r="A96">
            <v>14004</v>
          </cell>
        </row>
        <row r="97">
          <cell r="A97">
            <v>14005</v>
          </cell>
        </row>
        <row r="98">
          <cell r="A98">
            <v>14006</v>
          </cell>
        </row>
        <row r="99">
          <cell r="A99">
            <v>15027</v>
          </cell>
        </row>
        <row r="100">
          <cell r="A100">
            <v>15028</v>
          </cell>
        </row>
        <row r="101">
          <cell r="A101">
            <v>15029</v>
          </cell>
        </row>
        <row r="102">
          <cell r="A102">
            <v>15030</v>
          </cell>
        </row>
        <row r="103">
          <cell r="A103">
            <v>15031</v>
          </cell>
        </row>
        <row r="104">
          <cell r="A104">
            <v>20001</v>
          </cell>
        </row>
        <row r="105">
          <cell r="A105">
            <v>20002</v>
          </cell>
        </row>
        <row r="106">
          <cell r="A106">
            <v>20003</v>
          </cell>
        </row>
        <row r="107">
          <cell r="A107">
            <v>20004</v>
          </cell>
        </row>
        <row r="108">
          <cell r="A108">
            <v>20005</v>
          </cell>
        </row>
        <row r="109">
          <cell r="A109">
            <v>20006</v>
          </cell>
        </row>
        <row r="110">
          <cell r="A110">
            <v>20007</v>
          </cell>
        </row>
        <row r="111">
          <cell r="A111">
            <v>20008</v>
          </cell>
        </row>
        <row r="112">
          <cell r="A112">
            <v>20009</v>
          </cell>
        </row>
        <row r="113">
          <cell r="A113">
            <v>20010</v>
          </cell>
        </row>
        <row r="114">
          <cell r="A114">
            <v>20011</v>
          </cell>
        </row>
        <row r="115">
          <cell r="A115">
            <v>20012</v>
          </cell>
        </row>
        <row r="116">
          <cell r="A116">
            <v>20013</v>
          </cell>
        </row>
        <row r="117">
          <cell r="A117">
            <v>20014</v>
          </cell>
        </row>
        <row r="118">
          <cell r="A118">
            <v>20015</v>
          </cell>
        </row>
        <row r="119">
          <cell r="A119">
            <v>20016</v>
          </cell>
        </row>
        <row r="120">
          <cell r="A120">
            <v>20017</v>
          </cell>
        </row>
        <row r="121">
          <cell r="A121">
            <v>20018</v>
          </cell>
        </row>
        <row r="122">
          <cell r="A122">
            <v>20019</v>
          </cell>
        </row>
        <row r="123">
          <cell r="A123">
            <v>20020</v>
          </cell>
        </row>
        <row r="124">
          <cell r="A124">
            <v>20021</v>
          </cell>
        </row>
        <row r="125">
          <cell r="A125">
            <v>30001</v>
          </cell>
        </row>
        <row r="126">
          <cell r="A126">
            <v>30002</v>
          </cell>
        </row>
        <row r="127">
          <cell r="A127">
            <v>30003</v>
          </cell>
        </row>
        <row r="128">
          <cell r="A128">
            <v>30004</v>
          </cell>
        </row>
        <row r="129">
          <cell r="A129">
            <v>30005</v>
          </cell>
        </row>
        <row r="130">
          <cell r="A130">
            <v>30006</v>
          </cell>
        </row>
        <row r="131">
          <cell r="A131">
            <v>30007</v>
          </cell>
        </row>
        <row r="132">
          <cell r="A132">
            <v>30008</v>
          </cell>
        </row>
        <row r="133">
          <cell r="A133">
            <v>30009</v>
          </cell>
        </row>
        <row r="134">
          <cell r="A134">
            <v>30010</v>
          </cell>
        </row>
        <row r="135">
          <cell r="A135">
            <v>30011</v>
          </cell>
        </row>
        <row r="136">
          <cell r="A136">
            <v>30012</v>
          </cell>
        </row>
        <row r="137">
          <cell r="A137">
            <v>30013</v>
          </cell>
        </row>
        <row r="138">
          <cell r="A138">
            <v>30014</v>
          </cell>
        </row>
        <row r="139">
          <cell r="A139">
            <v>30015</v>
          </cell>
        </row>
        <row r="140">
          <cell r="A140">
            <v>30016</v>
          </cell>
        </row>
        <row r="141">
          <cell r="A141">
            <v>30017</v>
          </cell>
        </row>
        <row r="142">
          <cell r="A142">
            <v>30018</v>
          </cell>
        </row>
        <row r="143">
          <cell r="A143">
            <v>30019</v>
          </cell>
        </row>
        <row r="144">
          <cell r="A144">
            <v>30020</v>
          </cell>
        </row>
        <row r="145">
          <cell r="A145">
            <v>30021</v>
          </cell>
        </row>
        <row r="146">
          <cell r="A146">
            <v>30022</v>
          </cell>
        </row>
        <row r="147">
          <cell r="A147">
            <v>30023</v>
          </cell>
        </row>
        <row r="148">
          <cell r="A148">
            <v>30024</v>
          </cell>
        </row>
        <row r="149">
          <cell r="A149">
            <v>30025</v>
          </cell>
        </row>
        <row r="150">
          <cell r="A150">
            <v>30026</v>
          </cell>
        </row>
        <row r="151">
          <cell r="A151">
            <v>30027</v>
          </cell>
        </row>
        <row r="152">
          <cell r="A152">
            <v>30028</v>
          </cell>
        </row>
        <row r="153">
          <cell r="A153">
            <v>30029</v>
          </cell>
        </row>
        <row r="154">
          <cell r="A154">
            <v>30030</v>
          </cell>
        </row>
        <row r="155">
          <cell r="A155">
            <v>30031</v>
          </cell>
        </row>
        <row r="156">
          <cell r="A156">
            <v>30032</v>
          </cell>
        </row>
        <row r="157">
          <cell r="A157">
            <v>30033</v>
          </cell>
        </row>
        <row r="158">
          <cell r="A158">
            <v>30034</v>
          </cell>
        </row>
        <row r="159">
          <cell r="A159">
            <v>30035</v>
          </cell>
        </row>
        <row r="160">
          <cell r="A160">
            <v>30036</v>
          </cell>
        </row>
        <row r="161">
          <cell r="A161">
            <v>30037</v>
          </cell>
        </row>
        <row r="162">
          <cell r="A162">
            <v>30038</v>
          </cell>
        </row>
        <row r="163">
          <cell r="A163">
            <v>30039</v>
          </cell>
        </row>
        <row r="164">
          <cell r="A164">
            <v>30040</v>
          </cell>
        </row>
        <row r="165">
          <cell r="A165">
            <v>30041</v>
          </cell>
        </row>
        <row r="166">
          <cell r="A166">
            <v>30042</v>
          </cell>
        </row>
        <row r="167">
          <cell r="A167">
            <v>30043</v>
          </cell>
        </row>
        <row r="168">
          <cell r="A168">
            <v>30044</v>
          </cell>
        </row>
        <row r="169">
          <cell r="A169">
            <v>39001</v>
          </cell>
        </row>
        <row r="170">
          <cell r="A170">
            <v>39002</v>
          </cell>
        </row>
        <row r="171">
          <cell r="A171">
            <v>39003</v>
          </cell>
        </row>
        <row r="172">
          <cell r="A172">
            <v>39004</v>
          </cell>
        </row>
        <row r="173">
          <cell r="A173">
            <v>39005</v>
          </cell>
        </row>
        <row r="174">
          <cell r="A174">
            <v>39006</v>
          </cell>
        </row>
        <row r="175">
          <cell r="A175">
            <v>39007</v>
          </cell>
        </row>
        <row r="176">
          <cell r="A176">
            <v>40001</v>
          </cell>
        </row>
        <row r="177">
          <cell r="A177">
            <v>40002</v>
          </cell>
        </row>
        <row r="178">
          <cell r="A178">
            <v>40003</v>
          </cell>
        </row>
        <row r="179">
          <cell r="A179">
            <v>40004</v>
          </cell>
        </row>
        <row r="180">
          <cell r="A180">
            <v>40005</v>
          </cell>
        </row>
        <row r="181">
          <cell r="A181">
            <v>40006</v>
          </cell>
        </row>
        <row r="182">
          <cell r="A182">
            <v>40007</v>
          </cell>
        </row>
        <row r="183">
          <cell r="A183">
            <v>40008</v>
          </cell>
        </row>
        <row r="184">
          <cell r="A184">
            <v>40009</v>
          </cell>
        </row>
        <row r="185">
          <cell r="A185">
            <v>40010</v>
          </cell>
        </row>
        <row r="186">
          <cell r="A186">
            <v>40011</v>
          </cell>
        </row>
        <row r="187">
          <cell r="A187">
            <v>40012</v>
          </cell>
        </row>
        <row r="188">
          <cell r="A188">
            <v>40013</v>
          </cell>
        </row>
        <row r="189">
          <cell r="A189">
            <v>40014</v>
          </cell>
        </row>
        <row r="190">
          <cell r="A190">
            <v>40015</v>
          </cell>
        </row>
        <row r="191">
          <cell r="A191">
            <v>40016</v>
          </cell>
        </row>
        <row r="192">
          <cell r="A192">
            <v>40017</v>
          </cell>
        </row>
        <row r="193">
          <cell r="A193">
            <v>40018</v>
          </cell>
        </row>
        <row r="194">
          <cell r="A194">
            <v>40019</v>
          </cell>
        </row>
        <row r="195">
          <cell r="A195">
            <v>40021</v>
          </cell>
        </row>
        <row r="196">
          <cell r="A196">
            <v>40022</v>
          </cell>
        </row>
        <row r="197">
          <cell r="A197">
            <v>40023</v>
          </cell>
        </row>
        <row r="198">
          <cell r="A198">
            <v>40024</v>
          </cell>
        </row>
        <row r="199">
          <cell r="A199">
            <v>40025</v>
          </cell>
        </row>
        <row r="200">
          <cell r="A200">
            <v>40026</v>
          </cell>
        </row>
        <row r="201">
          <cell r="A201">
            <v>40027</v>
          </cell>
        </row>
        <row r="202">
          <cell r="A202">
            <v>40028</v>
          </cell>
        </row>
        <row r="203">
          <cell r="A203">
            <v>40029</v>
          </cell>
        </row>
        <row r="204">
          <cell r="A204">
            <v>40030</v>
          </cell>
        </row>
        <row r="205">
          <cell r="A205">
            <v>40031</v>
          </cell>
        </row>
        <row r="206">
          <cell r="A206">
            <v>40032</v>
          </cell>
        </row>
        <row r="207">
          <cell r="A207">
            <v>40033</v>
          </cell>
        </row>
        <row r="208">
          <cell r="A208">
            <v>40034</v>
          </cell>
        </row>
        <row r="209">
          <cell r="A209">
            <v>40035</v>
          </cell>
        </row>
        <row r="210">
          <cell r="A210">
            <v>40036</v>
          </cell>
        </row>
        <row r="211">
          <cell r="A211">
            <v>40037</v>
          </cell>
        </row>
        <row r="212">
          <cell r="A212">
            <v>48001</v>
          </cell>
        </row>
        <row r="213">
          <cell r="A213">
            <v>48002</v>
          </cell>
        </row>
        <row r="214">
          <cell r="A214">
            <v>48003</v>
          </cell>
        </row>
        <row r="215">
          <cell r="A215">
            <v>48004</v>
          </cell>
        </row>
        <row r="216">
          <cell r="A216">
            <v>48005</v>
          </cell>
        </row>
        <row r="217">
          <cell r="A217">
            <v>48006</v>
          </cell>
        </row>
        <row r="218">
          <cell r="A218">
            <v>41001</v>
          </cell>
        </row>
        <row r="219">
          <cell r="A219">
            <v>41002</v>
          </cell>
        </row>
        <row r="220">
          <cell r="A220">
            <v>41003</v>
          </cell>
        </row>
        <row r="221">
          <cell r="A221">
            <v>41004</v>
          </cell>
        </row>
        <row r="222">
          <cell r="A222">
            <v>41005</v>
          </cell>
        </row>
        <row r="223">
          <cell r="A223">
            <v>41006</v>
          </cell>
        </row>
        <row r="224">
          <cell r="A224">
            <v>41007</v>
          </cell>
        </row>
        <row r="225">
          <cell r="A225">
            <v>41008</v>
          </cell>
        </row>
        <row r="226">
          <cell r="A226">
            <v>41009</v>
          </cell>
        </row>
        <row r="227">
          <cell r="A227">
            <v>41010</v>
          </cell>
        </row>
        <row r="228">
          <cell r="A228">
            <v>41011</v>
          </cell>
        </row>
        <row r="229">
          <cell r="A229">
            <v>41012</v>
          </cell>
        </row>
        <row r="230">
          <cell r="A230">
            <v>41013</v>
          </cell>
        </row>
        <row r="231">
          <cell r="A231">
            <v>41014</v>
          </cell>
        </row>
        <row r="232">
          <cell r="A232">
            <v>41015</v>
          </cell>
        </row>
        <row r="233">
          <cell r="A233">
            <v>47001</v>
          </cell>
        </row>
        <row r="234">
          <cell r="A234">
            <v>47002</v>
          </cell>
        </row>
        <row r="235">
          <cell r="A235">
            <v>47003</v>
          </cell>
        </row>
        <row r="236">
          <cell r="A236">
            <v>49001</v>
          </cell>
        </row>
        <row r="237">
          <cell r="A237">
            <v>49002</v>
          </cell>
        </row>
        <row r="238">
          <cell r="A238">
            <v>49003</v>
          </cell>
        </row>
        <row r="239">
          <cell r="A239">
            <v>49004</v>
          </cell>
        </row>
        <row r="240">
          <cell r="A240">
            <v>49005</v>
          </cell>
        </row>
        <row r="241">
          <cell r="A241">
            <v>49006</v>
          </cell>
        </row>
        <row r="242">
          <cell r="A242">
            <v>49007</v>
          </cell>
        </row>
        <row r="243">
          <cell r="A243">
            <v>50001</v>
          </cell>
        </row>
        <row r="244">
          <cell r="A244">
            <v>50002</v>
          </cell>
        </row>
        <row r="245">
          <cell r="A245">
            <v>50003</v>
          </cell>
        </row>
        <row r="246">
          <cell r="A246">
            <v>50004</v>
          </cell>
        </row>
        <row r="247">
          <cell r="A247">
            <v>50005</v>
          </cell>
        </row>
        <row r="248">
          <cell r="A248">
            <v>50006</v>
          </cell>
        </row>
        <row r="249">
          <cell r="A249">
            <v>50007</v>
          </cell>
        </row>
        <row r="250">
          <cell r="A250">
            <v>50008</v>
          </cell>
        </row>
        <row r="251">
          <cell r="A251">
            <v>50009</v>
          </cell>
        </row>
        <row r="252">
          <cell r="A252">
            <v>51001</v>
          </cell>
        </row>
        <row r="253">
          <cell r="A253">
            <v>51002</v>
          </cell>
        </row>
        <row r="254">
          <cell r="A254">
            <v>60001</v>
          </cell>
        </row>
        <row r="255">
          <cell r="A255">
            <v>60002</v>
          </cell>
        </row>
        <row r="256">
          <cell r="A256">
            <v>60003</v>
          </cell>
        </row>
        <row r="257">
          <cell r="A257">
            <v>60004</v>
          </cell>
        </row>
        <row r="258">
          <cell r="A258">
            <v>60005</v>
          </cell>
        </row>
        <row r="259">
          <cell r="A259">
            <v>60006</v>
          </cell>
        </row>
        <row r="260">
          <cell r="A260">
            <v>60007</v>
          </cell>
        </row>
        <row r="261">
          <cell r="A261">
            <v>60010</v>
          </cell>
        </row>
        <row r="262">
          <cell r="A262">
            <v>60011</v>
          </cell>
        </row>
        <row r="263">
          <cell r="A263">
            <v>61011</v>
          </cell>
        </row>
        <row r="264">
          <cell r="A264">
            <v>60012</v>
          </cell>
        </row>
        <row r="265">
          <cell r="A265">
            <v>60013</v>
          </cell>
        </row>
        <row r="266">
          <cell r="A266">
            <v>60014</v>
          </cell>
        </row>
        <row r="267">
          <cell r="A267">
            <v>60015</v>
          </cell>
        </row>
        <row r="268">
          <cell r="A268">
            <v>60016</v>
          </cell>
        </row>
        <row r="269">
          <cell r="A269">
            <v>60017</v>
          </cell>
        </row>
        <row r="270">
          <cell r="A270">
            <v>60018</v>
          </cell>
        </row>
        <row r="271">
          <cell r="A271">
            <v>65525</v>
          </cell>
        </row>
        <row r="272">
          <cell r="A272">
            <v>65526</v>
          </cell>
        </row>
        <row r="273">
          <cell r="A273">
            <v>65533</v>
          </cell>
        </row>
        <row r="274">
          <cell r="A274">
            <v>65534</v>
          </cell>
        </row>
        <row r="275">
          <cell r="A275">
            <v>65535</v>
          </cell>
        </row>
        <row r="276">
          <cell r="A276">
            <v>60021</v>
          </cell>
        </row>
        <row r="277">
          <cell r="A277">
            <v>60022</v>
          </cell>
        </row>
        <row r="278">
          <cell r="A278">
            <v>60023</v>
          </cell>
        </row>
        <row r="279">
          <cell r="A27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14001_1</v>
          </cell>
        </row>
        <row r="372">
          <cell r="A372" t="str">
            <v>14001_2</v>
          </cell>
        </row>
        <row r="373">
          <cell r="A373" t="str">
            <v>14001_3</v>
          </cell>
        </row>
        <row r="374">
          <cell r="A374" t="str">
            <v>14001_4</v>
          </cell>
        </row>
        <row r="375">
          <cell r="A375" t="str">
            <v>14001_5</v>
          </cell>
        </row>
        <row r="376">
          <cell r="A376" t="str">
            <v>14001_6</v>
          </cell>
        </row>
        <row r="377">
          <cell r="A377" t="str">
            <v>14001_7</v>
          </cell>
        </row>
        <row r="378">
          <cell r="A378" t="str">
            <v>14001_8</v>
          </cell>
        </row>
        <row r="379">
          <cell r="A379" t="str">
            <v>14002_1</v>
          </cell>
        </row>
        <row r="380">
          <cell r="A380" t="str">
            <v>14002_2</v>
          </cell>
        </row>
        <row r="381">
          <cell r="A381" t="str">
            <v>14003_1</v>
          </cell>
        </row>
        <row r="382">
          <cell r="A382" t="str">
            <v>14003_2</v>
          </cell>
        </row>
        <row r="383">
          <cell r="A383" t="str">
            <v>14003_3</v>
          </cell>
        </row>
        <row r="384">
          <cell r="A384" t="str">
            <v>14003_4</v>
          </cell>
        </row>
        <row r="385">
          <cell r="A385" t="str">
            <v>14004_1</v>
          </cell>
        </row>
        <row r="386">
          <cell r="A386" t="str">
            <v>14004_2</v>
          </cell>
        </row>
        <row r="387">
          <cell r="A387" t="str">
            <v>14004_3</v>
          </cell>
        </row>
        <row r="388">
          <cell r="A388" t="str">
            <v>14004_4</v>
          </cell>
        </row>
        <row r="389">
          <cell r="A389" t="str">
            <v>14005_1</v>
          </cell>
        </row>
        <row r="390">
          <cell r="A390" t="str">
            <v>14006_1</v>
          </cell>
        </row>
        <row r="391">
          <cell r="A391" t="str">
            <v>15027_1</v>
          </cell>
        </row>
        <row r="392">
          <cell r="A392" t="str">
            <v>15027_2</v>
          </cell>
        </row>
        <row r="393">
          <cell r="A393" t="str">
            <v>15027_3</v>
          </cell>
        </row>
        <row r="394">
          <cell r="A394" t="str">
            <v>15027_4</v>
          </cell>
        </row>
        <row r="395">
          <cell r="A395" t="str">
            <v>15028_1</v>
          </cell>
        </row>
        <row r="396">
          <cell r="A396" t="str">
            <v>15028_2</v>
          </cell>
        </row>
        <row r="397">
          <cell r="A397" t="str">
            <v>15028_3</v>
          </cell>
        </row>
        <row r="398">
          <cell r="A398" t="str">
            <v>15028_4</v>
          </cell>
        </row>
        <row r="399">
          <cell r="A399" t="str">
            <v>15029_1</v>
          </cell>
        </row>
        <row r="400">
          <cell r="A400" t="str">
            <v>15029_2</v>
          </cell>
        </row>
        <row r="401">
          <cell r="A401" t="str">
            <v>15029_3</v>
          </cell>
        </row>
        <row r="402">
          <cell r="A402" t="str">
            <v>15029_4</v>
          </cell>
        </row>
        <row r="403">
          <cell r="A403" t="str">
            <v>15030_1</v>
          </cell>
        </row>
        <row r="404">
          <cell r="A404" t="str">
            <v>15030_2</v>
          </cell>
        </row>
        <row r="405">
          <cell r="A405" t="str">
            <v>15030_3</v>
          </cell>
        </row>
        <row r="406">
          <cell r="A406" t="str">
            <v>15030_4</v>
          </cell>
        </row>
        <row r="407">
          <cell r="A407" t="str">
            <v>15031_1</v>
          </cell>
        </row>
        <row r="408">
          <cell r="A408" t="str">
            <v>15031_2</v>
          </cell>
        </row>
        <row r="409">
          <cell r="A409" t="str">
            <v>15031_3</v>
          </cell>
        </row>
        <row r="410">
          <cell r="A410" t="str">
            <v>15031_4</v>
          </cell>
        </row>
        <row r="411">
          <cell r="A411" t="str">
            <v>20001_1</v>
          </cell>
        </row>
        <row r="412">
          <cell r="A412" t="str">
            <v>20001_2</v>
          </cell>
        </row>
        <row r="413">
          <cell r="A413" t="str">
            <v>20001_3</v>
          </cell>
        </row>
        <row r="414">
          <cell r="A414" t="str">
            <v>20002_1</v>
          </cell>
        </row>
        <row r="415">
          <cell r="A415" t="str">
            <v>20002_2</v>
          </cell>
        </row>
        <row r="416">
          <cell r="A416" t="str">
            <v>20002_3</v>
          </cell>
        </row>
        <row r="417">
          <cell r="A417" t="str">
            <v>20003_1</v>
          </cell>
        </row>
        <row r="418">
          <cell r="A418" t="str">
            <v>20003_2</v>
          </cell>
        </row>
        <row r="419">
          <cell r="A419" t="str">
            <v>20003_3</v>
          </cell>
        </row>
        <row r="420">
          <cell r="A420" t="str">
            <v>20004_1</v>
          </cell>
        </row>
        <row r="421">
          <cell r="A421" t="str">
            <v>20004_2</v>
          </cell>
        </row>
        <row r="422">
          <cell r="A422" t="str">
            <v>20004_3</v>
          </cell>
        </row>
        <row r="423">
          <cell r="A423" t="str">
            <v>20005_1</v>
          </cell>
        </row>
        <row r="424">
          <cell r="A424" t="str">
            <v>20005_2</v>
          </cell>
        </row>
        <row r="425">
          <cell r="A425" t="str">
            <v>20005_3</v>
          </cell>
        </row>
        <row r="426">
          <cell r="A426" t="str">
            <v>20006_1</v>
          </cell>
        </row>
        <row r="427">
          <cell r="A427" t="str">
            <v>20006_2</v>
          </cell>
        </row>
        <row r="428">
          <cell r="A428" t="str">
            <v>20006_3</v>
          </cell>
        </row>
        <row r="429">
          <cell r="A429" t="str">
            <v>20007_1</v>
          </cell>
        </row>
        <row r="430">
          <cell r="A430" t="str">
            <v>20007_2</v>
          </cell>
        </row>
        <row r="431">
          <cell r="A431" t="str">
            <v>20007_3</v>
          </cell>
        </row>
        <row r="432">
          <cell r="A432" t="str">
            <v>20008_1</v>
          </cell>
        </row>
        <row r="433">
          <cell r="A433" t="str">
            <v>20008_2</v>
          </cell>
        </row>
        <row r="434">
          <cell r="A434" t="str">
            <v>20008_3</v>
          </cell>
        </row>
        <row r="435">
          <cell r="A435" t="str">
            <v>20009_1</v>
          </cell>
        </row>
        <row r="436">
          <cell r="A436" t="str">
            <v>20009_2</v>
          </cell>
        </row>
        <row r="437">
          <cell r="A437" t="str">
            <v>20009_3</v>
          </cell>
        </row>
        <row r="438">
          <cell r="A438" t="str">
            <v>20010_1</v>
          </cell>
        </row>
        <row r="439">
          <cell r="A439" t="str">
            <v>20010_2</v>
          </cell>
        </row>
        <row r="440">
          <cell r="A440" t="str">
            <v>20010_3</v>
          </cell>
        </row>
        <row r="441">
          <cell r="A441" t="str">
            <v>20011_1</v>
          </cell>
        </row>
        <row r="442">
          <cell r="A442" t="str">
            <v>20011_2</v>
          </cell>
        </row>
        <row r="443">
          <cell r="A443" t="str">
            <v>20011_3</v>
          </cell>
        </row>
        <row r="444">
          <cell r="A444" t="str">
            <v>20012_1</v>
          </cell>
        </row>
        <row r="445">
          <cell r="A445" t="str">
            <v>20012_2</v>
          </cell>
        </row>
        <row r="446">
          <cell r="A446" t="str">
            <v>20012_3</v>
          </cell>
        </row>
        <row r="447">
          <cell r="A447" t="str">
            <v>20013_1</v>
          </cell>
        </row>
        <row r="448">
          <cell r="A448" t="str">
            <v>20013_2</v>
          </cell>
        </row>
        <row r="449">
          <cell r="A449" t="str">
            <v>20013_3</v>
          </cell>
        </row>
        <row r="450">
          <cell r="A450" t="str">
            <v>20014_1</v>
          </cell>
        </row>
        <row r="451">
          <cell r="A451" t="str">
            <v>20014_2</v>
          </cell>
        </row>
        <row r="452">
          <cell r="A452" t="str">
            <v>20014_3</v>
          </cell>
        </row>
        <row r="453">
          <cell r="A453" t="str">
            <v>20015_1</v>
          </cell>
        </row>
        <row r="454">
          <cell r="A454" t="str">
            <v>20015_2</v>
          </cell>
        </row>
        <row r="455">
          <cell r="A455" t="str">
            <v>20015_3</v>
          </cell>
        </row>
        <row r="456">
          <cell r="A456" t="str">
            <v>20016_1</v>
          </cell>
        </row>
        <row r="457">
          <cell r="A457" t="str">
            <v>20016_2</v>
          </cell>
        </row>
        <row r="458">
          <cell r="A458" t="str">
            <v>20016_3</v>
          </cell>
        </row>
        <row r="459">
          <cell r="A459" t="str">
            <v>20017_1</v>
          </cell>
        </row>
        <row r="460">
          <cell r="A460" t="str">
            <v>20017_2</v>
          </cell>
        </row>
        <row r="461">
          <cell r="A461" t="str">
            <v>20017_3</v>
          </cell>
        </row>
        <row r="462">
          <cell r="A462" t="str">
            <v>20018_1</v>
          </cell>
        </row>
        <row r="463">
          <cell r="A463" t="str">
            <v>20018_2</v>
          </cell>
        </row>
        <row r="464">
          <cell r="A464" t="str">
            <v>20018_3</v>
          </cell>
        </row>
        <row r="465">
          <cell r="A465" t="str">
            <v>20019_1</v>
          </cell>
        </row>
        <row r="466">
          <cell r="A466" t="str">
            <v>20019_2</v>
          </cell>
        </row>
        <row r="467">
          <cell r="A467" t="str">
            <v>20019_3</v>
          </cell>
        </row>
        <row r="468">
          <cell r="A468" t="str">
            <v>20020_1</v>
          </cell>
        </row>
        <row r="469">
          <cell r="A469" t="str">
            <v>20020_2</v>
          </cell>
        </row>
        <row r="470">
          <cell r="A470" t="str">
            <v>20020_3</v>
          </cell>
        </row>
        <row r="471">
          <cell r="A471" t="str">
            <v>20021_1</v>
          </cell>
        </row>
        <row r="472">
          <cell r="A472" t="str">
            <v>20021_2</v>
          </cell>
        </row>
        <row r="473">
          <cell r="A473" t="str">
            <v>20021_3</v>
          </cell>
        </row>
        <row r="474">
          <cell r="A474" t="str">
            <v>30001_1</v>
          </cell>
        </row>
        <row r="475">
          <cell r="A475" t="str">
            <v>30001_2</v>
          </cell>
        </row>
        <row r="476">
          <cell r="A476" t="str">
            <v>30001_3</v>
          </cell>
        </row>
        <row r="477">
          <cell r="A477" t="str">
            <v>30002_1</v>
          </cell>
        </row>
        <row r="478">
          <cell r="A478" t="str">
            <v>30002_2</v>
          </cell>
        </row>
        <row r="479">
          <cell r="A479" t="str">
            <v>30002_3</v>
          </cell>
        </row>
        <row r="480">
          <cell r="A480" t="str">
            <v>30003_1</v>
          </cell>
        </row>
        <row r="481">
          <cell r="A481" t="str">
            <v>30003_2</v>
          </cell>
        </row>
        <row r="482">
          <cell r="A482" t="str">
            <v>30003_3</v>
          </cell>
        </row>
        <row r="483">
          <cell r="A483" t="str">
            <v>30004_1</v>
          </cell>
        </row>
        <row r="484">
          <cell r="A484" t="str">
            <v>30004_2</v>
          </cell>
        </row>
        <row r="485">
          <cell r="A485" t="str">
            <v>30004_3</v>
          </cell>
        </row>
        <row r="486">
          <cell r="A486" t="str">
            <v>30005_1</v>
          </cell>
        </row>
        <row r="487">
          <cell r="A487" t="str">
            <v>30005_2</v>
          </cell>
        </row>
        <row r="488">
          <cell r="A488" t="str">
            <v>30005_3</v>
          </cell>
        </row>
        <row r="489">
          <cell r="A489" t="str">
            <v>30006_1</v>
          </cell>
        </row>
        <row r="490">
          <cell r="A490" t="str">
            <v>30006_2</v>
          </cell>
        </row>
        <row r="491">
          <cell r="A491" t="str">
            <v>30006_3</v>
          </cell>
        </row>
        <row r="492">
          <cell r="A492" t="str">
            <v>30007_1</v>
          </cell>
        </row>
        <row r="493">
          <cell r="A493" t="str">
            <v>30007_2</v>
          </cell>
        </row>
        <row r="494">
          <cell r="A494" t="str">
            <v>30007_3</v>
          </cell>
        </row>
        <row r="495">
          <cell r="A495" t="str">
            <v>30008_1</v>
          </cell>
        </row>
        <row r="496">
          <cell r="A496" t="str">
            <v>30008_2</v>
          </cell>
        </row>
        <row r="497">
          <cell r="A497" t="str">
            <v>30008_3</v>
          </cell>
        </row>
        <row r="498">
          <cell r="A498" t="str">
            <v>30009_3</v>
          </cell>
        </row>
        <row r="499">
          <cell r="A499" t="str">
            <v>30009_1</v>
          </cell>
        </row>
        <row r="500">
          <cell r="A500" t="str">
            <v>30009_2</v>
          </cell>
        </row>
        <row r="501">
          <cell r="A501" t="str">
            <v>30010_1</v>
          </cell>
        </row>
        <row r="502">
          <cell r="A502" t="str">
            <v>30010_2</v>
          </cell>
        </row>
        <row r="503">
          <cell r="A503" t="str">
            <v>30010_3</v>
          </cell>
        </row>
        <row r="504">
          <cell r="A504" t="str">
            <v>30011_1</v>
          </cell>
        </row>
        <row r="505">
          <cell r="A505" t="str">
            <v>30011_2</v>
          </cell>
        </row>
        <row r="506">
          <cell r="A506" t="str">
            <v>30011_3</v>
          </cell>
        </row>
        <row r="507">
          <cell r="A507" t="str">
            <v>30012_1</v>
          </cell>
        </row>
        <row r="508">
          <cell r="A508" t="str">
            <v>30012_2</v>
          </cell>
        </row>
        <row r="509">
          <cell r="A509" t="str">
            <v>30012_3</v>
          </cell>
        </row>
        <row r="510">
          <cell r="A510" t="str">
            <v>30013_1</v>
          </cell>
        </row>
        <row r="511">
          <cell r="A511" t="str">
            <v>30013_2</v>
          </cell>
        </row>
        <row r="512">
          <cell r="A512" t="str">
            <v>30014_1</v>
          </cell>
        </row>
        <row r="513">
          <cell r="A513" t="str">
            <v>30014_2</v>
          </cell>
        </row>
        <row r="514">
          <cell r="A514" t="str">
            <v>30015_1</v>
          </cell>
        </row>
        <row r="515">
          <cell r="A515" t="str">
            <v>30015_2</v>
          </cell>
        </row>
        <row r="516">
          <cell r="A516" t="str">
            <v>30016_1</v>
          </cell>
        </row>
        <row r="517">
          <cell r="A517" t="str">
            <v>30016_2</v>
          </cell>
        </row>
        <row r="518">
          <cell r="A518" t="str">
            <v>30017_1</v>
          </cell>
        </row>
        <row r="519">
          <cell r="A519" t="str">
            <v>30017_2</v>
          </cell>
        </row>
        <row r="520">
          <cell r="A520" t="str">
            <v>30018_1</v>
          </cell>
        </row>
        <row r="521">
          <cell r="A521" t="str">
            <v>30018_2</v>
          </cell>
        </row>
        <row r="522">
          <cell r="A522" t="str">
            <v>30019_1</v>
          </cell>
        </row>
        <row r="523">
          <cell r="A523" t="str">
            <v>30019_2</v>
          </cell>
        </row>
        <row r="524">
          <cell r="A524" t="str">
            <v>30020_1</v>
          </cell>
        </row>
        <row r="525">
          <cell r="A525" t="str">
            <v>30020_2</v>
          </cell>
        </row>
        <row r="526">
          <cell r="A526" t="str">
            <v>30021_1</v>
          </cell>
        </row>
        <row r="527">
          <cell r="A527" t="str">
            <v>30021_2</v>
          </cell>
        </row>
        <row r="528">
          <cell r="A528" t="str">
            <v>30021_3</v>
          </cell>
        </row>
        <row r="529">
          <cell r="A529" t="str">
            <v>30022_1</v>
          </cell>
        </row>
        <row r="530">
          <cell r="A530" t="str">
            <v>30022_2</v>
          </cell>
        </row>
        <row r="531">
          <cell r="A531" t="str">
            <v>30023_1</v>
          </cell>
        </row>
        <row r="532">
          <cell r="A532" t="str">
            <v>30023_2</v>
          </cell>
        </row>
        <row r="533">
          <cell r="A533" t="str">
            <v>30023_3</v>
          </cell>
        </row>
        <row r="534">
          <cell r="A534" t="str">
            <v>30024_1</v>
          </cell>
        </row>
        <row r="535">
          <cell r="A535" t="str">
            <v>30024_2</v>
          </cell>
        </row>
        <row r="536">
          <cell r="A536" t="str">
            <v>30024_3</v>
          </cell>
        </row>
        <row r="537">
          <cell r="A537" t="str">
            <v>30025_1</v>
          </cell>
        </row>
        <row r="538">
          <cell r="A538" t="str">
            <v>30025_2</v>
          </cell>
        </row>
        <row r="539">
          <cell r="A539" t="str">
            <v>30025_3</v>
          </cell>
        </row>
        <row r="540">
          <cell r="A540" t="str">
            <v>30026_1</v>
          </cell>
        </row>
        <row r="541">
          <cell r="A541" t="str">
            <v>30026_2</v>
          </cell>
        </row>
        <row r="542">
          <cell r="A542" t="str">
            <v>30026_3</v>
          </cell>
        </row>
        <row r="543">
          <cell r="A543" t="str">
            <v>30027_1</v>
          </cell>
        </row>
        <row r="544">
          <cell r="A544" t="str">
            <v>30027_2</v>
          </cell>
        </row>
        <row r="545">
          <cell r="A545" t="str">
            <v>30027_3</v>
          </cell>
        </row>
        <row r="546">
          <cell r="A546" t="str">
            <v>30028_1</v>
          </cell>
        </row>
        <row r="547">
          <cell r="A547" t="str">
            <v>30028_2</v>
          </cell>
        </row>
        <row r="548">
          <cell r="A548" t="str">
            <v>30028_3</v>
          </cell>
        </row>
        <row r="549">
          <cell r="A549" t="str">
            <v>30029_1</v>
          </cell>
        </row>
        <row r="550">
          <cell r="A550" t="str">
            <v>30029_2</v>
          </cell>
        </row>
        <row r="551">
          <cell r="A551" t="str">
            <v>30029_3</v>
          </cell>
        </row>
        <row r="552">
          <cell r="A552" t="str">
            <v>30030_1</v>
          </cell>
        </row>
        <row r="553">
          <cell r="A553" t="str">
            <v>30030_2</v>
          </cell>
        </row>
        <row r="554">
          <cell r="A554" t="str">
            <v>30030_3</v>
          </cell>
        </row>
        <row r="555">
          <cell r="A555" t="str">
            <v>30031_1</v>
          </cell>
        </row>
        <row r="556">
          <cell r="A556" t="str">
            <v>30031_2</v>
          </cell>
        </row>
        <row r="557">
          <cell r="A557" t="str">
            <v>30031_3</v>
          </cell>
        </row>
        <row r="558">
          <cell r="A558" t="str">
            <v>30032_1</v>
          </cell>
        </row>
        <row r="559">
          <cell r="A559" t="str">
            <v>30032_2</v>
          </cell>
        </row>
        <row r="560">
          <cell r="A560" t="str">
            <v>30032_3</v>
          </cell>
        </row>
        <row r="561">
          <cell r="A561" t="str">
            <v>30033_1</v>
          </cell>
        </row>
        <row r="562">
          <cell r="A562" t="str">
            <v>30033_2</v>
          </cell>
        </row>
        <row r="563">
          <cell r="A563" t="str">
            <v>30033_3</v>
          </cell>
        </row>
        <row r="564">
          <cell r="A564" t="str">
            <v>30034_1</v>
          </cell>
        </row>
        <row r="565">
          <cell r="A565" t="str">
            <v>30034_2</v>
          </cell>
        </row>
        <row r="566">
          <cell r="A566" t="str">
            <v>30034_3</v>
          </cell>
        </row>
        <row r="567">
          <cell r="A567" t="str">
            <v>30035_1</v>
          </cell>
        </row>
        <row r="568">
          <cell r="A568" t="str">
            <v>30035_2</v>
          </cell>
        </row>
        <row r="569">
          <cell r="A569" t="str">
            <v>30035_3</v>
          </cell>
        </row>
        <row r="570">
          <cell r="A570" t="str">
            <v>30036_1</v>
          </cell>
        </row>
        <row r="571">
          <cell r="A571" t="str">
            <v>30036_2</v>
          </cell>
        </row>
        <row r="572">
          <cell r="A572" t="str">
            <v>30036_3</v>
          </cell>
        </row>
        <row r="573">
          <cell r="A573" t="str">
            <v>30037_1</v>
          </cell>
        </row>
        <row r="574">
          <cell r="A574" t="str">
            <v>30037_2</v>
          </cell>
        </row>
        <row r="575">
          <cell r="A575" t="str">
            <v>30037_3</v>
          </cell>
        </row>
        <row r="576">
          <cell r="A576" t="str">
            <v>30038_1</v>
          </cell>
        </row>
        <row r="577">
          <cell r="A577" t="str">
            <v>30038_2</v>
          </cell>
        </row>
        <row r="578">
          <cell r="A578" t="str">
            <v>30038_3</v>
          </cell>
        </row>
        <row r="579">
          <cell r="A579" t="str">
            <v>30039_1</v>
          </cell>
        </row>
        <row r="580">
          <cell r="A580" t="str">
            <v>30039_2</v>
          </cell>
        </row>
        <row r="581">
          <cell r="A581" t="str">
            <v>30039_3</v>
          </cell>
        </row>
        <row r="582">
          <cell r="A582" t="str">
            <v>30040_1</v>
          </cell>
        </row>
        <row r="583">
          <cell r="A583" t="str">
            <v>30040_2</v>
          </cell>
        </row>
        <row r="584">
          <cell r="A584" t="str">
            <v>30040_3</v>
          </cell>
        </row>
        <row r="585">
          <cell r="A585" t="str">
            <v>30041_1</v>
          </cell>
        </row>
        <row r="586">
          <cell r="A586" t="str">
            <v>30041_2</v>
          </cell>
        </row>
        <row r="587">
          <cell r="A587" t="str">
            <v>30041_3</v>
          </cell>
        </row>
        <row r="588">
          <cell r="A588" t="str">
            <v>30042_1</v>
          </cell>
        </row>
        <row r="589">
          <cell r="A589" t="str">
            <v>30042_2</v>
          </cell>
        </row>
        <row r="590">
          <cell r="A590" t="str">
            <v>30042_3</v>
          </cell>
        </row>
        <row r="591">
          <cell r="A591" t="str">
            <v>30043_1</v>
          </cell>
        </row>
        <row r="592">
          <cell r="A592" t="str">
            <v>30043_2</v>
          </cell>
        </row>
        <row r="593">
          <cell r="A593" t="str">
            <v>30043_3</v>
          </cell>
        </row>
        <row r="594">
          <cell r="A594" t="str">
            <v>30044_1</v>
          </cell>
        </row>
        <row r="595">
          <cell r="A595" t="str">
            <v>30044_2</v>
          </cell>
        </row>
        <row r="596">
          <cell r="A596" t="str">
            <v>30044_3</v>
          </cell>
        </row>
        <row r="597">
          <cell r="A597" t="str">
            <v>39001_1</v>
          </cell>
        </row>
        <row r="598">
          <cell r="A598" t="str">
            <v>39001_2</v>
          </cell>
        </row>
        <row r="599">
          <cell r="A599" t="str">
            <v>39001_3</v>
          </cell>
        </row>
        <row r="600">
          <cell r="A600" t="str">
            <v>39001_4</v>
          </cell>
        </row>
        <row r="601">
          <cell r="A601" t="str">
            <v>39001_5</v>
          </cell>
        </row>
        <row r="602">
          <cell r="A602" t="str">
            <v>39002_1</v>
          </cell>
        </row>
        <row r="603">
          <cell r="A603" t="str">
            <v>39002_2</v>
          </cell>
        </row>
        <row r="604">
          <cell r="A604" t="str">
            <v>39002_3</v>
          </cell>
        </row>
        <row r="605">
          <cell r="A605" t="str">
            <v>39002_4</v>
          </cell>
        </row>
        <row r="606">
          <cell r="A606" t="str">
            <v>39003_1</v>
          </cell>
        </row>
        <row r="607">
          <cell r="A607" t="str">
            <v>39003_2</v>
          </cell>
        </row>
        <row r="608">
          <cell r="A608" t="str">
            <v>39003_3</v>
          </cell>
        </row>
        <row r="609">
          <cell r="A609" t="str">
            <v>39003_4</v>
          </cell>
        </row>
        <row r="610">
          <cell r="A610" t="str">
            <v>39004_1</v>
          </cell>
        </row>
        <row r="611">
          <cell r="A611" t="str">
            <v>39004_2</v>
          </cell>
        </row>
        <row r="612">
          <cell r="A612" t="str">
            <v>39004_3</v>
          </cell>
        </row>
        <row r="613">
          <cell r="A613" t="str">
            <v>39004_4</v>
          </cell>
        </row>
        <row r="614">
          <cell r="A614" t="str">
            <v>39005_1</v>
          </cell>
        </row>
        <row r="615">
          <cell r="A615" t="str">
            <v>39005_2</v>
          </cell>
        </row>
        <row r="616">
          <cell r="A616" t="str">
            <v>39005_3</v>
          </cell>
        </row>
        <row r="617">
          <cell r="A617" t="str">
            <v>39005_4</v>
          </cell>
        </row>
        <row r="618">
          <cell r="A618" t="str">
            <v>39005_5</v>
          </cell>
        </row>
        <row r="619">
          <cell r="A619" t="str">
            <v>39006_1</v>
          </cell>
        </row>
        <row r="620">
          <cell r="A620" t="str">
            <v>39006_2</v>
          </cell>
        </row>
        <row r="621">
          <cell r="A621" t="str">
            <v>39006_3</v>
          </cell>
        </row>
        <row r="622">
          <cell r="A622" t="str">
            <v>39006_4</v>
          </cell>
        </row>
        <row r="623">
          <cell r="A623" t="str">
            <v>39007_1</v>
          </cell>
        </row>
        <row r="624">
          <cell r="A624" t="str">
            <v>39007_2</v>
          </cell>
        </row>
        <row r="625">
          <cell r="A625" t="str">
            <v>39007_3</v>
          </cell>
        </row>
        <row r="626">
          <cell r="A626" t="str">
            <v>39007_4</v>
          </cell>
        </row>
        <row r="627">
          <cell r="A627" t="str">
            <v>40001_1</v>
          </cell>
        </row>
        <row r="628">
          <cell r="A628" t="str">
            <v>40002_1</v>
          </cell>
        </row>
        <row r="629">
          <cell r="A629" t="str">
            <v>40002_2</v>
          </cell>
        </row>
        <row r="630">
          <cell r="A630" t="str">
            <v>40002_3</v>
          </cell>
        </row>
        <row r="631">
          <cell r="A631" t="str">
            <v>40003_1</v>
          </cell>
        </row>
        <row r="632">
          <cell r="A632" t="str">
            <v>40004_1</v>
          </cell>
        </row>
        <row r="633">
          <cell r="A633" t="str">
            <v>40005_1</v>
          </cell>
        </row>
        <row r="634">
          <cell r="A634" t="str">
            <v>40006_1</v>
          </cell>
        </row>
        <row r="635">
          <cell r="A635" t="str">
            <v>40007_1</v>
          </cell>
        </row>
        <row r="636">
          <cell r="A636" t="str">
            <v>40008_1</v>
          </cell>
        </row>
        <row r="637">
          <cell r="A637" t="str">
            <v>40009_1</v>
          </cell>
        </row>
        <row r="638">
          <cell r="A638" t="str">
            <v>40010_1</v>
          </cell>
        </row>
        <row r="639">
          <cell r="A639" t="str">
            <v>40011_1</v>
          </cell>
        </row>
        <row r="640">
          <cell r="A640" t="str">
            <v>40012_1</v>
          </cell>
        </row>
        <row r="641">
          <cell r="A641" t="str">
            <v>40013_1</v>
          </cell>
        </row>
        <row r="642">
          <cell r="A642" t="str">
            <v>40014_1</v>
          </cell>
        </row>
        <row r="643">
          <cell r="A643" t="str">
            <v>40015_1</v>
          </cell>
        </row>
        <row r="644">
          <cell r="A644" t="str">
            <v>40016_1</v>
          </cell>
        </row>
        <row r="645">
          <cell r="A645" t="str">
            <v>40016_2</v>
          </cell>
        </row>
        <row r="646">
          <cell r="A646" t="str">
            <v>40017_1</v>
          </cell>
        </row>
        <row r="647">
          <cell r="A647" t="str">
            <v>40017_2</v>
          </cell>
        </row>
        <row r="648">
          <cell r="A648" t="str">
            <v>40017_3</v>
          </cell>
        </row>
        <row r="649">
          <cell r="A649" t="str">
            <v>40018_1</v>
          </cell>
        </row>
        <row r="650">
          <cell r="A650" t="str">
            <v>40018_2</v>
          </cell>
        </row>
        <row r="651">
          <cell r="A651" t="str">
            <v>40018_3</v>
          </cell>
        </row>
        <row r="652">
          <cell r="A652" t="str">
            <v>40019_1</v>
          </cell>
        </row>
        <row r="653">
          <cell r="A653" t="str">
            <v>40019_2</v>
          </cell>
        </row>
        <row r="654">
          <cell r="A654" t="str">
            <v>40019_3</v>
          </cell>
        </row>
        <row r="655">
          <cell r="A655" t="str">
            <v>40021_1</v>
          </cell>
        </row>
        <row r="656">
          <cell r="A656" t="str">
            <v>40021_2</v>
          </cell>
        </row>
        <row r="657">
          <cell r="A657" t="str">
            <v>40022_1</v>
          </cell>
        </row>
        <row r="658">
          <cell r="A658" t="str">
            <v>40022_2</v>
          </cell>
        </row>
        <row r="659">
          <cell r="A659" t="str">
            <v>40023_1</v>
          </cell>
        </row>
        <row r="660">
          <cell r="A660" t="str">
            <v>40023_2</v>
          </cell>
        </row>
        <row r="661">
          <cell r="A661" t="str">
            <v>40024_1</v>
          </cell>
        </row>
        <row r="662">
          <cell r="A662" t="str">
            <v>40024_2</v>
          </cell>
        </row>
        <row r="663">
          <cell r="A663" t="str">
            <v>40025_1</v>
          </cell>
        </row>
        <row r="664">
          <cell r="A664" t="str">
            <v>40025_2</v>
          </cell>
        </row>
        <row r="665">
          <cell r="A665" t="str">
            <v>40026_1</v>
          </cell>
        </row>
        <row r="666">
          <cell r="A666" t="str">
            <v>40026_2</v>
          </cell>
        </row>
        <row r="667">
          <cell r="A667" t="str">
            <v>40027_1</v>
          </cell>
        </row>
        <row r="668">
          <cell r="A668" t="str">
            <v>40027_2</v>
          </cell>
        </row>
        <row r="669">
          <cell r="A669" t="str">
            <v>40028_1</v>
          </cell>
        </row>
        <row r="670">
          <cell r="A670" t="str">
            <v>40028_2</v>
          </cell>
        </row>
        <row r="671">
          <cell r="A671" t="str">
            <v>40029_1</v>
          </cell>
        </row>
        <row r="672">
          <cell r="A672" t="str">
            <v>40029_2</v>
          </cell>
        </row>
        <row r="673">
          <cell r="A673" t="str">
            <v>40030_1</v>
          </cell>
        </row>
        <row r="674">
          <cell r="A674" t="str">
            <v>40030_2</v>
          </cell>
        </row>
        <row r="675">
          <cell r="A675" t="str">
            <v>40031_1</v>
          </cell>
        </row>
        <row r="676">
          <cell r="A676" t="str">
            <v>40031_2</v>
          </cell>
        </row>
        <row r="677">
          <cell r="A677" t="str">
            <v>40032_1</v>
          </cell>
        </row>
        <row r="678">
          <cell r="A678" t="str">
            <v>40032_2</v>
          </cell>
        </row>
        <row r="679">
          <cell r="A679" t="str">
            <v>40033_1</v>
          </cell>
        </row>
        <row r="680">
          <cell r="A680" t="str">
            <v>40033_2</v>
          </cell>
        </row>
        <row r="681">
          <cell r="A681" t="str">
            <v>40034_1</v>
          </cell>
        </row>
        <row r="682">
          <cell r="A682" t="str">
            <v>40034_2</v>
          </cell>
        </row>
        <row r="683">
          <cell r="A683" t="str">
            <v>40035_1</v>
          </cell>
        </row>
        <row r="684">
          <cell r="A684" t="str">
            <v>40035_2</v>
          </cell>
        </row>
        <row r="685">
          <cell r="A685" t="str">
            <v>40036_1</v>
          </cell>
        </row>
        <row r="686">
          <cell r="A686" t="str">
            <v>40036_2</v>
          </cell>
        </row>
        <row r="687">
          <cell r="A687" t="str">
            <v>40037_1</v>
          </cell>
        </row>
        <row r="688">
          <cell r="A688" t="str">
            <v>40037_2</v>
          </cell>
        </row>
        <row r="689">
          <cell r="A689" t="str">
            <v>41001_1</v>
          </cell>
        </row>
        <row r="690">
          <cell r="A690" t="str">
            <v>41001_2</v>
          </cell>
        </row>
        <row r="691">
          <cell r="A691" t="str">
            <v>41001_3</v>
          </cell>
        </row>
        <row r="692">
          <cell r="A692" t="str">
            <v>41002_1</v>
          </cell>
        </row>
        <row r="693">
          <cell r="A693" t="str">
            <v>41002_2</v>
          </cell>
        </row>
        <row r="694">
          <cell r="A694" t="str">
            <v>41002_3</v>
          </cell>
        </row>
        <row r="695">
          <cell r="A695" t="str">
            <v>41003_1</v>
          </cell>
        </row>
        <row r="696">
          <cell r="A696" t="str">
            <v>41003_2</v>
          </cell>
        </row>
        <row r="697">
          <cell r="A697" t="str">
            <v>41003_3</v>
          </cell>
        </row>
        <row r="698">
          <cell r="A698" t="str">
            <v>41004_1</v>
          </cell>
        </row>
        <row r="699">
          <cell r="A699" t="str">
            <v>41004_2</v>
          </cell>
        </row>
        <row r="700">
          <cell r="A700" t="str">
            <v>41004_3</v>
          </cell>
        </row>
        <row r="701">
          <cell r="A701" t="str">
            <v>41005_1</v>
          </cell>
        </row>
        <row r="702">
          <cell r="A702" t="str">
            <v>41005_2</v>
          </cell>
        </row>
        <row r="703">
          <cell r="A703" t="str">
            <v>41005_3</v>
          </cell>
        </row>
        <row r="704">
          <cell r="A704" t="str">
            <v>41006_1</v>
          </cell>
        </row>
        <row r="705">
          <cell r="A705" t="str">
            <v>41006_2</v>
          </cell>
        </row>
        <row r="706">
          <cell r="A706" t="str">
            <v>41006_3</v>
          </cell>
        </row>
        <row r="707">
          <cell r="A707" t="str">
            <v>41007_1</v>
          </cell>
        </row>
        <row r="708">
          <cell r="A708" t="str">
            <v>41007_2</v>
          </cell>
        </row>
        <row r="709">
          <cell r="A709" t="str">
            <v>41007_3</v>
          </cell>
        </row>
        <row r="710">
          <cell r="A710" t="str">
            <v>41008_1</v>
          </cell>
        </row>
        <row r="711">
          <cell r="A711" t="str">
            <v>41008_2</v>
          </cell>
        </row>
        <row r="712">
          <cell r="A712" t="str">
            <v>41008_3</v>
          </cell>
        </row>
        <row r="713">
          <cell r="A713" t="str">
            <v>41009_1</v>
          </cell>
        </row>
        <row r="714">
          <cell r="A714" t="str">
            <v>41009_2</v>
          </cell>
        </row>
        <row r="715">
          <cell r="A715" t="str">
            <v>41009_3</v>
          </cell>
        </row>
        <row r="716">
          <cell r="A716" t="str">
            <v>41010_1</v>
          </cell>
        </row>
        <row r="717">
          <cell r="A717" t="str">
            <v>41010_2</v>
          </cell>
        </row>
        <row r="718">
          <cell r="A718" t="str">
            <v>41010_3</v>
          </cell>
        </row>
        <row r="719">
          <cell r="A719" t="str">
            <v>41011_1</v>
          </cell>
        </row>
        <row r="720">
          <cell r="A720" t="str">
            <v>41011_2</v>
          </cell>
        </row>
        <row r="721">
          <cell r="A721" t="str">
            <v>41012_1</v>
          </cell>
        </row>
        <row r="722">
          <cell r="A722" t="str">
            <v>41012_2</v>
          </cell>
        </row>
        <row r="723">
          <cell r="A723" t="str">
            <v>41013_1</v>
          </cell>
        </row>
        <row r="724">
          <cell r="A724" t="str">
            <v>41013_2</v>
          </cell>
        </row>
        <row r="725">
          <cell r="A725" t="str">
            <v>41014_1</v>
          </cell>
        </row>
        <row r="726">
          <cell r="A726" t="str">
            <v>41014_2</v>
          </cell>
        </row>
        <row r="727">
          <cell r="A727" t="str">
            <v>41015_1</v>
          </cell>
        </row>
        <row r="728">
          <cell r="A728" t="str">
            <v>41015_2</v>
          </cell>
        </row>
        <row r="729">
          <cell r="A729" t="str">
            <v>47001_1</v>
          </cell>
        </row>
        <row r="730">
          <cell r="A730" t="str">
            <v>47001_2</v>
          </cell>
        </row>
        <row r="731">
          <cell r="A731" t="str">
            <v>47002_1</v>
          </cell>
        </row>
        <row r="732">
          <cell r="A732" t="str">
            <v>47002_2</v>
          </cell>
        </row>
        <row r="733">
          <cell r="A733" t="str">
            <v>47003_1</v>
          </cell>
        </row>
        <row r="734">
          <cell r="A734" t="str">
            <v>47003_2</v>
          </cell>
        </row>
        <row r="735">
          <cell r="A735" t="str">
            <v>47003_3</v>
          </cell>
        </row>
        <row r="736">
          <cell r="A736" t="str">
            <v>47003_4</v>
          </cell>
        </row>
        <row r="737">
          <cell r="A737" t="str">
            <v>48001_1</v>
          </cell>
        </row>
        <row r="738">
          <cell r="A738" t="str">
            <v>48002_1</v>
          </cell>
        </row>
        <row r="739">
          <cell r="A739" t="str">
            <v>48002_2</v>
          </cell>
        </row>
        <row r="740">
          <cell r="A740" t="str">
            <v>48002_3</v>
          </cell>
        </row>
        <row r="741">
          <cell r="A741" t="str">
            <v>48003_1</v>
          </cell>
        </row>
        <row r="742">
          <cell r="A742" t="str">
            <v>48003_2</v>
          </cell>
        </row>
        <row r="743">
          <cell r="A743" t="str">
            <v>48003_3</v>
          </cell>
        </row>
        <row r="744">
          <cell r="A744" t="str">
            <v>48004_1</v>
          </cell>
        </row>
        <row r="745">
          <cell r="A745" t="str">
            <v>48004_2</v>
          </cell>
        </row>
        <row r="746">
          <cell r="A746" t="str">
            <v>48004_3</v>
          </cell>
        </row>
        <row r="747">
          <cell r="A747" t="str">
            <v>48005_1</v>
          </cell>
        </row>
        <row r="748">
          <cell r="A748" t="str">
            <v>48005_2</v>
          </cell>
        </row>
        <row r="749">
          <cell r="A749" t="str">
            <v>48006_1</v>
          </cell>
        </row>
        <row r="750">
          <cell r="A750" t="str">
            <v>48006_2</v>
          </cell>
        </row>
        <row r="751">
          <cell r="A751" t="str">
            <v>49001_1</v>
          </cell>
        </row>
        <row r="752">
          <cell r="A752" t="str">
            <v>49002_1</v>
          </cell>
        </row>
        <row r="753">
          <cell r="A753" t="str">
            <v>49002_2</v>
          </cell>
        </row>
        <row r="754">
          <cell r="A754" t="str">
            <v>49003_1</v>
          </cell>
        </row>
        <row r="755">
          <cell r="A755" t="str">
            <v>49003_2</v>
          </cell>
        </row>
        <row r="756">
          <cell r="A756" t="str">
            <v>49004_1</v>
          </cell>
        </row>
        <row r="757">
          <cell r="A757" t="str">
            <v>49004_2</v>
          </cell>
        </row>
        <row r="758">
          <cell r="A758" t="str">
            <v>49004_3</v>
          </cell>
        </row>
        <row r="759">
          <cell r="A759" t="str">
            <v>49005_1</v>
          </cell>
        </row>
        <row r="760">
          <cell r="A760" t="str">
            <v>49006_1</v>
          </cell>
        </row>
        <row r="761">
          <cell r="A761" t="str">
            <v>49006_2</v>
          </cell>
        </row>
        <row r="762">
          <cell r="A762" t="str">
            <v>49007_1</v>
          </cell>
        </row>
        <row r="763">
          <cell r="A763" t="str">
            <v>49007_2</v>
          </cell>
        </row>
        <row r="764">
          <cell r="A764" t="str">
            <v>49007_3</v>
          </cell>
        </row>
        <row r="765">
          <cell r="A765" t="str">
            <v>50001_1</v>
          </cell>
        </row>
        <row r="766">
          <cell r="A766" t="str">
            <v>50002_1</v>
          </cell>
        </row>
        <row r="767">
          <cell r="A767" t="str">
            <v>50003_1</v>
          </cell>
        </row>
        <row r="768">
          <cell r="A768" t="str">
            <v>50004_1</v>
          </cell>
        </row>
        <row r="769">
          <cell r="A769" t="str">
            <v>50005_1</v>
          </cell>
        </row>
        <row r="770">
          <cell r="A770" t="str">
            <v>50006_1</v>
          </cell>
        </row>
        <row r="771">
          <cell r="A771" t="str">
            <v>50007_1</v>
          </cell>
        </row>
        <row r="772">
          <cell r="A772" t="str">
            <v>50008_1</v>
          </cell>
        </row>
        <row r="773">
          <cell r="A773" t="str">
            <v>50009_1</v>
          </cell>
        </row>
        <row r="774">
          <cell r="A774" t="str">
            <v>51001_1</v>
          </cell>
        </row>
        <row r="775">
          <cell r="A775" t="str">
            <v>51002_1</v>
          </cell>
        </row>
        <row r="776">
          <cell r="A776" t="str">
            <v>60001_1</v>
          </cell>
        </row>
        <row r="777">
          <cell r="A777" t="str">
            <v>60002_1</v>
          </cell>
        </row>
        <row r="778">
          <cell r="A778" t="str">
            <v>60002_2</v>
          </cell>
        </row>
        <row r="779">
          <cell r="A779" t="str">
            <v>60003_1</v>
          </cell>
        </row>
        <row r="780">
          <cell r="A780" t="str">
            <v>60003_2</v>
          </cell>
        </row>
        <row r="781">
          <cell r="A781" t="str">
            <v>60003_3</v>
          </cell>
        </row>
        <row r="782">
          <cell r="A782" t="str">
            <v>60004_1</v>
          </cell>
        </row>
        <row r="783">
          <cell r="A783" t="str">
            <v>60005_1</v>
          </cell>
        </row>
        <row r="784">
          <cell r="A784" t="str">
            <v>60006_1</v>
          </cell>
        </row>
        <row r="785">
          <cell r="A785" t="str">
            <v>60006_2</v>
          </cell>
        </row>
        <row r="786">
          <cell r="A786" t="str">
            <v>60006_3</v>
          </cell>
        </row>
        <row r="787">
          <cell r="A787" t="str">
            <v>60007_1</v>
          </cell>
        </row>
        <row r="788">
          <cell r="A788" t="str">
            <v>60007_2</v>
          </cell>
        </row>
        <row r="789">
          <cell r="A789" t="str">
            <v>60007_3</v>
          </cell>
        </row>
        <row r="790">
          <cell r="A790" t="str">
            <v>60010_1</v>
          </cell>
        </row>
        <row r="791">
          <cell r="A791" t="str">
            <v>60011_1</v>
          </cell>
        </row>
        <row r="792">
          <cell r="A792" t="str">
            <v>60011_2</v>
          </cell>
        </row>
        <row r="793">
          <cell r="A793" t="str">
            <v>60012_1</v>
          </cell>
        </row>
        <row r="794">
          <cell r="A794" t="str">
            <v>60013_1</v>
          </cell>
        </row>
        <row r="795">
          <cell r="A795" t="str">
            <v>60013_2</v>
          </cell>
        </row>
        <row r="796">
          <cell r="A796" t="str">
            <v>60013_3</v>
          </cell>
        </row>
        <row r="797">
          <cell r="A797" t="str">
            <v>60014_1</v>
          </cell>
        </row>
        <row r="798">
          <cell r="A798" t="str">
            <v>60015_1</v>
          </cell>
        </row>
        <row r="799">
          <cell r="A799" t="str">
            <v>60016_1</v>
          </cell>
        </row>
        <row r="800">
          <cell r="A800" t="str">
            <v>60017_1</v>
          </cell>
        </row>
        <row r="801">
          <cell r="A801" t="str">
            <v>60018_1</v>
          </cell>
        </row>
        <row r="802">
          <cell r="A802" t="str">
            <v>60021_3</v>
          </cell>
        </row>
        <row r="803">
          <cell r="A803" t="str">
            <v>60022_3</v>
          </cell>
        </row>
        <row r="804">
          <cell r="A804" t="str">
            <v>60023_3</v>
          </cell>
        </row>
        <row r="805">
          <cell r="A805" t="str">
            <v>60024_3</v>
          </cell>
        </row>
        <row r="806">
          <cell r="A806" t="str">
            <v>61011_1</v>
          </cell>
        </row>
        <row r="807">
          <cell r="A807" t="str">
            <v>65525_1</v>
          </cell>
        </row>
        <row r="808">
          <cell r="A808" t="str">
            <v>65526_1</v>
          </cell>
        </row>
        <row r="809">
          <cell r="A809" t="str">
            <v>65533_1</v>
          </cell>
        </row>
        <row r="810">
          <cell r="A810" t="str">
            <v>65533_2</v>
          </cell>
        </row>
        <row r="811">
          <cell r="A811" t="str">
            <v>65534_1</v>
          </cell>
        </row>
        <row r="812">
          <cell r="A812" t="str">
            <v>65535_1</v>
          </cell>
        </row>
        <row r="813">
          <cell r="A813" t="str">
            <v>65535_2</v>
          </cell>
        </row>
        <row r="814">
          <cell r="A814" t="str">
            <v>65535_3</v>
          </cell>
        </row>
        <row r="815">
          <cell r="A815" t="str">
            <v>65535_4</v>
          </cell>
        </row>
        <row r="816">
          <cell r="A816" t="str">
            <v>65535_5</v>
          </cell>
        </row>
        <row r="817">
          <cell r="A817" t="str">
            <v>65535_6</v>
          </cell>
        </row>
        <row r="818">
          <cell r="A818" t="str">
            <v>65535_7</v>
          </cell>
        </row>
        <row r="819">
          <cell r="A819" t="str">
            <v>65535_8</v>
          </cell>
        </row>
        <row r="820">
          <cell r="A820" t="str">
            <v>65535_9</v>
          </cell>
        </row>
        <row r="821">
          <cell r="A82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40026_1-1</v>
          </cell>
        </row>
        <row r="3">
          <cell r="A3" t="str">
            <v>40026_1-2</v>
          </cell>
        </row>
        <row r="4">
          <cell r="A4" t="str">
            <v>40026_1-3</v>
          </cell>
        </row>
        <row r="5">
          <cell r="A5" t="str">
            <v>40026_1-4</v>
          </cell>
        </row>
        <row r="6">
          <cell r="A6" t="str">
            <v>40026_2-1</v>
          </cell>
        </row>
        <row r="7">
          <cell r="A7" t="str">
            <v>40026_2-2</v>
          </cell>
        </row>
        <row r="8">
          <cell r="A8" t="str">
            <v>40026_2-3</v>
          </cell>
        </row>
        <row r="9">
          <cell r="A9" t="str">
            <v>40026_2-4</v>
          </cell>
        </row>
      </sheetData>
      <sheetData sheetId="2">
        <row r="1">
          <cell r="H1" t="str">
            <v>temp_floor</v>
          </cell>
        </row>
        <row r="2">
          <cell r="H2" t="str">
            <v>40026_1-1</v>
          </cell>
        </row>
        <row r="3">
          <cell r="H3" t="str">
            <v>40026_1-1</v>
          </cell>
        </row>
        <row r="4">
          <cell r="H4" t="str">
            <v>40026_1-2</v>
          </cell>
        </row>
        <row r="5">
          <cell r="H5" t="str">
            <v>40026_1-2</v>
          </cell>
        </row>
        <row r="6">
          <cell r="H6" t="str">
            <v>40026_1-3</v>
          </cell>
        </row>
        <row r="7">
          <cell r="H7" t="str">
            <v>40026_1-3</v>
          </cell>
        </row>
        <row r="8">
          <cell r="H8" t="str">
            <v>40026_1-4</v>
          </cell>
        </row>
        <row r="9">
          <cell r="H9" t="str">
            <v>40026_2-1</v>
          </cell>
        </row>
        <row r="10">
          <cell r="H10" t="str">
            <v>40026_2-1</v>
          </cell>
        </row>
        <row r="11">
          <cell r="H11" t="str">
            <v>40026_2-2</v>
          </cell>
        </row>
        <row r="12">
          <cell r="H12" t="str">
            <v>40026_2-2</v>
          </cell>
        </row>
        <row r="13">
          <cell r="H13" t="str">
            <v>40026_2-3</v>
          </cell>
        </row>
        <row r="14">
          <cell r="H14" t="str">
            <v>40026_2-3</v>
          </cell>
        </row>
        <row r="15">
          <cell r="H15" t="str">
            <v>40026_2-4</v>
          </cell>
        </row>
      </sheetData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priority</v>
          </cell>
          <cell r="I1" t="str">
            <v>invoke_rate</v>
          </cell>
          <cell r="J1" t="str">
            <v>hp_threshold</v>
          </cell>
          <cell r="K1" t="str">
            <v>hp_termination</v>
          </cell>
          <cell r="L1" t="str">
            <v>invoke_times</v>
          </cell>
          <cell r="M1" t="str">
            <v>every_time_count</v>
          </cell>
          <cell r="N1" t="str">
            <v>neighbor_dead_id</v>
          </cell>
          <cell r="O1" t="str">
            <v>invoke_weight</v>
          </cell>
          <cell r="P1" t="str">
            <v>作成者</v>
          </cell>
          <cell r="Q1" t="str">
            <v>更新日</v>
          </cell>
          <cell r="R1" t="str">
            <v>備考（使用箇所）</v>
          </cell>
        </row>
        <row r="2">
          <cell r="B2">
            <v>40026101</v>
          </cell>
        </row>
        <row r="3">
          <cell r="B3">
            <v>40026101</v>
          </cell>
        </row>
        <row r="4">
          <cell r="B4">
            <v>40026101</v>
          </cell>
        </row>
        <row r="5">
          <cell r="B5">
            <v>40026102</v>
          </cell>
        </row>
        <row r="6">
          <cell r="B6">
            <v>40026102</v>
          </cell>
        </row>
        <row r="7">
          <cell r="B7">
            <v>40026103</v>
          </cell>
        </row>
        <row r="8">
          <cell r="B8">
            <v>40026103</v>
          </cell>
        </row>
        <row r="9">
          <cell r="B9">
            <v>40026104</v>
          </cell>
        </row>
        <row r="10">
          <cell r="B10">
            <v>40026104</v>
          </cell>
        </row>
        <row r="11">
          <cell r="B11">
            <v>40026105</v>
          </cell>
        </row>
        <row r="12">
          <cell r="B12">
            <v>40026106</v>
          </cell>
        </row>
        <row r="13">
          <cell r="B13">
            <v>40026106</v>
          </cell>
        </row>
        <row r="14">
          <cell r="B14">
            <v>40026106</v>
          </cell>
        </row>
        <row r="15">
          <cell r="B15">
            <v>40026107</v>
          </cell>
        </row>
        <row r="16">
          <cell r="B16">
            <v>40026107</v>
          </cell>
        </row>
        <row r="17">
          <cell r="B17">
            <v>40026108</v>
          </cell>
        </row>
        <row r="18">
          <cell r="B18">
            <v>40026108</v>
          </cell>
        </row>
        <row r="19">
          <cell r="B19">
            <v>40026108</v>
          </cell>
        </row>
        <row r="20">
          <cell r="B20">
            <v>40026108</v>
          </cell>
        </row>
        <row r="21">
          <cell r="B21">
            <v>40026108</v>
          </cell>
        </row>
        <row r="22">
          <cell r="B22">
            <v>40026108</v>
          </cell>
        </row>
        <row r="23">
          <cell r="B23">
            <v>40026108</v>
          </cell>
        </row>
        <row r="24">
          <cell r="B24">
            <v>40026108</v>
          </cell>
        </row>
        <row r="25">
          <cell r="B25">
            <v>40026109</v>
          </cell>
        </row>
        <row r="26">
          <cell r="B26">
            <v>40026109</v>
          </cell>
        </row>
        <row r="27">
          <cell r="B27">
            <v>40026109</v>
          </cell>
        </row>
        <row r="28">
          <cell r="B28">
            <v>40026109</v>
          </cell>
        </row>
        <row r="29">
          <cell r="B29">
            <v>40026109</v>
          </cell>
        </row>
        <row r="30">
          <cell r="B30">
            <v>40026109</v>
          </cell>
        </row>
        <row r="31">
          <cell r="B31">
            <v>40026109</v>
          </cell>
        </row>
        <row r="32">
          <cell r="B32">
            <v>40026109</v>
          </cell>
        </row>
        <row r="33">
          <cell r="B33">
            <v>40026109</v>
          </cell>
        </row>
        <row r="34">
          <cell r="B34">
            <v>40026109</v>
          </cell>
        </row>
        <row r="35">
          <cell r="B35">
            <v>40026110</v>
          </cell>
        </row>
        <row r="36">
          <cell r="B36">
            <v>40026110</v>
          </cell>
        </row>
        <row r="37">
          <cell r="B37">
            <v>40026110</v>
          </cell>
        </row>
        <row r="38">
          <cell r="B38">
            <v>40026110</v>
          </cell>
        </row>
        <row r="39">
          <cell r="B39">
            <v>40026110</v>
          </cell>
        </row>
        <row r="40">
          <cell r="B40">
            <v>40026110</v>
          </cell>
        </row>
        <row r="41">
          <cell r="B41">
            <v>40026110</v>
          </cell>
        </row>
        <row r="42">
          <cell r="B42">
            <v>40026110</v>
          </cell>
        </row>
        <row r="43">
          <cell r="B43">
            <v>40026110</v>
          </cell>
        </row>
        <row r="44">
          <cell r="B44">
            <v>40026110</v>
          </cell>
        </row>
        <row r="45">
          <cell r="B45">
            <v>40026110</v>
          </cell>
        </row>
        <row r="46">
          <cell r="B46">
            <v>40026111</v>
          </cell>
        </row>
        <row r="47">
          <cell r="B47">
            <v>40026111</v>
          </cell>
        </row>
        <row r="48">
          <cell r="B48">
            <v>40026111</v>
          </cell>
        </row>
        <row r="49">
          <cell r="B49">
            <v>40026111</v>
          </cell>
        </row>
        <row r="50">
          <cell r="B50">
            <v>40026111</v>
          </cell>
        </row>
        <row r="51">
          <cell r="B51">
            <v>40026111</v>
          </cell>
        </row>
        <row r="52">
          <cell r="B52">
            <v>40026111</v>
          </cell>
        </row>
        <row r="53">
          <cell r="B53">
            <v>40026111</v>
          </cell>
        </row>
        <row r="54">
          <cell r="B54">
            <v>40026112</v>
          </cell>
        </row>
        <row r="55">
          <cell r="B55">
            <v>40026112</v>
          </cell>
        </row>
        <row r="56">
          <cell r="B56">
            <v>40026112</v>
          </cell>
        </row>
        <row r="57">
          <cell r="B57">
            <v>40026112</v>
          </cell>
        </row>
        <row r="58">
          <cell r="B58">
            <v>40026112</v>
          </cell>
        </row>
        <row r="59">
          <cell r="B59">
            <v>40026112</v>
          </cell>
        </row>
        <row r="60">
          <cell r="B60">
            <v>40026112</v>
          </cell>
        </row>
        <row r="61">
          <cell r="B61">
            <v>40026112</v>
          </cell>
        </row>
        <row r="62">
          <cell r="B62">
            <v>40026112</v>
          </cell>
        </row>
        <row r="63">
          <cell r="B63">
            <v>40026112</v>
          </cell>
        </row>
        <row r="64">
          <cell r="B64">
            <v>40026113</v>
          </cell>
        </row>
        <row r="65">
          <cell r="B65">
            <v>40026113</v>
          </cell>
        </row>
        <row r="66">
          <cell r="B66">
            <v>40026113</v>
          </cell>
        </row>
        <row r="67">
          <cell r="B67">
            <v>40026113</v>
          </cell>
        </row>
        <row r="68">
          <cell r="B68">
            <v>40026113</v>
          </cell>
        </row>
        <row r="69">
          <cell r="B69">
            <v>40026113</v>
          </cell>
        </row>
        <row r="70">
          <cell r="B70">
            <v>40026113</v>
          </cell>
        </row>
        <row r="71">
          <cell r="B71">
            <v>40026113</v>
          </cell>
        </row>
        <row r="72">
          <cell r="B72">
            <v>40026113</v>
          </cell>
        </row>
        <row r="73">
          <cell r="B73">
            <v>40026113</v>
          </cell>
        </row>
        <row r="74">
          <cell r="B74">
            <v>40026113</v>
          </cell>
        </row>
      </sheetData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41003_1-1</v>
          </cell>
        </row>
        <row r="3">
          <cell r="A3" t="str">
            <v>41003_1-2</v>
          </cell>
        </row>
        <row r="4">
          <cell r="A4" t="str">
            <v>41003_1-3</v>
          </cell>
        </row>
        <row r="5">
          <cell r="A5" t="str">
            <v>41003_1-4</v>
          </cell>
        </row>
        <row r="6">
          <cell r="A6" t="str">
            <v>41003_2-1</v>
          </cell>
        </row>
        <row r="7">
          <cell r="A7" t="str">
            <v>41003_2-2</v>
          </cell>
        </row>
        <row r="8">
          <cell r="A8" t="str">
            <v>41003_2-3</v>
          </cell>
        </row>
        <row r="9">
          <cell r="A9" t="str">
            <v>41003_2-4</v>
          </cell>
        </row>
        <row r="10">
          <cell r="A10" t="str">
            <v>41003_3-1</v>
          </cell>
        </row>
        <row r="11">
          <cell r="A11" t="str">
            <v>41003_3-2</v>
          </cell>
        </row>
        <row r="12">
          <cell r="A12" t="str">
            <v>41003_3-3</v>
          </cell>
        </row>
        <row r="13">
          <cell r="A13" t="str">
            <v>41003_3-4</v>
          </cell>
        </row>
      </sheetData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priority</v>
          </cell>
          <cell r="I1" t="str">
            <v>invoke_rate</v>
          </cell>
          <cell r="J1" t="str">
            <v>hp_threshold</v>
          </cell>
          <cell r="K1" t="str">
            <v>hp_termination</v>
          </cell>
          <cell r="L1" t="str">
            <v>invoke_times</v>
          </cell>
          <cell r="M1" t="str">
            <v>every_time_count</v>
          </cell>
          <cell r="N1" t="str">
            <v>neighbor_dead_id</v>
          </cell>
          <cell r="O1" t="str">
            <v>invoke_weight</v>
          </cell>
          <cell r="P1" t="str">
            <v>作成者</v>
          </cell>
          <cell r="Q1" t="str">
            <v>更新日</v>
          </cell>
          <cell r="R1" t="str">
            <v>備考（使用箇所）</v>
          </cell>
        </row>
        <row r="2">
          <cell r="B2">
            <v>41003001</v>
          </cell>
        </row>
        <row r="3">
          <cell r="B3">
            <v>41003001</v>
          </cell>
        </row>
        <row r="4">
          <cell r="B4">
            <v>41003001</v>
          </cell>
        </row>
        <row r="5">
          <cell r="B5">
            <v>41003002</v>
          </cell>
        </row>
        <row r="6">
          <cell r="B6">
            <v>41003003</v>
          </cell>
        </row>
        <row r="7">
          <cell r="B7">
            <v>41003004</v>
          </cell>
        </row>
        <row r="8">
          <cell r="B8">
            <v>41003005</v>
          </cell>
        </row>
        <row r="9">
          <cell r="B9">
            <v>41003006</v>
          </cell>
        </row>
        <row r="10">
          <cell r="B10">
            <v>41003008</v>
          </cell>
        </row>
        <row r="11">
          <cell r="B11">
            <v>41003008</v>
          </cell>
        </row>
        <row r="12">
          <cell r="B12">
            <v>41003008</v>
          </cell>
        </row>
        <row r="13">
          <cell r="B13">
            <v>41003008</v>
          </cell>
        </row>
        <row r="14">
          <cell r="B14">
            <v>41003008</v>
          </cell>
        </row>
        <row r="15">
          <cell r="B15">
            <v>41003007</v>
          </cell>
        </row>
        <row r="16">
          <cell r="B16">
            <v>41003007</v>
          </cell>
        </row>
        <row r="17">
          <cell r="B17">
            <v>41003007</v>
          </cell>
        </row>
        <row r="18">
          <cell r="B18">
            <v>41003009</v>
          </cell>
        </row>
        <row r="19">
          <cell r="B19">
            <v>41003009</v>
          </cell>
        </row>
        <row r="20">
          <cell r="B20">
            <v>41003009</v>
          </cell>
        </row>
        <row r="21">
          <cell r="B21">
            <v>41003010</v>
          </cell>
        </row>
        <row r="22">
          <cell r="B22">
            <v>41003010</v>
          </cell>
        </row>
        <row r="23">
          <cell r="B23">
            <v>41003010</v>
          </cell>
        </row>
        <row r="24">
          <cell r="B24">
            <v>41003010</v>
          </cell>
        </row>
        <row r="25">
          <cell r="B25">
            <v>41003010</v>
          </cell>
        </row>
        <row r="26">
          <cell r="B26">
            <v>41003010</v>
          </cell>
        </row>
        <row r="27">
          <cell r="B27">
            <v>41003010</v>
          </cell>
        </row>
        <row r="28">
          <cell r="B28">
            <v>41003011</v>
          </cell>
        </row>
        <row r="29">
          <cell r="B29">
            <v>41003011</v>
          </cell>
        </row>
        <row r="30">
          <cell r="B30">
            <v>41003011</v>
          </cell>
        </row>
        <row r="31">
          <cell r="B31">
            <v>41003012</v>
          </cell>
        </row>
        <row r="32">
          <cell r="B32">
            <v>41003013</v>
          </cell>
        </row>
        <row r="33">
          <cell r="B33">
            <v>41003014</v>
          </cell>
        </row>
        <row r="34">
          <cell r="B34">
            <v>41003015</v>
          </cell>
        </row>
        <row r="35">
          <cell r="B35">
            <v>41003016</v>
          </cell>
        </row>
        <row r="36">
          <cell r="B36">
            <v>41003016</v>
          </cell>
        </row>
        <row r="37">
          <cell r="B37">
            <v>41003018</v>
          </cell>
        </row>
        <row r="38">
          <cell r="B38">
            <v>41003018</v>
          </cell>
        </row>
        <row r="39">
          <cell r="B39">
            <v>41003018</v>
          </cell>
        </row>
        <row r="40">
          <cell r="B40">
            <v>41003018</v>
          </cell>
        </row>
        <row r="41">
          <cell r="B41">
            <v>41003018</v>
          </cell>
        </row>
        <row r="42">
          <cell r="B42">
            <v>41003017</v>
          </cell>
        </row>
        <row r="43">
          <cell r="B43">
            <v>41003017</v>
          </cell>
        </row>
        <row r="44">
          <cell r="B44">
            <v>41003017</v>
          </cell>
        </row>
        <row r="45">
          <cell r="B45">
            <v>41003019</v>
          </cell>
        </row>
        <row r="46">
          <cell r="B46">
            <v>41003019</v>
          </cell>
        </row>
        <row r="47">
          <cell r="B47">
            <v>41003019</v>
          </cell>
        </row>
        <row r="48">
          <cell r="B48">
            <v>41003019</v>
          </cell>
        </row>
        <row r="49">
          <cell r="B49">
            <v>41003020</v>
          </cell>
        </row>
        <row r="50">
          <cell r="B50">
            <v>41003020</v>
          </cell>
        </row>
        <row r="51">
          <cell r="B51">
            <v>41003020</v>
          </cell>
        </row>
        <row r="52">
          <cell r="B52">
            <v>41003020</v>
          </cell>
        </row>
        <row r="53">
          <cell r="B53">
            <v>41003020</v>
          </cell>
        </row>
        <row r="54">
          <cell r="B54">
            <v>41003020</v>
          </cell>
        </row>
        <row r="55">
          <cell r="B55">
            <v>41003020</v>
          </cell>
        </row>
        <row r="56">
          <cell r="B56">
            <v>41003020</v>
          </cell>
        </row>
        <row r="57">
          <cell r="B57">
            <v>41003020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  <row r="1180">
          <cell r="A1180">
            <v>8031</v>
          </cell>
        </row>
        <row r="1181">
          <cell r="A1181">
            <v>8032</v>
          </cell>
        </row>
        <row r="1182">
          <cell r="A1182">
            <v>8033</v>
          </cell>
        </row>
        <row r="1183">
          <cell r="A1183">
            <v>8034</v>
          </cell>
        </row>
        <row r="1184">
          <cell r="A1184">
            <v>8035</v>
          </cell>
        </row>
        <row r="1185">
          <cell r="A1185">
            <v>8036</v>
          </cell>
        </row>
        <row r="1186">
          <cell r="A1186">
            <v>8037</v>
          </cell>
        </row>
        <row r="1187">
          <cell r="A1187">
            <v>8038</v>
          </cell>
        </row>
        <row r="1188">
          <cell r="A1188">
            <v>8039</v>
          </cell>
        </row>
        <row r="1189">
          <cell r="A1189">
            <v>8040</v>
          </cell>
        </row>
        <row r="1190">
          <cell r="A1190">
            <v>8041</v>
          </cell>
        </row>
        <row r="1191">
          <cell r="A1191">
            <v>8042</v>
          </cell>
        </row>
        <row r="1192">
          <cell r="A1192">
            <v>8043</v>
          </cell>
        </row>
        <row r="1193">
          <cell r="A1193">
            <v>8044</v>
          </cell>
        </row>
        <row r="1194">
          <cell r="A1194">
            <v>8045</v>
          </cell>
        </row>
        <row r="1195">
          <cell r="A1195">
            <v>8046</v>
          </cell>
        </row>
        <row r="1196">
          <cell r="A1196">
            <v>8047</v>
          </cell>
        </row>
        <row r="1197">
          <cell r="A1197">
            <v>8048</v>
          </cell>
        </row>
        <row r="1198">
          <cell r="A1198">
            <v>8049</v>
          </cell>
        </row>
        <row r="1199">
          <cell r="A1199">
            <v>8050</v>
          </cell>
        </row>
        <row r="1200">
          <cell r="A1200">
            <v>8051</v>
          </cell>
        </row>
        <row r="1201">
          <cell r="A1201">
            <v>8052</v>
          </cell>
        </row>
        <row r="1202">
          <cell r="A1202">
            <v>8053</v>
          </cell>
        </row>
        <row r="1203">
          <cell r="A1203">
            <v>8054</v>
          </cell>
        </row>
        <row r="1204">
          <cell r="A1204">
            <v>8055</v>
          </cell>
        </row>
        <row r="1205">
          <cell r="A1205">
            <v>8056</v>
          </cell>
        </row>
        <row r="1206">
          <cell r="A1206">
            <v>8057</v>
          </cell>
        </row>
        <row r="1207">
          <cell r="A1207">
            <v>8058</v>
          </cell>
        </row>
        <row r="1208">
          <cell r="A1208">
            <v>8059</v>
          </cell>
        </row>
        <row r="1209">
          <cell r="A1209">
            <v>8060</v>
          </cell>
        </row>
        <row r="1210">
          <cell r="A1210">
            <v>8061</v>
          </cell>
        </row>
        <row r="1211">
          <cell r="A1211">
            <v>8062</v>
          </cell>
        </row>
        <row r="1212">
          <cell r="A1212">
            <v>8063</v>
          </cell>
        </row>
        <row r="1213">
          <cell r="A1213">
            <v>8064</v>
          </cell>
        </row>
        <row r="1214">
          <cell r="A1214">
            <v>8065</v>
          </cell>
        </row>
        <row r="1215">
          <cell r="A1215">
            <v>8066</v>
          </cell>
        </row>
        <row r="1216">
          <cell r="A1216">
            <v>8067</v>
          </cell>
        </row>
        <row r="1217">
          <cell r="A1217">
            <v>8068</v>
          </cell>
        </row>
        <row r="1218">
          <cell r="A1218">
            <v>8069</v>
          </cell>
        </row>
        <row r="1219">
          <cell r="A1219">
            <v>8070</v>
          </cell>
        </row>
        <row r="1220">
          <cell r="A1220">
            <v>8071</v>
          </cell>
        </row>
        <row r="1221">
          <cell r="A1221">
            <v>8072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4"/>
      <sheetData sheetId="5"/>
      <sheetData sheetId="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 refreshError="1"/>
      <sheetData sheetId="1" refreshError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12" sqref="C12:C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5" t="s">
        <v>131</v>
      </c>
      <c r="B1" s="50" t="s">
        <v>101</v>
      </c>
      <c r="C1" s="50" t="s">
        <v>102</v>
      </c>
      <c r="D1" s="50" t="s">
        <v>103</v>
      </c>
      <c r="E1" s="50" t="s">
        <v>104</v>
      </c>
      <c r="F1" s="50" t="s">
        <v>105</v>
      </c>
      <c r="G1" s="50" t="s">
        <v>106</v>
      </c>
      <c r="H1" s="50"/>
      <c r="I1" s="50"/>
      <c r="J1" s="50"/>
      <c r="K1" s="50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</row>
    <row r="2" spans="1:30" x14ac:dyDescent="0.15">
      <c r="A2" s="56" t="s">
        <v>222</v>
      </c>
      <c r="B2" s="52" t="s">
        <v>107</v>
      </c>
      <c r="C2" s="57" t="s">
        <v>224</v>
      </c>
      <c r="D2" s="52" t="s">
        <v>108</v>
      </c>
      <c r="E2" s="51" t="str">
        <f t="shared" ref="E2:E13" si="0">B2&amp;C2&amp;D2</f>
        <v>floors_ablitytest01.tmp</v>
      </c>
      <c r="F2" s="52" t="s">
        <v>109</v>
      </c>
      <c r="G2" s="53" t="s">
        <v>0</v>
      </c>
      <c r="H2" s="53" t="s">
        <v>1</v>
      </c>
      <c r="I2" s="53" t="s">
        <v>13</v>
      </c>
      <c r="J2" s="53" t="s">
        <v>14</v>
      </c>
      <c r="K2" s="53" t="s">
        <v>15</v>
      </c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</row>
    <row r="3" spans="1:30" x14ac:dyDescent="0.15">
      <c r="A3" s="56" t="s">
        <v>223</v>
      </c>
      <c r="B3" s="52" t="s">
        <v>110</v>
      </c>
      <c r="C3" s="57" t="s">
        <v>224</v>
      </c>
      <c r="D3" s="52" t="s">
        <v>108</v>
      </c>
      <c r="E3" s="51" t="str">
        <f t="shared" si="0"/>
        <v>enemy_habitats_ablitytest01.tmp</v>
      </c>
      <c r="F3" s="52" t="s">
        <v>111</v>
      </c>
      <c r="G3" s="53" t="s">
        <v>0</v>
      </c>
      <c r="H3" s="53" t="s">
        <v>1</v>
      </c>
      <c r="I3" s="53" t="s">
        <v>13</v>
      </c>
      <c r="J3" s="53" t="s">
        <v>2</v>
      </c>
      <c r="K3" s="53" t="s">
        <v>3</v>
      </c>
      <c r="L3" s="53" t="s">
        <v>47</v>
      </c>
      <c r="M3" s="53" t="s">
        <v>49</v>
      </c>
      <c r="N3" s="53" t="s">
        <v>51</v>
      </c>
      <c r="O3" s="53" t="s">
        <v>22</v>
      </c>
      <c r="P3" s="53" t="s">
        <v>5</v>
      </c>
      <c r="Q3" s="53" t="s">
        <v>6</v>
      </c>
      <c r="R3" s="53" t="s">
        <v>7</v>
      </c>
      <c r="S3" s="53" t="s">
        <v>8</v>
      </c>
      <c r="T3" s="53" t="s">
        <v>9</v>
      </c>
      <c r="U3" s="53" t="s">
        <v>10</v>
      </c>
      <c r="V3" s="53" t="s">
        <v>11</v>
      </c>
      <c r="W3" s="53" t="s">
        <v>12</v>
      </c>
      <c r="X3" s="53" t="s">
        <v>37</v>
      </c>
      <c r="Y3" s="53" t="s">
        <v>39</v>
      </c>
      <c r="Z3" s="53" t="s">
        <v>41</v>
      </c>
      <c r="AA3" s="53" t="s">
        <v>43</v>
      </c>
      <c r="AB3" s="53" t="s">
        <v>45</v>
      </c>
      <c r="AC3" s="53" t="s">
        <v>54</v>
      </c>
      <c r="AD3" s="53" t="s">
        <v>176</v>
      </c>
    </row>
    <row r="4" spans="1:30" x14ac:dyDescent="0.15">
      <c r="A4" s="56" t="s">
        <v>223</v>
      </c>
      <c r="B4" s="52" t="s">
        <v>112</v>
      </c>
      <c r="C4" s="57" t="s">
        <v>224</v>
      </c>
      <c r="D4" s="52" t="s">
        <v>108</v>
      </c>
      <c r="E4" s="51" t="str">
        <f t="shared" si="0"/>
        <v>enemy_habitat_S_ablitytest01.tmp</v>
      </c>
      <c r="F4" s="52" t="s">
        <v>113</v>
      </c>
      <c r="G4" s="53" t="s">
        <v>0</v>
      </c>
      <c r="H4" s="53" t="s">
        <v>1</v>
      </c>
      <c r="I4" s="53" t="s">
        <v>13</v>
      </c>
      <c r="J4" s="53" t="s">
        <v>54</v>
      </c>
      <c r="K4" s="53" t="s">
        <v>55</v>
      </c>
      <c r="L4" s="53" t="s">
        <v>56</v>
      </c>
      <c r="M4" s="53" t="s">
        <v>57</v>
      </c>
      <c r="N4" s="53" t="s">
        <v>58</v>
      </c>
      <c r="O4" s="53" t="s">
        <v>59</v>
      </c>
      <c r="P4" s="53" t="s">
        <v>48</v>
      </c>
      <c r="Q4" s="53" t="s">
        <v>50</v>
      </c>
      <c r="R4" s="53" t="s">
        <v>52</v>
      </c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</row>
    <row r="5" spans="1:30" x14ac:dyDescent="0.15">
      <c r="A5" s="56" t="s">
        <v>223</v>
      </c>
      <c r="B5" s="52" t="s">
        <v>114</v>
      </c>
      <c r="C5" s="57" t="s">
        <v>224</v>
      </c>
      <c r="D5" s="52" t="s">
        <v>108</v>
      </c>
      <c r="E5" s="51" t="str">
        <f t="shared" si="0"/>
        <v>enemy_skill_sets_ablitytest01.tmp</v>
      </c>
      <c r="F5" s="52" t="s">
        <v>115</v>
      </c>
      <c r="G5" s="54" t="s">
        <v>22</v>
      </c>
      <c r="H5" s="54" t="s">
        <v>100</v>
      </c>
      <c r="I5" s="54" t="s">
        <v>95</v>
      </c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</row>
    <row r="6" spans="1:30" x14ac:dyDescent="0.15">
      <c r="A6" s="56" t="s">
        <v>223</v>
      </c>
      <c r="B6" s="52" t="s">
        <v>116</v>
      </c>
      <c r="C6" s="57" t="s">
        <v>224</v>
      </c>
      <c r="D6" s="52" t="s">
        <v>117</v>
      </c>
      <c r="E6" s="51" t="str">
        <f t="shared" si="0"/>
        <v>enemy_skills_tmp_ablitytest01.tmp</v>
      </c>
      <c r="F6" s="52" t="s">
        <v>91</v>
      </c>
      <c r="G6" s="53" t="s">
        <v>79</v>
      </c>
      <c r="H6" s="53" t="s">
        <v>80</v>
      </c>
      <c r="I6" s="53" t="s">
        <v>81</v>
      </c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</row>
    <row r="7" spans="1:30" x14ac:dyDescent="0.15">
      <c r="A7" s="56" t="s">
        <v>223</v>
      </c>
      <c r="B7" s="52" t="s">
        <v>118</v>
      </c>
      <c r="C7" s="57" t="s">
        <v>224</v>
      </c>
      <c r="D7" s="52" t="s">
        <v>108</v>
      </c>
      <c r="E7" s="51" t="str">
        <f t="shared" si="0"/>
        <v>enemy_skills_i18n_ablitytest01.tmp</v>
      </c>
      <c r="F7" s="52" t="s">
        <v>119</v>
      </c>
      <c r="G7" s="53" t="s">
        <v>79</v>
      </c>
      <c r="H7" s="53" t="s">
        <v>92</v>
      </c>
      <c r="I7" s="53" t="s">
        <v>93</v>
      </c>
      <c r="J7" s="53" t="s">
        <v>94</v>
      </c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</row>
    <row r="8" spans="1:30" x14ac:dyDescent="0.15">
      <c r="A8" s="56" t="s">
        <v>223</v>
      </c>
      <c r="B8" s="52" t="s">
        <v>120</v>
      </c>
      <c r="C8" s="57" t="s">
        <v>224</v>
      </c>
      <c r="D8" s="52" t="s">
        <v>121</v>
      </c>
      <c r="E8" s="51" t="str">
        <f t="shared" si="0"/>
        <v>enemy_skill_triggers_ablitytest01.tmp</v>
      </c>
      <c r="F8" s="52" t="s">
        <v>122</v>
      </c>
      <c r="G8" s="53" t="s">
        <v>95</v>
      </c>
      <c r="H8" s="53" t="s">
        <v>96</v>
      </c>
      <c r="I8" s="53" t="s">
        <v>97</v>
      </c>
      <c r="J8" s="53" t="s">
        <v>98</v>
      </c>
      <c r="K8" s="53" t="s">
        <v>123</v>
      </c>
      <c r="L8" s="53" t="s">
        <v>99</v>
      </c>
      <c r="M8" s="53" t="s">
        <v>124</v>
      </c>
      <c r="N8" s="53" t="s">
        <v>125</v>
      </c>
      <c r="O8" s="53" t="s">
        <v>126</v>
      </c>
      <c r="P8" s="53" t="s">
        <v>67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</row>
    <row r="9" spans="1:30" x14ac:dyDescent="0.15">
      <c r="A9" s="56" t="s">
        <v>223</v>
      </c>
      <c r="B9" s="62" t="s">
        <v>175</v>
      </c>
      <c r="C9" s="57" t="s">
        <v>224</v>
      </c>
      <c r="D9" s="62" t="s">
        <v>169</v>
      </c>
      <c r="E9" s="63" t="str">
        <f t="shared" si="0"/>
        <v>stage_bug_bonuses_ablitytest01.tmp</v>
      </c>
      <c r="F9" s="62" t="s">
        <v>170</v>
      </c>
      <c r="G9" s="59" t="s">
        <v>151</v>
      </c>
      <c r="H9" s="59" t="s">
        <v>171</v>
      </c>
      <c r="I9" s="59" t="s">
        <v>172</v>
      </c>
      <c r="J9" s="61" t="s">
        <v>173</v>
      </c>
      <c r="K9" s="59" t="s">
        <v>174</v>
      </c>
      <c r="L9" s="59" t="s">
        <v>157</v>
      </c>
      <c r="M9" s="59" t="s">
        <v>158</v>
      </c>
      <c r="N9" s="59" t="s">
        <v>159</v>
      </c>
      <c r="O9" s="59" t="s">
        <v>160</v>
      </c>
      <c r="P9" s="59" t="s">
        <v>161</v>
      </c>
      <c r="Q9" s="59" t="s">
        <v>162</v>
      </c>
      <c r="R9" s="59" t="s">
        <v>163</v>
      </c>
      <c r="S9" s="59" t="s">
        <v>164</v>
      </c>
      <c r="T9" s="59" t="s">
        <v>165</v>
      </c>
      <c r="U9" s="59" t="s">
        <v>166</v>
      </c>
      <c r="V9" s="59" t="s">
        <v>167</v>
      </c>
      <c r="W9" s="59" t="s">
        <v>168</v>
      </c>
    </row>
    <row r="10" spans="1:30" s="69" customFormat="1" x14ac:dyDescent="0.15">
      <c r="A10" s="56" t="s">
        <v>185</v>
      </c>
      <c r="B10" s="62" t="s">
        <v>201</v>
      </c>
      <c r="C10" s="57" t="s">
        <v>224</v>
      </c>
      <c r="D10" s="62" t="s">
        <v>178</v>
      </c>
      <c r="E10" s="63" t="str">
        <f t="shared" si="0"/>
        <v>stage_hints_data_c_ablitytest01.tmp</v>
      </c>
      <c r="F10" s="62" t="s">
        <v>210</v>
      </c>
      <c r="G10" s="66" t="s">
        <v>179</v>
      </c>
      <c r="H10" s="66" t="s">
        <v>171</v>
      </c>
      <c r="I10" s="67" t="s">
        <v>180</v>
      </c>
      <c r="J10" s="61" t="s">
        <v>181</v>
      </c>
      <c r="K10" s="68" t="s">
        <v>182</v>
      </c>
    </row>
    <row r="11" spans="1:30" s="69" customFormat="1" x14ac:dyDescent="0.15">
      <c r="A11" s="56" t="s">
        <v>185</v>
      </c>
      <c r="B11" s="62" t="s">
        <v>202</v>
      </c>
      <c r="C11" s="57" t="s">
        <v>224</v>
      </c>
      <c r="D11" s="62" t="s">
        <v>169</v>
      </c>
      <c r="E11" s="63" t="str">
        <f t="shared" si="0"/>
        <v>stage_hints_data_f_ablitytest01.tmp</v>
      </c>
      <c r="F11" s="62" t="s">
        <v>212</v>
      </c>
      <c r="G11" s="66" t="s">
        <v>179</v>
      </c>
      <c r="H11" s="66" t="s">
        <v>171</v>
      </c>
      <c r="I11" s="67" t="s">
        <v>180</v>
      </c>
      <c r="J11" s="61" t="s">
        <v>181</v>
      </c>
      <c r="K11" s="68" t="s">
        <v>182</v>
      </c>
    </row>
    <row r="12" spans="1:30" s="69" customFormat="1" x14ac:dyDescent="0.15">
      <c r="A12" s="62" t="s">
        <v>203</v>
      </c>
      <c r="B12" s="62" t="s">
        <v>204</v>
      </c>
      <c r="C12" s="57" t="s">
        <v>224</v>
      </c>
      <c r="D12" s="62" t="s">
        <v>169</v>
      </c>
      <c r="E12" s="63" t="str">
        <f t="shared" si="0"/>
        <v>stage_hints_i18n_ablitytest01.tmp</v>
      </c>
      <c r="F12" s="62" t="s">
        <v>213</v>
      </c>
      <c r="G12" s="67" t="s">
        <v>205</v>
      </c>
      <c r="H12" s="90" t="s">
        <v>206</v>
      </c>
      <c r="I12" s="66" t="s">
        <v>207</v>
      </c>
      <c r="J12" s="91" t="s">
        <v>208</v>
      </c>
      <c r="K12" s="68" t="s">
        <v>209</v>
      </c>
    </row>
    <row r="13" spans="1:30" s="69" customFormat="1" x14ac:dyDescent="0.15">
      <c r="A13" s="62" t="s">
        <v>297</v>
      </c>
      <c r="B13" s="62" t="s">
        <v>282</v>
      </c>
      <c r="C13" s="57" t="s">
        <v>224</v>
      </c>
      <c r="D13" s="62" t="s">
        <v>108</v>
      </c>
      <c r="E13" s="63" t="str">
        <f t="shared" si="0"/>
        <v>stage_bonuses_ablitytest01.tmp</v>
      </c>
      <c r="F13" s="62" t="s">
        <v>283</v>
      </c>
      <c r="G13" s="66" t="s">
        <v>187</v>
      </c>
      <c r="H13" s="66" t="s">
        <v>152</v>
      </c>
      <c r="I13" s="66" t="s">
        <v>154</v>
      </c>
      <c r="J13" s="66" t="s">
        <v>273</v>
      </c>
      <c r="K13" s="66" t="s">
        <v>173</v>
      </c>
      <c r="L13" s="66" t="s">
        <v>284</v>
      </c>
      <c r="M13" s="66" t="s">
        <v>285</v>
      </c>
      <c r="N13" s="66" t="s">
        <v>286</v>
      </c>
      <c r="O13" s="66" t="s">
        <v>287</v>
      </c>
      <c r="P13" s="66" t="s">
        <v>288</v>
      </c>
      <c r="Q13" s="66" t="s">
        <v>289</v>
      </c>
      <c r="R13" s="66" t="s">
        <v>290</v>
      </c>
      <c r="S13" s="66" t="s">
        <v>291</v>
      </c>
      <c r="T13" s="66" t="s">
        <v>292</v>
      </c>
      <c r="U13" s="66" t="s">
        <v>293</v>
      </c>
      <c r="V13" s="66" t="s">
        <v>294</v>
      </c>
      <c r="W13" s="66" t="s">
        <v>295</v>
      </c>
      <c r="X13" s="66" t="s">
        <v>296</v>
      </c>
      <c r="Y13" s="183"/>
      <c r="Z13" s="183"/>
      <c r="AA13" s="183"/>
      <c r="AB13" s="183"/>
      <c r="AC13" s="183"/>
      <c r="AD13" s="183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22"/>
  <sheetViews>
    <sheetView showGridLines="0" workbookViewId="0">
      <pane ySplit="1" topLeftCell="A2" activePane="bottomLeft" state="frozen"/>
      <selection activeCell="V2" sqref="V2:X34"/>
      <selection pane="bottomLeft" activeCell="C17" sqref="C17:C21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4" t="s">
        <v>30</v>
      </c>
      <c r="B1" s="14" t="s">
        <v>36</v>
      </c>
      <c r="C1" s="1" t="s">
        <v>0</v>
      </c>
      <c r="D1" s="2" t="s">
        <v>18</v>
      </c>
      <c r="E1" s="13" t="s">
        <v>33</v>
      </c>
      <c r="F1" s="1" t="s">
        <v>1</v>
      </c>
      <c r="G1" s="19" t="s">
        <v>32</v>
      </c>
      <c r="H1" s="13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4" t="str">
        <f>G2&amp;"-"&amp;I2</f>
        <v>65535_4-1</v>
      </c>
      <c r="B2" s="14" t="str">
        <f>IF(COUNTIF(enemy_habitats!$H:$H,A2),"OK","NG")</f>
        <v>OK</v>
      </c>
      <c r="C2" s="6">
        <v>65535</v>
      </c>
      <c r="D2" s="9" t="str">
        <f ca="1">VLOOKUP($C2,OFFSET([2]quests!$A$1,0,0,COUNTA([2]quests!$A:$A),MATCH(D$1,[2]quests!$1:$1,0)-MATCH($C$1,[2]quests!$1:$1,0)+1),MATCH(D$1,[2]quests!$1:$1,0)-MATCH($C$1,[2]quests!$1:$1,0)+1,FALSE)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2" s="16" t="str">
        <f ca="1">VLOOKUP($C2,OFFSET([2]quests!$A$1,0,0,COUNTA([2]quests!$A:$A),MATCH(E$1,[2]quests!$1:$1,0)-MATCH($C$1,[2]quests!$1:$1,0)+1),MATCH(E$1,[2]quests!$1:$1,0)-MATCH($C$1,[2]quests!$1:$1,0)+1,FALSE)</f>
        <v>検証</v>
      </c>
      <c r="F2" s="18">
        <v>4</v>
      </c>
      <c r="G2" s="19" t="str">
        <f>C2&amp;"_"&amp;F2</f>
        <v>65535_4</v>
      </c>
      <c r="H2" s="13" t="str">
        <f ca="1">VLOOKUP($G2,OFFSET([2]stages!$A$1,0,0,COUNTA([2]stages!$A:$A),MATCH(H$1,[2]stages!$2:$2,0)-MATCH($G$1,[2]stages!$2:$2,0)+1),MATCH(H$1,[2]stages!$2:$2,0)-MATCH($G$1,[2]stages!$2:$2,0)+1,FALSE)</f>
        <v>フリーズジャンヌ</v>
      </c>
      <c r="I2" s="18">
        <v>1</v>
      </c>
      <c r="J2" s="10">
        <v>60</v>
      </c>
      <c r="K2" s="10">
        <v>60</v>
      </c>
    </row>
    <row r="3" spans="1:11" ht="21" customHeight="1" x14ac:dyDescent="0.15">
      <c r="A3" s="14" t="str">
        <f t="shared" ref="A3:A5" si="0">G3&amp;"-"&amp;I3</f>
        <v>65535_4-2</v>
      </c>
      <c r="B3" s="14" t="str">
        <f>IF(COUNTIF(enemy_habitats!$H:$H,A3),"OK","NG")</f>
        <v>OK</v>
      </c>
      <c r="C3" s="6">
        <v>65535</v>
      </c>
      <c r="D3" s="9" t="str">
        <f ca="1">VLOOKUP($C3,OFFSET([2]quests!$A$1,0,0,COUNTA([2]quests!$A:$A),MATCH(D$1,[2]quests!$1:$1,0)-MATCH($C$1,[2]quests!$1:$1,0)+1),MATCH(D$1,[2]quests!$1:$1,0)-MATCH($C$1,[2]quests!$1:$1,0)+1,FALSE)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3" s="16" t="str">
        <f ca="1">VLOOKUP($C3,OFFSET([2]quests!$A$1,0,0,COUNTA([2]quests!$A:$A),MATCH(E$1,[2]quests!$1:$1,0)-MATCH($C$1,[2]quests!$1:$1,0)+1),MATCH(E$1,[2]quests!$1:$1,0)-MATCH($C$1,[2]quests!$1:$1,0)+1,FALSE)</f>
        <v>検証</v>
      </c>
      <c r="F3" s="18">
        <v>4</v>
      </c>
      <c r="G3" s="19" t="str">
        <f t="shared" ref="G3:G5" si="1">C3&amp;"_"&amp;F3</f>
        <v>65535_4</v>
      </c>
      <c r="H3" s="13" t="str">
        <f ca="1">VLOOKUP($G3,OFFSET([2]stages!$A$1,0,0,COUNTA([2]stages!$A:$A),MATCH(H$1,[2]stages!$2:$2,0)-MATCH($G$1,[2]stages!$2:$2,0)+1),MATCH(H$1,[2]stages!$2:$2,0)-MATCH($G$1,[2]stages!$2:$2,0)+1,FALSE)</f>
        <v>フリーズジャンヌ</v>
      </c>
      <c r="I3" s="18">
        <v>2</v>
      </c>
      <c r="J3" s="10">
        <v>60</v>
      </c>
      <c r="K3" s="10">
        <v>60</v>
      </c>
    </row>
    <row r="4" spans="1:11" ht="21" customHeight="1" x14ac:dyDescent="0.15">
      <c r="A4" s="14" t="str">
        <f t="shared" si="0"/>
        <v>65535_4-3</v>
      </c>
      <c r="B4" s="14" t="str">
        <f>IF(COUNTIF(enemy_habitats!$H:$H,A4),"OK","NG")</f>
        <v>OK</v>
      </c>
      <c r="C4" s="6">
        <v>65535</v>
      </c>
      <c r="D4" s="9" t="str">
        <f ca="1">VLOOKUP($C4,OFFSET([2]quests!$A$1,0,0,COUNTA([2]quests!$A:$A),MATCH(D$1,[2]quests!$1:$1,0)-MATCH($C$1,[2]quests!$1:$1,0)+1),MATCH(D$1,[2]quests!$1:$1,0)-MATCH($C$1,[2]quests!$1:$1,0)+1,FALSE)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4" s="16" t="str">
        <f ca="1">VLOOKUP($C4,OFFSET([2]quests!$A$1,0,0,COUNTA([2]quests!$A:$A),MATCH(E$1,[2]quests!$1:$1,0)-MATCH($C$1,[2]quests!$1:$1,0)+1),MATCH(E$1,[2]quests!$1:$1,0)-MATCH($C$1,[2]quests!$1:$1,0)+1,FALSE)</f>
        <v>検証</v>
      </c>
      <c r="F4" s="18">
        <v>4</v>
      </c>
      <c r="G4" s="19" t="str">
        <f t="shared" si="1"/>
        <v>65535_4</v>
      </c>
      <c r="H4" s="13" t="str">
        <f ca="1">VLOOKUP($G4,OFFSET([2]stages!$A$1,0,0,COUNTA([2]stages!$A:$A),MATCH(H$1,[2]stages!$2:$2,0)-MATCH($G$1,[2]stages!$2:$2,0)+1),MATCH(H$1,[2]stages!$2:$2,0)-MATCH($G$1,[2]stages!$2:$2,0)+1,FALSE)</f>
        <v>フリーズジャンヌ</v>
      </c>
      <c r="I4" s="18">
        <v>3</v>
      </c>
      <c r="J4" s="10">
        <v>60</v>
      </c>
      <c r="K4" s="10">
        <v>60</v>
      </c>
    </row>
    <row r="5" spans="1:11" ht="21" customHeight="1" x14ac:dyDescent="0.15">
      <c r="A5" s="14" t="str">
        <f t="shared" si="0"/>
        <v>65535_4-4</v>
      </c>
      <c r="B5" s="14" t="str">
        <f>IF(COUNTIF(enemy_habitats!$H:$H,A5),"OK","NG")</f>
        <v>OK</v>
      </c>
      <c r="C5" s="6">
        <v>65535</v>
      </c>
      <c r="D5" s="9" t="str">
        <f ca="1">VLOOKUP($C5,OFFSET([2]quests!$A$1,0,0,COUNTA([2]quests!$A:$A),MATCH(D$1,[2]quests!$1:$1,0)-MATCH($C$1,[2]quests!$1:$1,0)+1),MATCH(D$1,[2]quests!$1:$1,0)-MATCH($C$1,[2]quests!$1:$1,0)+1,FALSE)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5" s="16" t="str">
        <f ca="1">VLOOKUP($C5,OFFSET([2]quests!$A$1,0,0,COUNTA([2]quests!$A:$A),MATCH(E$1,[2]quests!$1:$1,0)-MATCH($C$1,[2]quests!$1:$1,0)+1),MATCH(E$1,[2]quests!$1:$1,0)-MATCH($C$1,[2]quests!$1:$1,0)+1,FALSE)</f>
        <v>検証</v>
      </c>
      <c r="F5" s="18">
        <v>4</v>
      </c>
      <c r="G5" s="19" t="str">
        <f t="shared" si="1"/>
        <v>65535_4</v>
      </c>
      <c r="H5" s="13" t="str">
        <f ca="1">VLOOKUP($G5,OFFSET([2]stages!$A$1,0,0,COUNTA([2]stages!$A:$A),MATCH(H$1,[2]stages!$2:$2,0)-MATCH($G$1,[2]stages!$2:$2,0)+1),MATCH(H$1,[2]stages!$2:$2,0)-MATCH($G$1,[2]stages!$2:$2,0)+1,FALSE)</f>
        <v>フリーズジャンヌ</v>
      </c>
      <c r="I5" s="18">
        <v>4</v>
      </c>
      <c r="J5" s="10">
        <v>60</v>
      </c>
      <c r="K5" s="10">
        <v>60</v>
      </c>
    </row>
    <row r="6" spans="1:11" ht="21" customHeight="1" x14ac:dyDescent="0.15">
      <c r="A6" s="14" t="str">
        <f>G6&amp;"-"&amp;I6</f>
        <v>65535_5-1</v>
      </c>
      <c r="B6" s="14" t="str">
        <f>IF(COUNTIF(enemy_habitats!$H:$H,A6),"OK","NG")</f>
        <v>OK</v>
      </c>
      <c r="C6" s="6">
        <v>65535</v>
      </c>
      <c r="D6" s="9" t="str">
        <f ca="1">VLOOKUP($C6,OFFSET([2]quests!$A$1,0,0,COUNTA([2]quests!$A:$A),MATCH(D$1,[2]quests!$1:$1,0)-MATCH($C$1,[2]quests!$1:$1,0)+1),MATCH(D$1,[2]quests!$1:$1,0)-MATCH($C$1,[2]quests!$1:$1,0)+1,FALSE)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6" s="16" t="str">
        <f ca="1">VLOOKUP($C6,OFFSET([2]quests!$A$1,0,0,COUNTA([2]quests!$A:$A),MATCH(E$1,[2]quests!$1:$1,0)-MATCH($C$1,[2]quests!$1:$1,0)+1),MATCH(E$1,[2]quests!$1:$1,0)-MATCH($C$1,[2]quests!$1:$1,0)+1,FALSE)</f>
        <v>検証</v>
      </c>
      <c r="F6" s="18">
        <v>5</v>
      </c>
      <c r="G6" s="19" t="str">
        <f>C6&amp;"_"&amp;F6</f>
        <v>65535_5</v>
      </c>
      <c r="H6" s="13" t="str">
        <f ca="1">VLOOKUP($G6,OFFSET([2]stages!$A$1,0,0,COUNTA([2]stages!$A:$A),MATCH(H$1,[2]stages!$2:$2,0)-MATCH($G$1,[2]stages!$2:$2,0)+1),MATCH(H$1,[2]stages!$2:$2,0)-MATCH($G$1,[2]stages!$2:$2,0)+1,FALSE)</f>
        <v>ウィルスジャンヌ</v>
      </c>
      <c r="I6" s="18">
        <v>1</v>
      </c>
      <c r="J6" s="10">
        <v>60</v>
      </c>
      <c r="K6" s="10">
        <v>60</v>
      </c>
    </row>
    <row r="7" spans="1:11" ht="21" customHeight="1" x14ac:dyDescent="0.15">
      <c r="A7" s="14" t="str">
        <f t="shared" ref="A7:A9" si="2">G7&amp;"-"&amp;I7</f>
        <v>65535_5-2</v>
      </c>
      <c r="B7" s="14" t="str">
        <f>IF(COUNTIF(enemy_habitats!$H:$H,A7),"OK","NG")</f>
        <v>OK</v>
      </c>
      <c r="C7" s="6">
        <v>65535</v>
      </c>
      <c r="D7" s="9" t="str">
        <f ca="1">VLOOKUP($C7,OFFSET([2]quests!$A$1,0,0,COUNTA([2]quests!$A:$A),MATCH(D$1,[2]quests!$1:$1,0)-MATCH($C$1,[2]quests!$1:$1,0)+1),MATCH(D$1,[2]quests!$1:$1,0)-MATCH($C$1,[2]quests!$1:$1,0)+1,FALSE)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7" s="16" t="str">
        <f ca="1">VLOOKUP($C7,OFFSET([2]quests!$A$1,0,0,COUNTA([2]quests!$A:$A),MATCH(E$1,[2]quests!$1:$1,0)-MATCH($C$1,[2]quests!$1:$1,0)+1),MATCH(E$1,[2]quests!$1:$1,0)-MATCH($C$1,[2]quests!$1:$1,0)+1,FALSE)</f>
        <v>検証</v>
      </c>
      <c r="F7" s="18">
        <v>5</v>
      </c>
      <c r="G7" s="19" t="str">
        <f t="shared" ref="G7:G9" si="3">C7&amp;"_"&amp;F7</f>
        <v>65535_5</v>
      </c>
      <c r="H7" s="13" t="str">
        <f ca="1">VLOOKUP($G7,OFFSET([2]stages!$A$1,0,0,COUNTA([2]stages!$A:$A),MATCH(H$1,[2]stages!$2:$2,0)-MATCH($G$1,[2]stages!$2:$2,0)+1),MATCH(H$1,[2]stages!$2:$2,0)-MATCH($G$1,[2]stages!$2:$2,0)+1,FALSE)</f>
        <v>ウィルスジャンヌ</v>
      </c>
      <c r="I7" s="18">
        <v>2</v>
      </c>
      <c r="J7" s="10">
        <v>60</v>
      </c>
      <c r="K7" s="10">
        <v>60</v>
      </c>
    </row>
    <row r="8" spans="1:11" ht="21" customHeight="1" x14ac:dyDescent="0.15">
      <c r="A8" s="14" t="str">
        <f t="shared" si="2"/>
        <v>65535_5-3</v>
      </c>
      <c r="B8" s="14" t="str">
        <f>IF(COUNTIF(enemy_habitats!$H:$H,A8),"OK","NG")</f>
        <v>OK</v>
      </c>
      <c r="C8" s="6">
        <v>65535</v>
      </c>
      <c r="D8" s="9" t="str">
        <f ca="1">VLOOKUP($C8,OFFSET([2]quests!$A$1,0,0,COUNTA([2]quests!$A:$A),MATCH(D$1,[2]quests!$1:$1,0)-MATCH($C$1,[2]quests!$1:$1,0)+1),MATCH(D$1,[2]quests!$1:$1,0)-MATCH($C$1,[2]quests!$1:$1,0)+1,FALSE)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8" s="16" t="str">
        <f ca="1">VLOOKUP($C8,OFFSET([2]quests!$A$1,0,0,COUNTA([2]quests!$A:$A),MATCH(E$1,[2]quests!$1:$1,0)-MATCH($C$1,[2]quests!$1:$1,0)+1),MATCH(E$1,[2]quests!$1:$1,0)-MATCH($C$1,[2]quests!$1:$1,0)+1,FALSE)</f>
        <v>検証</v>
      </c>
      <c r="F8" s="18">
        <v>5</v>
      </c>
      <c r="G8" s="19" t="str">
        <f t="shared" si="3"/>
        <v>65535_5</v>
      </c>
      <c r="H8" s="13" t="str">
        <f ca="1">VLOOKUP($G8,OFFSET([2]stages!$A$1,0,0,COUNTA([2]stages!$A:$A),MATCH(H$1,[2]stages!$2:$2,0)-MATCH($G$1,[2]stages!$2:$2,0)+1),MATCH(H$1,[2]stages!$2:$2,0)-MATCH($G$1,[2]stages!$2:$2,0)+1,FALSE)</f>
        <v>ウィルスジャンヌ</v>
      </c>
      <c r="I8" s="18">
        <v>3</v>
      </c>
      <c r="J8" s="10">
        <v>60</v>
      </c>
      <c r="K8" s="10">
        <v>60</v>
      </c>
    </row>
    <row r="9" spans="1:11" ht="21" customHeight="1" x14ac:dyDescent="0.15">
      <c r="A9" s="14" t="str">
        <f t="shared" si="2"/>
        <v>65535_5-4</v>
      </c>
      <c r="B9" s="14" t="str">
        <f>IF(COUNTIF(enemy_habitats!$H:$H,A9),"OK","NG")</f>
        <v>OK</v>
      </c>
      <c r="C9" s="6">
        <v>65535</v>
      </c>
      <c r="D9" s="9" t="str">
        <f ca="1">VLOOKUP($C9,OFFSET([2]quests!$A$1,0,0,COUNTA([2]quests!$A:$A),MATCH(D$1,[2]quests!$1:$1,0)-MATCH($C$1,[2]quests!$1:$1,0)+1),MATCH(D$1,[2]quests!$1:$1,0)-MATCH($C$1,[2]quests!$1:$1,0)+1,FALSE)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9" s="16" t="str">
        <f ca="1">VLOOKUP($C9,OFFSET([2]quests!$A$1,0,0,COUNTA([2]quests!$A:$A),MATCH(E$1,[2]quests!$1:$1,0)-MATCH($C$1,[2]quests!$1:$1,0)+1),MATCH(E$1,[2]quests!$1:$1,0)-MATCH($C$1,[2]quests!$1:$1,0)+1,FALSE)</f>
        <v>検証</v>
      </c>
      <c r="F9" s="18">
        <v>5</v>
      </c>
      <c r="G9" s="19" t="str">
        <f t="shared" si="3"/>
        <v>65535_5</v>
      </c>
      <c r="H9" s="13" t="str">
        <f ca="1">VLOOKUP($G9,OFFSET([2]stages!$A$1,0,0,COUNTA([2]stages!$A:$A),MATCH(H$1,[2]stages!$2:$2,0)-MATCH($G$1,[2]stages!$2:$2,0)+1),MATCH(H$1,[2]stages!$2:$2,0)-MATCH($G$1,[2]stages!$2:$2,0)+1,FALSE)</f>
        <v>ウィルスジャンヌ</v>
      </c>
      <c r="I9" s="18">
        <v>4</v>
      </c>
      <c r="J9" s="10">
        <v>60</v>
      </c>
      <c r="K9" s="10">
        <v>60</v>
      </c>
    </row>
    <row r="10" spans="1:11" ht="21" customHeight="1" x14ac:dyDescent="0.15">
      <c r="A10" s="14" t="str">
        <f>G10&amp;"-"&amp;I10</f>
        <v>65535_6-1</v>
      </c>
      <c r="B10" s="14" t="str">
        <f>IF(COUNTIF(enemy_habitats!$H:$H,A10),"OK","NG")</f>
        <v>OK</v>
      </c>
      <c r="C10" s="6">
        <v>65535</v>
      </c>
      <c r="D10" s="9" t="str">
        <f ca="1">VLOOKUP($C10,OFFSET([2]quests!$A$1,0,0,COUNTA([2]quests!$A:$A),MATCH(D$1,[2]quests!$1:$1,0)-MATCH($C$1,[2]quests!$1:$1,0)+1),MATCH(D$1,[2]quests!$1:$1,0)-MATCH($C$1,[2]quests!$1:$1,0)+1,FALSE)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10" s="16" t="str">
        <f ca="1">VLOOKUP($C10,OFFSET([2]quests!$A$1,0,0,COUNTA([2]quests!$A:$A),MATCH(E$1,[2]quests!$1:$1,0)-MATCH($C$1,[2]quests!$1:$1,0)+1),MATCH(E$1,[2]quests!$1:$1,0)-MATCH($C$1,[2]quests!$1:$1,0)+1,FALSE)</f>
        <v>検証</v>
      </c>
      <c r="F10" s="18">
        <v>6</v>
      </c>
      <c r="G10" s="19" t="str">
        <f>C10&amp;"_"&amp;F10</f>
        <v>65535_6</v>
      </c>
      <c r="H10" s="13" t="str">
        <f ca="1">VLOOKUP($G10,OFFSET([2]stages!$A$1,0,0,COUNTA([2]stages!$A:$A),MATCH(H$1,[2]stages!$2:$2,0)-MATCH($G$1,[2]stages!$2:$2,0)+1),MATCH(H$1,[2]stages!$2:$2,0)-MATCH($G$1,[2]stages!$2:$2,0)+1,FALSE)</f>
        <v>お邪魔ジャンヌ</v>
      </c>
      <c r="I10" s="18">
        <v>1</v>
      </c>
      <c r="J10" s="10">
        <v>60</v>
      </c>
      <c r="K10" s="10">
        <v>60</v>
      </c>
    </row>
    <row r="11" spans="1:11" ht="21" customHeight="1" x14ac:dyDescent="0.15">
      <c r="A11" s="14" t="str">
        <f t="shared" ref="A11:A13" si="4">G11&amp;"-"&amp;I11</f>
        <v>65535_6-2</v>
      </c>
      <c r="B11" s="14" t="str">
        <f>IF(COUNTIF(enemy_habitats!$H:$H,A11),"OK","NG")</f>
        <v>OK</v>
      </c>
      <c r="C11" s="6">
        <v>65535</v>
      </c>
      <c r="D11" s="9" t="str">
        <f ca="1">VLOOKUP($C11,OFFSET([2]quests!$A$1,0,0,COUNTA([2]quests!$A:$A),MATCH(D$1,[2]quests!$1:$1,0)-MATCH($C$1,[2]quests!$1:$1,0)+1),MATCH(D$1,[2]quests!$1:$1,0)-MATCH($C$1,[2]quests!$1:$1,0)+1,FALSE)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11" s="16" t="str">
        <f ca="1">VLOOKUP($C11,OFFSET([2]quests!$A$1,0,0,COUNTA([2]quests!$A:$A),MATCH(E$1,[2]quests!$1:$1,0)-MATCH($C$1,[2]quests!$1:$1,0)+1),MATCH(E$1,[2]quests!$1:$1,0)-MATCH($C$1,[2]quests!$1:$1,0)+1,FALSE)</f>
        <v>検証</v>
      </c>
      <c r="F11" s="18">
        <v>6</v>
      </c>
      <c r="G11" s="19" t="str">
        <f t="shared" ref="G11:G13" si="5">C11&amp;"_"&amp;F11</f>
        <v>65535_6</v>
      </c>
      <c r="H11" s="13" t="str">
        <f ca="1">VLOOKUP($G11,OFFSET([2]stages!$A$1,0,0,COUNTA([2]stages!$A:$A),MATCH(H$1,[2]stages!$2:$2,0)-MATCH($G$1,[2]stages!$2:$2,0)+1),MATCH(H$1,[2]stages!$2:$2,0)-MATCH($G$1,[2]stages!$2:$2,0)+1,FALSE)</f>
        <v>お邪魔ジャンヌ</v>
      </c>
      <c r="I11" s="18">
        <v>2</v>
      </c>
      <c r="J11" s="10">
        <v>60</v>
      </c>
      <c r="K11" s="10">
        <v>60</v>
      </c>
    </row>
    <row r="12" spans="1:11" ht="21" customHeight="1" x14ac:dyDescent="0.15">
      <c r="A12" s="14" t="str">
        <f t="shared" si="4"/>
        <v>65535_6-3</v>
      </c>
      <c r="B12" s="14" t="str">
        <f>IF(COUNTIF(enemy_habitats!$H:$H,A12),"OK","NG")</f>
        <v>OK</v>
      </c>
      <c r="C12" s="6">
        <v>65535</v>
      </c>
      <c r="D12" s="9" t="str">
        <f ca="1">VLOOKUP($C12,OFFSET([2]quests!$A$1,0,0,COUNTA([2]quests!$A:$A),MATCH(D$1,[2]quests!$1:$1,0)-MATCH($C$1,[2]quests!$1:$1,0)+1),MATCH(D$1,[2]quests!$1:$1,0)-MATCH($C$1,[2]quests!$1:$1,0)+1,FALSE)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12" s="16" t="str">
        <f ca="1">VLOOKUP($C12,OFFSET([2]quests!$A$1,0,0,COUNTA([2]quests!$A:$A),MATCH(E$1,[2]quests!$1:$1,0)-MATCH($C$1,[2]quests!$1:$1,0)+1),MATCH(E$1,[2]quests!$1:$1,0)-MATCH($C$1,[2]quests!$1:$1,0)+1,FALSE)</f>
        <v>検証</v>
      </c>
      <c r="F12" s="18">
        <v>6</v>
      </c>
      <c r="G12" s="19" t="str">
        <f t="shared" si="5"/>
        <v>65535_6</v>
      </c>
      <c r="H12" s="13" t="str">
        <f ca="1">VLOOKUP($G12,OFFSET([2]stages!$A$1,0,0,COUNTA([2]stages!$A:$A),MATCH(H$1,[2]stages!$2:$2,0)-MATCH($G$1,[2]stages!$2:$2,0)+1),MATCH(H$1,[2]stages!$2:$2,0)-MATCH($G$1,[2]stages!$2:$2,0)+1,FALSE)</f>
        <v>お邪魔ジャンヌ</v>
      </c>
      <c r="I12" s="18">
        <v>3</v>
      </c>
      <c r="J12" s="10">
        <v>60</v>
      </c>
      <c r="K12" s="10">
        <v>60</v>
      </c>
    </row>
    <row r="13" spans="1:11" ht="21" customHeight="1" x14ac:dyDescent="0.15">
      <c r="A13" s="14" t="str">
        <f t="shared" si="4"/>
        <v>65535_6-4</v>
      </c>
      <c r="B13" s="14" t="str">
        <f>IF(COUNTIF(enemy_habitats!$H:$H,A13),"OK","NG")</f>
        <v>OK</v>
      </c>
      <c r="C13" s="6">
        <v>65535</v>
      </c>
      <c r="D13" s="9" t="str">
        <f ca="1">VLOOKUP($C13,OFFSET([2]quests!$A$1,0,0,COUNTA([2]quests!$A:$A),MATCH(D$1,[2]quests!$1:$1,0)-MATCH($C$1,[2]quests!$1:$1,0)+1),MATCH(D$1,[2]quests!$1:$1,0)-MATCH($C$1,[2]quests!$1:$1,0)+1,FALSE)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13" s="16" t="str">
        <f ca="1">VLOOKUP($C13,OFFSET([2]quests!$A$1,0,0,COUNTA([2]quests!$A:$A),MATCH(E$1,[2]quests!$1:$1,0)-MATCH($C$1,[2]quests!$1:$1,0)+1),MATCH(E$1,[2]quests!$1:$1,0)-MATCH($C$1,[2]quests!$1:$1,0)+1,FALSE)</f>
        <v>検証</v>
      </c>
      <c r="F13" s="18">
        <v>6</v>
      </c>
      <c r="G13" s="19" t="str">
        <f t="shared" si="5"/>
        <v>65535_6</v>
      </c>
      <c r="H13" s="13" t="str">
        <f ca="1">VLOOKUP($G13,OFFSET([2]stages!$A$1,0,0,COUNTA([2]stages!$A:$A),MATCH(H$1,[2]stages!$2:$2,0)-MATCH($G$1,[2]stages!$2:$2,0)+1),MATCH(H$1,[2]stages!$2:$2,0)-MATCH($G$1,[2]stages!$2:$2,0)+1,FALSE)</f>
        <v>お邪魔ジャンヌ</v>
      </c>
      <c r="I13" s="18">
        <v>4</v>
      </c>
      <c r="J13" s="10">
        <v>60</v>
      </c>
      <c r="K13" s="10">
        <v>60</v>
      </c>
    </row>
    <row r="14" spans="1:11" ht="21" customHeight="1" x14ac:dyDescent="0.15">
      <c r="A14" s="14" t="str">
        <f>G14&amp;"-"&amp;I14</f>
        <v>65535_7-1</v>
      </c>
      <c r="B14" s="14" t="str">
        <f>IF(COUNTIF(enemy_habitats!$H:$H,A14),"OK","NG")</f>
        <v>OK</v>
      </c>
      <c r="C14" s="6">
        <v>65535</v>
      </c>
      <c r="D14" s="9" t="str">
        <f ca="1">VLOOKUP($C14,OFFSET([2]quests!$A$1,0,0,COUNTA([2]quests!$A:$A),MATCH(D$1,[2]quests!$1:$1,0)-MATCH($C$1,[2]quests!$1:$1,0)+1),MATCH(D$1,[2]quests!$1:$1,0)-MATCH($C$1,[2]quests!$1:$1,0)+1,FALSE)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14" s="16" t="str">
        <f ca="1">VLOOKUP($C14,OFFSET([2]quests!$A$1,0,0,COUNTA([2]quests!$A:$A),MATCH(E$1,[2]quests!$1:$1,0)-MATCH($C$1,[2]quests!$1:$1,0)+1),MATCH(E$1,[2]quests!$1:$1,0)-MATCH($C$1,[2]quests!$1:$1,0)+1,FALSE)</f>
        <v>検証</v>
      </c>
      <c r="F14" s="18">
        <v>7</v>
      </c>
      <c r="G14" s="19" t="str">
        <f>C14&amp;"_"&amp;F14</f>
        <v>65535_7</v>
      </c>
      <c r="H14" s="13" t="str">
        <f ca="1">VLOOKUP($G14,OFFSET([2]stages!$A$1,0,0,COUNTA([2]stages!$A:$A),MATCH(H$1,[2]stages!$2:$2,0)-MATCH($G$1,[2]stages!$2:$2,0)+1),MATCH(H$1,[2]stages!$2:$2,0)-MATCH($G$1,[2]stages!$2:$2,0)+1,FALSE)</f>
        <v>爆風ジャンヌ</v>
      </c>
      <c r="I14" s="18">
        <v>1</v>
      </c>
      <c r="J14" s="10">
        <v>60</v>
      </c>
      <c r="K14" s="10">
        <v>60</v>
      </c>
    </row>
    <row r="15" spans="1:11" ht="21" customHeight="1" x14ac:dyDescent="0.15">
      <c r="A15" s="14" t="str">
        <f t="shared" ref="A15:A21" si="6">G15&amp;"-"&amp;I15</f>
        <v>65535_7-2</v>
      </c>
      <c r="B15" s="14" t="str">
        <f>IF(COUNTIF(enemy_habitats!$H:$H,A15),"OK","NG")</f>
        <v>OK</v>
      </c>
      <c r="C15" s="6">
        <v>65535</v>
      </c>
      <c r="D15" s="9" t="str">
        <f ca="1">VLOOKUP($C15,OFFSET([2]quests!$A$1,0,0,COUNTA([2]quests!$A:$A),MATCH(D$1,[2]quests!$1:$1,0)-MATCH($C$1,[2]quests!$1:$1,0)+1),MATCH(D$1,[2]quests!$1:$1,0)-MATCH($C$1,[2]quests!$1:$1,0)+1,FALSE)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15" s="16" t="str">
        <f ca="1">VLOOKUP($C15,OFFSET([2]quests!$A$1,0,0,COUNTA([2]quests!$A:$A),MATCH(E$1,[2]quests!$1:$1,0)-MATCH($C$1,[2]quests!$1:$1,0)+1),MATCH(E$1,[2]quests!$1:$1,0)-MATCH($C$1,[2]quests!$1:$1,0)+1,FALSE)</f>
        <v>検証</v>
      </c>
      <c r="F15" s="18">
        <v>7</v>
      </c>
      <c r="G15" s="19" t="str">
        <f t="shared" ref="G15:G21" si="7">C15&amp;"_"&amp;F15</f>
        <v>65535_7</v>
      </c>
      <c r="H15" s="13" t="str">
        <f ca="1">VLOOKUP($G15,OFFSET([2]stages!$A$1,0,0,COUNTA([2]stages!$A:$A),MATCH(H$1,[2]stages!$2:$2,0)-MATCH($G$1,[2]stages!$2:$2,0)+1),MATCH(H$1,[2]stages!$2:$2,0)-MATCH($G$1,[2]stages!$2:$2,0)+1,FALSE)</f>
        <v>爆風ジャンヌ</v>
      </c>
      <c r="I15" s="18">
        <v>2</v>
      </c>
      <c r="J15" s="10">
        <v>60</v>
      </c>
      <c r="K15" s="10">
        <v>60</v>
      </c>
    </row>
    <row r="16" spans="1:11" ht="21" customHeight="1" x14ac:dyDescent="0.15">
      <c r="A16" s="14" t="str">
        <f t="shared" si="6"/>
        <v>65535_7-3</v>
      </c>
      <c r="B16" s="14" t="str">
        <f>IF(COUNTIF(enemy_habitats!$H:$H,A16),"OK","NG")</f>
        <v>OK</v>
      </c>
      <c r="C16" s="6">
        <v>65535</v>
      </c>
      <c r="D16" s="9" t="str">
        <f ca="1">VLOOKUP($C16,OFFSET([2]quests!$A$1,0,0,COUNTA([2]quests!$A:$A),MATCH(D$1,[2]quests!$1:$1,0)-MATCH($C$1,[2]quests!$1:$1,0)+1),MATCH(D$1,[2]quests!$1:$1,0)-MATCH($C$1,[2]quests!$1:$1,0)+1,FALSE)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16" s="16" t="str">
        <f ca="1">VLOOKUP($C16,OFFSET([2]quests!$A$1,0,0,COUNTA([2]quests!$A:$A),MATCH(E$1,[2]quests!$1:$1,0)-MATCH($C$1,[2]quests!$1:$1,0)+1),MATCH(E$1,[2]quests!$1:$1,0)-MATCH($C$1,[2]quests!$1:$1,0)+1,FALSE)</f>
        <v>検証</v>
      </c>
      <c r="F16" s="18">
        <v>7</v>
      </c>
      <c r="G16" s="19" t="str">
        <f t="shared" si="7"/>
        <v>65535_7</v>
      </c>
      <c r="H16" s="13" t="str">
        <f ca="1">VLOOKUP($G16,OFFSET([2]stages!$A$1,0,0,COUNTA([2]stages!$A:$A),MATCH(H$1,[2]stages!$2:$2,0)-MATCH($G$1,[2]stages!$2:$2,0)+1),MATCH(H$1,[2]stages!$2:$2,0)-MATCH($G$1,[2]stages!$2:$2,0)+1,FALSE)</f>
        <v>爆風ジャンヌ</v>
      </c>
      <c r="I16" s="18">
        <v>3</v>
      </c>
      <c r="J16" s="10">
        <v>60</v>
      </c>
      <c r="K16" s="10">
        <v>60</v>
      </c>
    </row>
    <row r="17" spans="1:11" ht="21" customHeight="1" thickBot="1" x14ac:dyDescent="0.2">
      <c r="A17" s="14" t="str">
        <f t="shared" si="6"/>
        <v>65535_7-4</v>
      </c>
      <c r="B17" s="14" t="str">
        <f>IF(COUNTIF(enemy_habitats!$H:$H,A17),"OK","NG")</f>
        <v>OK</v>
      </c>
      <c r="C17" s="6">
        <v>65535</v>
      </c>
      <c r="D17" s="9" t="str">
        <f ca="1">VLOOKUP($C17,OFFSET([2]quests!$A$1,0,0,COUNTA([2]quests!$A:$A),MATCH(D$1,[2]quests!$1:$1,0)-MATCH($C$1,[2]quests!$1:$1,0)+1),MATCH(D$1,[2]quests!$1:$1,0)-MATCH($C$1,[2]quests!$1:$1,0)+1,FALSE)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17" s="16" t="str">
        <f ca="1">VLOOKUP($C17,OFFSET([2]quests!$A$1,0,0,COUNTA([2]quests!$A:$A),MATCH(E$1,[2]quests!$1:$1,0)-MATCH($C$1,[2]quests!$1:$1,0)+1),MATCH(E$1,[2]quests!$1:$1,0)-MATCH($C$1,[2]quests!$1:$1,0)+1,FALSE)</f>
        <v>検証</v>
      </c>
      <c r="F17" s="18">
        <v>7</v>
      </c>
      <c r="G17" s="19" t="str">
        <f t="shared" si="7"/>
        <v>65535_7</v>
      </c>
      <c r="H17" s="13" t="str">
        <f ca="1">VLOOKUP($G17,OFFSET([2]stages!$A$1,0,0,COUNTA([2]stages!$A:$A),MATCH(H$1,[2]stages!$2:$2,0)-MATCH($G$1,[2]stages!$2:$2,0)+1),MATCH(H$1,[2]stages!$2:$2,0)-MATCH($G$1,[2]stages!$2:$2,0)+1,FALSE)</f>
        <v>爆風ジャンヌ</v>
      </c>
      <c r="I17" s="18">
        <v>4</v>
      </c>
      <c r="J17" s="10">
        <v>60</v>
      </c>
      <c r="K17" s="10">
        <v>60</v>
      </c>
    </row>
    <row r="18" spans="1:11" ht="21" customHeight="1" thickBot="1" x14ac:dyDescent="0.2">
      <c r="A18" s="14" t="str">
        <f t="shared" si="6"/>
        <v>65535_8-1</v>
      </c>
      <c r="B18" s="14" t="e">
        <f>IF(COUNTIF([3]enemy_habitats!$H:$H,A18),"OK","NG")</f>
        <v>#VALUE!</v>
      </c>
      <c r="C18" s="6">
        <v>65535</v>
      </c>
      <c r="D18" s="185" t="str">
        <f ca="1">VLOOKUP($C18,OFFSET([2]quests!$A$1,0,0,COUNTA([2]quests!$A:$A),MATCH(D$1,[2]quests!$1:$1,0)-MATCH($C$1,[2]quests!$1:$1,0)+1),MATCH(D$1,[2]quests!$1:$1,0)-MATCH($C$1,[2]quests!$1:$1,0)+1,FALSE)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18" s="185" t="str">
        <f ca="1">VLOOKUP($C18,OFFSET([2]quests!$A$1,0,0,COUNTA([2]quests!$A:$A),MATCH(E$1,[2]quests!$1:$1,0)-MATCH($C$1,[2]quests!$1:$1,0)+1),MATCH(E$1,[2]quests!$1:$1,0)-MATCH($C$1,[2]quests!$1:$1,0)+1,FALSE)</f>
        <v>検証</v>
      </c>
      <c r="F18" s="94">
        <v>8</v>
      </c>
      <c r="G18" s="186" t="str">
        <f t="shared" si="7"/>
        <v>65535_8</v>
      </c>
      <c r="H18" s="95" t="str">
        <f ca="1">VLOOKUP($G18,OFFSET([2]stages!$A$1,0,0,COUNTA([2]stages!$A:$A),MATCH(H$1,[2]stages!$2:$2,0)-MATCH($G$1,[2]stages!$2:$2,0)+1),MATCH(H$1,[2]stages!$2:$2,0)-MATCH($G$1,[2]stages!$2:$2,0)+1,FALSE)</f>
        <v>テスト</v>
      </c>
      <c r="I18" s="94">
        <v>1</v>
      </c>
      <c r="J18" s="97">
        <v>60</v>
      </c>
      <c r="K18" s="187">
        <v>60</v>
      </c>
    </row>
    <row r="19" spans="1:11" ht="21" customHeight="1" thickBot="1" x14ac:dyDescent="0.2">
      <c r="A19" s="14" t="str">
        <f t="shared" si="6"/>
        <v>65535_8-2</v>
      </c>
      <c r="B19" s="14" t="e">
        <f>IF(COUNTIF([3]enemy_habitats!$H:$H,A19),"OK","NG")</f>
        <v>#VALUE!</v>
      </c>
      <c r="C19" s="6">
        <v>65535</v>
      </c>
      <c r="D19" s="16" t="str">
        <f ca="1">VLOOKUP($C19,OFFSET([2]quests!$A$1,0,0,COUNTA([2]quests!$A:$A),MATCH(D$1,[2]quests!$1:$1,0)-MATCH($C$1,[2]quests!$1:$1,0)+1),MATCH(D$1,[2]quests!$1:$1,0)-MATCH($C$1,[2]quests!$1:$1,0)+1,FALSE)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19" s="16" t="str">
        <f ca="1">VLOOKUP($C19,OFFSET([2]quests!$A$1,0,0,COUNTA([2]quests!$A:$A),MATCH(E$1,[2]quests!$1:$1,0)-MATCH($C$1,[2]quests!$1:$1,0)+1),MATCH(E$1,[2]quests!$1:$1,0)-MATCH($C$1,[2]quests!$1:$1,0)+1,FALSE)</f>
        <v>検証</v>
      </c>
      <c r="F19" s="94">
        <v>8</v>
      </c>
      <c r="G19" s="19" t="str">
        <f t="shared" si="7"/>
        <v>65535_8</v>
      </c>
      <c r="H19" s="13" t="str">
        <f ca="1">VLOOKUP($G19,OFFSET([2]stages!$A$1,0,0,COUNTA([2]stages!$A:$A),MATCH(H$1,[2]stages!$2:$2,0)-MATCH($G$1,[2]stages!$2:$2,0)+1),MATCH(H$1,[2]stages!$2:$2,0)-MATCH($G$1,[2]stages!$2:$2,0)+1,FALSE)</f>
        <v>テスト</v>
      </c>
      <c r="I19" s="109">
        <v>2</v>
      </c>
      <c r="J19" s="33">
        <v>60</v>
      </c>
      <c r="K19" s="188">
        <v>60</v>
      </c>
    </row>
    <row r="20" spans="1:11" ht="21" customHeight="1" thickBot="1" x14ac:dyDescent="0.2">
      <c r="A20" s="14" t="str">
        <f t="shared" si="6"/>
        <v>65535_8-3</v>
      </c>
      <c r="B20" s="14" t="e">
        <f>IF(COUNTIF([3]enemy_habitats!$H:$H,A20),"OK","NG")</f>
        <v>#VALUE!</v>
      </c>
      <c r="C20" s="6">
        <v>65535</v>
      </c>
      <c r="D20" s="16" t="str">
        <f ca="1">VLOOKUP($C20,OFFSET([2]quests!$A$1,0,0,COUNTA([2]quests!$A:$A),MATCH(D$1,[2]quests!$1:$1,0)-MATCH($C$1,[2]quests!$1:$1,0)+1),MATCH(D$1,[2]quests!$1:$1,0)-MATCH($C$1,[2]quests!$1:$1,0)+1,FALSE)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20" s="16" t="str">
        <f ca="1">VLOOKUP($C20,OFFSET([2]quests!$A$1,0,0,COUNTA([2]quests!$A:$A),MATCH(E$1,[2]quests!$1:$1,0)-MATCH($C$1,[2]quests!$1:$1,0)+1),MATCH(E$1,[2]quests!$1:$1,0)-MATCH($C$1,[2]quests!$1:$1,0)+1,FALSE)</f>
        <v>検証</v>
      </c>
      <c r="F20" s="94">
        <v>8</v>
      </c>
      <c r="G20" s="19" t="str">
        <f t="shared" si="7"/>
        <v>65535_8</v>
      </c>
      <c r="H20" s="13" t="str">
        <f ca="1">VLOOKUP($G20,OFFSET([2]stages!$A$1,0,0,COUNTA([2]stages!$A:$A),MATCH(H$1,[2]stages!$2:$2,0)-MATCH($G$1,[2]stages!$2:$2,0)+1),MATCH(H$1,[2]stages!$2:$2,0)-MATCH($G$1,[2]stages!$2:$2,0)+1,FALSE)</f>
        <v>テスト</v>
      </c>
      <c r="I20" s="109">
        <v>3</v>
      </c>
      <c r="J20" s="33">
        <v>60</v>
      </c>
      <c r="K20" s="188">
        <v>60</v>
      </c>
    </row>
    <row r="21" spans="1:11" ht="21" customHeight="1" thickBot="1" x14ac:dyDescent="0.2">
      <c r="A21" s="14" t="str">
        <f t="shared" si="6"/>
        <v>65535_8-4</v>
      </c>
      <c r="B21" s="14" t="e">
        <f>IF(COUNTIF([3]enemy_habitats!$H:$H,A21),"OK","NG")</f>
        <v>#VALUE!</v>
      </c>
      <c r="C21" s="6">
        <v>65535</v>
      </c>
      <c r="D21" s="189" t="str">
        <f ca="1">VLOOKUP($C21,OFFSET([2]quests!$A$1,0,0,COUNTA([2]quests!$A:$A),MATCH(D$1,[2]quests!$1:$1,0)-MATCH($C$1,[2]quests!$1:$1,0)+1),MATCH(D$1,[2]quests!$1:$1,0)-MATCH($C$1,[2]quests!$1:$1,0)+1,FALSE)</f>
        <v>１２３４５６７８９０１２３４５６７８９０１２３４５６７８９０</v>
      </c>
      <c r="E21" s="189" t="str">
        <f ca="1">VLOOKUP($C21,OFFSET([2]quests!$A$1,0,0,COUNTA([2]quests!$A:$A),MATCH(E$1,[2]quests!$1:$1,0)-MATCH($C$1,[2]quests!$1:$1,0)+1),MATCH(E$1,[2]quests!$1:$1,0)-MATCH($C$1,[2]quests!$1:$1,0)+1,FALSE)</f>
        <v>検証</v>
      </c>
      <c r="F21" s="94">
        <v>8</v>
      </c>
      <c r="G21" s="190" t="str">
        <f t="shared" si="7"/>
        <v>65535_8</v>
      </c>
      <c r="H21" s="122" t="str">
        <f ca="1">VLOOKUP($G21,OFFSET([2]stages!$A$1,0,0,COUNTA([2]stages!$A:$A),MATCH(H$1,[2]stages!$2:$2,0)-MATCH($G$1,[2]stages!$2:$2,0)+1),MATCH(H$1,[2]stages!$2:$2,0)-MATCH($G$1,[2]stages!$2:$2,0)+1,FALSE)</f>
        <v>テスト</v>
      </c>
      <c r="I21" s="121">
        <v>4</v>
      </c>
      <c r="J21" s="124">
        <v>60</v>
      </c>
      <c r="K21" s="191">
        <v>60</v>
      </c>
    </row>
    <row r="22" spans="1:11" ht="21" customHeight="1" x14ac:dyDescent="0.15">
      <c r="K22" s="3" t="s">
        <v>267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R40"/>
  <sheetViews>
    <sheetView showGridLines="0" workbookViewId="0">
      <pane xSplit="17" ySplit="1" topLeftCell="W21" activePane="bottomRight" state="frozen"/>
      <selection pane="topRight" activeCell="N1" sqref="N1"/>
      <selection pane="bottomLeft" activeCell="A2" sqref="A2"/>
      <selection pane="bottomRight" activeCell="F47" sqref="F47"/>
    </sheetView>
  </sheetViews>
  <sheetFormatPr baseColWidth="12" defaultColWidth="13" defaultRowHeight="21" customHeight="1" outlineLevelCol="1" x14ac:dyDescent="0.15"/>
  <cols>
    <col min="1" max="1" width="15.83203125" style="17" bestFit="1" customWidth="1"/>
    <col min="2" max="2" width="10.83203125" style="3" bestFit="1" customWidth="1"/>
    <col min="3" max="3" width="10.6640625" style="3" bestFit="1" customWidth="1"/>
    <col min="4" max="4" width="13" style="12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7" bestFit="1" customWidth="1" collapsed="1"/>
    <col min="13" max="13" width="1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50" customWidth="1"/>
    <col min="21" max="21" width="17.5" style="3" bestFit="1" customWidth="1"/>
    <col min="22" max="24" width="17.5" style="150" customWidth="1"/>
    <col min="25" max="25" width="18.33203125" style="3" bestFit="1" customWidth="1"/>
    <col min="26" max="26" width="10" style="3" customWidth="1"/>
    <col min="27" max="27" width="12.1640625" style="3" customWidth="1" outlineLevel="1"/>
    <col min="28" max="28" width="11.33203125" style="3" bestFit="1" customWidth="1"/>
    <col min="29" max="29" width="11.6640625" style="3" bestFit="1" customWidth="1"/>
    <col min="30" max="30" width="10.6640625" style="3" bestFit="1" customWidth="1"/>
    <col min="31" max="31" width="9.33203125" style="3" bestFit="1" customWidth="1"/>
    <col min="32" max="32" width="13" style="3" bestFit="1" customWidth="1"/>
    <col min="33" max="33" width="39.6640625" style="11" customWidth="1" outlineLevel="1"/>
    <col min="34" max="34" width="8" style="12" bestFit="1" customWidth="1" outlineLevel="1"/>
    <col min="35" max="35" width="12" style="12" bestFit="1" customWidth="1" outlineLevel="1"/>
    <col min="36" max="36" width="15" style="8" bestFit="1" customWidth="1" collapsed="1"/>
    <col min="37" max="38" width="14.83203125" style="3" bestFit="1" customWidth="1"/>
    <col min="39" max="39" width="6.6640625" style="3" bestFit="1" customWidth="1"/>
    <col min="40" max="40" width="9.33203125" style="3" bestFit="1" customWidth="1"/>
    <col min="41" max="41" width="10.33203125" style="3" bestFit="1" customWidth="1"/>
    <col min="42" max="42" width="7.6640625" style="3" bestFit="1" customWidth="1"/>
    <col min="43" max="43" width="4" style="3" bestFit="1" customWidth="1"/>
    <col min="44" max="16384" width="13" style="3"/>
  </cols>
  <sheetData>
    <row r="1" spans="1:44" s="30" customFormat="1" ht="21" customHeight="1" thickBot="1" x14ac:dyDescent="0.2">
      <c r="A1" s="22" t="s">
        <v>29</v>
      </c>
      <c r="B1" s="23" t="s">
        <v>0</v>
      </c>
      <c r="C1" s="23" t="s">
        <v>1</v>
      </c>
      <c r="D1" s="24" t="s">
        <v>28</v>
      </c>
      <c r="E1" s="25" t="s">
        <v>20</v>
      </c>
      <c r="F1" s="25" t="s">
        <v>20</v>
      </c>
      <c r="G1" s="23" t="s">
        <v>19</v>
      </c>
      <c r="H1" s="24" t="s">
        <v>35</v>
      </c>
      <c r="I1" s="24" t="s">
        <v>14</v>
      </c>
      <c r="J1" s="24" t="s">
        <v>15</v>
      </c>
      <c r="K1" s="31" t="s">
        <v>54</v>
      </c>
      <c r="L1" s="32" t="s">
        <v>2</v>
      </c>
      <c r="M1" s="26" t="s">
        <v>21</v>
      </c>
      <c r="N1" s="24" t="s">
        <v>24</v>
      </c>
      <c r="O1" s="24" t="s">
        <v>23</v>
      </c>
      <c r="P1" s="27" t="s">
        <v>26</v>
      </c>
      <c r="Q1" s="25" t="s">
        <v>25</v>
      </c>
      <c r="R1" s="23" t="s">
        <v>3</v>
      </c>
      <c r="S1" s="151" t="s">
        <v>48</v>
      </c>
      <c r="T1" s="149" t="s">
        <v>263</v>
      </c>
      <c r="U1" s="21" t="s">
        <v>50</v>
      </c>
      <c r="V1" s="149" t="s">
        <v>264</v>
      </c>
      <c r="W1" s="149" t="s">
        <v>265</v>
      </c>
      <c r="X1" s="158" t="s">
        <v>266</v>
      </c>
      <c r="Y1" s="154" t="s">
        <v>52</v>
      </c>
      <c r="Z1" s="24" t="s">
        <v>31</v>
      </c>
      <c r="AA1" s="23" t="s">
        <v>4</v>
      </c>
      <c r="AB1" s="23" t="s">
        <v>5</v>
      </c>
      <c r="AC1" s="23" t="s">
        <v>299</v>
      </c>
      <c r="AD1" s="23" t="s">
        <v>7</v>
      </c>
      <c r="AE1" s="23" t="s">
        <v>8</v>
      </c>
      <c r="AF1" s="28" t="s">
        <v>9</v>
      </c>
      <c r="AG1" s="29" t="s">
        <v>16</v>
      </c>
      <c r="AH1" s="29" t="s">
        <v>17</v>
      </c>
      <c r="AI1" s="29" t="s">
        <v>27</v>
      </c>
      <c r="AJ1" s="28" t="s">
        <v>10</v>
      </c>
      <c r="AK1" s="23" t="s">
        <v>11</v>
      </c>
      <c r="AL1" s="23" t="s">
        <v>12</v>
      </c>
      <c r="AM1" s="23" t="s">
        <v>38</v>
      </c>
      <c r="AN1" s="23" t="s">
        <v>40</v>
      </c>
      <c r="AO1" s="23" t="s">
        <v>42</v>
      </c>
      <c r="AP1" s="23" t="s">
        <v>44</v>
      </c>
      <c r="AQ1" s="23" t="s">
        <v>46</v>
      </c>
      <c r="AR1" s="31" t="s">
        <v>177</v>
      </c>
    </row>
    <row r="2" spans="1:44" s="107" customFormat="1" ht="21" customHeight="1" thickBot="1" x14ac:dyDescent="0.2">
      <c r="A2" s="93" t="str">
        <f>B2&amp;"_"&amp;C2&amp;"-"&amp;G2&amp;"/"&amp;L2&amp;"&lt;lv"&amp;R2&amp;"&gt;s"&amp;AE2</f>
        <v>65535_4-1/155&lt;lv70&gt;s2</v>
      </c>
      <c r="B2" s="6">
        <v>65535</v>
      </c>
      <c r="C2" s="94">
        <v>4</v>
      </c>
      <c r="D2" s="95" t="str">
        <f>B2&amp;"_"&amp;C2</f>
        <v>65535_4</v>
      </c>
      <c r="E2" s="96" t="str">
        <f ca="1">VLOOKUP($B2,OFFSET([2]quests!$A$1,0,0,COUNTA([2]quests!$A:$A),MATCH(E$1,[2]quests!$1:$1,0)-MATCH($B$1,[2]quests!$1:$1,0)+1),MATCH(E$1,[2]quests!$1:$1,0)-MATCH($B$1,[2]quests!$1:$1,0)+1,FALSE)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" s="96" t="str">
        <f ca="1">VLOOKUP($D2,OFFSET([2]stages!$A$1,0,0,COUNTA([2]stages!$A:$A),MATCH(F$1,[2]stages!$2:$2,0)-MATCH($D$1,[2]stages!$2:$2,0)+1),MATCH(F$1,[2]stages!$2:$2,0)-MATCH($D$1,[2]stages!$2:$2,0)+1,FALSE)</f>
        <v>フリーズジャンヌ</v>
      </c>
      <c r="G2" s="94">
        <v>1</v>
      </c>
      <c r="H2" s="95" t="str">
        <f>B2&amp;"_"&amp;C2&amp;"-"&amp;G2</f>
        <v>65535_4-1</v>
      </c>
      <c r="I2" s="96" t="e">
        <f ca="1">VLOOKUP($H2,OFFSET([4]floors!$A$1,0,0,COUNTA([4]floors!$A:$A),MATCH(I$1,[4]floors!$1:$1,0)-MATCH($H$1,[4]floors!$1:$1,0)+1),MATCH(I$1,[4]floors!$1:$1,0)-MATCH($H$1,[4]floors!$1:$1,0)+1,FALSE)</f>
        <v>#VALUE!</v>
      </c>
      <c r="J2" s="96" t="e">
        <f ca="1">VLOOKUP($H2,OFFSET([4]floors!$A$1,0,0,COUNTA([4]floors!$A:$A),MATCH(J$1,[4]floors!$1:$1,0)-MATCH($H$1,[4]floors!$1:$1,0)+1),MATCH(J$1,[4]floors!$1:$1,0)-MATCH($H$1,[4]floors!$1:$1,0)+1,FALSE)</f>
        <v>#VALUE!</v>
      </c>
      <c r="K2" s="97" t="s">
        <v>220</v>
      </c>
      <c r="L2" s="98">
        <v>155</v>
      </c>
      <c r="M2" s="99" t="e">
        <f ca="1">VLOOKUP($L2,OFFSET([5]enemies!$A$1,0,0,COUNTA([5]enemies!$A:$A),MATCH(M$1,[5]enemies!$1:$1,0)-MATCH($L$1,[5]enemies!$1:$1,0)+1),MATCH(M$1,[5]enemies!$1:$1,0)-MATCH($L$1,[5]enemies!$1:$1,0)+1,FALSE)</f>
        <v>#VALUE!</v>
      </c>
      <c r="N2" s="99" t="e">
        <f ca="1">VLOOKUP($L2,OFFSET([5]enemies!$A$1,0,0,COUNTA([5]enemies!$A:$A),MATCH(N$1,[5]enemies!$1:$1,0)-MATCH($L$1,[5]enemies!$1:$1,0)+1),MATCH(N$1,[5]enemies!$1:$1,0)-MATCH($L$1,[5]enemies!$1:$1,0)+1,FALSE)</f>
        <v>#VALUE!</v>
      </c>
      <c r="O2" s="99" t="str">
        <f ca="1">VLOOKUP($L2,OFFSET([6]characters!$A$1,0,0,COUNTA([6]characters!$A:$A),MATCH(O$1,[6]characters!$1:$1,0)-MATCH($L$1,[6]characters!$1:$1,0)+1),MATCH(O$1,[6]characters!$1:$1,0)-MATCH($L$1,[6]characters!$1:$1,0)+1,FALSE)</f>
        <v>PremiumW</v>
      </c>
      <c r="P2" s="99" t="e">
        <f ca="1">VLOOKUP($L2,OFFSET([5]enemies!$A$1,0,0,COUNTA([5]enemies!$A:$A),MATCH(P$1,[5]enemies!$1:$1,0)-MATCH($L$1,[5]enemies!$1:$1,0)+1),MATCH(P$1,[5]enemies!$1:$1,0)-MATCH($L$1,[5]enemies!$1:$1,0)+1,FALSE)</f>
        <v>#VALUE!</v>
      </c>
      <c r="Q2" s="99" t="e">
        <f ca="1">VLOOKUP($L2,OFFSET([5]enemies!$A$1,0,0,COUNTA([5]enemies!$A:$A),MATCH(Q$1,[5]enemies!$1:$1,0)-MATCH($L$1,[5]enemies!$1:$1,0)+1),MATCH(Q$1,[5]enemies!$1:$1,0)-MATCH($L$1,[5]enemies!$1:$1,0)+1,FALSE)</f>
        <v>#VALUE!</v>
      </c>
      <c r="R2" s="100">
        <v>70</v>
      </c>
      <c r="S2" s="152">
        <v>3</v>
      </c>
      <c r="T2" s="157" t="e">
        <f ca="1">ROUND(VLOOKUP(R2,[5]enemy_base_stats!$A:$F,2,FALSE)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INDIRECT("[EnemyMasterData.xlsm]enemies!AD"&amp;(L2+1))*[6]ステータス!$B$2,0)*S2</f>
        <v>#REF!</v>
      </c>
      <c r="U2" s="129">
        <v>1.2</v>
      </c>
      <c r="V2" s="157" t="e">
        <f ca="1">ROUND(VLOOKUP(R2,[5]enemy_base_stats!$A:$F,3,FALSE)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INDIRECT("[EnemyMasterData.xlsm]enemies!AE"&amp;(L2+1))*[6]ステータス!$C$2,0)*U2</f>
        <v>#REF!</v>
      </c>
      <c r="W2" s="157" t="e">
        <f ca="1">V2*0.7</f>
        <v>#REF!</v>
      </c>
      <c r="X2" s="157" t="e">
        <f ca="1">V2/AE2</f>
        <v>#REF!</v>
      </c>
      <c r="Y2" s="155">
        <v>0</v>
      </c>
      <c r="Z2" s="96" t="e">
        <f ca="1">VLOOKUP($AA2,OFFSET([4]enemy_skill_sets!$B$1,0,0,COUNTA([4]enemy_skill_sets!$B:$B),MATCH(M$1,[4]enemy_skill_sets!$1:$1,0)-MATCH($AA$1,[4]enemy_skill_sets!$1:$1,0)+2),MATCH(M$1,[4]enemy_skill_sets!$1:$1,0)-MATCH($AA$1,[4]enemy_skill_sets!$1:$1,0)+2,FALSE)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2" s="101">
        <v>41003011</v>
      </c>
      <c r="AB2" s="102">
        <v>1</v>
      </c>
      <c r="AC2" s="103">
        <v>100</v>
      </c>
      <c r="AD2" s="103">
        <v>0</v>
      </c>
      <c r="AE2" s="99">
        <v>2</v>
      </c>
      <c r="AF2" s="104">
        <f>L2</f>
        <v>155</v>
      </c>
      <c r="AG2" s="96" t="str">
        <f ca="1">VLOOKUP($AF2,OFFSET([6]characters!$A$1,0,0,COUNTA([6]characters!$A:$A),MATCH(AG$1,[6]characters!$1:$1,0)-MATCH("character_id",[6]characters!$1:$1,0)+1),MATCH(AG$1,[6]characters!$1:$1,0)-MATCH("character_id",[6]characters!$1:$1,0)+1,FALSE)</f>
        <v>隻眼の掃除屋 ハンナ</v>
      </c>
      <c r="AH2" s="96">
        <f ca="1">VLOOKUP($AF2,OFFSET([6]characters!$A$1,0,0,COUNTA([6]characters!$A:$A),MATCH(AH$1,[6]characters!$1:$1,0)-MATCH("character_id",[6]characters!$1:$1,0)+1),MATCH(AH$1,[6]characters!$1:$1,0)-MATCH("character_id",[6]characters!$1:$1,0)+1,FALSE)</f>
        <v>4</v>
      </c>
      <c r="AI2" s="96" t="str">
        <f ca="1">VLOOKUP($AF2,OFFSET([6]characters!$A$1,0,0,COUNTA([6]characters!$A:$A),MATCH(AI$1,[6]characters!$1:$1,0)-MATCH("character_id",[6]characters!$1:$1,0)+1),MATCH(AI$1,[6]characters!$1:$1,0)-MATCH("character_id",[6]characters!$1:$1,0)+1,FALSE)</f>
        <v>PremiumW</v>
      </c>
      <c r="AJ2" s="105">
        <v>1</v>
      </c>
      <c r="AK2" s="104">
        <f ca="1">AH2</f>
        <v>4</v>
      </c>
      <c r="AL2" s="64">
        <v>0</v>
      </c>
      <c r="AM2" s="105">
        <v>0</v>
      </c>
      <c r="AN2" s="105">
        <v>0</v>
      </c>
      <c r="AO2" s="105">
        <v>0</v>
      </c>
      <c r="AP2" s="105">
        <v>0</v>
      </c>
      <c r="AQ2" s="105">
        <v>1</v>
      </c>
      <c r="AR2" s="106">
        <v>1</v>
      </c>
    </row>
    <row r="3" spans="1:44" s="117" customFormat="1" ht="21" customHeight="1" thickBot="1" x14ac:dyDescent="0.2">
      <c r="A3" s="108" t="str">
        <f>B3&amp;"_"&amp;C3&amp;"-"&amp;G3&amp;"/"&amp;L3&amp;"&lt;lv"&amp;R3&amp;"&gt;s"&amp;AE3</f>
        <v>65535_4-1/92&lt;lv70&gt;s3</v>
      </c>
      <c r="B3" s="6">
        <v>65535</v>
      </c>
      <c r="C3" s="94">
        <v>4</v>
      </c>
      <c r="D3" s="13" t="str">
        <f>B3&amp;"_"&amp;C3</f>
        <v>65535_4</v>
      </c>
      <c r="E3" s="4" t="str">
        <f ca="1">VLOOKUP($B3,OFFSET([2]quests!$A$1,0,0,COUNTA([2]quests!$A:$A),MATCH(E$1,[2]quests!$1:$1,0)-MATCH($B$1,[2]quests!$1:$1,0)+1),MATCH(E$1,[2]quests!$1:$1,0)-MATCH($B$1,[2]quests!$1:$1,0)+1,FALSE)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3" s="4" t="str">
        <f ca="1">VLOOKUP($D3,OFFSET([2]stages!$A$1,0,0,COUNTA([2]stages!$A:$A),MATCH(F$1,[2]stages!$2:$2,0)-MATCH($D$1,[2]stages!$2:$2,0)+1),MATCH(F$1,[2]stages!$2:$2,0)-MATCH($D$1,[2]stages!$2:$2,0)+1,FALSE)</f>
        <v>フリーズジャンヌ</v>
      </c>
      <c r="G3" s="109">
        <v>1</v>
      </c>
      <c r="H3" s="13" t="str">
        <f>B3&amp;"_"&amp;C3&amp;"-"&amp;G3</f>
        <v>65535_4-1</v>
      </c>
      <c r="I3" s="4" t="e">
        <f ca="1">VLOOKUP($H3,OFFSET([4]floors!$A$1,0,0,COUNTA([4]floors!$A:$A),MATCH(I$1,[4]floors!$1:$1,0)-MATCH($H$1,[4]floors!$1:$1,0)+1),MATCH(I$1,[4]floors!$1:$1,0)-MATCH($H$1,[4]floors!$1:$1,0)+1,FALSE)</f>
        <v>#VALUE!</v>
      </c>
      <c r="J3" s="4" t="e">
        <f ca="1">VLOOKUP($H3,OFFSET([4]floors!$A$1,0,0,COUNTA([4]floors!$A:$A),MATCH(J$1,[4]floors!$1:$1,0)-MATCH($H$1,[4]floors!$1:$1,0)+1),MATCH(J$1,[4]floors!$1:$1,0)-MATCH($H$1,[4]floors!$1:$1,0)+1,FALSE)</f>
        <v>#VALUE!</v>
      </c>
      <c r="K3" s="33" t="s">
        <v>220</v>
      </c>
      <c r="L3" s="110">
        <v>92</v>
      </c>
      <c r="M3" s="15" t="e">
        <f ca="1">VLOOKUP($L3,OFFSET([5]enemies!$A$1,0,0,COUNTA([5]enemies!$A:$A),MATCH(M$1,[5]enemies!$1:$1,0)-MATCH($L$1,[5]enemies!$1:$1,0)+1),MATCH(M$1,[5]enemies!$1:$1,0)-MATCH($L$1,[5]enemies!$1:$1,0)+1,FALSE)</f>
        <v>#VALUE!</v>
      </c>
      <c r="N3" s="15" t="e">
        <f ca="1">VLOOKUP($L3,OFFSET([5]enemies!$A$1,0,0,COUNTA([5]enemies!$A:$A),MATCH(N$1,[5]enemies!$1:$1,0)-MATCH($L$1,[5]enemies!$1:$1,0)+1),MATCH(N$1,[5]enemies!$1:$1,0)-MATCH($L$1,[5]enemies!$1:$1,0)+1,FALSE)</f>
        <v>#VALUE!</v>
      </c>
      <c r="O3" s="15" t="str">
        <f ca="1">VLOOKUP($L3,OFFSET([6]characters!$A$1,0,0,COUNTA([6]characters!$A:$A),MATCH(O$1,[6]characters!$1:$1,0)-MATCH($L$1,[6]characters!$1:$1,0)+1),MATCH(O$1,[6]characters!$1:$1,0)-MATCH($L$1,[6]characters!$1:$1,0)+1,FALSE)</f>
        <v>Drop2N</v>
      </c>
      <c r="P3" s="15" t="e">
        <f ca="1">VLOOKUP($L3,OFFSET([5]enemies!$A$1,0,0,COUNTA([5]enemies!$A:$A),MATCH(P$1,[5]enemies!$1:$1,0)-MATCH($L$1,[5]enemies!$1:$1,0)+1),MATCH(P$1,[5]enemies!$1:$1,0)-MATCH($L$1,[5]enemies!$1:$1,0)+1,FALSE)</f>
        <v>#VALUE!</v>
      </c>
      <c r="Q3" s="15" t="e">
        <f ca="1">VLOOKUP($L3,OFFSET([5]enemies!$A$1,0,0,COUNTA([5]enemies!$A:$A),MATCH(Q$1,[5]enemies!$1:$1,0)-MATCH($L$1,[5]enemies!$1:$1,0)+1),MATCH(Q$1,[5]enemies!$1:$1,0)-MATCH($L$1,[5]enemies!$1:$1,0)+1,FALSE)</f>
        <v>#VALUE!</v>
      </c>
      <c r="R3" s="5">
        <v>70</v>
      </c>
      <c r="S3" s="153">
        <v>1.9</v>
      </c>
      <c r="T3" s="157" t="e">
        <f ca="1">ROUND(VLOOKUP(R3,[5]enemy_base_stats!$A:$F,2,FALSE)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INDIRECT("[EnemyMasterData.xlsm]enemies!AD"&amp;(L3+1))*[6]ステータス!$B$2,0)*S3</f>
        <v>#REF!</v>
      </c>
      <c r="U3" s="129">
        <v>1.2</v>
      </c>
      <c r="V3" s="157" t="e">
        <f ca="1">ROUND(VLOOKUP(R3,[5]enemy_base_stats!$A:$F,3,FALSE)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INDIRECT("[EnemyMasterData.xlsm]enemies!AE"&amp;(L3+1))*[6]ステータス!$C$2,0)*U3</f>
        <v>#REF!</v>
      </c>
      <c r="W3" s="157" t="e">
        <f t="shared" ref="W3:W33" ca="1" si="0">V3*0.7</f>
        <v>#REF!</v>
      </c>
      <c r="X3" s="157" t="e">
        <f t="shared" ref="X3:X33" ca="1" si="1">V3/AE3</f>
        <v>#REF!</v>
      </c>
      <c r="Y3" s="156">
        <v>0</v>
      </c>
      <c r="Z3" s="4" t="e">
        <f ca="1">VLOOKUP($AA3,OFFSET([4]enemy_skill_sets!$B$1,0,0,COUNTA([4]enemy_skill_sets!$B:$B),MATCH(M$1,[4]enemy_skill_sets!$1:$1,0)-MATCH($AA$1,[4]enemy_skill_sets!$1:$1,0)+2),MATCH(M$1,[4]enemy_skill_sets!$1:$1,0)-MATCH($AA$1,[4]enemy_skill_sets!$1:$1,0)+2,FALSE)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3" s="111">
        <v>65535100</v>
      </c>
      <c r="AB3" s="112">
        <v>1</v>
      </c>
      <c r="AC3" s="113">
        <v>100</v>
      </c>
      <c r="AD3" s="113">
        <v>0</v>
      </c>
      <c r="AE3" s="15">
        <v>3</v>
      </c>
      <c r="AF3" s="114">
        <f>L3</f>
        <v>92</v>
      </c>
      <c r="AG3" s="4" t="str">
        <f ca="1">VLOOKUP($AF3,OFFSET([6]characters!$A$1,0,0,COUNTA([6]characters!$A:$A),MATCH(AG$1,[6]characters!$1:$1,0)-MATCH("character_id",[6]characters!$1:$1,0)+1),MATCH(AG$1,[6]characters!$1:$1,0)-MATCH("character_id",[6]characters!$1:$1,0)+1,FALSE)</f>
        <v>守護者 青龍</v>
      </c>
      <c r="AH3" s="4">
        <f ca="1">VLOOKUP($AF3,OFFSET([6]characters!$A$1,0,0,COUNTA([6]characters!$A:$A),MATCH(AH$1,[6]characters!$1:$1,0)-MATCH("character_id",[6]characters!$1:$1,0)+1),MATCH(AH$1,[6]characters!$1:$1,0)-MATCH("character_id",[6]characters!$1:$1,0)+1,FALSE)</f>
        <v>4</v>
      </c>
      <c r="AI3" s="4" t="str">
        <f ca="1">VLOOKUP($AF3,OFFSET([6]characters!$A$1,0,0,COUNTA([6]characters!$A:$A),MATCH(AI$1,[6]characters!$1:$1,0)-MATCH("character_id",[6]characters!$1:$1,0)+1),MATCH(AI$1,[6]characters!$1:$1,0)-MATCH("character_id",[6]characters!$1:$1,0)+1,FALSE)</f>
        <v>Drop2N</v>
      </c>
      <c r="AJ3" s="115">
        <v>1</v>
      </c>
      <c r="AK3" s="114">
        <f ca="1">AH3</f>
        <v>4</v>
      </c>
      <c r="AL3" s="116">
        <v>0</v>
      </c>
      <c r="AM3" s="115">
        <v>0</v>
      </c>
      <c r="AN3" s="115">
        <v>0</v>
      </c>
      <c r="AO3" s="115">
        <v>0</v>
      </c>
      <c r="AP3" s="115">
        <v>0</v>
      </c>
      <c r="AQ3" s="115">
        <v>1</v>
      </c>
      <c r="AR3" s="64">
        <v>1</v>
      </c>
    </row>
    <row r="4" spans="1:44" s="117" customFormat="1" ht="21" customHeight="1" thickBot="1" x14ac:dyDescent="0.2">
      <c r="A4" s="108" t="str">
        <f t="shared" ref="A4:A9" si="2">B4&amp;"_"&amp;C4&amp;"-"&amp;G4&amp;"/"&amp;L4&amp;"&lt;lv"&amp;R4&amp;"&gt;s"&amp;AE4</f>
        <v>65535_4-2/53&lt;lv60&gt;s2</v>
      </c>
      <c r="B4" s="6">
        <v>65535</v>
      </c>
      <c r="C4" s="94">
        <v>4</v>
      </c>
      <c r="D4" s="13" t="str">
        <f t="shared" ref="D4:D9" si="3">B4&amp;"_"&amp;C4</f>
        <v>65535_4</v>
      </c>
      <c r="E4" s="4" t="str">
        <f ca="1">VLOOKUP($B4,OFFSET([2]quests!$A$1,0,0,COUNTA([2]quests!$A:$A),MATCH(E$1,[2]quests!$1:$1,0)-MATCH($B$1,[2]quests!$1:$1,0)+1),MATCH(E$1,[2]quests!$1:$1,0)-MATCH($B$1,[2]quests!$1:$1,0)+1,FALSE)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4" s="4" t="str">
        <f ca="1">VLOOKUP($D4,OFFSET([2]stages!$A$1,0,0,COUNTA([2]stages!$A:$A),MATCH(F$1,[2]stages!$2:$2,0)-MATCH($D$1,[2]stages!$2:$2,0)+1),MATCH(F$1,[2]stages!$2:$2,0)-MATCH($D$1,[2]stages!$2:$2,0)+1,FALSE)</f>
        <v>フリーズジャンヌ</v>
      </c>
      <c r="G4" s="109">
        <v>2</v>
      </c>
      <c r="H4" s="13" t="str">
        <f t="shared" ref="H4:H9" si="4">B4&amp;"_"&amp;C4&amp;"-"&amp;G4</f>
        <v>65535_4-2</v>
      </c>
      <c r="I4" s="4" t="e">
        <f ca="1">VLOOKUP($H4,OFFSET([4]floors!$A$1,0,0,COUNTA([4]floors!$A:$A),MATCH(I$1,[4]floors!$1:$1,0)-MATCH($H$1,[4]floors!$1:$1,0)+1),MATCH(I$1,[4]floors!$1:$1,0)-MATCH($H$1,[4]floors!$1:$1,0)+1,FALSE)</f>
        <v>#VALUE!</v>
      </c>
      <c r="J4" s="4" t="e">
        <f ca="1">VLOOKUP($H4,OFFSET([4]floors!$A$1,0,0,COUNTA([4]floors!$A:$A),MATCH(J$1,[4]floors!$1:$1,0)-MATCH($H$1,[4]floors!$1:$1,0)+1),MATCH(J$1,[4]floors!$1:$1,0)-MATCH($H$1,[4]floors!$1:$1,0)+1,FALSE)</f>
        <v>#VALUE!</v>
      </c>
      <c r="K4" s="33" t="s">
        <v>53</v>
      </c>
      <c r="L4" s="110">
        <v>53</v>
      </c>
      <c r="M4" s="15" t="e">
        <f ca="1">VLOOKUP($L4,OFFSET([5]enemies!$A$1,0,0,COUNTA([5]enemies!$A:$A),MATCH(M$1,[5]enemies!$1:$1,0)-MATCH($L$1,[5]enemies!$1:$1,0)+1),MATCH(M$1,[5]enemies!$1:$1,0)-MATCH($L$1,[5]enemies!$1:$1,0)+1,FALSE)</f>
        <v>#VALUE!</v>
      </c>
      <c r="N4" s="15" t="e">
        <f ca="1">VLOOKUP($L4,OFFSET([5]enemies!$A$1,0,0,COUNTA([5]enemies!$A:$A),MATCH(N$1,[5]enemies!$1:$1,0)-MATCH($L$1,[5]enemies!$1:$1,0)+1),MATCH(N$1,[5]enemies!$1:$1,0)-MATCH($L$1,[5]enemies!$1:$1,0)+1,FALSE)</f>
        <v>#VALUE!</v>
      </c>
      <c r="O4" s="15" t="str">
        <f ca="1">VLOOKUP($L4,OFFSET([6]characters!$A$1,0,0,COUNTA([6]characters!$A:$A),MATCH(O$1,[6]characters!$1:$1,0)-MATCH($L$1,[6]characters!$1:$1,0)+1),MATCH(O$1,[6]characters!$1:$1,0)-MATCH($L$1,[6]characters!$1:$1,0)+1,FALSE)</f>
        <v>Drop1N</v>
      </c>
      <c r="P4" s="15" t="e">
        <f ca="1">VLOOKUP($L4,OFFSET([5]enemies!$A$1,0,0,COUNTA([5]enemies!$A:$A),MATCH(P$1,[5]enemies!$1:$1,0)-MATCH($L$1,[5]enemies!$1:$1,0)+1),MATCH(P$1,[5]enemies!$1:$1,0)-MATCH($L$1,[5]enemies!$1:$1,0)+1,FALSE)</f>
        <v>#VALUE!</v>
      </c>
      <c r="Q4" s="15" t="e">
        <f ca="1">VLOOKUP($L4,OFFSET([5]enemies!$A$1,0,0,COUNTA([5]enemies!$A:$A),MATCH(Q$1,[5]enemies!$1:$1,0)-MATCH($L$1,[5]enemies!$1:$1,0)+1),MATCH(Q$1,[5]enemies!$1:$1,0)-MATCH($L$1,[5]enemies!$1:$1,0)+1,FALSE)</f>
        <v>#VALUE!</v>
      </c>
      <c r="R4" s="5">
        <v>60</v>
      </c>
      <c r="S4" s="153">
        <v>2</v>
      </c>
      <c r="T4" s="157" t="e">
        <f ca="1">ROUND(VLOOKUP(R4,[5]enemy_base_stats!$A:$F,2,FALSE)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INDIRECT("[EnemyMasterData.xlsm]enemies!AD"&amp;(L4+1))*[6]ステータス!$B$2,0)*S4</f>
        <v>#REF!</v>
      </c>
      <c r="U4" s="129">
        <v>1</v>
      </c>
      <c r="V4" s="157" t="e">
        <f ca="1">ROUND(VLOOKUP(R4,[5]enemy_base_stats!$A:$F,3,FALSE)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INDIRECT("[EnemyMasterData.xlsm]enemies!AE"&amp;(L4+1))*[6]ステータス!$C$2,0)*U4</f>
        <v>#REF!</v>
      </c>
      <c r="W4" s="157" t="e">
        <f t="shared" ca="1" si="0"/>
        <v>#REF!</v>
      </c>
      <c r="X4" s="157" t="e">
        <f t="shared" ca="1" si="1"/>
        <v>#REF!</v>
      </c>
      <c r="Y4" s="156">
        <v>0</v>
      </c>
      <c r="Z4" s="4" t="e">
        <f ca="1">VLOOKUP($AA4,OFFSET([4]enemy_skill_sets!$B$1,0,0,COUNTA([4]enemy_skill_sets!$B:$B),MATCH(M$1,[4]enemy_skill_sets!$1:$1,0)-MATCH($AA$1,[4]enemy_skill_sets!$1:$1,0)+2),MATCH(M$1,[4]enemy_skill_sets!$1:$1,0)-MATCH($AA$1,[4]enemy_skill_sets!$1:$1,0)+2,FALSE)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4" s="111">
        <v>0</v>
      </c>
      <c r="AB4" s="112">
        <v>1</v>
      </c>
      <c r="AC4" s="113">
        <v>100</v>
      </c>
      <c r="AD4" s="113">
        <v>0</v>
      </c>
      <c r="AE4" s="15">
        <v>2</v>
      </c>
      <c r="AF4" s="114">
        <f t="shared" ref="AF4:AF8" si="5">L4</f>
        <v>53</v>
      </c>
      <c r="AG4" s="4" t="str">
        <f ca="1">VLOOKUP($AF4,OFFSET([6]characters!$A$1,0,0,COUNTA([6]characters!$A:$A),MATCH(AG$1,[6]characters!$1:$1,0)-MATCH("character_id",[6]characters!$1:$1,0)+1),MATCH(AG$1,[6]characters!$1:$1,0)-MATCH("character_id",[6]characters!$1:$1,0)+1,FALSE)</f>
        <v>ケンジ</v>
      </c>
      <c r="AH4" s="4">
        <f ca="1">VLOOKUP($AF4,OFFSET([6]characters!$A$1,0,0,COUNTA([6]characters!$A:$A),MATCH(AH$1,[6]characters!$1:$1,0)-MATCH("character_id",[6]characters!$1:$1,0)+1),MATCH(AH$1,[6]characters!$1:$1,0)-MATCH("character_id",[6]characters!$1:$1,0)+1,FALSE)</f>
        <v>2</v>
      </c>
      <c r="AI4" s="4" t="str">
        <f ca="1">VLOOKUP($AF4,OFFSET([6]characters!$A$1,0,0,COUNTA([6]characters!$A:$A),MATCH(AI$1,[6]characters!$1:$1,0)-MATCH("character_id",[6]characters!$1:$1,0)+1),MATCH(AI$1,[6]characters!$1:$1,0)-MATCH("character_id",[6]characters!$1:$1,0)+1,FALSE)</f>
        <v>Drop1N</v>
      </c>
      <c r="AJ4" s="115">
        <v>1</v>
      </c>
      <c r="AK4" s="114">
        <f t="shared" ref="AK4:AK9" ca="1" si="6">AH4</f>
        <v>2</v>
      </c>
      <c r="AL4" s="64">
        <v>0</v>
      </c>
      <c r="AM4" s="115">
        <v>0</v>
      </c>
      <c r="AN4" s="115">
        <v>0</v>
      </c>
      <c r="AO4" s="115">
        <v>0</v>
      </c>
      <c r="AP4" s="115">
        <v>0</v>
      </c>
      <c r="AQ4" s="115">
        <v>1</v>
      </c>
      <c r="AR4" s="64">
        <v>1</v>
      </c>
    </row>
    <row r="5" spans="1:44" s="117" customFormat="1" ht="21" customHeight="1" thickBot="1" x14ac:dyDescent="0.2">
      <c r="A5" s="108" t="str">
        <f t="shared" si="2"/>
        <v>65535_4-2/49&lt;lv60&gt;s2</v>
      </c>
      <c r="B5" s="6">
        <v>65535</v>
      </c>
      <c r="C5" s="94">
        <v>4</v>
      </c>
      <c r="D5" s="13" t="str">
        <f t="shared" si="3"/>
        <v>65535_4</v>
      </c>
      <c r="E5" s="4" t="str">
        <f ca="1">VLOOKUP($B5,OFFSET([2]quests!$A$1,0,0,COUNTA([2]quests!$A:$A),MATCH(E$1,[2]quests!$1:$1,0)-MATCH($B$1,[2]quests!$1:$1,0)+1),MATCH(E$1,[2]quests!$1:$1,0)-MATCH($B$1,[2]quests!$1:$1,0)+1,FALSE)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5" s="4" t="str">
        <f ca="1">VLOOKUP($D5,OFFSET([2]stages!$A$1,0,0,COUNTA([2]stages!$A:$A),MATCH(F$1,[2]stages!$2:$2,0)-MATCH($D$1,[2]stages!$2:$2,0)+1),MATCH(F$1,[2]stages!$2:$2,0)-MATCH($D$1,[2]stages!$2:$2,0)+1,FALSE)</f>
        <v>フリーズジャンヌ</v>
      </c>
      <c r="G5" s="109">
        <v>2</v>
      </c>
      <c r="H5" s="13" t="str">
        <f t="shared" si="4"/>
        <v>65535_4-2</v>
      </c>
      <c r="I5" s="4" t="e">
        <f ca="1">VLOOKUP($H5,OFFSET([4]floors!$A$1,0,0,COUNTA([4]floors!$A:$A),MATCH(I$1,[4]floors!$1:$1,0)-MATCH($H$1,[4]floors!$1:$1,0)+1),MATCH(I$1,[4]floors!$1:$1,0)-MATCH($H$1,[4]floors!$1:$1,0)+1,FALSE)</f>
        <v>#VALUE!</v>
      </c>
      <c r="J5" s="4" t="e">
        <f ca="1">VLOOKUP($H5,OFFSET([4]floors!$A$1,0,0,COUNTA([4]floors!$A:$A),MATCH(J$1,[4]floors!$1:$1,0)-MATCH($H$1,[4]floors!$1:$1,0)+1),MATCH(J$1,[4]floors!$1:$1,0)-MATCH($H$1,[4]floors!$1:$1,0)+1,FALSE)</f>
        <v>#VALUE!</v>
      </c>
      <c r="K5" s="33" t="s">
        <v>53</v>
      </c>
      <c r="L5" s="110">
        <v>49</v>
      </c>
      <c r="M5" s="15" t="e">
        <f ca="1">VLOOKUP($L5,OFFSET([5]enemies!$A$1,0,0,COUNTA([5]enemies!$A:$A),MATCH(M$1,[5]enemies!$1:$1,0)-MATCH($L$1,[5]enemies!$1:$1,0)+1),MATCH(M$1,[5]enemies!$1:$1,0)-MATCH($L$1,[5]enemies!$1:$1,0)+1,FALSE)</f>
        <v>#VALUE!</v>
      </c>
      <c r="N5" s="15" t="e">
        <f ca="1">VLOOKUP($L5,OFFSET([5]enemies!$A$1,0,0,COUNTA([5]enemies!$A:$A),MATCH(N$1,[5]enemies!$1:$1,0)-MATCH($L$1,[5]enemies!$1:$1,0)+1),MATCH(N$1,[5]enemies!$1:$1,0)-MATCH($L$1,[5]enemies!$1:$1,0)+1,FALSE)</f>
        <v>#VALUE!</v>
      </c>
      <c r="O5" s="15" t="str">
        <f ca="1">VLOOKUP($L5,OFFSET([6]characters!$A$1,0,0,COUNTA([6]characters!$A:$A),MATCH(O$1,[6]characters!$1:$1,0)-MATCH($L$1,[6]characters!$1:$1,0)+1),MATCH(O$1,[6]characters!$1:$1,0)-MATCH($L$1,[6]characters!$1:$1,0)+1,FALSE)</f>
        <v>Drop1N</v>
      </c>
      <c r="P5" s="15" t="e">
        <f ca="1">VLOOKUP($L5,OFFSET([5]enemies!$A$1,0,0,COUNTA([5]enemies!$A:$A),MATCH(P$1,[5]enemies!$1:$1,0)-MATCH($L$1,[5]enemies!$1:$1,0)+1),MATCH(P$1,[5]enemies!$1:$1,0)-MATCH($L$1,[5]enemies!$1:$1,0)+1,FALSE)</f>
        <v>#VALUE!</v>
      </c>
      <c r="Q5" s="15" t="e">
        <f ca="1">VLOOKUP($L5,OFFSET([5]enemies!$A$1,0,0,COUNTA([5]enemies!$A:$A),MATCH(Q$1,[5]enemies!$1:$1,0)-MATCH($L$1,[5]enemies!$1:$1,0)+1),MATCH(Q$1,[5]enemies!$1:$1,0)-MATCH($L$1,[5]enemies!$1:$1,0)+1,FALSE)</f>
        <v>#VALUE!</v>
      </c>
      <c r="R5" s="5">
        <v>60</v>
      </c>
      <c r="S5" s="153">
        <v>3.6</v>
      </c>
      <c r="T5" s="157" t="e">
        <f ca="1">ROUND(VLOOKUP(R5,[5]enemy_base_stats!$A:$F,2,FALSE)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INDIRECT("[EnemyMasterData.xlsm]enemies!AD"&amp;(L5+1))*[6]ステータス!$B$2,0)*S5</f>
        <v>#REF!</v>
      </c>
      <c r="U5" s="129">
        <v>1</v>
      </c>
      <c r="V5" s="157" t="e">
        <f ca="1">ROUND(VLOOKUP(R5,[5]enemy_base_stats!$A:$F,3,FALSE)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INDIRECT("[EnemyMasterData.xlsm]enemies!AE"&amp;(L5+1))*[6]ステータス!$C$2,0)*U5</f>
        <v>#REF!</v>
      </c>
      <c r="W5" s="157" t="e">
        <f t="shared" ca="1" si="0"/>
        <v>#REF!</v>
      </c>
      <c r="X5" s="157" t="e">
        <f t="shared" ca="1" si="1"/>
        <v>#REF!</v>
      </c>
      <c r="Y5" s="156">
        <v>0</v>
      </c>
      <c r="Z5" s="4" t="e">
        <f ca="1">VLOOKUP($AA5,OFFSET([4]enemy_skill_sets!$B$1,0,0,COUNTA([4]enemy_skill_sets!$B:$B),MATCH(M$1,[4]enemy_skill_sets!$1:$1,0)-MATCH($AA$1,[4]enemy_skill_sets!$1:$1,0)+2),MATCH(M$1,[4]enemy_skill_sets!$1:$1,0)-MATCH($AA$1,[4]enemy_skill_sets!$1:$1,0)+2,FALSE)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5" s="111">
        <v>41003013</v>
      </c>
      <c r="AB5" s="112">
        <v>1</v>
      </c>
      <c r="AC5" s="113">
        <v>100</v>
      </c>
      <c r="AD5" s="113">
        <v>0</v>
      </c>
      <c r="AE5" s="15">
        <v>2</v>
      </c>
      <c r="AF5" s="114">
        <f t="shared" si="5"/>
        <v>49</v>
      </c>
      <c r="AG5" s="4" t="str">
        <f ca="1">VLOOKUP($AF5,OFFSET([6]characters!$A$1,0,0,COUNTA([6]characters!$A:$A),MATCH(AG$1,[6]characters!$1:$1,0)-MATCH("character_id",[6]characters!$1:$1,0)+1),MATCH(AG$1,[6]characters!$1:$1,0)-MATCH("character_id",[6]characters!$1:$1,0)+1,FALSE)</f>
        <v>ヨシタカ</v>
      </c>
      <c r="AH5" s="4">
        <f ca="1">VLOOKUP($AF5,OFFSET([6]characters!$A$1,0,0,COUNTA([6]characters!$A:$A),MATCH(AH$1,[6]characters!$1:$1,0)-MATCH("character_id",[6]characters!$1:$1,0)+1),MATCH(AH$1,[6]characters!$1:$1,0)-MATCH("character_id",[6]characters!$1:$1,0)+1,FALSE)</f>
        <v>2</v>
      </c>
      <c r="AI5" s="4" t="str">
        <f ca="1">VLOOKUP($AF5,OFFSET([6]characters!$A$1,0,0,COUNTA([6]characters!$A:$A),MATCH(AI$1,[6]characters!$1:$1,0)-MATCH("character_id",[6]characters!$1:$1,0)+1),MATCH(AI$1,[6]characters!$1:$1,0)-MATCH("character_id",[6]characters!$1:$1,0)+1,FALSE)</f>
        <v>Drop1N</v>
      </c>
      <c r="AJ5" s="115">
        <v>1</v>
      </c>
      <c r="AK5" s="114">
        <f t="shared" ca="1" si="6"/>
        <v>2</v>
      </c>
      <c r="AL5" s="118">
        <v>0</v>
      </c>
      <c r="AM5" s="115">
        <v>0</v>
      </c>
      <c r="AN5" s="115">
        <v>0</v>
      </c>
      <c r="AO5" s="115">
        <v>0</v>
      </c>
      <c r="AP5" s="115">
        <v>0</v>
      </c>
      <c r="AQ5" s="115">
        <v>1</v>
      </c>
      <c r="AR5" s="64">
        <v>1</v>
      </c>
    </row>
    <row r="6" spans="1:44" s="117" customFormat="1" ht="21" customHeight="1" thickBot="1" x14ac:dyDescent="0.2">
      <c r="A6" s="108" t="str">
        <f t="shared" si="2"/>
        <v>65535_4-2/51&lt;lv60&gt;s2</v>
      </c>
      <c r="B6" s="6">
        <v>65535</v>
      </c>
      <c r="C6" s="94">
        <v>4</v>
      </c>
      <c r="D6" s="13" t="str">
        <f t="shared" si="3"/>
        <v>65535_4</v>
      </c>
      <c r="E6" s="4" t="str">
        <f ca="1">VLOOKUP($B6,OFFSET([2]quests!$A$1,0,0,COUNTA([2]quests!$A:$A),MATCH(E$1,[2]quests!$1:$1,0)-MATCH($B$1,[2]quests!$1:$1,0)+1),MATCH(E$1,[2]quests!$1:$1,0)-MATCH($B$1,[2]quests!$1:$1,0)+1,FALSE)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6" s="4" t="str">
        <f ca="1">VLOOKUP($D6,OFFSET([2]stages!$A$1,0,0,COUNTA([2]stages!$A:$A),MATCH(F$1,[2]stages!$2:$2,0)-MATCH($D$1,[2]stages!$2:$2,0)+1),MATCH(F$1,[2]stages!$2:$2,0)-MATCH($D$1,[2]stages!$2:$2,0)+1,FALSE)</f>
        <v>フリーズジャンヌ</v>
      </c>
      <c r="G6" s="109">
        <v>2</v>
      </c>
      <c r="H6" s="13" t="str">
        <f t="shared" si="4"/>
        <v>65535_4-2</v>
      </c>
      <c r="I6" s="4" t="e">
        <f ca="1">VLOOKUP($H6,OFFSET([4]floors!$A$1,0,0,COUNTA([4]floors!$A:$A),MATCH(I$1,[4]floors!$1:$1,0)-MATCH($H$1,[4]floors!$1:$1,0)+1),MATCH(I$1,[4]floors!$1:$1,0)-MATCH($H$1,[4]floors!$1:$1,0)+1,FALSE)</f>
        <v>#VALUE!</v>
      </c>
      <c r="J6" s="4" t="e">
        <f ca="1">VLOOKUP($H6,OFFSET([4]floors!$A$1,0,0,COUNTA([4]floors!$A:$A),MATCH(J$1,[4]floors!$1:$1,0)-MATCH($H$1,[4]floors!$1:$1,0)+1),MATCH(J$1,[4]floors!$1:$1,0)-MATCH($H$1,[4]floors!$1:$1,0)+1,FALSE)</f>
        <v>#VALUE!</v>
      </c>
      <c r="K6" s="33" t="s">
        <v>53</v>
      </c>
      <c r="L6" s="110">
        <v>51</v>
      </c>
      <c r="M6" s="15" t="e">
        <f ca="1">VLOOKUP($L6,OFFSET([5]enemies!$A$1,0,0,COUNTA([5]enemies!$A:$A),MATCH(M$1,[5]enemies!$1:$1,0)-MATCH($L$1,[5]enemies!$1:$1,0)+1),MATCH(M$1,[5]enemies!$1:$1,0)-MATCH($L$1,[5]enemies!$1:$1,0)+1,FALSE)</f>
        <v>#VALUE!</v>
      </c>
      <c r="N6" s="15" t="e">
        <f ca="1">VLOOKUP($L6,OFFSET([5]enemies!$A$1,0,0,COUNTA([5]enemies!$A:$A),MATCH(N$1,[5]enemies!$1:$1,0)-MATCH($L$1,[5]enemies!$1:$1,0)+1),MATCH(N$1,[5]enemies!$1:$1,0)-MATCH($L$1,[5]enemies!$1:$1,0)+1,FALSE)</f>
        <v>#VALUE!</v>
      </c>
      <c r="O6" s="15" t="str">
        <f ca="1">VLOOKUP($L6,OFFSET([6]characters!$A$1,0,0,COUNTA([6]characters!$A:$A),MATCH(O$1,[6]characters!$1:$1,0)-MATCH($L$1,[6]characters!$1:$1,0)+1),MATCH(O$1,[6]characters!$1:$1,0)-MATCH($L$1,[6]characters!$1:$1,0)+1,FALSE)</f>
        <v>Drop1N</v>
      </c>
      <c r="P6" s="15" t="e">
        <f ca="1">VLOOKUP($L6,OFFSET([5]enemies!$A$1,0,0,COUNTA([5]enemies!$A:$A),MATCH(P$1,[5]enemies!$1:$1,0)-MATCH($L$1,[5]enemies!$1:$1,0)+1),MATCH(P$1,[5]enemies!$1:$1,0)-MATCH($L$1,[5]enemies!$1:$1,0)+1,FALSE)</f>
        <v>#VALUE!</v>
      </c>
      <c r="Q6" s="15" t="e">
        <f ca="1">VLOOKUP($L6,OFFSET([5]enemies!$A$1,0,0,COUNTA([5]enemies!$A:$A),MATCH(Q$1,[5]enemies!$1:$1,0)-MATCH($L$1,[5]enemies!$1:$1,0)+1),MATCH(Q$1,[5]enemies!$1:$1,0)-MATCH($L$1,[5]enemies!$1:$1,0)+1,FALSE)</f>
        <v>#VALUE!</v>
      </c>
      <c r="R6" s="5">
        <v>60</v>
      </c>
      <c r="S6" s="153">
        <v>3.4</v>
      </c>
      <c r="T6" s="157" t="e">
        <f ca="1">ROUND(VLOOKUP(R6,[5]enemy_base_stats!$A:$F,2,FALSE)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INDIRECT("[EnemyMasterData.xlsm]enemies!AD"&amp;(L6+1))*[6]ステータス!$B$2,0)*S6</f>
        <v>#REF!</v>
      </c>
      <c r="U6" s="129">
        <v>0.7</v>
      </c>
      <c r="V6" s="157" t="e">
        <f ca="1">ROUND(VLOOKUP(R6,[5]enemy_base_stats!$A:$F,3,FALSE)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INDIRECT("[EnemyMasterData.xlsm]enemies!AE"&amp;(L6+1))*[6]ステータス!$C$2,0)*U6</f>
        <v>#REF!</v>
      </c>
      <c r="W6" s="157" t="e">
        <f t="shared" ca="1" si="0"/>
        <v>#REF!</v>
      </c>
      <c r="X6" s="157" t="e">
        <f t="shared" ca="1" si="1"/>
        <v>#REF!</v>
      </c>
      <c r="Y6" s="156">
        <v>0</v>
      </c>
      <c r="Z6" s="4" t="e">
        <f ca="1">VLOOKUP($AA6,OFFSET([4]enemy_skill_sets!$B$1,0,0,COUNTA([4]enemy_skill_sets!$B:$B),MATCH(M$1,[4]enemy_skill_sets!$1:$1,0)-MATCH($AA$1,[4]enemy_skill_sets!$1:$1,0)+2),MATCH(M$1,[4]enemy_skill_sets!$1:$1,0)-MATCH($AA$1,[4]enemy_skill_sets!$1:$1,0)+2,FALSE)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6" s="119">
        <v>41003014</v>
      </c>
      <c r="AB6" s="112">
        <v>1</v>
      </c>
      <c r="AC6" s="113">
        <v>100</v>
      </c>
      <c r="AD6" s="113">
        <v>0</v>
      </c>
      <c r="AE6" s="15">
        <v>2</v>
      </c>
      <c r="AF6" s="114">
        <f t="shared" si="5"/>
        <v>51</v>
      </c>
      <c r="AG6" s="4" t="str">
        <f ca="1">VLOOKUP($AF6,OFFSET([6]characters!$A$1,0,0,COUNTA([6]characters!$A:$A),MATCH(AG$1,[6]characters!$1:$1,0)-MATCH("character_id",[6]characters!$1:$1,0)+1),MATCH(AG$1,[6]characters!$1:$1,0)-MATCH("character_id",[6]characters!$1:$1,0)+1,FALSE)</f>
        <v>マイ</v>
      </c>
      <c r="AH6" s="4">
        <f ca="1">VLOOKUP($AF6,OFFSET([6]characters!$A$1,0,0,COUNTA([6]characters!$A:$A),MATCH(AH$1,[6]characters!$1:$1,0)-MATCH("character_id",[6]characters!$1:$1,0)+1),MATCH(AH$1,[6]characters!$1:$1,0)-MATCH("character_id",[6]characters!$1:$1,0)+1,FALSE)</f>
        <v>2</v>
      </c>
      <c r="AI6" s="4" t="str">
        <f ca="1">VLOOKUP($AF6,OFFSET([6]characters!$A$1,0,0,COUNTA([6]characters!$A:$A),MATCH(AI$1,[6]characters!$1:$1,0)-MATCH("character_id",[6]characters!$1:$1,0)+1),MATCH(AI$1,[6]characters!$1:$1,0)-MATCH("character_id",[6]characters!$1:$1,0)+1,FALSE)</f>
        <v>Drop1N</v>
      </c>
      <c r="AJ6" s="115">
        <v>1</v>
      </c>
      <c r="AK6" s="114">
        <f t="shared" ca="1" si="6"/>
        <v>2</v>
      </c>
      <c r="AL6" s="64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1</v>
      </c>
      <c r="AR6" s="64">
        <v>1</v>
      </c>
    </row>
    <row r="7" spans="1:44" s="117" customFormat="1" ht="21" customHeight="1" thickBot="1" x14ac:dyDescent="0.2">
      <c r="A7" s="108" t="str">
        <f t="shared" si="2"/>
        <v>65535_4-2/55&lt;lv60&gt;s2</v>
      </c>
      <c r="B7" s="6">
        <v>65535</v>
      </c>
      <c r="C7" s="94">
        <v>4</v>
      </c>
      <c r="D7" s="13" t="str">
        <f t="shared" si="3"/>
        <v>65535_4</v>
      </c>
      <c r="E7" s="4" t="str">
        <f ca="1">VLOOKUP($B7,OFFSET([2]quests!$A$1,0,0,COUNTA([2]quests!$A:$A),MATCH(E$1,[2]quests!$1:$1,0)-MATCH($B$1,[2]quests!$1:$1,0)+1),MATCH(E$1,[2]quests!$1:$1,0)-MATCH($B$1,[2]quests!$1:$1,0)+1,FALSE)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7" s="4" t="str">
        <f ca="1">VLOOKUP($D7,OFFSET([2]stages!$A$1,0,0,COUNTA([2]stages!$A:$A),MATCH(F$1,[2]stages!$2:$2,0)-MATCH($D$1,[2]stages!$2:$2,0)+1),MATCH(F$1,[2]stages!$2:$2,0)-MATCH($D$1,[2]stages!$2:$2,0)+1,FALSE)</f>
        <v>フリーズジャンヌ</v>
      </c>
      <c r="G7" s="109">
        <v>2</v>
      </c>
      <c r="H7" s="13" t="str">
        <f t="shared" si="4"/>
        <v>65535_4-2</v>
      </c>
      <c r="I7" s="4" t="e">
        <f ca="1">VLOOKUP($H7,OFFSET([4]floors!$A$1,0,0,COUNTA([4]floors!$A:$A),MATCH(I$1,[4]floors!$1:$1,0)-MATCH($H$1,[4]floors!$1:$1,0)+1),MATCH(I$1,[4]floors!$1:$1,0)-MATCH($H$1,[4]floors!$1:$1,0)+1,FALSE)</f>
        <v>#VALUE!</v>
      </c>
      <c r="J7" s="4" t="e">
        <f ca="1">VLOOKUP($H7,OFFSET([4]floors!$A$1,0,0,COUNTA([4]floors!$A:$A),MATCH(J$1,[4]floors!$1:$1,0)-MATCH($H$1,[4]floors!$1:$1,0)+1),MATCH(J$1,[4]floors!$1:$1,0)-MATCH($H$1,[4]floors!$1:$1,0)+1,FALSE)</f>
        <v>#VALUE!</v>
      </c>
      <c r="K7" s="33" t="s">
        <v>53</v>
      </c>
      <c r="L7" s="110">
        <v>55</v>
      </c>
      <c r="M7" s="15" t="e">
        <f ca="1">VLOOKUP($L7,OFFSET([5]enemies!$A$1,0,0,COUNTA([5]enemies!$A:$A),MATCH(M$1,[5]enemies!$1:$1,0)-MATCH($L$1,[5]enemies!$1:$1,0)+1),MATCH(M$1,[5]enemies!$1:$1,0)-MATCH($L$1,[5]enemies!$1:$1,0)+1,FALSE)</f>
        <v>#VALUE!</v>
      </c>
      <c r="N7" s="15" t="e">
        <f ca="1">VLOOKUP($L7,OFFSET([5]enemies!$A$1,0,0,COUNTA([5]enemies!$A:$A),MATCH(N$1,[5]enemies!$1:$1,0)-MATCH($L$1,[5]enemies!$1:$1,0)+1),MATCH(N$1,[5]enemies!$1:$1,0)-MATCH($L$1,[5]enemies!$1:$1,0)+1,FALSE)</f>
        <v>#VALUE!</v>
      </c>
      <c r="O7" s="15" t="str">
        <f ca="1">VLOOKUP($L7,OFFSET([6]characters!$A$1,0,0,COUNTA([6]characters!$A:$A),MATCH(O$1,[6]characters!$1:$1,0)-MATCH($L$1,[6]characters!$1:$1,0)+1),MATCH(O$1,[6]characters!$1:$1,0)-MATCH($L$1,[6]characters!$1:$1,0)+1,FALSE)</f>
        <v>Drop1N</v>
      </c>
      <c r="P7" s="15" t="e">
        <f ca="1">VLOOKUP($L7,OFFSET([5]enemies!$A$1,0,0,COUNTA([5]enemies!$A:$A),MATCH(P$1,[5]enemies!$1:$1,0)-MATCH($L$1,[5]enemies!$1:$1,0)+1),MATCH(P$1,[5]enemies!$1:$1,0)-MATCH($L$1,[5]enemies!$1:$1,0)+1,FALSE)</f>
        <v>#VALUE!</v>
      </c>
      <c r="Q7" s="15" t="e">
        <f ca="1">VLOOKUP($L7,OFFSET([5]enemies!$A$1,0,0,COUNTA([5]enemies!$A:$A),MATCH(Q$1,[5]enemies!$1:$1,0)-MATCH($L$1,[5]enemies!$1:$1,0)+1),MATCH(Q$1,[5]enemies!$1:$1,0)-MATCH($L$1,[5]enemies!$1:$1,0)+1,FALSE)</f>
        <v>#VALUE!</v>
      </c>
      <c r="R7" s="5">
        <v>60</v>
      </c>
      <c r="S7" s="153">
        <v>4</v>
      </c>
      <c r="T7" s="157" t="e">
        <f ca="1">ROUND(VLOOKUP(R7,[5]enemy_base_stats!$A:$F,2,FALSE)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INDIRECT("[EnemyMasterData.xlsm]enemies!AD"&amp;(L7+1))*[6]ステータス!$B$2,0)*S7</f>
        <v>#REF!</v>
      </c>
      <c r="U7" s="129">
        <v>0.6</v>
      </c>
      <c r="V7" s="157" t="e">
        <f ca="1">ROUND(VLOOKUP(R7,[5]enemy_base_stats!$A:$F,3,FALSE)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INDIRECT("[EnemyMasterData.xlsm]enemies!AE"&amp;(L7+1))*[6]ステータス!$C$2,0)*U7</f>
        <v>#REF!</v>
      </c>
      <c r="W7" s="157" t="e">
        <f t="shared" ca="1" si="0"/>
        <v>#REF!</v>
      </c>
      <c r="X7" s="157" t="e">
        <f t="shared" ca="1" si="1"/>
        <v>#REF!</v>
      </c>
      <c r="Y7" s="156">
        <v>0</v>
      </c>
      <c r="Z7" s="4" t="e">
        <f ca="1">VLOOKUP($AA7,OFFSET([4]enemy_skill_sets!$B$1,0,0,COUNTA([4]enemy_skill_sets!$B:$B),MATCH(M$1,[4]enemy_skill_sets!$1:$1,0)-MATCH($AA$1,[4]enemy_skill_sets!$1:$1,0)+2),MATCH(M$1,[4]enemy_skill_sets!$1:$1,0)-MATCH($AA$1,[4]enemy_skill_sets!$1:$1,0)+2,FALSE)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7" s="111">
        <v>41003015</v>
      </c>
      <c r="AB7" s="112">
        <v>1</v>
      </c>
      <c r="AC7" s="113">
        <v>100</v>
      </c>
      <c r="AD7" s="113">
        <v>0</v>
      </c>
      <c r="AE7" s="15">
        <v>2</v>
      </c>
      <c r="AF7" s="114">
        <f t="shared" si="5"/>
        <v>55</v>
      </c>
      <c r="AG7" s="4" t="str">
        <f ca="1">VLOOKUP($AF7,OFFSET([6]characters!$A$1,0,0,COUNTA([6]characters!$A:$A),MATCH(AG$1,[6]characters!$1:$1,0)-MATCH("character_id",[6]characters!$1:$1,0)+1),MATCH(AG$1,[6]characters!$1:$1,0)-MATCH("character_id",[6]characters!$1:$1,0)+1,FALSE)</f>
        <v>マミコ</v>
      </c>
      <c r="AH7" s="4">
        <f ca="1">VLOOKUP($AF7,OFFSET([6]characters!$A$1,0,0,COUNTA([6]characters!$A:$A),MATCH(AH$1,[6]characters!$1:$1,0)-MATCH("character_id",[6]characters!$1:$1,0)+1),MATCH(AH$1,[6]characters!$1:$1,0)-MATCH("character_id",[6]characters!$1:$1,0)+1,FALSE)</f>
        <v>2</v>
      </c>
      <c r="AI7" s="4" t="str">
        <f ca="1">VLOOKUP($AF7,OFFSET([6]characters!$A$1,0,0,COUNTA([6]characters!$A:$A),MATCH(AI$1,[6]characters!$1:$1,0)-MATCH("character_id",[6]characters!$1:$1,0)+1),MATCH(AI$1,[6]characters!$1:$1,0)-MATCH("character_id",[6]characters!$1:$1,0)+1,FALSE)</f>
        <v>Drop1N</v>
      </c>
      <c r="AJ7" s="115">
        <v>1</v>
      </c>
      <c r="AK7" s="114">
        <f t="shared" ca="1" si="6"/>
        <v>2</v>
      </c>
      <c r="AL7" s="118">
        <v>0</v>
      </c>
      <c r="AM7" s="115">
        <v>0</v>
      </c>
      <c r="AN7" s="115">
        <v>0</v>
      </c>
      <c r="AO7" s="115">
        <v>0</v>
      </c>
      <c r="AP7" s="115">
        <v>0</v>
      </c>
      <c r="AQ7" s="115">
        <v>1</v>
      </c>
      <c r="AR7" s="64">
        <v>1</v>
      </c>
    </row>
    <row r="8" spans="1:44" s="117" customFormat="1" ht="21" customHeight="1" thickBot="1" x14ac:dyDescent="0.2">
      <c r="A8" s="108" t="str">
        <f t="shared" si="2"/>
        <v>65535_4-3/258&lt;lv52&gt;s2</v>
      </c>
      <c r="B8" s="6">
        <v>65535</v>
      </c>
      <c r="C8" s="94">
        <v>4</v>
      </c>
      <c r="D8" s="13" t="str">
        <f t="shared" si="3"/>
        <v>65535_4</v>
      </c>
      <c r="E8" s="4" t="str">
        <f ca="1">VLOOKUP($B8,OFFSET([2]quests!$A$1,0,0,COUNTA([2]quests!$A:$A),MATCH(E$1,[2]quests!$1:$1,0)-MATCH($B$1,[2]quests!$1:$1,0)+1),MATCH(E$1,[2]quests!$1:$1,0)-MATCH($B$1,[2]quests!$1:$1,0)+1,FALSE)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8" s="4" t="str">
        <f ca="1">VLOOKUP($D8,OFFSET([2]stages!$A$1,0,0,COUNTA([2]stages!$A:$A),MATCH(F$1,[2]stages!$2:$2,0)-MATCH($D$1,[2]stages!$2:$2,0)+1),MATCH(F$1,[2]stages!$2:$2,0)-MATCH($D$1,[2]stages!$2:$2,0)+1,FALSE)</f>
        <v>フリーズジャンヌ</v>
      </c>
      <c r="G8" s="109">
        <v>3</v>
      </c>
      <c r="H8" s="13" t="str">
        <f t="shared" si="4"/>
        <v>65535_4-3</v>
      </c>
      <c r="I8" s="4" t="e">
        <f ca="1">VLOOKUP($H8,OFFSET([4]floors!$A$1,0,0,COUNTA([4]floors!$A:$A),MATCH(I$1,[4]floors!$1:$1,0)-MATCH($H$1,[4]floors!$1:$1,0)+1),MATCH(I$1,[4]floors!$1:$1,0)-MATCH($H$1,[4]floors!$1:$1,0)+1,FALSE)</f>
        <v>#VALUE!</v>
      </c>
      <c r="J8" s="4" t="e">
        <f ca="1">VLOOKUP($H8,OFFSET([4]floors!$A$1,0,0,COUNTA([4]floors!$A:$A),MATCH(J$1,[4]floors!$1:$1,0)-MATCH($H$1,[4]floors!$1:$1,0)+1),MATCH(J$1,[4]floors!$1:$1,0)-MATCH($H$1,[4]floors!$1:$1,0)+1,FALSE)</f>
        <v>#VALUE!</v>
      </c>
      <c r="K8" s="33">
        <v>5</v>
      </c>
      <c r="L8" s="110">
        <v>258</v>
      </c>
      <c r="M8" s="15" t="e">
        <f ca="1">VLOOKUP($L8,OFFSET([5]enemies!$A$1,0,0,COUNTA([5]enemies!$A:$A),MATCH(M$1,[5]enemies!$1:$1,0)-MATCH($L$1,[5]enemies!$1:$1,0)+1),MATCH(M$1,[5]enemies!$1:$1,0)-MATCH($L$1,[5]enemies!$1:$1,0)+1,FALSE)</f>
        <v>#VALUE!</v>
      </c>
      <c r="N8" s="15" t="e">
        <f ca="1">VLOOKUP($L8,OFFSET([5]enemies!$A$1,0,0,COUNTA([5]enemies!$A:$A),MATCH(N$1,[5]enemies!$1:$1,0)-MATCH($L$1,[5]enemies!$1:$1,0)+1),MATCH(N$1,[5]enemies!$1:$1,0)-MATCH($L$1,[5]enemies!$1:$1,0)+1,FALSE)</f>
        <v>#VALUE!</v>
      </c>
      <c r="O8" s="15" t="str">
        <f ca="1">VLOOKUP($L8,OFFSET([6]characters!$A$1,0,0,COUNTA([6]characters!$A:$A),MATCH(O$1,[6]characters!$1:$1,0)-MATCH($L$1,[6]characters!$1:$1,0)+1),MATCH(O$1,[6]characters!$1:$1,0)-MATCH($L$1,[6]characters!$1:$1,0)+1,FALSE)</f>
        <v>PremiumS</v>
      </c>
      <c r="P8" s="15" t="e">
        <f ca="1">VLOOKUP($L8,OFFSET([5]enemies!$A$1,0,0,COUNTA([5]enemies!$A:$A),MATCH(P$1,[5]enemies!$1:$1,0)-MATCH($L$1,[5]enemies!$1:$1,0)+1),MATCH(P$1,[5]enemies!$1:$1,0)-MATCH($L$1,[5]enemies!$1:$1,0)+1,FALSE)</f>
        <v>#VALUE!</v>
      </c>
      <c r="Q8" s="15" t="e">
        <f ca="1">VLOOKUP($L8,OFFSET([5]enemies!$A$1,0,0,COUNTA([5]enemies!$A:$A),MATCH(Q$1,[5]enemies!$1:$1,0)-MATCH($L$1,[5]enemies!$1:$1,0)+1),MATCH(Q$1,[5]enemies!$1:$1,0)-MATCH($L$1,[5]enemies!$1:$1,0)+1,FALSE)</f>
        <v>#VALUE!</v>
      </c>
      <c r="R8" s="5">
        <v>52</v>
      </c>
      <c r="S8" s="153">
        <v>2.5</v>
      </c>
      <c r="T8" s="157" t="e">
        <f ca="1">ROUND(VLOOKUP(R8,[5]enemy_base_stats!$A:$F,2,FALSE)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INDIRECT("[EnemyMasterData.xlsm]enemies!AD"&amp;(L8+1))*[6]ステータス!$B$2,0)*S8</f>
        <v>#REF!</v>
      </c>
      <c r="U8" s="129">
        <v>1.2</v>
      </c>
      <c r="V8" s="157" t="e">
        <f ca="1">ROUND(VLOOKUP(R8,[5]enemy_base_stats!$A:$F,3,FALSE)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INDIRECT("[EnemyMasterData.xlsm]enemies!AE"&amp;(L8+1))*[6]ステータス!$C$2,0)*U8</f>
        <v>#REF!</v>
      </c>
      <c r="W8" s="157" t="e">
        <f t="shared" ca="1" si="0"/>
        <v>#REF!</v>
      </c>
      <c r="X8" s="157" t="e">
        <f t="shared" ca="1" si="1"/>
        <v>#REF!</v>
      </c>
      <c r="Y8" s="156">
        <v>0</v>
      </c>
      <c r="Z8" s="4" t="e">
        <f ca="1">VLOOKUP($AA8,OFFSET([4]enemy_skill_sets!$B$1,0,0,COUNTA([4]enemy_skill_sets!$B:$B),MATCH(M$1,[4]enemy_skill_sets!$1:$1,0)-MATCH($AA$1,[4]enemy_skill_sets!$1:$1,0)+2),MATCH(M$1,[4]enemy_skill_sets!$1:$1,0)-MATCH($AA$1,[4]enemy_skill_sets!$1:$1,0)+2,FALSE)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8" s="111">
        <v>41003016</v>
      </c>
      <c r="AB8" s="112">
        <v>0</v>
      </c>
      <c r="AC8" s="113">
        <v>100</v>
      </c>
      <c r="AD8" s="113">
        <v>1</v>
      </c>
      <c r="AE8" s="15">
        <v>2</v>
      </c>
      <c r="AF8" s="114">
        <f t="shared" si="5"/>
        <v>258</v>
      </c>
      <c r="AG8" s="4" t="str">
        <f ca="1">VLOOKUP($AF8,OFFSET([6]characters!$A$1,0,0,COUNTA([6]characters!$A:$A),MATCH(AG$1,[6]characters!$1:$1,0)-MATCH("character_id",[6]characters!$1:$1,0)+1),MATCH(AG$1,[6]characters!$1:$1,0)-MATCH("character_id",[6]characters!$1:$1,0)+1,FALSE)</f>
        <v>色欲の源流 アスモデウス</v>
      </c>
      <c r="AH8" s="4">
        <f ca="1">VLOOKUP($AF8,OFFSET([6]characters!$A$1,0,0,COUNTA([6]characters!$A:$A),MATCH(AH$1,[6]characters!$1:$1,0)-MATCH("character_id",[6]characters!$1:$1,0)+1),MATCH(AH$1,[6]characters!$1:$1,0)-MATCH("character_id",[6]characters!$1:$1,0)+1,FALSE)</f>
        <v>5</v>
      </c>
      <c r="AI8" s="4" t="str">
        <f ca="1">VLOOKUP($AF8,OFFSET([6]characters!$A$1,0,0,COUNTA([6]characters!$A:$A),MATCH(AI$1,[6]characters!$1:$1,0)-MATCH("character_id",[6]characters!$1:$1,0)+1),MATCH(AI$1,[6]characters!$1:$1,0)-MATCH("character_id",[6]characters!$1:$1,0)+1,FALSE)</f>
        <v>PremiumS</v>
      </c>
      <c r="AJ8" s="115">
        <v>1</v>
      </c>
      <c r="AK8" s="114">
        <f t="shared" ca="1" si="6"/>
        <v>5</v>
      </c>
      <c r="AL8" s="64">
        <v>0</v>
      </c>
      <c r="AM8" s="115">
        <v>0</v>
      </c>
      <c r="AN8" s="115">
        <v>0</v>
      </c>
      <c r="AO8" s="115">
        <v>0</v>
      </c>
      <c r="AP8" s="115">
        <v>0</v>
      </c>
      <c r="AQ8" s="115">
        <v>1</v>
      </c>
      <c r="AR8" s="64">
        <v>1</v>
      </c>
    </row>
    <row r="9" spans="1:44" s="140" customFormat="1" ht="21" customHeight="1" thickBot="1" x14ac:dyDescent="0.2">
      <c r="A9" s="120" t="str">
        <f t="shared" si="2"/>
        <v>65535_4-4/315&lt;lv80&gt;s2</v>
      </c>
      <c r="B9" s="6">
        <v>65535</v>
      </c>
      <c r="C9" s="94">
        <v>4</v>
      </c>
      <c r="D9" s="122" t="str">
        <f t="shared" si="3"/>
        <v>65535_4</v>
      </c>
      <c r="E9" s="123" t="str">
        <f ca="1">VLOOKUP($B9,OFFSET([2]quests!$A$1,0,0,COUNTA([2]quests!$A:$A),MATCH(E$1,[2]quests!$1:$1,0)-MATCH($B$1,[2]quests!$1:$1,0)+1),MATCH(E$1,[2]quests!$1:$1,0)-MATCH($B$1,[2]quests!$1:$1,0)+1,FALSE)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9" s="123" t="str">
        <f ca="1">VLOOKUP($D9,OFFSET([2]stages!$A$1,0,0,COUNTA([2]stages!$A:$A),MATCH(F$1,[2]stages!$2:$2,0)-MATCH($D$1,[2]stages!$2:$2,0)+1),MATCH(F$1,[2]stages!$2:$2,0)-MATCH($D$1,[2]stages!$2:$2,0)+1,FALSE)</f>
        <v>フリーズジャンヌ</v>
      </c>
      <c r="G9" s="121">
        <v>4</v>
      </c>
      <c r="H9" s="122" t="str">
        <f t="shared" si="4"/>
        <v>65535_4-4</v>
      </c>
      <c r="I9" s="123" t="e">
        <f ca="1">VLOOKUP($H9,OFFSET([4]floors!$A$1,0,0,COUNTA([4]floors!$A:$A),MATCH(I$1,[4]floors!$1:$1,0)-MATCH($H$1,[4]floors!$1:$1,0)+1),MATCH(I$1,[4]floors!$1:$1,0)-MATCH($H$1,[4]floors!$1:$1,0)+1,FALSE)</f>
        <v>#VALUE!</v>
      </c>
      <c r="J9" s="123" t="e">
        <f ca="1">VLOOKUP($H9,OFFSET([4]floors!$A$1,0,0,COUNTA([4]floors!$A:$A),MATCH(J$1,[4]floors!$1:$1,0)-MATCH($H$1,[4]floors!$1:$1,0)+1),MATCH(J$1,[4]floors!$1:$1,0)-MATCH($H$1,[4]floors!$1:$1,0)+1,FALSE)</f>
        <v>#VALUE!</v>
      </c>
      <c r="K9" s="124">
        <v>6</v>
      </c>
      <c r="L9" s="125">
        <v>315</v>
      </c>
      <c r="M9" s="126" t="e">
        <f ca="1">VLOOKUP($L9,OFFSET([5]enemies!$A$1,0,0,COUNTA([5]enemies!$A:$A),MATCH(M$1,[5]enemies!$1:$1,0)-MATCH($L$1,[5]enemies!$1:$1,0)+1),MATCH(M$1,[5]enemies!$1:$1,0)-MATCH($L$1,[5]enemies!$1:$1,0)+1,FALSE)</f>
        <v>#VALUE!</v>
      </c>
      <c r="N9" s="126" t="e">
        <f ca="1">VLOOKUP($L9,OFFSET([5]enemies!$A$1,0,0,COUNTA([5]enemies!$A:$A),MATCH(N$1,[5]enemies!$1:$1,0)-MATCH($L$1,[5]enemies!$1:$1,0)+1),MATCH(N$1,[5]enemies!$1:$1,0)-MATCH($L$1,[5]enemies!$1:$1,0)+1,FALSE)</f>
        <v>#VALUE!</v>
      </c>
      <c r="O9" s="126" t="str">
        <f ca="1">VLOOKUP($L9,OFFSET([6]characters!$A$1,0,0,COUNTA([6]characters!$A:$A),MATCH(O$1,[6]characters!$1:$1,0)-MATCH($L$1,[6]characters!$1:$1,0)+1),MATCH(O$1,[6]characters!$1:$1,0)-MATCH($L$1,[6]characters!$1:$1,0)+1,FALSE)</f>
        <v>DropWizS</v>
      </c>
      <c r="P9" s="126" t="e">
        <f ca="1">VLOOKUP($L9,OFFSET([5]enemies!$A$1,0,0,COUNTA([5]enemies!$A:$A),MATCH(P$1,[5]enemies!$1:$1,0)-MATCH($L$1,[5]enemies!$1:$1,0)+1),MATCH(P$1,[5]enemies!$1:$1,0)-MATCH($L$1,[5]enemies!$1:$1,0)+1,FALSE)</f>
        <v>#VALUE!</v>
      </c>
      <c r="Q9" s="126" t="e">
        <f ca="1">VLOOKUP($L9,OFFSET([5]enemies!$A$1,0,0,COUNTA([5]enemies!$A:$A),MATCH(Q$1,[5]enemies!$1:$1,0)-MATCH($L$1,[5]enemies!$1:$1,0)+1),MATCH(Q$1,[5]enemies!$1:$1,0)-MATCH($L$1,[5]enemies!$1:$1,0)+1,FALSE)</f>
        <v>#VALUE!</v>
      </c>
      <c r="R9" s="127">
        <v>80</v>
      </c>
      <c r="S9" s="128">
        <v>3.4</v>
      </c>
      <c r="T9" s="157" t="e">
        <f ca="1">ROUND(VLOOKUP(R9,[5]enemy_base_stats!$A:$F,2,FALSE)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INDIRECT("[EnemyMasterData.xlsm]enemies!AD"&amp;(L9+1))*[6]ステータス!$B$2,0)*S9</f>
        <v>#REF!</v>
      </c>
      <c r="U9" s="129">
        <v>2</v>
      </c>
      <c r="V9" s="157" t="e">
        <f ca="1">ROUND(VLOOKUP(R9,[5]enemy_base_stats!$A:$F,3,FALSE)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INDIRECT("[EnemyMasterData.xlsm]enemies!AE"&amp;(L9+1))*[6]ステータス!$C$2,0)*U9</f>
        <v>#REF!</v>
      </c>
      <c r="W9" s="157" t="e">
        <f t="shared" ca="1" si="0"/>
        <v>#REF!</v>
      </c>
      <c r="X9" s="157" t="e">
        <f t="shared" ca="1" si="1"/>
        <v>#REF!</v>
      </c>
      <c r="Y9" s="130">
        <v>0</v>
      </c>
      <c r="Z9" s="123" t="e">
        <f ca="1">VLOOKUP($AA9,OFFSET([4]enemy_skill_sets!$B$1,0,0,COUNTA([4]enemy_skill_sets!$B:$B),MATCH(M$1,[4]enemy_skill_sets!$1:$1,0)-MATCH($AA$1,[4]enemy_skill_sets!$1:$1,0)+2),MATCH(M$1,[4]enemy_skill_sets!$1:$1,0)-MATCH($AA$1,[4]enemy_skill_sets!$1:$1,0)+2,FALSE)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9" s="131">
        <v>41003017</v>
      </c>
      <c r="AB9" s="132">
        <v>0</v>
      </c>
      <c r="AC9" s="133">
        <v>100</v>
      </c>
      <c r="AD9" s="133">
        <v>1</v>
      </c>
      <c r="AE9" s="134">
        <v>2</v>
      </c>
      <c r="AF9" s="135">
        <v>314</v>
      </c>
      <c r="AG9" s="123" t="str">
        <f ca="1">VLOOKUP($AF9,OFFSET([6]characters!$A$1,0,0,COUNTA([6]characters!$A:$A),MATCH(AG$1,[6]characters!$1:$1,0)-MATCH("character_id",[6]characters!$1:$1,0)+1),MATCH(AG$1,[6]characters!$1:$1,0)-MATCH("character_id",[6]characters!$1:$1,0)+1,FALSE)</f>
        <v>ジャンヌ</v>
      </c>
      <c r="AH9" s="123">
        <f ca="1">VLOOKUP($AF9,OFFSET([6]characters!$A$1,0,0,COUNTA([6]characters!$A:$A),MATCH(AH$1,[6]characters!$1:$1,0)-MATCH("character_id",[6]characters!$1:$1,0)+1),MATCH(AH$1,[6]characters!$1:$1,0)-MATCH("character_id",[6]characters!$1:$1,0)+1,FALSE)</f>
        <v>4</v>
      </c>
      <c r="AI9" s="123" t="str">
        <f ca="1">VLOOKUP($AF9,OFFSET([6]characters!$A$1,0,0,COUNTA([6]characters!$A:$A),MATCH(AI$1,[6]characters!$1:$1,0)-MATCH("character_id",[6]characters!$1:$1,0)+1),MATCH(AI$1,[6]characters!$1:$1,0)-MATCH("character_id",[6]characters!$1:$1,0)+1,FALSE)</f>
        <v>DropWizS</v>
      </c>
      <c r="AJ9" s="136">
        <v>1</v>
      </c>
      <c r="AK9" s="137">
        <f t="shared" ca="1" si="6"/>
        <v>4</v>
      </c>
      <c r="AL9" s="138">
        <v>100</v>
      </c>
      <c r="AM9" s="136">
        <v>0</v>
      </c>
      <c r="AN9" s="136">
        <v>0</v>
      </c>
      <c r="AO9" s="136">
        <v>0</v>
      </c>
      <c r="AP9" s="136">
        <v>0</v>
      </c>
      <c r="AQ9" s="136">
        <v>1</v>
      </c>
      <c r="AR9" s="139">
        <v>1</v>
      </c>
    </row>
    <row r="10" spans="1:44" s="107" customFormat="1" ht="21" customHeight="1" thickBot="1" x14ac:dyDescent="0.2">
      <c r="A10" s="93" t="str">
        <f>B10&amp;"_"&amp;C10&amp;"-"&amp;G10&amp;"/"&amp;L10&amp;"&lt;lv"&amp;R10&amp;"&gt;s"&amp;AE10</f>
        <v>65535_5-1/155&lt;lv70&gt;s2</v>
      </c>
      <c r="B10" s="6">
        <v>65535</v>
      </c>
      <c r="C10" s="94">
        <v>5</v>
      </c>
      <c r="D10" s="95" t="str">
        <f>B10&amp;"_"&amp;C10</f>
        <v>65535_5</v>
      </c>
      <c r="E10" s="96" t="str">
        <f ca="1">VLOOKUP($B10,OFFSET([2]quests!$A$1,0,0,COUNTA([2]quests!$A:$A),MATCH(E$1,[2]quests!$1:$1,0)-MATCH($B$1,[2]quests!$1:$1,0)+1),MATCH(E$1,[2]quests!$1:$1,0)-MATCH($B$1,[2]quests!$1:$1,0)+1,FALSE)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0" s="96" t="str">
        <f ca="1">VLOOKUP($D10,OFFSET([2]stages!$A$1,0,0,COUNTA([2]stages!$A:$A),MATCH(F$1,[2]stages!$2:$2,0)-MATCH($D$1,[2]stages!$2:$2,0)+1),MATCH(F$1,[2]stages!$2:$2,0)-MATCH($D$1,[2]stages!$2:$2,0)+1,FALSE)</f>
        <v>ウィルスジャンヌ</v>
      </c>
      <c r="G10" s="94">
        <v>1</v>
      </c>
      <c r="H10" s="95" t="str">
        <f>B10&amp;"_"&amp;C10&amp;"-"&amp;G10</f>
        <v>65535_5-1</v>
      </c>
      <c r="I10" s="96" t="e">
        <f ca="1">VLOOKUP($H10,OFFSET([4]floors!$A$1,0,0,COUNTA([4]floors!$A:$A),MATCH(I$1,[4]floors!$1:$1,0)-MATCH($H$1,[4]floors!$1:$1,0)+1),MATCH(I$1,[4]floors!$1:$1,0)-MATCH($H$1,[4]floors!$1:$1,0)+1,FALSE)</f>
        <v>#VALUE!</v>
      </c>
      <c r="J10" s="96" t="e">
        <f ca="1">VLOOKUP($H10,OFFSET([4]floors!$A$1,0,0,COUNTA([4]floors!$A:$A),MATCH(J$1,[4]floors!$1:$1,0)-MATCH($H$1,[4]floors!$1:$1,0)+1),MATCH(J$1,[4]floors!$1:$1,0)-MATCH($H$1,[4]floors!$1:$1,0)+1,FALSE)</f>
        <v>#VALUE!</v>
      </c>
      <c r="K10" s="97" t="s">
        <v>220</v>
      </c>
      <c r="L10" s="98">
        <v>155</v>
      </c>
      <c r="M10" s="99" t="e">
        <f ca="1">VLOOKUP($L10,OFFSET([5]enemies!$A$1,0,0,COUNTA([5]enemies!$A:$A),MATCH(M$1,[5]enemies!$1:$1,0)-MATCH($L$1,[5]enemies!$1:$1,0)+1),MATCH(M$1,[5]enemies!$1:$1,0)-MATCH($L$1,[5]enemies!$1:$1,0)+1,FALSE)</f>
        <v>#VALUE!</v>
      </c>
      <c r="N10" s="99" t="e">
        <f ca="1">VLOOKUP($L10,OFFSET([5]enemies!$A$1,0,0,COUNTA([5]enemies!$A:$A),MATCH(N$1,[5]enemies!$1:$1,0)-MATCH($L$1,[5]enemies!$1:$1,0)+1),MATCH(N$1,[5]enemies!$1:$1,0)-MATCH($L$1,[5]enemies!$1:$1,0)+1,FALSE)</f>
        <v>#VALUE!</v>
      </c>
      <c r="O10" s="99" t="str">
        <f ca="1">VLOOKUP($L10,OFFSET([6]characters!$A$1,0,0,COUNTA([6]characters!$A:$A),MATCH(O$1,[6]characters!$1:$1,0)-MATCH($L$1,[6]characters!$1:$1,0)+1),MATCH(O$1,[6]characters!$1:$1,0)-MATCH($L$1,[6]characters!$1:$1,0)+1,FALSE)</f>
        <v>PremiumW</v>
      </c>
      <c r="P10" s="99" t="e">
        <f ca="1">VLOOKUP($L10,OFFSET([5]enemies!$A$1,0,0,COUNTA([5]enemies!$A:$A),MATCH(P$1,[5]enemies!$1:$1,0)-MATCH($L$1,[5]enemies!$1:$1,0)+1),MATCH(P$1,[5]enemies!$1:$1,0)-MATCH($L$1,[5]enemies!$1:$1,0)+1,FALSE)</f>
        <v>#VALUE!</v>
      </c>
      <c r="Q10" s="99" t="e">
        <f ca="1">VLOOKUP($L10,OFFSET([5]enemies!$A$1,0,0,COUNTA([5]enemies!$A:$A),MATCH(Q$1,[5]enemies!$1:$1,0)-MATCH($L$1,[5]enemies!$1:$1,0)+1),MATCH(Q$1,[5]enemies!$1:$1,0)-MATCH($L$1,[5]enemies!$1:$1,0)+1,FALSE)</f>
        <v>#VALUE!</v>
      </c>
      <c r="R10" s="100">
        <v>70</v>
      </c>
      <c r="S10" s="152">
        <v>3</v>
      </c>
      <c r="T10" s="157" t="e">
        <f ca="1">ROUND(VLOOKUP(R10,[5]enemy_base_stats!$A:$F,2,FALSE)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INDIRECT("[EnemyMasterData.xlsm]enemies!AD"&amp;(L10+1))*[6]ステータス!$B$2,0)*S10</f>
        <v>#REF!</v>
      </c>
      <c r="U10" s="129">
        <v>1.2</v>
      </c>
      <c r="V10" s="157" t="e">
        <f ca="1">ROUND(VLOOKUP(R10,[5]enemy_base_stats!$A:$F,3,FALSE)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INDIRECT("[EnemyMasterData.xlsm]enemies!AE"&amp;(L10+1))*[6]ステータス!$C$2,0)*U10</f>
        <v>#REF!</v>
      </c>
      <c r="W10" s="157" t="e">
        <f t="shared" ca="1" si="0"/>
        <v>#REF!</v>
      </c>
      <c r="X10" s="157" t="e">
        <f t="shared" ca="1" si="1"/>
        <v>#REF!</v>
      </c>
      <c r="Y10" s="155">
        <v>0</v>
      </c>
      <c r="Z10" s="96" t="e">
        <f ca="1">VLOOKUP($AA10,OFFSET([4]enemy_skill_sets!$B$1,0,0,COUNTA([4]enemy_skill_sets!$B:$B),MATCH(M$1,[4]enemy_skill_sets!$1:$1,0)-MATCH($AA$1,[4]enemy_skill_sets!$1:$1,0)+2),MATCH(M$1,[4]enemy_skill_sets!$1:$1,0)-MATCH($AA$1,[4]enemy_skill_sets!$1:$1,0)+2,FALSE)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10" s="101">
        <v>0</v>
      </c>
      <c r="AB10" s="102">
        <v>1</v>
      </c>
      <c r="AC10" s="103">
        <v>100</v>
      </c>
      <c r="AD10" s="103">
        <v>0</v>
      </c>
      <c r="AE10" s="99">
        <v>2</v>
      </c>
      <c r="AF10" s="104">
        <f>L10</f>
        <v>155</v>
      </c>
      <c r="AG10" s="96" t="str">
        <f ca="1">VLOOKUP($AF10,OFFSET([6]characters!$A$1,0,0,COUNTA([6]characters!$A:$A),MATCH(AG$1,[6]characters!$1:$1,0)-MATCH("character_id",[6]characters!$1:$1,0)+1),MATCH(AG$1,[6]characters!$1:$1,0)-MATCH("character_id",[6]characters!$1:$1,0)+1,FALSE)</f>
        <v>隻眼の掃除屋 ハンナ</v>
      </c>
      <c r="AH10" s="96">
        <f ca="1">VLOOKUP($AF10,OFFSET([6]characters!$A$1,0,0,COUNTA([6]characters!$A:$A),MATCH(AH$1,[6]characters!$1:$1,0)-MATCH("character_id",[6]characters!$1:$1,0)+1),MATCH(AH$1,[6]characters!$1:$1,0)-MATCH("character_id",[6]characters!$1:$1,0)+1,FALSE)</f>
        <v>4</v>
      </c>
      <c r="AI10" s="96" t="str">
        <f ca="1">VLOOKUP($AF10,OFFSET([6]characters!$A$1,0,0,COUNTA([6]characters!$A:$A),MATCH(AI$1,[6]characters!$1:$1,0)-MATCH("character_id",[6]characters!$1:$1,0)+1),MATCH(AI$1,[6]characters!$1:$1,0)-MATCH("character_id",[6]characters!$1:$1,0)+1,FALSE)</f>
        <v>PremiumW</v>
      </c>
      <c r="AJ10" s="105">
        <v>1</v>
      </c>
      <c r="AK10" s="104">
        <f ca="1">AH10</f>
        <v>4</v>
      </c>
      <c r="AL10" s="64">
        <v>0</v>
      </c>
      <c r="AM10" s="105">
        <v>0</v>
      </c>
      <c r="AN10" s="105">
        <v>0</v>
      </c>
      <c r="AO10" s="105">
        <v>0</v>
      </c>
      <c r="AP10" s="105">
        <v>0</v>
      </c>
      <c r="AQ10" s="105">
        <v>1</v>
      </c>
      <c r="AR10" s="106">
        <v>1</v>
      </c>
    </row>
    <row r="11" spans="1:44" s="117" customFormat="1" ht="21" customHeight="1" thickBot="1" x14ac:dyDescent="0.2">
      <c r="A11" s="108" t="str">
        <f>B11&amp;"_"&amp;C11&amp;"-"&amp;G11&amp;"/"&amp;L11&amp;"&lt;lv"&amp;R11&amp;"&gt;s"&amp;AE11</f>
        <v>65535_5-1/92&lt;lv70&gt;s3</v>
      </c>
      <c r="B11" s="6">
        <v>65535</v>
      </c>
      <c r="C11" s="94">
        <v>5</v>
      </c>
      <c r="D11" s="13" t="str">
        <f>B11&amp;"_"&amp;C11</f>
        <v>65535_5</v>
      </c>
      <c r="E11" s="4" t="str">
        <f ca="1">VLOOKUP($B11,OFFSET([2]quests!$A$1,0,0,COUNTA([2]quests!$A:$A),MATCH(E$1,[2]quests!$1:$1,0)-MATCH($B$1,[2]quests!$1:$1,0)+1),MATCH(E$1,[2]quests!$1:$1,0)-MATCH($B$1,[2]quests!$1:$1,0)+1,FALSE)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1" s="4" t="str">
        <f ca="1">VLOOKUP($D11,OFFSET([2]stages!$A$1,0,0,COUNTA([2]stages!$A:$A),MATCH(F$1,[2]stages!$2:$2,0)-MATCH($D$1,[2]stages!$2:$2,0)+1),MATCH(F$1,[2]stages!$2:$2,0)-MATCH($D$1,[2]stages!$2:$2,0)+1,FALSE)</f>
        <v>ウィルスジャンヌ</v>
      </c>
      <c r="G11" s="109">
        <v>1</v>
      </c>
      <c r="H11" s="13" t="str">
        <f>B11&amp;"_"&amp;C11&amp;"-"&amp;G11</f>
        <v>65535_5-1</v>
      </c>
      <c r="I11" s="4" t="e">
        <f ca="1">VLOOKUP($H11,OFFSET([4]floors!$A$1,0,0,COUNTA([4]floors!$A:$A),MATCH(I$1,[4]floors!$1:$1,0)-MATCH($H$1,[4]floors!$1:$1,0)+1),MATCH(I$1,[4]floors!$1:$1,0)-MATCH($H$1,[4]floors!$1:$1,0)+1,FALSE)</f>
        <v>#VALUE!</v>
      </c>
      <c r="J11" s="4" t="e">
        <f ca="1">VLOOKUP($H11,OFFSET([4]floors!$A$1,0,0,COUNTA([4]floors!$A:$A),MATCH(J$1,[4]floors!$1:$1,0)-MATCH($H$1,[4]floors!$1:$1,0)+1),MATCH(J$1,[4]floors!$1:$1,0)-MATCH($H$1,[4]floors!$1:$1,0)+1,FALSE)</f>
        <v>#VALUE!</v>
      </c>
      <c r="K11" s="33" t="s">
        <v>220</v>
      </c>
      <c r="L11" s="110">
        <v>92</v>
      </c>
      <c r="M11" s="15" t="e">
        <f ca="1">VLOOKUP($L11,OFFSET([5]enemies!$A$1,0,0,COUNTA([5]enemies!$A:$A),MATCH(M$1,[5]enemies!$1:$1,0)-MATCH($L$1,[5]enemies!$1:$1,0)+1),MATCH(M$1,[5]enemies!$1:$1,0)-MATCH($L$1,[5]enemies!$1:$1,0)+1,FALSE)</f>
        <v>#VALUE!</v>
      </c>
      <c r="N11" s="15" t="e">
        <f ca="1">VLOOKUP($L11,OFFSET([5]enemies!$A$1,0,0,COUNTA([5]enemies!$A:$A),MATCH(N$1,[5]enemies!$1:$1,0)-MATCH($L$1,[5]enemies!$1:$1,0)+1),MATCH(N$1,[5]enemies!$1:$1,0)-MATCH($L$1,[5]enemies!$1:$1,0)+1,FALSE)</f>
        <v>#VALUE!</v>
      </c>
      <c r="O11" s="15" t="str">
        <f ca="1">VLOOKUP($L11,OFFSET([6]characters!$A$1,0,0,COUNTA([6]characters!$A:$A),MATCH(O$1,[6]characters!$1:$1,0)-MATCH($L$1,[6]characters!$1:$1,0)+1),MATCH(O$1,[6]characters!$1:$1,0)-MATCH($L$1,[6]characters!$1:$1,0)+1,FALSE)</f>
        <v>Drop2N</v>
      </c>
      <c r="P11" s="15" t="e">
        <f ca="1">VLOOKUP($L11,OFFSET([5]enemies!$A$1,0,0,COUNTA([5]enemies!$A:$A),MATCH(P$1,[5]enemies!$1:$1,0)-MATCH($L$1,[5]enemies!$1:$1,0)+1),MATCH(P$1,[5]enemies!$1:$1,0)-MATCH($L$1,[5]enemies!$1:$1,0)+1,FALSE)</f>
        <v>#VALUE!</v>
      </c>
      <c r="Q11" s="15" t="e">
        <f ca="1">VLOOKUP($L11,OFFSET([5]enemies!$A$1,0,0,COUNTA([5]enemies!$A:$A),MATCH(Q$1,[5]enemies!$1:$1,0)-MATCH($L$1,[5]enemies!$1:$1,0)+1),MATCH(Q$1,[5]enemies!$1:$1,0)-MATCH($L$1,[5]enemies!$1:$1,0)+1,FALSE)</f>
        <v>#VALUE!</v>
      </c>
      <c r="R11" s="5">
        <v>70</v>
      </c>
      <c r="S11" s="153">
        <v>1.9</v>
      </c>
      <c r="T11" s="157" t="e">
        <f ca="1">ROUND(VLOOKUP(R11,[5]enemy_base_stats!$A:$F,2,FALSE)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INDIRECT("[EnemyMasterData.xlsm]enemies!AD"&amp;(L11+1))*[6]ステータス!$B$2,0)*S11</f>
        <v>#REF!</v>
      </c>
      <c r="U11" s="129">
        <v>1.2</v>
      </c>
      <c r="V11" s="157" t="e">
        <f ca="1">ROUND(VLOOKUP(R11,[5]enemy_base_stats!$A:$F,3,FALSE)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INDIRECT("[EnemyMasterData.xlsm]enemies!AE"&amp;(L11+1))*[6]ステータス!$C$2,0)*U11</f>
        <v>#REF!</v>
      </c>
      <c r="W11" s="157" t="e">
        <f t="shared" ca="1" si="0"/>
        <v>#REF!</v>
      </c>
      <c r="X11" s="157" t="e">
        <f t="shared" ca="1" si="1"/>
        <v>#REF!</v>
      </c>
      <c r="Y11" s="156">
        <v>0</v>
      </c>
      <c r="Z11" s="4" t="e">
        <f ca="1">VLOOKUP($AA11,OFFSET([4]enemy_skill_sets!$B$1,0,0,COUNTA([4]enemy_skill_sets!$B:$B),MATCH(M$1,[4]enemy_skill_sets!$1:$1,0)-MATCH($AA$1,[4]enemy_skill_sets!$1:$1,0)+2),MATCH(M$1,[4]enemy_skill_sets!$1:$1,0)-MATCH($AA$1,[4]enemy_skill_sets!$1:$1,0)+2,FALSE)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11" s="111">
        <v>65535101</v>
      </c>
      <c r="AB11" s="112">
        <v>1</v>
      </c>
      <c r="AC11" s="113">
        <v>100</v>
      </c>
      <c r="AD11" s="113">
        <v>0</v>
      </c>
      <c r="AE11" s="15">
        <v>3</v>
      </c>
      <c r="AF11" s="114">
        <f>L11</f>
        <v>92</v>
      </c>
      <c r="AG11" s="4" t="str">
        <f ca="1">VLOOKUP($AF11,OFFSET([6]characters!$A$1,0,0,COUNTA([6]characters!$A:$A),MATCH(AG$1,[6]characters!$1:$1,0)-MATCH("character_id",[6]characters!$1:$1,0)+1),MATCH(AG$1,[6]characters!$1:$1,0)-MATCH("character_id",[6]characters!$1:$1,0)+1,FALSE)</f>
        <v>守護者 青龍</v>
      </c>
      <c r="AH11" s="4">
        <f ca="1">VLOOKUP($AF11,OFFSET([6]characters!$A$1,0,0,COUNTA([6]characters!$A:$A),MATCH(AH$1,[6]characters!$1:$1,0)-MATCH("character_id",[6]characters!$1:$1,0)+1),MATCH(AH$1,[6]characters!$1:$1,0)-MATCH("character_id",[6]characters!$1:$1,0)+1,FALSE)</f>
        <v>4</v>
      </c>
      <c r="AI11" s="4" t="str">
        <f ca="1">VLOOKUP($AF11,OFFSET([6]characters!$A$1,0,0,COUNTA([6]characters!$A:$A),MATCH(AI$1,[6]characters!$1:$1,0)-MATCH("character_id",[6]characters!$1:$1,0)+1),MATCH(AI$1,[6]characters!$1:$1,0)-MATCH("character_id",[6]characters!$1:$1,0)+1,FALSE)</f>
        <v>Drop2N</v>
      </c>
      <c r="AJ11" s="115">
        <v>1</v>
      </c>
      <c r="AK11" s="114">
        <f ca="1">AH11</f>
        <v>4</v>
      </c>
      <c r="AL11" s="116">
        <v>0</v>
      </c>
      <c r="AM11" s="115">
        <v>0</v>
      </c>
      <c r="AN11" s="115">
        <v>0</v>
      </c>
      <c r="AO11" s="115">
        <v>0</v>
      </c>
      <c r="AP11" s="115">
        <v>0</v>
      </c>
      <c r="AQ11" s="115">
        <v>1</v>
      </c>
      <c r="AR11" s="64">
        <v>1</v>
      </c>
    </row>
    <row r="12" spans="1:44" s="117" customFormat="1" ht="21" customHeight="1" thickBot="1" x14ac:dyDescent="0.2">
      <c r="A12" s="108" t="str">
        <f t="shared" ref="A12:A17" si="7">B12&amp;"_"&amp;C12&amp;"-"&amp;G12&amp;"/"&amp;L12&amp;"&lt;lv"&amp;R12&amp;"&gt;s"&amp;AE12</f>
        <v>65535_5-2/53&lt;lv60&gt;s2</v>
      </c>
      <c r="B12" s="6">
        <v>65535</v>
      </c>
      <c r="C12" s="94">
        <v>5</v>
      </c>
      <c r="D12" s="13" t="str">
        <f t="shared" ref="D12:D17" si="8">B12&amp;"_"&amp;C12</f>
        <v>65535_5</v>
      </c>
      <c r="E12" s="4" t="str">
        <f ca="1">VLOOKUP($B12,OFFSET([2]quests!$A$1,0,0,COUNTA([2]quests!$A:$A),MATCH(E$1,[2]quests!$1:$1,0)-MATCH($B$1,[2]quests!$1:$1,0)+1),MATCH(E$1,[2]quests!$1:$1,0)-MATCH($B$1,[2]quests!$1:$1,0)+1,FALSE)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2" s="4" t="str">
        <f ca="1">VLOOKUP($D12,OFFSET([2]stages!$A$1,0,0,COUNTA([2]stages!$A:$A),MATCH(F$1,[2]stages!$2:$2,0)-MATCH($D$1,[2]stages!$2:$2,0)+1),MATCH(F$1,[2]stages!$2:$2,0)-MATCH($D$1,[2]stages!$2:$2,0)+1,FALSE)</f>
        <v>ウィルスジャンヌ</v>
      </c>
      <c r="G12" s="109">
        <v>2</v>
      </c>
      <c r="H12" s="13" t="str">
        <f t="shared" ref="H12:H17" si="9">B12&amp;"_"&amp;C12&amp;"-"&amp;G12</f>
        <v>65535_5-2</v>
      </c>
      <c r="I12" s="4" t="e">
        <f ca="1">VLOOKUP($H12,OFFSET([4]floors!$A$1,0,0,COUNTA([4]floors!$A:$A),MATCH(I$1,[4]floors!$1:$1,0)-MATCH($H$1,[4]floors!$1:$1,0)+1),MATCH(I$1,[4]floors!$1:$1,0)-MATCH($H$1,[4]floors!$1:$1,0)+1,FALSE)</f>
        <v>#VALUE!</v>
      </c>
      <c r="J12" s="4" t="e">
        <f ca="1">VLOOKUP($H12,OFFSET([4]floors!$A$1,0,0,COUNTA([4]floors!$A:$A),MATCH(J$1,[4]floors!$1:$1,0)-MATCH($H$1,[4]floors!$1:$1,0)+1),MATCH(J$1,[4]floors!$1:$1,0)-MATCH($H$1,[4]floors!$1:$1,0)+1,FALSE)</f>
        <v>#VALUE!</v>
      </c>
      <c r="K12" s="33" t="s">
        <v>53</v>
      </c>
      <c r="L12" s="110">
        <v>53</v>
      </c>
      <c r="M12" s="15" t="e">
        <f ca="1">VLOOKUP($L12,OFFSET([5]enemies!$A$1,0,0,COUNTA([5]enemies!$A:$A),MATCH(M$1,[5]enemies!$1:$1,0)-MATCH($L$1,[5]enemies!$1:$1,0)+1),MATCH(M$1,[5]enemies!$1:$1,0)-MATCH($L$1,[5]enemies!$1:$1,0)+1,FALSE)</f>
        <v>#VALUE!</v>
      </c>
      <c r="N12" s="15" t="e">
        <f ca="1">VLOOKUP($L12,OFFSET([5]enemies!$A$1,0,0,COUNTA([5]enemies!$A:$A),MATCH(N$1,[5]enemies!$1:$1,0)-MATCH($L$1,[5]enemies!$1:$1,0)+1),MATCH(N$1,[5]enemies!$1:$1,0)-MATCH($L$1,[5]enemies!$1:$1,0)+1,FALSE)</f>
        <v>#VALUE!</v>
      </c>
      <c r="O12" s="15" t="str">
        <f ca="1">VLOOKUP($L12,OFFSET([6]characters!$A$1,0,0,COUNTA([6]characters!$A:$A),MATCH(O$1,[6]characters!$1:$1,0)-MATCH($L$1,[6]characters!$1:$1,0)+1),MATCH(O$1,[6]characters!$1:$1,0)-MATCH($L$1,[6]characters!$1:$1,0)+1,FALSE)</f>
        <v>Drop1N</v>
      </c>
      <c r="P12" s="15" t="e">
        <f ca="1">VLOOKUP($L12,OFFSET([5]enemies!$A$1,0,0,COUNTA([5]enemies!$A:$A),MATCH(P$1,[5]enemies!$1:$1,0)-MATCH($L$1,[5]enemies!$1:$1,0)+1),MATCH(P$1,[5]enemies!$1:$1,0)-MATCH($L$1,[5]enemies!$1:$1,0)+1,FALSE)</f>
        <v>#VALUE!</v>
      </c>
      <c r="Q12" s="15" t="e">
        <f ca="1">VLOOKUP($L12,OFFSET([5]enemies!$A$1,0,0,COUNTA([5]enemies!$A:$A),MATCH(Q$1,[5]enemies!$1:$1,0)-MATCH($L$1,[5]enemies!$1:$1,0)+1),MATCH(Q$1,[5]enemies!$1:$1,0)-MATCH($L$1,[5]enemies!$1:$1,0)+1,FALSE)</f>
        <v>#VALUE!</v>
      </c>
      <c r="R12" s="5">
        <v>60</v>
      </c>
      <c r="S12" s="153">
        <v>2</v>
      </c>
      <c r="T12" s="157" t="e">
        <f ca="1">ROUND(VLOOKUP(R12,[5]enemy_base_stats!$A:$F,2,FALSE)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INDIRECT("[EnemyMasterData.xlsm]enemies!AD"&amp;(L12+1))*[6]ステータス!$B$2,0)*S12</f>
        <v>#REF!</v>
      </c>
      <c r="U12" s="129">
        <v>1</v>
      </c>
      <c r="V12" s="157" t="e">
        <f ca="1">ROUND(VLOOKUP(R12,[5]enemy_base_stats!$A:$F,3,FALSE)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INDIRECT("[EnemyMasterData.xlsm]enemies!AE"&amp;(L12+1))*[6]ステータス!$C$2,0)*U12</f>
        <v>#REF!</v>
      </c>
      <c r="W12" s="157" t="e">
        <f t="shared" ca="1" si="0"/>
        <v>#REF!</v>
      </c>
      <c r="X12" s="157" t="e">
        <f t="shared" ca="1" si="1"/>
        <v>#REF!</v>
      </c>
      <c r="Y12" s="156">
        <v>0</v>
      </c>
      <c r="Z12" s="4" t="e">
        <f ca="1">VLOOKUP($AA12,OFFSET([4]enemy_skill_sets!$B$1,0,0,COUNTA([4]enemy_skill_sets!$B:$B),MATCH(M$1,[4]enemy_skill_sets!$1:$1,0)-MATCH($AA$1,[4]enemy_skill_sets!$1:$1,0)+2),MATCH(M$1,[4]enemy_skill_sets!$1:$1,0)-MATCH($AA$1,[4]enemy_skill_sets!$1:$1,0)+2,FALSE)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12" s="111">
        <v>0</v>
      </c>
      <c r="AB12" s="112">
        <v>1</v>
      </c>
      <c r="AC12" s="113">
        <v>100</v>
      </c>
      <c r="AD12" s="113">
        <v>0</v>
      </c>
      <c r="AE12" s="15">
        <v>2</v>
      </c>
      <c r="AF12" s="114">
        <f t="shared" ref="AF12:AF16" si="10">L12</f>
        <v>53</v>
      </c>
      <c r="AG12" s="4" t="str">
        <f ca="1">VLOOKUP($AF12,OFFSET([6]characters!$A$1,0,0,COUNTA([6]characters!$A:$A),MATCH(AG$1,[6]characters!$1:$1,0)-MATCH("character_id",[6]characters!$1:$1,0)+1),MATCH(AG$1,[6]characters!$1:$1,0)-MATCH("character_id",[6]characters!$1:$1,0)+1,FALSE)</f>
        <v>ケンジ</v>
      </c>
      <c r="AH12" s="4">
        <f ca="1">VLOOKUP($AF12,OFFSET([6]characters!$A$1,0,0,COUNTA([6]characters!$A:$A),MATCH(AH$1,[6]characters!$1:$1,0)-MATCH("character_id",[6]characters!$1:$1,0)+1),MATCH(AH$1,[6]characters!$1:$1,0)-MATCH("character_id",[6]characters!$1:$1,0)+1,FALSE)</f>
        <v>2</v>
      </c>
      <c r="AI12" s="4" t="str">
        <f ca="1">VLOOKUP($AF12,OFFSET([6]characters!$A$1,0,0,COUNTA([6]characters!$A:$A),MATCH(AI$1,[6]characters!$1:$1,0)-MATCH("character_id",[6]characters!$1:$1,0)+1),MATCH(AI$1,[6]characters!$1:$1,0)-MATCH("character_id",[6]characters!$1:$1,0)+1,FALSE)</f>
        <v>Drop1N</v>
      </c>
      <c r="AJ12" s="115">
        <v>1</v>
      </c>
      <c r="AK12" s="114">
        <f t="shared" ref="AK12:AK17" ca="1" si="11">AH12</f>
        <v>2</v>
      </c>
      <c r="AL12" s="64">
        <v>0</v>
      </c>
      <c r="AM12" s="115">
        <v>0</v>
      </c>
      <c r="AN12" s="115">
        <v>0</v>
      </c>
      <c r="AO12" s="115">
        <v>0</v>
      </c>
      <c r="AP12" s="115">
        <v>0</v>
      </c>
      <c r="AQ12" s="115">
        <v>1</v>
      </c>
      <c r="AR12" s="64">
        <v>1</v>
      </c>
    </row>
    <row r="13" spans="1:44" s="117" customFormat="1" ht="21" customHeight="1" thickBot="1" x14ac:dyDescent="0.2">
      <c r="A13" s="108" t="str">
        <f t="shared" si="7"/>
        <v>65535_5-2/49&lt;lv60&gt;s2</v>
      </c>
      <c r="B13" s="6">
        <v>65535</v>
      </c>
      <c r="C13" s="94">
        <v>5</v>
      </c>
      <c r="D13" s="13" t="str">
        <f t="shared" si="8"/>
        <v>65535_5</v>
      </c>
      <c r="E13" s="4" t="str">
        <f ca="1">VLOOKUP($B13,OFFSET([2]quests!$A$1,0,0,COUNTA([2]quests!$A:$A),MATCH(E$1,[2]quests!$1:$1,0)-MATCH($B$1,[2]quests!$1:$1,0)+1),MATCH(E$1,[2]quests!$1:$1,0)-MATCH($B$1,[2]quests!$1:$1,0)+1,FALSE)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3" s="4" t="str">
        <f ca="1">VLOOKUP($D13,OFFSET([2]stages!$A$1,0,0,COUNTA([2]stages!$A:$A),MATCH(F$1,[2]stages!$2:$2,0)-MATCH($D$1,[2]stages!$2:$2,0)+1),MATCH(F$1,[2]stages!$2:$2,0)-MATCH($D$1,[2]stages!$2:$2,0)+1,FALSE)</f>
        <v>ウィルスジャンヌ</v>
      </c>
      <c r="G13" s="109">
        <v>2</v>
      </c>
      <c r="H13" s="13" t="str">
        <f t="shared" si="9"/>
        <v>65535_5-2</v>
      </c>
      <c r="I13" s="4" t="e">
        <f ca="1">VLOOKUP($H13,OFFSET([4]floors!$A$1,0,0,COUNTA([4]floors!$A:$A),MATCH(I$1,[4]floors!$1:$1,0)-MATCH($H$1,[4]floors!$1:$1,0)+1),MATCH(I$1,[4]floors!$1:$1,0)-MATCH($H$1,[4]floors!$1:$1,0)+1,FALSE)</f>
        <v>#VALUE!</v>
      </c>
      <c r="J13" s="4" t="e">
        <f ca="1">VLOOKUP($H13,OFFSET([4]floors!$A$1,0,0,COUNTA([4]floors!$A:$A),MATCH(J$1,[4]floors!$1:$1,0)-MATCH($H$1,[4]floors!$1:$1,0)+1),MATCH(J$1,[4]floors!$1:$1,0)-MATCH($H$1,[4]floors!$1:$1,0)+1,FALSE)</f>
        <v>#VALUE!</v>
      </c>
      <c r="K13" s="33" t="s">
        <v>53</v>
      </c>
      <c r="L13" s="110">
        <v>49</v>
      </c>
      <c r="M13" s="15" t="e">
        <f ca="1">VLOOKUP($L13,OFFSET([5]enemies!$A$1,0,0,COUNTA([5]enemies!$A:$A),MATCH(M$1,[5]enemies!$1:$1,0)-MATCH($L$1,[5]enemies!$1:$1,0)+1),MATCH(M$1,[5]enemies!$1:$1,0)-MATCH($L$1,[5]enemies!$1:$1,0)+1,FALSE)</f>
        <v>#VALUE!</v>
      </c>
      <c r="N13" s="15" t="e">
        <f ca="1">VLOOKUP($L13,OFFSET([5]enemies!$A$1,0,0,COUNTA([5]enemies!$A:$A),MATCH(N$1,[5]enemies!$1:$1,0)-MATCH($L$1,[5]enemies!$1:$1,0)+1),MATCH(N$1,[5]enemies!$1:$1,0)-MATCH($L$1,[5]enemies!$1:$1,0)+1,FALSE)</f>
        <v>#VALUE!</v>
      </c>
      <c r="O13" s="15" t="str">
        <f ca="1">VLOOKUP($L13,OFFSET([6]characters!$A$1,0,0,COUNTA([6]characters!$A:$A),MATCH(O$1,[6]characters!$1:$1,0)-MATCH($L$1,[6]characters!$1:$1,0)+1),MATCH(O$1,[6]characters!$1:$1,0)-MATCH($L$1,[6]characters!$1:$1,0)+1,FALSE)</f>
        <v>Drop1N</v>
      </c>
      <c r="P13" s="15" t="e">
        <f ca="1">VLOOKUP($L13,OFFSET([5]enemies!$A$1,0,0,COUNTA([5]enemies!$A:$A),MATCH(P$1,[5]enemies!$1:$1,0)-MATCH($L$1,[5]enemies!$1:$1,0)+1),MATCH(P$1,[5]enemies!$1:$1,0)-MATCH($L$1,[5]enemies!$1:$1,0)+1,FALSE)</f>
        <v>#VALUE!</v>
      </c>
      <c r="Q13" s="15" t="e">
        <f ca="1">VLOOKUP($L13,OFFSET([5]enemies!$A$1,0,0,COUNTA([5]enemies!$A:$A),MATCH(Q$1,[5]enemies!$1:$1,0)-MATCH($L$1,[5]enemies!$1:$1,0)+1),MATCH(Q$1,[5]enemies!$1:$1,0)-MATCH($L$1,[5]enemies!$1:$1,0)+1,FALSE)</f>
        <v>#VALUE!</v>
      </c>
      <c r="R13" s="5">
        <v>60</v>
      </c>
      <c r="S13" s="153">
        <v>3.6</v>
      </c>
      <c r="T13" s="157" t="e">
        <f ca="1">ROUND(VLOOKUP(R13,[5]enemy_base_stats!$A:$F,2,FALSE)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INDIRECT("[EnemyMasterData.xlsm]enemies!AD"&amp;(L13+1))*[6]ステータス!$B$2,0)*S13</f>
        <v>#REF!</v>
      </c>
      <c r="U13" s="129">
        <v>1</v>
      </c>
      <c r="V13" s="157" t="e">
        <f ca="1">ROUND(VLOOKUP(R13,[5]enemy_base_stats!$A:$F,3,FALSE)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INDIRECT("[EnemyMasterData.xlsm]enemies!AE"&amp;(L13+1))*[6]ステータス!$C$2,0)*U13</f>
        <v>#REF!</v>
      </c>
      <c r="W13" s="157" t="e">
        <f t="shared" ca="1" si="0"/>
        <v>#REF!</v>
      </c>
      <c r="X13" s="157" t="e">
        <f t="shared" ca="1" si="1"/>
        <v>#REF!</v>
      </c>
      <c r="Y13" s="156">
        <v>0</v>
      </c>
      <c r="Z13" s="4" t="e">
        <f ca="1">VLOOKUP($AA13,OFFSET([4]enemy_skill_sets!$B$1,0,0,COUNTA([4]enemy_skill_sets!$B:$B),MATCH(M$1,[4]enemy_skill_sets!$1:$1,0)-MATCH($AA$1,[4]enemy_skill_sets!$1:$1,0)+2),MATCH(M$1,[4]enemy_skill_sets!$1:$1,0)-MATCH($AA$1,[4]enemy_skill_sets!$1:$1,0)+2,FALSE)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13" s="111">
        <v>41003013</v>
      </c>
      <c r="AB13" s="112">
        <v>1</v>
      </c>
      <c r="AC13" s="113">
        <v>100</v>
      </c>
      <c r="AD13" s="113">
        <v>0</v>
      </c>
      <c r="AE13" s="15">
        <v>2</v>
      </c>
      <c r="AF13" s="114">
        <f t="shared" si="10"/>
        <v>49</v>
      </c>
      <c r="AG13" s="4" t="str">
        <f ca="1">VLOOKUP($AF13,OFFSET([6]characters!$A$1,0,0,COUNTA([6]characters!$A:$A),MATCH(AG$1,[6]characters!$1:$1,0)-MATCH("character_id",[6]characters!$1:$1,0)+1),MATCH(AG$1,[6]characters!$1:$1,0)-MATCH("character_id",[6]characters!$1:$1,0)+1,FALSE)</f>
        <v>ヨシタカ</v>
      </c>
      <c r="AH13" s="4">
        <f ca="1">VLOOKUP($AF13,OFFSET([6]characters!$A$1,0,0,COUNTA([6]characters!$A:$A),MATCH(AH$1,[6]characters!$1:$1,0)-MATCH("character_id",[6]characters!$1:$1,0)+1),MATCH(AH$1,[6]characters!$1:$1,0)-MATCH("character_id",[6]characters!$1:$1,0)+1,FALSE)</f>
        <v>2</v>
      </c>
      <c r="AI13" s="4" t="str">
        <f ca="1">VLOOKUP($AF13,OFFSET([6]characters!$A$1,0,0,COUNTA([6]characters!$A:$A),MATCH(AI$1,[6]characters!$1:$1,0)-MATCH("character_id",[6]characters!$1:$1,0)+1),MATCH(AI$1,[6]characters!$1:$1,0)-MATCH("character_id",[6]characters!$1:$1,0)+1,FALSE)</f>
        <v>Drop1N</v>
      </c>
      <c r="AJ13" s="115">
        <v>1</v>
      </c>
      <c r="AK13" s="114">
        <f t="shared" ca="1" si="11"/>
        <v>2</v>
      </c>
      <c r="AL13" s="118">
        <v>0</v>
      </c>
      <c r="AM13" s="115">
        <v>0</v>
      </c>
      <c r="AN13" s="115">
        <v>0</v>
      </c>
      <c r="AO13" s="115">
        <v>0</v>
      </c>
      <c r="AP13" s="115">
        <v>0</v>
      </c>
      <c r="AQ13" s="115">
        <v>1</v>
      </c>
      <c r="AR13" s="64">
        <v>1</v>
      </c>
    </row>
    <row r="14" spans="1:44" s="117" customFormat="1" ht="21" customHeight="1" thickBot="1" x14ac:dyDescent="0.2">
      <c r="A14" s="108" t="str">
        <f t="shared" si="7"/>
        <v>65535_5-2/51&lt;lv60&gt;s2</v>
      </c>
      <c r="B14" s="6">
        <v>65535</v>
      </c>
      <c r="C14" s="94">
        <v>5</v>
      </c>
      <c r="D14" s="13" t="str">
        <f t="shared" si="8"/>
        <v>65535_5</v>
      </c>
      <c r="E14" s="4" t="str">
        <f ca="1">VLOOKUP($B14,OFFSET([2]quests!$A$1,0,0,COUNTA([2]quests!$A:$A),MATCH(E$1,[2]quests!$1:$1,0)-MATCH($B$1,[2]quests!$1:$1,0)+1),MATCH(E$1,[2]quests!$1:$1,0)-MATCH($B$1,[2]quests!$1:$1,0)+1,FALSE)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4" s="4" t="str">
        <f ca="1">VLOOKUP($D14,OFFSET([2]stages!$A$1,0,0,COUNTA([2]stages!$A:$A),MATCH(F$1,[2]stages!$2:$2,0)-MATCH($D$1,[2]stages!$2:$2,0)+1),MATCH(F$1,[2]stages!$2:$2,0)-MATCH($D$1,[2]stages!$2:$2,0)+1,FALSE)</f>
        <v>ウィルスジャンヌ</v>
      </c>
      <c r="G14" s="109">
        <v>2</v>
      </c>
      <c r="H14" s="13" t="str">
        <f t="shared" si="9"/>
        <v>65535_5-2</v>
      </c>
      <c r="I14" s="4" t="e">
        <f ca="1">VLOOKUP($H14,OFFSET([4]floors!$A$1,0,0,COUNTA([4]floors!$A:$A),MATCH(I$1,[4]floors!$1:$1,0)-MATCH($H$1,[4]floors!$1:$1,0)+1),MATCH(I$1,[4]floors!$1:$1,0)-MATCH($H$1,[4]floors!$1:$1,0)+1,FALSE)</f>
        <v>#VALUE!</v>
      </c>
      <c r="J14" s="4" t="e">
        <f ca="1">VLOOKUP($H14,OFFSET([4]floors!$A$1,0,0,COUNTA([4]floors!$A:$A),MATCH(J$1,[4]floors!$1:$1,0)-MATCH($H$1,[4]floors!$1:$1,0)+1),MATCH(J$1,[4]floors!$1:$1,0)-MATCH($H$1,[4]floors!$1:$1,0)+1,FALSE)</f>
        <v>#VALUE!</v>
      </c>
      <c r="K14" s="33" t="s">
        <v>53</v>
      </c>
      <c r="L14" s="110">
        <v>51</v>
      </c>
      <c r="M14" s="15" t="e">
        <f ca="1">VLOOKUP($L14,OFFSET([5]enemies!$A$1,0,0,COUNTA([5]enemies!$A:$A),MATCH(M$1,[5]enemies!$1:$1,0)-MATCH($L$1,[5]enemies!$1:$1,0)+1),MATCH(M$1,[5]enemies!$1:$1,0)-MATCH($L$1,[5]enemies!$1:$1,0)+1,FALSE)</f>
        <v>#VALUE!</v>
      </c>
      <c r="N14" s="15" t="e">
        <f ca="1">VLOOKUP($L14,OFFSET([5]enemies!$A$1,0,0,COUNTA([5]enemies!$A:$A),MATCH(N$1,[5]enemies!$1:$1,0)-MATCH($L$1,[5]enemies!$1:$1,0)+1),MATCH(N$1,[5]enemies!$1:$1,0)-MATCH($L$1,[5]enemies!$1:$1,0)+1,FALSE)</f>
        <v>#VALUE!</v>
      </c>
      <c r="O14" s="15" t="str">
        <f ca="1">VLOOKUP($L14,OFFSET([6]characters!$A$1,0,0,COUNTA([6]characters!$A:$A),MATCH(O$1,[6]characters!$1:$1,0)-MATCH($L$1,[6]characters!$1:$1,0)+1),MATCH(O$1,[6]characters!$1:$1,0)-MATCH($L$1,[6]characters!$1:$1,0)+1,FALSE)</f>
        <v>Drop1N</v>
      </c>
      <c r="P14" s="15" t="e">
        <f ca="1">VLOOKUP($L14,OFFSET([5]enemies!$A$1,0,0,COUNTA([5]enemies!$A:$A),MATCH(P$1,[5]enemies!$1:$1,0)-MATCH($L$1,[5]enemies!$1:$1,0)+1),MATCH(P$1,[5]enemies!$1:$1,0)-MATCH($L$1,[5]enemies!$1:$1,0)+1,FALSE)</f>
        <v>#VALUE!</v>
      </c>
      <c r="Q14" s="15" t="e">
        <f ca="1">VLOOKUP($L14,OFFSET([5]enemies!$A$1,0,0,COUNTA([5]enemies!$A:$A),MATCH(Q$1,[5]enemies!$1:$1,0)-MATCH($L$1,[5]enemies!$1:$1,0)+1),MATCH(Q$1,[5]enemies!$1:$1,0)-MATCH($L$1,[5]enemies!$1:$1,0)+1,FALSE)</f>
        <v>#VALUE!</v>
      </c>
      <c r="R14" s="5">
        <v>60</v>
      </c>
      <c r="S14" s="153">
        <v>3.4</v>
      </c>
      <c r="T14" s="157" t="e">
        <f ca="1">ROUND(VLOOKUP(R14,[5]enemy_base_stats!$A:$F,2,FALSE)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INDIRECT("[EnemyMasterData.xlsm]enemies!AD"&amp;(L14+1))*[6]ステータス!$B$2,0)*S14</f>
        <v>#REF!</v>
      </c>
      <c r="U14" s="129">
        <v>0.7</v>
      </c>
      <c r="V14" s="157" t="e">
        <f ca="1">ROUND(VLOOKUP(R14,[5]enemy_base_stats!$A:$F,3,FALSE)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INDIRECT("[EnemyMasterData.xlsm]enemies!AE"&amp;(L14+1))*[6]ステータス!$C$2,0)*U14</f>
        <v>#REF!</v>
      </c>
      <c r="W14" s="157" t="e">
        <f t="shared" ca="1" si="0"/>
        <v>#REF!</v>
      </c>
      <c r="X14" s="157" t="e">
        <f t="shared" ca="1" si="1"/>
        <v>#REF!</v>
      </c>
      <c r="Y14" s="156">
        <v>0</v>
      </c>
      <c r="Z14" s="4" t="e">
        <f ca="1">VLOOKUP($AA14,OFFSET([4]enemy_skill_sets!$B$1,0,0,COUNTA([4]enemy_skill_sets!$B:$B),MATCH(M$1,[4]enemy_skill_sets!$1:$1,0)-MATCH($AA$1,[4]enemy_skill_sets!$1:$1,0)+2),MATCH(M$1,[4]enemy_skill_sets!$1:$1,0)-MATCH($AA$1,[4]enemy_skill_sets!$1:$1,0)+2,FALSE)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14" s="119">
        <v>41003014</v>
      </c>
      <c r="AB14" s="112">
        <v>1</v>
      </c>
      <c r="AC14" s="113">
        <v>100</v>
      </c>
      <c r="AD14" s="113">
        <v>0</v>
      </c>
      <c r="AE14" s="15">
        <v>2</v>
      </c>
      <c r="AF14" s="114">
        <f t="shared" si="10"/>
        <v>51</v>
      </c>
      <c r="AG14" s="4" t="str">
        <f ca="1">VLOOKUP($AF14,OFFSET([6]characters!$A$1,0,0,COUNTA([6]characters!$A:$A),MATCH(AG$1,[6]characters!$1:$1,0)-MATCH("character_id",[6]characters!$1:$1,0)+1),MATCH(AG$1,[6]characters!$1:$1,0)-MATCH("character_id",[6]characters!$1:$1,0)+1,FALSE)</f>
        <v>マイ</v>
      </c>
      <c r="AH14" s="4">
        <f ca="1">VLOOKUP($AF14,OFFSET([6]characters!$A$1,0,0,COUNTA([6]characters!$A:$A),MATCH(AH$1,[6]characters!$1:$1,0)-MATCH("character_id",[6]characters!$1:$1,0)+1),MATCH(AH$1,[6]characters!$1:$1,0)-MATCH("character_id",[6]characters!$1:$1,0)+1,FALSE)</f>
        <v>2</v>
      </c>
      <c r="AI14" s="4" t="str">
        <f ca="1">VLOOKUP($AF14,OFFSET([6]characters!$A$1,0,0,COUNTA([6]characters!$A:$A),MATCH(AI$1,[6]characters!$1:$1,0)-MATCH("character_id",[6]characters!$1:$1,0)+1),MATCH(AI$1,[6]characters!$1:$1,0)-MATCH("character_id",[6]characters!$1:$1,0)+1,FALSE)</f>
        <v>Drop1N</v>
      </c>
      <c r="AJ14" s="115">
        <v>1</v>
      </c>
      <c r="AK14" s="114">
        <f t="shared" ca="1" si="11"/>
        <v>2</v>
      </c>
      <c r="AL14" s="64">
        <v>0</v>
      </c>
      <c r="AM14" s="115">
        <v>0</v>
      </c>
      <c r="AN14" s="115">
        <v>0</v>
      </c>
      <c r="AO14" s="115">
        <v>0</v>
      </c>
      <c r="AP14" s="115">
        <v>0</v>
      </c>
      <c r="AQ14" s="115">
        <v>1</v>
      </c>
      <c r="AR14" s="64">
        <v>1</v>
      </c>
    </row>
    <row r="15" spans="1:44" s="117" customFormat="1" ht="21" customHeight="1" thickBot="1" x14ac:dyDescent="0.2">
      <c r="A15" s="108" t="str">
        <f t="shared" si="7"/>
        <v>65535_5-2/55&lt;lv60&gt;s2</v>
      </c>
      <c r="B15" s="6">
        <v>65535</v>
      </c>
      <c r="C15" s="94">
        <v>5</v>
      </c>
      <c r="D15" s="13" t="str">
        <f t="shared" si="8"/>
        <v>65535_5</v>
      </c>
      <c r="E15" s="4" t="str">
        <f ca="1">VLOOKUP($B15,OFFSET([2]quests!$A$1,0,0,COUNTA([2]quests!$A:$A),MATCH(E$1,[2]quests!$1:$1,0)-MATCH($B$1,[2]quests!$1:$1,0)+1),MATCH(E$1,[2]quests!$1:$1,0)-MATCH($B$1,[2]quests!$1:$1,0)+1,FALSE)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5" s="4" t="str">
        <f ca="1">VLOOKUP($D15,OFFSET([2]stages!$A$1,0,0,COUNTA([2]stages!$A:$A),MATCH(F$1,[2]stages!$2:$2,0)-MATCH($D$1,[2]stages!$2:$2,0)+1),MATCH(F$1,[2]stages!$2:$2,0)-MATCH($D$1,[2]stages!$2:$2,0)+1,FALSE)</f>
        <v>ウィルスジャンヌ</v>
      </c>
      <c r="G15" s="109">
        <v>2</v>
      </c>
      <c r="H15" s="13" t="str">
        <f t="shared" si="9"/>
        <v>65535_5-2</v>
      </c>
      <c r="I15" s="4" t="e">
        <f ca="1">VLOOKUP($H15,OFFSET([4]floors!$A$1,0,0,COUNTA([4]floors!$A:$A),MATCH(I$1,[4]floors!$1:$1,0)-MATCH($H$1,[4]floors!$1:$1,0)+1),MATCH(I$1,[4]floors!$1:$1,0)-MATCH($H$1,[4]floors!$1:$1,0)+1,FALSE)</f>
        <v>#VALUE!</v>
      </c>
      <c r="J15" s="4" t="e">
        <f ca="1">VLOOKUP($H15,OFFSET([4]floors!$A$1,0,0,COUNTA([4]floors!$A:$A),MATCH(J$1,[4]floors!$1:$1,0)-MATCH($H$1,[4]floors!$1:$1,0)+1),MATCH(J$1,[4]floors!$1:$1,0)-MATCH($H$1,[4]floors!$1:$1,0)+1,FALSE)</f>
        <v>#VALUE!</v>
      </c>
      <c r="K15" s="33" t="s">
        <v>53</v>
      </c>
      <c r="L15" s="110">
        <v>55</v>
      </c>
      <c r="M15" s="15" t="e">
        <f ca="1">VLOOKUP($L15,OFFSET([5]enemies!$A$1,0,0,COUNTA([5]enemies!$A:$A),MATCH(M$1,[5]enemies!$1:$1,0)-MATCH($L$1,[5]enemies!$1:$1,0)+1),MATCH(M$1,[5]enemies!$1:$1,0)-MATCH($L$1,[5]enemies!$1:$1,0)+1,FALSE)</f>
        <v>#VALUE!</v>
      </c>
      <c r="N15" s="15" t="e">
        <f ca="1">VLOOKUP($L15,OFFSET([5]enemies!$A$1,0,0,COUNTA([5]enemies!$A:$A),MATCH(N$1,[5]enemies!$1:$1,0)-MATCH($L$1,[5]enemies!$1:$1,0)+1),MATCH(N$1,[5]enemies!$1:$1,0)-MATCH($L$1,[5]enemies!$1:$1,0)+1,FALSE)</f>
        <v>#VALUE!</v>
      </c>
      <c r="O15" s="15" t="str">
        <f ca="1">VLOOKUP($L15,OFFSET([6]characters!$A$1,0,0,COUNTA([6]characters!$A:$A),MATCH(O$1,[6]characters!$1:$1,0)-MATCH($L$1,[6]characters!$1:$1,0)+1),MATCH(O$1,[6]characters!$1:$1,0)-MATCH($L$1,[6]characters!$1:$1,0)+1,FALSE)</f>
        <v>Drop1N</v>
      </c>
      <c r="P15" s="15" t="e">
        <f ca="1">VLOOKUP($L15,OFFSET([5]enemies!$A$1,0,0,COUNTA([5]enemies!$A:$A),MATCH(P$1,[5]enemies!$1:$1,0)-MATCH($L$1,[5]enemies!$1:$1,0)+1),MATCH(P$1,[5]enemies!$1:$1,0)-MATCH($L$1,[5]enemies!$1:$1,0)+1,FALSE)</f>
        <v>#VALUE!</v>
      </c>
      <c r="Q15" s="15" t="e">
        <f ca="1">VLOOKUP($L15,OFFSET([5]enemies!$A$1,0,0,COUNTA([5]enemies!$A:$A),MATCH(Q$1,[5]enemies!$1:$1,0)-MATCH($L$1,[5]enemies!$1:$1,0)+1),MATCH(Q$1,[5]enemies!$1:$1,0)-MATCH($L$1,[5]enemies!$1:$1,0)+1,FALSE)</f>
        <v>#VALUE!</v>
      </c>
      <c r="R15" s="5">
        <v>60</v>
      </c>
      <c r="S15" s="153">
        <v>4</v>
      </c>
      <c r="T15" s="157" t="e">
        <f ca="1">ROUND(VLOOKUP(R15,[5]enemy_base_stats!$A:$F,2,FALSE)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INDIRECT("[EnemyMasterData.xlsm]enemies!AD"&amp;(L15+1))*[6]ステータス!$B$2,0)*S15</f>
        <v>#REF!</v>
      </c>
      <c r="U15" s="129">
        <v>0.6</v>
      </c>
      <c r="V15" s="157" t="e">
        <f ca="1">ROUND(VLOOKUP(R15,[5]enemy_base_stats!$A:$F,3,FALSE)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INDIRECT("[EnemyMasterData.xlsm]enemies!AE"&amp;(L15+1))*[6]ステータス!$C$2,0)*U15</f>
        <v>#REF!</v>
      </c>
      <c r="W15" s="157" t="e">
        <f t="shared" ca="1" si="0"/>
        <v>#REF!</v>
      </c>
      <c r="X15" s="157" t="e">
        <f t="shared" ca="1" si="1"/>
        <v>#REF!</v>
      </c>
      <c r="Y15" s="156">
        <v>0</v>
      </c>
      <c r="Z15" s="4" t="e">
        <f ca="1">VLOOKUP($AA15,OFFSET([4]enemy_skill_sets!$B$1,0,0,COUNTA([4]enemy_skill_sets!$B:$B),MATCH(M$1,[4]enemy_skill_sets!$1:$1,0)-MATCH($AA$1,[4]enemy_skill_sets!$1:$1,0)+2),MATCH(M$1,[4]enemy_skill_sets!$1:$1,0)-MATCH($AA$1,[4]enemy_skill_sets!$1:$1,0)+2,FALSE)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15" s="111">
        <v>41003015</v>
      </c>
      <c r="AB15" s="112">
        <v>1</v>
      </c>
      <c r="AC15" s="113">
        <v>100</v>
      </c>
      <c r="AD15" s="113">
        <v>0</v>
      </c>
      <c r="AE15" s="15">
        <v>2</v>
      </c>
      <c r="AF15" s="114">
        <f t="shared" si="10"/>
        <v>55</v>
      </c>
      <c r="AG15" s="4" t="str">
        <f ca="1">VLOOKUP($AF15,OFFSET([6]characters!$A$1,0,0,COUNTA([6]characters!$A:$A),MATCH(AG$1,[6]characters!$1:$1,0)-MATCH("character_id",[6]characters!$1:$1,0)+1),MATCH(AG$1,[6]characters!$1:$1,0)-MATCH("character_id",[6]characters!$1:$1,0)+1,FALSE)</f>
        <v>マミコ</v>
      </c>
      <c r="AH15" s="4">
        <f ca="1">VLOOKUP($AF15,OFFSET([6]characters!$A$1,0,0,COUNTA([6]characters!$A:$A),MATCH(AH$1,[6]characters!$1:$1,0)-MATCH("character_id",[6]characters!$1:$1,0)+1),MATCH(AH$1,[6]characters!$1:$1,0)-MATCH("character_id",[6]characters!$1:$1,0)+1,FALSE)</f>
        <v>2</v>
      </c>
      <c r="AI15" s="4" t="str">
        <f ca="1">VLOOKUP($AF15,OFFSET([6]characters!$A$1,0,0,COUNTA([6]characters!$A:$A),MATCH(AI$1,[6]characters!$1:$1,0)-MATCH("character_id",[6]characters!$1:$1,0)+1),MATCH(AI$1,[6]characters!$1:$1,0)-MATCH("character_id",[6]characters!$1:$1,0)+1,FALSE)</f>
        <v>Drop1N</v>
      </c>
      <c r="AJ15" s="115">
        <v>1</v>
      </c>
      <c r="AK15" s="114">
        <f t="shared" ca="1" si="11"/>
        <v>2</v>
      </c>
      <c r="AL15" s="118">
        <v>0</v>
      </c>
      <c r="AM15" s="115">
        <v>0</v>
      </c>
      <c r="AN15" s="115">
        <v>0</v>
      </c>
      <c r="AO15" s="115">
        <v>0</v>
      </c>
      <c r="AP15" s="115">
        <v>0</v>
      </c>
      <c r="AQ15" s="115">
        <v>1</v>
      </c>
      <c r="AR15" s="64">
        <v>1</v>
      </c>
    </row>
    <row r="16" spans="1:44" s="117" customFormat="1" ht="21" customHeight="1" thickBot="1" x14ac:dyDescent="0.2">
      <c r="A16" s="108" t="str">
        <f t="shared" si="7"/>
        <v>65535_5-3/258&lt;lv52&gt;s2</v>
      </c>
      <c r="B16" s="6">
        <v>65535</v>
      </c>
      <c r="C16" s="94">
        <v>5</v>
      </c>
      <c r="D16" s="13" t="str">
        <f t="shared" si="8"/>
        <v>65535_5</v>
      </c>
      <c r="E16" s="4" t="str">
        <f ca="1">VLOOKUP($B16,OFFSET([2]quests!$A$1,0,0,COUNTA([2]quests!$A:$A),MATCH(E$1,[2]quests!$1:$1,0)-MATCH($B$1,[2]quests!$1:$1,0)+1),MATCH(E$1,[2]quests!$1:$1,0)-MATCH($B$1,[2]quests!$1:$1,0)+1,FALSE)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6" s="4" t="str">
        <f ca="1">VLOOKUP($D16,OFFSET([2]stages!$A$1,0,0,COUNTA([2]stages!$A:$A),MATCH(F$1,[2]stages!$2:$2,0)-MATCH($D$1,[2]stages!$2:$2,0)+1),MATCH(F$1,[2]stages!$2:$2,0)-MATCH($D$1,[2]stages!$2:$2,0)+1,FALSE)</f>
        <v>ウィルスジャンヌ</v>
      </c>
      <c r="G16" s="109">
        <v>3</v>
      </c>
      <c r="H16" s="13" t="str">
        <f t="shared" si="9"/>
        <v>65535_5-3</v>
      </c>
      <c r="I16" s="4" t="e">
        <f ca="1">VLOOKUP($H16,OFFSET([4]floors!$A$1,0,0,COUNTA([4]floors!$A:$A),MATCH(I$1,[4]floors!$1:$1,0)-MATCH($H$1,[4]floors!$1:$1,0)+1),MATCH(I$1,[4]floors!$1:$1,0)-MATCH($H$1,[4]floors!$1:$1,0)+1,FALSE)</f>
        <v>#VALUE!</v>
      </c>
      <c r="J16" s="4" t="e">
        <f ca="1">VLOOKUP($H16,OFFSET([4]floors!$A$1,0,0,COUNTA([4]floors!$A:$A),MATCH(J$1,[4]floors!$1:$1,0)-MATCH($H$1,[4]floors!$1:$1,0)+1),MATCH(J$1,[4]floors!$1:$1,0)-MATCH($H$1,[4]floors!$1:$1,0)+1,FALSE)</f>
        <v>#VALUE!</v>
      </c>
      <c r="K16" s="33">
        <v>5</v>
      </c>
      <c r="L16" s="110">
        <v>258</v>
      </c>
      <c r="M16" s="15" t="e">
        <f ca="1">VLOOKUP($L16,OFFSET([5]enemies!$A$1,0,0,COUNTA([5]enemies!$A:$A),MATCH(M$1,[5]enemies!$1:$1,0)-MATCH($L$1,[5]enemies!$1:$1,0)+1),MATCH(M$1,[5]enemies!$1:$1,0)-MATCH($L$1,[5]enemies!$1:$1,0)+1,FALSE)</f>
        <v>#VALUE!</v>
      </c>
      <c r="N16" s="15" t="e">
        <f ca="1">VLOOKUP($L16,OFFSET([5]enemies!$A$1,0,0,COUNTA([5]enemies!$A:$A),MATCH(N$1,[5]enemies!$1:$1,0)-MATCH($L$1,[5]enemies!$1:$1,0)+1),MATCH(N$1,[5]enemies!$1:$1,0)-MATCH($L$1,[5]enemies!$1:$1,0)+1,FALSE)</f>
        <v>#VALUE!</v>
      </c>
      <c r="O16" s="15" t="str">
        <f ca="1">VLOOKUP($L16,OFFSET([6]characters!$A$1,0,0,COUNTA([6]characters!$A:$A),MATCH(O$1,[6]characters!$1:$1,0)-MATCH($L$1,[6]characters!$1:$1,0)+1),MATCH(O$1,[6]characters!$1:$1,0)-MATCH($L$1,[6]characters!$1:$1,0)+1,FALSE)</f>
        <v>PremiumS</v>
      </c>
      <c r="P16" s="15" t="e">
        <f ca="1">VLOOKUP($L16,OFFSET([5]enemies!$A$1,0,0,COUNTA([5]enemies!$A:$A),MATCH(P$1,[5]enemies!$1:$1,0)-MATCH($L$1,[5]enemies!$1:$1,0)+1),MATCH(P$1,[5]enemies!$1:$1,0)-MATCH($L$1,[5]enemies!$1:$1,0)+1,FALSE)</f>
        <v>#VALUE!</v>
      </c>
      <c r="Q16" s="15" t="e">
        <f ca="1">VLOOKUP($L16,OFFSET([5]enemies!$A$1,0,0,COUNTA([5]enemies!$A:$A),MATCH(Q$1,[5]enemies!$1:$1,0)-MATCH($L$1,[5]enemies!$1:$1,0)+1),MATCH(Q$1,[5]enemies!$1:$1,0)-MATCH($L$1,[5]enemies!$1:$1,0)+1,FALSE)</f>
        <v>#VALUE!</v>
      </c>
      <c r="R16" s="5">
        <v>52</v>
      </c>
      <c r="S16" s="153">
        <v>2.5</v>
      </c>
      <c r="T16" s="157" t="e">
        <f ca="1">ROUND(VLOOKUP(R16,[5]enemy_base_stats!$A:$F,2,FALSE)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INDIRECT("[EnemyMasterData.xlsm]enemies!AD"&amp;(L16+1))*[6]ステータス!$B$2,0)*S16</f>
        <v>#REF!</v>
      </c>
      <c r="U16" s="129">
        <v>1.2</v>
      </c>
      <c r="V16" s="157" t="e">
        <f ca="1">ROUND(VLOOKUP(R16,[5]enemy_base_stats!$A:$F,3,FALSE)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INDIRECT("[EnemyMasterData.xlsm]enemies!AE"&amp;(L16+1))*[6]ステータス!$C$2,0)*U16</f>
        <v>#REF!</v>
      </c>
      <c r="W16" s="157" t="e">
        <f t="shared" ca="1" si="0"/>
        <v>#REF!</v>
      </c>
      <c r="X16" s="157" t="e">
        <f t="shared" ca="1" si="1"/>
        <v>#REF!</v>
      </c>
      <c r="Y16" s="156">
        <v>0</v>
      </c>
      <c r="Z16" s="4" t="e">
        <f ca="1">VLOOKUP($AA16,OFFSET([4]enemy_skill_sets!$B$1,0,0,COUNTA([4]enemy_skill_sets!$B:$B),MATCH(M$1,[4]enemy_skill_sets!$1:$1,0)-MATCH($AA$1,[4]enemy_skill_sets!$1:$1,0)+2),MATCH(M$1,[4]enemy_skill_sets!$1:$1,0)-MATCH($AA$1,[4]enemy_skill_sets!$1:$1,0)+2,FALSE)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16" s="111">
        <v>41003016</v>
      </c>
      <c r="AB16" s="112">
        <v>0</v>
      </c>
      <c r="AC16" s="113">
        <v>100</v>
      </c>
      <c r="AD16" s="113">
        <v>1</v>
      </c>
      <c r="AE16" s="15">
        <v>2</v>
      </c>
      <c r="AF16" s="114">
        <f t="shared" si="10"/>
        <v>258</v>
      </c>
      <c r="AG16" s="4" t="str">
        <f ca="1">VLOOKUP($AF16,OFFSET([6]characters!$A$1,0,0,COUNTA([6]characters!$A:$A),MATCH(AG$1,[6]characters!$1:$1,0)-MATCH("character_id",[6]characters!$1:$1,0)+1),MATCH(AG$1,[6]characters!$1:$1,0)-MATCH("character_id",[6]characters!$1:$1,0)+1,FALSE)</f>
        <v>色欲の源流 アスモデウス</v>
      </c>
      <c r="AH16" s="4">
        <f ca="1">VLOOKUP($AF16,OFFSET([6]characters!$A$1,0,0,COUNTA([6]characters!$A:$A),MATCH(AH$1,[6]characters!$1:$1,0)-MATCH("character_id",[6]characters!$1:$1,0)+1),MATCH(AH$1,[6]characters!$1:$1,0)-MATCH("character_id",[6]characters!$1:$1,0)+1,FALSE)</f>
        <v>5</v>
      </c>
      <c r="AI16" s="4" t="str">
        <f ca="1">VLOOKUP($AF16,OFFSET([6]characters!$A$1,0,0,COUNTA([6]characters!$A:$A),MATCH(AI$1,[6]characters!$1:$1,0)-MATCH("character_id",[6]characters!$1:$1,0)+1),MATCH(AI$1,[6]characters!$1:$1,0)-MATCH("character_id",[6]characters!$1:$1,0)+1,FALSE)</f>
        <v>PremiumS</v>
      </c>
      <c r="AJ16" s="115">
        <v>1</v>
      </c>
      <c r="AK16" s="114">
        <f t="shared" ca="1" si="11"/>
        <v>5</v>
      </c>
      <c r="AL16" s="64">
        <v>0</v>
      </c>
      <c r="AM16" s="115">
        <v>0</v>
      </c>
      <c r="AN16" s="115">
        <v>0</v>
      </c>
      <c r="AO16" s="115">
        <v>0</v>
      </c>
      <c r="AP16" s="115">
        <v>0</v>
      </c>
      <c r="AQ16" s="115">
        <v>1</v>
      </c>
      <c r="AR16" s="64">
        <v>1</v>
      </c>
    </row>
    <row r="17" spans="1:44" s="140" customFormat="1" ht="21" customHeight="1" thickBot="1" x14ac:dyDescent="0.2">
      <c r="A17" s="120" t="str">
        <f t="shared" si="7"/>
        <v>65535_5-4/315&lt;lv80&gt;s2</v>
      </c>
      <c r="B17" s="6">
        <v>65535</v>
      </c>
      <c r="C17" s="94">
        <v>5</v>
      </c>
      <c r="D17" s="122" t="str">
        <f t="shared" si="8"/>
        <v>65535_5</v>
      </c>
      <c r="E17" s="123" t="str">
        <f ca="1">VLOOKUP($B17,OFFSET([2]quests!$A$1,0,0,COUNTA([2]quests!$A:$A),MATCH(E$1,[2]quests!$1:$1,0)-MATCH($B$1,[2]quests!$1:$1,0)+1),MATCH(E$1,[2]quests!$1:$1,0)-MATCH($B$1,[2]quests!$1:$1,0)+1,FALSE)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7" s="123" t="str">
        <f ca="1">VLOOKUP($D17,OFFSET([2]stages!$A$1,0,0,COUNTA([2]stages!$A:$A),MATCH(F$1,[2]stages!$2:$2,0)-MATCH($D$1,[2]stages!$2:$2,0)+1),MATCH(F$1,[2]stages!$2:$2,0)-MATCH($D$1,[2]stages!$2:$2,0)+1,FALSE)</f>
        <v>ウィルスジャンヌ</v>
      </c>
      <c r="G17" s="121">
        <v>4</v>
      </c>
      <c r="H17" s="122" t="str">
        <f t="shared" si="9"/>
        <v>65535_5-4</v>
      </c>
      <c r="I17" s="123" t="e">
        <f ca="1">VLOOKUP($H17,OFFSET([4]floors!$A$1,0,0,COUNTA([4]floors!$A:$A),MATCH(I$1,[4]floors!$1:$1,0)-MATCH($H$1,[4]floors!$1:$1,0)+1),MATCH(I$1,[4]floors!$1:$1,0)-MATCH($H$1,[4]floors!$1:$1,0)+1,FALSE)</f>
        <v>#VALUE!</v>
      </c>
      <c r="J17" s="123" t="e">
        <f ca="1">VLOOKUP($H17,OFFSET([4]floors!$A$1,0,0,COUNTA([4]floors!$A:$A),MATCH(J$1,[4]floors!$1:$1,0)-MATCH($H$1,[4]floors!$1:$1,0)+1),MATCH(J$1,[4]floors!$1:$1,0)-MATCH($H$1,[4]floors!$1:$1,0)+1,FALSE)</f>
        <v>#VALUE!</v>
      </c>
      <c r="K17" s="124">
        <v>6</v>
      </c>
      <c r="L17" s="125">
        <v>315</v>
      </c>
      <c r="M17" s="126" t="e">
        <f ca="1">VLOOKUP($L17,OFFSET([5]enemies!$A$1,0,0,COUNTA([5]enemies!$A:$A),MATCH(M$1,[5]enemies!$1:$1,0)-MATCH($L$1,[5]enemies!$1:$1,0)+1),MATCH(M$1,[5]enemies!$1:$1,0)-MATCH($L$1,[5]enemies!$1:$1,0)+1,FALSE)</f>
        <v>#VALUE!</v>
      </c>
      <c r="N17" s="126" t="e">
        <f ca="1">VLOOKUP($L17,OFFSET([5]enemies!$A$1,0,0,COUNTA([5]enemies!$A:$A),MATCH(N$1,[5]enemies!$1:$1,0)-MATCH($L$1,[5]enemies!$1:$1,0)+1),MATCH(N$1,[5]enemies!$1:$1,0)-MATCH($L$1,[5]enemies!$1:$1,0)+1,FALSE)</f>
        <v>#VALUE!</v>
      </c>
      <c r="O17" s="126" t="str">
        <f ca="1">VLOOKUP($L17,OFFSET([6]characters!$A$1,0,0,COUNTA([6]characters!$A:$A),MATCH(O$1,[6]characters!$1:$1,0)-MATCH($L$1,[6]characters!$1:$1,0)+1),MATCH(O$1,[6]characters!$1:$1,0)-MATCH($L$1,[6]characters!$1:$1,0)+1,FALSE)</f>
        <v>DropWizS</v>
      </c>
      <c r="P17" s="126" t="e">
        <f ca="1">VLOOKUP($L17,OFFSET([5]enemies!$A$1,0,0,COUNTA([5]enemies!$A:$A),MATCH(P$1,[5]enemies!$1:$1,0)-MATCH($L$1,[5]enemies!$1:$1,0)+1),MATCH(P$1,[5]enemies!$1:$1,0)-MATCH($L$1,[5]enemies!$1:$1,0)+1,FALSE)</f>
        <v>#VALUE!</v>
      </c>
      <c r="Q17" s="126" t="e">
        <f ca="1">VLOOKUP($L17,OFFSET([5]enemies!$A$1,0,0,COUNTA([5]enemies!$A:$A),MATCH(Q$1,[5]enemies!$1:$1,0)-MATCH($L$1,[5]enemies!$1:$1,0)+1),MATCH(Q$1,[5]enemies!$1:$1,0)-MATCH($L$1,[5]enemies!$1:$1,0)+1,FALSE)</f>
        <v>#VALUE!</v>
      </c>
      <c r="R17" s="127">
        <v>80</v>
      </c>
      <c r="S17" s="128">
        <v>3.4</v>
      </c>
      <c r="T17" s="157" t="e">
        <f ca="1">ROUND(VLOOKUP(R17,[5]enemy_base_stats!$A:$F,2,FALSE)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INDIRECT("[EnemyMasterData.xlsm]enemies!AD"&amp;(L17+1))*[6]ステータス!$B$2,0)*S17</f>
        <v>#REF!</v>
      </c>
      <c r="U17" s="129">
        <v>2</v>
      </c>
      <c r="V17" s="157" t="e">
        <f ca="1">ROUND(VLOOKUP(R17,[5]enemy_base_stats!$A:$F,3,FALSE)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INDIRECT("[EnemyMasterData.xlsm]enemies!AE"&amp;(L17+1))*[6]ステータス!$C$2,0)*U17</f>
        <v>#REF!</v>
      </c>
      <c r="W17" s="157" t="e">
        <f t="shared" ca="1" si="0"/>
        <v>#REF!</v>
      </c>
      <c r="X17" s="157" t="e">
        <f t="shared" ca="1" si="1"/>
        <v>#REF!</v>
      </c>
      <c r="Y17" s="130">
        <v>0</v>
      </c>
      <c r="Z17" s="123" t="e">
        <f ca="1">VLOOKUP($AA17,OFFSET([4]enemy_skill_sets!$B$1,0,0,COUNTA([4]enemy_skill_sets!$B:$B),MATCH(M$1,[4]enemy_skill_sets!$1:$1,0)-MATCH($AA$1,[4]enemy_skill_sets!$1:$1,0)+2),MATCH(M$1,[4]enemy_skill_sets!$1:$1,0)-MATCH($AA$1,[4]enemy_skill_sets!$1:$1,0)+2,FALSE)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17" s="131">
        <v>41003017</v>
      </c>
      <c r="AB17" s="132">
        <v>0</v>
      </c>
      <c r="AC17" s="133">
        <v>100</v>
      </c>
      <c r="AD17" s="133">
        <v>1</v>
      </c>
      <c r="AE17" s="134">
        <v>2</v>
      </c>
      <c r="AF17" s="135">
        <v>314</v>
      </c>
      <c r="AG17" s="123" t="str">
        <f ca="1">VLOOKUP($AF17,OFFSET([6]characters!$A$1,0,0,COUNTA([6]characters!$A:$A),MATCH(AG$1,[6]characters!$1:$1,0)-MATCH("character_id",[6]characters!$1:$1,0)+1),MATCH(AG$1,[6]characters!$1:$1,0)-MATCH("character_id",[6]characters!$1:$1,0)+1,FALSE)</f>
        <v>ジャンヌ</v>
      </c>
      <c r="AH17" s="123">
        <f ca="1">VLOOKUP($AF17,OFFSET([6]characters!$A$1,0,0,COUNTA([6]characters!$A:$A),MATCH(AH$1,[6]characters!$1:$1,0)-MATCH("character_id",[6]characters!$1:$1,0)+1),MATCH(AH$1,[6]characters!$1:$1,0)-MATCH("character_id",[6]characters!$1:$1,0)+1,FALSE)</f>
        <v>4</v>
      </c>
      <c r="AI17" s="123" t="str">
        <f ca="1">VLOOKUP($AF17,OFFSET([6]characters!$A$1,0,0,COUNTA([6]characters!$A:$A),MATCH(AI$1,[6]characters!$1:$1,0)-MATCH("character_id",[6]characters!$1:$1,0)+1),MATCH(AI$1,[6]characters!$1:$1,0)-MATCH("character_id",[6]characters!$1:$1,0)+1,FALSE)</f>
        <v>DropWizS</v>
      </c>
      <c r="AJ17" s="136">
        <v>1</v>
      </c>
      <c r="AK17" s="137">
        <f t="shared" ca="1" si="11"/>
        <v>4</v>
      </c>
      <c r="AL17" s="138">
        <v>100</v>
      </c>
      <c r="AM17" s="136">
        <v>0</v>
      </c>
      <c r="AN17" s="136">
        <v>0</v>
      </c>
      <c r="AO17" s="136">
        <v>0</v>
      </c>
      <c r="AP17" s="136">
        <v>0</v>
      </c>
      <c r="AQ17" s="136">
        <v>1</v>
      </c>
      <c r="AR17" s="139">
        <v>1</v>
      </c>
    </row>
    <row r="18" spans="1:44" s="107" customFormat="1" ht="21" customHeight="1" thickBot="1" x14ac:dyDescent="0.2">
      <c r="A18" s="93" t="str">
        <f>B18&amp;"_"&amp;C18&amp;"-"&amp;G18&amp;"/"&amp;L18&amp;"&lt;lv"&amp;R18&amp;"&gt;s"&amp;AE18</f>
        <v>65535_6-1/155&lt;lv70&gt;s2</v>
      </c>
      <c r="B18" s="6">
        <v>65535</v>
      </c>
      <c r="C18" s="94">
        <v>6</v>
      </c>
      <c r="D18" s="95" t="str">
        <f>B18&amp;"_"&amp;C18</f>
        <v>65535_6</v>
      </c>
      <c r="E18" s="96" t="str">
        <f ca="1">VLOOKUP($B18,OFFSET([2]quests!$A$1,0,0,COUNTA([2]quests!$A:$A),MATCH(E$1,[2]quests!$1:$1,0)-MATCH($B$1,[2]quests!$1:$1,0)+1),MATCH(E$1,[2]quests!$1:$1,0)-MATCH($B$1,[2]quests!$1:$1,0)+1,FALSE)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8" s="96" t="str">
        <f ca="1">VLOOKUP($D18,OFFSET([2]stages!$A$1,0,0,COUNTA([2]stages!$A:$A),MATCH(F$1,[2]stages!$2:$2,0)-MATCH($D$1,[2]stages!$2:$2,0)+1),MATCH(F$1,[2]stages!$2:$2,0)-MATCH($D$1,[2]stages!$2:$2,0)+1,FALSE)</f>
        <v>お邪魔ジャンヌ</v>
      </c>
      <c r="G18" s="94">
        <v>1</v>
      </c>
      <c r="H18" s="95" t="str">
        <f>B18&amp;"_"&amp;C18&amp;"-"&amp;G18</f>
        <v>65535_6-1</v>
      </c>
      <c r="I18" s="96" t="e">
        <f ca="1">VLOOKUP($H18,OFFSET([4]floors!$A$1,0,0,COUNTA([4]floors!$A:$A),MATCH(I$1,[4]floors!$1:$1,0)-MATCH($H$1,[4]floors!$1:$1,0)+1),MATCH(I$1,[4]floors!$1:$1,0)-MATCH($H$1,[4]floors!$1:$1,0)+1,FALSE)</f>
        <v>#VALUE!</v>
      </c>
      <c r="J18" s="96" t="e">
        <f ca="1">VLOOKUP($H18,OFFSET([4]floors!$A$1,0,0,COUNTA([4]floors!$A:$A),MATCH(J$1,[4]floors!$1:$1,0)-MATCH($H$1,[4]floors!$1:$1,0)+1),MATCH(J$1,[4]floors!$1:$1,0)-MATCH($H$1,[4]floors!$1:$1,0)+1,FALSE)</f>
        <v>#VALUE!</v>
      </c>
      <c r="K18" s="97" t="s">
        <v>220</v>
      </c>
      <c r="L18" s="98">
        <v>155</v>
      </c>
      <c r="M18" s="99" t="e">
        <f ca="1">VLOOKUP($L18,OFFSET([5]enemies!$A$1,0,0,COUNTA([5]enemies!$A:$A),MATCH(M$1,[5]enemies!$1:$1,0)-MATCH($L$1,[5]enemies!$1:$1,0)+1),MATCH(M$1,[5]enemies!$1:$1,0)-MATCH($L$1,[5]enemies!$1:$1,0)+1,FALSE)</f>
        <v>#VALUE!</v>
      </c>
      <c r="N18" s="99" t="e">
        <f ca="1">VLOOKUP($L18,OFFSET([5]enemies!$A$1,0,0,COUNTA([5]enemies!$A:$A),MATCH(N$1,[5]enemies!$1:$1,0)-MATCH($L$1,[5]enemies!$1:$1,0)+1),MATCH(N$1,[5]enemies!$1:$1,0)-MATCH($L$1,[5]enemies!$1:$1,0)+1,FALSE)</f>
        <v>#VALUE!</v>
      </c>
      <c r="O18" s="99" t="str">
        <f ca="1">VLOOKUP($L18,OFFSET([6]characters!$A$1,0,0,COUNTA([6]characters!$A:$A),MATCH(O$1,[6]characters!$1:$1,0)-MATCH($L$1,[6]characters!$1:$1,0)+1),MATCH(O$1,[6]characters!$1:$1,0)-MATCH($L$1,[6]characters!$1:$1,0)+1,FALSE)</f>
        <v>PremiumW</v>
      </c>
      <c r="P18" s="99" t="e">
        <f ca="1">VLOOKUP($L18,OFFSET([5]enemies!$A$1,0,0,COUNTA([5]enemies!$A:$A),MATCH(P$1,[5]enemies!$1:$1,0)-MATCH($L$1,[5]enemies!$1:$1,0)+1),MATCH(P$1,[5]enemies!$1:$1,0)-MATCH($L$1,[5]enemies!$1:$1,0)+1,FALSE)</f>
        <v>#VALUE!</v>
      </c>
      <c r="Q18" s="99" t="e">
        <f ca="1">VLOOKUP($L18,OFFSET([5]enemies!$A$1,0,0,COUNTA([5]enemies!$A:$A),MATCH(Q$1,[5]enemies!$1:$1,0)-MATCH($L$1,[5]enemies!$1:$1,0)+1),MATCH(Q$1,[5]enemies!$1:$1,0)-MATCH($L$1,[5]enemies!$1:$1,0)+1,FALSE)</f>
        <v>#VALUE!</v>
      </c>
      <c r="R18" s="100">
        <v>70</v>
      </c>
      <c r="S18" s="152">
        <v>3</v>
      </c>
      <c r="T18" s="157" t="e">
        <f ca="1">ROUND(VLOOKUP(R18,[5]enemy_base_stats!$A:$F,2,FALSE)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INDIRECT("[EnemyMasterData.xlsm]enemies!AD"&amp;(L18+1))*[6]ステータス!$B$2,0)*S18</f>
        <v>#REF!</v>
      </c>
      <c r="U18" s="129">
        <v>1.2</v>
      </c>
      <c r="V18" s="157" t="e">
        <f ca="1">ROUND(VLOOKUP(R18,[5]enemy_base_stats!$A:$F,3,FALSE)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INDIRECT("[EnemyMasterData.xlsm]enemies!AE"&amp;(L18+1))*[6]ステータス!$C$2,0)*U18</f>
        <v>#REF!</v>
      </c>
      <c r="W18" s="157" t="e">
        <f t="shared" ca="1" si="0"/>
        <v>#REF!</v>
      </c>
      <c r="X18" s="157" t="e">
        <f t="shared" ca="1" si="1"/>
        <v>#REF!</v>
      </c>
      <c r="Y18" s="155">
        <v>0</v>
      </c>
      <c r="Z18" s="96" t="e">
        <f ca="1">VLOOKUP($AA18,OFFSET([4]enemy_skill_sets!$B$1,0,0,COUNTA([4]enemy_skill_sets!$B:$B),MATCH(M$1,[4]enemy_skill_sets!$1:$1,0)-MATCH($AA$1,[4]enemy_skill_sets!$1:$1,0)+2),MATCH(M$1,[4]enemy_skill_sets!$1:$1,0)-MATCH($AA$1,[4]enemy_skill_sets!$1:$1,0)+2,FALSE)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18" s="101">
        <v>41003011</v>
      </c>
      <c r="AB18" s="102">
        <v>1</v>
      </c>
      <c r="AC18" s="103">
        <v>100</v>
      </c>
      <c r="AD18" s="103">
        <v>0</v>
      </c>
      <c r="AE18" s="99">
        <v>2</v>
      </c>
      <c r="AF18" s="104">
        <f>L18</f>
        <v>155</v>
      </c>
      <c r="AG18" s="96" t="str">
        <f ca="1">VLOOKUP($AF18,OFFSET([6]characters!$A$1,0,0,COUNTA([6]characters!$A:$A),MATCH(AG$1,[6]characters!$1:$1,0)-MATCH("character_id",[6]characters!$1:$1,0)+1),MATCH(AG$1,[6]characters!$1:$1,0)-MATCH("character_id",[6]characters!$1:$1,0)+1,FALSE)</f>
        <v>隻眼の掃除屋 ハンナ</v>
      </c>
      <c r="AH18" s="96">
        <f ca="1">VLOOKUP($AF18,OFFSET([6]characters!$A$1,0,0,COUNTA([6]characters!$A:$A),MATCH(AH$1,[6]characters!$1:$1,0)-MATCH("character_id",[6]characters!$1:$1,0)+1),MATCH(AH$1,[6]characters!$1:$1,0)-MATCH("character_id",[6]characters!$1:$1,0)+1,FALSE)</f>
        <v>4</v>
      </c>
      <c r="AI18" s="96" t="str">
        <f ca="1">VLOOKUP($AF18,OFFSET([6]characters!$A$1,0,0,COUNTA([6]characters!$A:$A),MATCH(AI$1,[6]characters!$1:$1,0)-MATCH("character_id",[6]characters!$1:$1,0)+1),MATCH(AI$1,[6]characters!$1:$1,0)-MATCH("character_id",[6]characters!$1:$1,0)+1,FALSE)</f>
        <v>PremiumW</v>
      </c>
      <c r="AJ18" s="105">
        <v>1</v>
      </c>
      <c r="AK18" s="104">
        <f ca="1">AH18</f>
        <v>4</v>
      </c>
      <c r="AL18" s="64">
        <v>0</v>
      </c>
      <c r="AM18" s="105">
        <v>0</v>
      </c>
      <c r="AN18" s="105">
        <v>0</v>
      </c>
      <c r="AO18" s="105">
        <v>0</v>
      </c>
      <c r="AP18" s="105">
        <v>0</v>
      </c>
      <c r="AQ18" s="105">
        <v>1</v>
      </c>
      <c r="AR18" s="106">
        <v>1</v>
      </c>
    </row>
    <row r="19" spans="1:44" s="117" customFormat="1" ht="21" customHeight="1" thickBot="1" x14ac:dyDescent="0.2">
      <c r="A19" s="108" t="str">
        <f>B19&amp;"_"&amp;C19&amp;"-"&amp;G19&amp;"/"&amp;L19&amp;"&lt;lv"&amp;R19&amp;"&gt;s"&amp;AE19</f>
        <v>65535_6-1/92&lt;lv70&gt;s3</v>
      </c>
      <c r="B19" s="6">
        <v>65535</v>
      </c>
      <c r="C19" s="94">
        <v>6</v>
      </c>
      <c r="D19" s="13" t="str">
        <f>B19&amp;"_"&amp;C19</f>
        <v>65535_6</v>
      </c>
      <c r="E19" s="4" t="str">
        <f ca="1">VLOOKUP($B19,OFFSET([2]quests!$A$1,0,0,COUNTA([2]quests!$A:$A),MATCH(E$1,[2]quests!$1:$1,0)-MATCH($B$1,[2]quests!$1:$1,0)+1),MATCH(E$1,[2]quests!$1:$1,0)-MATCH($B$1,[2]quests!$1:$1,0)+1,FALSE)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9" s="4" t="str">
        <f ca="1">VLOOKUP($D19,OFFSET([2]stages!$A$1,0,0,COUNTA([2]stages!$A:$A),MATCH(F$1,[2]stages!$2:$2,0)-MATCH($D$1,[2]stages!$2:$2,0)+1),MATCH(F$1,[2]stages!$2:$2,0)-MATCH($D$1,[2]stages!$2:$2,0)+1,FALSE)</f>
        <v>お邪魔ジャンヌ</v>
      </c>
      <c r="G19" s="109">
        <v>1</v>
      </c>
      <c r="H19" s="13" t="str">
        <f>B19&amp;"_"&amp;C19&amp;"-"&amp;G19</f>
        <v>65535_6-1</v>
      </c>
      <c r="I19" s="4" t="e">
        <f ca="1">VLOOKUP($H19,OFFSET([4]floors!$A$1,0,0,COUNTA([4]floors!$A:$A),MATCH(I$1,[4]floors!$1:$1,0)-MATCH($H$1,[4]floors!$1:$1,0)+1),MATCH(I$1,[4]floors!$1:$1,0)-MATCH($H$1,[4]floors!$1:$1,0)+1,FALSE)</f>
        <v>#VALUE!</v>
      </c>
      <c r="J19" s="4" t="e">
        <f ca="1">VLOOKUP($H19,OFFSET([4]floors!$A$1,0,0,COUNTA([4]floors!$A:$A),MATCH(J$1,[4]floors!$1:$1,0)-MATCH($H$1,[4]floors!$1:$1,0)+1),MATCH(J$1,[4]floors!$1:$1,0)-MATCH($H$1,[4]floors!$1:$1,0)+1,FALSE)</f>
        <v>#VALUE!</v>
      </c>
      <c r="K19" s="33" t="s">
        <v>220</v>
      </c>
      <c r="L19" s="110">
        <v>92</v>
      </c>
      <c r="M19" s="15" t="e">
        <f ca="1">VLOOKUP($L19,OFFSET([5]enemies!$A$1,0,0,COUNTA([5]enemies!$A:$A),MATCH(M$1,[5]enemies!$1:$1,0)-MATCH($L$1,[5]enemies!$1:$1,0)+1),MATCH(M$1,[5]enemies!$1:$1,0)-MATCH($L$1,[5]enemies!$1:$1,0)+1,FALSE)</f>
        <v>#VALUE!</v>
      </c>
      <c r="N19" s="15" t="e">
        <f ca="1">VLOOKUP($L19,OFFSET([5]enemies!$A$1,0,0,COUNTA([5]enemies!$A:$A),MATCH(N$1,[5]enemies!$1:$1,0)-MATCH($L$1,[5]enemies!$1:$1,0)+1),MATCH(N$1,[5]enemies!$1:$1,0)-MATCH($L$1,[5]enemies!$1:$1,0)+1,FALSE)</f>
        <v>#VALUE!</v>
      </c>
      <c r="O19" s="15" t="str">
        <f ca="1">VLOOKUP($L19,OFFSET([6]characters!$A$1,0,0,COUNTA([6]characters!$A:$A),MATCH(O$1,[6]characters!$1:$1,0)-MATCH($L$1,[6]characters!$1:$1,0)+1),MATCH(O$1,[6]characters!$1:$1,0)-MATCH($L$1,[6]characters!$1:$1,0)+1,FALSE)</f>
        <v>Drop2N</v>
      </c>
      <c r="P19" s="15" t="e">
        <f ca="1">VLOOKUP($L19,OFFSET([5]enemies!$A$1,0,0,COUNTA([5]enemies!$A:$A),MATCH(P$1,[5]enemies!$1:$1,0)-MATCH($L$1,[5]enemies!$1:$1,0)+1),MATCH(P$1,[5]enemies!$1:$1,0)-MATCH($L$1,[5]enemies!$1:$1,0)+1,FALSE)</f>
        <v>#VALUE!</v>
      </c>
      <c r="Q19" s="15" t="e">
        <f ca="1">VLOOKUP($L19,OFFSET([5]enemies!$A$1,0,0,COUNTA([5]enemies!$A:$A),MATCH(Q$1,[5]enemies!$1:$1,0)-MATCH($L$1,[5]enemies!$1:$1,0)+1),MATCH(Q$1,[5]enemies!$1:$1,0)-MATCH($L$1,[5]enemies!$1:$1,0)+1,FALSE)</f>
        <v>#VALUE!</v>
      </c>
      <c r="R19" s="5">
        <v>70</v>
      </c>
      <c r="S19" s="153">
        <v>1.9</v>
      </c>
      <c r="T19" s="157" t="e">
        <f ca="1">ROUND(VLOOKUP(R19,[5]enemy_base_stats!$A:$F,2,FALSE)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INDIRECT("[EnemyMasterData.xlsm]enemies!AD"&amp;(L19+1))*[6]ステータス!$B$2,0)*S19</f>
        <v>#REF!</v>
      </c>
      <c r="U19" s="129">
        <v>1.2</v>
      </c>
      <c r="V19" s="157" t="e">
        <f ca="1">ROUND(VLOOKUP(R19,[5]enemy_base_stats!$A:$F,3,FALSE)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INDIRECT("[EnemyMasterData.xlsm]enemies!AE"&amp;(L19+1))*[6]ステータス!$C$2,0)*U19</f>
        <v>#REF!</v>
      </c>
      <c r="W19" s="157" t="e">
        <f t="shared" ca="1" si="0"/>
        <v>#REF!</v>
      </c>
      <c r="X19" s="157" t="e">
        <f t="shared" ca="1" si="1"/>
        <v>#REF!</v>
      </c>
      <c r="Y19" s="156">
        <v>0</v>
      </c>
      <c r="Z19" s="4" t="e">
        <f ca="1">VLOOKUP($AA19,OFFSET([4]enemy_skill_sets!$B$1,0,0,COUNTA([4]enemy_skill_sets!$B:$B),MATCH(M$1,[4]enemy_skill_sets!$1:$1,0)-MATCH($AA$1,[4]enemy_skill_sets!$1:$1,0)+2),MATCH(M$1,[4]enemy_skill_sets!$1:$1,0)-MATCH($AA$1,[4]enemy_skill_sets!$1:$1,0)+2,FALSE)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19" s="111">
        <v>65535102</v>
      </c>
      <c r="AB19" s="112">
        <v>1</v>
      </c>
      <c r="AC19" s="113">
        <v>100</v>
      </c>
      <c r="AD19" s="113">
        <v>0</v>
      </c>
      <c r="AE19" s="15">
        <v>3</v>
      </c>
      <c r="AF19" s="114">
        <f>L19</f>
        <v>92</v>
      </c>
      <c r="AG19" s="4" t="str">
        <f ca="1">VLOOKUP($AF19,OFFSET([6]characters!$A$1,0,0,COUNTA([6]characters!$A:$A),MATCH(AG$1,[6]characters!$1:$1,0)-MATCH("character_id",[6]characters!$1:$1,0)+1),MATCH(AG$1,[6]characters!$1:$1,0)-MATCH("character_id",[6]characters!$1:$1,0)+1,FALSE)</f>
        <v>守護者 青龍</v>
      </c>
      <c r="AH19" s="4">
        <f ca="1">VLOOKUP($AF19,OFFSET([6]characters!$A$1,0,0,COUNTA([6]characters!$A:$A),MATCH(AH$1,[6]characters!$1:$1,0)-MATCH("character_id",[6]characters!$1:$1,0)+1),MATCH(AH$1,[6]characters!$1:$1,0)-MATCH("character_id",[6]characters!$1:$1,0)+1,FALSE)</f>
        <v>4</v>
      </c>
      <c r="AI19" s="4" t="str">
        <f ca="1">VLOOKUP($AF19,OFFSET([6]characters!$A$1,0,0,COUNTA([6]characters!$A:$A),MATCH(AI$1,[6]characters!$1:$1,0)-MATCH("character_id",[6]characters!$1:$1,0)+1),MATCH(AI$1,[6]characters!$1:$1,0)-MATCH("character_id",[6]characters!$1:$1,0)+1,FALSE)</f>
        <v>Drop2N</v>
      </c>
      <c r="AJ19" s="115">
        <v>1</v>
      </c>
      <c r="AK19" s="114">
        <f ca="1">AH19</f>
        <v>4</v>
      </c>
      <c r="AL19" s="116">
        <v>0</v>
      </c>
      <c r="AM19" s="115">
        <v>0</v>
      </c>
      <c r="AN19" s="115">
        <v>0</v>
      </c>
      <c r="AO19" s="115">
        <v>0</v>
      </c>
      <c r="AP19" s="115">
        <v>0</v>
      </c>
      <c r="AQ19" s="115">
        <v>1</v>
      </c>
      <c r="AR19" s="64">
        <v>1</v>
      </c>
    </row>
    <row r="20" spans="1:44" s="117" customFormat="1" ht="21" customHeight="1" thickBot="1" x14ac:dyDescent="0.2">
      <c r="A20" s="108" t="str">
        <f t="shared" ref="A20:A25" si="12">B20&amp;"_"&amp;C20&amp;"-"&amp;G20&amp;"/"&amp;L20&amp;"&lt;lv"&amp;R20&amp;"&gt;s"&amp;AE20</f>
        <v>65535_6-2/53&lt;lv60&gt;s2</v>
      </c>
      <c r="B20" s="6">
        <v>65535</v>
      </c>
      <c r="C20" s="94">
        <v>6</v>
      </c>
      <c r="D20" s="13" t="str">
        <f t="shared" ref="D20:D25" si="13">B20&amp;"_"&amp;C20</f>
        <v>65535_6</v>
      </c>
      <c r="E20" s="4" t="str">
        <f ca="1">VLOOKUP($B20,OFFSET([2]quests!$A$1,0,0,COUNTA([2]quests!$A:$A),MATCH(E$1,[2]quests!$1:$1,0)-MATCH($B$1,[2]quests!$1:$1,0)+1),MATCH(E$1,[2]quests!$1:$1,0)-MATCH($B$1,[2]quests!$1:$1,0)+1,FALSE)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0" s="4" t="str">
        <f ca="1">VLOOKUP($D20,OFFSET([2]stages!$A$1,0,0,COUNTA([2]stages!$A:$A),MATCH(F$1,[2]stages!$2:$2,0)-MATCH($D$1,[2]stages!$2:$2,0)+1),MATCH(F$1,[2]stages!$2:$2,0)-MATCH($D$1,[2]stages!$2:$2,0)+1,FALSE)</f>
        <v>お邪魔ジャンヌ</v>
      </c>
      <c r="G20" s="109">
        <v>2</v>
      </c>
      <c r="H20" s="13" t="str">
        <f t="shared" ref="H20:H25" si="14">B20&amp;"_"&amp;C20&amp;"-"&amp;G20</f>
        <v>65535_6-2</v>
      </c>
      <c r="I20" s="4" t="e">
        <f ca="1">VLOOKUP($H20,OFFSET([4]floors!$A$1,0,0,COUNTA([4]floors!$A:$A),MATCH(I$1,[4]floors!$1:$1,0)-MATCH($H$1,[4]floors!$1:$1,0)+1),MATCH(I$1,[4]floors!$1:$1,0)-MATCH($H$1,[4]floors!$1:$1,0)+1,FALSE)</f>
        <v>#VALUE!</v>
      </c>
      <c r="J20" s="4" t="e">
        <f ca="1">VLOOKUP($H20,OFFSET([4]floors!$A$1,0,0,COUNTA([4]floors!$A:$A),MATCH(J$1,[4]floors!$1:$1,0)-MATCH($H$1,[4]floors!$1:$1,0)+1),MATCH(J$1,[4]floors!$1:$1,0)-MATCH($H$1,[4]floors!$1:$1,0)+1,FALSE)</f>
        <v>#VALUE!</v>
      </c>
      <c r="K20" s="33" t="s">
        <v>53</v>
      </c>
      <c r="L20" s="110">
        <v>53</v>
      </c>
      <c r="M20" s="15" t="e">
        <f ca="1">VLOOKUP($L20,OFFSET([5]enemies!$A$1,0,0,COUNTA([5]enemies!$A:$A),MATCH(M$1,[5]enemies!$1:$1,0)-MATCH($L$1,[5]enemies!$1:$1,0)+1),MATCH(M$1,[5]enemies!$1:$1,0)-MATCH($L$1,[5]enemies!$1:$1,0)+1,FALSE)</f>
        <v>#VALUE!</v>
      </c>
      <c r="N20" s="15" t="e">
        <f ca="1">VLOOKUP($L20,OFFSET([5]enemies!$A$1,0,0,COUNTA([5]enemies!$A:$A),MATCH(N$1,[5]enemies!$1:$1,0)-MATCH($L$1,[5]enemies!$1:$1,0)+1),MATCH(N$1,[5]enemies!$1:$1,0)-MATCH($L$1,[5]enemies!$1:$1,0)+1,FALSE)</f>
        <v>#VALUE!</v>
      </c>
      <c r="O20" s="15" t="str">
        <f ca="1">VLOOKUP($L20,OFFSET([6]characters!$A$1,0,0,COUNTA([6]characters!$A:$A),MATCH(O$1,[6]characters!$1:$1,0)-MATCH($L$1,[6]characters!$1:$1,0)+1),MATCH(O$1,[6]characters!$1:$1,0)-MATCH($L$1,[6]characters!$1:$1,0)+1,FALSE)</f>
        <v>Drop1N</v>
      </c>
      <c r="P20" s="15" t="e">
        <f ca="1">VLOOKUP($L20,OFFSET([5]enemies!$A$1,0,0,COUNTA([5]enemies!$A:$A),MATCH(P$1,[5]enemies!$1:$1,0)-MATCH($L$1,[5]enemies!$1:$1,0)+1),MATCH(P$1,[5]enemies!$1:$1,0)-MATCH($L$1,[5]enemies!$1:$1,0)+1,FALSE)</f>
        <v>#VALUE!</v>
      </c>
      <c r="Q20" s="15" t="e">
        <f ca="1">VLOOKUP($L20,OFFSET([5]enemies!$A$1,0,0,COUNTA([5]enemies!$A:$A),MATCH(Q$1,[5]enemies!$1:$1,0)-MATCH($L$1,[5]enemies!$1:$1,0)+1),MATCH(Q$1,[5]enemies!$1:$1,0)-MATCH($L$1,[5]enemies!$1:$1,0)+1,FALSE)</f>
        <v>#VALUE!</v>
      </c>
      <c r="R20" s="5">
        <v>60</v>
      </c>
      <c r="S20" s="153">
        <v>2</v>
      </c>
      <c r="T20" s="157" t="e">
        <f ca="1">ROUND(VLOOKUP(R20,[5]enemy_base_stats!$A:$F,2,FALSE)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INDIRECT("[EnemyMasterData.xlsm]enemies!AD"&amp;(L20+1))*[6]ステータス!$B$2,0)*S20</f>
        <v>#REF!</v>
      </c>
      <c r="U20" s="129">
        <v>1</v>
      </c>
      <c r="V20" s="157" t="e">
        <f ca="1">ROUND(VLOOKUP(R20,[5]enemy_base_stats!$A:$F,3,FALSE)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INDIRECT("[EnemyMasterData.xlsm]enemies!AE"&amp;(L20+1))*[6]ステータス!$C$2,0)*U20</f>
        <v>#REF!</v>
      </c>
      <c r="W20" s="157" t="e">
        <f t="shared" ca="1" si="0"/>
        <v>#REF!</v>
      </c>
      <c r="X20" s="157" t="e">
        <f t="shared" ca="1" si="1"/>
        <v>#REF!</v>
      </c>
      <c r="Y20" s="156">
        <v>0</v>
      </c>
      <c r="Z20" s="4" t="e">
        <f ca="1">VLOOKUP($AA20,OFFSET([4]enemy_skill_sets!$B$1,0,0,COUNTA([4]enemy_skill_sets!$B:$B),MATCH(M$1,[4]enemy_skill_sets!$1:$1,0)-MATCH($AA$1,[4]enemy_skill_sets!$1:$1,0)+2),MATCH(M$1,[4]enemy_skill_sets!$1:$1,0)-MATCH($AA$1,[4]enemy_skill_sets!$1:$1,0)+2,FALSE)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20" s="111">
        <v>0</v>
      </c>
      <c r="AB20" s="112">
        <v>1</v>
      </c>
      <c r="AC20" s="113">
        <v>100</v>
      </c>
      <c r="AD20" s="113">
        <v>0</v>
      </c>
      <c r="AE20" s="15">
        <v>2</v>
      </c>
      <c r="AF20" s="114">
        <f t="shared" ref="AF20:AF24" si="15">L20</f>
        <v>53</v>
      </c>
      <c r="AG20" s="4" t="str">
        <f ca="1">VLOOKUP($AF20,OFFSET([6]characters!$A$1,0,0,COUNTA([6]characters!$A:$A),MATCH(AG$1,[6]characters!$1:$1,0)-MATCH("character_id",[6]characters!$1:$1,0)+1),MATCH(AG$1,[6]characters!$1:$1,0)-MATCH("character_id",[6]characters!$1:$1,0)+1,FALSE)</f>
        <v>ケンジ</v>
      </c>
      <c r="AH20" s="4">
        <f ca="1">VLOOKUP($AF20,OFFSET([6]characters!$A$1,0,0,COUNTA([6]characters!$A:$A),MATCH(AH$1,[6]characters!$1:$1,0)-MATCH("character_id",[6]characters!$1:$1,0)+1),MATCH(AH$1,[6]characters!$1:$1,0)-MATCH("character_id",[6]characters!$1:$1,0)+1,FALSE)</f>
        <v>2</v>
      </c>
      <c r="AI20" s="4" t="str">
        <f ca="1">VLOOKUP($AF20,OFFSET([6]characters!$A$1,0,0,COUNTA([6]characters!$A:$A),MATCH(AI$1,[6]characters!$1:$1,0)-MATCH("character_id",[6]characters!$1:$1,0)+1),MATCH(AI$1,[6]characters!$1:$1,0)-MATCH("character_id",[6]characters!$1:$1,0)+1,FALSE)</f>
        <v>Drop1N</v>
      </c>
      <c r="AJ20" s="115">
        <v>1</v>
      </c>
      <c r="AK20" s="114">
        <f t="shared" ref="AK20:AK25" ca="1" si="16">AH20</f>
        <v>2</v>
      </c>
      <c r="AL20" s="64">
        <v>0</v>
      </c>
      <c r="AM20" s="115">
        <v>0</v>
      </c>
      <c r="AN20" s="115">
        <v>0</v>
      </c>
      <c r="AO20" s="115">
        <v>0</v>
      </c>
      <c r="AP20" s="115">
        <v>0</v>
      </c>
      <c r="AQ20" s="115">
        <v>1</v>
      </c>
      <c r="AR20" s="64">
        <v>1</v>
      </c>
    </row>
    <row r="21" spans="1:44" s="117" customFormat="1" ht="21" customHeight="1" thickBot="1" x14ac:dyDescent="0.2">
      <c r="A21" s="108" t="str">
        <f t="shared" si="12"/>
        <v>65535_6-2/49&lt;lv60&gt;s2</v>
      </c>
      <c r="B21" s="6">
        <v>65535</v>
      </c>
      <c r="C21" s="94">
        <v>6</v>
      </c>
      <c r="D21" s="13" t="str">
        <f t="shared" si="13"/>
        <v>65535_6</v>
      </c>
      <c r="E21" s="4" t="str">
        <f ca="1">VLOOKUP($B21,OFFSET([2]quests!$A$1,0,0,COUNTA([2]quests!$A:$A),MATCH(E$1,[2]quests!$1:$1,0)-MATCH($B$1,[2]quests!$1:$1,0)+1),MATCH(E$1,[2]quests!$1:$1,0)-MATCH($B$1,[2]quests!$1:$1,0)+1,FALSE)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1" s="4" t="str">
        <f ca="1">VLOOKUP($D21,OFFSET([2]stages!$A$1,0,0,COUNTA([2]stages!$A:$A),MATCH(F$1,[2]stages!$2:$2,0)-MATCH($D$1,[2]stages!$2:$2,0)+1),MATCH(F$1,[2]stages!$2:$2,0)-MATCH($D$1,[2]stages!$2:$2,0)+1,FALSE)</f>
        <v>お邪魔ジャンヌ</v>
      </c>
      <c r="G21" s="109">
        <v>2</v>
      </c>
      <c r="H21" s="13" t="str">
        <f t="shared" si="14"/>
        <v>65535_6-2</v>
      </c>
      <c r="I21" s="4" t="e">
        <f ca="1">VLOOKUP($H21,OFFSET([4]floors!$A$1,0,0,COUNTA([4]floors!$A:$A),MATCH(I$1,[4]floors!$1:$1,0)-MATCH($H$1,[4]floors!$1:$1,0)+1),MATCH(I$1,[4]floors!$1:$1,0)-MATCH($H$1,[4]floors!$1:$1,0)+1,FALSE)</f>
        <v>#VALUE!</v>
      </c>
      <c r="J21" s="4" t="e">
        <f ca="1">VLOOKUP($H21,OFFSET([4]floors!$A$1,0,0,COUNTA([4]floors!$A:$A),MATCH(J$1,[4]floors!$1:$1,0)-MATCH($H$1,[4]floors!$1:$1,0)+1),MATCH(J$1,[4]floors!$1:$1,0)-MATCH($H$1,[4]floors!$1:$1,0)+1,FALSE)</f>
        <v>#VALUE!</v>
      </c>
      <c r="K21" s="33" t="s">
        <v>53</v>
      </c>
      <c r="L21" s="110">
        <v>49</v>
      </c>
      <c r="M21" s="15" t="e">
        <f ca="1">VLOOKUP($L21,OFFSET([5]enemies!$A$1,0,0,COUNTA([5]enemies!$A:$A),MATCH(M$1,[5]enemies!$1:$1,0)-MATCH($L$1,[5]enemies!$1:$1,0)+1),MATCH(M$1,[5]enemies!$1:$1,0)-MATCH($L$1,[5]enemies!$1:$1,0)+1,FALSE)</f>
        <v>#VALUE!</v>
      </c>
      <c r="N21" s="15" t="e">
        <f ca="1">VLOOKUP($L21,OFFSET([5]enemies!$A$1,0,0,COUNTA([5]enemies!$A:$A),MATCH(N$1,[5]enemies!$1:$1,0)-MATCH($L$1,[5]enemies!$1:$1,0)+1),MATCH(N$1,[5]enemies!$1:$1,0)-MATCH($L$1,[5]enemies!$1:$1,0)+1,FALSE)</f>
        <v>#VALUE!</v>
      </c>
      <c r="O21" s="15" t="str">
        <f ca="1">VLOOKUP($L21,OFFSET([6]characters!$A$1,0,0,COUNTA([6]characters!$A:$A),MATCH(O$1,[6]characters!$1:$1,0)-MATCH($L$1,[6]characters!$1:$1,0)+1),MATCH(O$1,[6]characters!$1:$1,0)-MATCH($L$1,[6]characters!$1:$1,0)+1,FALSE)</f>
        <v>Drop1N</v>
      </c>
      <c r="P21" s="15" t="e">
        <f ca="1">VLOOKUP($L21,OFFSET([5]enemies!$A$1,0,0,COUNTA([5]enemies!$A:$A),MATCH(P$1,[5]enemies!$1:$1,0)-MATCH($L$1,[5]enemies!$1:$1,0)+1),MATCH(P$1,[5]enemies!$1:$1,0)-MATCH($L$1,[5]enemies!$1:$1,0)+1,FALSE)</f>
        <v>#VALUE!</v>
      </c>
      <c r="Q21" s="15" t="e">
        <f ca="1">VLOOKUP($L21,OFFSET([5]enemies!$A$1,0,0,COUNTA([5]enemies!$A:$A),MATCH(Q$1,[5]enemies!$1:$1,0)-MATCH($L$1,[5]enemies!$1:$1,0)+1),MATCH(Q$1,[5]enemies!$1:$1,0)-MATCH($L$1,[5]enemies!$1:$1,0)+1,FALSE)</f>
        <v>#VALUE!</v>
      </c>
      <c r="R21" s="5">
        <v>60</v>
      </c>
      <c r="S21" s="153">
        <v>3.6</v>
      </c>
      <c r="T21" s="157" t="e">
        <f ca="1">ROUND(VLOOKUP(R21,[5]enemy_base_stats!$A:$F,2,FALSE)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INDIRECT("[EnemyMasterData.xlsm]enemies!AD"&amp;(L21+1))*[6]ステータス!$B$2,0)*S21</f>
        <v>#REF!</v>
      </c>
      <c r="U21" s="129">
        <v>1</v>
      </c>
      <c r="V21" s="157" t="e">
        <f ca="1">ROUND(VLOOKUP(R21,[5]enemy_base_stats!$A:$F,3,FALSE)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INDIRECT("[EnemyMasterData.xlsm]enemies!AE"&amp;(L21+1))*[6]ステータス!$C$2,0)*U21</f>
        <v>#REF!</v>
      </c>
      <c r="W21" s="157" t="e">
        <f t="shared" ca="1" si="0"/>
        <v>#REF!</v>
      </c>
      <c r="X21" s="157" t="e">
        <f t="shared" ca="1" si="1"/>
        <v>#REF!</v>
      </c>
      <c r="Y21" s="156">
        <v>0</v>
      </c>
      <c r="Z21" s="4" t="e">
        <f ca="1">VLOOKUP($AA21,OFFSET([4]enemy_skill_sets!$B$1,0,0,COUNTA([4]enemy_skill_sets!$B:$B),MATCH(M$1,[4]enemy_skill_sets!$1:$1,0)-MATCH($AA$1,[4]enemy_skill_sets!$1:$1,0)+2),MATCH(M$1,[4]enemy_skill_sets!$1:$1,0)-MATCH($AA$1,[4]enemy_skill_sets!$1:$1,0)+2,FALSE)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21" s="111">
        <v>41003013</v>
      </c>
      <c r="AB21" s="112">
        <v>1</v>
      </c>
      <c r="AC21" s="113">
        <v>100</v>
      </c>
      <c r="AD21" s="113">
        <v>0</v>
      </c>
      <c r="AE21" s="15">
        <v>2</v>
      </c>
      <c r="AF21" s="114">
        <f t="shared" si="15"/>
        <v>49</v>
      </c>
      <c r="AG21" s="4" t="str">
        <f ca="1">VLOOKUP($AF21,OFFSET([6]characters!$A$1,0,0,COUNTA([6]characters!$A:$A),MATCH(AG$1,[6]characters!$1:$1,0)-MATCH("character_id",[6]characters!$1:$1,0)+1),MATCH(AG$1,[6]characters!$1:$1,0)-MATCH("character_id",[6]characters!$1:$1,0)+1,FALSE)</f>
        <v>ヨシタカ</v>
      </c>
      <c r="AH21" s="4">
        <f ca="1">VLOOKUP($AF21,OFFSET([6]characters!$A$1,0,0,COUNTA([6]characters!$A:$A),MATCH(AH$1,[6]characters!$1:$1,0)-MATCH("character_id",[6]characters!$1:$1,0)+1),MATCH(AH$1,[6]characters!$1:$1,0)-MATCH("character_id",[6]characters!$1:$1,0)+1,FALSE)</f>
        <v>2</v>
      </c>
      <c r="AI21" s="4" t="str">
        <f ca="1">VLOOKUP($AF21,OFFSET([6]characters!$A$1,0,0,COUNTA([6]characters!$A:$A),MATCH(AI$1,[6]characters!$1:$1,0)-MATCH("character_id",[6]characters!$1:$1,0)+1),MATCH(AI$1,[6]characters!$1:$1,0)-MATCH("character_id",[6]characters!$1:$1,0)+1,FALSE)</f>
        <v>Drop1N</v>
      </c>
      <c r="AJ21" s="115">
        <v>1</v>
      </c>
      <c r="AK21" s="114">
        <f t="shared" ca="1" si="16"/>
        <v>2</v>
      </c>
      <c r="AL21" s="118">
        <v>0</v>
      </c>
      <c r="AM21" s="115">
        <v>0</v>
      </c>
      <c r="AN21" s="115">
        <v>0</v>
      </c>
      <c r="AO21" s="115">
        <v>0</v>
      </c>
      <c r="AP21" s="115">
        <v>0</v>
      </c>
      <c r="AQ21" s="115">
        <v>1</v>
      </c>
      <c r="AR21" s="64">
        <v>1</v>
      </c>
    </row>
    <row r="22" spans="1:44" s="117" customFormat="1" ht="21" customHeight="1" thickBot="1" x14ac:dyDescent="0.2">
      <c r="A22" s="108" t="str">
        <f t="shared" si="12"/>
        <v>65535_6-2/51&lt;lv60&gt;s2</v>
      </c>
      <c r="B22" s="6">
        <v>65535</v>
      </c>
      <c r="C22" s="94">
        <v>6</v>
      </c>
      <c r="D22" s="13" t="str">
        <f t="shared" si="13"/>
        <v>65535_6</v>
      </c>
      <c r="E22" s="4" t="str">
        <f ca="1">VLOOKUP($B22,OFFSET([2]quests!$A$1,0,0,COUNTA([2]quests!$A:$A),MATCH(E$1,[2]quests!$1:$1,0)-MATCH($B$1,[2]quests!$1:$1,0)+1),MATCH(E$1,[2]quests!$1:$1,0)-MATCH($B$1,[2]quests!$1:$1,0)+1,FALSE)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2" s="4" t="str">
        <f ca="1">VLOOKUP($D22,OFFSET([2]stages!$A$1,0,0,COUNTA([2]stages!$A:$A),MATCH(F$1,[2]stages!$2:$2,0)-MATCH($D$1,[2]stages!$2:$2,0)+1),MATCH(F$1,[2]stages!$2:$2,0)-MATCH($D$1,[2]stages!$2:$2,0)+1,FALSE)</f>
        <v>お邪魔ジャンヌ</v>
      </c>
      <c r="G22" s="109">
        <v>2</v>
      </c>
      <c r="H22" s="13" t="str">
        <f t="shared" si="14"/>
        <v>65535_6-2</v>
      </c>
      <c r="I22" s="4" t="e">
        <f ca="1">VLOOKUP($H22,OFFSET([4]floors!$A$1,0,0,COUNTA([4]floors!$A:$A),MATCH(I$1,[4]floors!$1:$1,0)-MATCH($H$1,[4]floors!$1:$1,0)+1),MATCH(I$1,[4]floors!$1:$1,0)-MATCH($H$1,[4]floors!$1:$1,0)+1,FALSE)</f>
        <v>#VALUE!</v>
      </c>
      <c r="J22" s="4" t="e">
        <f ca="1">VLOOKUP($H22,OFFSET([4]floors!$A$1,0,0,COUNTA([4]floors!$A:$A),MATCH(J$1,[4]floors!$1:$1,0)-MATCH($H$1,[4]floors!$1:$1,0)+1),MATCH(J$1,[4]floors!$1:$1,0)-MATCH($H$1,[4]floors!$1:$1,0)+1,FALSE)</f>
        <v>#VALUE!</v>
      </c>
      <c r="K22" s="33" t="s">
        <v>53</v>
      </c>
      <c r="L22" s="110">
        <v>51</v>
      </c>
      <c r="M22" s="15" t="e">
        <f ca="1">VLOOKUP($L22,OFFSET([5]enemies!$A$1,0,0,COUNTA([5]enemies!$A:$A),MATCH(M$1,[5]enemies!$1:$1,0)-MATCH($L$1,[5]enemies!$1:$1,0)+1),MATCH(M$1,[5]enemies!$1:$1,0)-MATCH($L$1,[5]enemies!$1:$1,0)+1,FALSE)</f>
        <v>#VALUE!</v>
      </c>
      <c r="N22" s="15" t="e">
        <f ca="1">VLOOKUP($L22,OFFSET([5]enemies!$A$1,0,0,COUNTA([5]enemies!$A:$A),MATCH(N$1,[5]enemies!$1:$1,0)-MATCH($L$1,[5]enemies!$1:$1,0)+1),MATCH(N$1,[5]enemies!$1:$1,0)-MATCH($L$1,[5]enemies!$1:$1,0)+1,FALSE)</f>
        <v>#VALUE!</v>
      </c>
      <c r="O22" s="15" t="str">
        <f ca="1">VLOOKUP($L22,OFFSET([6]characters!$A$1,0,0,COUNTA([6]characters!$A:$A),MATCH(O$1,[6]characters!$1:$1,0)-MATCH($L$1,[6]characters!$1:$1,0)+1),MATCH(O$1,[6]characters!$1:$1,0)-MATCH($L$1,[6]characters!$1:$1,0)+1,FALSE)</f>
        <v>Drop1N</v>
      </c>
      <c r="P22" s="15" t="e">
        <f ca="1">VLOOKUP($L22,OFFSET([5]enemies!$A$1,0,0,COUNTA([5]enemies!$A:$A),MATCH(P$1,[5]enemies!$1:$1,0)-MATCH($L$1,[5]enemies!$1:$1,0)+1),MATCH(P$1,[5]enemies!$1:$1,0)-MATCH($L$1,[5]enemies!$1:$1,0)+1,FALSE)</f>
        <v>#VALUE!</v>
      </c>
      <c r="Q22" s="15" t="e">
        <f ca="1">VLOOKUP($L22,OFFSET([5]enemies!$A$1,0,0,COUNTA([5]enemies!$A:$A),MATCH(Q$1,[5]enemies!$1:$1,0)-MATCH($L$1,[5]enemies!$1:$1,0)+1),MATCH(Q$1,[5]enemies!$1:$1,0)-MATCH($L$1,[5]enemies!$1:$1,0)+1,FALSE)</f>
        <v>#VALUE!</v>
      </c>
      <c r="R22" s="5">
        <v>60</v>
      </c>
      <c r="S22" s="153">
        <v>3.4</v>
      </c>
      <c r="T22" s="157" t="e">
        <f ca="1">ROUND(VLOOKUP(R22,[5]enemy_base_stats!$A:$F,2,FALSE)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INDIRECT("[EnemyMasterData.xlsm]enemies!AD"&amp;(L22+1))*[6]ステータス!$B$2,0)*S22</f>
        <v>#REF!</v>
      </c>
      <c r="U22" s="129">
        <v>0.7</v>
      </c>
      <c r="V22" s="157" t="e">
        <f ca="1">ROUND(VLOOKUP(R22,[5]enemy_base_stats!$A:$F,3,FALSE)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INDIRECT("[EnemyMasterData.xlsm]enemies!AE"&amp;(L22+1))*[6]ステータス!$C$2,0)*U22</f>
        <v>#REF!</v>
      </c>
      <c r="W22" s="157" t="e">
        <f t="shared" ca="1" si="0"/>
        <v>#REF!</v>
      </c>
      <c r="X22" s="157" t="e">
        <f t="shared" ca="1" si="1"/>
        <v>#REF!</v>
      </c>
      <c r="Y22" s="156">
        <v>0</v>
      </c>
      <c r="Z22" s="4" t="e">
        <f ca="1">VLOOKUP($AA22,OFFSET([4]enemy_skill_sets!$B$1,0,0,COUNTA([4]enemy_skill_sets!$B:$B),MATCH(M$1,[4]enemy_skill_sets!$1:$1,0)-MATCH($AA$1,[4]enemy_skill_sets!$1:$1,0)+2),MATCH(M$1,[4]enemy_skill_sets!$1:$1,0)-MATCH($AA$1,[4]enemy_skill_sets!$1:$1,0)+2,FALSE)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22" s="119">
        <v>41003014</v>
      </c>
      <c r="AB22" s="112">
        <v>1</v>
      </c>
      <c r="AC22" s="113">
        <v>100</v>
      </c>
      <c r="AD22" s="113">
        <v>0</v>
      </c>
      <c r="AE22" s="15">
        <v>2</v>
      </c>
      <c r="AF22" s="114">
        <f t="shared" si="15"/>
        <v>51</v>
      </c>
      <c r="AG22" s="4" t="str">
        <f ca="1">VLOOKUP($AF22,OFFSET([6]characters!$A$1,0,0,COUNTA([6]characters!$A:$A),MATCH(AG$1,[6]characters!$1:$1,0)-MATCH("character_id",[6]characters!$1:$1,0)+1),MATCH(AG$1,[6]characters!$1:$1,0)-MATCH("character_id",[6]characters!$1:$1,0)+1,FALSE)</f>
        <v>マイ</v>
      </c>
      <c r="AH22" s="4">
        <f ca="1">VLOOKUP($AF22,OFFSET([6]characters!$A$1,0,0,COUNTA([6]characters!$A:$A),MATCH(AH$1,[6]characters!$1:$1,0)-MATCH("character_id",[6]characters!$1:$1,0)+1),MATCH(AH$1,[6]characters!$1:$1,0)-MATCH("character_id",[6]characters!$1:$1,0)+1,FALSE)</f>
        <v>2</v>
      </c>
      <c r="AI22" s="4" t="str">
        <f ca="1">VLOOKUP($AF22,OFFSET([6]characters!$A$1,0,0,COUNTA([6]characters!$A:$A),MATCH(AI$1,[6]characters!$1:$1,0)-MATCH("character_id",[6]characters!$1:$1,0)+1),MATCH(AI$1,[6]characters!$1:$1,0)-MATCH("character_id",[6]characters!$1:$1,0)+1,FALSE)</f>
        <v>Drop1N</v>
      </c>
      <c r="AJ22" s="115">
        <v>1</v>
      </c>
      <c r="AK22" s="114">
        <f t="shared" ca="1" si="16"/>
        <v>2</v>
      </c>
      <c r="AL22" s="64">
        <v>0</v>
      </c>
      <c r="AM22" s="115">
        <v>0</v>
      </c>
      <c r="AN22" s="115">
        <v>0</v>
      </c>
      <c r="AO22" s="115">
        <v>0</v>
      </c>
      <c r="AP22" s="115">
        <v>0</v>
      </c>
      <c r="AQ22" s="115">
        <v>1</v>
      </c>
      <c r="AR22" s="64">
        <v>1</v>
      </c>
    </row>
    <row r="23" spans="1:44" s="117" customFormat="1" ht="21" customHeight="1" thickBot="1" x14ac:dyDescent="0.2">
      <c r="A23" s="108" t="str">
        <f t="shared" si="12"/>
        <v>65535_6-2/55&lt;lv60&gt;s2</v>
      </c>
      <c r="B23" s="6">
        <v>65535</v>
      </c>
      <c r="C23" s="94">
        <v>6</v>
      </c>
      <c r="D23" s="13" t="str">
        <f t="shared" si="13"/>
        <v>65535_6</v>
      </c>
      <c r="E23" s="4" t="str">
        <f ca="1">VLOOKUP($B23,OFFSET([2]quests!$A$1,0,0,COUNTA([2]quests!$A:$A),MATCH(E$1,[2]quests!$1:$1,0)-MATCH($B$1,[2]quests!$1:$1,0)+1),MATCH(E$1,[2]quests!$1:$1,0)-MATCH($B$1,[2]quests!$1:$1,0)+1,FALSE)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3" s="4" t="str">
        <f ca="1">VLOOKUP($D23,OFFSET([2]stages!$A$1,0,0,COUNTA([2]stages!$A:$A),MATCH(F$1,[2]stages!$2:$2,0)-MATCH($D$1,[2]stages!$2:$2,0)+1),MATCH(F$1,[2]stages!$2:$2,0)-MATCH($D$1,[2]stages!$2:$2,0)+1,FALSE)</f>
        <v>お邪魔ジャンヌ</v>
      </c>
      <c r="G23" s="109">
        <v>2</v>
      </c>
      <c r="H23" s="13" t="str">
        <f t="shared" si="14"/>
        <v>65535_6-2</v>
      </c>
      <c r="I23" s="4" t="e">
        <f ca="1">VLOOKUP($H23,OFFSET([4]floors!$A$1,0,0,COUNTA([4]floors!$A:$A),MATCH(I$1,[4]floors!$1:$1,0)-MATCH($H$1,[4]floors!$1:$1,0)+1),MATCH(I$1,[4]floors!$1:$1,0)-MATCH($H$1,[4]floors!$1:$1,0)+1,FALSE)</f>
        <v>#VALUE!</v>
      </c>
      <c r="J23" s="4" t="e">
        <f ca="1">VLOOKUP($H23,OFFSET([4]floors!$A$1,0,0,COUNTA([4]floors!$A:$A),MATCH(J$1,[4]floors!$1:$1,0)-MATCH($H$1,[4]floors!$1:$1,0)+1),MATCH(J$1,[4]floors!$1:$1,0)-MATCH($H$1,[4]floors!$1:$1,0)+1,FALSE)</f>
        <v>#VALUE!</v>
      </c>
      <c r="K23" s="33" t="s">
        <v>53</v>
      </c>
      <c r="L23" s="110">
        <v>55</v>
      </c>
      <c r="M23" s="15" t="e">
        <f ca="1">VLOOKUP($L23,OFFSET([5]enemies!$A$1,0,0,COUNTA([5]enemies!$A:$A),MATCH(M$1,[5]enemies!$1:$1,0)-MATCH($L$1,[5]enemies!$1:$1,0)+1),MATCH(M$1,[5]enemies!$1:$1,0)-MATCH($L$1,[5]enemies!$1:$1,0)+1,FALSE)</f>
        <v>#VALUE!</v>
      </c>
      <c r="N23" s="15" t="e">
        <f ca="1">VLOOKUP($L23,OFFSET([5]enemies!$A$1,0,0,COUNTA([5]enemies!$A:$A),MATCH(N$1,[5]enemies!$1:$1,0)-MATCH($L$1,[5]enemies!$1:$1,0)+1),MATCH(N$1,[5]enemies!$1:$1,0)-MATCH($L$1,[5]enemies!$1:$1,0)+1,FALSE)</f>
        <v>#VALUE!</v>
      </c>
      <c r="O23" s="15" t="str">
        <f ca="1">VLOOKUP($L23,OFFSET([6]characters!$A$1,0,0,COUNTA([6]characters!$A:$A),MATCH(O$1,[6]characters!$1:$1,0)-MATCH($L$1,[6]characters!$1:$1,0)+1),MATCH(O$1,[6]characters!$1:$1,0)-MATCH($L$1,[6]characters!$1:$1,0)+1,FALSE)</f>
        <v>Drop1N</v>
      </c>
      <c r="P23" s="15" t="e">
        <f ca="1">VLOOKUP($L23,OFFSET([5]enemies!$A$1,0,0,COUNTA([5]enemies!$A:$A),MATCH(P$1,[5]enemies!$1:$1,0)-MATCH($L$1,[5]enemies!$1:$1,0)+1),MATCH(P$1,[5]enemies!$1:$1,0)-MATCH($L$1,[5]enemies!$1:$1,0)+1,FALSE)</f>
        <v>#VALUE!</v>
      </c>
      <c r="Q23" s="15" t="e">
        <f ca="1">VLOOKUP($L23,OFFSET([5]enemies!$A$1,0,0,COUNTA([5]enemies!$A:$A),MATCH(Q$1,[5]enemies!$1:$1,0)-MATCH($L$1,[5]enemies!$1:$1,0)+1),MATCH(Q$1,[5]enemies!$1:$1,0)-MATCH($L$1,[5]enemies!$1:$1,0)+1,FALSE)</f>
        <v>#VALUE!</v>
      </c>
      <c r="R23" s="5">
        <v>60</v>
      </c>
      <c r="S23" s="153">
        <v>4</v>
      </c>
      <c r="T23" s="157" t="e">
        <f ca="1">ROUND(VLOOKUP(R23,[5]enemy_base_stats!$A:$F,2,FALSE) *INDIRECT("[EnemyMasterData.xlsm]enemies!Y"&amp;(L23+1))*  INDIRECT("[EnemyMasterData.xlsm]enemies!J"&amp;(L23+1))* INDIRECT("[EnemyMasterData.xlsm]enemies!O"&amp;(L23+1))* INDIRECT("[EnemyMasterData.xlsm]enemies!E"&amp;(L23+1))* INDIRECT("[EnemyMasterData.xlsm]enemies!S"&amp;(L23+1))* INDIRECT("[EnemyMasterData.xlsm]enemies!AD"&amp;(L23+1))*[6]ステータス!$B$2,0)*S23</f>
        <v>#REF!</v>
      </c>
      <c r="U23" s="129">
        <v>0.6</v>
      </c>
      <c r="V23" s="157" t="e">
        <f ca="1">ROUND(VLOOKUP(R23,[5]enemy_base_stats!$A:$F,3,FALSE) *INDIRECT("[EnemyMasterData.xlsm]enemies!Z"&amp;(L23+1))*  INDIRECT("[EnemyMasterData.xlsm]enemies!K"&amp;(L23+1))* INDIRECT("[EnemyMasterData.xlsm]enemies!P"&amp;(L23+1))* INDIRECT("[EnemyMasterData.xlsm]enemies!F"&amp;(L23+1))* INDIRECT("[EnemyMasterData.xlsm]enemies!T"&amp;(L23+1))* INDIRECT("[EnemyMasterData.xlsm]enemies!AE"&amp;(L23+1))*[6]ステータス!$C$2,0)*U23</f>
        <v>#REF!</v>
      </c>
      <c r="W23" s="157" t="e">
        <f t="shared" ca="1" si="0"/>
        <v>#REF!</v>
      </c>
      <c r="X23" s="157" t="e">
        <f t="shared" ca="1" si="1"/>
        <v>#REF!</v>
      </c>
      <c r="Y23" s="156">
        <v>0</v>
      </c>
      <c r="Z23" s="4" t="e">
        <f ca="1">VLOOKUP($AA23,OFFSET([4]enemy_skill_sets!$B$1,0,0,COUNTA([4]enemy_skill_sets!$B:$B),MATCH(M$1,[4]enemy_skill_sets!$1:$1,0)-MATCH($AA$1,[4]enemy_skill_sets!$1:$1,0)+2),MATCH(M$1,[4]enemy_skill_sets!$1:$1,0)-MATCH($AA$1,[4]enemy_skill_sets!$1:$1,0)+2,FALSE)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23" s="111">
        <v>41003015</v>
      </c>
      <c r="AB23" s="112">
        <v>1</v>
      </c>
      <c r="AC23" s="113">
        <v>100</v>
      </c>
      <c r="AD23" s="113">
        <v>0</v>
      </c>
      <c r="AE23" s="15">
        <v>2</v>
      </c>
      <c r="AF23" s="114">
        <f t="shared" si="15"/>
        <v>55</v>
      </c>
      <c r="AG23" s="4" t="str">
        <f ca="1">VLOOKUP($AF23,OFFSET([6]characters!$A$1,0,0,COUNTA([6]characters!$A:$A),MATCH(AG$1,[6]characters!$1:$1,0)-MATCH("character_id",[6]characters!$1:$1,0)+1),MATCH(AG$1,[6]characters!$1:$1,0)-MATCH("character_id",[6]characters!$1:$1,0)+1,FALSE)</f>
        <v>マミコ</v>
      </c>
      <c r="AH23" s="4">
        <f ca="1">VLOOKUP($AF23,OFFSET([6]characters!$A$1,0,0,COUNTA([6]characters!$A:$A),MATCH(AH$1,[6]characters!$1:$1,0)-MATCH("character_id",[6]characters!$1:$1,0)+1),MATCH(AH$1,[6]characters!$1:$1,0)-MATCH("character_id",[6]characters!$1:$1,0)+1,FALSE)</f>
        <v>2</v>
      </c>
      <c r="AI23" s="4" t="str">
        <f ca="1">VLOOKUP($AF23,OFFSET([6]characters!$A$1,0,0,COUNTA([6]characters!$A:$A),MATCH(AI$1,[6]characters!$1:$1,0)-MATCH("character_id",[6]characters!$1:$1,0)+1),MATCH(AI$1,[6]characters!$1:$1,0)-MATCH("character_id",[6]characters!$1:$1,0)+1,FALSE)</f>
        <v>Drop1N</v>
      </c>
      <c r="AJ23" s="115">
        <v>1</v>
      </c>
      <c r="AK23" s="114">
        <f t="shared" ca="1" si="16"/>
        <v>2</v>
      </c>
      <c r="AL23" s="118">
        <v>0</v>
      </c>
      <c r="AM23" s="115">
        <v>0</v>
      </c>
      <c r="AN23" s="115">
        <v>0</v>
      </c>
      <c r="AO23" s="115">
        <v>0</v>
      </c>
      <c r="AP23" s="115">
        <v>0</v>
      </c>
      <c r="AQ23" s="115">
        <v>1</v>
      </c>
      <c r="AR23" s="64">
        <v>1</v>
      </c>
    </row>
    <row r="24" spans="1:44" s="117" customFormat="1" ht="21" customHeight="1" thickBot="1" x14ac:dyDescent="0.2">
      <c r="A24" s="108" t="str">
        <f t="shared" si="12"/>
        <v>65535_6-3/258&lt;lv52&gt;s2</v>
      </c>
      <c r="B24" s="6">
        <v>65535</v>
      </c>
      <c r="C24" s="94">
        <v>6</v>
      </c>
      <c r="D24" s="13" t="str">
        <f t="shared" si="13"/>
        <v>65535_6</v>
      </c>
      <c r="E24" s="4" t="str">
        <f ca="1">VLOOKUP($B24,OFFSET([2]quests!$A$1,0,0,COUNTA([2]quests!$A:$A),MATCH(E$1,[2]quests!$1:$1,0)-MATCH($B$1,[2]quests!$1:$1,0)+1),MATCH(E$1,[2]quests!$1:$1,0)-MATCH($B$1,[2]quests!$1:$1,0)+1,FALSE)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4" s="4" t="str">
        <f ca="1">VLOOKUP($D24,OFFSET([2]stages!$A$1,0,0,COUNTA([2]stages!$A:$A),MATCH(F$1,[2]stages!$2:$2,0)-MATCH($D$1,[2]stages!$2:$2,0)+1),MATCH(F$1,[2]stages!$2:$2,0)-MATCH($D$1,[2]stages!$2:$2,0)+1,FALSE)</f>
        <v>お邪魔ジャンヌ</v>
      </c>
      <c r="G24" s="109">
        <v>3</v>
      </c>
      <c r="H24" s="13" t="str">
        <f t="shared" si="14"/>
        <v>65535_6-3</v>
      </c>
      <c r="I24" s="4" t="e">
        <f ca="1">VLOOKUP($H24,OFFSET([4]floors!$A$1,0,0,COUNTA([4]floors!$A:$A),MATCH(I$1,[4]floors!$1:$1,0)-MATCH($H$1,[4]floors!$1:$1,0)+1),MATCH(I$1,[4]floors!$1:$1,0)-MATCH($H$1,[4]floors!$1:$1,0)+1,FALSE)</f>
        <v>#VALUE!</v>
      </c>
      <c r="J24" s="4" t="e">
        <f ca="1">VLOOKUP($H24,OFFSET([4]floors!$A$1,0,0,COUNTA([4]floors!$A:$A),MATCH(J$1,[4]floors!$1:$1,0)-MATCH($H$1,[4]floors!$1:$1,0)+1),MATCH(J$1,[4]floors!$1:$1,0)-MATCH($H$1,[4]floors!$1:$1,0)+1,FALSE)</f>
        <v>#VALUE!</v>
      </c>
      <c r="K24" s="33">
        <v>5</v>
      </c>
      <c r="L24" s="110">
        <v>258</v>
      </c>
      <c r="M24" s="15" t="e">
        <f ca="1">VLOOKUP($L24,OFFSET([5]enemies!$A$1,0,0,COUNTA([5]enemies!$A:$A),MATCH(M$1,[5]enemies!$1:$1,0)-MATCH($L$1,[5]enemies!$1:$1,0)+1),MATCH(M$1,[5]enemies!$1:$1,0)-MATCH($L$1,[5]enemies!$1:$1,0)+1,FALSE)</f>
        <v>#VALUE!</v>
      </c>
      <c r="N24" s="15" t="e">
        <f ca="1">VLOOKUP($L24,OFFSET([5]enemies!$A$1,0,0,COUNTA([5]enemies!$A:$A),MATCH(N$1,[5]enemies!$1:$1,0)-MATCH($L$1,[5]enemies!$1:$1,0)+1),MATCH(N$1,[5]enemies!$1:$1,0)-MATCH($L$1,[5]enemies!$1:$1,0)+1,FALSE)</f>
        <v>#VALUE!</v>
      </c>
      <c r="O24" s="15" t="str">
        <f ca="1">VLOOKUP($L24,OFFSET([6]characters!$A$1,0,0,COUNTA([6]characters!$A:$A),MATCH(O$1,[6]characters!$1:$1,0)-MATCH($L$1,[6]characters!$1:$1,0)+1),MATCH(O$1,[6]characters!$1:$1,0)-MATCH($L$1,[6]characters!$1:$1,0)+1,FALSE)</f>
        <v>PremiumS</v>
      </c>
      <c r="P24" s="15" t="e">
        <f ca="1">VLOOKUP($L24,OFFSET([5]enemies!$A$1,0,0,COUNTA([5]enemies!$A:$A),MATCH(P$1,[5]enemies!$1:$1,0)-MATCH($L$1,[5]enemies!$1:$1,0)+1),MATCH(P$1,[5]enemies!$1:$1,0)-MATCH($L$1,[5]enemies!$1:$1,0)+1,FALSE)</f>
        <v>#VALUE!</v>
      </c>
      <c r="Q24" s="15" t="e">
        <f ca="1">VLOOKUP($L24,OFFSET([5]enemies!$A$1,0,0,COUNTA([5]enemies!$A:$A),MATCH(Q$1,[5]enemies!$1:$1,0)-MATCH($L$1,[5]enemies!$1:$1,0)+1),MATCH(Q$1,[5]enemies!$1:$1,0)-MATCH($L$1,[5]enemies!$1:$1,0)+1,FALSE)</f>
        <v>#VALUE!</v>
      </c>
      <c r="R24" s="5">
        <v>52</v>
      </c>
      <c r="S24" s="153">
        <v>2.5</v>
      </c>
      <c r="T24" s="157" t="e">
        <f ca="1">ROUND(VLOOKUP(R24,[5]enemy_base_stats!$A:$F,2,FALSE) *INDIRECT("[EnemyMasterData.xlsm]enemies!Y"&amp;(L24+1))*  INDIRECT("[EnemyMasterData.xlsm]enemies!J"&amp;(L24+1))* INDIRECT("[EnemyMasterData.xlsm]enemies!O"&amp;(L24+1))* INDIRECT("[EnemyMasterData.xlsm]enemies!E"&amp;(L24+1))* INDIRECT("[EnemyMasterData.xlsm]enemies!S"&amp;(L24+1))* INDIRECT("[EnemyMasterData.xlsm]enemies!AD"&amp;(L24+1))*[6]ステータス!$B$2,0)*S24</f>
        <v>#REF!</v>
      </c>
      <c r="U24" s="129">
        <v>1.2</v>
      </c>
      <c r="V24" s="157" t="e">
        <f ca="1">ROUND(VLOOKUP(R24,[5]enemy_base_stats!$A:$F,3,FALSE) *INDIRECT("[EnemyMasterData.xlsm]enemies!Z"&amp;(L24+1))*  INDIRECT("[EnemyMasterData.xlsm]enemies!K"&amp;(L24+1))* INDIRECT("[EnemyMasterData.xlsm]enemies!P"&amp;(L24+1))* INDIRECT("[EnemyMasterData.xlsm]enemies!F"&amp;(L24+1))* INDIRECT("[EnemyMasterData.xlsm]enemies!T"&amp;(L24+1))* INDIRECT("[EnemyMasterData.xlsm]enemies!AE"&amp;(L24+1))*[6]ステータス!$C$2,0)*U24</f>
        <v>#REF!</v>
      </c>
      <c r="W24" s="157" t="e">
        <f t="shared" ca="1" si="0"/>
        <v>#REF!</v>
      </c>
      <c r="X24" s="157" t="e">
        <f t="shared" ca="1" si="1"/>
        <v>#REF!</v>
      </c>
      <c r="Y24" s="156">
        <v>0</v>
      </c>
      <c r="Z24" s="4" t="e">
        <f ca="1">VLOOKUP($AA24,OFFSET([4]enemy_skill_sets!$B$1,0,0,COUNTA([4]enemy_skill_sets!$B:$B),MATCH(M$1,[4]enemy_skill_sets!$1:$1,0)-MATCH($AA$1,[4]enemy_skill_sets!$1:$1,0)+2),MATCH(M$1,[4]enemy_skill_sets!$1:$1,0)-MATCH($AA$1,[4]enemy_skill_sets!$1:$1,0)+2,FALSE)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24" s="111">
        <v>41003016</v>
      </c>
      <c r="AB24" s="112">
        <v>0</v>
      </c>
      <c r="AC24" s="113">
        <v>100</v>
      </c>
      <c r="AD24" s="113">
        <v>1</v>
      </c>
      <c r="AE24" s="15">
        <v>2</v>
      </c>
      <c r="AF24" s="114">
        <f t="shared" si="15"/>
        <v>258</v>
      </c>
      <c r="AG24" s="4" t="str">
        <f ca="1">VLOOKUP($AF24,OFFSET([6]characters!$A$1,0,0,COUNTA([6]characters!$A:$A),MATCH(AG$1,[6]characters!$1:$1,0)-MATCH("character_id",[6]characters!$1:$1,0)+1),MATCH(AG$1,[6]characters!$1:$1,0)-MATCH("character_id",[6]characters!$1:$1,0)+1,FALSE)</f>
        <v>色欲の源流 アスモデウス</v>
      </c>
      <c r="AH24" s="4">
        <f ca="1">VLOOKUP($AF24,OFFSET([6]characters!$A$1,0,0,COUNTA([6]characters!$A:$A),MATCH(AH$1,[6]characters!$1:$1,0)-MATCH("character_id",[6]characters!$1:$1,0)+1),MATCH(AH$1,[6]characters!$1:$1,0)-MATCH("character_id",[6]characters!$1:$1,0)+1,FALSE)</f>
        <v>5</v>
      </c>
      <c r="AI24" s="4" t="str">
        <f ca="1">VLOOKUP($AF24,OFFSET([6]characters!$A$1,0,0,COUNTA([6]characters!$A:$A),MATCH(AI$1,[6]characters!$1:$1,0)-MATCH("character_id",[6]characters!$1:$1,0)+1),MATCH(AI$1,[6]characters!$1:$1,0)-MATCH("character_id",[6]characters!$1:$1,0)+1,FALSE)</f>
        <v>PremiumS</v>
      </c>
      <c r="AJ24" s="115">
        <v>1</v>
      </c>
      <c r="AK24" s="114">
        <f t="shared" ca="1" si="16"/>
        <v>5</v>
      </c>
      <c r="AL24" s="64">
        <v>0</v>
      </c>
      <c r="AM24" s="115">
        <v>0</v>
      </c>
      <c r="AN24" s="115">
        <v>0</v>
      </c>
      <c r="AO24" s="115">
        <v>0</v>
      </c>
      <c r="AP24" s="115">
        <v>0</v>
      </c>
      <c r="AQ24" s="115">
        <v>1</v>
      </c>
      <c r="AR24" s="64">
        <v>1</v>
      </c>
    </row>
    <row r="25" spans="1:44" s="140" customFormat="1" ht="21" customHeight="1" thickBot="1" x14ac:dyDescent="0.2">
      <c r="A25" s="120" t="str">
        <f t="shared" si="12"/>
        <v>65535_6-4/315&lt;lv80&gt;s2</v>
      </c>
      <c r="B25" s="6">
        <v>65535</v>
      </c>
      <c r="C25" s="94">
        <v>6</v>
      </c>
      <c r="D25" s="122" t="str">
        <f t="shared" si="13"/>
        <v>65535_6</v>
      </c>
      <c r="E25" s="123" t="str">
        <f ca="1">VLOOKUP($B25,OFFSET([2]quests!$A$1,0,0,COUNTA([2]quests!$A:$A),MATCH(E$1,[2]quests!$1:$1,0)-MATCH($B$1,[2]quests!$1:$1,0)+1),MATCH(E$1,[2]quests!$1:$1,0)-MATCH($B$1,[2]quests!$1:$1,0)+1,FALSE)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5" s="123" t="str">
        <f ca="1">VLOOKUP($D25,OFFSET([2]stages!$A$1,0,0,COUNTA([2]stages!$A:$A),MATCH(F$1,[2]stages!$2:$2,0)-MATCH($D$1,[2]stages!$2:$2,0)+1),MATCH(F$1,[2]stages!$2:$2,0)-MATCH($D$1,[2]stages!$2:$2,0)+1,FALSE)</f>
        <v>お邪魔ジャンヌ</v>
      </c>
      <c r="G25" s="121">
        <v>4</v>
      </c>
      <c r="H25" s="122" t="str">
        <f t="shared" si="14"/>
        <v>65535_6-4</v>
      </c>
      <c r="I25" s="123" t="e">
        <f ca="1">VLOOKUP($H25,OFFSET([4]floors!$A$1,0,0,COUNTA([4]floors!$A:$A),MATCH(I$1,[4]floors!$1:$1,0)-MATCH($H$1,[4]floors!$1:$1,0)+1),MATCH(I$1,[4]floors!$1:$1,0)-MATCH($H$1,[4]floors!$1:$1,0)+1,FALSE)</f>
        <v>#VALUE!</v>
      </c>
      <c r="J25" s="123" t="e">
        <f ca="1">VLOOKUP($H25,OFFSET([4]floors!$A$1,0,0,COUNTA([4]floors!$A:$A),MATCH(J$1,[4]floors!$1:$1,0)-MATCH($H$1,[4]floors!$1:$1,0)+1),MATCH(J$1,[4]floors!$1:$1,0)-MATCH($H$1,[4]floors!$1:$1,0)+1,FALSE)</f>
        <v>#VALUE!</v>
      </c>
      <c r="K25" s="124">
        <v>6</v>
      </c>
      <c r="L25" s="125">
        <v>315</v>
      </c>
      <c r="M25" s="126" t="e">
        <f ca="1">VLOOKUP($L25,OFFSET([5]enemies!$A$1,0,0,COUNTA([5]enemies!$A:$A),MATCH(M$1,[5]enemies!$1:$1,0)-MATCH($L$1,[5]enemies!$1:$1,0)+1),MATCH(M$1,[5]enemies!$1:$1,0)-MATCH($L$1,[5]enemies!$1:$1,0)+1,FALSE)</f>
        <v>#VALUE!</v>
      </c>
      <c r="N25" s="126" t="e">
        <f ca="1">VLOOKUP($L25,OFFSET([5]enemies!$A$1,0,0,COUNTA([5]enemies!$A:$A),MATCH(N$1,[5]enemies!$1:$1,0)-MATCH($L$1,[5]enemies!$1:$1,0)+1),MATCH(N$1,[5]enemies!$1:$1,0)-MATCH($L$1,[5]enemies!$1:$1,0)+1,FALSE)</f>
        <v>#VALUE!</v>
      </c>
      <c r="O25" s="126" t="str">
        <f ca="1">VLOOKUP($L25,OFFSET([6]characters!$A$1,0,0,COUNTA([6]characters!$A:$A),MATCH(O$1,[6]characters!$1:$1,0)-MATCH($L$1,[6]characters!$1:$1,0)+1),MATCH(O$1,[6]characters!$1:$1,0)-MATCH($L$1,[6]characters!$1:$1,0)+1,FALSE)</f>
        <v>DropWizS</v>
      </c>
      <c r="P25" s="126" t="e">
        <f ca="1">VLOOKUP($L25,OFFSET([5]enemies!$A$1,0,0,COUNTA([5]enemies!$A:$A),MATCH(P$1,[5]enemies!$1:$1,0)-MATCH($L$1,[5]enemies!$1:$1,0)+1),MATCH(P$1,[5]enemies!$1:$1,0)-MATCH($L$1,[5]enemies!$1:$1,0)+1,FALSE)</f>
        <v>#VALUE!</v>
      </c>
      <c r="Q25" s="126" t="e">
        <f ca="1">VLOOKUP($L25,OFFSET([5]enemies!$A$1,0,0,COUNTA([5]enemies!$A:$A),MATCH(Q$1,[5]enemies!$1:$1,0)-MATCH($L$1,[5]enemies!$1:$1,0)+1),MATCH(Q$1,[5]enemies!$1:$1,0)-MATCH($L$1,[5]enemies!$1:$1,0)+1,FALSE)</f>
        <v>#VALUE!</v>
      </c>
      <c r="R25" s="127">
        <v>80</v>
      </c>
      <c r="S25" s="128">
        <v>3.4</v>
      </c>
      <c r="T25" s="157" t="e">
        <f ca="1">ROUND(VLOOKUP(R25,[5]enemy_base_stats!$A:$F,2,FALSE) *INDIRECT("[EnemyMasterData.xlsm]enemies!Y"&amp;(L25+1))*  INDIRECT("[EnemyMasterData.xlsm]enemies!J"&amp;(L25+1))* INDIRECT("[EnemyMasterData.xlsm]enemies!O"&amp;(L25+1))* INDIRECT("[EnemyMasterData.xlsm]enemies!E"&amp;(L25+1))* INDIRECT("[EnemyMasterData.xlsm]enemies!S"&amp;(L25+1))* INDIRECT("[EnemyMasterData.xlsm]enemies!AD"&amp;(L25+1))*[6]ステータス!$B$2,0)*S25</f>
        <v>#REF!</v>
      </c>
      <c r="U25" s="129">
        <v>2</v>
      </c>
      <c r="V25" s="157" t="e">
        <f ca="1">ROUND(VLOOKUP(R25,[5]enemy_base_stats!$A:$F,3,FALSE) *INDIRECT("[EnemyMasterData.xlsm]enemies!Z"&amp;(L25+1))*  INDIRECT("[EnemyMasterData.xlsm]enemies!K"&amp;(L25+1))* INDIRECT("[EnemyMasterData.xlsm]enemies!P"&amp;(L25+1))* INDIRECT("[EnemyMasterData.xlsm]enemies!F"&amp;(L25+1))* INDIRECT("[EnemyMasterData.xlsm]enemies!T"&amp;(L25+1))* INDIRECT("[EnemyMasterData.xlsm]enemies!AE"&amp;(L25+1))*[6]ステータス!$C$2,0)*U25</f>
        <v>#REF!</v>
      </c>
      <c r="W25" s="157" t="e">
        <f t="shared" ca="1" si="0"/>
        <v>#REF!</v>
      </c>
      <c r="X25" s="157" t="e">
        <f t="shared" ca="1" si="1"/>
        <v>#REF!</v>
      </c>
      <c r="Y25" s="130">
        <v>0</v>
      </c>
      <c r="Z25" s="123" t="e">
        <f ca="1">VLOOKUP($AA25,OFFSET([4]enemy_skill_sets!$B$1,0,0,COUNTA([4]enemy_skill_sets!$B:$B),MATCH(M$1,[4]enemy_skill_sets!$1:$1,0)-MATCH($AA$1,[4]enemy_skill_sets!$1:$1,0)+2),MATCH(M$1,[4]enemy_skill_sets!$1:$1,0)-MATCH($AA$1,[4]enemy_skill_sets!$1:$1,0)+2,FALSE)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25" s="131">
        <v>41003017</v>
      </c>
      <c r="AB25" s="132">
        <v>0</v>
      </c>
      <c r="AC25" s="133">
        <v>100</v>
      </c>
      <c r="AD25" s="133">
        <v>1</v>
      </c>
      <c r="AE25" s="134">
        <v>2</v>
      </c>
      <c r="AF25" s="135">
        <v>314</v>
      </c>
      <c r="AG25" s="123" t="str">
        <f ca="1">VLOOKUP($AF25,OFFSET([6]characters!$A$1,0,0,COUNTA([6]characters!$A:$A),MATCH(AG$1,[6]characters!$1:$1,0)-MATCH("character_id",[6]characters!$1:$1,0)+1),MATCH(AG$1,[6]characters!$1:$1,0)-MATCH("character_id",[6]characters!$1:$1,0)+1,FALSE)</f>
        <v>ジャンヌ</v>
      </c>
      <c r="AH25" s="123">
        <f ca="1">VLOOKUP($AF25,OFFSET([6]characters!$A$1,0,0,COUNTA([6]characters!$A:$A),MATCH(AH$1,[6]characters!$1:$1,0)-MATCH("character_id",[6]characters!$1:$1,0)+1),MATCH(AH$1,[6]characters!$1:$1,0)-MATCH("character_id",[6]characters!$1:$1,0)+1,FALSE)</f>
        <v>4</v>
      </c>
      <c r="AI25" s="123" t="str">
        <f ca="1">VLOOKUP($AF25,OFFSET([6]characters!$A$1,0,0,COUNTA([6]characters!$A:$A),MATCH(AI$1,[6]characters!$1:$1,0)-MATCH("character_id",[6]characters!$1:$1,0)+1),MATCH(AI$1,[6]characters!$1:$1,0)-MATCH("character_id",[6]characters!$1:$1,0)+1,FALSE)</f>
        <v>DropWizS</v>
      </c>
      <c r="AJ25" s="136">
        <v>1</v>
      </c>
      <c r="AK25" s="137">
        <f t="shared" ca="1" si="16"/>
        <v>4</v>
      </c>
      <c r="AL25" s="138">
        <v>100</v>
      </c>
      <c r="AM25" s="136">
        <v>0</v>
      </c>
      <c r="AN25" s="136">
        <v>0</v>
      </c>
      <c r="AO25" s="136">
        <v>0</v>
      </c>
      <c r="AP25" s="136">
        <v>0</v>
      </c>
      <c r="AQ25" s="136">
        <v>1</v>
      </c>
      <c r="AR25" s="139">
        <v>1</v>
      </c>
    </row>
    <row r="26" spans="1:44" s="107" customFormat="1" ht="21" customHeight="1" thickBot="1" x14ac:dyDescent="0.2">
      <c r="A26" s="93" t="str">
        <f>B26&amp;"_"&amp;C26&amp;"-"&amp;G26&amp;"/"&amp;L26&amp;"&lt;lv"&amp;R26&amp;"&gt;s"&amp;AE26</f>
        <v>65535_7-1/155&lt;lv70&gt;s2</v>
      </c>
      <c r="B26" s="6">
        <v>65535</v>
      </c>
      <c r="C26" s="94">
        <v>7</v>
      </c>
      <c r="D26" s="95" t="str">
        <f>B26&amp;"_"&amp;C26</f>
        <v>65535_7</v>
      </c>
      <c r="E26" s="96" t="str">
        <f ca="1">VLOOKUP($B26,OFFSET([2]quests!$A$1,0,0,COUNTA([2]quests!$A:$A),MATCH(E$1,[2]quests!$1:$1,0)-MATCH($B$1,[2]quests!$1:$1,0)+1),MATCH(E$1,[2]quests!$1:$1,0)-MATCH($B$1,[2]quests!$1:$1,0)+1,FALSE)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6" s="96" t="str">
        <f ca="1">VLOOKUP($D26,OFFSET([2]stages!$A$1,0,0,COUNTA([2]stages!$A:$A),MATCH(F$1,[2]stages!$2:$2,0)-MATCH($D$1,[2]stages!$2:$2,0)+1),MATCH(F$1,[2]stages!$2:$2,0)-MATCH($D$1,[2]stages!$2:$2,0)+1,FALSE)</f>
        <v>爆風ジャンヌ</v>
      </c>
      <c r="G26" s="94">
        <v>1</v>
      </c>
      <c r="H26" s="95" t="str">
        <f>B26&amp;"_"&amp;C26&amp;"-"&amp;G26</f>
        <v>65535_7-1</v>
      </c>
      <c r="I26" s="96" t="e">
        <f ca="1">VLOOKUP($H26,OFFSET([4]floors!$A$1,0,0,COUNTA([4]floors!$A:$A),MATCH(I$1,[4]floors!$1:$1,0)-MATCH($H$1,[4]floors!$1:$1,0)+1),MATCH(I$1,[4]floors!$1:$1,0)-MATCH($H$1,[4]floors!$1:$1,0)+1,FALSE)</f>
        <v>#VALUE!</v>
      </c>
      <c r="J26" s="96" t="e">
        <f ca="1">VLOOKUP($H26,OFFSET([4]floors!$A$1,0,0,COUNTA([4]floors!$A:$A),MATCH(J$1,[4]floors!$1:$1,0)-MATCH($H$1,[4]floors!$1:$1,0)+1),MATCH(J$1,[4]floors!$1:$1,0)-MATCH($H$1,[4]floors!$1:$1,0)+1,FALSE)</f>
        <v>#VALUE!</v>
      </c>
      <c r="K26" s="97" t="s">
        <v>220</v>
      </c>
      <c r="L26" s="98">
        <v>155</v>
      </c>
      <c r="M26" s="99" t="e">
        <f ca="1">VLOOKUP($L26,OFFSET([5]enemies!$A$1,0,0,COUNTA([5]enemies!$A:$A),MATCH(M$1,[5]enemies!$1:$1,0)-MATCH($L$1,[5]enemies!$1:$1,0)+1),MATCH(M$1,[5]enemies!$1:$1,0)-MATCH($L$1,[5]enemies!$1:$1,0)+1,FALSE)</f>
        <v>#VALUE!</v>
      </c>
      <c r="N26" s="99" t="e">
        <f ca="1">VLOOKUP($L26,OFFSET([5]enemies!$A$1,0,0,COUNTA([5]enemies!$A:$A),MATCH(N$1,[5]enemies!$1:$1,0)-MATCH($L$1,[5]enemies!$1:$1,0)+1),MATCH(N$1,[5]enemies!$1:$1,0)-MATCH($L$1,[5]enemies!$1:$1,0)+1,FALSE)</f>
        <v>#VALUE!</v>
      </c>
      <c r="O26" s="99" t="str">
        <f ca="1">VLOOKUP($L26,OFFSET([6]characters!$A$1,0,0,COUNTA([6]characters!$A:$A),MATCH(O$1,[6]characters!$1:$1,0)-MATCH($L$1,[6]characters!$1:$1,0)+1),MATCH(O$1,[6]characters!$1:$1,0)-MATCH($L$1,[6]characters!$1:$1,0)+1,FALSE)</f>
        <v>PremiumW</v>
      </c>
      <c r="P26" s="99" t="e">
        <f ca="1">VLOOKUP($L26,OFFSET([5]enemies!$A$1,0,0,COUNTA([5]enemies!$A:$A),MATCH(P$1,[5]enemies!$1:$1,0)-MATCH($L$1,[5]enemies!$1:$1,0)+1),MATCH(P$1,[5]enemies!$1:$1,0)-MATCH($L$1,[5]enemies!$1:$1,0)+1,FALSE)</f>
        <v>#VALUE!</v>
      </c>
      <c r="Q26" s="99" t="e">
        <f ca="1">VLOOKUP($L26,OFFSET([5]enemies!$A$1,0,0,COUNTA([5]enemies!$A:$A),MATCH(Q$1,[5]enemies!$1:$1,0)-MATCH($L$1,[5]enemies!$1:$1,0)+1),MATCH(Q$1,[5]enemies!$1:$1,0)-MATCH($L$1,[5]enemies!$1:$1,0)+1,FALSE)</f>
        <v>#VALUE!</v>
      </c>
      <c r="R26" s="100">
        <v>70</v>
      </c>
      <c r="S26" s="152">
        <v>3</v>
      </c>
      <c r="T26" s="157" t="e">
        <f ca="1">ROUND(VLOOKUP(R26,[5]enemy_base_stats!$A:$F,2,FALSE) *INDIRECT("[EnemyMasterData.xlsm]enemies!Y"&amp;(L26+1))*  INDIRECT("[EnemyMasterData.xlsm]enemies!J"&amp;(L26+1))* INDIRECT("[EnemyMasterData.xlsm]enemies!O"&amp;(L26+1))* INDIRECT("[EnemyMasterData.xlsm]enemies!E"&amp;(L26+1))* INDIRECT("[EnemyMasterData.xlsm]enemies!S"&amp;(L26+1))* INDIRECT("[EnemyMasterData.xlsm]enemies!AD"&amp;(L26+1))*[6]ステータス!$B$2,0)*S26</f>
        <v>#REF!</v>
      </c>
      <c r="U26" s="129">
        <v>1.2</v>
      </c>
      <c r="V26" s="157" t="e">
        <f ca="1">ROUND(VLOOKUP(R26,[5]enemy_base_stats!$A:$F,3,FALSE) *INDIRECT("[EnemyMasterData.xlsm]enemies!Z"&amp;(L26+1))*  INDIRECT("[EnemyMasterData.xlsm]enemies!K"&amp;(L26+1))* INDIRECT("[EnemyMasterData.xlsm]enemies!P"&amp;(L26+1))* INDIRECT("[EnemyMasterData.xlsm]enemies!F"&amp;(L26+1))* INDIRECT("[EnemyMasterData.xlsm]enemies!T"&amp;(L26+1))* INDIRECT("[EnemyMasterData.xlsm]enemies!AE"&amp;(L26+1))*[6]ステータス!$C$2,0)*U26</f>
        <v>#REF!</v>
      </c>
      <c r="W26" s="157" t="e">
        <f t="shared" ca="1" si="0"/>
        <v>#REF!</v>
      </c>
      <c r="X26" s="157" t="e">
        <f t="shared" ca="1" si="1"/>
        <v>#REF!</v>
      </c>
      <c r="Y26" s="155">
        <v>0</v>
      </c>
      <c r="Z26" s="96" t="e">
        <f ca="1">VLOOKUP($AA26,OFFSET([4]enemy_skill_sets!$B$1,0,0,COUNTA([4]enemy_skill_sets!$B:$B),MATCH(M$1,[4]enemy_skill_sets!$1:$1,0)-MATCH($AA$1,[4]enemy_skill_sets!$1:$1,0)+2),MATCH(M$1,[4]enemy_skill_sets!$1:$1,0)-MATCH($AA$1,[4]enemy_skill_sets!$1:$1,0)+2,FALSE)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26" s="101">
        <v>41003011</v>
      </c>
      <c r="AB26" s="102">
        <v>1</v>
      </c>
      <c r="AC26" s="103">
        <v>100</v>
      </c>
      <c r="AD26" s="103">
        <v>0</v>
      </c>
      <c r="AE26" s="99">
        <v>2</v>
      </c>
      <c r="AF26" s="104">
        <f>L26</f>
        <v>155</v>
      </c>
      <c r="AG26" s="96" t="str">
        <f ca="1">VLOOKUP($AF26,OFFSET([6]characters!$A$1,0,0,COUNTA([6]characters!$A:$A),MATCH(AG$1,[6]characters!$1:$1,0)-MATCH("character_id",[6]characters!$1:$1,0)+1),MATCH(AG$1,[6]characters!$1:$1,0)-MATCH("character_id",[6]characters!$1:$1,0)+1,FALSE)</f>
        <v>隻眼の掃除屋 ハンナ</v>
      </c>
      <c r="AH26" s="96">
        <f ca="1">VLOOKUP($AF26,OFFSET([6]characters!$A$1,0,0,COUNTA([6]characters!$A:$A),MATCH(AH$1,[6]characters!$1:$1,0)-MATCH("character_id",[6]characters!$1:$1,0)+1),MATCH(AH$1,[6]characters!$1:$1,0)-MATCH("character_id",[6]characters!$1:$1,0)+1,FALSE)</f>
        <v>4</v>
      </c>
      <c r="AI26" s="96" t="str">
        <f ca="1">VLOOKUP($AF26,OFFSET([6]characters!$A$1,0,0,COUNTA([6]characters!$A:$A),MATCH(AI$1,[6]characters!$1:$1,0)-MATCH("character_id",[6]characters!$1:$1,0)+1),MATCH(AI$1,[6]characters!$1:$1,0)-MATCH("character_id",[6]characters!$1:$1,0)+1,FALSE)</f>
        <v>PremiumW</v>
      </c>
      <c r="AJ26" s="105">
        <v>1</v>
      </c>
      <c r="AK26" s="104">
        <f ca="1">AH26</f>
        <v>4</v>
      </c>
      <c r="AL26" s="64">
        <v>0</v>
      </c>
      <c r="AM26" s="105">
        <v>0</v>
      </c>
      <c r="AN26" s="105">
        <v>0</v>
      </c>
      <c r="AO26" s="105">
        <v>0</v>
      </c>
      <c r="AP26" s="105">
        <v>0</v>
      </c>
      <c r="AQ26" s="105">
        <v>1</v>
      </c>
      <c r="AR26" s="106">
        <v>1</v>
      </c>
    </row>
    <row r="27" spans="1:44" s="117" customFormat="1" ht="21" customHeight="1" thickBot="1" x14ac:dyDescent="0.2">
      <c r="A27" s="108" t="str">
        <f>B27&amp;"_"&amp;C27&amp;"-"&amp;G27&amp;"/"&amp;L27&amp;"&lt;lv"&amp;R27&amp;"&gt;s"&amp;AE27</f>
        <v>65535_7-1/92&lt;lv70&gt;s3</v>
      </c>
      <c r="B27" s="6">
        <v>65535</v>
      </c>
      <c r="C27" s="94">
        <v>7</v>
      </c>
      <c r="D27" s="13" t="str">
        <f>B27&amp;"_"&amp;C27</f>
        <v>65535_7</v>
      </c>
      <c r="E27" s="4" t="str">
        <f ca="1">VLOOKUP($B27,OFFSET([2]quests!$A$1,0,0,COUNTA([2]quests!$A:$A),MATCH(E$1,[2]quests!$1:$1,0)-MATCH($B$1,[2]quests!$1:$1,0)+1),MATCH(E$1,[2]quests!$1:$1,0)-MATCH($B$1,[2]quests!$1:$1,0)+1,FALSE)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7" s="4" t="str">
        <f ca="1">VLOOKUP($D27,OFFSET([2]stages!$A$1,0,0,COUNTA([2]stages!$A:$A),MATCH(F$1,[2]stages!$2:$2,0)-MATCH($D$1,[2]stages!$2:$2,0)+1),MATCH(F$1,[2]stages!$2:$2,0)-MATCH($D$1,[2]stages!$2:$2,0)+1,FALSE)</f>
        <v>爆風ジャンヌ</v>
      </c>
      <c r="G27" s="109">
        <v>1</v>
      </c>
      <c r="H27" s="13" t="str">
        <f>B27&amp;"_"&amp;C27&amp;"-"&amp;G27</f>
        <v>65535_7-1</v>
      </c>
      <c r="I27" s="4" t="e">
        <f ca="1">VLOOKUP($H27,OFFSET([4]floors!$A$1,0,0,COUNTA([4]floors!$A:$A),MATCH(I$1,[4]floors!$1:$1,0)-MATCH($H$1,[4]floors!$1:$1,0)+1),MATCH(I$1,[4]floors!$1:$1,0)-MATCH($H$1,[4]floors!$1:$1,0)+1,FALSE)</f>
        <v>#VALUE!</v>
      </c>
      <c r="J27" s="4" t="e">
        <f ca="1">VLOOKUP($H27,OFFSET([4]floors!$A$1,0,0,COUNTA([4]floors!$A:$A),MATCH(J$1,[4]floors!$1:$1,0)-MATCH($H$1,[4]floors!$1:$1,0)+1),MATCH(J$1,[4]floors!$1:$1,0)-MATCH($H$1,[4]floors!$1:$1,0)+1,FALSE)</f>
        <v>#VALUE!</v>
      </c>
      <c r="K27" s="33" t="s">
        <v>220</v>
      </c>
      <c r="L27" s="110">
        <v>92</v>
      </c>
      <c r="M27" s="15" t="e">
        <f ca="1">VLOOKUP($L27,OFFSET([5]enemies!$A$1,0,0,COUNTA([5]enemies!$A:$A),MATCH(M$1,[5]enemies!$1:$1,0)-MATCH($L$1,[5]enemies!$1:$1,0)+1),MATCH(M$1,[5]enemies!$1:$1,0)-MATCH($L$1,[5]enemies!$1:$1,0)+1,FALSE)</f>
        <v>#VALUE!</v>
      </c>
      <c r="N27" s="15" t="e">
        <f ca="1">VLOOKUP($L27,OFFSET([5]enemies!$A$1,0,0,COUNTA([5]enemies!$A:$A),MATCH(N$1,[5]enemies!$1:$1,0)-MATCH($L$1,[5]enemies!$1:$1,0)+1),MATCH(N$1,[5]enemies!$1:$1,0)-MATCH($L$1,[5]enemies!$1:$1,0)+1,FALSE)</f>
        <v>#VALUE!</v>
      </c>
      <c r="O27" s="15" t="str">
        <f ca="1">VLOOKUP($L27,OFFSET([6]characters!$A$1,0,0,COUNTA([6]characters!$A:$A),MATCH(O$1,[6]characters!$1:$1,0)-MATCH($L$1,[6]characters!$1:$1,0)+1),MATCH(O$1,[6]characters!$1:$1,0)-MATCH($L$1,[6]characters!$1:$1,0)+1,FALSE)</f>
        <v>Drop2N</v>
      </c>
      <c r="P27" s="15" t="e">
        <f ca="1">VLOOKUP($L27,OFFSET([5]enemies!$A$1,0,0,COUNTA([5]enemies!$A:$A),MATCH(P$1,[5]enemies!$1:$1,0)-MATCH($L$1,[5]enemies!$1:$1,0)+1),MATCH(P$1,[5]enemies!$1:$1,0)-MATCH($L$1,[5]enemies!$1:$1,0)+1,FALSE)</f>
        <v>#VALUE!</v>
      </c>
      <c r="Q27" s="15" t="e">
        <f ca="1">VLOOKUP($L27,OFFSET([5]enemies!$A$1,0,0,COUNTA([5]enemies!$A:$A),MATCH(Q$1,[5]enemies!$1:$1,0)-MATCH($L$1,[5]enemies!$1:$1,0)+1),MATCH(Q$1,[5]enemies!$1:$1,0)-MATCH($L$1,[5]enemies!$1:$1,0)+1,FALSE)</f>
        <v>#VALUE!</v>
      </c>
      <c r="R27" s="5">
        <v>70</v>
      </c>
      <c r="S27" s="153">
        <v>1.9</v>
      </c>
      <c r="T27" s="157" t="e">
        <f ca="1">ROUND(VLOOKUP(R27,[5]enemy_base_stats!$A:$F,2,FALSE) *INDIRECT("[EnemyMasterData.xlsm]enemies!Y"&amp;(L27+1))*  INDIRECT("[EnemyMasterData.xlsm]enemies!J"&amp;(L27+1))* INDIRECT("[EnemyMasterData.xlsm]enemies!O"&amp;(L27+1))* INDIRECT("[EnemyMasterData.xlsm]enemies!E"&amp;(L27+1))* INDIRECT("[EnemyMasterData.xlsm]enemies!S"&amp;(L27+1))* INDIRECT("[EnemyMasterData.xlsm]enemies!AD"&amp;(L27+1))*[6]ステータス!$B$2,0)*S27</f>
        <v>#REF!</v>
      </c>
      <c r="U27" s="129">
        <v>1.2</v>
      </c>
      <c r="V27" s="157" t="e">
        <f ca="1">ROUND(VLOOKUP(R27,[5]enemy_base_stats!$A:$F,3,FALSE) *INDIRECT("[EnemyMasterData.xlsm]enemies!Z"&amp;(L27+1))*  INDIRECT("[EnemyMasterData.xlsm]enemies!K"&amp;(L27+1))* INDIRECT("[EnemyMasterData.xlsm]enemies!P"&amp;(L27+1))* INDIRECT("[EnemyMasterData.xlsm]enemies!F"&amp;(L27+1))* INDIRECT("[EnemyMasterData.xlsm]enemies!T"&amp;(L27+1))* INDIRECT("[EnemyMasterData.xlsm]enemies!AE"&amp;(L27+1))*[6]ステータス!$C$2,0)*U27</f>
        <v>#REF!</v>
      </c>
      <c r="W27" s="157" t="e">
        <f t="shared" ca="1" si="0"/>
        <v>#REF!</v>
      </c>
      <c r="X27" s="157" t="e">
        <f t="shared" ca="1" si="1"/>
        <v>#REF!</v>
      </c>
      <c r="Y27" s="156">
        <v>0</v>
      </c>
      <c r="Z27" s="4" t="e">
        <f ca="1">VLOOKUP($AA27,OFFSET([4]enemy_skill_sets!$B$1,0,0,COUNTA([4]enemy_skill_sets!$B:$B),MATCH(M$1,[4]enemy_skill_sets!$1:$1,0)-MATCH($AA$1,[4]enemy_skill_sets!$1:$1,0)+2),MATCH(M$1,[4]enemy_skill_sets!$1:$1,0)-MATCH($AA$1,[4]enemy_skill_sets!$1:$1,0)+2,FALSE)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27" s="111">
        <v>65535103</v>
      </c>
      <c r="AB27" s="112">
        <v>1</v>
      </c>
      <c r="AC27" s="113">
        <v>100</v>
      </c>
      <c r="AD27" s="113">
        <v>0</v>
      </c>
      <c r="AE27" s="15">
        <v>3</v>
      </c>
      <c r="AF27" s="114">
        <f>L27</f>
        <v>92</v>
      </c>
      <c r="AG27" s="4" t="str">
        <f ca="1">VLOOKUP($AF27,OFFSET([6]characters!$A$1,0,0,COUNTA([6]characters!$A:$A),MATCH(AG$1,[6]characters!$1:$1,0)-MATCH("character_id",[6]characters!$1:$1,0)+1),MATCH(AG$1,[6]characters!$1:$1,0)-MATCH("character_id",[6]characters!$1:$1,0)+1,FALSE)</f>
        <v>守護者 青龍</v>
      </c>
      <c r="AH27" s="4">
        <f ca="1">VLOOKUP($AF27,OFFSET([6]characters!$A$1,0,0,COUNTA([6]characters!$A:$A),MATCH(AH$1,[6]characters!$1:$1,0)-MATCH("character_id",[6]characters!$1:$1,0)+1),MATCH(AH$1,[6]characters!$1:$1,0)-MATCH("character_id",[6]characters!$1:$1,0)+1,FALSE)</f>
        <v>4</v>
      </c>
      <c r="AI27" s="4" t="str">
        <f ca="1">VLOOKUP($AF27,OFFSET([6]characters!$A$1,0,0,COUNTA([6]characters!$A:$A),MATCH(AI$1,[6]characters!$1:$1,0)-MATCH("character_id",[6]characters!$1:$1,0)+1),MATCH(AI$1,[6]characters!$1:$1,0)-MATCH("character_id",[6]characters!$1:$1,0)+1,FALSE)</f>
        <v>Drop2N</v>
      </c>
      <c r="AJ27" s="115">
        <v>1</v>
      </c>
      <c r="AK27" s="114">
        <f ca="1">AH27</f>
        <v>4</v>
      </c>
      <c r="AL27" s="116">
        <v>0</v>
      </c>
      <c r="AM27" s="115">
        <v>0</v>
      </c>
      <c r="AN27" s="115">
        <v>0</v>
      </c>
      <c r="AO27" s="115">
        <v>0</v>
      </c>
      <c r="AP27" s="115">
        <v>0</v>
      </c>
      <c r="AQ27" s="115">
        <v>1</v>
      </c>
      <c r="AR27" s="64">
        <v>1</v>
      </c>
    </row>
    <row r="28" spans="1:44" s="117" customFormat="1" ht="21" customHeight="1" thickBot="1" x14ac:dyDescent="0.2">
      <c r="A28" s="108" t="str">
        <f t="shared" ref="A28:A33" si="17">B28&amp;"_"&amp;C28&amp;"-"&amp;G28&amp;"/"&amp;L28&amp;"&lt;lv"&amp;R28&amp;"&gt;s"&amp;AE28</f>
        <v>65535_7-2/53&lt;lv60&gt;s2</v>
      </c>
      <c r="B28" s="6">
        <v>65535</v>
      </c>
      <c r="C28" s="94">
        <v>7</v>
      </c>
      <c r="D28" s="13" t="str">
        <f t="shared" ref="D28:D33" si="18">B28&amp;"_"&amp;C28</f>
        <v>65535_7</v>
      </c>
      <c r="E28" s="4" t="str">
        <f ca="1">VLOOKUP($B28,OFFSET([2]quests!$A$1,0,0,COUNTA([2]quests!$A:$A),MATCH(E$1,[2]quests!$1:$1,0)-MATCH($B$1,[2]quests!$1:$1,0)+1),MATCH(E$1,[2]quests!$1:$1,0)-MATCH($B$1,[2]quests!$1:$1,0)+1,FALSE)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8" s="4" t="str">
        <f ca="1">VLOOKUP($D28,OFFSET([2]stages!$A$1,0,0,COUNTA([2]stages!$A:$A),MATCH(F$1,[2]stages!$2:$2,0)-MATCH($D$1,[2]stages!$2:$2,0)+1),MATCH(F$1,[2]stages!$2:$2,0)-MATCH($D$1,[2]stages!$2:$2,0)+1,FALSE)</f>
        <v>爆風ジャンヌ</v>
      </c>
      <c r="G28" s="109">
        <v>2</v>
      </c>
      <c r="H28" s="13" t="str">
        <f t="shared" ref="H28:H33" si="19">B28&amp;"_"&amp;C28&amp;"-"&amp;G28</f>
        <v>65535_7-2</v>
      </c>
      <c r="I28" s="4" t="e">
        <f ca="1">VLOOKUP($H28,OFFSET([4]floors!$A$1,0,0,COUNTA([4]floors!$A:$A),MATCH(I$1,[4]floors!$1:$1,0)-MATCH($H$1,[4]floors!$1:$1,0)+1),MATCH(I$1,[4]floors!$1:$1,0)-MATCH($H$1,[4]floors!$1:$1,0)+1,FALSE)</f>
        <v>#VALUE!</v>
      </c>
      <c r="J28" s="4" t="e">
        <f ca="1">VLOOKUP($H28,OFFSET([4]floors!$A$1,0,0,COUNTA([4]floors!$A:$A),MATCH(J$1,[4]floors!$1:$1,0)-MATCH($H$1,[4]floors!$1:$1,0)+1),MATCH(J$1,[4]floors!$1:$1,0)-MATCH($H$1,[4]floors!$1:$1,0)+1,FALSE)</f>
        <v>#VALUE!</v>
      </c>
      <c r="K28" s="33" t="s">
        <v>53</v>
      </c>
      <c r="L28" s="110">
        <v>53</v>
      </c>
      <c r="M28" s="15" t="e">
        <f ca="1">VLOOKUP($L28,OFFSET([5]enemies!$A$1,0,0,COUNTA([5]enemies!$A:$A),MATCH(M$1,[5]enemies!$1:$1,0)-MATCH($L$1,[5]enemies!$1:$1,0)+1),MATCH(M$1,[5]enemies!$1:$1,0)-MATCH($L$1,[5]enemies!$1:$1,0)+1,FALSE)</f>
        <v>#VALUE!</v>
      </c>
      <c r="N28" s="15" t="e">
        <f ca="1">VLOOKUP($L28,OFFSET([5]enemies!$A$1,0,0,COUNTA([5]enemies!$A:$A),MATCH(N$1,[5]enemies!$1:$1,0)-MATCH($L$1,[5]enemies!$1:$1,0)+1),MATCH(N$1,[5]enemies!$1:$1,0)-MATCH($L$1,[5]enemies!$1:$1,0)+1,FALSE)</f>
        <v>#VALUE!</v>
      </c>
      <c r="O28" s="15" t="str">
        <f ca="1">VLOOKUP($L28,OFFSET([6]characters!$A$1,0,0,COUNTA([6]characters!$A:$A),MATCH(O$1,[6]characters!$1:$1,0)-MATCH($L$1,[6]characters!$1:$1,0)+1),MATCH(O$1,[6]characters!$1:$1,0)-MATCH($L$1,[6]characters!$1:$1,0)+1,FALSE)</f>
        <v>Drop1N</v>
      </c>
      <c r="P28" s="15" t="e">
        <f ca="1">VLOOKUP($L28,OFFSET([5]enemies!$A$1,0,0,COUNTA([5]enemies!$A:$A),MATCH(P$1,[5]enemies!$1:$1,0)-MATCH($L$1,[5]enemies!$1:$1,0)+1),MATCH(P$1,[5]enemies!$1:$1,0)-MATCH($L$1,[5]enemies!$1:$1,0)+1,FALSE)</f>
        <v>#VALUE!</v>
      </c>
      <c r="Q28" s="15" t="e">
        <f ca="1">VLOOKUP($L28,OFFSET([5]enemies!$A$1,0,0,COUNTA([5]enemies!$A:$A),MATCH(Q$1,[5]enemies!$1:$1,0)-MATCH($L$1,[5]enemies!$1:$1,0)+1),MATCH(Q$1,[5]enemies!$1:$1,0)-MATCH($L$1,[5]enemies!$1:$1,0)+1,FALSE)</f>
        <v>#VALUE!</v>
      </c>
      <c r="R28" s="5">
        <v>60</v>
      </c>
      <c r="S28" s="153">
        <v>2</v>
      </c>
      <c r="T28" s="157" t="e">
        <f ca="1">ROUND(VLOOKUP(R28,[5]enemy_base_stats!$A:$F,2,FALSE) *INDIRECT("[EnemyMasterData.xlsm]enemies!Y"&amp;(L28+1))*  INDIRECT("[EnemyMasterData.xlsm]enemies!J"&amp;(L28+1))* INDIRECT("[EnemyMasterData.xlsm]enemies!O"&amp;(L28+1))* INDIRECT("[EnemyMasterData.xlsm]enemies!E"&amp;(L28+1))* INDIRECT("[EnemyMasterData.xlsm]enemies!S"&amp;(L28+1))* INDIRECT("[EnemyMasterData.xlsm]enemies!AD"&amp;(L28+1))*[6]ステータス!$B$2,0)*S28</f>
        <v>#REF!</v>
      </c>
      <c r="U28" s="129">
        <v>1</v>
      </c>
      <c r="V28" s="157" t="e">
        <f ca="1">ROUND(VLOOKUP(R28,[5]enemy_base_stats!$A:$F,3,FALSE) *INDIRECT("[EnemyMasterData.xlsm]enemies!Z"&amp;(L28+1))*  INDIRECT("[EnemyMasterData.xlsm]enemies!K"&amp;(L28+1))* INDIRECT("[EnemyMasterData.xlsm]enemies!P"&amp;(L28+1))* INDIRECT("[EnemyMasterData.xlsm]enemies!F"&amp;(L28+1))* INDIRECT("[EnemyMasterData.xlsm]enemies!T"&amp;(L28+1))* INDIRECT("[EnemyMasterData.xlsm]enemies!AE"&amp;(L28+1))*[6]ステータス!$C$2,0)*U28</f>
        <v>#REF!</v>
      </c>
      <c r="W28" s="157" t="e">
        <f t="shared" ca="1" si="0"/>
        <v>#REF!</v>
      </c>
      <c r="X28" s="157" t="e">
        <f t="shared" ca="1" si="1"/>
        <v>#REF!</v>
      </c>
      <c r="Y28" s="156">
        <v>0</v>
      </c>
      <c r="Z28" s="4" t="e">
        <f ca="1">VLOOKUP($AA28,OFFSET([4]enemy_skill_sets!$B$1,0,0,COUNTA([4]enemy_skill_sets!$B:$B),MATCH(M$1,[4]enemy_skill_sets!$1:$1,0)-MATCH($AA$1,[4]enemy_skill_sets!$1:$1,0)+2),MATCH(M$1,[4]enemy_skill_sets!$1:$1,0)-MATCH($AA$1,[4]enemy_skill_sets!$1:$1,0)+2,FALSE)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28" s="111">
        <v>0</v>
      </c>
      <c r="AB28" s="112">
        <v>1</v>
      </c>
      <c r="AC28" s="113">
        <v>100</v>
      </c>
      <c r="AD28" s="113">
        <v>0</v>
      </c>
      <c r="AE28" s="15">
        <v>2</v>
      </c>
      <c r="AF28" s="114">
        <f t="shared" ref="AF28:AF32" si="20">L28</f>
        <v>53</v>
      </c>
      <c r="AG28" s="4" t="str">
        <f ca="1">VLOOKUP($AF28,OFFSET([6]characters!$A$1,0,0,COUNTA([6]characters!$A:$A),MATCH(AG$1,[6]characters!$1:$1,0)-MATCH("character_id",[6]characters!$1:$1,0)+1),MATCH(AG$1,[6]characters!$1:$1,0)-MATCH("character_id",[6]characters!$1:$1,0)+1,FALSE)</f>
        <v>ケンジ</v>
      </c>
      <c r="AH28" s="4">
        <f ca="1">VLOOKUP($AF28,OFFSET([6]characters!$A$1,0,0,COUNTA([6]characters!$A:$A),MATCH(AH$1,[6]characters!$1:$1,0)-MATCH("character_id",[6]characters!$1:$1,0)+1),MATCH(AH$1,[6]characters!$1:$1,0)-MATCH("character_id",[6]characters!$1:$1,0)+1,FALSE)</f>
        <v>2</v>
      </c>
      <c r="AI28" s="4" t="str">
        <f ca="1">VLOOKUP($AF28,OFFSET([6]characters!$A$1,0,0,COUNTA([6]characters!$A:$A),MATCH(AI$1,[6]characters!$1:$1,0)-MATCH("character_id",[6]characters!$1:$1,0)+1),MATCH(AI$1,[6]characters!$1:$1,0)-MATCH("character_id",[6]characters!$1:$1,0)+1,FALSE)</f>
        <v>Drop1N</v>
      </c>
      <c r="AJ28" s="115">
        <v>1</v>
      </c>
      <c r="AK28" s="114">
        <f t="shared" ref="AK28:AK33" ca="1" si="21">AH28</f>
        <v>2</v>
      </c>
      <c r="AL28" s="64">
        <v>0</v>
      </c>
      <c r="AM28" s="115">
        <v>0</v>
      </c>
      <c r="AN28" s="115">
        <v>0</v>
      </c>
      <c r="AO28" s="115">
        <v>0</v>
      </c>
      <c r="AP28" s="115">
        <v>0</v>
      </c>
      <c r="AQ28" s="115">
        <v>1</v>
      </c>
      <c r="AR28" s="64">
        <v>1</v>
      </c>
    </row>
    <row r="29" spans="1:44" s="117" customFormat="1" ht="21" customHeight="1" thickBot="1" x14ac:dyDescent="0.2">
      <c r="A29" s="108" t="str">
        <f t="shared" si="17"/>
        <v>65535_7-2/49&lt;lv60&gt;s2</v>
      </c>
      <c r="B29" s="6">
        <v>65535</v>
      </c>
      <c r="C29" s="94">
        <v>7</v>
      </c>
      <c r="D29" s="13" t="str">
        <f t="shared" si="18"/>
        <v>65535_7</v>
      </c>
      <c r="E29" s="4" t="str">
        <f ca="1">VLOOKUP($B29,OFFSET([2]quests!$A$1,0,0,COUNTA([2]quests!$A:$A),MATCH(E$1,[2]quests!$1:$1,0)-MATCH($B$1,[2]quests!$1:$1,0)+1),MATCH(E$1,[2]quests!$1:$1,0)-MATCH($B$1,[2]quests!$1:$1,0)+1,FALSE)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9" s="4" t="str">
        <f ca="1">VLOOKUP($D29,OFFSET([2]stages!$A$1,0,0,COUNTA([2]stages!$A:$A),MATCH(F$1,[2]stages!$2:$2,0)-MATCH($D$1,[2]stages!$2:$2,0)+1),MATCH(F$1,[2]stages!$2:$2,0)-MATCH($D$1,[2]stages!$2:$2,0)+1,FALSE)</f>
        <v>爆風ジャンヌ</v>
      </c>
      <c r="G29" s="109">
        <v>2</v>
      </c>
      <c r="H29" s="13" t="str">
        <f t="shared" si="19"/>
        <v>65535_7-2</v>
      </c>
      <c r="I29" s="4" t="e">
        <f ca="1">VLOOKUP($H29,OFFSET([4]floors!$A$1,0,0,COUNTA([4]floors!$A:$A),MATCH(I$1,[4]floors!$1:$1,0)-MATCH($H$1,[4]floors!$1:$1,0)+1),MATCH(I$1,[4]floors!$1:$1,0)-MATCH($H$1,[4]floors!$1:$1,0)+1,FALSE)</f>
        <v>#VALUE!</v>
      </c>
      <c r="J29" s="4" t="e">
        <f ca="1">VLOOKUP($H29,OFFSET([4]floors!$A$1,0,0,COUNTA([4]floors!$A:$A),MATCH(J$1,[4]floors!$1:$1,0)-MATCH($H$1,[4]floors!$1:$1,0)+1),MATCH(J$1,[4]floors!$1:$1,0)-MATCH($H$1,[4]floors!$1:$1,0)+1,FALSE)</f>
        <v>#VALUE!</v>
      </c>
      <c r="K29" s="33" t="s">
        <v>53</v>
      </c>
      <c r="L29" s="110">
        <v>49</v>
      </c>
      <c r="M29" s="15" t="e">
        <f ca="1">VLOOKUP($L29,OFFSET([5]enemies!$A$1,0,0,COUNTA([5]enemies!$A:$A),MATCH(M$1,[5]enemies!$1:$1,0)-MATCH($L$1,[5]enemies!$1:$1,0)+1),MATCH(M$1,[5]enemies!$1:$1,0)-MATCH($L$1,[5]enemies!$1:$1,0)+1,FALSE)</f>
        <v>#VALUE!</v>
      </c>
      <c r="N29" s="15" t="e">
        <f ca="1">VLOOKUP($L29,OFFSET([5]enemies!$A$1,0,0,COUNTA([5]enemies!$A:$A),MATCH(N$1,[5]enemies!$1:$1,0)-MATCH($L$1,[5]enemies!$1:$1,0)+1),MATCH(N$1,[5]enemies!$1:$1,0)-MATCH($L$1,[5]enemies!$1:$1,0)+1,FALSE)</f>
        <v>#VALUE!</v>
      </c>
      <c r="O29" s="15" t="str">
        <f ca="1">VLOOKUP($L29,OFFSET([6]characters!$A$1,0,0,COUNTA([6]characters!$A:$A),MATCH(O$1,[6]characters!$1:$1,0)-MATCH($L$1,[6]characters!$1:$1,0)+1),MATCH(O$1,[6]characters!$1:$1,0)-MATCH($L$1,[6]characters!$1:$1,0)+1,FALSE)</f>
        <v>Drop1N</v>
      </c>
      <c r="P29" s="15" t="e">
        <f ca="1">VLOOKUP($L29,OFFSET([5]enemies!$A$1,0,0,COUNTA([5]enemies!$A:$A),MATCH(P$1,[5]enemies!$1:$1,0)-MATCH($L$1,[5]enemies!$1:$1,0)+1),MATCH(P$1,[5]enemies!$1:$1,0)-MATCH($L$1,[5]enemies!$1:$1,0)+1,FALSE)</f>
        <v>#VALUE!</v>
      </c>
      <c r="Q29" s="15" t="e">
        <f ca="1">VLOOKUP($L29,OFFSET([5]enemies!$A$1,0,0,COUNTA([5]enemies!$A:$A),MATCH(Q$1,[5]enemies!$1:$1,0)-MATCH($L$1,[5]enemies!$1:$1,0)+1),MATCH(Q$1,[5]enemies!$1:$1,0)-MATCH($L$1,[5]enemies!$1:$1,0)+1,FALSE)</f>
        <v>#VALUE!</v>
      </c>
      <c r="R29" s="5">
        <v>60</v>
      </c>
      <c r="S29" s="153">
        <v>3.6</v>
      </c>
      <c r="T29" s="157" t="e">
        <f ca="1">ROUND(VLOOKUP(R29,[5]enemy_base_stats!$A:$F,2,FALSE) *INDIRECT("[EnemyMasterData.xlsm]enemies!Y"&amp;(L29+1))*  INDIRECT("[EnemyMasterData.xlsm]enemies!J"&amp;(L29+1))* INDIRECT("[EnemyMasterData.xlsm]enemies!O"&amp;(L29+1))* INDIRECT("[EnemyMasterData.xlsm]enemies!E"&amp;(L29+1))* INDIRECT("[EnemyMasterData.xlsm]enemies!S"&amp;(L29+1))* INDIRECT("[EnemyMasterData.xlsm]enemies!AD"&amp;(L29+1))*[6]ステータス!$B$2,0)*S29</f>
        <v>#REF!</v>
      </c>
      <c r="U29" s="129">
        <v>1</v>
      </c>
      <c r="V29" s="157" t="e">
        <f ca="1">ROUND(VLOOKUP(R29,[5]enemy_base_stats!$A:$F,3,FALSE) *INDIRECT("[EnemyMasterData.xlsm]enemies!Z"&amp;(L29+1))*  INDIRECT("[EnemyMasterData.xlsm]enemies!K"&amp;(L29+1))* INDIRECT("[EnemyMasterData.xlsm]enemies!P"&amp;(L29+1))* INDIRECT("[EnemyMasterData.xlsm]enemies!F"&amp;(L29+1))* INDIRECT("[EnemyMasterData.xlsm]enemies!T"&amp;(L29+1))* INDIRECT("[EnemyMasterData.xlsm]enemies!AE"&amp;(L29+1))*[6]ステータス!$C$2,0)*U29</f>
        <v>#REF!</v>
      </c>
      <c r="W29" s="157" t="e">
        <f t="shared" ca="1" si="0"/>
        <v>#REF!</v>
      </c>
      <c r="X29" s="157" t="e">
        <f t="shared" ca="1" si="1"/>
        <v>#REF!</v>
      </c>
      <c r="Y29" s="156">
        <v>0</v>
      </c>
      <c r="Z29" s="4" t="e">
        <f ca="1">VLOOKUP($AA29,OFFSET([4]enemy_skill_sets!$B$1,0,0,COUNTA([4]enemy_skill_sets!$B:$B),MATCH(M$1,[4]enemy_skill_sets!$1:$1,0)-MATCH($AA$1,[4]enemy_skill_sets!$1:$1,0)+2),MATCH(M$1,[4]enemy_skill_sets!$1:$1,0)-MATCH($AA$1,[4]enemy_skill_sets!$1:$1,0)+2,FALSE)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29" s="111">
        <v>41003013</v>
      </c>
      <c r="AB29" s="112">
        <v>1</v>
      </c>
      <c r="AC29" s="113">
        <v>100</v>
      </c>
      <c r="AD29" s="113">
        <v>0</v>
      </c>
      <c r="AE29" s="15">
        <v>2</v>
      </c>
      <c r="AF29" s="114">
        <f t="shared" si="20"/>
        <v>49</v>
      </c>
      <c r="AG29" s="4" t="str">
        <f ca="1">VLOOKUP($AF29,OFFSET([6]characters!$A$1,0,0,COUNTA([6]characters!$A:$A),MATCH(AG$1,[6]characters!$1:$1,0)-MATCH("character_id",[6]characters!$1:$1,0)+1),MATCH(AG$1,[6]characters!$1:$1,0)-MATCH("character_id",[6]characters!$1:$1,0)+1,FALSE)</f>
        <v>ヨシタカ</v>
      </c>
      <c r="AH29" s="4">
        <f ca="1">VLOOKUP($AF29,OFFSET([6]characters!$A$1,0,0,COUNTA([6]characters!$A:$A),MATCH(AH$1,[6]characters!$1:$1,0)-MATCH("character_id",[6]characters!$1:$1,0)+1),MATCH(AH$1,[6]characters!$1:$1,0)-MATCH("character_id",[6]characters!$1:$1,0)+1,FALSE)</f>
        <v>2</v>
      </c>
      <c r="AI29" s="4" t="str">
        <f ca="1">VLOOKUP($AF29,OFFSET([6]characters!$A$1,0,0,COUNTA([6]characters!$A:$A),MATCH(AI$1,[6]characters!$1:$1,0)-MATCH("character_id",[6]characters!$1:$1,0)+1),MATCH(AI$1,[6]characters!$1:$1,0)-MATCH("character_id",[6]characters!$1:$1,0)+1,FALSE)</f>
        <v>Drop1N</v>
      </c>
      <c r="AJ29" s="115">
        <v>1</v>
      </c>
      <c r="AK29" s="114">
        <f t="shared" ca="1" si="21"/>
        <v>2</v>
      </c>
      <c r="AL29" s="118">
        <v>0</v>
      </c>
      <c r="AM29" s="115">
        <v>0</v>
      </c>
      <c r="AN29" s="115">
        <v>0</v>
      </c>
      <c r="AO29" s="115">
        <v>0</v>
      </c>
      <c r="AP29" s="115">
        <v>0</v>
      </c>
      <c r="AQ29" s="115">
        <v>1</v>
      </c>
      <c r="AR29" s="64">
        <v>1</v>
      </c>
    </row>
    <row r="30" spans="1:44" s="117" customFormat="1" ht="21" customHeight="1" thickBot="1" x14ac:dyDescent="0.2">
      <c r="A30" s="108" t="str">
        <f t="shared" si="17"/>
        <v>65535_7-2/51&lt;lv60&gt;s2</v>
      </c>
      <c r="B30" s="6">
        <v>65535</v>
      </c>
      <c r="C30" s="94">
        <v>7</v>
      </c>
      <c r="D30" s="13" t="str">
        <f t="shared" si="18"/>
        <v>65535_7</v>
      </c>
      <c r="E30" s="4" t="str">
        <f ca="1">VLOOKUP($B30,OFFSET([2]quests!$A$1,0,0,COUNTA([2]quests!$A:$A),MATCH(E$1,[2]quests!$1:$1,0)-MATCH($B$1,[2]quests!$1:$1,0)+1),MATCH(E$1,[2]quests!$1:$1,0)-MATCH($B$1,[2]quests!$1:$1,0)+1,FALSE)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30" s="4" t="str">
        <f ca="1">VLOOKUP($D30,OFFSET([2]stages!$A$1,0,0,COUNTA([2]stages!$A:$A),MATCH(F$1,[2]stages!$2:$2,0)-MATCH($D$1,[2]stages!$2:$2,0)+1),MATCH(F$1,[2]stages!$2:$2,0)-MATCH($D$1,[2]stages!$2:$2,0)+1,FALSE)</f>
        <v>爆風ジャンヌ</v>
      </c>
      <c r="G30" s="109">
        <v>2</v>
      </c>
      <c r="H30" s="13" t="str">
        <f t="shared" si="19"/>
        <v>65535_7-2</v>
      </c>
      <c r="I30" s="4" t="e">
        <f ca="1">VLOOKUP($H30,OFFSET([4]floors!$A$1,0,0,COUNTA([4]floors!$A:$A),MATCH(I$1,[4]floors!$1:$1,0)-MATCH($H$1,[4]floors!$1:$1,0)+1),MATCH(I$1,[4]floors!$1:$1,0)-MATCH($H$1,[4]floors!$1:$1,0)+1,FALSE)</f>
        <v>#VALUE!</v>
      </c>
      <c r="J30" s="4" t="e">
        <f ca="1">VLOOKUP($H30,OFFSET([4]floors!$A$1,0,0,COUNTA([4]floors!$A:$A),MATCH(J$1,[4]floors!$1:$1,0)-MATCH($H$1,[4]floors!$1:$1,0)+1),MATCH(J$1,[4]floors!$1:$1,0)-MATCH($H$1,[4]floors!$1:$1,0)+1,FALSE)</f>
        <v>#VALUE!</v>
      </c>
      <c r="K30" s="33" t="s">
        <v>53</v>
      </c>
      <c r="L30" s="110">
        <v>51</v>
      </c>
      <c r="M30" s="15" t="e">
        <f ca="1">VLOOKUP($L30,OFFSET([5]enemies!$A$1,0,0,COUNTA([5]enemies!$A:$A),MATCH(M$1,[5]enemies!$1:$1,0)-MATCH($L$1,[5]enemies!$1:$1,0)+1),MATCH(M$1,[5]enemies!$1:$1,0)-MATCH($L$1,[5]enemies!$1:$1,0)+1,FALSE)</f>
        <v>#VALUE!</v>
      </c>
      <c r="N30" s="15" t="e">
        <f ca="1">VLOOKUP($L30,OFFSET([5]enemies!$A$1,0,0,COUNTA([5]enemies!$A:$A),MATCH(N$1,[5]enemies!$1:$1,0)-MATCH($L$1,[5]enemies!$1:$1,0)+1),MATCH(N$1,[5]enemies!$1:$1,0)-MATCH($L$1,[5]enemies!$1:$1,0)+1,FALSE)</f>
        <v>#VALUE!</v>
      </c>
      <c r="O30" s="15" t="str">
        <f ca="1">VLOOKUP($L30,OFFSET([6]characters!$A$1,0,0,COUNTA([6]characters!$A:$A),MATCH(O$1,[6]characters!$1:$1,0)-MATCH($L$1,[6]characters!$1:$1,0)+1),MATCH(O$1,[6]characters!$1:$1,0)-MATCH($L$1,[6]characters!$1:$1,0)+1,FALSE)</f>
        <v>Drop1N</v>
      </c>
      <c r="P30" s="15" t="e">
        <f ca="1">VLOOKUP($L30,OFFSET([5]enemies!$A$1,0,0,COUNTA([5]enemies!$A:$A),MATCH(P$1,[5]enemies!$1:$1,0)-MATCH($L$1,[5]enemies!$1:$1,0)+1),MATCH(P$1,[5]enemies!$1:$1,0)-MATCH($L$1,[5]enemies!$1:$1,0)+1,FALSE)</f>
        <v>#VALUE!</v>
      </c>
      <c r="Q30" s="15" t="e">
        <f ca="1">VLOOKUP($L30,OFFSET([5]enemies!$A$1,0,0,COUNTA([5]enemies!$A:$A),MATCH(Q$1,[5]enemies!$1:$1,0)-MATCH($L$1,[5]enemies!$1:$1,0)+1),MATCH(Q$1,[5]enemies!$1:$1,0)-MATCH($L$1,[5]enemies!$1:$1,0)+1,FALSE)</f>
        <v>#VALUE!</v>
      </c>
      <c r="R30" s="5">
        <v>60</v>
      </c>
      <c r="S30" s="153">
        <v>3.4</v>
      </c>
      <c r="T30" s="157" t="e">
        <f ca="1">ROUND(VLOOKUP(R30,[5]enemy_base_stats!$A:$F,2,FALSE) *INDIRECT("[EnemyMasterData.xlsm]enemies!Y"&amp;(L30+1))*  INDIRECT("[EnemyMasterData.xlsm]enemies!J"&amp;(L30+1))* INDIRECT("[EnemyMasterData.xlsm]enemies!O"&amp;(L30+1))* INDIRECT("[EnemyMasterData.xlsm]enemies!E"&amp;(L30+1))* INDIRECT("[EnemyMasterData.xlsm]enemies!S"&amp;(L30+1))* INDIRECT("[EnemyMasterData.xlsm]enemies!AD"&amp;(L30+1))*[6]ステータス!$B$2,0)*S30</f>
        <v>#REF!</v>
      </c>
      <c r="U30" s="129">
        <v>0.7</v>
      </c>
      <c r="V30" s="157" t="e">
        <f ca="1">ROUND(VLOOKUP(R30,[5]enemy_base_stats!$A:$F,3,FALSE) *INDIRECT("[EnemyMasterData.xlsm]enemies!Z"&amp;(L30+1))*  INDIRECT("[EnemyMasterData.xlsm]enemies!K"&amp;(L30+1))* INDIRECT("[EnemyMasterData.xlsm]enemies!P"&amp;(L30+1))* INDIRECT("[EnemyMasterData.xlsm]enemies!F"&amp;(L30+1))* INDIRECT("[EnemyMasterData.xlsm]enemies!T"&amp;(L30+1))* INDIRECT("[EnemyMasterData.xlsm]enemies!AE"&amp;(L30+1))*[6]ステータス!$C$2,0)*U30</f>
        <v>#REF!</v>
      </c>
      <c r="W30" s="157" t="e">
        <f t="shared" ca="1" si="0"/>
        <v>#REF!</v>
      </c>
      <c r="X30" s="157" t="e">
        <f t="shared" ca="1" si="1"/>
        <v>#REF!</v>
      </c>
      <c r="Y30" s="156">
        <v>0</v>
      </c>
      <c r="Z30" s="4" t="e">
        <f ca="1">VLOOKUP($AA30,OFFSET([4]enemy_skill_sets!$B$1,0,0,COUNTA([4]enemy_skill_sets!$B:$B),MATCH(M$1,[4]enemy_skill_sets!$1:$1,0)-MATCH($AA$1,[4]enemy_skill_sets!$1:$1,0)+2),MATCH(M$1,[4]enemy_skill_sets!$1:$1,0)-MATCH($AA$1,[4]enemy_skill_sets!$1:$1,0)+2,FALSE)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30" s="119">
        <v>41003014</v>
      </c>
      <c r="AB30" s="112">
        <v>1</v>
      </c>
      <c r="AC30" s="113">
        <v>100</v>
      </c>
      <c r="AD30" s="113">
        <v>0</v>
      </c>
      <c r="AE30" s="15">
        <v>2</v>
      </c>
      <c r="AF30" s="114">
        <f t="shared" si="20"/>
        <v>51</v>
      </c>
      <c r="AG30" s="4" t="str">
        <f ca="1">VLOOKUP($AF30,OFFSET([6]characters!$A$1,0,0,COUNTA([6]characters!$A:$A),MATCH(AG$1,[6]characters!$1:$1,0)-MATCH("character_id",[6]characters!$1:$1,0)+1),MATCH(AG$1,[6]characters!$1:$1,0)-MATCH("character_id",[6]characters!$1:$1,0)+1,FALSE)</f>
        <v>マイ</v>
      </c>
      <c r="AH30" s="4">
        <f ca="1">VLOOKUP($AF30,OFFSET([6]characters!$A$1,0,0,COUNTA([6]characters!$A:$A),MATCH(AH$1,[6]characters!$1:$1,0)-MATCH("character_id",[6]characters!$1:$1,0)+1),MATCH(AH$1,[6]characters!$1:$1,0)-MATCH("character_id",[6]characters!$1:$1,0)+1,FALSE)</f>
        <v>2</v>
      </c>
      <c r="AI30" s="4" t="str">
        <f ca="1">VLOOKUP($AF30,OFFSET([6]characters!$A$1,0,0,COUNTA([6]characters!$A:$A),MATCH(AI$1,[6]characters!$1:$1,0)-MATCH("character_id",[6]characters!$1:$1,0)+1),MATCH(AI$1,[6]characters!$1:$1,0)-MATCH("character_id",[6]characters!$1:$1,0)+1,FALSE)</f>
        <v>Drop1N</v>
      </c>
      <c r="AJ30" s="115">
        <v>1</v>
      </c>
      <c r="AK30" s="114">
        <f t="shared" ca="1" si="21"/>
        <v>2</v>
      </c>
      <c r="AL30" s="64">
        <v>0</v>
      </c>
      <c r="AM30" s="115">
        <v>0</v>
      </c>
      <c r="AN30" s="115">
        <v>0</v>
      </c>
      <c r="AO30" s="115">
        <v>0</v>
      </c>
      <c r="AP30" s="115">
        <v>0</v>
      </c>
      <c r="AQ30" s="115">
        <v>1</v>
      </c>
      <c r="AR30" s="64">
        <v>1</v>
      </c>
    </row>
    <row r="31" spans="1:44" s="117" customFormat="1" ht="21" customHeight="1" thickBot="1" x14ac:dyDescent="0.2">
      <c r="A31" s="108" t="str">
        <f t="shared" si="17"/>
        <v>65535_7-2/55&lt;lv60&gt;s2</v>
      </c>
      <c r="B31" s="6">
        <v>65535</v>
      </c>
      <c r="C31" s="94">
        <v>7</v>
      </c>
      <c r="D31" s="13" t="str">
        <f t="shared" si="18"/>
        <v>65535_7</v>
      </c>
      <c r="E31" s="4" t="str">
        <f ca="1">VLOOKUP($B31,OFFSET([2]quests!$A$1,0,0,COUNTA([2]quests!$A:$A),MATCH(E$1,[2]quests!$1:$1,0)-MATCH($B$1,[2]quests!$1:$1,0)+1),MATCH(E$1,[2]quests!$1:$1,0)-MATCH($B$1,[2]quests!$1:$1,0)+1,FALSE)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31" s="4" t="str">
        <f ca="1">VLOOKUP($D31,OFFSET([2]stages!$A$1,0,0,COUNTA([2]stages!$A:$A),MATCH(F$1,[2]stages!$2:$2,0)-MATCH($D$1,[2]stages!$2:$2,0)+1),MATCH(F$1,[2]stages!$2:$2,0)-MATCH($D$1,[2]stages!$2:$2,0)+1,FALSE)</f>
        <v>爆風ジャンヌ</v>
      </c>
      <c r="G31" s="109">
        <v>2</v>
      </c>
      <c r="H31" s="13" t="str">
        <f t="shared" si="19"/>
        <v>65535_7-2</v>
      </c>
      <c r="I31" s="4" t="e">
        <f ca="1">VLOOKUP($H31,OFFSET([4]floors!$A$1,0,0,COUNTA([4]floors!$A:$A),MATCH(I$1,[4]floors!$1:$1,0)-MATCH($H$1,[4]floors!$1:$1,0)+1),MATCH(I$1,[4]floors!$1:$1,0)-MATCH($H$1,[4]floors!$1:$1,0)+1,FALSE)</f>
        <v>#VALUE!</v>
      </c>
      <c r="J31" s="4" t="e">
        <f ca="1">VLOOKUP($H31,OFFSET([4]floors!$A$1,0,0,COUNTA([4]floors!$A:$A),MATCH(J$1,[4]floors!$1:$1,0)-MATCH($H$1,[4]floors!$1:$1,0)+1),MATCH(J$1,[4]floors!$1:$1,0)-MATCH($H$1,[4]floors!$1:$1,0)+1,FALSE)</f>
        <v>#VALUE!</v>
      </c>
      <c r="K31" s="33" t="s">
        <v>53</v>
      </c>
      <c r="L31" s="110">
        <v>55</v>
      </c>
      <c r="M31" s="15" t="e">
        <f ca="1">VLOOKUP($L31,OFFSET([5]enemies!$A$1,0,0,COUNTA([5]enemies!$A:$A),MATCH(M$1,[5]enemies!$1:$1,0)-MATCH($L$1,[5]enemies!$1:$1,0)+1),MATCH(M$1,[5]enemies!$1:$1,0)-MATCH($L$1,[5]enemies!$1:$1,0)+1,FALSE)</f>
        <v>#VALUE!</v>
      </c>
      <c r="N31" s="15" t="e">
        <f ca="1">VLOOKUP($L31,OFFSET([5]enemies!$A$1,0,0,COUNTA([5]enemies!$A:$A),MATCH(N$1,[5]enemies!$1:$1,0)-MATCH($L$1,[5]enemies!$1:$1,0)+1),MATCH(N$1,[5]enemies!$1:$1,0)-MATCH($L$1,[5]enemies!$1:$1,0)+1,FALSE)</f>
        <v>#VALUE!</v>
      </c>
      <c r="O31" s="15" t="str">
        <f ca="1">VLOOKUP($L31,OFFSET([6]characters!$A$1,0,0,COUNTA([6]characters!$A:$A),MATCH(O$1,[6]characters!$1:$1,0)-MATCH($L$1,[6]characters!$1:$1,0)+1),MATCH(O$1,[6]characters!$1:$1,0)-MATCH($L$1,[6]characters!$1:$1,0)+1,FALSE)</f>
        <v>Drop1N</v>
      </c>
      <c r="P31" s="15" t="e">
        <f ca="1">VLOOKUP($L31,OFFSET([5]enemies!$A$1,0,0,COUNTA([5]enemies!$A:$A),MATCH(P$1,[5]enemies!$1:$1,0)-MATCH($L$1,[5]enemies!$1:$1,0)+1),MATCH(P$1,[5]enemies!$1:$1,0)-MATCH($L$1,[5]enemies!$1:$1,0)+1,FALSE)</f>
        <v>#VALUE!</v>
      </c>
      <c r="Q31" s="15" t="e">
        <f ca="1">VLOOKUP($L31,OFFSET([5]enemies!$A$1,0,0,COUNTA([5]enemies!$A:$A),MATCH(Q$1,[5]enemies!$1:$1,0)-MATCH($L$1,[5]enemies!$1:$1,0)+1),MATCH(Q$1,[5]enemies!$1:$1,0)-MATCH($L$1,[5]enemies!$1:$1,0)+1,FALSE)</f>
        <v>#VALUE!</v>
      </c>
      <c r="R31" s="5">
        <v>60</v>
      </c>
      <c r="S31" s="153">
        <v>4</v>
      </c>
      <c r="T31" s="157" t="e">
        <f ca="1">ROUND(VLOOKUP(R31,[5]enemy_base_stats!$A:$F,2,FALSE) *INDIRECT("[EnemyMasterData.xlsm]enemies!Y"&amp;(L31+1))*  INDIRECT("[EnemyMasterData.xlsm]enemies!J"&amp;(L31+1))* INDIRECT("[EnemyMasterData.xlsm]enemies!O"&amp;(L31+1))* INDIRECT("[EnemyMasterData.xlsm]enemies!E"&amp;(L31+1))* INDIRECT("[EnemyMasterData.xlsm]enemies!S"&amp;(L31+1))* INDIRECT("[EnemyMasterData.xlsm]enemies!AD"&amp;(L31+1))*[6]ステータス!$B$2,0)*S31</f>
        <v>#REF!</v>
      </c>
      <c r="U31" s="129">
        <v>0.6</v>
      </c>
      <c r="V31" s="157" t="e">
        <f ca="1">ROUND(VLOOKUP(R31,[5]enemy_base_stats!$A:$F,3,FALSE) *INDIRECT("[EnemyMasterData.xlsm]enemies!Z"&amp;(L31+1))*  INDIRECT("[EnemyMasterData.xlsm]enemies!K"&amp;(L31+1))* INDIRECT("[EnemyMasterData.xlsm]enemies!P"&amp;(L31+1))* INDIRECT("[EnemyMasterData.xlsm]enemies!F"&amp;(L31+1))* INDIRECT("[EnemyMasterData.xlsm]enemies!T"&amp;(L31+1))* INDIRECT("[EnemyMasterData.xlsm]enemies!AE"&amp;(L31+1))*[6]ステータス!$C$2,0)*U31</f>
        <v>#REF!</v>
      </c>
      <c r="W31" s="157" t="e">
        <f t="shared" ca="1" si="0"/>
        <v>#REF!</v>
      </c>
      <c r="X31" s="157" t="e">
        <f t="shared" ca="1" si="1"/>
        <v>#REF!</v>
      </c>
      <c r="Y31" s="156">
        <v>0</v>
      </c>
      <c r="Z31" s="4" t="e">
        <f ca="1">VLOOKUP($AA31,OFFSET([4]enemy_skill_sets!$B$1,0,0,COUNTA([4]enemy_skill_sets!$B:$B),MATCH(M$1,[4]enemy_skill_sets!$1:$1,0)-MATCH($AA$1,[4]enemy_skill_sets!$1:$1,0)+2),MATCH(M$1,[4]enemy_skill_sets!$1:$1,0)-MATCH($AA$1,[4]enemy_skill_sets!$1:$1,0)+2,FALSE)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31" s="111">
        <v>41003015</v>
      </c>
      <c r="AB31" s="112">
        <v>1</v>
      </c>
      <c r="AC31" s="113">
        <v>100</v>
      </c>
      <c r="AD31" s="113">
        <v>0</v>
      </c>
      <c r="AE31" s="15">
        <v>2</v>
      </c>
      <c r="AF31" s="114">
        <f t="shared" si="20"/>
        <v>55</v>
      </c>
      <c r="AG31" s="4" t="str">
        <f ca="1">VLOOKUP($AF31,OFFSET([6]characters!$A$1,0,0,COUNTA([6]characters!$A:$A),MATCH(AG$1,[6]characters!$1:$1,0)-MATCH("character_id",[6]characters!$1:$1,0)+1),MATCH(AG$1,[6]characters!$1:$1,0)-MATCH("character_id",[6]characters!$1:$1,0)+1,FALSE)</f>
        <v>マミコ</v>
      </c>
      <c r="AH31" s="4">
        <f ca="1">VLOOKUP($AF31,OFFSET([6]characters!$A$1,0,0,COUNTA([6]characters!$A:$A),MATCH(AH$1,[6]characters!$1:$1,0)-MATCH("character_id",[6]characters!$1:$1,0)+1),MATCH(AH$1,[6]characters!$1:$1,0)-MATCH("character_id",[6]characters!$1:$1,0)+1,FALSE)</f>
        <v>2</v>
      </c>
      <c r="AI31" s="4" t="str">
        <f ca="1">VLOOKUP($AF31,OFFSET([6]characters!$A$1,0,0,COUNTA([6]characters!$A:$A),MATCH(AI$1,[6]characters!$1:$1,0)-MATCH("character_id",[6]characters!$1:$1,0)+1),MATCH(AI$1,[6]characters!$1:$1,0)-MATCH("character_id",[6]characters!$1:$1,0)+1,FALSE)</f>
        <v>Drop1N</v>
      </c>
      <c r="AJ31" s="115">
        <v>1</v>
      </c>
      <c r="AK31" s="114">
        <f t="shared" ca="1" si="21"/>
        <v>2</v>
      </c>
      <c r="AL31" s="118">
        <v>0</v>
      </c>
      <c r="AM31" s="115">
        <v>0</v>
      </c>
      <c r="AN31" s="115">
        <v>0</v>
      </c>
      <c r="AO31" s="115">
        <v>0</v>
      </c>
      <c r="AP31" s="115">
        <v>0</v>
      </c>
      <c r="AQ31" s="115">
        <v>1</v>
      </c>
      <c r="AR31" s="64">
        <v>1</v>
      </c>
    </row>
    <row r="32" spans="1:44" s="117" customFormat="1" ht="21" customHeight="1" thickBot="1" x14ac:dyDescent="0.2">
      <c r="A32" s="108" t="str">
        <f t="shared" si="17"/>
        <v>65535_7-3/258&lt;lv52&gt;s2</v>
      </c>
      <c r="B32" s="6">
        <v>65535</v>
      </c>
      <c r="C32" s="94">
        <v>7</v>
      </c>
      <c r="D32" s="13" t="str">
        <f t="shared" si="18"/>
        <v>65535_7</v>
      </c>
      <c r="E32" s="4" t="str">
        <f ca="1">VLOOKUP($B32,OFFSET([2]quests!$A$1,0,0,COUNTA([2]quests!$A:$A),MATCH(E$1,[2]quests!$1:$1,0)-MATCH($B$1,[2]quests!$1:$1,0)+1),MATCH(E$1,[2]quests!$1:$1,0)-MATCH($B$1,[2]quests!$1:$1,0)+1,FALSE)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32" s="4" t="str">
        <f ca="1">VLOOKUP($D32,OFFSET([2]stages!$A$1,0,0,COUNTA([2]stages!$A:$A),MATCH(F$1,[2]stages!$2:$2,0)-MATCH($D$1,[2]stages!$2:$2,0)+1),MATCH(F$1,[2]stages!$2:$2,0)-MATCH($D$1,[2]stages!$2:$2,0)+1,FALSE)</f>
        <v>爆風ジャンヌ</v>
      </c>
      <c r="G32" s="109">
        <v>3</v>
      </c>
      <c r="H32" s="13" t="str">
        <f t="shared" si="19"/>
        <v>65535_7-3</v>
      </c>
      <c r="I32" s="4" t="e">
        <f ca="1">VLOOKUP($H32,OFFSET([4]floors!$A$1,0,0,COUNTA([4]floors!$A:$A),MATCH(I$1,[4]floors!$1:$1,0)-MATCH($H$1,[4]floors!$1:$1,0)+1),MATCH(I$1,[4]floors!$1:$1,0)-MATCH($H$1,[4]floors!$1:$1,0)+1,FALSE)</f>
        <v>#VALUE!</v>
      </c>
      <c r="J32" s="4" t="e">
        <f ca="1">VLOOKUP($H32,OFFSET([4]floors!$A$1,0,0,COUNTA([4]floors!$A:$A),MATCH(J$1,[4]floors!$1:$1,0)-MATCH($H$1,[4]floors!$1:$1,0)+1),MATCH(J$1,[4]floors!$1:$1,0)-MATCH($H$1,[4]floors!$1:$1,0)+1,FALSE)</f>
        <v>#VALUE!</v>
      </c>
      <c r="K32" s="33">
        <v>5</v>
      </c>
      <c r="L32" s="110">
        <v>258</v>
      </c>
      <c r="M32" s="15" t="e">
        <f ca="1">VLOOKUP($L32,OFFSET([5]enemies!$A$1,0,0,COUNTA([5]enemies!$A:$A),MATCH(M$1,[5]enemies!$1:$1,0)-MATCH($L$1,[5]enemies!$1:$1,0)+1),MATCH(M$1,[5]enemies!$1:$1,0)-MATCH($L$1,[5]enemies!$1:$1,0)+1,FALSE)</f>
        <v>#VALUE!</v>
      </c>
      <c r="N32" s="15" t="e">
        <f ca="1">VLOOKUP($L32,OFFSET([5]enemies!$A$1,0,0,COUNTA([5]enemies!$A:$A),MATCH(N$1,[5]enemies!$1:$1,0)-MATCH($L$1,[5]enemies!$1:$1,0)+1),MATCH(N$1,[5]enemies!$1:$1,0)-MATCH($L$1,[5]enemies!$1:$1,0)+1,FALSE)</f>
        <v>#VALUE!</v>
      </c>
      <c r="O32" s="15" t="str">
        <f ca="1">VLOOKUP($L32,OFFSET([6]characters!$A$1,0,0,COUNTA([6]characters!$A:$A),MATCH(O$1,[6]characters!$1:$1,0)-MATCH($L$1,[6]characters!$1:$1,0)+1),MATCH(O$1,[6]characters!$1:$1,0)-MATCH($L$1,[6]characters!$1:$1,0)+1,FALSE)</f>
        <v>PremiumS</v>
      </c>
      <c r="P32" s="15" t="e">
        <f ca="1">VLOOKUP($L32,OFFSET([5]enemies!$A$1,0,0,COUNTA([5]enemies!$A:$A),MATCH(P$1,[5]enemies!$1:$1,0)-MATCH($L$1,[5]enemies!$1:$1,0)+1),MATCH(P$1,[5]enemies!$1:$1,0)-MATCH($L$1,[5]enemies!$1:$1,0)+1,FALSE)</f>
        <v>#VALUE!</v>
      </c>
      <c r="Q32" s="15" t="e">
        <f ca="1">VLOOKUP($L32,OFFSET([5]enemies!$A$1,0,0,COUNTA([5]enemies!$A:$A),MATCH(Q$1,[5]enemies!$1:$1,0)-MATCH($L$1,[5]enemies!$1:$1,0)+1),MATCH(Q$1,[5]enemies!$1:$1,0)-MATCH($L$1,[5]enemies!$1:$1,0)+1,FALSE)</f>
        <v>#VALUE!</v>
      </c>
      <c r="R32" s="5">
        <v>52</v>
      </c>
      <c r="S32" s="153">
        <v>2.5</v>
      </c>
      <c r="T32" s="157" t="e">
        <f ca="1">ROUND(VLOOKUP(R32,[5]enemy_base_stats!$A:$F,2,FALSE) *INDIRECT("[EnemyMasterData.xlsm]enemies!Y"&amp;(L32+1))*  INDIRECT("[EnemyMasterData.xlsm]enemies!J"&amp;(L32+1))* INDIRECT("[EnemyMasterData.xlsm]enemies!O"&amp;(L32+1))* INDIRECT("[EnemyMasterData.xlsm]enemies!E"&amp;(L32+1))* INDIRECT("[EnemyMasterData.xlsm]enemies!S"&amp;(L32+1))* INDIRECT("[EnemyMasterData.xlsm]enemies!AD"&amp;(L32+1))*[6]ステータス!$B$2,0)*S32</f>
        <v>#REF!</v>
      </c>
      <c r="U32" s="129">
        <v>1.2</v>
      </c>
      <c r="V32" s="157" t="e">
        <f ca="1">ROUND(VLOOKUP(R32,[5]enemy_base_stats!$A:$F,3,FALSE) *INDIRECT("[EnemyMasterData.xlsm]enemies!Z"&amp;(L32+1))*  INDIRECT("[EnemyMasterData.xlsm]enemies!K"&amp;(L32+1))* INDIRECT("[EnemyMasterData.xlsm]enemies!P"&amp;(L32+1))* INDIRECT("[EnemyMasterData.xlsm]enemies!F"&amp;(L32+1))* INDIRECT("[EnemyMasterData.xlsm]enemies!T"&amp;(L32+1))* INDIRECT("[EnemyMasterData.xlsm]enemies!AE"&amp;(L32+1))*[6]ステータス!$C$2,0)*U32</f>
        <v>#REF!</v>
      </c>
      <c r="W32" s="157" t="e">
        <f t="shared" ca="1" si="0"/>
        <v>#REF!</v>
      </c>
      <c r="X32" s="157" t="e">
        <f t="shared" ca="1" si="1"/>
        <v>#REF!</v>
      </c>
      <c r="Y32" s="156">
        <v>0</v>
      </c>
      <c r="Z32" s="4" t="e">
        <f ca="1">VLOOKUP($AA32,OFFSET([4]enemy_skill_sets!$B$1,0,0,COUNTA([4]enemy_skill_sets!$B:$B),MATCH(M$1,[4]enemy_skill_sets!$1:$1,0)-MATCH($AA$1,[4]enemy_skill_sets!$1:$1,0)+2),MATCH(M$1,[4]enemy_skill_sets!$1:$1,0)-MATCH($AA$1,[4]enemy_skill_sets!$1:$1,0)+2,FALSE)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32" s="111">
        <v>41003016</v>
      </c>
      <c r="AB32" s="112">
        <v>0</v>
      </c>
      <c r="AC32" s="113">
        <v>100</v>
      </c>
      <c r="AD32" s="113">
        <v>1</v>
      </c>
      <c r="AE32" s="15">
        <v>2</v>
      </c>
      <c r="AF32" s="114">
        <f t="shared" si="20"/>
        <v>258</v>
      </c>
      <c r="AG32" s="162" t="str">
        <f ca="1">VLOOKUP($AF32,OFFSET([6]characters!$A$1,0,0,COUNTA([6]characters!$A:$A),MATCH(AG$1,[6]characters!$1:$1,0)-MATCH("character_id",[6]characters!$1:$1,0)+1),MATCH(AG$1,[6]characters!$1:$1,0)-MATCH("character_id",[6]characters!$1:$1,0)+1,FALSE)</f>
        <v>色欲の源流 アスモデウス</v>
      </c>
      <c r="AH32" s="4">
        <f ca="1">VLOOKUP($AF32,OFFSET([6]characters!$A$1,0,0,COUNTA([6]characters!$A:$A),MATCH(AH$1,[6]characters!$1:$1,0)-MATCH("character_id",[6]characters!$1:$1,0)+1),MATCH(AH$1,[6]characters!$1:$1,0)-MATCH("character_id",[6]characters!$1:$1,0)+1,FALSE)</f>
        <v>5</v>
      </c>
      <c r="AI32" s="4" t="str">
        <f ca="1">VLOOKUP($AF32,OFFSET([6]characters!$A$1,0,0,COUNTA([6]characters!$A:$A),MATCH(AI$1,[6]characters!$1:$1,0)-MATCH("character_id",[6]characters!$1:$1,0)+1),MATCH(AI$1,[6]characters!$1:$1,0)-MATCH("character_id",[6]characters!$1:$1,0)+1,FALSE)</f>
        <v>PremiumS</v>
      </c>
      <c r="AJ32" s="115">
        <v>1</v>
      </c>
      <c r="AK32" s="114">
        <f t="shared" ca="1" si="21"/>
        <v>5</v>
      </c>
      <c r="AL32" s="64">
        <v>0</v>
      </c>
      <c r="AM32" s="115">
        <v>0</v>
      </c>
      <c r="AN32" s="115">
        <v>0</v>
      </c>
      <c r="AO32" s="115">
        <v>0</v>
      </c>
      <c r="AP32" s="115">
        <v>0</v>
      </c>
      <c r="AQ32" s="115">
        <v>1</v>
      </c>
      <c r="AR32" s="64">
        <v>1</v>
      </c>
    </row>
    <row r="33" spans="1:44" s="140" customFormat="1" ht="21" customHeight="1" thickBot="1" x14ac:dyDescent="0.2">
      <c r="A33" s="108" t="str">
        <f t="shared" si="17"/>
        <v>65535_7-4/315&lt;lv80&gt;s2</v>
      </c>
      <c r="B33" s="159">
        <v>65535</v>
      </c>
      <c r="C33" s="160">
        <v>7</v>
      </c>
      <c r="D33" s="161" t="str">
        <f t="shared" si="18"/>
        <v>65535_7</v>
      </c>
      <c r="E33" s="162" t="str">
        <f ca="1">VLOOKUP($B33,OFFSET([2]quests!$A$1,0,0,COUNTA([2]quests!$A:$A),MATCH(E$1,[2]quests!$1:$1,0)-MATCH($B$1,[2]quests!$1:$1,0)+1),MATCH(E$1,[2]quests!$1:$1,0)-MATCH($B$1,[2]quests!$1:$1,0)+1,FALSE)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33" s="162" t="str">
        <f ca="1">VLOOKUP($D33,OFFSET([2]stages!$A$1,0,0,COUNTA([2]stages!$A:$A),MATCH(F$1,[2]stages!$2:$2,0)-MATCH($D$1,[2]stages!$2:$2,0)+1),MATCH(F$1,[2]stages!$2:$2,0)-MATCH($D$1,[2]stages!$2:$2,0)+1,FALSE)</f>
        <v>爆風ジャンヌ</v>
      </c>
      <c r="G33" s="163">
        <v>4</v>
      </c>
      <c r="H33" s="161" t="str">
        <f t="shared" si="19"/>
        <v>65535_7-4</v>
      </c>
      <c r="I33" s="162" t="e">
        <f ca="1">VLOOKUP($H33,OFFSET([4]floors!$A$1,0,0,COUNTA([4]floors!$A:$A),MATCH(I$1,[4]floors!$1:$1,0)-MATCH($H$1,[4]floors!$1:$1,0)+1),MATCH(I$1,[4]floors!$1:$1,0)-MATCH($H$1,[4]floors!$1:$1,0)+1,FALSE)</f>
        <v>#VALUE!</v>
      </c>
      <c r="J33" s="162" t="e">
        <f ca="1">VLOOKUP($H33,OFFSET([4]floors!$A$1,0,0,COUNTA([4]floors!$A:$A),MATCH(J$1,[4]floors!$1:$1,0)-MATCH($H$1,[4]floors!$1:$1,0)+1),MATCH(J$1,[4]floors!$1:$1,0)-MATCH($H$1,[4]floors!$1:$1,0)+1,FALSE)</f>
        <v>#VALUE!</v>
      </c>
      <c r="K33" s="164">
        <v>6</v>
      </c>
      <c r="L33" s="165">
        <v>315</v>
      </c>
      <c r="M33" s="134" t="e">
        <f ca="1">VLOOKUP($L33,OFFSET([5]enemies!$A$1,0,0,COUNTA([5]enemies!$A:$A),MATCH(M$1,[5]enemies!$1:$1,0)-MATCH($L$1,[5]enemies!$1:$1,0)+1),MATCH(M$1,[5]enemies!$1:$1,0)-MATCH($L$1,[5]enemies!$1:$1,0)+1,FALSE)</f>
        <v>#VALUE!</v>
      </c>
      <c r="N33" s="134" t="e">
        <f ca="1">VLOOKUP($L33,OFFSET([5]enemies!$A$1,0,0,COUNTA([5]enemies!$A:$A),MATCH(N$1,[5]enemies!$1:$1,0)-MATCH($L$1,[5]enemies!$1:$1,0)+1),MATCH(N$1,[5]enemies!$1:$1,0)-MATCH($L$1,[5]enemies!$1:$1,0)+1,FALSE)</f>
        <v>#VALUE!</v>
      </c>
      <c r="O33" s="134" t="str">
        <f ca="1">VLOOKUP($L33,OFFSET([6]characters!$A$1,0,0,COUNTA([6]characters!$A:$A),MATCH(O$1,[6]characters!$1:$1,0)-MATCH($L$1,[6]characters!$1:$1,0)+1),MATCH(O$1,[6]characters!$1:$1,0)-MATCH($L$1,[6]characters!$1:$1,0)+1,FALSE)</f>
        <v>DropWizS</v>
      </c>
      <c r="P33" s="134" t="e">
        <f ca="1">VLOOKUP($L33,OFFSET([5]enemies!$A$1,0,0,COUNTA([5]enemies!$A:$A),MATCH(P$1,[5]enemies!$1:$1,0)-MATCH($L$1,[5]enemies!$1:$1,0)+1),MATCH(P$1,[5]enemies!$1:$1,0)-MATCH($L$1,[5]enemies!$1:$1,0)+1,FALSE)</f>
        <v>#VALUE!</v>
      </c>
      <c r="Q33" s="134" t="e">
        <f ca="1">VLOOKUP($L33,OFFSET([5]enemies!$A$1,0,0,COUNTA([5]enemies!$A:$A),MATCH(Q$1,[5]enemies!$1:$1,0)-MATCH($L$1,[5]enemies!$1:$1,0)+1),MATCH(Q$1,[5]enemies!$1:$1,0)-MATCH($L$1,[5]enemies!$1:$1,0)+1,FALSE)</f>
        <v>#VALUE!</v>
      </c>
      <c r="R33" s="166">
        <v>80</v>
      </c>
      <c r="S33" s="167">
        <v>3.4</v>
      </c>
      <c r="T33" s="168" t="e">
        <f ca="1">ROUND(VLOOKUP(R33,[5]enemy_base_stats!$A:$F,2,FALSE) *INDIRECT("[EnemyMasterData.xlsm]enemies!Y"&amp;(L33+1))*  INDIRECT("[EnemyMasterData.xlsm]enemies!J"&amp;(L33+1))* INDIRECT("[EnemyMasterData.xlsm]enemies!O"&amp;(L33+1))* INDIRECT("[EnemyMasterData.xlsm]enemies!E"&amp;(L33+1))* INDIRECT("[EnemyMasterData.xlsm]enemies!S"&amp;(L33+1))* INDIRECT("[EnemyMasterData.xlsm]enemies!AD"&amp;(L33+1))*[6]ステータス!$B$2,0)*S33</f>
        <v>#REF!</v>
      </c>
      <c r="U33" s="169">
        <v>2</v>
      </c>
      <c r="V33" s="168" t="e">
        <f ca="1">ROUND(VLOOKUP(R33,[5]enemy_base_stats!$A:$F,3,FALSE) *INDIRECT("[EnemyMasterData.xlsm]enemies!Z"&amp;(L33+1))*  INDIRECT("[EnemyMasterData.xlsm]enemies!K"&amp;(L33+1))* INDIRECT("[EnemyMasterData.xlsm]enemies!P"&amp;(L33+1))* INDIRECT("[EnemyMasterData.xlsm]enemies!F"&amp;(L33+1))* INDIRECT("[EnemyMasterData.xlsm]enemies!T"&amp;(L33+1))* INDIRECT("[EnemyMasterData.xlsm]enemies!AE"&amp;(L33+1))*[6]ステータス!$C$2,0)*U33</f>
        <v>#REF!</v>
      </c>
      <c r="W33" s="168" t="e">
        <f t="shared" ca="1" si="0"/>
        <v>#REF!</v>
      </c>
      <c r="X33" s="168" t="e">
        <f t="shared" ca="1" si="1"/>
        <v>#REF!</v>
      </c>
      <c r="Y33" s="170">
        <v>0</v>
      </c>
      <c r="Z33" s="162" t="e">
        <f ca="1">VLOOKUP($AA33,OFFSET([4]enemy_skill_sets!$B$1,0,0,COUNTA([4]enemy_skill_sets!$B:$B),MATCH(M$1,[4]enemy_skill_sets!$1:$1,0)-MATCH($AA$1,[4]enemy_skill_sets!$1:$1,0)+2),MATCH(M$1,[4]enemy_skill_sets!$1:$1,0)-MATCH($AA$1,[4]enemy_skill_sets!$1:$1,0)+2,FALSE)</f>
        <v>#VALUE!</v>
      </c>
      <c r="AA33" s="171">
        <v>41003017</v>
      </c>
      <c r="AB33" s="172">
        <v>0</v>
      </c>
      <c r="AC33" s="173">
        <v>100</v>
      </c>
      <c r="AD33" s="173">
        <v>1</v>
      </c>
      <c r="AE33" s="134">
        <v>2</v>
      </c>
      <c r="AF33" s="135">
        <v>314</v>
      </c>
      <c r="AG33" s="229" t="str">
        <f ca="1">VLOOKUP($AF33,OFFSET([6]characters!$A$1,0,0,COUNTA([6]characters!$A:$A),MATCH(AG$1,[6]characters!$1:$1,0)-MATCH("character_id",[6]characters!$1:$1,0)+1),MATCH(AG$1,[6]characters!$1:$1,0)-MATCH("character_id",[6]characters!$1:$1,0)+1,FALSE)</f>
        <v>ジャンヌ</v>
      </c>
      <c r="AH33" s="228">
        <f ca="1">VLOOKUP($AF33,OFFSET([6]characters!$A$1,0,0,COUNTA([6]characters!$A:$A),MATCH(AH$1,[6]characters!$1:$1,0)-MATCH("character_id",[6]characters!$1:$1,0)+1),MATCH(AH$1,[6]characters!$1:$1,0)-MATCH("character_id",[6]characters!$1:$1,0)+1,FALSE)</f>
        <v>4</v>
      </c>
      <c r="AI33" s="162" t="str">
        <f ca="1">VLOOKUP($AF33,OFFSET([6]characters!$A$1,0,0,COUNTA([6]characters!$A:$A),MATCH(AI$1,[6]characters!$1:$1,0)-MATCH("character_id",[6]characters!$1:$1,0)+1),MATCH(AI$1,[6]characters!$1:$1,0)-MATCH("character_id",[6]characters!$1:$1,0)+1,FALSE)</f>
        <v>DropWizS</v>
      </c>
      <c r="AJ33" s="159">
        <v>1</v>
      </c>
      <c r="AK33" s="135">
        <f t="shared" ca="1" si="21"/>
        <v>4</v>
      </c>
      <c r="AL33" s="174">
        <v>100</v>
      </c>
      <c r="AM33" s="159">
        <v>0</v>
      </c>
      <c r="AN33" s="159">
        <v>0</v>
      </c>
      <c r="AO33" s="159">
        <v>0</v>
      </c>
      <c r="AP33" s="159">
        <v>0</v>
      </c>
      <c r="AQ33" s="159">
        <v>1</v>
      </c>
      <c r="AR33" s="116">
        <v>1</v>
      </c>
    </row>
    <row r="34" spans="1:44" ht="21" customHeight="1" thickBot="1" x14ac:dyDescent="0.2">
      <c r="A34" s="14" t="str">
        <f t="shared" ref="A34:A40" si="22">B34&amp;"_"&amp;C34&amp;"-"&amp;G34&amp;"/"&amp;L34&amp;"&lt;lv"&amp;R34&amp;"&gt;s"&amp;AE34</f>
        <v>65535_8-1/81&lt;lv60&gt;s1</v>
      </c>
      <c r="B34" s="159">
        <v>65535</v>
      </c>
      <c r="C34" s="94">
        <v>8</v>
      </c>
      <c r="D34" s="95" t="str">
        <f t="shared" ref="D34:D40" si="23">B34&amp;"_"&amp;C34</f>
        <v>65535_8</v>
      </c>
      <c r="E34" s="96" t="str">
        <f ca="1">VLOOKUP($B34,OFFSET([2]quests!$A$1,0,0,COUNTA([2]quests!$A:$A),MATCH(E$1,[2]quests!$1:$1,0)-MATCH($B$1,[2]quests!$1:$1,0)+1),MATCH(E$1,[2]quests!$1:$1,0)-MATCH($B$1,[2]quests!$1:$1,0)+1,FALSE)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34" s="96" t="str">
        <f ca="1">VLOOKUP($D34,OFFSET([2]stages!$A$1,0,0,COUNTA([2]stages!$A:$A),MATCH(F$1,[2]stages!$2:$2,0)-MATCH($D$1,[2]stages!$2:$2,0)+1),MATCH(F$1,[2]stages!$2:$2,0)-MATCH($D$1,[2]stages!$2:$2,0)+1,FALSE)</f>
        <v>テスト</v>
      </c>
      <c r="G34" s="94">
        <v>1</v>
      </c>
      <c r="H34" s="95" t="str">
        <f t="shared" ref="H34:H40" si="24">B34&amp;"_"&amp;C34&amp;"-"&amp;G34</f>
        <v>65535_8-1</v>
      </c>
      <c r="I34" s="96" t="e">
        <f ca="1">VLOOKUP($H34,OFFSET([3]floors!$A$1,0,0,COUNTA([3]floors!$A:$A),MATCH(I$1,[3]floors!$1:$1,0)-MATCH($H$1,[3]floors!$1:$1,0)+1),MATCH(I$1,[3]floors!$1:$1,0)-MATCH($H$1,[3]floors!$1:$1,0)+1,FALSE)</f>
        <v>#VALUE!</v>
      </c>
      <c r="J34" s="96" t="e">
        <f ca="1">VLOOKUP($H34,OFFSET([3]floors!$A$1,0,0,COUNTA([3]floors!$A:$A),MATCH(J$1,[3]floors!$1:$1,0)-MATCH($H$1,[3]floors!$1:$1,0)+1),MATCH(J$1,[3]floors!$1:$1,0)-MATCH($H$1,[3]floors!$1:$1,0)+1,FALSE)</f>
        <v>#VALUE!</v>
      </c>
      <c r="K34" s="97" t="s">
        <v>301</v>
      </c>
      <c r="L34" s="98">
        <v>81</v>
      </c>
      <c r="M34" s="99" t="e">
        <f ca="1">VLOOKUP($L34,OFFSET([5]enemies!$A$1,0,0,COUNTA([5]enemies!$A:$A),MATCH(M$1,[5]enemies!$1:$1,0)-MATCH($L$1,[5]enemies!$1:$1,0)+1),MATCH(M$1,[5]enemies!$1:$1,0)-MATCH($L$1,[5]enemies!$1:$1,0)+1,FALSE)</f>
        <v>#VALUE!</v>
      </c>
      <c r="N34" s="99" t="e">
        <f ca="1">VLOOKUP($L34,OFFSET([5]enemies!$A$1,0,0,COUNTA([5]enemies!$A:$A),MATCH(N$1,[5]enemies!$1:$1,0)-MATCH($L$1,[5]enemies!$1:$1,0)+1),MATCH(N$1,[5]enemies!$1:$1,0)-MATCH($L$1,[5]enemies!$1:$1,0)+1,FALSE)</f>
        <v>#VALUE!</v>
      </c>
      <c r="O34" s="99" t="str">
        <f ca="1">VLOOKUP($L34,OFFSET([6]characters!$A$1,0,0,COUNTA([6]characters!$A:$A),MATCH(O$1,[6]characters!$1:$1,0)-MATCH($L$1,[6]characters!$1:$1,0)+1),MATCH(O$1,[6]characters!$1:$1,0)-MATCH($L$1,[6]characters!$1:$1,0)+1,FALSE)</f>
        <v>DropWizW</v>
      </c>
      <c r="P34" s="99" t="e">
        <f ca="1">VLOOKUP($L34,OFFSET([5]enemies!$A$1,0,0,COUNTA([5]enemies!$A:$A),MATCH(P$1,[5]enemies!$1:$1,0)-MATCH($L$1,[5]enemies!$1:$1,0)+1),MATCH(P$1,[5]enemies!$1:$1,0)-MATCH($L$1,[5]enemies!$1:$1,0)+1,FALSE)</f>
        <v>#VALUE!</v>
      </c>
      <c r="Q34" s="99" t="e">
        <f ca="1">VLOOKUP($L34,OFFSET([5]enemies!$A$1,0,0,COUNTA([5]enemies!$A:$A),MATCH(Q$1,[5]enemies!$1:$1,0)-MATCH($L$1,[5]enemies!$1:$1,0)+1),MATCH(Q$1,[5]enemies!$1:$1,0)-MATCH($L$1,[5]enemies!$1:$1,0)+1,FALSE)</f>
        <v>#VALUE!</v>
      </c>
      <c r="R34" s="100">
        <v>60</v>
      </c>
      <c r="S34" s="192">
        <v>1</v>
      </c>
      <c r="T34" s="175" t="e">
        <f ca="1">ROUND(VLOOKUP(R34,[5]enemy_base_stats!$A:$F,2,FALSE) *INDIRECT("[EnemyMasterData.xlsm]enemies!Y"&amp;(L34+1))*  INDIRECT("[EnemyMasterData.xlsm]enemies!J"&amp;(L34+1))* INDIRECT("[EnemyMasterData.xlsm]enemies!O"&amp;(L34+1))* INDIRECT("[EnemyMasterData.xlsm]enemies!E"&amp;(L34+1))* INDIRECT("[EnemyMasterData.xlsm]enemies!S"&amp;(L34+1))* INDIRECT("[EnemyMasterData.xlsm]enemies!AD"&amp;(L34+1))*[6]ステータス!$B$2,0)*S34</f>
        <v>#REF!</v>
      </c>
      <c r="U34" s="192">
        <v>1.1000000000000001</v>
      </c>
      <c r="V34" s="175" t="e">
        <f ca="1">ROUND(VLOOKUP(R34,[5]enemy_base_stats!$A:$F,3,FALSE) *INDIRECT("[EnemyMasterData.xlsm]enemies!Z"&amp;(L34+1))*  INDIRECT("[EnemyMasterData.xlsm]enemies!K"&amp;(L34+1))* INDIRECT("[EnemyMasterData.xlsm]enemies!P"&amp;(L34+1))* INDIRECT("[EnemyMasterData.xlsm]enemies!F"&amp;(L34+1))* INDIRECT("[EnemyMasterData.xlsm]enemies!T"&amp;(L34+1))* INDIRECT("[EnemyMasterData.xlsm]enemies!AE"&amp;(L34+1))*[6]ステータス!$C$2,0)*U34</f>
        <v>#REF!</v>
      </c>
      <c r="W34" s="175" t="e">
        <f t="shared" ref="W34:W40" ca="1" si="25">V34*0.7</f>
        <v>#REF!</v>
      </c>
      <c r="X34" s="175" t="e">
        <f ca="1">V34/AE34</f>
        <v>#REF!</v>
      </c>
      <c r="Y34" s="100">
        <v>0</v>
      </c>
      <c r="Z34" s="99" t="e">
        <f ca="1">VLOOKUP($AA34,OFFSET([7]enemy_skill_sets!$B$1,0,0,COUNTA([7]enemy_skill_sets!$B:$B),MATCH(M$1,[7]enemy_skill_sets!$1:$1,0)-MATCH($Y$1,[7]enemy_skill_sets!$1:$1,0)+2),MATCH(M$1,[7]enemy_skill_sets!$1:$1,0)-MATCH($Y$1,[7]enemy_skill_sets!$1:$1,0)+2,FALSE)</f>
        <v>#N/A</v>
      </c>
      <c r="AA34" s="42">
        <v>65535105</v>
      </c>
      <c r="AB34" s="230">
        <v>1</v>
      </c>
      <c r="AC34" s="193">
        <v>100</v>
      </c>
      <c r="AD34" s="193">
        <v>1</v>
      </c>
      <c r="AE34" s="99">
        <v>1</v>
      </c>
      <c r="AF34" s="104">
        <f t="shared" ref="AF34:AF40" si="26">L34</f>
        <v>81</v>
      </c>
      <c r="AG34" s="16" t="str">
        <f ca="1">VLOOKUP($AF34,OFFSET([6]characters!$A$1,0,0,COUNTA([6]characters!$A:$A),MATCH(AG$1,[6]characters!$1:$1,0)-MATCH("character_id",[6]characters!$1:$1,0)+1),MATCH(AG$1,[6]characters!$1:$1,0)-MATCH("character_id",[6]characters!$1:$1,0)+1,FALSE)</f>
        <v>増幅型モリス</v>
      </c>
      <c r="AH34" s="16">
        <f ca="1">VLOOKUP($AF34,OFFSET([6]characters!$A$1,0,0,COUNTA([6]characters!$A:$A),MATCH(AH$1,[6]characters!$1:$1,0)-MATCH("character_id",[6]characters!$1:$1,0)+1),MATCH(AH$1,[6]characters!$1:$1,0)-MATCH("character_id",[6]characters!$1:$1,0)+1,FALSE)</f>
        <v>3</v>
      </c>
      <c r="AI34" s="16" t="str">
        <f ca="1">VLOOKUP($AF34,OFFSET([6]characters!$A$1,0,0,COUNTA([6]characters!$A:$A),MATCH(AG$1,[6]characters!$1:$1,0)-MATCH("character_id",[6]characters!$1:$1,0)+1),MATCH(AG$1,[6]characters!$1:$1,0)-MATCH("character_id",[6]characters!$1:$1,0)+1,FALSE)</f>
        <v>増幅型モリス</v>
      </c>
      <c r="AJ34" s="115">
        <v>1</v>
      </c>
      <c r="AK34" s="104">
        <f t="shared" ref="AK34:AK40" ca="1" si="27">AH34</f>
        <v>3</v>
      </c>
      <c r="AL34" s="194">
        <v>0</v>
      </c>
      <c r="AM34" s="105">
        <v>0</v>
      </c>
      <c r="AN34" s="105">
        <v>0</v>
      </c>
      <c r="AO34" s="105">
        <v>0</v>
      </c>
      <c r="AP34" s="105">
        <v>0</v>
      </c>
      <c r="AQ34" s="105">
        <v>1</v>
      </c>
      <c r="AR34" s="176">
        <v>1</v>
      </c>
    </row>
    <row r="35" spans="1:44" ht="21" customHeight="1" thickBot="1" x14ac:dyDescent="0.2">
      <c r="A35" s="14" t="str">
        <f t="shared" si="22"/>
        <v>65535_8-1/35&lt;lv60&gt;s2</v>
      </c>
      <c r="B35" s="159">
        <v>65535</v>
      </c>
      <c r="C35" s="109">
        <v>8</v>
      </c>
      <c r="D35" s="13" t="str">
        <f t="shared" si="23"/>
        <v>65535_8</v>
      </c>
      <c r="E35" s="4" t="str">
        <f ca="1">VLOOKUP($B35,OFFSET([2]quests!$A$1,0,0,COUNTA([2]quests!$A:$A),MATCH(E$1,[2]quests!$1:$1,0)-MATCH($B$1,[2]quests!$1:$1,0)+1),MATCH(E$1,[2]quests!$1:$1,0)-MATCH($B$1,[2]quests!$1:$1,0)+1,FALSE)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35" s="96" t="str">
        <f ca="1">VLOOKUP($D35,OFFSET([2]stages!$A$1,0,0,COUNTA([2]stages!$A:$A),MATCH(F$1,[2]stages!$2:$2,0)-MATCH($D$1,[2]stages!$2:$2,0)+1),MATCH(F$1,[2]stages!$2:$2,0)-MATCH($D$1,[2]stages!$2:$2,0)+1,FALSE)</f>
        <v>テスト</v>
      </c>
      <c r="G35" s="109">
        <v>1</v>
      </c>
      <c r="H35" s="13" t="str">
        <f t="shared" si="24"/>
        <v>65535_8-1</v>
      </c>
      <c r="I35" s="4" t="e">
        <f ca="1">VLOOKUP($H35,OFFSET([3]floors!$A$1,0,0,COUNTA([3]floors!$A:$A),MATCH(I$1,[3]floors!$1:$1,0)-MATCH($H$1,[3]floors!$1:$1,0)+1),MATCH(I$1,[3]floors!$1:$1,0)-MATCH($H$1,[3]floors!$1:$1,0)+1,FALSE)</f>
        <v>#VALUE!</v>
      </c>
      <c r="J35" s="4" t="e">
        <f ca="1">VLOOKUP($H35,OFFSET([3]floors!$A$1,0,0,COUNTA([3]floors!$A:$A),MATCH(J$1,[3]floors!$1:$1,0)-MATCH($H$1,[3]floors!$1:$1,0)+1),MATCH(J$1,[3]floors!$1:$1,0)-MATCH($H$1,[3]floors!$1:$1,0)+1,FALSE)</f>
        <v>#VALUE!</v>
      </c>
      <c r="K35" s="33" t="s">
        <v>302</v>
      </c>
      <c r="L35" s="110">
        <v>35</v>
      </c>
      <c r="M35" s="15" t="e">
        <f ca="1">VLOOKUP($L35,OFFSET([5]enemies!$A$1,0,0,COUNTA([5]enemies!$A:$A),MATCH(M$1,[5]enemies!$1:$1,0)-MATCH($L$1,[5]enemies!$1:$1,0)+1),MATCH(M$1,[5]enemies!$1:$1,0)-MATCH($L$1,[5]enemies!$1:$1,0)+1,FALSE)</f>
        <v>#VALUE!</v>
      </c>
      <c r="N35" s="15" t="e">
        <f ca="1">VLOOKUP($L35,OFFSET([5]enemies!$A$1,0,0,COUNTA([5]enemies!$A:$A),MATCH(N$1,[5]enemies!$1:$1,0)-MATCH($L$1,[5]enemies!$1:$1,0)+1),MATCH(N$1,[5]enemies!$1:$1,0)-MATCH($L$1,[5]enemies!$1:$1,0)+1,FALSE)</f>
        <v>#VALUE!</v>
      </c>
      <c r="O35" s="15" t="str">
        <f ca="1">VLOOKUP($L35,OFFSET([6]characters!$A$1,0,0,COUNTA([6]characters!$A:$A),MATCH(O$1,[6]characters!$1:$1,0)-MATCH($L$1,[6]characters!$1:$1,0)+1),MATCH(O$1,[6]characters!$1:$1,0)-MATCH($L$1,[6]characters!$1:$1,0)+1,FALSE)</f>
        <v>Drop1S</v>
      </c>
      <c r="P35" s="15" t="e">
        <f ca="1">VLOOKUP($L35,OFFSET([5]enemies!$A$1,0,0,COUNTA([5]enemies!$A:$A),MATCH(P$1,[5]enemies!$1:$1,0)-MATCH($L$1,[5]enemies!$1:$1,0)+1),MATCH(P$1,[5]enemies!$1:$1,0)-MATCH($L$1,[5]enemies!$1:$1,0)+1,FALSE)</f>
        <v>#VALUE!</v>
      </c>
      <c r="Q35" s="15" t="e">
        <f ca="1">VLOOKUP($L35,OFFSET([5]enemies!$A$1,0,0,COUNTA([5]enemies!$A:$A),MATCH(Q$1,[5]enemies!$1:$1,0)-MATCH($L$1,[5]enemies!$1:$1,0)+1),MATCH(Q$1,[5]enemies!$1:$1,0)-MATCH($L$1,[5]enemies!$1:$1,0)+1,FALSE)</f>
        <v>#VALUE!</v>
      </c>
      <c r="R35" s="5">
        <v>60</v>
      </c>
      <c r="S35" s="20">
        <v>3.5</v>
      </c>
      <c r="T35" s="157" t="e">
        <f ca="1">ROUND(VLOOKUP(R35,[5]enemy_base_stats!$A:$F,2,FALSE) *INDIRECT("[EnemyMasterData.xlsm]enemies!Y"&amp;(L35+1))*  INDIRECT("[EnemyMasterData.xlsm]enemies!J"&amp;(L35+1))* INDIRECT("[EnemyMasterData.xlsm]enemies!O"&amp;(L35+1))* INDIRECT("[EnemyMasterData.xlsm]enemies!E"&amp;(L35+1))* INDIRECT("[EnemyMasterData.xlsm]enemies!S"&amp;(L35+1))* INDIRECT("[EnemyMasterData.xlsm]enemies!AD"&amp;(L35+1))*[6]ステータス!$B$2,0)*S35</f>
        <v>#REF!</v>
      </c>
      <c r="U35" s="20">
        <v>0.8</v>
      </c>
      <c r="V35" s="157" t="e">
        <f ca="1">ROUND(VLOOKUP(R35,[5]enemy_base_stats!$A:$F,3,FALSE) *INDIRECT("[EnemyMasterData.xlsm]enemies!Z"&amp;(L35+1))*  INDIRECT("[EnemyMasterData.xlsm]enemies!K"&amp;(L35+1))* INDIRECT("[EnemyMasterData.xlsm]enemies!P"&amp;(L35+1))* INDIRECT("[EnemyMasterData.xlsm]enemies!F"&amp;(L35+1))* INDIRECT("[EnemyMasterData.xlsm]enemies!T"&amp;(L35+1))* INDIRECT("[EnemyMasterData.xlsm]enemies!AE"&amp;(L35+1))*[6]ステータス!$C$2,0)*U35</f>
        <v>#REF!</v>
      </c>
      <c r="W35" s="175" t="e">
        <f t="shared" ca="1" si="25"/>
        <v>#REF!</v>
      </c>
      <c r="X35" s="175" t="e">
        <f t="shared" ref="X35:X40" ca="1" si="28">V35/AE35</f>
        <v>#REF!</v>
      </c>
      <c r="Y35" s="5">
        <v>0</v>
      </c>
      <c r="Z35" s="15" t="e">
        <f ca="1">VLOOKUP($AA35,OFFSET([3]enemy_skill_sets!$B$1,0,0,COUNTA([3]enemy_skill_sets!$B:$B),MATCH(M$1,[3]enemy_skill_sets!$1:$1,0)-MATCH($Y$1,[3]enemy_skill_sets!$1:$1,0)+2),MATCH(M$1,[3]enemy_skill_sets!$1:$1,0)-MATCH($Y$1,[3]enemy_skill_sets!$1:$1,0)+2,FALSE)</f>
        <v>#N/A</v>
      </c>
      <c r="AA35" s="16">
        <v>0</v>
      </c>
      <c r="AB35" s="231">
        <v>2</v>
      </c>
      <c r="AC35" s="195">
        <v>100</v>
      </c>
      <c r="AD35" s="195">
        <v>0</v>
      </c>
      <c r="AE35" s="15">
        <v>2</v>
      </c>
      <c r="AF35" s="114">
        <f t="shared" si="26"/>
        <v>35</v>
      </c>
      <c r="AG35" s="16" t="str">
        <f ca="1">VLOOKUP($AF35,OFFSET([6]characters!$A$1,0,0,COUNTA([6]characters!$A:$A),MATCH(AG$1,[6]characters!$1:$1,0)-MATCH("character_id",[6]characters!$1:$1,0)+1),MATCH(AG$1,[6]characters!$1:$1,0)-MATCH("character_id",[6]characters!$1:$1,0)+1,FALSE)</f>
        <v>F2</v>
      </c>
      <c r="AH35" s="16">
        <f ca="1">VLOOKUP($AF35,OFFSET([6]characters!$A$1,0,0,COUNTA([6]characters!$A:$A),MATCH(AH$1,[6]characters!$1:$1,0)-MATCH("character_id",[6]characters!$1:$1,0)+1),MATCH(AH$1,[6]characters!$1:$1,0)-MATCH("character_id",[6]characters!$1:$1,0)+1,FALSE)</f>
        <v>2</v>
      </c>
      <c r="AI35" s="16" t="str">
        <f ca="1">VLOOKUP($AF35,OFFSET([6]characters!$A$1,0,0,COUNTA([6]characters!$A:$A),MATCH(AG$1,[6]characters!$1:$1,0)-MATCH("character_id",[6]characters!$1:$1,0)+1),MATCH(AG$1,[6]characters!$1:$1,0)-MATCH("character_id",[6]characters!$1:$1,0)+1,FALSE)</f>
        <v>F2</v>
      </c>
      <c r="AJ35" s="115">
        <v>1</v>
      </c>
      <c r="AK35" s="114">
        <f t="shared" ca="1" si="27"/>
        <v>2</v>
      </c>
      <c r="AL35" s="196">
        <v>0</v>
      </c>
      <c r="AM35" s="115">
        <v>0</v>
      </c>
      <c r="AN35" s="115">
        <v>0</v>
      </c>
      <c r="AO35" s="115">
        <v>0</v>
      </c>
      <c r="AP35" s="115">
        <v>0</v>
      </c>
      <c r="AQ35" s="115">
        <v>1</v>
      </c>
      <c r="AR35" s="197">
        <v>1</v>
      </c>
    </row>
    <row r="36" spans="1:44" ht="21" customHeight="1" thickBot="1" x14ac:dyDescent="0.2">
      <c r="A36" s="14" t="str">
        <f t="shared" si="22"/>
        <v>65535_8-2/77&lt;lv60&gt;s2</v>
      </c>
      <c r="B36" s="159">
        <v>65535</v>
      </c>
      <c r="C36" s="109">
        <v>8</v>
      </c>
      <c r="D36" s="13" t="str">
        <f t="shared" si="23"/>
        <v>65535_8</v>
      </c>
      <c r="E36" s="4" t="str">
        <f ca="1">VLOOKUP($B36,OFFSET([2]quests!$A$1,0,0,COUNTA([2]quests!$A:$A),MATCH(E$1,[2]quests!$1:$1,0)-MATCH($B$1,[2]quests!$1:$1,0)+1),MATCH(E$1,[2]quests!$1:$1,0)-MATCH($B$1,[2]quests!$1:$1,0)+1,FALSE)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36" s="96" t="str">
        <f ca="1">VLOOKUP($D36,OFFSET([2]stages!$A$1,0,0,COUNTA([2]stages!$A:$A),MATCH(F$1,[2]stages!$2:$2,0)-MATCH($D$1,[2]stages!$2:$2,0)+1),MATCH(F$1,[2]stages!$2:$2,0)-MATCH($D$1,[2]stages!$2:$2,0)+1,FALSE)</f>
        <v>テスト</v>
      </c>
      <c r="G36" s="109">
        <v>2</v>
      </c>
      <c r="H36" s="13" t="str">
        <f t="shared" si="24"/>
        <v>65535_8-2</v>
      </c>
      <c r="I36" s="4" t="e">
        <f ca="1">VLOOKUP($H36,OFFSET([3]floors!$A$1,0,0,COUNTA([3]floors!$A:$A),MATCH(I$1,[3]floors!$1:$1,0)-MATCH($H$1,[3]floors!$1:$1,0)+1),MATCH(I$1,[3]floors!$1:$1,0)-MATCH($H$1,[3]floors!$1:$1,0)+1,FALSE)</f>
        <v>#VALUE!</v>
      </c>
      <c r="J36" s="4" t="e">
        <f ca="1">VLOOKUP($H36,OFFSET([3]floors!$A$1,0,0,COUNTA([3]floors!$A:$A),MATCH(J$1,[3]floors!$1:$1,0)-MATCH($H$1,[3]floors!$1:$1,0)+1),MATCH(J$1,[3]floors!$1:$1,0)-MATCH($H$1,[3]floors!$1:$1,0)+1,FALSE)</f>
        <v>#VALUE!</v>
      </c>
      <c r="K36" s="33">
        <v>3</v>
      </c>
      <c r="L36" s="110">
        <v>77</v>
      </c>
      <c r="M36" s="15" t="e">
        <f ca="1">VLOOKUP($L36,OFFSET([5]enemies!$A$1,0,0,COUNTA([5]enemies!$A:$A),MATCH(M$1,[5]enemies!$1:$1,0)-MATCH($L$1,[5]enemies!$1:$1,0)+1),MATCH(M$1,[5]enemies!$1:$1,0)-MATCH($L$1,[5]enemies!$1:$1,0)+1,FALSE)</f>
        <v>#VALUE!</v>
      </c>
      <c r="N36" s="15" t="e">
        <f ca="1">VLOOKUP($L36,OFFSET([5]enemies!$A$1,0,0,COUNTA([5]enemies!$A:$A),MATCH(N$1,[5]enemies!$1:$1,0)-MATCH($L$1,[5]enemies!$1:$1,0)+1),MATCH(N$1,[5]enemies!$1:$1,0)-MATCH($L$1,[5]enemies!$1:$1,0)+1,FALSE)</f>
        <v>#VALUE!</v>
      </c>
      <c r="O36" s="15" t="str">
        <f ca="1">VLOOKUP($L36,OFFSET([6]characters!$A$1,0,0,COUNTA([6]characters!$A:$A),MATCH(O$1,[6]characters!$1:$1,0)-MATCH($L$1,[6]characters!$1:$1,0)+1),MATCH(O$1,[6]characters!$1:$1,0)-MATCH($L$1,[6]characters!$1:$1,0)+1,FALSE)</f>
        <v>DropWizW</v>
      </c>
      <c r="P36" s="15" t="e">
        <f ca="1">VLOOKUP($L36,OFFSET([5]enemies!$A$1,0,0,COUNTA([5]enemies!$A:$A),MATCH(P$1,[5]enemies!$1:$1,0)-MATCH($L$1,[5]enemies!$1:$1,0)+1),MATCH(P$1,[5]enemies!$1:$1,0)-MATCH($L$1,[5]enemies!$1:$1,0)+1,FALSE)</f>
        <v>#VALUE!</v>
      </c>
      <c r="Q36" s="15" t="e">
        <f ca="1">VLOOKUP($L36,OFFSET([5]enemies!$A$1,0,0,COUNTA([5]enemies!$A:$A),MATCH(Q$1,[5]enemies!$1:$1,0)-MATCH($L$1,[5]enemies!$1:$1,0)+1),MATCH(Q$1,[5]enemies!$1:$1,0)-MATCH($L$1,[5]enemies!$1:$1,0)+1,FALSE)</f>
        <v>#VALUE!</v>
      </c>
      <c r="R36" s="5">
        <v>60</v>
      </c>
      <c r="S36" s="20">
        <v>2</v>
      </c>
      <c r="T36" s="157" t="e">
        <f ca="1">ROUND(VLOOKUP(R36,[5]enemy_base_stats!$A:$F,2,FALSE) *INDIRECT("[EnemyMasterData.xlsm]enemies!Y"&amp;(L36+1))*  INDIRECT("[EnemyMasterData.xlsm]enemies!J"&amp;(L36+1))* INDIRECT("[EnemyMasterData.xlsm]enemies!O"&amp;(L36+1))* INDIRECT("[EnemyMasterData.xlsm]enemies!E"&amp;(L36+1))* INDIRECT("[EnemyMasterData.xlsm]enemies!S"&amp;(L36+1))* INDIRECT("[EnemyMasterData.xlsm]enemies!AD"&amp;(L36+1))*[6]ステータス!$B$2,0)*S36</f>
        <v>#REF!</v>
      </c>
      <c r="U36" s="20">
        <v>2</v>
      </c>
      <c r="V36" s="157" t="e">
        <f ca="1">ROUND(VLOOKUP(R36,[5]enemy_base_stats!$A:$F,3,FALSE) *INDIRECT("[EnemyMasterData.xlsm]enemies!Z"&amp;(L36+1))*  INDIRECT("[EnemyMasterData.xlsm]enemies!K"&amp;(L36+1))* INDIRECT("[EnemyMasterData.xlsm]enemies!P"&amp;(L36+1))* INDIRECT("[EnemyMasterData.xlsm]enemies!F"&amp;(L36+1))* INDIRECT("[EnemyMasterData.xlsm]enemies!T"&amp;(L36+1))* INDIRECT("[EnemyMasterData.xlsm]enemies!AE"&amp;(L36+1))*[6]ステータス!$C$2,0)*U36</f>
        <v>#REF!</v>
      </c>
      <c r="W36" s="175" t="e">
        <f t="shared" ca="1" si="25"/>
        <v>#REF!</v>
      </c>
      <c r="X36" s="175" t="e">
        <f t="shared" ca="1" si="28"/>
        <v>#REF!</v>
      </c>
      <c r="Y36" s="5">
        <v>0</v>
      </c>
      <c r="Z36" s="15" t="e">
        <f ca="1">VLOOKUP($AA36,OFFSET([7]enemy_skill_sets!$B$1,0,0,COUNTA([7]enemy_skill_sets!$B:$B),MATCH(M$1,[7]enemy_skill_sets!$1:$1,0)-MATCH($Y$1,[7]enemy_skill_sets!$1:$1,0)+2),MATCH(M$1,[7]enemy_skill_sets!$1:$1,0)-MATCH($Y$1,[7]enemy_skill_sets!$1:$1,0)+2,FALSE)</f>
        <v>#N/A</v>
      </c>
      <c r="AA36" s="16">
        <v>0</v>
      </c>
      <c r="AB36" s="231">
        <v>1</v>
      </c>
      <c r="AC36" s="195">
        <v>100</v>
      </c>
      <c r="AD36" s="195">
        <v>1</v>
      </c>
      <c r="AE36" s="15">
        <v>2</v>
      </c>
      <c r="AF36" s="114">
        <f t="shared" si="26"/>
        <v>77</v>
      </c>
      <c r="AG36" s="16" t="str">
        <f ca="1">VLOOKUP($AF36,OFFSET([6]characters!$A$1,0,0,COUNTA([6]characters!$A:$A),MATCH(AG$1,[6]characters!$1:$1,0)-MATCH("character_id",[6]characters!$1:$1,0)+1),MATCH(AG$1,[6]characters!$1:$1,0)-MATCH("character_id",[6]characters!$1:$1,0)+1,FALSE)</f>
        <v>潜伏型メリッサ</v>
      </c>
      <c r="AH36" s="16">
        <f ca="1">VLOOKUP($AF36,OFFSET([6]characters!$A$1,0,0,COUNTA([6]characters!$A:$A),MATCH(AH$1,[6]characters!$1:$1,0)-MATCH("character_id",[6]characters!$1:$1,0)+1),MATCH(AH$1,[6]characters!$1:$1,0)-MATCH("character_id",[6]characters!$1:$1,0)+1,FALSE)</f>
        <v>3</v>
      </c>
      <c r="AI36" s="16" t="str">
        <f ca="1">VLOOKUP($AF36,OFFSET([6]characters!$A$1,0,0,COUNTA([6]characters!$A:$A),MATCH(AG$1,[6]characters!$1:$1,0)-MATCH("character_id",[6]characters!$1:$1,0)+1),MATCH(AG$1,[6]characters!$1:$1,0)-MATCH("character_id",[6]characters!$1:$1,0)+1,FALSE)</f>
        <v>潜伏型メリッサ</v>
      </c>
      <c r="AJ36" s="115">
        <v>1</v>
      </c>
      <c r="AK36" s="114">
        <f t="shared" ca="1" si="27"/>
        <v>3</v>
      </c>
      <c r="AL36" s="196">
        <v>0</v>
      </c>
      <c r="AM36" s="115">
        <v>0</v>
      </c>
      <c r="AN36" s="115">
        <v>0</v>
      </c>
      <c r="AO36" s="115">
        <v>0</v>
      </c>
      <c r="AP36" s="115">
        <v>0</v>
      </c>
      <c r="AQ36" s="115">
        <v>1</v>
      </c>
      <c r="AR36" s="197">
        <v>1</v>
      </c>
    </row>
    <row r="37" spans="1:44" ht="21" customHeight="1" thickBot="1" x14ac:dyDescent="0.2">
      <c r="A37" s="14" t="str">
        <f t="shared" si="22"/>
        <v>65535_8-2/364&lt;lv60&gt;s2</v>
      </c>
      <c r="B37" s="159">
        <v>65535</v>
      </c>
      <c r="C37" s="109">
        <v>8</v>
      </c>
      <c r="D37" s="13" t="str">
        <f t="shared" si="23"/>
        <v>65535_8</v>
      </c>
      <c r="E37" s="4" t="str">
        <f ca="1">VLOOKUP($B37,OFFSET([2]quests!$A$1,0,0,COUNTA([2]quests!$A:$A),MATCH(E$1,[2]quests!$1:$1,0)-MATCH($B$1,[2]quests!$1:$1,0)+1),MATCH(E$1,[2]quests!$1:$1,0)-MATCH($B$1,[2]quests!$1:$1,0)+1,FALSE)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37" s="96" t="str">
        <f ca="1">VLOOKUP($D37,OFFSET([2]stages!$A$1,0,0,COUNTA([2]stages!$A:$A),MATCH(F$1,[2]stages!$2:$2,0)-MATCH($D$1,[2]stages!$2:$2,0)+1),MATCH(F$1,[2]stages!$2:$2,0)-MATCH($D$1,[2]stages!$2:$2,0)+1,FALSE)</f>
        <v>テスト</v>
      </c>
      <c r="G37" s="109">
        <v>2</v>
      </c>
      <c r="H37" s="13" t="str">
        <f t="shared" si="24"/>
        <v>65535_8-2</v>
      </c>
      <c r="I37" s="4" t="e">
        <f ca="1">VLOOKUP($H37,OFFSET([3]floors!$A$1,0,0,COUNTA([3]floors!$A:$A),MATCH(I$1,[3]floors!$1:$1,0)-MATCH($H$1,[3]floors!$1:$1,0)+1),MATCH(I$1,[3]floors!$1:$1,0)-MATCH($H$1,[3]floors!$1:$1,0)+1,FALSE)</f>
        <v>#VALUE!</v>
      </c>
      <c r="J37" s="4" t="e">
        <f ca="1">VLOOKUP($H37,OFFSET([3]floors!$A$1,0,0,COUNTA([3]floors!$A:$A),MATCH(J$1,[3]floors!$1:$1,0)-MATCH($H$1,[3]floors!$1:$1,0)+1),MATCH(J$1,[3]floors!$1:$1,0)-MATCH($H$1,[3]floors!$1:$1,0)+1,FALSE)</f>
        <v>#VALUE!</v>
      </c>
      <c r="K37" s="33" t="s">
        <v>303</v>
      </c>
      <c r="L37" s="110">
        <v>364</v>
      </c>
      <c r="M37" s="15" t="e">
        <f ca="1">VLOOKUP($L37,OFFSET([5]enemies!$A$1,0,0,COUNTA([5]enemies!$A:$A),MATCH(M$1,[5]enemies!$1:$1,0)-MATCH($L$1,[5]enemies!$1:$1,0)+1),MATCH(M$1,[5]enemies!$1:$1,0)-MATCH($L$1,[5]enemies!$1:$1,0)+1,FALSE)</f>
        <v>#VALUE!</v>
      </c>
      <c r="N37" s="15" t="e">
        <f ca="1">VLOOKUP($L37,OFFSET([5]enemies!$A$1,0,0,COUNTA([5]enemies!$A:$A),MATCH(N$1,[5]enemies!$1:$1,0)-MATCH($L$1,[5]enemies!$1:$1,0)+1),MATCH(N$1,[5]enemies!$1:$1,0)-MATCH($L$1,[5]enemies!$1:$1,0)+1,FALSE)</f>
        <v>#VALUE!</v>
      </c>
      <c r="O37" s="15" t="str">
        <f ca="1">VLOOKUP($L37,OFFSET([6]characters!$A$1,0,0,COUNTA([6]characters!$A:$A),MATCH(O$1,[6]characters!$1:$1,0)-MATCH($L$1,[6]characters!$1:$1,0)+1),MATCH(O$1,[6]characters!$1:$1,0)-MATCH($L$1,[6]characters!$1:$1,0)+1,FALSE)</f>
        <v>Drop1S</v>
      </c>
      <c r="P37" s="15" t="e">
        <f ca="1">VLOOKUP($L37,OFFSET([5]enemies!$A$1,0,0,COUNTA([5]enemies!$A:$A),MATCH(P$1,[5]enemies!$1:$1,0)-MATCH($L$1,[5]enemies!$1:$1,0)+1),MATCH(P$1,[5]enemies!$1:$1,0)-MATCH($L$1,[5]enemies!$1:$1,0)+1,FALSE)</f>
        <v>#VALUE!</v>
      </c>
      <c r="Q37" s="15" t="e">
        <f ca="1">VLOOKUP($L37,OFFSET([5]enemies!$A$1,0,0,COUNTA([5]enemies!$A:$A),MATCH(Q$1,[5]enemies!$1:$1,0)-MATCH($L$1,[5]enemies!$1:$1,0)+1),MATCH(Q$1,[5]enemies!$1:$1,0)-MATCH($L$1,[5]enemies!$1:$1,0)+1,FALSE)</f>
        <v>#VALUE!</v>
      </c>
      <c r="R37" s="5">
        <v>60</v>
      </c>
      <c r="S37" s="20">
        <v>9</v>
      </c>
      <c r="T37" s="157" t="e">
        <f ca="1">ROUND(VLOOKUP(R37,[5]enemy_base_stats!$A:$F,2,FALSE) *INDIRECT("[EnemyMasterData.xlsm]enemies!Y"&amp;(L37+1))*  INDIRECT("[EnemyMasterData.xlsm]enemies!J"&amp;(L37+1))* INDIRECT("[EnemyMasterData.xlsm]enemies!O"&amp;(L37+1))* INDIRECT("[EnemyMasterData.xlsm]enemies!E"&amp;(L37+1))* INDIRECT("[EnemyMasterData.xlsm]enemies!S"&amp;(L37+1))* INDIRECT("[EnemyMasterData.xlsm]enemies!AD"&amp;(L37+1))*[6]ステータス!$B$2,0)*S37</f>
        <v>#REF!</v>
      </c>
      <c r="U37" s="20">
        <v>1</v>
      </c>
      <c r="V37" s="157" t="e">
        <f ca="1">ROUND(VLOOKUP(R37,[5]enemy_base_stats!$A:$F,3,FALSE) *INDIRECT("[EnemyMasterData.xlsm]enemies!Z"&amp;(L37+1))*  INDIRECT("[EnemyMasterData.xlsm]enemies!K"&amp;(L37+1))* INDIRECT("[EnemyMasterData.xlsm]enemies!P"&amp;(L37+1))* INDIRECT("[EnemyMasterData.xlsm]enemies!F"&amp;(L37+1))* INDIRECT("[EnemyMasterData.xlsm]enemies!T"&amp;(L37+1))* INDIRECT("[EnemyMasterData.xlsm]enemies!AE"&amp;(L37+1))*[6]ステータス!$C$2,0)*U37</f>
        <v>#REF!</v>
      </c>
      <c r="W37" s="175" t="e">
        <f t="shared" ca="1" si="25"/>
        <v>#REF!</v>
      </c>
      <c r="X37" s="175" t="e">
        <f t="shared" ca="1" si="28"/>
        <v>#REF!</v>
      </c>
      <c r="Y37" s="5">
        <v>0</v>
      </c>
      <c r="Z37" s="15" t="e">
        <f ca="1">VLOOKUP($AA37,OFFSET([3]enemy_skill_sets!$B$1,0,0,COUNTA([3]enemy_skill_sets!$B:$B),MATCH(M$1,[3]enemy_skill_sets!$1:$1,0)-MATCH($Y$1,[3]enemy_skill_sets!$1:$1,0)+2),MATCH(M$1,[3]enemy_skill_sets!$1:$1,0)-MATCH($Y$1,[3]enemy_skill_sets!$1:$1,0)+2,FALSE)</f>
        <v>#N/A</v>
      </c>
      <c r="AA37" s="16">
        <v>0</v>
      </c>
      <c r="AB37" s="231">
        <v>2</v>
      </c>
      <c r="AC37" s="195">
        <v>100</v>
      </c>
      <c r="AD37" s="195">
        <v>0</v>
      </c>
      <c r="AE37" s="15">
        <v>2</v>
      </c>
      <c r="AF37" s="114">
        <f t="shared" si="26"/>
        <v>364</v>
      </c>
      <c r="AG37" s="16" t="str">
        <f ca="1">VLOOKUP($AF37,OFFSET([6]characters!$A$1,0,0,COUNTA([6]characters!$A:$A),MATCH(AG$1,[6]characters!$1:$1,0)-MATCH("character_id",[6]characters!$1:$1,0)+1),MATCH(AG$1,[6]characters!$1:$1,0)-MATCH("character_id",[6]characters!$1:$1,0)+1,FALSE)</f>
        <v>ノエル</v>
      </c>
      <c r="AH37" s="16">
        <f ca="1">VLOOKUP($AF37,OFFSET([6]characters!$A$1,0,0,COUNTA([6]characters!$A:$A),MATCH(AH$1,[6]characters!$1:$1,0)-MATCH("character_id",[6]characters!$1:$1,0)+1),MATCH(AH$1,[6]characters!$1:$1,0)-MATCH("character_id",[6]characters!$1:$1,0)+1,FALSE)</f>
        <v>2</v>
      </c>
      <c r="AI37" s="16" t="str">
        <f ca="1">VLOOKUP($AF37,OFFSET([6]characters!$A$1,0,0,COUNTA([6]characters!$A:$A),MATCH(AG$1,[6]characters!$1:$1,0)-MATCH("character_id",[6]characters!$1:$1,0)+1),MATCH(AG$1,[6]characters!$1:$1,0)-MATCH("character_id",[6]characters!$1:$1,0)+1,FALSE)</f>
        <v>ノエル</v>
      </c>
      <c r="AJ37" s="115">
        <v>1</v>
      </c>
      <c r="AK37" s="114">
        <f t="shared" ca="1" si="27"/>
        <v>2</v>
      </c>
      <c r="AL37" s="196">
        <v>0</v>
      </c>
      <c r="AM37" s="115">
        <v>0</v>
      </c>
      <c r="AN37" s="115">
        <v>0</v>
      </c>
      <c r="AO37" s="115">
        <v>0</v>
      </c>
      <c r="AP37" s="115">
        <v>0</v>
      </c>
      <c r="AQ37" s="115">
        <v>1</v>
      </c>
      <c r="AR37" s="197">
        <v>1</v>
      </c>
    </row>
    <row r="38" spans="1:44" ht="21" customHeight="1" thickBot="1" x14ac:dyDescent="0.2">
      <c r="A38" s="14" t="str">
        <f t="shared" si="22"/>
        <v>65535_8-3/83&lt;lv60&gt;s1</v>
      </c>
      <c r="B38" s="159">
        <v>65535</v>
      </c>
      <c r="C38" s="109">
        <v>8</v>
      </c>
      <c r="D38" s="13" t="str">
        <f t="shared" si="23"/>
        <v>65535_8</v>
      </c>
      <c r="E38" s="4" t="str">
        <f ca="1">VLOOKUP($B38,OFFSET([2]quests!$A$1,0,0,COUNTA([2]quests!$A:$A),MATCH(E$1,[2]quests!$1:$1,0)-MATCH($B$1,[2]quests!$1:$1,0)+1),MATCH(E$1,[2]quests!$1:$1,0)-MATCH($B$1,[2]quests!$1:$1,0)+1,FALSE)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38" s="96" t="str">
        <f ca="1">VLOOKUP($D38,OFFSET([2]stages!$A$1,0,0,COUNTA([2]stages!$A:$A),MATCH(F$1,[2]stages!$2:$2,0)-MATCH($D$1,[2]stages!$2:$2,0)+1),MATCH(F$1,[2]stages!$2:$2,0)-MATCH($D$1,[2]stages!$2:$2,0)+1,FALSE)</f>
        <v>テスト</v>
      </c>
      <c r="G38" s="109">
        <v>3</v>
      </c>
      <c r="H38" s="13" t="str">
        <f t="shared" si="24"/>
        <v>65535_8-3</v>
      </c>
      <c r="I38" s="4" t="e">
        <f ca="1">VLOOKUP($H38,OFFSET([3]floors!$A$1,0,0,COUNTA([3]floors!$A:$A),MATCH(I$1,[3]floors!$1:$1,0)-MATCH($H$1,[3]floors!$1:$1,0)+1),MATCH(I$1,[3]floors!$1:$1,0)-MATCH($H$1,[3]floors!$1:$1,0)+1,FALSE)</f>
        <v>#VALUE!</v>
      </c>
      <c r="J38" s="4" t="e">
        <f ca="1">VLOOKUP($H38,OFFSET([3]floors!$A$1,0,0,COUNTA([3]floors!$A:$A),MATCH(J$1,[3]floors!$1:$1,0)-MATCH($H$1,[3]floors!$1:$1,0)+1),MATCH(J$1,[3]floors!$1:$1,0)-MATCH($H$1,[3]floors!$1:$1,0)+1,FALSE)</f>
        <v>#VALUE!</v>
      </c>
      <c r="K38" s="33" t="s">
        <v>304</v>
      </c>
      <c r="L38" s="110">
        <v>83</v>
      </c>
      <c r="M38" s="15" t="e">
        <f ca="1">VLOOKUP($L38,OFFSET([5]enemies!$A$1,0,0,COUNTA([5]enemies!$A:$A),MATCH(M$1,[5]enemies!$1:$1,0)-MATCH($L$1,[5]enemies!$1:$1,0)+1),MATCH(M$1,[5]enemies!$1:$1,0)-MATCH($L$1,[5]enemies!$1:$1,0)+1,FALSE)</f>
        <v>#VALUE!</v>
      </c>
      <c r="N38" s="15" t="e">
        <f ca="1">VLOOKUP($L38,OFFSET([5]enemies!$A$1,0,0,COUNTA([5]enemies!$A:$A),MATCH(N$1,[5]enemies!$1:$1,0)-MATCH($L$1,[5]enemies!$1:$1,0)+1),MATCH(N$1,[5]enemies!$1:$1,0)-MATCH($L$1,[5]enemies!$1:$1,0)+1,FALSE)</f>
        <v>#VALUE!</v>
      </c>
      <c r="O38" s="15" t="str">
        <f ca="1">VLOOKUP($L38,OFFSET([6]characters!$A$1,0,0,COUNTA([6]characters!$A:$A),MATCH(O$1,[6]characters!$1:$1,0)-MATCH($L$1,[6]characters!$1:$1,0)+1),MATCH(O$1,[6]characters!$1:$1,0)-MATCH($L$1,[6]characters!$1:$1,0)+1,FALSE)</f>
        <v>DropWizW</v>
      </c>
      <c r="P38" s="15" t="e">
        <f ca="1">VLOOKUP($L38,OFFSET([5]enemies!$A$1,0,0,COUNTA([5]enemies!$A:$A),MATCH(P$1,[5]enemies!$1:$1,0)-MATCH($L$1,[5]enemies!$1:$1,0)+1),MATCH(P$1,[5]enemies!$1:$1,0)-MATCH($L$1,[5]enemies!$1:$1,0)+1,FALSE)</f>
        <v>#VALUE!</v>
      </c>
      <c r="Q38" s="15" t="e">
        <f ca="1">VLOOKUP($L38,OFFSET([5]enemies!$A$1,0,0,COUNTA([5]enemies!$A:$A),MATCH(Q$1,[5]enemies!$1:$1,0)-MATCH($L$1,[5]enemies!$1:$1,0)+1),MATCH(Q$1,[5]enemies!$1:$1,0)-MATCH($L$1,[5]enemies!$1:$1,0)+1,FALSE)</f>
        <v>#VALUE!</v>
      </c>
      <c r="R38" s="5">
        <v>60</v>
      </c>
      <c r="S38" s="20">
        <v>4</v>
      </c>
      <c r="T38" s="157" t="e">
        <f ca="1">ROUND(VLOOKUP(R38,[5]enemy_base_stats!$A:$F,2,FALSE) *INDIRECT("[EnemyMasterData.xlsm]enemies!Y"&amp;(L38+1))*  INDIRECT("[EnemyMasterData.xlsm]enemies!J"&amp;(L38+1))* INDIRECT("[EnemyMasterData.xlsm]enemies!O"&amp;(L38+1))* INDIRECT("[EnemyMasterData.xlsm]enemies!E"&amp;(L38+1))* INDIRECT("[EnemyMasterData.xlsm]enemies!S"&amp;(L38+1))* INDIRECT("[EnemyMasterData.xlsm]enemies!AD"&amp;(L38+1))*[6]ステータス!$B$2,0)*S38</f>
        <v>#REF!</v>
      </c>
      <c r="U38" s="20">
        <v>2</v>
      </c>
      <c r="V38" s="157" t="e">
        <f ca="1">ROUND(VLOOKUP(R38,[5]enemy_base_stats!$A:$F,3,FALSE) *INDIRECT("[EnemyMasterData.xlsm]enemies!Z"&amp;(L38+1))*  INDIRECT("[EnemyMasterData.xlsm]enemies!K"&amp;(L38+1))* INDIRECT("[EnemyMasterData.xlsm]enemies!P"&amp;(L38+1))* INDIRECT("[EnemyMasterData.xlsm]enemies!F"&amp;(L38+1))* INDIRECT("[EnemyMasterData.xlsm]enemies!T"&amp;(L38+1))* INDIRECT("[EnemyMasterData.xlsm]enemies!AE"&amp;(L38+1))*[6]ステータス!$C$2,0)*U38</f>
        <v>#REF!</v>
      </c>
      <c r="W38" s="175" t="e">
        <f t="shared" ca="1" si="25"/>
        <v>#REF!</v>
      </c>
      <c r="X38" s="175" t="e">
        <f t="shared" ca="1" si="28"/>
        <v>#REF!</v>
      </c>
      <c r="Y38" s="5">
        <v>0</v>
      </c>
      <c r="Z38" s="15" t="e">
        <f ca="1">VLOOKUP($AA38,OFFSET([7]enemy_skill_sets!$B$1,0,0,COUNTA([7]enemy_skill_sets!$B:$B),MATCH(M$1,[7]enemy_skill_sets!$1:$1,0)-MATCH($Y$1,[7]enemy_skill_sets!$1:$1,0)+2),MATCH(M$1,[7]enemy_skill_sets!$1:$1,0)-MATCH($Y$1,[7]enemy_skill_sets!$1:$1,0)+2,FALSE)</f>
        <v>#N/A</v>
      </c>
      <c r="AA38" s="16">
        <v>0</v>
      </c>
      <c r="AB38" s="231">
        <v>1</v>
      </c>
      <c r="AC38" s="195">
        <v>100</v>
      </c>
      <c r="AD38" s="195">
        <v>1</v>
      </c>
      <c r="AE38" s="15">
        <v>1</v>
      </c>
      <c r="AF38" s="114">
        <f t="shared" si="26"/>
        <v>83</v>
      </c>
      <c r="AG38" s="16" t="str">
        <f ca="1">VLOOKUP($AF38,OFFSET([6]characters!$A$1,0,0,COUNTA([6]characters!$A:$A),MATCH(AG$1,[6]characters!$1:$1,0)-MATCH("character_id",[6]characters!$1:$1,0)+1),MATCH(AG$1,[6]characters!$1:$1,0)-MATCH("character_id",[6]characters!$1:$1,0)+1,FALSE)</f>
        <v>拡散性ニムダ</v>
      </c>
      <c r="AH38" s="16">
        <f ca="1">VLOOKUP($AF38,OFFSET([6]characters!$A$1,0,0,COUNTA([6]characters!$A:$A),MATCH(AH$1,[6]characters!$1:$1,0)-MATCH("character_id",[6]characters!$1:$1,0)+1),MATCH(AH$1,[6]characters!$1:$1,0)-MATCH("character_id",[6]characters!$1:$1,0)+1,FALSE)</f>
        <v>3</v>
      </c>
      <c r="AI38" s="16" t="str">
        <f ca="1">VLOOKUP($AF38,OFFSET([6]characters!$A$1,0,0,COUNTA([6]characters!$A:$A),MATCH(AG$1,[6]characters!$1:$1,0)-MATCH("character_id",[6]characters!$1:$1,0)+1),MATCH(AG$1,[6]characters!$1:$1,0)-MATCH("character_id",[6]characters!$1:$1,0)+1,FALSE)</f>
        <v>拡散性ニムダ</v>
      </c>
      <c r="AJ38" s="115">
        <v>1</v>
      </c>
      <c r="AK38" s="114">
        <f t="shared" ca="1" si="27"/>
        <v>3</v>
      </c>
      <c r="AL38" s="196">
        <v>0</v>
      </c>
      <c r="AM38" s="115">
        <v>0</v>
      </c>
      <c r="AN38" s="115">
        <v>0</v>
      </c>
      <c r="AO38" s="115">
        <v>0</v>
      </c>
      <c r="AP38" s="115">
        <v>0</v>
      </c>
      <c r="AQ38" s="115">
        <v>1</v>
      </c>
      <c r="AR38" s="197">
        <v>1</v>
      </c>
    </row>
    <row r="39" spans="1:44" ht="21" customHeight="1" thickBot="1" x14ac:dyDescent="0.2">
      <c r="A39" s="14" t="str">
        <f t="shared" si="22"/>
        <v>65535_8-3/370&lt;lv60&gt;s2</v>
      </c>
      <c r="B39" s="159">
        <v>65535</v>
      </c>
      <c r="C39" s="109">
        <v>8</v>
      </c>
      <c r="D39" s="13" t="str">
        <f t="shared" si="23"/>
        <v>65535_8</v>
      </c>
      <c r="E39" s="4" t="str">
        <f ca="1">VLOOKUP($B39,OFFSET([2]quests!$A$1,0,0,COUNTA([2]quests!$A:$A),MATCH(E$1,[2]quests!$1:$1,0)-MATCH($B$1,[2]quests!$1:$1,0)+1),MATCH(E$1,[2]quests!$1:$1,0)-MATCH($B$1,[2]quests!$1:$1,0)+1,FALSE)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39" s="96" t="str">
        <f ca="1">VLOOKUP($D39,OFFSET([2]stages!$A$1,0,0,COUNTA([2]stages!$A:$A),MATCH(F$1,[2]stages!$2:$2,0)-MATCH($D$1,[2]stages!$2:$2,0)+1),MATCH(F$1,[2]stages!$2:$2,0)-MATCH($D$1,[2]stages!$2:$2,0)+1,FALSE)</f>
        <v>テスト</v>
      </c>
      <c r="G39" s="109">
        <v>3</v>
      </c>
      <c r="H39" s="13" t="str">
        <f t="shared" si="24"/>
        <v>65535_8-3</v>
      </c>
      <c r="I39" s="4" t="e">
        <f ca="1">VLOOKUP($H39,OFFSET([3]floors!$A$1,0,0,COUNTA([3]floors!$A:$A),MATCH(I$1,[3]floors!$1:$1,0)-MATCH($H$1,[3]floors!$1:$1,0)+1),MATCH(I$1,[3]floors!$1:$1,0)-MATCH($H$1,[3]floors!$1:$1,0)+1,FALSE)</f>
        <v>#VALUE!</v>
      </c>
      <c r="J39" s="4" t="e">
        <f ca="1">VLOOKUP($H39,OFFSET([3]floors!$A$1,0,0,COUNTA([3]floors!$A:$A),MATCH(J$1,[3]floors!$1:$1,0)-MATCH($H$1,[3]floors!$1:$1,0)+1),MATCH(J$1,[3]floors!$1:$1,0)-MATCH($H$1,[3]floors!$1:$1,0)+1,FALSE)</f>
        <v>#VALUE!</v>
      </c>
      <c r="K39" s="33" t="s">
        <v>302</v>
      </c>
      <c r="L39" s="110">
        <v>370</v>
      </c>
      <c r="M39" s="15" t="e">
        <f ca="1">VLOOKUP($L39,OFFSET([5]enemies!$A$1,0,0,COUNTA([5]enemies!$A:$A),MATCH(M$1,[5]enemies!$1:$1,0)-MATCH($L$1,[5]enemies!$1:$1,0)+1),MATCH(M$1,[5]enemies!$1:$1,0)-MATCH($L$1,[5]enemies!$1:$1,0)+1,FALSE)</f>
        <v>#VALUE!</v>
      </c>
      <c r="N39" s="15" t="e">
        <f ca="1">VLOOKUP($L39,OFFSET([5]enemies!$A$1,0,0,COUNTA([5]enemies!$A:$A),MATCH(N$1,[5]enemies!$1:$1,0)-MATCH($L$1,[5]enemies!$1:$1,0)+1),MATCH(N$1,[5]enemies!$1:$1,0)-MATCH($L$1,[5]enemies!$1:$1,0)+1,FALSE)</f>
        <v>#VALUE!</v>
      </c>
      <c r="O39" s="15" t="str">
        <f ca="1">VLOOKUP($L39,OFFSET([6]characters!$A$1,0,0,COUNTA([6]characters!$A:$A),MATCH(O$1,[6]characters!$1:$1,0)-MATCH($L$1,[6]characters!$1:$1,0)+1),MATCH(O$1,[6]characters!$1:$1,0)-MATCH($L$1,[6]characters!$1:$1,0)+1,FALSE)</f>
        <v>Drop1S</v>
      </c>
      <c r="P39" s="15" t="e">
        <f ca="1">VLOOKUP($L39,OFFSET([5]enemies!$A$1,0,0,COUNTA([5]enemies!$A:$A),MATCH(P$1,[5]enemies!$1:$1,0)-MATCH($L$1,[5]enemies!$1:$1,0)+1),MATCH(P$1,[5]enemies!$1:$1,0)-MATCH($L$1,[5]enemies!$1:$1,0)+1,FALSE)</f>
        <v>#VALUE!</v>
      </c>
      <c r="Q39" s="15" t="e">
        <f ca="1">VLOOKUP($L39,OFFSET([5]enemies!$A$1,0,0,COUNTA([5]enemies!$A:$A),MATCH(Q$1,[5]enemies!$1:$1,0)-MATCH($L$1,[5]enemies!$1:$1,0)+1),MATCH(Q$1,[5]enemies!$1:$1,0)-MATCH($L$1,[5]enemies!$1:$1,0)+1,FALSE)</f>
        <v>#VALUE!</v>
      </c>
      <c r="R39" s="5">
        <v>60</v>
      </c>
      <c r="S39" s="20">
        <v>8</v>
      </c>
      <c r="T39" s="157" t="e">
        <f ca="1">ROUND(VLOOKUP(R39,[5]enemy_base_stats!$A:$F,2,FALSE) *INDIRECT("[EnemyMasterData.xlsm]enemies!Y"&amp;(L39+1))*  INDIRECT("[EnemyMasterData.xlsm]enemies!J"&amp;(L39+1))* INDIRECT("[EnemyMasterData.xlsm]enemies!O"&amp;(L39+1))* INDIRECT("[EnemyMasterData.xlsm]enemies!E"&amp;(L39+1))* INDIRECT("[EnemyMasterData.xlsm]enemies!S"&amp;(L39+1))* INDIRECT("[EnemyMasterData.xlsm]enemies!AD"&amp;(L39+1))*[6]ステータス!$B$2,0)*S39</f>
        <v>#REF!</v>
      </c>
      <c r="U39" s="20">
        <v>1</v>
      </c>
      <c r="V39" s="157" t="e">
        <f ca="1">ROUND(VLOOKUP(R39,[5]enemy_base_stats!$A:$F,3,FALSE) *INDIRECT("[EnemyMasterData.xlsm]enemies!Z"&amp;(L39+1))*  INDIRECT("[EnemyMasterData.xlsm]enemies!K"&amp;(L39+1))* INDIRECT("[EnemyMasterData.xlsm]enemies!P"&amp;(L39+1))* INDIRECT("[EnemyMasterData.xlsm]enemies!F"&amp;(L39+1))* INDIRECT("[EnemyMasterData.xlsm]enemies!T"&amp;(L39+1))* INDIRECT("[EnemyMasterData.xlsm]enemies!AE"&amp;(L39+1))*[6]ステータス!$C$2,0)*U39</f>
        <v>#REF!</v>
      </c>
      <c r="W39" s="175" t="e">
        <f t="shared" ca="1" si="25"/>
        <v>#REF!</v>
      </c>
      <c r="X39" s="175" t="e">
        <f t="shared" ca="1" si="28"/>
        <v>#REF!</v>
      </c>
      <c r="Y39" s="5">
        <v>0</v>
      </c>
      <c r="Z39" s="15" t="e">
        <f ca="1">VLOOKUP($AA39,OFFSET([3]enemy_skill_sets!$B$1,0,0,COUNTA([3]enemy_skill_sets!$B:$B),MATCH(M$1,[3]enemy_skill_sets!$1:$1,0)-MATCH($Y$1,[3]enemy_skill_sets!$1:$1,0)+2),MATCH(M$1,[3]enemy_skill_sets!$1:$1,0)-MATCH($Y$1,[3]enemy_skill_sets!$1:$1,0)+2,FALSE)</f>
        <v>#N/A</v>
      </c>
      <c r="AA39" s="16">
        <v>0</v>
      </c>
      <c r="AB39" s="231">
        <v>2</v>
      </c>
      <c r="AC39" s="195">
        <v>100</v>
      </c>
      <c r="AD39" s="195">
        <v>0</v>
      </c>
      <c r="AE39" s="15">
        <v>2</v>
      </c>
      <c r="AF39" s="114">
        <f t="shared" si="26"/>
        <v>370</v>
      </c>
      <c r="AG39" s="16" t="str">
        <f ca="1">VLOOKUP($AF39,OFFSET([6]characters!$A$1,0,0,COUNTA([6]characters!$A:$A),MATCH(AG$1,[6]characters!$1:$1,0)-MATCH("character_id",[6]characters!$1:$1,0)+1),MATCH(AG$1,[6]characters!$1:$1,0)-MATCH("character_id",[6]characters!$1:$1,0)+1,FALSE)</f>
        <v>タイチ</v>
      </c>
      <c r="AH39" s="16">
        <f ca="1">VLOOKUP($AF39,OFFSET([6]characters!$A$1,0,0,COUNTA([6]characters!$A:$A),MATCH(AH$1,[6]characters!$1:$1,0)-MATCH("character_id",[6]characters!$1:$1,0)+1),MATCH(AH$1,[6]characters!$1:$1,0)-MATCH("character_id",[6]characters!$1:$1,0)+1,FALSE)</f>
        <v>2</v>
      </c>
      <c r="AI39" s="16" t="str">
        <f ca="1">VLOOKUP($AF39,OFFSET([6]characters!$A$1,0,0,COUNTA([6]characters!$A:$A),MATCH(AG$1,[6]characters!$1:$1,0)-MATCH("character_id",[6]characters!$1:$1,0)+1),MATCH(AG$1,[6]characters!$1:$1,0)-MATCH("character_id",[6]characters!$1:$1,0)+1,FALSE)</f>
        <v>タイチ</v>
      </c>
      <c r="AJ39" s="115">
        <v>1</v>
      </c>
      <c r="AK39" s="114">
        <f t="shared" ca="1" si="27"/>
        <v>2</v>
      </c>
      <c r="AL39" s="196">
        <v>0</v>
      </c>
      <c r="AM39" s="115">
        <v>0</v>
      </c>
      <c r="AN39" s="115">
        <v>0</v>
      </c>
      <c r="AO39" s="115">
        <v>0</v>
      </c>
      <c r="AP39" s="115">
        <v>0</v>
      </c>
      <c r="AQ39" s="115">
        <v>1</v>
      </c>
      <c r="AR39" s="197">
        <v>1</v>
      </c>
    </row>
    <row r="40" spans="1:44" ht="21" customHeight="1" thickBot="1" x14ac:dyDescent="0.2">
      <c r="A40" s="14" t="str">
        <f t="shared" si="22"/>
        <v>65535_8-4/1088&lt;lv60&gt;s1</v>
      </c>
      <c r="B40" s="159">
        <v>65535</v>
      </c>
      <c r="C40" s="109">
        <v>8</v>
      </c>
      <c r="D40" s="122" t="str">
        <f t="shared" si="23"/>
        <v>65535_8</v>
      </c>
      <c r="E40" s="123" t="str">
        <f ca="1">VLOOKUP($B40,OFFSET([2]quests!$A$1,0,0,COUNTA([2]quests!$A:$A),MATCH(E$1,[2]quests!$1:$1,0)-MATCH($B$1,[2]quests!$1:$1,0)+1),MATCH(E$1,[2]quests!$1:$1,0)-MATCH($B$1,[2]quests!$1:$1,0)+1,FALSE)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40" s="96" t="str">
        <f ca="1">VLOOKUP($D40,OFFSET([2]stages!$A$1,0,0,COUNTA([2]stages!$A:$A),MATCH(F$1,[2]stages!$2:$2,0)-MATCH($D$1,[2]stages!$2:$2,0)+1),MATCH(F$1,[2]stages!$2:$2,0)-MATCH($D$1,[2]stages!$2:$2,0)+1,FALSE)</f>
        <v>テスト</v>
      </c>
      <c r="G40" s="121">
        <v>4</v>
      </c>
      <c r="H40" s="122" t="str">
        <f t="shared" si="24"/>
        <v>65535_8-4</v>
      </c>
      <c r="I40" s="123" t="e">
        <f ca="1">VLOOKUP($H40,OFFSET([3]floors!$A$1,0,0,COUNTA([3]floors!$A:$A),MATCH(I$1,[3]floors!$1:$1,0)-MATCH($H$1,[3]floors!$1:$1,0)+1),MATCH(I$1,[3]floors!$1:$1,0)-MATCH($H$1,[3]floors!$1:$1,0)+1,FALSE)</f>
        <v>#VALUE!</v>
      </c>
      <c r="J40" s="123" t="e">
        <f ca="1">VLOOKUP($H40,OFFSET([3]floors!$A$1,0,0,COUNTA([3]floors!$A:$A),MATCH(J$1,[3]floors!$1:$1,0)-MATCH($H$1,[3]floors!$1:$1,0)+1),MATCH(J$1,[3]floors!$1:$1,0)-MATCH($H$1,[3]floors!$1:$1,0)+1,FALSE)</f>
        <v>#VALUE!</v>
      </c>
      <c r="K40" s="124">
        <v>4</v>
      </c>
      <c r="L40" s="125">
        <v>1088</v>
      </c>
      <c r="M40" s="126" t="e">
        <f ca="1">VLOOKUP($L40,OFFSET([5]enemies!$A$1,0,0,COUNTA([5]enemies!$A:$A),MATCH(M$1,[5]enemies!$1:$1,0)-MATCH($L$1,[5]enemies!$1:$1,0)+1),MATCH(M$1,[5]enemies!$1:$1,0)-MATCH($L$1,[5]enemies!$1:$1,0)+1,FALSE)</f>
        <v>#VALUE!</v>
      </c>
      <c r="N40" s="126" t="e">
        <f ca="1">VLOOKUP($L40,OFFSET([5]enemies!$A$1,0,0,COUNTA([5]enemies!$A:$A),MATCH(N$1,[5]enemies!$1:$1,0)-MATCH($L$1,[5]enemies!$1:$1,0)+1),MATCH(N$1,[5]enemies!$1:$1,0)-MATCH($L$1,[5]enemies!$1:$1,0)+1,FALSE)</f>
        <v>#VALUE!</v>
      </c>
      <c r="O40" s="126" t="str">
        <f ca="1">VLOOKUP($L40,OFFSET([6]characters!$A$1,0,0,COUNTA([6]characters!$A:$A),MATCH(O$1,[6]characters!$1:$1,0)-MATCH($L$1,[6]characters!$1:$1,0)+1),MATCH(O$1,[6]characters!$1:$1,0)-MATCH($L$1,[6]characters!$1:$1,0)+1,FALSE)</f>
        <v>DropWizS</v>
      </c>
      <c r="P40" s="126" t="e">
        <f ca="1">VLOOKUP($L40,OFFSET([5]enemies!$A$1,0,0,COUNTA([5]enemies!$A:$A),MATCH(P$1,[5]enemies!$1:$1,0)-MATCH($L$1,[5]enemies!$1:$1,0)+1),MATCH(P$1,[5]enemies!$1:$1,0)-MATCH($L$1,[5]enemies!$1:$1,0)+1,FALSE)</f>
        <v>#VALUE!</v>
      </c>
      <c r="Q40" s="126" t="e">
        <f ca="1">VLOOKUP($L40,OFFSET([5]enemies!$A$1,0,0,COUNTA([5]enemies!$A:$A),MATCH(Q$1,[5]enemies!$1:$1,0)-MATCH($L$1,[5]enemies!$1:$1,0)+1),MATCH(Q$1,[5]enemies!$1:$1,0)-MATCH($L$1,[5]enemies!$1:$1,0)+1,FALSE)</f>
        <v>#VALUE!</v>
      </c>
      <c r="R40" s="127">
        <v>60</v>
      </c>
      <c r="S40" s="147">
        <v>5</v>
      </c>
      <c r="T40" s="198" t="e">
        <f ca="1">ROUND(VLOOKUP(R40,[5]enemy_base_stats!$A:$F,2,FALSE) *INDIRECT("[EnemyMasterData.xlsm]enemies!Y"&amp;(L40+1))*  INDIRECT("[EnemyMasterData.xlsm]enemies!J"&amp;(L40+1))* INDIRECT("[EnemyMasterData.xlsm]enemies!O"&amp;(L40+1))* INDIRECT("[EnemyMasterData.xlsm]enemies!E"&amp;(L40+1))* INDIRECT("[EnemyMasterData.xlsm]enemies!S"&amp;(L40+1))* INDIRECT("[EnemyMasterData.xlsm]enemies!AD"&amp;(L40+1))*[6]ステータス!$B$2,0)*S40</f>
        <v>#REF!</v>
      </c>
      <c r="U40" s="147">
        <v>1.2</v>
      </c>
      <c r="V40" s="198" t="e">
        <f ca="1">ROUND(VLOOKUP(R40,[5]enemy_base_stats!$A:$F,3,FALSE) *INDIRECT("[EnemyMasterData.xlsm]enemies!Z"&amp;(L40+1))*  INDIRECT("[EnemyMasterData.xlsm]enemies!K"&amp;(L40+1))* INDIRECT("[EnemyMasterData.xlsm]enemies!P"&amp;(L40+1))* INDIRECT("[EnemyMasterData.xlsm]enemies!F"&amp;(L40+1))* INDIRECT("[EnemyMasterData.xlsm]enemies!T"&amp;(L40+1))* INDIRECT("[EnemyMasterData.xlsm]enemies!AE"&amp;(L40+1))*[6]ステータス!$C$2,0)*U40</f>
        <v>#REF!</v>
      </c>
      <c r="W40" s="175" t="e">
        <f t="shared" ca="1" si="25"/>
        <v>#REF!</v>
      </c>
      <c r="X40" s="175" t="e">
        <f t="shared" ca="1" si="28"/>
        <v>#REF!</v>
      </c>
      <c r="Y40" s="127">
        <v>0</v>
      </c>
      <c r="Z40" s="126" t="e">
        <f ca="1">VLOOKUP($AA40,OFFSET([3]enemy_skill_sets!$B$1,0,0,COUNTA([3]enemy_skill_sets!$B:$B),MATCH(M$1,[3]enemy_skill_sets!$1:$1,0)-MATCH($Y$1,[3]enemy_skill_sets!$1:$1,0)+2),MATCH(M$1,[3]enemy_skill_sets!$1:$1,0)-MATCH($Y$1,[3]enemy_skill_sets!$1:$1,0)+2,FALSE)</f>
        <v>#N/A</v>
      </c>
      <c r="AA40" s="16">
        <v>0</v>
      </c>
      <c r="AB40" s="232">
        <v>1</v>
      </c>
      <c r="AC40" s="199">
        <v>100</v>
      </c>
      <c r="AD40" s="199">
        <v>1</v>
      </c>
      <c r="AE40" s="126">
        <v>1</v>
      </c>
      <c r="AF40" s="137">
        <f t="shared" si="26"/>
        <v>1088</v>
      </c>
      <c r="AG40" s="16" t="str">
        <f ca="1">VLOOKUP($AF40,OFFSET([6]characters!$A$1,0,0,COUNTA([6]characters!$A:$A),MATCH(AG$1,[6]characters!$1:$1,0)-MATCH("character_id",[6]characters!$1:$1,0)+1),MATCH(AG$1,[6]characters!$1:$1,0)-MATCH("character_id",[6]characters!$1:$1,0)+1,FALSE)</f>
        <v>ミケランジェロ</v>
      </c>
      <c r="AH40" s="16">
        <f ca="1">VLOOKUP($AF40,OFFSET([6]characters!$A$1,0,0,COUNTA([6]characters!$A:$A),MATCH(AH$1,[6]characters!$1:$1,0)-MATCH("character_id",[6]characters!$1:$1,0)+1),MATCH(AH$1,[6]characters!$1:$1,0)-MATCH("character_id",[6]characters!$1:$1,0)+1,FALSE)</f>
        <v>5</v>
      </c>
      <c r="AI40" s="16" t="str">
        <f ca="1">VLOOKUP($AF40,OFFSET([6]characters!$A$1,0,0,COUNTA([6]characters!$A:$A),MATCH(AG$1,[6]characters!$1:$1,0)-MATCH("character_id",[6]characters!$1:$1,0)+1),MATCH(AG$1,[6]characters!$1:$1,0)-MATCH("character_id",[6]characters!$1:$1,0)+1,FALSE)</f>
        <v>ミケランジェロ</v>
      </c>
      <c r="AJ40" s="115">
        <v>1</v>
      </c>
      <c r="AK40" s="137">
        <f t="shared" ca="1" si="27"/>
        <v>5</v>
      </c>
      <c r="AL40" s="138">
        <v>0</v>
      </c>
      <c r="AM40" s="136">
        <v>0</v>
      </c>
      <c r="AN40" s="136">
        <v>0</v>
      </c>
      <c r="AO40" s="136">
        <v>0</v>
      </c>
      <c r="AP40" s="136">
        <v>0</v>
      </c>
      <c r="AQ40" s="136">
        <v>1</v>
      </c>
      <c r="AR40" s="200">
        <v>1</v>
      </c>
    </row>
  </sheetData>
  <sheetProtection selectLockedCells="1" selectUnlockedCells="1"/>
  <autoFilter ref="B1:AL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6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H30" sqref="H30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3" bestFit="1" customWidth="1"/>
    <col min="3" max="3" width="10.6640625" style="3" bestFit="1" customWidth="1"/>
    <col min="4" max="4" width="13" style="12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7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0" customFormat="1" ht="21" customHeight="1" thickBot="1" x14ac:dyDescent="0.2">
      <c r="A1" s="22" t="s">
        <v>29</v>
      </c>
      <c r="B1" s="23" t="s">
        <v>0</v>
      </c>
      <c r="C1" s="23" t="s">
        <v>1</v>
      </c>
      <c r="D1" s="24" t="s">
        <v>28</v>
      </c>
      <c r="E1" s="25" t="s">
        <v>16</v>
      </c>
      <c r="F1" s="25" t="s">
        <v>16</v>
      </c>
      <c r="G1" s="23" t="s">
        <v>19</v>
      </c>
      <c r="H1" s="24" t="s">
        <v>30</v>
      </c>
      <c r="I1" s="24" t="s">
        <v>14</v>
      </c>
      <c r="J1" s="24" t="s">
        <v>15</v>
      </c>
      <c r="K1" s="31" t="s">
        <v>54</v>
      </c>
      <c r="L1" s="31" t="s">
        <v>55</v>
      </c>
      <c r="M1" s="32" t="s">
        <v>2</v>
      </c>
      <c r="N1" s="26" t="s">
        <v>16</v>
      </c>
      <c r="O1" s="24" t="s">
        <v>24</v>
      </c>
      <c r="P1" s="24" t="s">
        <v>23</v>
      </c>
      <c r="Q1" s="27" t="s">
        <v>26</v>
      </c>
      <c r="R1" s="25" t="s">
        <v>25</v>
      </c>
      <c r="S1" s="23" t="s">
        <v>3</v>
      </c>
      <c r="T1" s="21" t="s">
        <v>48</v>
      </c>
      <c r="U1" s="21" t="s">
        <v>50</v>
      </c>
      <c r="V1" s="21" t="s">
        <v>52</v>
      </c>
      <c r="W1" s="23" t="s">
        <v>130</v>
      </c>
      <c r="X1" s="24" t="s">
        <v>129</v>
      </c>
      <c r="Y1" s="23" t="s">
        <v>8</v>
      </c>
    </row>
    <row r="2" spans="1:25" s="117" customFormat="1" ht="21" customHeight="1" thickBot="1" x14ac:dyDescent="0.2">
      <c r="A2" s="93" t="str">
        <f>B2&amp;"_"&amp;C2&amp;"-"&amp;G2&amp;"/"&amp;M2&amp;"&lt;lv"&amp;S2&amp;"&gt;sq"&amp;K2&amp;"st"&amp;L2</f>
        <v>65535_4-3/258&lt;lv52&gt;sq5st2</v>
      </c>
      <c r="B2" s="6">
        <v>65535</v>
      </c>
      <c r="C2" s="94">
        <v>4</v>
      </c>
      <c r="D2" s="95" t="str">
        <f>B2&amp;"_"&amp;C2</f>
        <v>65535_4</v>
      </c>
      <c r="E2" s="96" t="str">
        <f ca="1">VLOOKUP($B2,OFFSET([2]quests!$A$1,0,0,COUNTA([2]quests!$A:$A),MATCH(E$1,[2]quests!$1:$1,0)-MATCH($B$1,[2]quests!$1:$1,0)+1),MATCH(E$1,[2]quests!$1:$1,0)-MATCH($B$1,[2]quests!$1:$1,0)+1,FALSE)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" s="96" t="str">
        <f ca="1">VLOOKUP($D2,OFFSET([2]stages!$A$1,0,0,COUNTA([2]stages!$A:$A),MATCH(F$1,[2]stages!$2:$2,0)-MATCH($D$1,[2]stages!$2:$2,0)+1),MATCH(F$1,[2]stages!$2:$2,0)-MATCH($D$1,[2]stages!$2:$2,0)+1,FALSE)</f>
        <v>フリーズジャンヌ</v>
      </c>
      <c r="G2" s="94">
        <v>3</v>
      </c>
      <c r="H2" s="95" t="str">
        <f>B2&amp;"_"&amp;C2&amp;"-"&amp;G2</f>
        <v>65535_4-3</v>
      </c>
      <c r="I2" s="96" t="e">
        <f ca="1">VLOOKUP($H2,OFFSET([4]floors!$A$1,0,0,COUNTA([4]floors!$A:$A),MATCH(I$1,[4]floors!$1:$1,0)-MATCH($H$1,[4]floors!$1:$1,0)+1),MATCH(I$1,[4]floors!$1:$1,0)-MATCH($H$1,[4]floors!$1:$1,0)+1,FALSE)</f>
        <v>#VALUE!</v>
      </c>
      <c r="J2" s="96" t="e">
        <f ca="1">VLOOKUP($H2,OFFSET([4]floors!$A$1,0,0,COUNTA([4]floors!$A:$A),MATCH(J$1,[4]floors!$1:$1,0)-MATCH($H$1,[4]floors!$1:$1,0)+1),MATCH(J$1,[4]floors!$1:$1,0)-MATCH($H$1,[4]floors!$1:$1,0)+1,FALSE)</f>
        <v>#VALUE!</v>
      </c>
      <c r="K2" s="97">
        <v>5</v>
      </c>
      <c r="L2" s="97">
        <v>2</v>
      </c>
      <c r="M2" s="98">
        <v>258</v>
      </c>
      <c r="N2" s="99" t="e">
        <f ca="1">VLOOKUP($M2,OFFSET([5]enemies!$A$1,0,0,COUNTA([5]enemies!$A:$A),MATCH(N$1,[5]enemies!$1:$1,0)-MATCH($M$1,[5]enemies!$1:$1,0)+1),MATCH(N$1,[5]enemies!$1:$1,0)-MATCH($M$1,[5]enemies!$1:$1,0)+1,FALSE)</f>
        <v>#VALUE!</v>
      </c>
      <c r="O2" s="99" t="e">
        <f ca="1">VLOOKUP($M2,OFFSET([5]enemies!$A$1,0,0,COUNTA([5]enemies!$A:$A),MATCH(O$1,[5]enemies!$1:$1,0)-MATCH($M$1,[5]enemies!$1:$1,0)+1),MATCH(O$1,[5]enemies!$1:$1,0)-MATCH($M$1,[5]enemies!$1:$1,0)+1,FALSE)</f>
        <v>#VALUE!</v>
      </c>
      <c r="P2" s="99" t="str">
        <f ca="1">VLOOKUP($M2,OFFSET([6]characters!$A$1,0,0,COUNTA([6]characters!$A:$A),MATCH(P$1,[6]characters!$1:$1,0)-MATCH($M$1,[6]characters!$1:$1,0)+1),MATCH(P$1,[6]characters!$1:$1,0)-MATCH($M$1,[6]characters!$1:$1,0)+1,FALSE)</f>
        <v>PremiumS</v>
      </c>
      <c r="Q2" s="99" t="e">
        <f ca="1">VLOOKUP($M2,OFFSET([5]enemies!$A$1,0,0,COUNTA([5]enemies!$A:$A),MATCH(Q$1,[5]enemies!$1:$1,0)-MATCH($M$1,[5]enemies!$1:$1,0)+1),MATCH(Q$1,[5]enemies!$1:$1,0)-MATCH($M$1,[5]enemies!$1:$1,0)+1,FALSE)</f>
        <v>#VALUE!</v>
      </c>
      <c r="R2" s="99" t="e">
        <f ca="1">VLOOKUP($M2,OFFSET([5]enemies!$A$1,0,0,COUNTA([5]enemies!$A:$A),MATCH(R$1,[5]enemies!$1:$1,0)-MATCH($M$1,[5]enemies!$1:$1,0)+1),MATCH(R$1,[5]enemies!$1:$1,0)-MATCH($M$1,[5]enemies!$1:$1,0)+1,FALSE)</f>
        <v>#VALUE!</v>
      </c>
      <c r="S2" s="141">
        <v>52</v>
      </c>
      <c r="T2" s="142">
        <v>4</v>
      </c>
      <c r="U2" s="143">
        <v>1</v>
      </c>
      <c r="V2" s="100">
        <v>0</v>
      </c>
      <c r="W2" s="96" t="e">
        <f ca="1">VLOOKUP($X2,OFFSET([7]enemy_skill_sets!$B$1,0,0,COUNTA([7]enemy_skill_sets!$B:$B),MATCH(N$1,[7]enemy_skill_sets!$1:$1,0)-MATCH($X$1,[7]enemy_skill_sets!$1:$1,0)+2),MATCH(N$1,[7]enemy_skill_sets!$1:$1,0)-MATCH($X$1,[7]enemy_skill_sets!$1:$1,0)+2,FALSE)</f>
        <v>#VALUE!</v>
      </c>
      <c r="X2" s="144">
        <v>41003018</v>
      </c>
      <c r="Y2" s="145">
        <v>2</v>
      </c>
    </row>
    <row r="3" spans="1:25" s="117" customFormat="1" ht="21" customHeight="1" thickBot="1" x14ac:dyDescent="0.2">
      <c r="A3" s="108" t="str">
        <f t="shared" ref="A3:A4" si="0">B3&amp;"_"&amp;C3&amp;"-"&amp;G3&amp;"/"&amp;M3&amp;"&lt;lv"&amp;S3&amp;"&gt;sq"&amp;K3&amp;"st"&amp;L3</f>
        <v>65535_4-4/814&lt;lv80&gt;sq6st2</v>
      </c>
      <c r="B3" s="6">
        <v>65535</v>
      </c>
      <c r="C3" s="94">
        <v>4</v>
      </c>
      <c r="D3" s="13" t="str">
        <f t="shared" ref="D3:D4" si="1">B3&amp;"_"&amp;C3</f>
        <v>65535_4</v>
      </c>
      <c r="E3" s="4" t="str">
        <f ca="1">VLOOKUP($B3,OFFSET([2]quests!$A$1,0,0,COUNTA([2]quests!$A:$A),MATCH(E$1,[2]quests!$1:$1,0)-MATCH($B$1,[2]quests!$1:$1,0)+1),MATCH(E$1,[2]quests!$1:$1,0)-MATCH($B$1,[2]quests!$1:$1,0)+1,FALSE)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3" s="4" t="str">
        <f ca="1">VLOOKUP($D3,OFFSET([2]stages!$A$1,0,0,COUNTA([2]stages!$A:$A),MATCH(F$1,[2]stages!$2:$2,0)-MATCH($D$1,[2]stages!$2:$2,0)+1),MATCH(F$1,[2]stages!$2:$2,0)-MATCH($D$1,[2]stages!$2:$2,0)+1,FALSE)</f>
        <v>フリーズジャンヌ</v>
      </c>
      <c r="G3" s="109">
        <v>4</v>
      </c>
      <c r="H3" s="13" t="str">
        <f t="shared" ref="H3:H4" si="2">B3&amp;"_"&amp;C3&amp;"-"&amp;G3</f>
        <v>65535_4-4</v>
      </c>
      <c r="I3" s="4" t="e">
        <f ca="1">VLOOKUP($H3,OFFSET([4]floors!$A$1,0,0,COUNTA([4]floors!$A:$A),MATCH(I$1,[4]floors!$1:$1,0)-MATCH($H$1,[4]floors!$1:$1,0)+1),MATCH(I$1,[4]floors!$1:$1,0)-MATCH($H$1,[4]floors!$1:$1,0)+1,FALSE)</f>
        <v>#VALUE!</v>
      </c>
      <c r="J3" s="4" t="e">
        <f ca="1">VLOOKUP($H3,OFFSET([4]floors!$A$1,0,0,COUNTA([4]floors!$A:$A),MATCH(J$1,[4]floors!$1:$1,0)-MATCH($H$1,[4]floors!$1:$1,0)+1),MATCH(J$1,[4]floors!$1:$1,0)-MATCH($H$1,[4]floors!$1:$1,0)+1,FALSE)</f>
        <v>#VALUE!</v>
      </c>
      <c r="K3" s="33">
        <v>6</v>
      </c>
      <c r="L3" s="33">
        <v>2</v>
      </c>
      <c r="M3" s="110">
        <v>814</v>
      </c>
      <c r="N3" s="15" t="e">
        <f ca="1">VLOOKUP($M3,OFFSET([5]enemies!$A$1,0,0,COUNTA([5]enemies!$A:$A),MATCH(N$1,[5]enemies!$1:$1,0)-MATCH($M$1,[5]enemies!$1:$1,0)+1),MATCH(N$1,[5]enemies!$1:$1,0)-MATCH($M$1,[5]enemies!$1:$1,0)+1,FALSE)</f>
        <v>#VALUE!</v>
      </c>
      <c r="O3" s="15" t="e">
        <f ca="1">VLOOKUP($M3,OFFSET([5]enemies!$A$1,0,0,COUNTA([5]enemies!$A:$A),MATCH(O$1,[5]enemies!$1:$1,0)-MATCH($M$1,[5]enemies!$1:$1,0)+1),MATCH(O$1,[5]enemies!$1:$1,0)-MATCH($M$1,[5]enemies!$1:$1,0)+1,FALSE)</f>
        <v>#VALUE!</v>
      </c>
      <c r="P3" s="15" t="str">
        <f ca="1">VLOOKUP($M3,OFFSET([6]characters!$A$1,0,0,COUNTA([6]characters!$A:$A),MATCH(P$1,[6]characters!$1:$1,0)-MATCH($M$1,[6]characters!$1:$1,0)+1),MATCH(P$1,[6]characters!$1:$1,0)-MATCH($M$1,[6]characters!$1:$1,0)+1,FALSE)</f>
        <v>DropWizS</v>
      </c>
      <c r="Q3" s="15" t="e">
        <f ca="1">VLOOKUP($M3,OFFSET([5]enemies!$A$1,0,0,COUNTA([5]enemies!$A:$A),MATCH(Q$1,[5]enemies!$1:$1,0)-MATCH($M$1,[5]enemies!$1:$1,0)+1),MATCH(Q$1,[5]enemies!$1:$1,0)-MATCH($M$1,[5]enemies!$1:$1,0)+1,FALSE)</f>
        <v>#VALUE!</v>
      </c>
      <c r="R3" s="15" t="e">
        <f ca="1">VLOOKUP($M3,OFFSET([5]enemies!$A$1,0,0,COUNTA([5]enemies!$A:$A),MATCH(R$1,[5]enemies!$1:$1,0)-MATCH($M$1,[5]enemies!$1:$1,0)+1),MATCH(R$1,[5]enemies!$1:$1,0)-MATCH($M$1,[5]enemies!$1:$1,0)+1,FALSE)</f>
        <v>#VALUE!</v>
      </c>
      <c r="S3" s="5">
        <v>80</v>
      </c>
      <c r="T3" s="20">
        <v>5</v>
      </c>
      <c r="U3" s="20">
        <v>2.1</v>
      </c>
      <c r="V3" s="5">
        <v>0</v>
      </c>
      <c r="W3" s="4" t="e">
        <f ca="1">VLOOKUP($X3,OFFSET([7]enemy_skill_sets!$B$1,0,0,COUNTA([7]enemy_skill_sets!$B:$B),MATCH(N$1,[7]enemy_skill_sets!$1:$1,0)-MATCH($X$1,[7]enemy_skill_sets!$1:$1,0)+2),MATCH(N$1,[7]enemy_skill_sets!$1:$1,0)-MATCH($X$1,[7]enemy_skill_sets!$1:$1,0)+2,FALSE)</f>
        <v>#VALUE!</v>
      </c>
      <c r="X3" s="115">
        <v>41003019</v>
      </c>
      <c r="Y3" s="146">
        <v>2</v>
      </c>
    </row>
    <row r="4" spans="1:25" s="117" customFormat="1" ht="21" customHeight="1" thickBot="1" x14ac:dyDescent="0.2">
      <c r="A4" s="120" t="str">
        <f t="shared" si="0"/>
        <v>65535_4-4/814&lt;lv80&gt;sq6st3</v>
      </c>
      <c r="B4" s="6">
        <v>65535</v>
      </c>
      <c r="C4" s="94">
        <v>4</v>
      </c>
      <c r="D4" s="122" t="str">
        <f t="shared" si="1"/>
        <v>65535_4</v>
      </c>
      <c r="E4" s="123" t="str">
        <f ca="1">VLOOKUP($B4,OFFSET([2]quests!$A$1,0,0,COUNTA([2]quests!$A:$A),MATCH(E$1,[2]quests!$1:$1,0)-MATCH($B$1,[2]quests!$1:$1,0)+1),MATCH(E$1,[2]quests!$1:$1,0)-MATCH($B$1,[2]quests!$1:$1,0)+1,FALSE)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4" s="123" t="str">
        <f ca="1">VLOOKUP($D4,OFFSET([2]stages!$A$1,0,0,COUNTA([2]stages!$A:$A),MATCH(F$1,[2]stages!$2:$2,0)-MATCH($D$1,[2]stages!$2:$2,0)+1),MATCH(F$1,[2]stages!$2:$2,0)-MATCH($D$1,[2]stages!$2:$2,0)+1,FALSE)</f>
        <v>フリーズジャンヌ</v>
      </c>
      <c r="G4" s="121">
        <v>4</v>
      </c>
      <c r="H4" s="122" t="str">
        <f t="shared" si="2"/>
        <v>65535_4-4</v>
      </c>
      <c r="I4" s="123" t="e">
        <f ca="1">VLOOKUP($H4,OFFSET([4]floors!$A$1,0,0,COUNTA([4]floors!$A:$A),MATCH(I$1,[4]floors!$1:$1,0)-MATCH($H$1,[4]floors!$1:$1,0)+1),MATCH(I$1,[4]floors!$1:$1,0)-MATCH($H$1,[4]floors!$1:$1,0)+1,FALSE)</f>
        <v>#VALUE!</v>
      </c>
      <c r="J4" s="123" t="e">
        <f ca="1">VLOOKUP($H4,OFFSET([4]floors!$A$1,0,0,COUNTA([4]floors!$A:$A),MATCH(J$1,[4]floors!$1:$1,0)-MATCH($H$1,[4]floors!$1:$1,0)+1),MATCH(J$1,[4]floors!$1:$1,0)-MATCH($H$1,[4]floors!$1:$1,0)+1,FALSE)</f>
        <v>#VALUE!</v>
      </c>
      <c r="K4" s="124">
        <v>6</v>
      </c>
      <c r="L4" s="124">
        <v>3</v>
      </c>
      <c r="M4" s="125">
        <v>814</v>
      </c>
      <c r="N4" s="126" t="e">
        <f ca="1">VLOOKUP($M4,OFFSET([5]enemies!$A$1,0,0,COUNTA([5]enemies!$A:$A),MATCH(N$1,[5]enemies!$1:$1,0)-MATCH($M$1,[5]enemies!$1:$1,0)+1),MATCH(N$1,[5]enemies!$1:$1,0)-MATCH($M$1,[5]enemies!$1:$1,0)+1,FALSE)</f>
        <v>#VALUE!</v>
      </c>
      <c r="O4" s="126" t="e">
        <f ca="1">VLOOKUP($M4,OFFSET([5]enemies!$A$1,0,0,COUNTA([5]enemies!$A:$A),MATCH(O$1,[5]enemies!$1:$1,0)-MATCH($M$1,[5]enemies!$1:$1,0)+1),MATCH(O$1,[5]enemies!$1:$1,0)-MATCH($M$1,[5]enemies!$1:$1,0)+1,FALSE)</f>
        <v>#VALUE!</v>
      </c>
      <c r="P4" s="126" t="str">
        <f ca="1">VLOOKUP($M4,OFFSET([6]characters!$A$1,0,0,COUNTA([6]characters!$A:$A),MATCH(P$1,[6]characters!$1:$1,0)-MATCH($M$1,[6]characters!$1:$1,0)+1),MATCH(P$1,[6]characters!$1:$1,0)-MATCH($M$1,[6]characters!$1:$1,0)+1,FALSE)</f>
        <v>DropWizS</v>
      </c>
      <c r="Q4" s="126" t="e">
        <f ca="1">VLOOKUP($M4,OFFSET([5]enemies!$A$1,0,0,COUNTA([5]enemies!$A:$A),MATCH(Q$1,[5]enemies!$1:$1,0)-MATCH($M$1,[5]enemies!$1:$1,0)+1),MATCH(Q$1,[5]enemies!$1:$1,0)-MATCH($M$1,[5]enemies!$1:$1,0)+1,FALSE)</f>
        <v>#VALUE!</v>
      </c>
      <c r="R4" s="126" t="e">
        <f ca="1">VLOOKUP($M4,OFFSET([5]enemies!$A$1,0,0,COUNTA([5]enemies!$A:$A),MATCH(R$1,[5]enemies!$1:$1,0)-MATCH($M$1,[5]enemies!$1:$1,0)+1),MATCH(R$1,[5]enemies!$1:$1,0)-MATCH($M$1,[5]enemies!$1:$1,0)+1,FALSE)</f>
        <v>#VALUE!</v>
      </c>
      <c r="S4" s="127">
        <v>80</v>
      </c>
      <c r="T4" s="147">
        <v>7</v>
      </c>
      <c r="U4" s="147">
        <v>2.2000000000000002</v>
      </c>
      <c r="V4" s="127">
        <v>0</v>
      </c>
      <c r="W4" s="123" t="e">
        <f ca="1">VLOOKUP($X4,OFFSET([7]enemy_skill_sets!$B$1,0,0,COUNTA([7]enemy_skill_sets!$B:$B),MATCH(N$1,[7]enemy_skill_sets!$1:$1,0)-MATCH($X$1,[7]enemy_skill_sets!$1:$1,0)+2),MATCH(N$1,[7]enemy_skill_sets!$1:$1,0)-MATCH($X$1,[7]enemy_skill_sets!$1:$1,0)+2,FALSE)</f>
        <v>#VALUE!</v>
      </c>
      <c r="X4" s="136">
        <v>41003020</v>
      </c>
      <c r="Y4" s="148">
        <v>2</v>
      </c>
    </row>
    <row r="5" spans="1:25" s="117" customFormat="1" ht="21" customHeight="1" thickBot="1" x14ac:dyDescent="0.2">
      <c r="A5" s="93" t="str">
        <f>B5&amp;"_"&amp;C5&amp;"-"&amp;G5&amp;"/"&amp;M5&amp;"&lt;lv"&amp;S5&amp;"&gt;sq"&amp;K5&amp;"st"&amp;L5</f>
        <v>65535_5-3/258&lt;lv52&gt;sq5st2</v>
      </c>
      <c r="B5" s="6">
        <v>65535</v>
      </c>
      <c r="C5" s="94">
        <v>5</v>
      </c>
      <c r="D5" s="95" t="str">
        <f>B5&amp;"_"&amp;C5</f>
        <v>65535_5</v>
      </c>
      <c r="E5" s="96" t="str">
        <f ca="1">VLOOKUP($B5,OFFSET([2]quests!$A$1,0,0,COUNTA([2]quests!$A:$A),MATCH(E$1,[2]quests!$1:$1,0)-MATCH($B$1,[2]quests!$1:$1,0)+1),MATCH(E$1,[2]quests!$1:$1,0)-MATCH($B$1,[2]quests!$1:$1,0)+1,FALSE)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5" s="96" t="str">
        <f ca="1">VLOOKUP($D5,OFFSET([2]stages!$A$1,0,0,COUNTA([2]stages!$A:$A),MATCH(F$1,[2]stages!$2:$2,0)-MATCH($D$1,[2]stages!$2:$2,0)+1),MATCH(F$1,[2]stages!$2:$2,0)-MATCH($D$1,[2]stages!$2:$2,0)+1,FALSE)</f>
        <v>ウィルスジャンヌ</v>
      </c>
      <c r="G5" s="94">
        <v>3</v>
      </c>
      <c r="H5" s="95" t="str">
        <f>B5&amp;"_"&amp;C5&amp;"-"&amp;G5</f>
        <v>65535_5-3</v>
      </c>
      <c r="I5" s="96" t="e">
        <f ca="1">VLOOKUP($H5,OFFSET([4]floors!$A$1,0,0,COUNTA([4]floors!$A:$A),MATCH(I$1,[4]floors!$1:$1,0)-MATCH($H$1,[4]floors!$1:$1,0)+1),MATCH(I$1,[4]floors!$1:$1,0)-MATCH($H$1,[4]floors!$1:$1,0)+1,FALSE)</f>
        <v>#VALUE!</v>
      </c>
      <c r="J5" s="96" t="e">
        <f ca="1">VLOOKUP($H5,OFFSET([4]floors!$A$1,0,0,COUNTA([4]floors!$A:$A),MATCH(J$1,[4]floors!$1:$1,0)-MATCH($H$1,[4]floors!$1:$1,0)+1),MATCH(J$1,[4]floors!$1:$1,0)-MATCH($H$1,[4]floors!$1:$1,0)+1,FALSE)</f>
        <v>#VALUE!</v>
      </c>
      <c r="K5" s="97">
        <v>5</v>
      </c>
      <c r="L5" s="97">
        <v>2</v>
      </c>
      <c r="M5" s="98">
        <v>258</v>
      </c>
      <c r="N5" s="99" t="e">
        <f ca="1">VLOOKUP($M5,OFFSET([5]enemies!$A$1,0,0,COUNTA([5]enemies!$A:$A),MATCH(N$1,[5]enemies!$1:$1,0)-MATCH($M$1,[5]enemies!$1:$1,0)+1),MATCH(N$1,[5]enemies!$1:$1,0)-MATCH($M$1,[5]enemies!$1:$1,0)+1,FALSE)</f>
        <v>#VALUE!</v>
      </c>
      <c r="O5" s="99" t="e">
        <f ca="1">VLOOKUP($M5,OFFSET([5]enemies!$A$1,0,0,COUNTA([5]enemies!$A:$A),MATCH(O$1,[5]enemies!$1:$1,0)-MATCH($M$1,[5]enemies!$1:$1,0)+1),MATCH(O$1,[5]enemies!$1:$1,0)-MATCH($M$1,[5]enemies!$1:$1,0)+1,FALSE)</f>
        <v>#VALUE!</v>
      </c>
      <c r="P5" s="99" t="str">
        <f ca="1">VLOOKUP($M5,OFFSET([6]characters!$A$1,0,0,COUNTA([6]characters!$A:$A),MATCH(P$1,[6]characters!$1:$1,0)-MATCH($M$1,[6]characters!$1:$1,0)+1),MATCH(P$1,[6]characters!$1:$1,0)-MATCH($M$1,[6]characters!$1:$1,0)+1,FALSE)</f>
        <v>PremiumS</v>
      </c>
      <c r="Q5" s="99" t="e">
        <f ca="1">VLOOKUP($M5,OFFSET([5]enemies!$A$1,0,0,COUNTA([5]enemies!$A:$A),MATCH(Q$1,[5]enemies!$1:$1,0)-MATCH($M$1,[5]enemies!$1:$1,0)+1),MATCH(Q$1,[5]enemies!$1:$1,0)-MATCH($M$1,[5]enemies!$1:$1,0)+1,FALSE)</f>
        <v>#VALUE!</v>
      </c>
      <c r="R5" s="99" t="e">
        <f ca="1">VLOOKUP($M5,OFFSET([5]enemies!$A$1,0,0,COUNTA([5]enemies!$A:$A),MATCH(R$1,[5]enemies!$1:$1,0)-MATCH($M$1,[5]enemies!$1:$1,0)+1),MATCH(R$1,[5]enemies!$1:$1,0)-MATCH($M$1,[5]enemies!$1:$1,0)+1,FALSE)</f>
        <v>#VALUE!</v>
      </c>
      <c r="S5" s="141">
        <v>52</v>
      </c>
      <c r="T5" s="142">
        <v>4</v>
      </c>
      <c r="U5" s="143">
        <v>1</v>
      </c>
      <c r="V5" s="100">
        <v>0</v>
      </c>
      <c r="W5" s="96" t="e">
        <f ca="1">VLOOKUP($X5,OFFSET([7]enemy_skill_sets!$B$1,0,0,COUNTA([7]enemy_skill_sets!$B:$B),MATCH(N$1,[7]enemy_skill_sets!$1:$1,0)-MATCH($X$1,[7]enemy_skill_sets!$1:$1,0)+2),MATCH(N$1,[7]enemy_skill_sets!$1:$1,0)-MATCH($X$1,[7]enemy_skill_sets!$1:$1,0)+2,FALSE)</f>
        <v>#VALUE!</v>
      </c>
      <c r="X5" s="144">
        <v>41003018</v>
      </c>
      <c r="Y5" s="145">
        <v>2</v>
      </c>
    </row>
    <row r="6" spans="1:25" s="117" customFormat="1" ht="21" customHeight="1" thickBot="1" x14ac:dyDescent="0.2">
      <c r="A6" s="108" t="str">
        <f t="shared" ref="A6:A7" si="3">B6&amp;"_"&amp;C6&amp;"-"&amp;G6&amp;"/"&amp;M6&amp;"&lt;lv"&amp;S6&amp;"&gt;sq"&amp;K6&amp;"st"&amp;L6</f>
        <v>65535_5-4/814&lt;lv80&gt;sq6st2</v>
      </c>
      <c r="B6" s="6">
        <v>65535</v>
      </c>
      <c r="C6" s="94">
        <v>5</v>
      </c>
      <c r="D6" s="13" t="str">
        <f t="shared" ref="D6:D7" si="4">B6&amp;"_"&amp;C6</f>
        <v>65535_5</v>
      </c>
      <c r="E6" s="4" t="str">
        <f ca="1">VLOOKUP($B6,OFFSET([2]quests!$A$1,0,0,COUNTA([2]quests!$A:$A),MATCH(E$1,[2]quests!$1:$1,0)-MATCH($B$1,[2]quests!$1:$1,0)+1),MATCH(E$1,[2]quests!$1:$1,0)-MATCH($B$1,[2]quests!$1:$1,0)+1,FALSE)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6" s="4" t="str">
        <f ca="1">VLOOKUP($D6,OFFSET([2]stages!$A$1,0,0,COUNTA([2]stages!$A:$A),MATCH(F$1,[2]stages!$2:$2,0)-MATCH($D$1,[2]stages!$2:$2,0)+1),MATCH(F$1,[2]stages!$2:$2,0)-MATCH($D$1,[2]stages!$2:$2,0)+1,FALSE)</f>
        <v>ウィルスジャンヌ</v>
      </c>
      <c r="G6" s="109">
        <v>4</v>
      </c>
      <c r="H6" s="13" t="str">
        <f t="shared" ref="H6:H7" si="5">B6&amp;"_"&amp;C6&amp;"-"&amp;G6</f>
        <v>65535_5-4</v>
      </c>
      <c r="I6" s="4" t="e">
        <f ca="1">VLOOKUP($H6,OFFSET([4]floors!$A$1,0,0,COUNTA([4]floors!$A:$A),MATCH(I$1,[4]floors!$1:$1,0)-MATCH($H$1,[4]floors!$1:$1,0)+1),MATCH(I$1,[4]floors!$1:$1,0)-MATCH($H$1,[4]floors!$1:$1,0)+1,FALSE)</f>
        <v>#VALUE!</v>
      </c>
      <c r="J6" s="4" t="e">
        <f ca="1">VLOOKUP($H6,OFFSET([4]floors!$A$1,0,0,COUNTA([4]floors!$A:$A),MATCH(J$1,[4]floors!$1:$1,0)-MATCH($H$1,[4]floors!$1:$1,0)+1),MATCH(J$1,[4]floors!$1:$1,0)-MATCH($H$1,[4]floors!$1:$1,0)+1,FALSE)</f>
        <v>#VALUE!</v>
      </c>
      <c r="K6" s="33">
        <v>6</v>
      </c>
      <c r="L6" s="33">
        <v>2</v>
      </c>
      <c r="M6" s="110">
        <v>814</v>
      </c>
      <c r="N6" s="15" t="e">
        <f ca="1">VLOOKUP($M6,OFFSET([5]enemies!$A$1,0,0,COUNTA([5]enemies!$A:$A),MATCH(N$1,[5]enemies!$1:$1,0)-MATCH($M$1,[5]enemies!$1:$1,0)+1),MATCH(N$1,[5]enemies!$1:$1,0)-MATCH($M$1,[5]enemies!$1:$1,0)+1,FALSE)</f>
        <v>#VALUE!</v>
      </c>
      <c r="O6" s="15" t="e">
        <f ca="1">VLOOKUP($M6,OFFSET([5]enemies!$A$1,0,0,COUNTA([5]enemies!$A:$A),MATCH(O$1,[5]enemies!$1:$1,0)-MATCH($M$1,[5]enemies!$1:$1,0)+1),MATCH(O$1,[5]enemies!$1:$1,0)-MATCH($M$1,[5]enemies!$1:$1,0)+1,FALSE)</f>
        <v>#VALUE!</v>
      </c>
      <c r="P6" s="15" t="str">
        <f ca="1">VLOOKUP($M6,OFFSET([6]characters!$A$1,0,0,COUNTA([6]characters!$A:$A),MATCH(P$1,[6]characters!$1:$1,0)-MATCH($M$1,[6]characters!$1:$1,0)+1),MATCH(P$1,[6]characters!$1:$1,0)-MATCH($M$1,[6]characters!$1:$1,0)+1,FALSE)</f>
        <v>DropWizS</v>
      </c>
      <c r="Q6" s="15" t="e">
        <f ca="1">VLOOKUP($M6,OFFSET([5]enemies!$A$1,0,0,COUNTA([5]enemies!$A:$A),MATCH(Q$1,[5]enemies!$1:$1,0)-MATCH($M$1,[5]enemies!$1:$1,0)+1),MATCH(Q$1,[5]enemies!$1:$1,0)-MATCH($M$1,[5]enemies!$1:$1,0)+1,FALSE)</f>
        <v>#VALUE!</v>
      </c>
      <c r="R6" s="15" t="e">
        <f ca="1">VLOOKUP($M6,OFFSET([5]enemies!$A$1,0,0,COUNTA([5]enemies!$A:$A),MATCH(R$1,[5]enemies!$1:$1,0)-MATCH($M$1,[5]enemies!$1:$1,0)+1),MATCH(R$1,[5]enemies!$1:$1,0)-MATCH($M$1,[5]enemies!$1:$1,0)+1,FALSE)</f>
        <v>#VALUE!</v>
      </c>
      <c r="S6" s="5">
        <v>80</v>
      </c>
      <c r="T6" s="20">
        <v>5</v>
      </c>
      <c r="U6" s="20">
        <v>2.1</v>
      </c>
      <c r="V6" s="5">
        <v>0</v>
      </c>
      <c r="W6" s="4" t="e">
        <f ca="1">VLOOKUP($X6,OFFSET([7]enemy_skill_sets!$B$1,0,0,COUNTA([7]enemy_skill_sets!$B:$B),MATCH(N$1,[7]enemy_skill_sets!$1:$1,0)-MATCH($X$1,[7]enemy_skill_sets!$1:$1,0)+2),MATCH(N$1,[7]enemy_skill_sets!$1:$1,0)-MATCH($X$1,[7]enemy_skill_sets!$1:$1,0)+2,FALSE)</f>
        <v>#VALUE!</v>
      </c>
      <c r="X6" s="115">
        <v>41003019</v>
      </c>
      <c r="Y6" s="146">
        <v>2</v>
      </c>
    </row>
    <row r="7" spans="1:25" s="117" customFormat="1" ht="21" customHeight="1" thickBot="1" x14ac:dyDescent="0.2">
      <c r="A7" s="120" t="str">
        <f t="shared" si="3"/>
        <v>65535_5-4/814&lt;lv80&gt;sq6st3</v>
      </c>
      <c r="B7" s="6">
        <v>65535</v>
      </c>
      <c r="C7" s="94">
        <v>5</v>
      </c>
      <c r="D7" s="122" t="str">
        <f t="shared" si="4"/>
        <v>65535_5</v>
      </c>
      <c r="E7" s="123" t="str">
        <f ca="1">VLOOKUP($B7,OFFSET([2]quests!$A$1,0,0,COUNTA([2]quests!$A:$A),MATCH(E$1,[2]quests!$1:$1,0)-MATCH($B$1,[2]quests!$1:$1,0)+1),MATCH(E$1,[2]quests!$1:$1,0)-MATCH($B$1,[2]quests!$1:$1,0)+1,FALSE)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7" s="123" t="str">
        <f ca="1">VLOOKUP($D7,OFFSET([2]stages!$A$1,0,0,COUNTA([2]stages!$A:$A),MATCH(F$1,[2]stages!$2:$2,0)-MATCH($D$1,[2]stages!$2:$2,0)+1),MATCH(F$1,[2]stages!$2:$2,0)-MATCH($D$1,[2]stages!$2:$2,0)+1,FALSE)</f>
        <v>ウィルスジャンヌ</v>
      </c>
      <c r="G7" s="121">
        <v>4</v>
      </c>
      <c r="H7" s="122" t="str">
        <f t="shared" si="5"/>
        <v>65535_5-4</v>
      </c>
      <c r="I7" s="123" t="e">
        <f ca="1">VLOOKUP($H7,OFFSET([4]floors!$A$1,0,0,COUNTA([4]floors!$A:$A),MATCH(I$1,[4]floors!$1:$1,0)-MATCH($H$1,[4]floors!$1:$1,0)+1),MATCH(I$1,[4]floors!$1:$1,0)-MATCH($H$1,[4]floors!$1:$1,0)+1,FALSE)</f>
        <v>#VALUE!</v>
      </c>
      <c r="J7" s="123" t="e">
        <f ca="1">VLOOKUP($H7,OFFSET([4]floors!$A$1,0,0,COUNTA([4]floors!$A:$A),MATCH(J$1,[4]floors!$1:$1,0)-MATCH($H$1,[4]floors!$1:$1,0)+1),MATCH(J$1,[4]floors!$1:$1,0)-MATCH($H$1,[4]floors!$1:$1,0)+1,FALSE)</f>
        <v>#VALUE!</v>
      </c>
      <c r="K7" s="124">
        <v>6</v>
      </c>
      <c r="L7" s="124">
        <v>3</v>
      </c>
      <c r="M7" s="125">
        <v>814</v>
      </c>
      <c r="N7" s="126" t="e">
        <f ca="1">VLOOKUP($M7,OFFSET([5]enemies!$A$1,0,0,COUNTA([5]enemies!$A:$A),MATCH(N$1,[5]enemies!$1:$1,0)-MATCH($M$1,[5]enemies!$1:$1,0)+1),MATCH(N$1,[5]enemies!$1:$1,0)-MATCH($M$1,[5]enemies!$1:$1,0)+1,FALSE)</f>
        <v>#VALUE!</v>
      </c>
      <c r="O7" s="126" t="e">
        <f ca="1">VLOOKUP($M7,OFFSET([5]enemies!$A$1,0,0,COUNTA([5]enemies!$A:$A),MATCH(O$1,[5]enemies!$1:$1,0)-MATCH($M$1,[5]enemies!$1:$1,0)+1),MATCH(O$1,[5]enemies!$1:$1,0)-MATCH($M$1,[5]enemies!$1:$1,0)+1,FALSE)</f>
        <v>#VALUE!</v>
      </c>
      <c r="P7" s="126" t="str">
        <f ca="1">VLOOKUP($M7,OFFSET([6]characters!$A$1,0,0,COUNTA([6]characters!$A:$A),MATCH(P$1,[6]characters!$1:$1,0)-MATCH($M$1,[6]characters!$1:$1,0)+1),MATCH(P$1,[6]characters!$1:$1,0)-MATCH($M$1,[6]characters!$1:$1,0)+1,FALSE)</f>
        <v>DropWizS</v>
      </c>
      <c r="Q7" s="126" t="e">
        <f ca="1">VLOOKUP($M7,OFFSET([5]enemies!$A$1,0,0,COUNTA([5]enemies!$A:$A),MATCH(Q$1,[5]enemies!$1:$1,0)-MATCH($M$1,[5]enemies!$1:$1,0)+1),MATCH(Q$1,[5]enemies!$1:$1,0)-MATCH($M$1,[5]enemies!$1:$1,0)+1,FALSE)</f>
        <v>#VALUE!</v>
      </c>
      <c r="R7" s="126" t="e">
        <f ca="1">VLOOKUP($M7,OFFSET([5]enemies!$A$1,0,0,COUNTA([5]enemies!$A:$A),MATCH(R$1,[5]enemies!$1:$1,0)-MATCH($M$1,[5]enemies!$1:$1,0)+1),MATCH(R$1,[5]enemies!$1:$1,0)-MATCH($M$1,[5]enemies!$1:$1,0)+1,FALSE)</f>
        <v>#VALUE!</v>
      </c>
      <c r="S7" s="127">
        <v>80</v>
      </c>
      <c r="T7" s="147">
        <v>7</v>
      </c>
      <c r="U7" s="147">
        <v>2.2000000000000002</v>
      </c>
      <c r="V7" s="127">
        <v>0</v>
      </c>
      <c r="W7" s="123" t="e">
        <f ca="1">VLOOKUP($X7,OFFSET([7]enemy_skill_sets!$B$1,0,0,COUNTA([7]enemy_skill_sets!$B:$B),MATCH(N$1,[7]enemy_skill_sets!$1:$1,0)-MATCH($X$1,[7]enemy_skill_sets!$1:$1,0)+2),MATCH(N$1,[7]enemy_skill_sets!$1:$1,0)-MATCH($X$1,[7]enemy_skill_sets!$1:$1,0)+2,FALSE)</f>
        <v>#VALUE!</v>
      </c>
      <c r="X7" s="136">
        <v>41003020</v>
      </c>
      <c r="Y7" s="148">
        <v>2</v>
      </c>
    </row>
    <row r="8" spans="1:25" s="117" customFormat="1" ht="21" customHeight="1" thickBot="1" x14ac:dyDescent="0.2">
      <c r="A8" s="93" t="str">
        <f>B8&amp;"_"&amp;C8&amp;"-"&amp;G8&amp;"/"&amp;M8&amp;"&lt;lv"&amp;S8&amp;"&gt;sq"&amp;K8&amp;"st"&amp;L8</f>
        <v>65535_6-3/258&lt;lv52&gt;sq5st2</v>
      </c>
      <c r="B8" s="6">
        <v>65535</v>
      </c>
      <c r="C8" s="94">
        <v>6</v>
      </c>
      <c r="D8" s="95" t="str">
        <f>B8&amp;"_"&amp;C8</f>
        <v>65535_6</v>
      </c>
      <c r="E8" s="96" t="str">
        <f ca="1">VLOOKUP($B8,OFFSET([2]quests!$A$1,0,0,COUNTA([2]quests!$A:$A),MATCH(E$1,[2]quests!$1:$1,0)-MATCH($B$1,[2]quests!$1:$1,0)+1),MATCH(E$1,[2]quests!$1:$1,0)-MATCH($B$1,[2]quests!$1:$1,0)+1,FALSE)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8" s="96" t="str">
        <f ca="1">VLOOKUP($D8,OFFSET([2]stages!$A$1,0,0,COUNTA([2]stages!$A:$A),MATCH(F$1,[2]stages!$2:$2,0)-MATCH($D$1,[2]stages!$2:$2,0)+1),MATCH(F$1,[2]stages!$2:$2,0)-MATCH($D$1,[2]stages!$2:$2,0)+1,FALSE)</f>
        <v>お邪魔ジャンヌ</v>
      </c>
      <c r="G8" s="94">
        <v>3</v>
      </c>
      <c r="H8" s="95" t="str">
        <f>B8&amp;"_"&amp;C8&amp;"-"&amp;G8</f>
        <v>65535_6-3</v>
      </c>
      <c r="I8" s="96" t="e">
        <f ca="1">VLOOKUP($H8,OFFSET([4]floors!$A$1,0,0,COUNTA([4]floors!$A:$A),MATCH(I$1,[4]floors!$1:$1,0)-MATCH($H$1,[4]floors!$1:$1,0)+1),MATCH(I$1,[4]floors!$1:$1,0)-MATCH($H$1,[4]floors!$1:$1,0)+1,FALSE)</f>
        <v>#VALUE!</v>
      </c>
      <c r="J8" s="96" t="e">
        <f ca="1">VLOOKUP($H8,OFFSET([4]floors!$A$1,0,0,COUNTA([4]floors!$A:$A),MATCH(J$1,[4]floors!$1:$1,0)-MATCH($H$1,[4]floors!$1:$1,0)+1),MATCH(J$1,[4]floors!$1:$1,0)-MATCH($H$1,[4]floors!$1:$1,0)+1,FALSE)</f>
        <v>#VALUE!</v>
      </c>
      <c r="K8" s="97">
        <v>5</v>
      </c>
      <c r="L8" s="97">
        <v>2</v>
      </c>
      <c r="M8" s="98">
        <v>258</v>
      </c>
      <c r="N8" s="99" t="e">
        <f ca="1">VLOOKUP($M8,OFFSET([5]enemies!$A$1,0,0,COUNTA([5]enemies!$A:$A),MATCH(N$1,[5]enemies!$1:$1,0)-MATCH($M$1,[5]enemies!$1:$1,0)+1),MATCH(N$1,[5]enemies!$1:$1,0)-MATCH($M$1,[5]enemies!$1:$1,0)+1,FALSE)</f>
        <v>#VALUE!</v>
      </c>
      <c r="O8" s="99" t="e">
        <f ca="1">VLOOKUP($M8,OFFSET([5]enemies!$A$1,0,0,COUNTA([5]enemies!$A:$A),MATCH(O$1,[5]enemies!$1:$1,0)-MATCH($M$1,[5]enemies!$1:$1,0)+1),MATCH(O$1,[5]enemies!$1:$1,0)-MATCH($M$1,[5]enemies!$1:$1,0)+1,FALSE)</f>
        <v>#VALUE!</v>
      </c>
      <c r="P8" s="99" t="str">
        <f ca="1">VLOOKUP($M8,OFFSET([6]characters!$A$1,0,0,COUNTA([6]characters!$A:$A),MATCH(P$1,[6]characters!$1:$1,0)-MATCH($M$1,[6]characters!$1:$1,0)+1),MATCH(P$1,[6]characters!$1:$1,0)-MATCH($M$1,[6]characters!$1:$1,0)+1,FALSE)</f>
        <v>PremiumS</v>
      </c>
      <c r="Q8" s="99" t="e">
        <f ca="1">VLOOKUP($M8,OFFSET([5]enemies!$A$1,0,0,COUNTA([5]enemies!$A:$A),MATCH(Q$1,[5]enemies!$1:$1,0)-MATCH($M$1,[5]enemies!$1:$1,0)+1),MATCH(Q$1,[5]enemies!$1:$1,0)-MATCH($M$1,[5]enemies!$1:$1,0)+1,FALSE)</f>
        <v>#VALUE!</v>
      </c>
      <c r="R8" s="99" t="e">
        <f ca="1">VLOOKUP($M8,OFFSET([5]enemies!$A$1,0,0,COUNTA([5]enemies!$A:$A),MATCH(R$1,[5]enemies!$1:$1,0)-MATCH($M$1,[5]enemies!$1:$1,0)+1),MATCH(R$1,[5]enemies!$1:$1,0)-MATCH($M$1,[5]enemies!$1:$1,0)+1,FALSE)</f>
        <v>#VALUE!</v>
      </c>
      <c r="S8" s="141">
        <v>52</v>
      </c>
      <c r="T8" s="142">
        <v>4</v>
      </c>
      <c r="U8" s="143">
        <v>1</v>
      </c>
      <c r="V8" s="100">
        <v>0</v>
      </c>
      <c r="W8" s="96" t="e">
        <f ca="1">VLOOKUP($X8,OFFSET([7]enemy_skill_sets!$B$1,0,0,COUNTA([7]enemy_skill_sets!$B:$B),MATCH(N$1,[7]enemy_skill_sets!$1:$1,0)-MATCH($X$1,[7]enemy_skill_sets!$1:$1,0)+2),MATCH(N$1,[7]enemy_skill_sets!$1:$1,0)-MATCH($X$1,[7]enemy_skill_sets!$1:$1,0)+2,FALSE)</f>
        <v>#VALUE!</v>
      </c>
      <c r="X8" s="144">
        <v>41003018</v>
      </c>
      <c r="Y8" s="145">
        <v>2</v>
      </c>
    </row>
    <row r="9" spans="1:25" s="117" customFormat="1" ht="21" customHeight="1" thickBot="1" x14ac:dyDescent="0.2">
      <c r="A9" s="108" t="str">
        <f t="shared" ref="A9:A10" si="6">B9&amp;"_"&amp;C9&amp;"-"&amp;G9&amp;"/"&amp;M9&amp;"&lt;lv"&amp;S9&amp;"&gt;sq"&amp;K9&amp;"st"&amp;L9</f>
        <v>65535_6-4/814&lt;lv80&gt;sq6st2</v>
      </c>
      <c r="B9" s="6">
        <v>65535</v>
      </c>
      <c r="C9" s="94">
        <v>6</v>
      </c>
      <c r="D9" s="13" t="str">
        <f t="shared" ref="D9:D10" si="7">B9&amp;"_"&amp;C9</f>
        <v>65535_6</v>
      </c>
      <c r="E9" s="4" t="str">
        <f ca="1">VLOOKUP($B9,OFFSET([2]quests!$A$1,0,0,COUNTA([2]quests!$A:$A),MATCH(E$1,[2]quests!$1:$1,0)-MATCH($B$1,[2]quests!$1:$1,0)+1),MATCH(E$1,[2]quests!$1:$1,0)-MATCH($B$1,[2]quests!$1:$1,0)+1,FALSE)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9" s="4" t="str">
        <f ca="1">VLOOKUP($D9,OFFSET([2]stages!$A$1,0,0,COUNTA([2]stages!$A:$A),MATCH(F$1,[2]stages!$2:$2,0)-MATCH($D$1,[2]stages!$2:$2,0)+1),MATCH(F$1,[2]stages!$2:$2,0)-MATCH($D$1,[2]stages!$2:$2,0)+1,FALSE)</f>
        <v>お邪魔ジャンヌ</v>
      </c>
      <c r="G9" s="109">
        <v>4</v>
      </c>
      <c r="H9" s="13" t="str">
        <f t="shared" ref="H9:H10" si="8">B9&amp;"_"&amp;C9&amp;"-"&amp;G9</f>
        <v>65535_6-4</v>
      </c>
      <c r="I9" s="4" t="e">
        <f ca="1">VLOOKUP($H9,OFFSET([4]floors!$A$1,0,0,COUNTA([4]floors!$A:$A),MATCH(I$1,[4]floors!$1:$1,0)-MATCH($H$1,[4]floors!$1:$1,0)+1),MATCH(I$1,[4]floors!$1:$1,0)-MATCH($H$1,[4]floors!$1:$1,0)+1,FALSE)</f>
        <v>#VALUE!</v>
      </c>
      <c r="J9" s="4" t="e">
        <f ca="1">VLOOKUP($H9,OFFSET([4]floors!$A$1,0,0,COUNTA([4]floors!$A:$A),MATCH(J$1,[4]floors!$1:$1,0)-MATCH($H$1,[4]floors!$1:$1,0)+1),MATCH(J$1,[4]floors!$1:$1,0)-MATCH($H$1,[4]floors!$1:$1,0)+1,FALSE)</f>
        <v>#VALUE!</v>
      </c>
      <c r="K9" s="33">
        <v>6</v>
      </c>
      <c r="L9" s="33">
        <v>2</v>
      </c>
      <c r="M9" s="110">
        <v>814</v>
      </c>
      <c r="N9" s="15" t="e">
        <f ca="1">VLOOKUP($M9,OFFSET([5]enemies!$A$1,0,0,COUNTA([5]enemies!$A:$A),MATCH(N$1,[5]enemies!$1:$1,0)-MATCH($M$1,[5]enemies!$1:$1,0)+1),MATCH(N$1,[5]enemies!$1:$1,0)-MATCH($M$1,[5]enemies!$1:$1,0)+1,FALSE)</f>
        <v>#VALUE!</v>
      </c>
      <c r="O9" s="15" t="e">
        <f ca="1">VLOOKUP($M9,OFFSET([5]enemies!$A$1,0,0,COUNTA([5]enemies!$A:$A),MATCH(O$1,[5]enemies!$1:$1,0)-MATCH($M$1,[5]enemies!$1:$1,0)+1),MATCH(O$1,[5]enemies!$1:$1,0)-MATCH($M$1,[5]enemies!$1:$1,0)+1,FALSE)</f>
        <v>#VALUE!</v>
      </c>
      <c r="P9" s="15" t="str">
        <f ca="1">VLOOKUP($M9,OFFSET([6]characters!$A$1,0,0,COUNTA([6]characters!$A:$A),MATCH(P$1,[6]characters!$1:$1,0)-MATCH($M$1,[6]characters!$1:$1,0)+1),MATCH(P$1,[6]characters!$1:$1,0)-MATCH($M$1,[6]characters!$1:$1,0)+1,FALSE)</f>
        <v>DropWizS</v>
      </c>
      <c r="Q9" s="15" t="e">
        <f ca="1">VLOOKUP($M9,OFFSET([5]enemies!$A$1,0,0,COUNTA([5]enemies!$A:$A),MATCH(Q$1,[5]enemies!$1:$1,0)-MATCH($M$1,[5]enemies!$1:$1,0)+1),MATCH(Q$1,[5]enemies!$1:$1,0)-MATCH($M$1,[5]enemies!$1:$1,0)+1,FALSE)</f>
        <v>#VALUE!</v>
      </c>
      <c r="R9" s="15" t="e">
        <f ca="1">VLOOKUP($M9,OFFSET([5]enemies!$A$1,0,0,COUNTA([5]enemies!$A:$A),MATCH(R$1,[5]enemies!$1:$1,0)-MATCH($M$1,[5]enemies!$1:$1,0)+1),MATCH(R$1,[5]enemies!$1:$1,0)-MATCH($M$1,[5]enemies!$1:$1,0)+1,FALSE)</f>
        <v>#VALUE!</v>
      </c>
      <c r="S9" s="5">
        <v>80</v>
      </c>
      <c r="T9" s="20">
        <v>5</v>
      </c>
      <c r="U9" s="20">
        <v>2.1</v>
      </c>
      <c r="V9" s="5">
        <v>0</v>
      </c>
      <c r="W9" s="4" t="e">
        <f ca="1">VLOOKUP($X9,OFFSET([7]enemy_skill_sets!$B$1,0,0,COUNTA([7]enemy_skill_sets!$B:$B),MATCH(N$1,[7]enemy_skill_sets!$1:$1,0)-MATCH($X$1,[7]enemy_skill_sets!$1:$1,0)+2),MATCH(N$1,[7]enemy_skill_sets!$1:$1,0)-MATCH($X$1,[7]enemy_skill_sets!$1:$1,0)+2,FALSE)</f>
        <v>#VALUE!</v>
      </c>
      <c r="X9" s="115">
        <v>41003019</v>
      </c>
      <c r="Y9" s="146">
        <v>2</v>
      </c>
    </row>
    <row r="10" spans="1:25" s="117" customFormat="1" ht="21" customHeight="1" thickBot="1" x14ac:dyDescent="0.2">
      <c r="A10" s="120" t="str">
        <f t="shared" si="6"/>
        <v>65535_6-4/814&lt;lv80&gt;sq6st3</v>
      </c>
      <c r="B10" s="6">
        <v>65535</v>
      </c>
      <c r="C10" s="94">
        <v>6</v>
      </c>
      <c r="D10" s="122" t="str">
        <f t="shared" si="7"/>
        <v>65535_6</v>
      </c>
      <c r="E10" s="123" t="str">
        <f ca="1">VLOOKUP($B10,OFFSET([2]quests!$A$1,0,0,COUNTA([2]quests!$A:$A),MATCH(E$1,[2]quests!$1:$1,0)-MATCH($B$1,[2]quests!$1:$1,0)+1),MATCH(E$1,[2]quests!$1:$1,0)-MATCH($B$1,[2]quests!$1:$1,0)+1,FALSE)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0" s="123" t="str">
        <f ca="1">VLOOKUP($D10,OFFSET([2]stages!$A$1,0,0,COUNTA([2]stages!$A:$A),MATCH(F$1,[2]stages!$2:$2,0)-MATCH($D$1,[2]stages!$2:$2,0)+1),MATCH(F$1,[2]stages!$2:$2,0)-MATCH($D$1,[2]stages!$2:$2,0)+1,FALSE)</f>
        <v>お邪魔ジャンヌ</v>
      </c>
      <c r="G10" s="121">
        <v>4</v>
      </c>
      <c r="H10" s="122" t="str">
        <f t="shared" si="8"/>
        <v>65535_6-4</v>
      </c>
      <c r="I10" s="123" t="e">
        <f ca="1">VLOOKUP($H10,OFFSET([4]floors!$A$1,0,0,COUNTA([4]floors!$A:$A),MATCH(I$1,[4]floors!$1:$1,0)-MATCH($H$1,[4]floors!$1:$1,0)+1),MATCH(I$1,[4]floors!$1:$1,0)-MATCH($H$1,[4]floors!$1:$1,0)+1,FALSE)</f>
        <v>#VALUE!</v>
      </c>
      <c r="J10" s="123" t="e">
        <f ca="1">VLOOKUP($H10,OFFSET([4]floors!$A$1,0,0,COUNTA([4]floors!$A:$A),MATCH(J$1,[4]floors!$1:$1,0)-MATCH($H$1,[4]floors!$1:$1,0)+1),MATCH(J$1,[4]floors!$1:$1,0)-MATCH($H$1,[4]floors!$1:$1,0)+1,FALSE)</f>
        <v>#VALUE!</v>
      </c>
      <c r="K10" s="124">
        <v>6</v>
      </c>
      <c r="L10" s="124">
        <v>3</v>
      </c>
      <c r="M10" s="125">
        <v>814</v>
      </c>
      <c r="N10" s="126" t="e">
        <f ca="1">VLOOKUP($M10,OFFSET([5]enemies!$A$1,0,0,COUNTA([5]enemies!$A:$A),MATCH(N$1,[5]enemies!$1:$1,0)-MATCH($M$1,[5]enemies!$1:$1,0)+1),MATCH(N$1,[5]enemies!$1:$1,0)-MATCH($M$1,[5]enemies!$1:$1,0)+1,FALSE)</f>
        <v>#VALUE!</v>
      </c>
      <c r="O10" s="126" t="e">
        <f ca="1">VLOOKUP($M10,OFFSET([5]enemies!$A$1,0,0,COUNTA([5]enemies!$A:$A),MATCH(O$1,[5]enemies!$1:$1,0)-MATCH($M$1,[5]enemies!$1:$1,0)+1),MATCH(O$1,[5]enemies!$1:$1,0)-MATCH($M$1,[5]enemies!$1:$1,0)+1,FALSE)</f>
        <v>#VALUE!</v>
      </c>
      <c r="P10" s="126" t="str">
        <f ca="1">VLOOKUP($M10,OFFSET([6]characters!$A$1,0,0,COUNTA([6]characters!$A:$A),MATCH(P$1,[6]characters!$1:$1,0)-MATCH($M$1,[6]characters!$1:$1,0)+1),MATCH(P$1,[6]characters!$1:$1,0)-MATCH($M$1,[6]characters!$1:$1,0)+1,FALSE)</f>
        <v>DropWizS</v>
      </c>
      <c r="Q10" s="126" t="e">
        <f ca="1">VLOOKUP($M10,OFFSET([5]enemies!$A$1,0,0,COUNTA([5]enemies!$A:$A),MATCH(Q$1,[5]enemies!$1:$1,0)-MATCH($M$1,[5]enemies!$1:$1,0)+1),MATCH(Q$1,[5]enemies!$1:$1,0)-MATCH($M$1,[5]enemies!$1:$1,0)+1,FALSE)</f>
        <v>#VALUE!</v>
      </c>
      <c r="R10" s="126" t="e">
        <f ca="1">VLOOKUP($M10,OFFSET([5]enemies!$A$1,0,0,COUNTA([5]enemies!$A:$A),MATCH(R$1,[5]enemies!$1:$1,0)-MATCH($M$1,[5]enemies!$1:$1,0)+1),MATCH(R$1,[5]enemies!$1:$1,0)-MATCH($M$1,[5]enemies!$1:$1,0)+1,FALSE)</f>
        <v>#VALUE!</v>
      </c>
      <c r="S10" s="127">
        <v>80</v>
      </c>
      <c r="T10" s="147">
        <v>7</v>
      </c>
      <c r="U10" s="147">
        <v>2.2000000000000002</v>
      </c>
      <c r="V10" s="127">
        <v>0</v>
      </c>
      <c r="W10" s="123" t="e">
        <f ca="1">VLOOKUP($X10,OFFSET([7]enemy_skill_sets!$B$1,0,0,COUNTA([7]enemy_skill_sets!$B:$B),MATCH(N$1,[7]enemy_skill_sets!$1:$1,0)-MATCH($X$1,[7]enemy_skill_sets!$1:$1,0)+2),MATCH(N$1,[7]enemy_skill_sets!$1:$1,0)-MATCH($X$1,[7]enemy_skill_sets!$1:$1,0)+2,FALSE)</f>
        <v>#VALUE!</v>
      </c>
      <c r="X10" s="136">
        <v>41003020</v>
      </c>
      <c r="Y10" s="148">
        <v>2</v>
      </c>
    </row>
    <row r="11" spans="1:25" s="117" customFormat="1" ht="21" customHeight="1" thickBot="1" x14ac:dyDescent="0.2">
      <c r="A11" s="93" t="str">
        <f>B11&amp;"_"&amp;C11&amp;"-"&amp;G11&amp;"/"&amp;M11&amp;"&lt;lv"&amp;S11&amp;"&gt;sq"&amp;K11&amp;"st"&amp;L11</f>
        <v>65535_7-3/258&lt;lv52&gt;sq5st2</v>
      </c>
      <c r="B11" s="6">
        <v>65535</v>
      </c>
      <c r="C11" s="94">
        <v>7</v>
      </c>
      <c r="D11" s="95" t="str">
        <f>B11&amp;"_"&amp;C11</f>
        <v>65535_7</v>
      </c>
      <c r="E11" s="96" t="str">
        <f ca="1">VLOOKUP($B11,OFFSET([2]quests!$A$1,0,0,COUNTA([2]quests!$A:$A),MATCH(E$1,[2]quests!$1:$1,0)-MATCH($B$1,[2]quests!$1:$1,0)+1),MATCH(E$1,[2]quests!$1:$1,0)-MATCH($B$1,[2]quests!$1:$1,0)+1,FALSE)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1" s="96" t="str">
        <f ca="1">VLOOKUP($D11,OFFSET([2]stages!$A$1,0,0,COUNTA([2]stages!$A:$A),MATCH(F$1,[2]stages!$2:$2,0)-MATCH($D$1,[2]stages!$2:$2,0)+1),MATCH(F$1,[2]stages!$2:$2,0)-MATCH($D$1,[2]stages!$2:$2,0)+1,FALSE)</f>
        <v>爆風ジャンヌ</v>
      </c>
      <c r="G11" s="94">
        <v>3</v>
      </c>
      <c r="H11" s="95" t="str">
        <f>B11&amp;"_"&amp;C11&amp;"-"&amp;G11</f>
        <v>65535_7-3</v>
      </c>
      <c r="I11" s="96" t="e">
        <f ca="1">VLOOKUP($H11,OFFSET([4]floors!$A$1,0,0,COUNTA([4]floors!$A:$A),MATCH(I$1,[4]floors!$1:$1,0)-MATCH($H$1,[4]floors!$1:$1,0)+1),MATCH(I$1,[4]floors!$1:$1,0)-MATCH($H$1,[4]floors!$1:$1,0)+1,FALSE)</f>
        <v>#VALUE!</v>
      </c>
      <c r="J11" s="96" t="e">
        <f ca="1">VLOOKUP($H11,OFFSET([4]floors!$A$1,0,0,COUNTA([4]floors!$A:$A),MATCH(J$1,[4]floors!$1:$1,0)-MATCH($H$1,[4]floors!$1:$1,0)+1),MATCH(J$1,[4]floors!$1:$1,0)-MATCH($H$1,[4]floors!$1:$1,0)+1,FALSE)</f>
        <v>#VALUE!</v>
      </c>
      <c r="K11" s="97">
        <v>5</v>
      </c>
      <c r="L11" s="97">
        <v>2</v>
      </c>
      <c r="M11" s="98">
        <v>258</v>
      </c>
      <c r="N11" s="99" t="e">
        <f ca="1">VLOOKUP($M11,OFFSET([5]enemies!$A$1,0,0,COUNTA([5]enemies!$A:$A),MATCH(N$1,[5]enemies!$1:$1,0)-MATCH($M$1,[5]enemies!$1:$1,0)+1),MATCH(N$1,[5]enemies!$1:$1,0)-MATCH($M$1,[5]enemies!$1:$1,0)+1,FALSE)</f>
        <v>#VALUE!</v>
      </c>
      <c r="O11" s="99" t="e">
        <f ca="1">VLOOKUP($M11,OFFSET([5]enemies!$A$1,0,0,COUNTA([5]enemies!$A:$A),MATCH(O$1,[5]enemies!$1:$1,0)-MATCH($M$1,[5]enemies!$1:$1,0)+1),MATCH(O$1,[5]enemies!$1:$1,0)-MATCH($M$1,[5]enemies!$1:$1,0)+1,FALSE)</f>
        <v>#VALUE!</v>
      </c>
      <c r="P11" s="99" t="str">
        <f ca="1">VLOOKUP($M11,OFFSET([6]characters!$A$1,0,0,COUNTA([6]characters!$A:$A),MATCH(P$1,[6]characters!$1:$1,0)-MATCH($M$1,[6]characters!$1:$1,0)+1),MATCH(P$1,[6]characters!$1:$1,0)-MATCH($M$1,[6]characters!$1:$1,0)+1,FALSE)</f>
        <v>PremiumS</v>
      </c>
      <c r="Q11" s="99" t="e">
        <f ca="1">VLOOKUP($M11,OFFSET([5]enemies!$A$1,0,0,COUNTA([5]enemies!$A:$A),MATCH(Q$1,[5]enemies!$1:$1,0)-MATCH($M$1,[5]enemies!$1:$1,0)+1),MATCH(Q$1,[5]enemies!$1:$1,0)-MATCH($M$1,[5]enemies!$1:$1,0)+1,FALSE)</f>
        <v>#VALUE!</v>
      </c>
      <c r="R11" s="99" t="e">
        <f ca="1">VLOOKUP($M11,OFFSET([5]enemies!$A$1,0,0,COUNTA([5]enemies!$A:$A),MATCH(R$1,[5]enemies!$1:$1,0)-MATCH($M$1,[5]enemies!$1:$1,0)+1),MATCH(R$1,[5]enemies!$1:$1,0)-MATCH($M$1,[5]enemies!$1:$1,0)+1,FALSE)</f>
        <v>#VALUE!</v>
      </c>
      <c r="S11" s="141">
        <v>52</v>
      </c>
      <c r="T11" s="142">
        <v>4</v>
      </c>
      <c r="U11" s="143">
        <v>1</v>
      </c>
      <c r="V11" s="100">
        <v>0</v>
      </c>
      <c r="W11" s="96" t="e">
        <f ca="1">VLOOKUP($X11,OFFSET([7]enemy_skill_sets!$B$1,0,0,COUNTA([7]enemy_skill_sets!$B:$B),MATCH(N$1,[7]enemy_skill_sets!$1:$1,0)-MATCH($X$1,[7]enemy_skill_sets!$1:$1,0)+2),MATCH(N$1,[7]enemy_skill_sets!$1:$1,0)-MATCH($X$1,[7]enemy_skill_sets!$1:$1,0)+2,FALSE)</f>
        <v>#VALUE!</v>
      </c>
      <c r="X11" s="144">
        <v>41003018</v>
      </c>
      <c r="Y11" s="145">
        <v>2</v>
      </c>
    </row>
    <row r="12" spans="1:25" s="117" customFormat="1" ht="21" customHeight="1" thickBot="1" x14ac:dyDescent="0.2">
      <c r="A12" s="108" t="str">
        <f t="shared" ref="A12:A16" si="9">B12&amp;"_"&amp;C12&amp;"-"&amp;G12&amp;"/"&amp;M12&amp;"&lt;lv"&amp;S12&amp;"&gt;sq"&amp;K12&amp;"st"&amp;L12</f>
        <v>65535_7-4/814&lt;lv80&gt;sq6st2</v>
      </c>
      <c r="B12" s="6">
        <v>65535</v>
      </c>
      <c r="C12" s="94">
        <v>7</v>
      </c>
      <c r="D12" s="13" t="str">
        <f t="shared" ref="D12:D16" si="10">B12&amp;"_"&amp;C12</f>
        <v>65535_7</v>
      </c>
      <c r="E12" s="4" t="str">
        <f ca="1">VLOOKUP($B12,OFFSET([2]quests!$A$1,0,0,COUNTA([2]quests!$A:$A),MATCH(E$1,[2]quests!$1:$1,0)-MATCH($B$1,[2]quests!$1:$1,0)+1),MATCH(E$1,[2]quests!$1:$1,0)-MATCH($B$1,[2]quests!$1:$1,0)+1,FALSE)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2" s="4" t="str">
        <f ca="1">VLOOKUP($D12,OFFSET([2]stages!$A$1,0,0,COUNTA([2]stages!$A:$A),MATCH(F$1,[2]stages!$2:$2,0)-MATCH($D$1,[2]stages!$2:$2,0)+1),MATCH(F$1,[2]stages!$2:$2,0)-MATCH($D$1,[2]stages!$2:$2,0)+1,FALSE)</f>
        <v>爆風ジャンヌ</v>
      </c>
      <c r="G12" s="109">
        <v>4</v>
      </c>
      <c r="H12" s="13" t="str">
        <f t="shared" ref="H12:H16" si="11">B12&amp;"_"&amp;C12&amp;"-"&amp;G12</f>
        <v>65535_7-4</v>
      </c>
      <c r="I12" s="4" t="e">
        <f ca="1">VLOOKUP($H12,OFFSET([4]floors!$A$1,0,0,COUNTA([4]floors!$A:$A),MATCH(I$1,[4]floors!$1:$1,0)-MATCH($H$1,[4]floors!$1:$1,0)+1),MATCH(I$1,[4]floors!$1:$1,0)-MATCH($H$1,[4]floors!$1:$1,0)+1,FALSE)</f>
        <v>#VALUE!</v>
      </c>
      <c r="J12" s="4" t="e">
        <f ca="1">VLOOKUP($H12,OFFSET([4]floors!$A$1,0,0,COUNTA([4]floors!$A:$A),MATCH(J$1,[4]floors!$1:$1,0)-MATCH($H$1,[4]floors!$1:$1,0)+1),MATCH(J$1,[4]floors!$1:$1,0)-MATCH($H$1,[4]floors!$1:$1,0)+1,FALSE)</f>
        <v>#VALUE!</v>
      </c>
      <c r="K12" s="33">
        <v>6</v>
      </c>
      <c r="L12" s="33">
        <v>2</v>
      </c>
      <c r="M12" s="110">
        <v>814</v>
      </c>
      <c r="N12" s="15" t="e">
        <f ca="1">VLOOKUP($M12,OFFSET([5]enemies!$A$1,0,0,COUNTA([5]enemies!$A:$A),MATCH(N$1,[5]enemies!$1:$1,0)-MATCH($M$1,[5]enemies!$1:$1,0)+1),MATCH(N$1,[5]enemies!$1:$1,0)-MATCH($M$1,[5]enemies!$1:$1,0)+1,FALSE)</f>
        <v>#VALUE!</v>
      </c>
      <c r="O12" s="15" t="e">
        <f ca="1">VLOOKUP($M12,OFFSET([5]enemies!$A$1,0,0,COUNTA([5]enemies!$A:$A),MATCH(O$1,[5]enemies!$1:$1,0)-MATCH($M$1,[5]enemies!$1:$1,0)+1),MATCH(O$1,[5]enemies!$1:$1,0)-MATCH($M$1,[5]enemies!$1:$1,0)+1,FALSE)</f>
        <v>#VALUE!</v>
      </c>
      <c r="P12" s="15" t="str">
        <f ca="1">VLOOKUP($M12,OFFSET([6]characters!$A$1,0,0,COUNTA([6]characters!$A:$A),MATCH(P$1,[6]characters!$1:$1,0)-MATCH($M$1,[6]characters!$1:$1,0)+1),MATCH(P$1,[6]characters!$1:$1,0)-MATCH($M$1,[6]characters!$1:$1,0)+1,FALSE)</f>
        <v>DropWizS</v>
      </c>
      <c r="Q12" s="15" t="e">
        <f ca="1">VLOOKUP($M12,OFFSET([5]enemies!$A$1,0,0,COUNTA([5]enemies!$A:$A),MATCH(Q$1,[5]enemies!$1:$1,0)-MATCH($M$1,[5]enemies!$1:$1,0)+1),MATCH(Q$1,[5]enemies!$1:$1,0)-MATCH($M$1,[5]enemies!$1:$1,0)+1,FALSE)</f>
        <v>#VALUE!</v>
      </c>
      <c r="R12" s="15" t="e">
        <f ca="1">VLOOKUP($M12,OFFSET([5]enemies!$A$1,0,0,COUNTA([5]enemies!$A:$A),MATCH(R$1,[5]enemies!$1:$1,0)-MATCH($M$1,[5]enemies!$1:$1,0)+1),MATCH(R$1,[5]enemies!$1:$1,0)-MATCH($M$1,[5]enemies!$1:$1,0)+1,FALSE)</f>
        <v>#VALUE!</v>
      </c>
      <c r="S12" s="5">
        <v>80</v>
      </c>
      <c r="T12" s="20">
        <v>5</v>
      </c>
      <c r="U12" s="20">
        <v>2.1</v>
      </c>
      <c r="V12" s="5">
        <v>0</v>
      </c>
      <c r="W12" s="4" t="e">
        <f ca="1">VLOOKUP($X12,OFFSET([7]enemy_skill_sets!$B$1,0,0,COUNTA([7]enemy_skill_sets!$B:$B),MATCH(N$1,[7]enemy_skill_sets!$1:$1,0)-MATCH($X$1,[7]enemy_skill_sets!$1:$1,0)+2),MATCH(N$1,[7]enemy_skill_sets!$1:$1,0)-MATCH($X$1,[7]enemy_skill_sets!$1:$1,0)+2,FALSE)</f>
        <v>#VALUE!</v>
      </c>
      <c r="X12" s="115">
        <v>41003019</v>
      </c>
      <c r="Y12" s="146">
        <v>2</v>
      </c>
    </row>
    <row r="13" spans="1:25" s="117" customFormat="1" ht="21" customHeight="1" thickBot="1" x14ac:dyDescent="0.2">
      <c r="A13" s="120" t="str">
        <f t="shared" si="9"/>
        <v>65535_7-4/814&lt;lv80&gt;sq6st3</v>
      </c>
      <c r="B13" s="6">
        <v>65535</v>
      </c>
      <c r="C13" s="94">
        <v>7</v>
      </c>
      <c r="D13" s="122" t="str">
        <f t="shared" si="10"/>
        <v>65535_7</v>
      </c>
      <c r="E13" s="123" t="str">
        <f ca="1">VLOOKUP($B13,OFFSET([2]quests!$A$1,0,0,COUNTA([2]quests!$A:$A),MATCH(E$1,[2]quests!$1:$1,0)-MATCH($B$1,[2]quests!$1:$1,0)+1),MATCH(E$1,[2]quests!$1:$1,0)-MATCH($B$1,[2]quests!$1:$1,0)+1,FALSE)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3" s="123" t="str">
        <f ca="1">VLOOKUP($D13,OFFSET([2]stages!$A$1,0,0,COUNTA([2]stages!$A:$A),MATCH(F$1,[2]stages!$2:$2,0)-MATCH($D$1,[2]stages!$2:$2,0)+1),MATCH(F$1,[2]stages!$2:$2,0)-MATCH($D$1,[2]stages!$2:$2,0)+1,FALSE)</f>
        <v>爆風ジャンヌ</v>
      </c>
      <c r="G13" s="121">
        <v>4</v>
      </c>
      <c r="H13" s="122" t="str">
        <f t="shared" si="11"/>
        <v>65535_7-4</v>
      </c>
      <c r="I13" s="123" t="e">
        <f ca="1">VLOOKUP($H13,OFFSET([4]floors!$A$1,0,0,COUNTA([4]floors!$A:$A),MATCH(I$1,[4]floors!$1:$1,0)-MATCH($H$1,[4]floors!$1:$1,0)+1),MATCH(I$1,[4]floors!$1:$1,0)-MATCH($H$1,[4]floors!$1:$1,0)+1,FALSE)</f>
        <v>#VALUE!</v>
      </c>
      <c r="J13" s="123" t="e">
        <f ca="1">VLOOKUP($H13,OFFSET([4]floors!$A$1,0,0,COUNTA([4]floors!$A:$A),MATCH(J$1,[4]floors!$1:$1,0)-MATCH($H$1,[4]floors!$1:$1,0)+1),MATCH(J$1,[4]floors!$1:$1,0)-MATCH($H$1,[4]floors!$1:$1,0)+1,FALSE)</f>
        <v>#VALUE!</v>
      </c>
      <c r="K13" s="124">
        <v>6</v>
      </c>
      <c r="L13" s="124">
        <v>3</v>
      </c>
      <c r="M13" s="125">
        <v>814</v>
      </c>
      <c r="N13" s="126" t="e">
        <f ca="1">VLOOKUP($M13,OFFSET([5]enemies!$A$1,0,0,COUNTA([5]enemies!$A:$A),MATCH(N$1,[5]enemies!$1:$1,0)-MATCH($M$1,[5]enemies!$1:$1,0)+1),MATCH(N$1,[5]enemies!$1:$1,0)-MATCH($M$1,[5]enemies!$1:$1,0)+1,FALSE)</f>
        <v>#VALUE!</v>
      </c>
      <c r="O13" s="126" t="e">
        <f ca="1">VLOOKUP($M13,OFFSET([5]enemies!$A$1,0,0,COUNTA([5]enemies!$A:$A),MATCH(O$1,[5]enemies!$1:$1,0)-MATCH($M$1,[5]enemies!$1:$1,0)+1),MATCH(O$1,[5]enemies!$1:$1,0)-MATCH($M$1,[5]enemies!$1:$1,0)+1,FALSE)</f>
        <v>#VALUE!</v>
      </c>
      <c r="P13" s="126" t="str">
        <f ca="1">VLOOKUP($M13,OFFSET([6]characters!$A$1,0,0,COUNTA([6]characters!$A:$A),MATCH(P$1,[6]characters!$1:$1,0)-MATCH($M$1,[6]characters!$1:$1,0)+1),MATCH(P$1,[6]characters!$1:$1,0)-MATCH($M$1,[6]characters!$1:$1,0)+1,FALSE)</f>
        <v>DropWizS</v>
      </c>
      <c r="Q13" s="126" t="e">
        <f ca="1">VLOOKUP($M13,OFFSET([5]enemies!$A$1,0,0,COUNTA([5]enemies!$A:$A),MATCH(Q$1,[5]enemies!$1:$1,0)-MATCH($M$1,[5]enemies!$1:$1,0)+1),MATCH(Q$1,[5]enemies!$1:$1,0)-MATCH($M$1,[5]enemies!$1:$1,0)+1,FALSE)</f>
        <v>#VALUE!</v>
      </c>
      <c r="R13" s="126" t="e">
        <f ca="1">VLOOKUP($M13,OFFSET([5]enemies!$A$1,0,0,COUNTA([5]enemies!$A:$A),MATCH(R$1,[5]enemies!$1:$1,0)-MATCH($M$1,[5]enemies!$1:$1,0)+1),MATCH(R$1,[5]enemies!$1:$1,0)-MATCH($M$1,[5]enemies!$1:$1,0)+1,FALSE)</f>
        <v>#VALUE!</v>
      </c>
      <c r="S13" s="127">
        <v>80</v>
      </c>
      <c r="T13" s="147">
        <v>7</v>
      </c>
      <c r="U13" s="147">
        <v>2.2000000000000002</v>
      </c>
      <c r="V13" s="127">
        <v>0</v>
      </c>
      <c r="W13" s="123" t="e">
        <f ca="1">VLOOKUP($X13,OFFSET([7]enemy_skill_sets!$B$1,0,0,COUNTA([7]enemy_skill_sets!$B:$B),MATCH(N$1,[7]enemy_skill_sets!$1:$1,0)-MATCH($X$1,[7]enemy_skill_sets!$1:$1,0)+2),MATCH(N$1,[7]enemy_skill_sets!$1:$1,0)-MATCH($X$1,[7]enemy_skill_sets!$1:$1,0)+2,FALSE)</f>
        <v>#VALUE!</v>
      </c>
      <c r="X13" s="136">
        <v>41003020</v>
      </c>
      <c r="Y13" s="148">
        <v>2</v>
      </c>
    </row>
    <row r="14" spans="1:25" ht="21" customHeight="1" thickBot="1" x14ac:dyDescent="0.2">
      <c r="A14" s="14" t="str">
        <f t="shared" si="9"/>
        <v>65535_8-2/77&lt;lv60&gt;sq3st2</v>
      </c>
      <c r="B14" s="6">
        <v>65535</v>
      </c>
      <c r="C14" s="94">
        <v>8</v>
      </c>
      <c r="D14" s="95" t="str">
        <f t="shared" si="10"/>
        <v>65535_8</v>
      </c>
      <c r="E14" s="96" t="str">
        <f ca="1">VLOOKUP($B14,OFFSET([2]quests!$A$1,0,0,COUNTA([2]quests!$A:$A),MATCH(E$1,[2]quests!$1:$1,0)-MATCH($B$1,[2]quests!$1:$1,0)+1),MATCH(E$1,[2]quests!$1:$1,0)-MATCH($B$1,[2]quests!$1:$1,0)+1,FALSE)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4" s="96" t="str">
        <f ca="1">VLOOKUP($D14,OFFSET([2]stages!$A$1,0,0,COUNTA([2]stages!$A:$A),MATCH(F$1,[2]stages!$2:$2,0)-MATCH($D$1,[2]stages!$2:$2,0)+1),MATCH(F$1,[2]stages!$2:$2,0)-MATCH($D$1,[2]stages!$2:$2,0)+1,FALSE)</f>
        <v>テスト</v>
      </c>
      <c r="G14" s="94">
        <v>2</v>
      </c>
      <c r="H14" s="95" t="str">
        <f t="shared" si="11"/>
        <v>65535_8-2</v>
      </c>
      <c r="I14" s="123" t="e">
        <f ca="1">VLOOKUP($H14,OFFSET([4]floors!$A$1,0,0,COUNTA([4]floors!$A:$A),MATCH(I$1,[4]floors!$1:$1,0)-MATCH($H$1,[4]floors!$1:$1,0)+1),MATCH(I$1,[4]floors!$1:$1,0)-MATCH($H$1,[4]floors!$1:$1,0)+1,FALSE)</f>
        <v>#VALUE!</v>
      </c>
      <c r="J14" s="123" t="e">
        <f ca="1">VLOOKUP($H14,OFFSET([4]floors!$A$1,0,0,COUNTA([4]floors!$A:$A),MATCH(J$1,[4]floors!$1:$1,0)-MATCH($H$1,[4]floors!$1:$1,0)+1),MATCH(J$1,[4]floors!$1:$1,0)-MATCH($H$1,[4]floors!$1:$1,0)+1,FALSE)</f>
        <v>#VALUE!</v>
      </c>
      <c r="K14" s="97">
        <v>3</v>
      </c>
      <c r="L14" s="97">
        <v>2</v>
      </c>
      <c r="M14" s="98">
        <v>77</v>
      </c>
      <c r="N14" s="99" t="e">
        <f ca="1">VLOOKUP($M14,OFFSET([5]enemies!$A$1,0,0,COUNTA([5]enemies!$A:$A),MATCH(N$1,[5]enemies!$1:$1,0)-MATCH($M$1,[5]enemies!$1:$1,0)+1),MATCH(N$1,[5]enemies!$1:$1,0)-MATCH($M$1,[5]enemies!$1:$1,0)+1,FALSE)</f>
        <v>#VALUE!</v>
      </c>
      <c r="O14" s="99" t="e">
        <f ca="1">VLOOKUP($M14,OFFSET([5]enemies!$A$1,0,0,COUNTA([5]enemies!$A:$A),MATCH(O$1,[5]enemies!$1:$1,0)-MATCH($M$1,[5]enemies!$1:$1,0)+1),MATCH(O$1,[5]enemies!$1:$1,0)-MATCH($M$1,[5]enemies!$1:$1,0)+1,FALSE)</f>
        <v>#VALUE!</v>
      </c>
      <c r="P14" s="99" t="str">
        <f ca="1">VLOOKUP($M14,OFFSET([6]characters!$A$1,0,0,COUNTA([6]characters!$A:$A),MATCH(P$1,[6]characters!$1:$1,0)-MATCH($M$1,[6]characters!$1:$1,0)+1),MATCH(P$1,[6]characters!$1:$1,0)-MATCH($M$1,[6]characters!$1:$1,0)+1,FALSE)</f>
        <v>DropWizW</v>
      </c>
      <c r="Q14" s="99" t="e">
        <f ca="1">VLOOKUP($M14,OFFSET([5]enemies!$A$1,0,0,COUNTA([5]enemies!$A:$A),MATCH(Q$1,[5]enemies!$1:$1,0)-MATCH($M$1,[5]enemies!$1:$1,0)+1),MATCH(Q$1,[5]enemies!$1:$1,0)-MATCH($M$1,[5]enemies!$1:$1,0)+1,FALSE)</f>
        <v>#VALUE!</v>
      </c>
      <c r="R14" s="99" t="e">
        <f ca="1">VLOOKUP($M14,OFFSET([5]enemies!$A$1,0,0,COUNTA([5]enemies!$A:$A),MATCH(R$1,[5]enemies!$1:$1,0)-MATCH($M$1,[5]enemies!$1:$1,0)+1),MATCH(R$1,[5]enemies!$1:$1,0)-MATCH($M$1,[5]enemies!$1:$1,0)+1,FALSE)</f>
        <v>#VALUE!</v>
      </c>
      <c r="S14" s="100">
        <v>60</v>
      </c>
      <c r="T14" s="192">
        <v>2.5</v>
      </c>
      <c r="U14" s="192">
        <v>2</v>
      </c>
      <c r="V14" s="100">
        <v>0</v>
      </c>
      <c r="W14" s="123" t="e">
        <f ca="1">VLOOKUP($X14,OFFSET([7]enemy_skill_sets!$B$1,0,0,COUNTA([7]enemy_skill_sets!$B:$B),MATCH(N$1,[7]enemy_skill_sets!$1:$1,0)-MATCH($X$1,[7]enemy_skill_sets!$1:$1,0)+2),MATCH(N$1,[7]enemy_skill_sets!$1:$1,0)-MATCH($X$1,[7]enemy_skill_sets!$1:$1,0)+2,FALSE)</f>
        <v>#VALUE!</v>
      </c>
      <c r="X14" s="96">
        <v>0</v>
      </c>
      <c r="Y14" s="145">
        <v>1</v>
      </c>
    </row>
    <row r="15" spans="1:25" ht="21" customHeight="1" thickBot="1" x14ac:dyDescent="0.2">
      <c r="A15" s="14" t="str">
        <f t="shared" si="9"/>
        <v>65535_8-4/1089&lt;lv60&gt;sq4st2</v>
      </c>
      <c r="B15" s="6">
        <v>65535</v>
      </c>
      <c r="C15" s="109">
        <v>8</v>
      </c>
      <c r="D15" s="13" t="str">
        <f t="shared" si="10"/>
        <v>65535_8</v>
      </c>
      <c r="E15" s="4" t="str">
        <f ca="1">VLOOKUP($B15,OFFSET([2]quests!$A$1,0,0,COUNTA([2]quests!$A:$A),MATCH(E$1,[2]quests!$1:$1,0)-MATCH($B$1,[2]quests!$1:$1,0)+1),MATCH(E$1,[2]quests!$1:$1,0)-MATCH($B$1,[2]quests!$1:$1,0)+1,FALSE)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5" s="4" t="str">
        <f ca="1">VLOOKUP($D15,OFFSET([2]stages!$A$1,0,0,COUNTA([2]stages!$A:$A),MATCH(F$1,[2]stages!$2:$2,0)-MATCH($D$1,[2]stages!$2:$2,0)+1),MATCH(F$1,[2]stages!$2:$2,0)-MATCH($D$1,[2]stages!$2:$2,0)+1,FALSE)</f>
        <v>テスト</v>
      </c>
      <c r="G15" s="109">
        <v>4</v>
      </c>
      <c r="H15" s="13" t="str">
        <f t="shared" si="11"/>
        <v>65535_8-4</v>
      </c>
      <c r="I15" s="123" t="e">
        <f ca="1">VLOOKUP($H15,OFFSET([4]floors!$A$1,0,0,COUNTA([4]floors!$A:$A),MATCH(I$1,[4]floors!$1:$1,0)-MATCH($H$1,[4]floors!$1:$1,0)+1),MATCH(I$1,[4]floors!$1:$1,0)-MATCH($H$1,[4]floors!$1:$1,0)+1,FALSE)</f>
        <v>#VALUE!</v>
      </c>
      <c r="J15" s="123" t="e">
        <f ca="1">VLOOKUP($H15,OFFSET([4]floors!$A$1,0,0,COUNTA([4]floors!$A:$A),MATCH(J$1,[4]floors!$1:$1,0)-MATCH($H$1,[4]floors!$1:$1,0)+1),MATCH(J$1,[4]floors!$1:$1,0)-MATCH($H$1,[4]floors!$1:$1,0)+1,FALSE)</f>
        <v>#VALUE!</v>
      </c>
      <c r="K15" s="33">
        <v>4</v>
      </c>
      <c r="L15" s="33">
        <v>2</v>
      </c>
      <c r="M15" s="110">
        <v>1089</v>
      </c>
      <c r="N15" s="15" t="e">
        <f ca="1">VLOOKUP($M15,OFFSET([5]enemies!$A$1,0,0,COUNTA([5]enemies!$A:$A),MATCH(N$1,[5]enemies!$1:$1,0)-MATCH($M$1,[5]enemies!$1:$1,0)+1),MATCH(N$1,[5]enemies!$1:$1,0)-MATCH($M$1,[5]enemies!$1:$1,0)+1,FALSE)</f>
        <v>#VALUE!</v>
      </c>
      <c r="O15" s="15" t="e">
        <f ca="1">VLOOKUP($M15,OFFSET([5]enemies!$A$1,0,0,COUNTA([5]enemies!$A:$A),MATCH(O$1,[5]enemies!$1:$1,0)-MATCH($M$1,[5]enemies!$1:$1,0)+1),MATCH(O$1,[5]enemies!$1:$1,0)-MATCH($M$1,[5]enemies!$1:$1,0)+1,FALSE)</f>
        <v>#VALUE!</v>
      </c>
      <c r="P15" s="15" t="str">
        <f ca="1">VLOOKUP($M15,OFFSET([6]characters!$A$1,0,0,COUNTA([6]characters!$A:$A),MATCH(P$1,[6]characters!$1:$1,0)-MATCH($M$1,[6]characters!$1:$1,0)+1),MATCH(P$1,[6]characters!$1:$1,0)-MATCH($M$1,[6]characters!$1:$1,0)+1,FALSE)</f>
        <v>DropWizS</v>
      </c>
      <c r="Q15" s="15" t="e">
        <f ca="1">VLOOKUP($M15,OFFSET([5]enemies!$A$1,0,0,COUNTA([5]enemies!$A:$A),MATCH(Q$1,[5]enemies!$1:$1,0)-MATCH($M$1,[5]enemies!$1:$1,0)+1),MATCH(Q$1,[5]enemies!$1:$1,0)-MATCH($M$1,[5]enemies!$1:$1,0)+1,FALSE)</f>
        <v>#VALUE!</v>
      </c>
      <c r="R15" s="15" t="e">
        <f ca="1">VLOOKUP($M15,OFFSET([5]enemies!$A$1,0,0,COUNTA([5]enemies!$A:$A),MATCH(R$1,[5]enemies!$1:$1,0)-MATCH($M$1,[5]enemies!$1:$1,0)+1),MATCH(R$1,[5]enemies!$1:$1,0)-MATCH($M$1,[5]enemies!$1:$1,0)+1,FALSE)</f>
        <v>#VALUE!</v>
      </c>
      <c r="S15" s="5">
        <v>60</v>
      </c>
      <c r="T15" s="20">
        <v>5</v>
      </c>
      <c r="U15" s="20">
        <v>1.2</v>
      </c>
      <c r="V15" s="5">
        <v>0</v>
      </c>
      <c r="W15" s="123" t="e">
        <f ca="1">VLOOKUP($X15,OFFSET([7]enemy_skill_sets!$B$1,0,0,COUNTA([7]enemy_skill_sets!$B:$B),MATCH(N$1,[7]enemy_skill_sets!$1:$1,0)-MATCH($X$1,[7]enemy_skill_sets!$1:$1,0)+2),MATCH(N$1,[7]enemy_skill_sets!$1:$1,0)-MATCH($X$1,[7]enemy_skill_sets!$1:$1,0)+2,FALSE)</f>
        <v>#VALUE!</v>
      </c>
      <c r="X15" s="96">
        <v>0</v>
      </c>
      <c r="Y15" s="146">
        <v>1</v>
      </c>
    </row>
    <row r="16" spans="1:25" ht="21" customHeight="1" thickBot="1" x14ac:dyDescent="0.2">
      <c r="A16" s="14" t="str">
        <f t="shared" si="9"/>
        <v>65535_8-4/1089&lt;lv60&gt;sq4st3</v>
      </c>
      <c r="B16" s="6">
        <v>65535</v>
      </c>
      <c r="C16" s="121">
        <v>8</v>
      </c>
      <c r="D16" s="122" t="str">
        <f t="shared" si="10"/>
        <v>65535_8</v>
      </c>
      <c r="E16" s="123" t="str">
        <f ca="1">VLOOKUP($B16,OFFSET([2]quests!$A$1,0,0,COUNTA([2]quests!$A:$A),MATCH(E$1,[2]quests!$1:$1,0)-MATCH($B$1,[2]quests!$1:$1,0)+1),MATCH(E$1,[2]quests!$1:$1,0)-MATCH($B$1,[2]quests!$1:$1,0)+1,FALSE)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16" s="123" t="str">
        <f ca="1">VLOOKUP($D16,OFFSET([2]stages!$A$1,0,0,COUNTA([2]stages!$A:$A),MATCH(F$1,[2]stages!$2:$2,0)-MATCH($D$1,[2]stages!$2:$2,0)+1),MATCH(F$1,[2]stages!$2:$2,0)-MATCH($D$1,[2]stages!$2:$2,0)+1,FALSE)</f>
        <v>テスト</v>
      </c>
      <c r="G16" s="121">
        <v>4</v>
      </c>
      <c r="H16" s="122" t="str">
        <f t="shared" si="11"/>
        <v>65535_8-4</v>
      </c>
      <c r="I16" s="123" t="e">
        <f ca="1">VLOOKUP($H16,OFFSET([4]floors!$A$1,0,0,COUNTA([4]floors!$A:$A),MATCH(I$1,[4]floors!$1:$1,0)-MATCH($H$1,[4]floors!$1:$1,0)+1),MATCH(I$1,[4]floors!$1:$1,0)-MATCH($H$1,[4]floors!$1:$1,0)+1,FALSE)</f>
        <v>#VALUE!</v>
      </c>
      <c r="J16" s="123" t="e">
        <f ca="1">VLOOKUP($H16,OFFSET([4]floors!$A$1,0,0,COUNTA([4]floors!$A:$A),MATCH(J$1,[4]floors!$1:$1,0)-MATCH($H$1,[4]floors!$1:$1,0)+1),MATCH(J$1,[4]floors!$1:$1,0)-MATCH($H$1,[4]floors!$1:$1,0)+1,FALSE)</f>
        <v>#VALUE!</v>
      </c>
      <c r="K16" s="124">
        <v>4</v>
      </c>
      <c r="L16" s="124">
        <v>3</v>
      </c>
      <c r="M16" s="125">
        <v>1089</v>
      </c>
      <c r="N16" s="126" t="e">
        <f ca="1">VLOOKUP($M16,OFFSET([5]enemies!$A$1,0,0,COUNTA([5]enemies!$A:$A),MATCH(N$1,[5]enemies!$1:$1,0)-MATCH($M$1,[5]enemies!$1:$1,0)+1),MATCH(N$1,[5]enemies!$1:$1,0)-MATCH($M$1,[5]enemies!$1:$1,0)+1,FALSE)</f>
        <v>#VALUE!</v>
      </c>
      <c r="O16" s="126" t="e">
        <f ca="1">VLOOKUP($M16,OFFSET([5]enemies!$A$1,0,0,COUNTA([5]enemies!$A:$A),MATCH(O$1,[5]enemies!$1:$1,0)-MATCH($M$1,[5]enemies!$1:$1,0)+1),MATCH(O$1,[5]enemies!$1:$1,0)-MATCH($M$1,[5]enemies!$1:$1,0)+1,FALSE)</f>
        <v>#VALUE!</v>
      </c>
      <c r="P16" s="126" t="str">
        <f ca="1">VLOOKUP($M16,OFFSET([6]characters!$A$1,0,0,COUNTA([6]characters!$A:$A),MATCH(P$1,[6]characters!$1:$1,0)-MATCH($M$1,[6]characters!$1:$1,0)+1),MATCH(P$1,[6]characters!$1:$1,0)-MATCH($M$1,[6]characters!$1:$1,0)+1,FALSE)</f>
        <v>DropWizS</v>
      </c>
      <c r="Q16" s="126" t="e">
        <f ca="1">VLOOKUP($M16,OFFSET([5]enemies!$A$1,0,0,COUNTA([5]enemies!$A:$A),MATCH(Q$1,[5]enemies!$1:$1,0)-MATCH($M$1,[5]enemies!$1:$1,0)+1),MATCH(Q$1,[5]enemies!$1:$1,0)-MATCH($M$1,[5]enemies!$1:$1,0)+1,FALSE)</f>
        <v>#VALUE!</v>
      </c>
      <c r="R16" s="126" t="e">
        <f ca="1">VLOOKUP($M16,OFFSET([5]enemies!$A$1,0,0,COUNTA([5]enemies!$A:$A),MATCH(R$1,[5]enemies!$1:$1,0)-MATCH($M$1,[5]enemies!$1:$1,0)+1),MATCH(R$1,[5]enemies!$1:$1,0)-MATCH($M$1,[5]enemies!$1:$1,0)+1,FALSE)</f>
        <v>#VALUE!</v>
      </c>
      <c r="S16" s="127">
        <v>60</v>
      </c>
      <c r="T16" s="147">
        <v>5</v>
      </c>
      <c r="U16" s="147">
        <v>1.2</v>
      </c>
      <c r="V16" s="127">
        <v>0</v>
      </c>
      <c r="W16" s="123" t="e">
        <f ca="1">VLOOKUP($X16,OFFSET([7]enemy_skill_sets!$B$1,0,0,COUNTA([7]enemy_skill_sets!$B:$B),MATCH(N$1,[7]enemy_skill_sets!$1:$1,0)-MATCH($X$1,[7]enemy_skill_sets!$1:$1,0)+2),MATCH(N$1,[7]enemy_skill_sets!$1:$1,0)-MATCH($X$1,[7]enemy_skill_sets!$1:$1,0)+2,FALSE)</f>
        <v>#VALUE!</v>
      </c>
      <c r="X16" s="96">
        <v>0</v>
      </c>
      <c r="Y16" s="148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0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B9" sqref="B9"/>
    </sheetView>
  </sheetViews>
  <sheetFormatPr baseColWidth="12" defaultColWidth="12.83203125" defaultRowHeight="21" customHeight="1" outlineLevelCol="1" x14ac:dyDescent="0.15"/>
  <cols>
    <col min="1" max="1" width="11.33203125" style="34" bestFit="1" customWidth="1"/>
    <col min="2" max="2" width="11.5" style="44" customWidth="1"/>
    <col min="3" max="3" width="9.6640625" style="44" customWidth="1"/>
    <col min="4" max="4" width="18.5" style="44" customWidth="1" outlineLevel="1"/>
    <col min="5" max="5" width="44.1640625" style="44" customWidth="1" outlineLevel="1"/>
    <col min="6" max="6" width="10.83203125" style="44" bestFit="1" customWidth="1"/>
    <col min="7" max="7" width="8.33203125" style="44" bestFit="1" customWidth="1" outlineLevel="1"/>
    <col min="8" max="9" width="12.83203125" style="44" outlineLevel="1"/>
    <col min="10" max="10" width="17.6640625" style="44" bestFit="1" customWidth="1" outlineLevel="1"/>
    <col min="11" max="15" width="12.83203125" style="44" outlineLevel="1"/>
    <col min="16" max="16" width="8.33203125" style="40" bestFit="1" customWidth="1"/>
    <col min="17" max="17" width="9.6640625" style="40" customWidth="1"/>
    <col min="18" max="18" width="56.5" style="40" bestFit="1" customWidth="1"/>
    <col min="19" max="16384" width="12.83203125" style="40"/>
  </cols>
  <sheetData>
    <row r="1" spans="1:18" ht="21" customHeight="1" x14ac:dyDescent="0.15">
      <c r="A1" s="34" t="s">
        <v>60</v>
      </c>
      <c r="B1" s="35" t="s">
        <v>61</v>
      </c>
      <c r="C1" s="35" t="s">
        <v>62</v>
      </c>
      <c r="D1" s="36" t="s">
        <v>63</v>
      </c>
      <c r="E1" s="36" t="s">
        <v>64</v>
      </c>
      <c r="F1" s="37" t="s">
        <v>65</v>
      </c>
      <c r="G1" s="38" t="s">
        <v>66</v>
      </c>
      <c r="H1" s="38" t="s">
        <v>68</v>
      </c>
      <c r="I1" s="38" t="s">
        <v>69</v>
      </c>
      <c r="J1" s="38" t="s">
        <v>70</v>
      </c>
      <c r="K1" s="39" t="s">
        <v>71</v>
      </c>
      <c r="L1" s="39" t="s">
        <v>72</v>
      </c>
      <c r="M1" s="38" t="s">
        <v>73</v>
      </c>
      <c r="N1" s="38" t="s">
        <v>74</v>
      </c>
      <c r="O1" s="38" t="s">
        <v>75</v>
      </c>
      <c r="P1" s="36" t="s">
        <v>76</v>
      </c>
      <c r="Q1" s="36" t="s">
        <v>77</v>
      </c>
      <c r="R1" s="36" t="s">
        <v>78</v>
      </c>
    </row>
    <row r="2" spans="1:18" ht="21" customHeight="1" x14ac:dyDescent="0.15">
      <c r="A2" s="34" t="str">
        <f t="shared" ref="A2" si="0">B2&amp;"_"&amp;C2</f>
        <v>65535100_65535100</v>
      </c>
      <c r="B2" s="42">
        <v>65535100</v>
      </c>
      <c r="C2" s="42">
        <v>65535100</v>
      </c>
      <c r="D2" s="41" t="str">
        <f ca="1">VLOOKUP($C2,OFFSET(enemy_skills!$A$1,0,0,COUNTA(enemy_skills!$A:$A),MATCH(D$1,enemy_skills!$1:$1,0)-MATCH("enemy_skill_id",enemy_skills!$1:$1,0)+1),MATCH(D$1,enemy_skills!$1:$1,0)-MATCH("enemy_skill_id",enemy_skills!$1:$1,0)+1,FALSE)</f>
        <v>１２３４５６７８９０１２３４５６７８９０１２３４５６７８９０１２</v>
      </c>
      <c r="E2" s="41" t="str">
        <f ca="1">VLOOKUP($C2,OFFSET(enemy_skills!$A$1,0,0,COUNTA(enemy_skills!$A:$A),MATCH(E$1,enemy_skills!$1:$1,0)-MATCH("enemy_skill_id",enemy_skills!$1:$1,0)+1),MATCH(E$1,enemy_skills!$1:$1,0)-MATCH("enemy_skill_id",enemy_skills!$1:$1,0)+1,FALSE)</f>
        <v>１２３４５６７８９０１２３４５６７８９０１２３４５６７８９０１２</v>
      </c>
      <c r="F2" s="42">
        <v>65535100</v>
      </c>
      <c r="G2" s="43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3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3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3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3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3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3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3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3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2"/>
      <c r="Q2" s="42"/>
      <c r="R2" s="42"/>
    </row>
    <row r="3" spans="1:18" ht="21" customHeight="1" x14ac:dyDescent="0.15">
      <c r="A3" s="34" t="str">
        <f t="shared" ref="A3:A4" si="1">B3&amp;"_"&amp;C3</f>
        <v>65535101_65535101</v>
      </c>
      <c r="B3" s="42">
        <v>65535101</v>
      </c>
      <c r="C3" s="42">
        <v>65535101</v>
      </c>
      <c r="D3" s="41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ウィルスっ！</v>
      </c>
      <c r="E3" s="41" t="str">
        <f ca="1">VLOOKUP($C3,OFFSET(enemy_skills!$A$1,0,0,COUNTA(enemy_skills!$A:$A),MATCH(E$1,enemy_skills!$1:$1,0)-MATCH("enemy_skill_id",enemy_skills!$1:$1,0)+1),MATCH(E$1,enemy_skills!$1:$1,0)-MATCH("enemy_skill_id",enemy_skills!$1:$1,0)+1,FALSE)</f>
        <v>味方全体をウィルス状態にする</v>
      </c>
      <c r="F3" s="42">
        <v>65535101</v>
      </c>
      <c r="G3" s="43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3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3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3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3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3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3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3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3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2"/>
      <c r="Q3" s="42"/>
      <c r="R3" s="42"/>
    </row>
    <row r="4" spans="1:18" ht="21" customHeight="1" x14ac:dyDescent="0.15">
      <c r="A4" s="34" t="str">
        <f t="shared" si="1"/>
        <v>65535102_65535102</v>
      </c>
      <c r="B4" s="42">
        <v>65535102</v>
      </c>
      <c r="C4" s="42">
        <v>65535102</v>
      </c>
      <c r="D4" s="41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おじゃま！</v>
      </c>
      <c r="E4" s="41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お邪魔パネルを確立でドロップ</v>
      </c>
      <c r="F4" s="42">
        <v>65535102</v>
      </c>
      <c r="G4" s="43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3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3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3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3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3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3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3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3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2"/>
      <c r="Q4" s="42"/>
      <c r="R4" s="42"/>
    </row>
    <row r="5" spans="1:18" ht="21" customHeight="1" x14ac:dyDescent="0.15">
      <c r="A5" s="34" t="str">
        <f t="shared" ref="A5" si="2">B5&amp;"_"&amp;C5</f>
        <v>65535103_65535119</v>
      </c>
      <c r="B5" s="42">
        <v>65535103</v>
      </c>
      <c r="C5" s="42">
        <v>65535119</v>
      </c>
      <c r="D5" s="41" t="e">
        <f ca="1">VLOOKUP($C5,OFFSET(enemy_skills!$A$1,0,0,COUNTA(enemy_skills!$A:$A),MATCH(D$1,enemy_skills!$1:$1,0)-MATCH("enemy_skill_id",enemy_skills!$1:$1,0)+1),MATCH(D$1,enemy_skills!$1:$1,0)-MATCH("enemy_skill_id",enemy_skills!$1:$1,0)+1,FALSE)</f>
        <v>#N/A</v>
      </c>
      <c r="E5" s="41" t="e">
        <f ca="1">VLOOKUP($C5,OFFSET(enemy_skills!$A$1,0,0,COUNTA(enemy_skills!$A:$A),MATCH(E$1,enemy_skills!$1:$1,0)-MATCH("enemy_skill_id",enemy_skills!$1:$1,0)+1),MATCH(E$1,enemy_skills!$1:$1,0)-MATCH("enemy_skill_id",enemy_skills!$1:$1,0)+1,FALSE)</f>
        <v>#N/A</v>
      </c>
      <c r="F5" s="42">
        <v>65535103</v>
      </c>
      <c r="G5" s="43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3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3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3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3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3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3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3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3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2"/>
      <c r="Q5" s="42"/>
      <c r="R5" s="42"/>
    </row>
    <row r="6" spans="1:18" ht="21" customHeight="1" x14ac:dyDescent="0.15">
      <c r="A6" s="34" t="str">
        <f t="shared" ref="A6" si="3">B6&amp;"_"&amp;C6</f>
        <v>65535104_65535104</v>
      </c>
      <c r="B6" s="42">
        <v>65535104</v>
      </c>
      <c r="C6" s="42">
        <v>65535104</v>
      </c>
      <c r="D6" s="41" t="str">
        <f ca="1">VLOOKUP($C6,OFFSET(enemy_skills!$A$1,0,0,COUNTA(enemy_skills!$A:$A),MATCH(D$1,enemy_skills!$1:$1,0)-MATCH("enemy_skill_id",enemy_skills!$1:$1,0)+1),MATCH(D$1,enemy_skills!$1:$1,0)-MATCH("enemy_skill_id",enemy_skills!$1:$1,0)+1,FALSE)</f>
        <v>爆風プロテクツッ！！！！！</v>
      </c>
      <c r="E6" s="41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ボムパネルの爆風範囲が半減+_x000D_ドロップするパネルが確率でプロテクト状態に！</v>
      </c>
      <c r="F6" s="42">
        <v>65535103</v>
      </c>
      <c r="G6" s="43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3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3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3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3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3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3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3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3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2"/>
      <c r="Q6" s="42"/>
      <c r="R6" s="42"/>
    </row>
    <row r="7" spans="1:18" ht="21" customHeight="1" x14ac:dyDescent="0.15">
      <c r="A7" s="34" t="str">
        <f t="shared" ref="A7" si="4">B7&amp;"_"&amp;C7</f>
        <v>65535105_65535272</v>
      </c>
      <c r="B7" s="42">
        <v>65535105</v>
      </c>
      <c r="C7" s="42">
        <v>65535272</v>
      </c>
      <c r="D7" s="41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ウィルス+攻撃(弱)</v>
      </c>
      <c r="E7" s="41" t="str">
        <f ca="1">VLOOKUP($C7,OFFSET(enemy_skills!$A$1,0,0,COUNTA(enemy_skills!$A:$A),MATCH(E$1,enemy_skills!$1:$1,0)-MATCH("enemy_skill_id",enemy_skills!$1:$1,0)+1),MATCH(E$1,enemy_skills!$1:$1,0)-MATCH("enemy_skill_id",enemy_skills!$1:$1,0)+1,FALSE)</f>
        <v>1体に攻撃＋2ターンウィルス</v>
      </c>
      <c r="F7" s="42">
        <v>65535150</v>
      </c>
      <c r="G7" s="43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3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3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7" s="43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3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3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3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3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3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7" s="42"/>
      <c r="Q7" s="42"/>
      <c r="R7" s="42"/>
    </row>
    <row r="8" spans="1:18" ht="21" customHeight="1" x14ac:dyDescent="0.15">
      <c r="A8" s="34" t="str">
        <f t="shared" ref="A8" si="5">B8&amp;"_"&amp;C8</f>
        <v>65535105_65535273</v>
      </c>
      <c r="B8" s="42">
        <v>65535105</v>
      </c>
      <c r="C8" s="42">
        <v>65535273</v>
      </c>
      <c r="D8" s="41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ウィルス+攻撃</v>
      </c>
      <c r="E8" s="41" t="str">
        <f ca="1">VLOOKUP($C8,OFFSET(enemy_skills!$A$1,0,0,COUNTA(enemy_skills!$A:$A),MATCH(E$1,enemy_skills!$1:$1,0)-MATCH("enemy_skill_id",enemy_skills!$1:$1,0)+1),MATCH(E$1,enemy_skills!$1:$1,0)-MATCH("enemy_skill_id",enemy_skills!$1:$1,0)+1,FALSE)</f>
        <v>1体に攻撃＋2ターンウィルス</v>
      </c>
      <c r="F8" s="42">
        <v>65535151</v>
      </c>
      <c r="G8" s="43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3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3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" s="43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3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3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3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3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3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" s="42"/>
      <c r="Q8" s="42"/>
      <c r="R8" s="42"/>
    </row>
    <row r="9" spans="1:18" ht="21" customHeight="1" x14ac:dyDescent="0.15">
      <c r="A9" s="34" t="str">
        <f t="shared" ref="A9" si="6">B9&amp;"_"&amp;C9</f>
        <v>65535105_65535224</v>
      </c>
      <c r="B9" s="42">
        <v>65535105</v>
      </c>
      <c r="C9" s="42">
        <v>65535224</v>
      </c>
      <c r="D9" s="41" t="str">
        <f ca="1">VLOOKUP($C9,OFFSET(enemy_skills!$A$1,0,0,COUNTA(enemy_skills!$A:$A),MATCH(D$1,enemy_skills!$1:$1,0)-MATCH("enemy_skill_id",enemy_skills!$1:$1,0)+1),MATCH(D$1,enemy_skills!$1:$1,0)-MATCH("enemy_skill_id",enemy_skills!$1:$1,0)+1,FALSE)</f>
        <v>一斉オペレーション</v>
      </c>
      <c r="E9" s="41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全体回復</v>
      </c>
      <c r="F9" s="42">
        <v>65535152</v>
      </c>
      <c r="G9" s="43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3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9" s="43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3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3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3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3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3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3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2"/>
      <c r="Q9" s="42"/>
      <c r="R9" s="42"/>
    </row>
    <row r="10" spans="1:18" ht="21" customHeight="1" x14ac:dyDescent="0.15">
      <c r="A10" s="34" t="str">
        <f t="shared" ref="A10" si="7">B10&amp;"_"&amp;C10</f>
        <v>65535105_65535223</v>
      </c>
      <c r="B10" s="42">
        <v>65535105</v>
      </c>
      <c r="C10" s="42">
        <v>65535223</v>
      </c>
      <c r="D10" s="41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お邪魔しますよ！</v>
      </c>
      <c r="E10" s="41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なし</v>
      </c>
      <c r="F10" s="42">
        <v>65535153</v>
      </c>
      <c r="G10" s="43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3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10" s="43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3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3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3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3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3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3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2"/>
      <c r="Q10" s="42"/>
      <c r="R10" s="42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73"/>
  <sheetViews>
    <sheetView showGridLines="0" tabSelected="1" zoomScale="75" zoomScaleNormal="75" zoomScalePageLayoutView="75" workbookViewId="0">
      <pane ySplit="1" topLeftCell="A2" activePane="bottomLeft" state="frozenSplit"/>
      <selection pane="bottomLeft" activeCell="E6" sqref="E6"/>
    </sheetView>
  </sheetViews>
  <sheetFormatPr baseColWidth="12" defaultColWidth="12.83203125" defaultRowHeight="21" customHeight="1" outlineLevelCol="1" x14ac:dyDescent="0.15"/>
  <cols>
    <col min="1" max="1" width="12.83203125" style="44"/>
    <col min="2" max="2" width="67.1640625" style="44" customWidth="1"/>
    <col min="3" max="4" width="12.83203125" style="44"/>
    <col min="5" max="5" width="40.33203125" style="44" bestFit="1" customWidth="1"/>
    <col min="6" max="6" width="44.1640625" style="44" bestFit="1" customWidth="1"/>
    <col min="7" max="7" width="52" style="44" hidden="1" customWidth="1" outlineLevel="1"/>
    <col min="8" max="8" width="18.33203125" style="44" hidden="1" customWidth="1" outlineLevel="1"/>
    <col min="9" max="11" width="18.6640625" style="44" hidden="1" customWidth="1" outlineLevel="1"/>
    <col min="12" max="12" width="23.6640625" style="44" customWidth="1" collapsed="1"/>
    <col min="13" max="18" width="23.6640625" style="44" hidden="1" customWidth="1" outlineLevel="1"/>
    <col min="19" max="19" width="23.6640625" style="44" customWidth="1" collapsed="1"/>
    <col min="20" max="24" width="23.6640625" style="44" hidden="1" customWidth="1" outlineLevel="1"/>
    <col min="25" max="25" width="23.6640625" style="44" customWidth="1" collapsed="1"/>
    <col min="26" max="27" width="12.83203125" style="44"/>
    <col min="28" max="28" width="44.5" style="44" customWidth="1"/>
    <col min="29" max="16384" width="12.83203125" style="44"/>
  </cols>
  <sheetData>
    <row r="1" spans="1:28" ht="21" customHeight="1" x14ac:dyDescent="0.15">
      <c r="A1" s="35" t="s">
        <v>79</v>
      </c>
      <c r="B1" s="35" t="s">
        <v>80</v>
      </c>
      <c r="C1" s="35" t="s">
        <v>81</v>
      </c>
      <c r="D1" s="35" t="s">
        <v>127</v>
      </c>
      <c r="E1" s="35" t="s">
        <v>82</v>
      </c>
      <c r="F1" s="35" t="s">
        <v>83</v>
      </c>
      <c r="G1" s="36" t="s">
        <v>133</v>
      </c>
      <c r="H1" s="36" t="s">
        <v>139</v>
      </c>
      <c r="I1" s="36" t="s">
        <v>141</v>
      </c>
      <c r="J1" s="36" t="s">
        <v>140</v>
      </c>
      <c r="K1" s="36" t="s">
        <v>142</v>
      </c>
      <c r="L1" s="36" t="s">
        <v>134</v>
      </c>
      <c r="M1" s="36" t="s">
        <v>132</v>
      </c>
      <c r="N1" s="36" t="s">
        <v>135</v>
      </c>
      <c r="O1" s="36" t="s">
        <v>143</v>
      </c>
      <c r="P1" s="36" t="s">
        <v>144</v>
      </c>
      <c r="Q1" s="36" t="s">
        <v>145</v>
      </c>
      <c r="R1" s="36" t="s">
        <v>146</v>
      </c>
      <c r="S1" s="36" t="s">
        <v>136</v>
      </c>
      <c r="T1" s="36" t="s">
        <v>137</v>
      </c>
      <c r="U1" s="36" t="s">
        <v>147</v>
      </c>
      <c r="V1" s="36" t="s">
        <v>148</v>
      </c>
      <c r="W1" s="36" t="s">
        <v>149</v>
      </c>
      <c r="X1" s="36" t="s">
        <v>150</v>
      </c>
      <c r="Y1" s="36" t="s">
        <v>138</v>
      </c>
      <c r="Z1" s="36" t="s">
        <v>76</v>
      </c>
      <c r="AA1" s="36" t="s">
        <v>77</v>
      </c>
      <c r="AB1" s="36" t="s">
        <v>78</v>
      </c>
    </row>
    <row r="2" spans="1:28" ht="21" customHeight="1" x14ac:dyDescent="0.15">
      <c r="A2" s="42">
        <v>65535100</v>
      </c>
      <c r="B2" s="184" t="s">
        <v>300</v>
      </c>
      <c r="C2" s="45">
        <v>1</v>
      </c>
      <c r="D2" s="45" t="s">
        <v>128</v>
      </c>
      <c r="E2" s="233" t="s">
        <v>455</v>
      </c>
      <c r="F2" s="233" t="s">
        <v>455</v>
      </c>
      <c r="G2" s="58" t="str">
        <f>IFERROR(LEFT(B2,FIND("],",B2)),B2)</f>
        <v>[effect:force_change_block, new_block:block_blue, target:block_green, count:0, val:0, animation:change_block]</v>
      </c>
      <c r="H2" s="58">
        <f>FIND("effect:",G2)+7</f>
        <v>9</v>
      </c>
      <c r="I2" s="58">
        <f>IFERROR(FIND(",",G2),LEN(G2))</f>
        <v>27</v>
      </c>
      <c r="J2" s="58">
        <f>FIND("target:",G2)+7</f>
        <v>58</v>
      </c>
      <c r="K2" s="58">
        <f>FIND(",",G2,I2+1)</f>
        <v>49</v>
      </c>
      <c r="L2" s="58" t="str">
        <f>IFERROR(VLOOKUP(MID(G2,J2,K2-J2),[8]skilldef!$C:$D,2,FALSE),"-") &amp; " / " &amp; IFERROR(VLOOKUP(MID(G2,H2,I2-H2),[8]skilldef!$A:$B,2,FALSE),"-")</f>
        <v>- / -</v>
      </c>
      <c r="M2" s="58" t="str">
        <f>IFERROR(RIGHT(B2,LEN(B2)-FIND("],",B2)-1),"none")</f>
        <v>_x000D_[effect:force_change_block, new_block:block_yellow, target:block_red, count:0, val:0, animation:change_block],_x000D_[effect:force_change_block, new_block:block_heart, target:block_blue, count:0, val:0, animation:change_block],_x000D_[effect:force_change_block, new_block:block_red, target:block_heart, count:0, val:0, animation:change_block],_x000D_[effect:force_change_block, new_block:block_green, target:block_yellow, count:0, val:0, animation:change_block]_x000D_</v>
      </c>
      <c r="N2" s="43" t="str">
        <f>IFERROR(LEFT(M2,FIND("],",M2)+S9),M2)</f>
        <v>_x000D_[effect:force_change_block, new_block:block_yellow, target:block_red, count:0, val:0, animation:change_block]</v>
      </c>
      <c r="O2" s="58">
        <f>FIND("effect:",N2)+7</f>
        <v>10</v>
      </c>
      <c r="P2" s="58">
        <f>IFERROR(FIND(",",N2),LEN(N2))</f>
        <v>28</v>
      </c>
      <c r="Q2" s="58">
        <f>FIND("target:",N2)+7</f>
        <v>61</v>
      </c>
      <c r="R2" s="58">
        <f>FIND(",",N2,P2+1)</f>
        <v>52</v>
      </c>
      <c r="S2" s="58" t="str">
        <f>IFERROR(VLOOKUP(MID(N2,Q2,R2-Q2),[8]skilldef!$C:$D,2,FALSE),"-") &amp; " / " &amp; IFERROR(VLOOKUP(MID(N2,O2,P2-O2),[8]skilldef!$A:$B,2,FALSE),"-")</f>
        <v>- / -</v>
      </c>
      <c r="T2" s="43" t="str">
        <f>IFERROR(RIGHT(M2,LEN(M2)-FIND("],",M2)-1),"none")</f>
        <v>_x000D_[effect:force_change_block, new_block:block_heart, target:block_blue, count:0, val:0, animation:change_block],_x000D_[effect:force_change_block, new_block:block_red, target:block_heart, count:0, val:0, animation:change_block],_x000D_[effect:force_change_block, new_block:block_green, target:block_yellow, count:0, val:0, animation:change_block]_x000D_</v>
      </c>
      <c r="U2" s="58">
        <f>FIND("effect:",T2)+7</f>
        <v>10</v>
      </c>
      <c r="V2" s="58">
        <f>IFERROR(FIND(",",T2),LEN(T2))</f>
        <v>28</v>
      </c>
      <c r="W2" s="58">
        <f>FIND("target:",T2)+7</f>
        <v>60</v>
      </c>
      <c r="X2" s="58">
        <f>FIND(",",T2,V2+1)</f>
        <v>51</v>
      </c>
      <c r="Y2" s="58" t="str">
        <f>IFERROR(VLOOKUP(MID(T2,W2,X2-W2),[8]skilldef!$C:$D,2,FALSE),"-") &amp; " / " &amp; IFERROR(VLOOKUP(MID(T2,U2,V2-U2),[8]skilldef!$A:$B,2,FALSE),"-")</f>
        <v>- / -</v>
      </c>
      <c r="Z2" s="45"/>
      <c r="AA2" s="47"/>
      <c r="AB2" s="45"/>
    </row>
    <row r="3" spans="1:28" ht="21" customHeight="1" x14ac:dyDescent="0.15">
      <c r="A3" s="42">
        <v>65535101</v>
      </c>
      <c r="B3" s="42" t="s">
        <v>227</v>
      </c>
      <c r="C3" s="45">
        <v>1</v>
      </c>
      <c r="D3" s="45" t="s">
        <v>128</v>
      </c>
      <c r="E3" s="46" t="s">
        <v>228</v>
      </c>
      <c r="F3" s="46" t="s">
        <v>229</v>
      </c>
      <c r="G3" s="58" t="str">
        <f>IFERROR(LEFT(B3,FIND("],",B3)),B3)</f>
        <v xml:space="preserve">[effect:virus, turn:-1, target:unit_all, rate:1, val:0.4, animation:enemy_virus]    </v>
      </c>
      <c r="H3" s="58">
        <f>FIND("effect:",G3)+7</f>
        <v>9</v>
      </c>
      <c r="I3" s="58">
        <f>IFERROR(FIND(",",G3),LEN(G3))</f>
        <v>14</v>
      </c>
      <c r="J3" s="58">
        <f>FIND("target:",G3)+7</f>
        <v>32</v>
      </c>
      <c r="K3" s="58">
        <f>FIND(",",G3,I3+1)</f>
        <v>23</v>
      </c>
      <c r="L3" s="58" t="str">
        <f>IFERROR(VLOOKUP(MID(G3,J3,K3-J3),[8]skilldef!$C:$D,2,FALSE),"-") &amp; " / " &amp; IFERROR(VLOOKUP(MID(G3,H3,I3-H3),[8]skilldef!$A:$B,2,FALSE),"-")</f>
        <v>- / ウィルス</v>
      </c>
      <c r="M3" s="58" t="str">
        <f>IFERROR(RIGHT(B3,LEN(B3)-FIND("],",B3)-1),"none")</f>
        <v>none</v>
      </c>
      <c r="N3" s="43" t="str">
        <f>IFERROR(LEFT(M3,FIND("],",M3)+S10),M3)</f>
        <v>none</v>
      </c>
      <c r="O3" s="58" t="e">
        <f>FIND("effect:",N3)+7</f>
        <v>#VALUE!</v>
      </c>
      <c r="P3" s="58">
        <f>IFERROR(FIND(",",N3),LEN(N3))</f>
        <v>4</v>
      </c>
      <c r="Q3" s="58" t="e">
        <f>FIND("target:",N3)+7</f>
        <v>#VALUE!</v>
      </c>
      <c r="R3" s="58" t="e">
        <f>FIND(",",N3,P3+1)</f>
        <v>#VALUE!</v>
      </c>
      <c r="S3" s="58" t="str">
        <f>IFERROR(VLOOKUP(MID(N3,Q3,R3-Q3),[8]skilldef!$C:$D,2,FALSE),"-") &amp; " / " &amp; IFERROR(VLOOKUP(MID(N3,O3,P3-O3),[8]skilldef!$A:$B,2,FALSE),"-")</f>
        <v>- / -</v>
      </c>
      <c r="T3" s="43" t="str">
        <f>IFERROR(RIGHT(M3,LEN(M3)-FIND("],",M3)-1),"none")</f>
        <v>none</v>
      </c>
      <c r="U3" s="58" t="e">
        <f>FIND("effect:",T3)+7</f>
        <v>#VALUE!</v>
      </c>
      <c r="V3" s="58">
        <f>IFERROR(FIND(",",T3),LEN(T3))</f>
        <v>4</v>
      </c>
      <c r="W3" s="58" t="e">
        <f>FIND("target:",T3)+7</f>
        <v>#VALUE!</v>
      </c>
      <c r="X3" s="58" t="e">
        <f>FIND(",",T3,V3+1)</f>
        <v>#VALUE!</v>
      </c>
      <c r="Y3" s="58" t="str">
        <f>IFERROR(VLOOKUP(MID(T3,W3,X3-W3),[8]skilldef!$C:$D,2,FALSE),"-") &amp; " / " &amp; IFERROR(VLOOKUP(MID(T3,U3,V3-U3),[8]skilldef!$A:$B,2,FALSE),"-")</f>
        <v>- / -</v>
      </c>
      <c r="Z3" s="45"/>
      <c r="AA3" s="47"/>
      <c r="AB3" s="45"/>
    </row>
    <row r="4" spans="1:28" ht="21" customHeight="1" x14ac:dyDescent="0.15">
      <c r="A4" s="42">
        <v>65535102</v>
      </c>
      <c r="B4" s="42" t="s">
        <v>230</v>
      </c>
      <c r="C4" s="45">
        <v>1</v>
      </c>
      <c r="D4" s="45" t="s">
        <v>128</v>
      </c>
      <c r="E4" s="46" t="s">
        <v>231</v>
      </c>
      <c r="F4" s="46" t="s">
        <v>232</v>
      </c>
      <c r="G4" s="58" t="str">
        <f t="shared" ref="G4:G5" si="0">IFERROR(LEFT(B4,FIND("],",B4)),B4)</f>
        <v xml:space="preserve">[effect:drop_block, block_type:jammer, color:block_all, val:0, rate:0.5, turn:-1, animation:jammer_influence04]    </v>
      </c>
      <c r="H4" s="58">
        <f t="shared" ref="H4:H5" si="1">FIND("effect:",G4)+7</f>
        <v>9</v>
      </c>
      <c r="I4" s="58">
        <f t="shared" ref="I4:I5" si="2">IFERROR(FIND(",",G4),LEN(G4))</f>
        <v>19</v>
      </c>
      <c r="J4" s="58" t="e">
        <f t="shared" ref="J4:J5" si="3">FIND("target:",G4)+7</f>
        <v>#VALUE!</v>
      </c>
      <c r="K4" s="58">
        <f t="shared" ref="K4:K5" si="4">FIND(",",G4,I4+1)</f>
        <v>38</v>
      </c>
      <c r="L4" s="58" t="str">
        <f>IFERROR(VLOOKUP(MID(G4,J4,K4-J4),[8]skilldef!$C:$D,2,FALSE),"-") &amp; " / " &amp; IFERROR(VLOOKUP(MID(G4,H4,I4-H4),[8]skilldef!$A:$B,2,FALSE),"-")</f>
        <v>- / 特定ブロックの割合ドロップ</v>
      </c>
      <c r="M4" s="58" t="str">
        <f t="shared" ref="M4:M5" si="5">IFERROR(RIGHT(B4,LEN(B4)-FIND("],",B4)-1),"none")</f>
        <v>none</v>
      </c>
      <c r="N4" s="43" t="str">
        <f>IFERROR(LEFT(M4,FIND("],",M4)+S11),M4)</f>
        <v>none</v>
      </c>
      <c r="O4" s="58" t="e">
        <f t="shared" ref="O4:O5" si="6">FIND("effect:",N4)+7</f>
        <v>#VALUE!</v>
      </c>
      <c r="P4" s="58">
        <f t="shared" ref="P4:P5" si="7">IFERROR(FIND(",",N4),LEN(N4))</f>
        <v>4</v>
      </c>
      <c r="Q4" s="58" t="e">
        <f t="shared" ref="Q4:Q5" si="8">FIND("target:",N4)+7</f>
        <v>#VALUE!</v>
      </c>
      <c r="R4" s="58" t="e">
        <f t="shared" ref="R4:R5" si="9">FIND(",",N4,P4+1)</f>
        <v>#VALUE!</v>
      </c>
      <c r="S4" s="58" t="str">
        <f>IFERROR(VLOOKUP(MID(N4,Q4,R4-Q4),[8]skilldef!$C:$D,2,FALSE),"-") &amp; " / " &amp; IFERROR(VLOOKUP(MID(N4,O4,P4-O4),[8]skilldef!$A:$B,2,FALSE),"-")</f>
        <v>- / -</v>
      </c>
      <c r="T4" s="43" t="str">
        <f t="shared" ref="T4:T5" si="10">IFERROR(RIGHT(M4,LEN(M4)-FIND("],",M4)-1),"none")</f>
        <v>none</v>
      </c>
      <c r="U4" s="58" t="e">
        <f t="shared" ref="U4:U5" si="11">FIND("effect:",T4)+7</f>
        <v>#VALUE!</v>
      </c>
      <c r="V4" s="58">
        <f t="shared" ref="V4:V5" si="12">IFERROR(FIND(",",T4),LEN(T4))</f>
        <v>4</v>
      </c>
      <c r="W4" s="58" t="e">
        <f t="shared" ref="W4:W5" si="13">FIND("target:",T4)+7</f>
        <v>#VALUE!</v>
      </c>
      <c r="X4" s="58" t="e">
        <f t="shared" ref="X4:X5" si="14">FIND(",",T4,V4+1)</f>
        <v>#VALUE!</v>
      </c>
      <c r="Y4" s="58" t="str">
        <f>IFERROR(VLOOKUP(MID(T4,W4,X4-W4),[8]skilldef!$C:$D,2,FALSE),"-") &amp; " / " &amp; IFERROR(VLOOKUP(MID(T4,U4,V4-U4),[8]skilldef!$A:$B,2,FALSE),"-")</f>
        <v>- / -</v>
      </c>
      <c r="Z4" s="45"/>
      <c r="AA4" s="47"/>
      <c r="AB4" s="45"/>
    </row>
    <row r="5" spans="1:28" ht="21" customHeight="1" x14ac:dyDescent="0.15">
      <c r="A5" s="42">
        <v>65535103</v>
      </c>
      <c r="B5" s="42" t="s">
        <v>235</v>
      </c>
      <c r="C5" s="45">
        <v>1</v>
      </c>
      <c r="D5" s="45" t="s">
        <v>128</v>
      </c>
      <c r="E5" s="46" t="s">
        <v>225</v>
      </c>
      <c r="F5" s="46" t="s">
        <v>226</v>
      </c>
      <c r="G5" s="58" t="str">
        <f t="shared" si="0"/>
        <v xml:space="preserve">[effect:change_bomb_range, turn:-1, target:unit_all, val:0.5, rate:1, animation:bomb_small]    </v>
      </c>
      <c r="H5" s="58">
        <f t="shared" si="1"/>
        <v>9</v>
      </c>
      <c r="I5" s="58">
        <f t="shared" si="2"/>
        <v>26</v>
      </c>
      <c r="J5" s="58">
        <f t="shared" si="3"/>
        <v>44</v>
      </c>
      <c r="K5" s="58">
        <f t="shared" si="4"/>
        <v>35</v>
      </c>
      <c r="L5" s="58" t="str">
        <f>IFERROR(VLOOKUP(MID(G5,J5,K5-J5),[8]skilldef!$C:$D,2,FALSE),"-") &amp; " / " &amp; IFERROR(VLOOKUP(MID(G5,H5,I5-H5),[8]skilldef!$A:$B,2,FALSE),"-")</f>
        <v>- / -</v>
      </c>
      <c r="M5" s="58" t="str">
        <f t="shared" si="5"/>
        <v>none</v>
      </c>
      <c r="N5" s="43" t="str">
        <f t="shared" ref="N5" si="15">IFERROR(LEFT(M5,FIND("],",M5)+S15),M5)</f>
        <v>none</v>
      </c>
      <c r="O5" s="58" t="e">
        <f t="shared" si="6"/>
        <v>#VALUE!</v>
      </c>
      <c r="P5" s="58">
        <f t="shared" si="7"/>
        <v>4</v>
      </c>
      <c r="Q5" s="58" t="e">
        <f t="shared" si="8"/>
        <v>#VALUE!</v>
      </c>
      <c r="R5" s="58" t="e">
        <f t="shared" si="9"/>
        <v>#VALUE!</v>
      </c>
      <c r="S5" s="58" t="str">
        <f>IFERROR(VLOOKUP(MID(N5,Q5,R5-Q5),[8]skilldef!$C:$D,2,FALSE),"-") &amp; " / " &amp; IFERROR(VLOOKUP(MID(N5,O5,P5-O5),[8]skilldef!$A:$B,2,FALSE),"-")</f>
        <v>- / -</v>
      </c>
      <c r="T5" s="43" t="str">
        <f t="shared" si="10"/>
        <v>none</v>
      </c>
      <c r="U5" s="58" t="e">
        <f t="shared" si="11"/>
        <v>#VALUE!</v>
      </c>
      <c r="V5" s="58">
        <f t="shared" si="12"/>
        <v>4</v>
      </c>
      <c r="W5" s="58" t="e">
        <f t="shared" si="13"/>
        <v>#VALUE!</v>
      </c>
      <c r="X5" s="58" t="e">
        <f t="shared" si="14"/>
        <v>#VALUE!</v>
      </c>
      <c r="Y5" s="58" t="str">
        <f>IFERROR(VLOOKUP(MID(T5,W5,X5-W5),[8]skilldef!$C:$D,2,FALSE),"-") &amp; " / " &amp; IFERROR(VLOOKUP(MID(T5,U5,V5-U5),[8]skilldef!$A:$B,2,FALSE),"-")</f>
        <v>- / -</v>
      </c>
      <c r="Z5" s="45"/>
      <c r="AA5" s="47"/>
      <c r="AB5" s="45"/>
    </row>
    <row r="6" spans="1:28" ht="21" customHeight="1" x14ac:dyDescent="0.15">
      <c r="A6" s="42">
        <v>65535104</v>
      </c>
      <c r="B6" s="42" t="s">
        <v>236</v>
      </c>
      <c r="C6" s="45">
        <v>1</v>
      </c>
      <c r="D6" s="45" t="s">
        <v>128</v>
      </c>
      <c r="E6" s="46" t="s">
        <v>233</v>
      </c>
      <c r="F6" s="46" t="s">
        <v>234</v>
      </c>
      <c r="G6" s="58" t="str">
        <f t="shared" ref="G6" si="16">IFERROR(LEFT(B6,FIND("],",B6)),B6)</f>
        <v>[effect:drop_freeze, block_type:block_all, frozen_count:1, rate:0.5, turn:-1]</v>
      </c>
      <c r="H6" s="58">
        <f t="shared" ref="H6" si="17">FIND("effect:",G6)+7</f>
        <v>9</v>
      </c>
      <c r="I6" s="58">
        <f t="shared" ref="I6" si="18">IFERROR(FIND(",",G6),LEN(G6))</f>
        <v>20</v>
      </c>
      <c r="J6" s="58" t="e">
        <f t="shared" ref="J6" si="19">FIND("target:",G6)+7</f>
        <v>#VALUE!</v>
      </c>
      <c r="K6" s="58">
        <f t="shared" ref="K6" si="20">FIND(",",G6,I6+1)</f>
        <v>42</v>
      </c>
      <c r="L6" s="58" t="str">
        <f>IFERROR(VLOOKUP(MID(G6,J6,K6-J6),[8]skilldef!$C:$D,2,FALSE),"-") &amp; " / " &amp; IFERROR(VLOOKUP(MID(G6,H6,I6-H6),[8]skilldef!$A:$B,2,FALSE),"-")</f>
        <v>- / -</v>
      </c>
      <c r="M6" s="58" t="str">
        <f t="shared" ref="M6" si="21">IFERROR(RIGHT(B6,LEN(B6)-FIND("],",B6)-1),"none")</f>
        <v xml:space="preserve">[effect:change_bomb_range, turn:-1, target:unit_all, val:0.5, rate:1, animation:bomb_small],[effect:enemy_message, val1:1, val2:3.2]    </v>
      </c>
      <c r="N6" s="43" t="str">
        <f t="shared" ref="N6" si="22">IFERROR(LEFT(M6,FIND("],",M6)+S16),M6)</f>
        <v>[effect:change_bomb_range, turn:-1, target:unit_all, val:0.5, rate:1, animation:bomb_small]</v>
      </c>
      <c r="O6" s="58">
        <f t="shared" ref="O6" si="23">FIND("effect:",N6)+7</f>
        <v>9</v>
      </c>
      <c r="P6" s="58">
        <f t="shared" ref="P6" si="24">IFERROR(FIND(",",N6),LEN(N6))</f>
        <v>26</v>
      </c>
      <c r="Q6" s="58">
        <f t="shared" ref="Q6" si="25">FIND("target:",N6)+7</f>
        <v>44</v>
      </c>
      <c r="R6" s="58">
        <f t="shared" ref="R6" si="26">FIND(",",N6,P6+1)</f>
        <v>35</v>
      </c>
      <c r="S6" s="58" t="str">
        <f>IFERROR(VLOOKUP(MID(N6,Q6,R6-Q6),[8]skilldef!$C:$D,2,FALSE),"-") &amp; " / " &amp; IFERROR(VLOOKUP(MID(N6,O6,P6-O6),[8]skilldef!$A:$B,2,FALSE),"-")</f>
        <v>- / -</v>
      </c>
      <c r="T6" s="43" t="str">
        <f t="shared" ref="T6" si="27">IFERROR(RIGHT(M6,LEN(M6)-FIND("],",M6)-1),"none")</f>
        <v xml:space="preserve">[effect:enemy_message, val1:1, val2:3.2]    </v>
      </c>
      <c r="U6" s="58">
        <f t="shared" ref="U6" si="28">FIND("effect:",T6)+7</f>
        <v>9</v>
      </c>
      <c r="V6" s="58">
        <f t="shared" ref="V6" si="29">IFERROR(FIND(",",T6),LEN(T6))</f>
        <v>22</v>
      </c>
      <c r="W6" s="58" t="e">
        <f t="shared" ref="W6" si="30">FIND("target:",T6)+7</f>
        <v>#VALUE!</v>
      </c>
      <c r="X6" s="58">
        <f t="shared" ref="X6" si="31">FIND(",",T6,V6+1)</f>
        <v>30</v>
      </c>
      <c r="Y6" s="58" t="str">
        <f>IFERROR(VLOOKUP(MID(T6,W6,X6-W6),[8]skilldef!$C:$D,2,FALSE),"-") &amp; " / " &amp; IFERROR(VLOOKUP(MID(T6,U6,V6-U6),[8]skilldef!$A:$B,2,FALSE),"-")</f>
        <v>- / -</v>
      </c>
      <c r="Z6" s="45"/>
      <c r="AA6" s="47"/>
      <c r="AB6" s="45"/>
    </row>
    <row r="7" spans="1:28" ht="21" customHeight="1" x14ac:dyDescent="0.15">
      <c r="A7" s="42">
        <f>A6+1</f>
        <v>65535105</v>
      </c>
      <c r="B7" s="42" t="s">
        <v>236</v>
      </c>
      <c r="C7" s="45">
        <v>1</v>
      </c>
      <c r="D7" s="45" t="s">
        <v>128</v>
      </c>
      <c r="E7" s="46" t="s">
        <v>237</v>
      </c>
      <c r="F7" s="46" t="s">
        <v>238</v>
      </c>
      <c r="G7" s="58" t="str">
        <f t="shared" ref="G7" si="32">IFERROR(LEFT(B7,FIND("],",B7)),B7)</f>
        <v>[effect:drop_freeze, block_type:block_all, frozen_count:1, rate:0.5, turn:-1]</v>
      </c>
      <c r="H7" s="58">
        <f t="shared" ref="H7" si="33">FIND("effect:",G7)+7</f>
        <v>9</v>
      </c>
      <c r="I7" s="58">
        <f t="shared" ref="I7" si="34">IFERROR(FIND(",",G7),LEN(G7))</f>
        <v>20</v>
      </c>
      <c r="J7" s="58" t="e">
        <f t="shared" ref="J7" si="35">FIND("target:",G7)+7</f>
        <v>#VALUE!</v>
      </c>
      <c r="K7" s="58">
        <f t="shared" ref="K7" si="36">FIND(",",G7,I7+1)</f>
        <v>42</v>
      </c>
      <c r="L7" s="58"/>
      <c r="M7" s="58" t="str">
        <f t="shared" ref="M7" si="37">IFERROR(RIGHT(B7,LEN(B7)-FIND("],",B7)-1),"none")</f>
        <v xml:space="preserve">[effect:change_bomb_range, turn:-1, target:unit_all, val:0.5, rate:1, animation:bomb_small],[effect:enemy_message, val1:1, val2:3.2]    </v>
      </c>
      <c r="N7" s="43" t="str">
        <f t="shared" ref="N7" si="38">IFERROR(LEFT(M7,FIND("],",M7)+S17),M7)</f>
        <v>[effect:change_bomb_range, turn:-1, target:unit_all, val:0.5, rate:1, animation:bomb_small]</v>
      </c>
      <c r="O7" s="58">
        <f t="shared" ref="O7" si="39">FIND("effect:",N7)+7</f>
        <v>9</v>
      </c>
      <c r="P7" s="58">
        <f t="shared" ref="P7" si="40">IFERROR(FIND(",",N7),LEN(N7))</f>
        <v>26</v>
      </c>
      <c r="Q7" s="58">
        <f t="shared" ref="Q7" si="41">FIND("target:",N7)+7</f>
        <v>44</v>
      </c>
      <c r="R7" s="58">
        <f t="shared" ref="R7" si="42">FIND(",",N7,P7+1)</f>
        <v>35</v>
      </c>
      <c r="S7" s="58"/>
      <c r="T7" s="43" t="str">
        <f t="shared" ref="T7" si="43">IFERROR(RIGHT(M7,LEN(M7)-FIND("],",M7)-1),"none")</f>
        <v xml:space="preserve">[effect:enemy_message, val1:1, val2:3.2]    </v>
      </c>
      <c r="U7" s="58">
        <f t="shared" ref="U7" si="44">FIND("effect:",T7)+7</f>
        <v>9</v>
      </c>
      <c r="V7" s="58">
        <f t="shared" ref="V7" si="45">IFERROR(FIND(",",T7),LEN(T7))</f>
        <v>22</v>
      </c>
      <c r="W7" s="58" t="e">
        <f t="shared" ref="W7" si="46">FIND("target:",T7)+7</f>
        <v>#VALUE!</v>
      </c>
      <c r="X7" s="58">
        <f t="shared" ref="X7" si="47">FIND(",",T7,V7+1)</f>
        <v>30</v>
      </c>
      <c r="Y7" s="58"/>
      <c r="Z7" s="45"/>
      <c r="AA7" s="47"/>
      <c r="AB7" s="45"/>
    </row>
    <row r="8" spans="1:28" ht="21" customHeight="1" x14ac:dyDescent="0.15">
      <c r="A8" s="42">
        <f t="shared" ref="A8:A70" si="48">A7+1</f>
        <v>65535106</v>
      </c>
      <c r="B8" s="42"/>
      <c r="C8" s="45">
        <v>1</v>
      </c>
      <c r="D8" s="45" t="s">
        <v>128</v>
      </c>
      <c r="E8" s="46" t="s">
        <v>239</v>
      </c>
      <c r="F8" s="46" t="s">
        <v>239</v>
      </c>
      <c r="G8" s="58">
        <f t="shared" ref="G8:G71" si="49">IFERROR(LEFT(B8,FIND("],",B8)),B8)</f>
        <v>0</v>
      </c>
      <c r="H8" s="58" t="e">
        <f t="shared" ref="H8:H71" si="50">FIND("effect:",G8)+7</f>
        <v>#VALUE!</v>
      </c>
      <c r="I8" s="58">
        <f t="shared" ref="I8:I71" si="51">IFERROR(FIND(",",G8),LEN(G8))</f>
        <v>1</v>
      </c>
      <c r="J8" s="58" t="e">
        <f t="shared" ref="J8:J71" si="52">FIND("target:",G8)+7</f>
        <v>#VALUE!</v>
      </c>
      <c r="K8" s="58" t="e">
        <f t="shared" ref="K8:K71" si="53">FIND(",",G8,I8+1)</f>
        <v>#VALUE!</v>
      </c>
      <c r="L8" s="58"/>
      <c r="M8" s="58" t="str">
        <f t="shared" ref="M8:M71" si="54">IFERROR(RIGHT(B8,LEN(B8)-FIND("],",B8)-1),"none")</f>
        <v>none</v>
      </c>
      <c r="N8" s="43" t="str">
        <f t="shared" ref="N8:N11" si="55">IFERROR(LEFT(M8,FIND("],",M8)+S18),M8)</f>
        <v>none</v>
      </c>
      <c r="O8" s="58" t="e">
        <f t="shared" ref="O8:O71" si="56">FIND("effect:",N8)+7</f>
        <v>#VALUE!</v>
      </c>
      <c r="P8" s="58">
        <f t="shared" ref="P8:P71" si="57">IFERROR(FIND(",",N8),LEN(N8))</f>
        <v>4</v>
      </c>
      <c r="Q8" s="58" t="e">
        <f t="shared" ref="Q8:Q71" si="58">FIND("target:",N8)+7</f>
        <v>#VALUE!</v>
      </c>
      <c r="R8" s="58" t="e">
        <f t="shared" ref="R8:R71" si="59">FIND(",",N8,P8+1)</f>
        <v>#VALUE!</v>
      </c>
      <c r="S8" s="58"/>
      <c r="T8" s="43" t="str">
        <f t="shared" ref="T8:T71" si="60">IFERROR(RIGHT(M8,LEN(M8)-FIND("],",M8)-1),"none")</f>
        <v>none</v>
      </c>
      <c r="U8" s="58" t="e">
        <f t="shared" ref="U8:U71" si="61">FIND("effect:",T8)+7</f>
        <v>#VALUE!</v>
      </c>
      <c r="V8" s="58">
        <f t="shared" ref="V8:V71" si="62">IFERROR(FIND(",",T8),LEN(T8))</f>
        <v>4</v>
      </c>
      <c r="W8" s="58" t="e">
        <f t="shared" ref="W8:W71" si="63">FIND("target:",T8)+7</f>
        <v>#VALUE!</v>
      </c>
      <c r="X8" s="58" t="e">
        <f t="shared" ref="X8:X71" si="64">FIND(",",T8,V8+1)</f>
        <v>#VALUE!</v>
      </c>
      <c r="Y8" s="58"/>
      <c r="Z8" s="45"/>
      <c r="AA8" s="47"/>
      <c r="AB8" s="45"/>
    </row>
    <row r="9" spans="1:28" ht="21" customHeight="1" x14ac:dyDescent="0.15">
      <c r="A9" s="42">
        <f t="shared" si="48"/>
        <v>65535107</v>
      </c>
      <c r="B9" s="42"/>
      <c r="C9" s="45">
        <v>1</v>
      </c>
      <c r="D9" s="45" t="s">
        <v>128</v>
      </c>
      <c r="E9" s="46" t="s">
        <v>240</v>
      </c>
      <c r="F9" s="46" t="s">
        <v>241</v>
      </c>
      <c r="G9" s="58">
        <f t="shared" si="49"/>
        <v>0</v>
      </c>
      <c r="H9" s="58" t="e">
        <f t="shared" si="50"/>
        <v>#VALUE!</v>
      </c>
      <c r="I9" s="58">
        <f t="shared" si="51"/>
        <v>1</v>
      </c>
      <c r="J9" s="58" t="e">
        <f t="shared" si="52"/>
        <v>#VALUE!</v>
      </c>
      <c r="K9" s="58" t="e">
        <f t="shared" si="53"/>
        <v>#VALUE!</v>
      </c>
      <c r="L9" s="58"/>
      <c r="M9" s="58" t="str">
        <f t="shared" si="54"/>
        <v>none</v>
      </c>
      <c r="N9" s="43" t="str">
        <f t="shared" si="55"/>
        <v>none</v>
      </c>
      <c r="O9" s="58" t="e">
        <f t="shared" si="56"/>
        <v>#VALUE!</v>
      </c>
      <c r="P9" s="58">
        <f t="shared" si="57"/>
        <v>4</v>
      </c>
      <c r="Q9" s="58" t="e">
        <f t="shared" si="58"/>
        <v>#VALUE!</v>
      </c>
      <c r="R9" s="58" t="e">
        <f t="shared" si="59"/>
        <v>#VALUE!</v>
      </c>
      <c r="S9" s="58"/>
      <c r="T9" s="43" t="str">
        <f t="shared" si="60"/>
        <v>none</v>
      </c>
      <c r="U9" s="58" t="e">
        <f t="shared" si="61"/>
        <v>#VALUE!</v>
      </c>
      <c r="V9" s="58">
        <f t="shared" si="62"/>
        <v>4</v>
      </c>
      <c r="W9" s="58" t="e">
        <f t="shared" si="63"/>
        <v>#VALUE!</v>
      </c>
      <c r="X9" s="58" t="e">
        <f t="shared" si="64"/>
        <v>#VALUE!</v>
      </c>
      <c r="Y9" s="58"/>
      <c r="Z9" s="45"/>
      <c r="AA9" s="47"/>
      <c r="AB9" s="45"/>
    </row>
    <row r="10" spans="1:28" ht="21" customHeight="1" x14ac:dyDescent="0.15">
      <c r="A10" s="42">
        <f t="shared" si="48"/>
        <v>65535108</v>
      </c>
      <c r="B10" s="42"/>
      <c r="C10" s="45">
        <v>1</v>
      </c>
      <c r="D10" s="45" t="s">
        <v>128</v>
      </c>
      <c r="E10" s="46" t="s">
        <v>242</v>
      </c>
      <c r="F10" s="46" t="s">
        <v>243</v>
      </c>
      <c r="G10" s="58">
        <f t="shared" si="49"/>
        <v>0</v>
      </c>
      <c r="H10" s="58" t="e">
        <f t="shared" si="50"/>
        <v>#VALUE!</v>
      </c>
      <c r="I10" s="58">
        <f t="shared" si="51"/>
        <v>1</v>
      </c>
      <c r="J10" s="58" t="e">
        <f t="shared" si="52"/>
        <v>#VALUE!</v>
      </c>
      <c r="K10" s="58" t="e">
        <f t="shared" si="53"/>
        <v>#VALUE!</v>
      </c>
      <c r="L10" s="58"/>
      <c r="M10" s="58" t="str">
        <f t="shared" si="54"/>
        <v>none</v>
      </c>
      <c r="N10" s="43" t="str">
        <f t="shared" si="55"/>
        <v>none</v>
      </c>
      <c r="O10" s="58" t="e">
        <f t="shared" si="56"/>
        <v>#VALUE!</v>
      </c>
      <c r="P10" s="58">
        <f t="shared" si="57"/>
        <v>4</v>
      </c>
      <c r="Q10" s="58" t="e">
        <f t="shared" si="58"/>
        <v>#VALUE!</v>
      </c>
      <c r="R10" s="58" t="e">
        <f t="shared" si="59"/>
        <v>#VALUE!</v>
      </c>
      <c r="S10" s="58"/>
      <c r="T10" s="43" t="str">
        <f t="shared" si="60"/>
        <v>none</v>
      </c>
      <c r="U10" s="58" t="e">
        <f t="shared" si="61"/>
        <v>#VALUE!</v>
      </c>
      <c r="V10" s="58">
        <f t="shared" si="62"/>
        <v>4</v>
      </c>
      <c r="W10" s="58" t="e">
        <f t="shared" si="63"/>
        <v>#VALUE!</v>
      </c>
      <c r="X10" s="58" t="e">
        <f t="shared" si="64"/>
        <v>#VALUE!</v>
      </c>
      <c r="Y10" s="58"/>
      <c r="Z10" s="45"/>
      <c r="AA10" s="47"/>
      <c r="AB10" s="45"/>
    </row>
    <row r="11" spans="1:28" ht="21" customHeight="1" x14ac:dyDescent="0.15">
      <c r="A11" s="42">
        <f t="shared" si="48"/>
        <v>65535109</v>
      </c>
      <c r="B11" s="42"/>
      <c r="C11" s="45">
        <v>1</v>
      </c>
      <c r="D11" s="45" t="s">
        <v>128</v>
      </c>
      <c r="E11" s="46" t="s">
        <v>244</v>
      </c>
      <c r="F11" s="46" t="s">
        <v>245</v>
      </c>
      <c r="G11" s="58">
        <f t="shared" si="49"/>
        <v>0</v>
      </c>
      <c r="H11" s="58" t="e">
        <f t="shared" si="50"/>
        <v>#VALUE!</v>
      </c>
      <c r="I11" s="58">
        <f t="shared" si="51"/>
        <v>1</v>
      </c>
      <c r="J11" s="58" t="e">
        <f t="shared" si="52"/>
        <v>#VALUE!</v>
      </c>
      <c r="K11" s="58" t="e">
        <f t="shared" si="53"/>
        <v>#VALUE!</v>
      </c>
      <c r="L11" s="58"/>
      <c r="M11" s="58" t="str">
        <f t="shared" si="54"/>
        <v>none</v>
      </c>
      <c r="N11" s="43" t="str">
        <f t="shared" si="55"/>
        <v>none</v>
      </c>
      <c r="O11" s="58" t="e">
        <f t="shared" si="56"/>
        <v>#VALUE!</v>
      </c>
      <c r="P11" s="58">
        <f t="shared" si="57"/>
        <v>4</v>
      </c>
      <c r="Q11" s="58" t="e">
        <f t="shared" si="58"/>
        <v>#VALUE!</v>
      </c>
      <c r="R11" s="58" t="e">
        <f t="shared" si="59"/>
        <v>#VALUE!</v>
      </c>
      <c r="S11" s="58"/>
      <c r="T11" s="43" t="str">
        <f t="shared" si="60"/>
        <v>none</v>
      </c>
      <c r="U11" s="58" t="e">
        <f t="shared" si="61"/>
        <v>#VALUE!</v>
      </c>
      <c r="V11" s="58">
        <f t="shared" si="62"/>
        <v>4</v>
      </c>
      <c r="W11" s="58" t="e">
        <f t="shared" si="63"/>
        <v>#VALUE!</v>
      </c>
      <c r="X11" s="58" t="e">
        <f t="shared" si="64"/>
        <v>#VALUE!</v>
      </c>
      <c r="Y11" s="58"/>
      <c r="Z11" s="45"/>
      <c r="AA11" s="47"/>
      <c r="AB11" s="45"/>
    </row>
    <row r="12" spans="1:28" ht="21" customHeight="1" x14ac:dyDescent="0.15">
      <c r="A12" s="42">
        <f t="shared" si="48"/>
        <v>65535110</v>
      </c>
      <c r="B12" s="42"/>
      <c r="C12" s="45">
        <v>1</v>
      </c>
      <c r="D12" s="45" t="s">
        <v>128</v>
      </c>
      <c r="E12" s="46" t="s">
        <v>241</v>
      </c>
      <c r="F12" s="46" t="s">
        <v>249</v>
      </c>
      <c r="G12" s="58">
        <f t="shared" si="49"/>
        <v>0</v>
      </c>
      <c r="H12" s="58" t="e">
        <f t="shared" si="50"/>
        <v>#VALUE!</v>
      </c>
      <c r="I12" s="58">
        <f t="shared" si="51"/>
        <v>1</v>
      </c>
      <c r="J12" s="58" t="e">
        <f t="shared" si="52"/>
        <v>#VALUE!</v>
      </c>
      <c r="K12" s="58" t="e">
        <f t="shared" si="53"/>
        <v>#VALUE!</v>
      </c>
      <c r="L12" s="58"/>
      <c r="M12" s="58" t="str">
        <f t="shared" si="54"/>
        <v>none</v>
      </c>
      <c r="N12" s="43" t="str">
        <f>IFERROR(LEFT(M12,FIND("],",M12)+#REF!),M12)</f>
        <v>none</v>
      </c>
      <c r="O12" s="58" t="e">
        <f t="shared" si="56"/>
        <v>#VALUE!</v>
      </c>
      <c r="P12" s="58">
        <f t="shared" si="57"/>
        <v>4</v>
      </c>
      <c r="Q12" s="58" t="e">
        <f t="shared" si="58"/>
        <v>#VALUE!</v>
      </c>
      <c r="R12" s="58" t="e">
        <f t="shared" si="59"/>
        <v>#VALUE!</v>
      </c>
      <c r="S12" s="58"/>
      <c r="T12" s="43" t="str">
        <f t="shared" si="60"/>
        <v>none</v>
      </c>
      <c r="U12" s="58" t="e">
        <f t="shared" si="61"/>
        <v>#VALUE!</v>
      </c>
      <c r="V12" s="58">
        <f t="shared" si="62"/>
        <v>4</v>
      </c>
      <c r="W12" s="58" t="e">
        <f t="shared" si="63"/>
        <v>#VALUE!</v>
      </c>
      <c r="X12" s="58" t="e">
        <f t="shared" si="64"/>
        <v>#VALUE!</v>
      </c>
      <c r="Y12" s="58"/>
      <c r="Z12" s="45"/>
      <c r="AA12" s="47"/>
      <c r="AB12" s="45"/>
    </row>
    <row r="13" spans="1:28" ht="21" customHeight="1" x14ac:dyDescent="0.15">
      <c r="A13" s="42">
        <f t="shared" si="48"/>
        <v>65535111</v>
      </c>
      <c r="B13" s="42"/>
      <c r="C13" s="45">
        <v>1</v>
      </c>
      <c r="D13" s="45" t="s">
        <v>128</v>
      </c>
      <c r="E13" s="46" t="s">
        <v>246</v>
      </c>
      <c r="F13" s="46" t="s">
        <v>250</v>
      </c>
      <c r="G13" s="58">
        <f t="shared" si="49"/>
        <v>0</v>
      </c>
      <c r="H13" s="58" t="e">
        <f t="shared" si="50"/>
        <v>#VALUE!</v>
      </c>
      <c r="I13" s="58">
        <f t="shared" si="51"/>
        <v>1</v>
      </c>
      <c r="J13" s="58" t="e">
        <f t="shared" si="52"/>
        <v>#VALUE!</v>
      </c>
      <c r="K13" s="58" t="e">
        <f t="shared" si="53"/>
        <v>#VALUE!</v>
      </c>
      <c r="L13" s="58"/>
      <c r="M13" s="58" t="str">
        <f t="shared" si="54"/>
        <v>none</v>
      </c>
      <c r="N13" s="43" t="str">
        <f>IFERROR(LEFT(M13,FIND("],",M13)+#REF!),M13)</f>
        <v>none</v>
      </c>
      <c r="O13" s="58" t="e">
        <f t="shared" si="56"/>
        <v>#VALUE!</v>
      </c>
      <c r="P13" s="58">
        <f t="shared" si="57"/>
        <v>4</v>
      </c>
      <c r="Q13" s="58" t="e">
        <f t="shared" si="58"/>
        <v>#VALUE!</v>
      </c>
      <c r="R13" s="58" t="e">
        <f t="shared" si="59"/>
        <v>#VALUE!</v>
      </c>
      <c r="S13" s="58"/>
      <c r="T13" s="43" t="str">
        <f t="shared" si="60"/>
        <v>none</v>
      </c>
      <c r="U13" s="58" t="e">
        <f t="shared" si="61"/>
        <v>#VALUE!</v>
      </c>
      <c r="V13" s="58">
        <f t="shared" si="62"/>
        <v>4</v>
      </c>
      <c r="W13" s="58" t="e">
        <f t="shared" si="63"/>
        <v>#VALUE!</v>
      </c>
      <c r="X13" s="58" t="e">
        <f t="shared" si="64"/>
        <v>#VALUE!</v>
      </c>
      <c r="Y13" s="58"/>
      <c r="Z13" s="45"/>
      <c r="AA13" s="47"/>
      <c r="AB13" s="45"/>
    </row>
    <row r="14" spans="1:28" ht="21" customHeight="1" x14ac:dyDescent="0.15">
      <c r="A14" s="42">
        <f t="shared" si="48"/>
        <v>65535112</v>
      </c>
      <c r="B14" s="42"/>
      <c r="C14" s="45">
        <v>1</v>
      </c>
      <c r="D14" s="45" t="s">
        <v>128</v>
      </c>
      <c r="E14" s="46" t="s">
        <v>247</v>
      </c>
      <c r="F14" s="46" t="s">
        <v>248</v>
      </c>
      <c r="G14" s="58">
        <f t="shared" si="49"/>
        <v>0</v>
      </c>
      <c r="H14" s="58" t="e">
        <f t="shared" si="50"/>
        <v>#VALUE!</v>
      </c>
      <c r="I14" s="58">
        <f t="shared" si="51"/>
        <v>1</v>
      </c>
      <c r="J14" s="58" t="e">
        <f t="shared" si="52"/>
        <v>#VALUE!</v>
      </c>
      <c r="K14" s="58" t="e">
        <f t="shared" si="53"/>
        <v>#VALUE!</v>
      </c>
      <c r="L14" s="58"/>
      <c r="M14" s="58" t="str">
        <f t="shared" si="54"/>
        <v>none</v>
      </c>
      <c r="N14" s="43" t="str">
        <f>IFERROR(LEFT(M14,FIND("],",M14)+#REF!),M14)</f>
        <v>none</v>
      </c>
      <c r="O14" s="58" t="e">
        <f t="shared" si="56"/>
        <v>#VALUE!</v>
      </c>
      <c r="P14" s="58">
        <f t="shared" si="57"/>
        <v>4</v>
      </c>
      <c r="Q14" s="58" t="e">
        <f t="shared" si="58"/>
        <v>#VALUE!</v>
      </c>
      <c r="R14" s="58" t="e">
        <f t="shared" si="59"/>
        <v>#VALUE!</v>
      </c>
      <c r="S14" s="58"/>
      <c r="T14" s="43" t="str">
        <f t="shared" si="60"/>
        <v>none</v>
      </c>
      <c r="U14" s="58" t="e">
        <f t="shared" si="61"/>
        <v>#VALUE!</v>
      </c>
      <c r="V14" s="58">
        <f t="shared" si="62"/>
        <v>4</v>
      </c>
      <c r="W14" s="58" t="e">
        <f t="shared" si="63"/>
        <v>#VALUE!</v>
      </c>
      <c r="X14" s="58" t="e">
        <f t="shared" si="64"/>
        <v>#VALUE!</v>
      </c>
      <c r="Y14" s="58"/>
      <c r="Z14" s="45"/>
      <c r="AA14" s="47"/>
      <c r="AB14" s="45"/>
    </row>
    <row r="15" spans="1:28" ht="21" customHeight="1" x14ac:dyDescent="0.15">
      <c r="A15" s="42">
        <f t="shared" si="48"/>
        <v>65535113</v>
      </c>
      <c r="B15" s="42"/>
      <c r="C15" s="45">
        <v>1</v>
      </c>
      <c r="D15" s="45" t="s">
        <v>128</v>
      </c>
      <c r="E15" s="46" t="s">
        <v>251</v>
      </c>
      <c r="F15" s="46" t="s">
        <v>252</v>
      </c>
      <c r="G15" s="58">
        <f t="shared" si="49"/>
        <v>0</v>
      </c>
      <c r="H15" s="58" t="e">
        <f t="shared" si="50"/>
        <v>#VALUE!</v>
      </c>
      <c r="I15" s="58">
        <f t="shared" si="51"/>
        <v>1</v>
      </c>
      <c r="J15" s="58" t="e">
        <f t="shared" si="52"/>
        <v>#VALUE!</v>
      </c>
      <c r="K15" s="58" t="e">
        <f t="shared" si="53"/>
        <v>#VALUE!</v>
      </c>
      <c r="L15" s="58"/>
      <c r="M15" s="58" t="str">
        <f t="shared" si="54"/>
        <v>none</v>
      </c>
      <c r="N15" s="43" t="str">
        <f>IFERROR(LEFT(M15,FIND("],",M15)+#REF!),M15)</f>
        <v>none</v>
      </c>
      <c r="O15" s="58" t="e">
        <f t="shared" si="56"/>
        <v>#VALUE!</v>
      </c>
      <c r="P15" s="58">
        <f t="shared" si="57"/>
        <v>4</v>
      </c>
      <c r="Q15" s="58" t="e">
        <f t="shared" si="58"/>
        <v>#VALUE!</v>
      </c>
      <c r="R15" s="58" t="e">
        <f t="shared" si="59"/>
        <v>#VALUE!</v>
      </c>
      <c r="S15" s="58"/>
      <c r="T15" s="43" t="str">
        <f t="shared" si="60"/>
        <v>none</v>
      </c>
      <c r="U15" s="58" t="e">
        <f t="shared" si="61"/>
        <v>#VALUE!</v>
      </c>
      <c r="V15" s="58">
        <f t="shared" si="62"/>
        <v>4</v>
      </c>
      <c r="W15" s="58" t="e">
        <f t="shared" si="63"/>
        <v>#VALUE!</v>
      </c>
      <c r="X15" s="58" t="e">
        <f t="shared" si="64"/>
        <v>#VALUE!</v>
      </c>
      <c r="Y15" s="58"/>
      <c r="Z15" s="45"/>
      <c r="AA15" s="47"/>
      <c r="AB15" s="45"/>
    </row>
    <row r="16" spans="1:28" ht="21" customHeight="1" x14ac:dyDescent="0.15">
      <c r="A16" s="42">
        <f t="shared" si="48"/>
        <v>65535114</v>
      </c>
      <c r="B16" s="42"/>
      <c r="C16" s="45">
        <v>1</v>
      </c>
      <c r="D16" s="45" t="s">
        <v>128</v>
      </c>
      <c r="E16" s="46" t="s">
        <v>253</v>
      </c>
      <c r="F16" s="46" t="s">
        <v>255</v>
      </c>
      <c r="G16" s="58">
        <f t="shared" si="49"/>
        <v>0</v>
      </c>
      <c r="H16" s="58" t="e">
        <f t="shared" si="50"/>
        <v>#VALUE!</v>
      </c>
      <c r="I16" s="58">
        <f t="shared" si="51"/>
        <v>1</v>
      </c>
      <c r="J16" s="58" t="e">
        <f t="shared" si="52"/>
        <v>#VALUE!</v>
      </c>
      <c r="K16" s="58" t="e">
        <f t="shared" si="53"/>
        <v>#VALUE!</v>
      </c>
      <c r="L16" s="58"/>
      <c r="M16" s="58" t="str">
        <f t="shared" si="54"/>
        <v>none</v>
      </c>
      <c r="N16" s="43" t="str">
        <f>IFERROR(LEFT(M16,FIND("],",M16)+#REF!),M16)</f>
        <v>none</v>
      </c>
      <c r="O16" s="58" t="e">
        <f t="shared" si="56"/>
        <v>#VALUE!</v>
      </c>
      <c r="P16" s="58">
        <f t="shared" si="57"/>
        <v>4</v>
      </c>
      <c r="Q16" s="58" t="e">
        <f t="shared" si="58"/>
        <v>#VALUE!</v>
      </c>
      <c r="R16" s="58" t="e">
        <f t="shared" si="59"/>
        <v>#VALUE!</v>
      </c>
      <c r="S16" s="58"/>
      <c r="T16" s="43" t="str">
        <f t="shared" si="60"/>
        <v>none</v>
      </c>
      <c r="U16" s="58" t="e">
        <f t="shared" si="61"/>
        <v>#VALUE!</v>
      </c>
      <c r="V16" s="58">
        <f t="shared" si="62"/>
        <v>4</v>
      </c>
      <c r="W16" s="58" t="e">
        <f t="shared" si="63"/>
        <v>#VALUE!</v>
      </c>
      <c r="X16" s="58" t="e">
        <f t="shared" si="64"/>
        <v>#VALUE!</v>
      </c>
      <c r="Y16" s="58"/>
      <c r="Z16" s="45"/>
      <c r="AA16" s="47"/>
      <c r="AB16" s="45"/>
    </row>
    <row r="17" spans="1:28" ht="21" customHeight="1" x14ac:dyDescent="0.15">
      <c r="A17" s="42">
        <f t="shared" si="48"/>
        <v>65535115</v>
      </c>
      <c r="B17" s="42"/>
      <c r="C17" s="45">
        <v>1</v>
      </c>
      <c r="D17" s="45" t="s">
        <v>128</v>
      </c>
      <c r="E17" s="46" t="s">
        <v>254</v>
      </c>
      <c r="F17" s="46" t="s">
        <v>238</v>
      </c>
      <c r="G17" s="58">
        <f t="shared" si="49"/>
        <v>0</v>
      </c>
      <c r="H17" s="58" t="e">
        <f t="shared" si="50"/>
        <v>#VALUE!</v>
      </c>
      <c r="I17" s="58">
        <f t="shared" si="51"/>
        <v>1</v>
      </c>
      <c r="J17" s="58" t="e">
        <f t="shared" si="52"/>
        <v>#VALUE!</v>
      </c>
      <c r="K17" s="58" t="e">
        <f t="shared" si="53"/>
        <v>#VALUE!</v>
      </c>
      <c r="L17" s="58"/>
      <c r="M17" s="58" t="str">
        <f t="shared" si="54"/>
        <v>none</v>
      </c>
      <c r="N17" s="43" t="str">
        <f>IFERROR(LEFT(M17,FIND("],",M17)+#REF!),M17)</f>
        <v>none</v>
      </c>
      <c r="O17" s="58" t="e">
        <f t="shared" si="56"/>
        <v>#VALUE!</v>
      </c>
      <c r="P17" s="58">
        <f t="shared" si="57"/>
        <v>4</v>
      </c>
      <c r="Q17" s="58" t="e">
        <f t="shared" si="58"/>
        <v>#VALUE!</v>
      </c>
      <c r="R17" s="58" t="e">
        <f t="shared" si="59"/>
        <v>#VALUE!</v>
      </c>
      <c r="S17" s="58"/>
      <c r="T17" s="43" t="str">
        <f t="shared" si="60"/>
        <v>none</v>
      </c>
      <c r="U17" s="58" t="e">
        <f t="shared" si="61"/>
        <v>#VALUE!</v>
      </c>
      <c r="V17" s="58">
        <f t="shared" si="62"/>
        <v>4</v>
      </c>
      <c r="W17" s="58" t="e">
        <f t="shared" si="63"/>
        <v>#VALUE!</v>
      </c>
      <c r="X17" s="58" t="e">
        <f t="shared" si="64"/>
        <v>#VALUE!</v>
      </c>
      <c r="Y17" s="58"/>
      <c r="Z17" s="45"/>
      <c r="AA17" s="47"/>
      <c r="AB17" s="45"/>
    </row>
    <row r="18" spans="1:28" ht="21" customHeight="1" x14ac:dyDescent="0.15">
      <c r="A18" s="42">
        <f t="shared" si="48"/>
        <v>65535116</v>
      </c>
      <c r="B18" s="42"/>
      <c r="C18" s="45">
        <v>1</v>
      </c>
      <c r="D18" s="45" t="s">
        <v>128</v>
      </c>
      <c r="E18" s="46" t="s">
        <v>257</v>
      </c>
      <c r="F18" s="46" t="s">
        <v>256</v>
      </c>
      <c r="G18" s="58">
        <f t="shared" si="49"/>
        <v>0</v>
      </c>
      <c r="H18" s="58" t="e">
        <f t="shared" si="50"/>
        <v>#VALUE!</v>
      </c>
      <c r="I18" s="58">
        <f t="shared" si="51"/>
        <v>1</v>
      </c>
      <c r="J18" s="58" t="e">
        <f t="shared" si="52"/>
        <v>#VALUE!</v>
      </c>
      <c r="K18" s="58" t="e">
        <f t="shared" si="53"/>
        <v>#VALUE!</v>
      </c>
      <c r="L18" s="58"/>
      <c r="M18" s="58" t="str">
        <f t="shared" si="54"/>
        <v>none</v>
      </c>
      <c r="N18" s="43" t="str">
        <f>IFERROR(LEFT(M18,FIND("],",M18)+#REF!),M18)</f>
        <v>none</v>
      </c>
      <c r="O18" s="58" t="e">
        <f t="shared" si="56"/>
        <v>#VALUE!</v>
      </c>
      <c r="P18" s="58">
        <f t="shared" si="57"/>
        <v>4</v>
      </c>
      <c r="Q18" s="58" t="e">
        <f t="shared" si="58"/>
        <v>#VALUE!</v>
      </c>
      <c r="R18" s="58" t="e">
        <f t="shared" si="59"/>
        <v>#VALUE!</v>
      </c>
      <c r="S18" s="58"/>
      <c r="T18" s="43" t="str">
        <f t="shared" si="60"/>
        <v>none</v>
      </c>
      <c r="U18" s="58" t="e">
        <f t="shared" si="61"/>
        <v>#VALUE!</v>
      </c>
      <c r="V18" s="58">
        <f t="shared" si="62"/>
        <v>4</v>
      </c>
      <c r="W18" s="58" t="e">
        <f t="shared" si="63"/>
        <v>#VALUE!</v>
      </c>
      <c r="X18" s="58" t="e">
        <f t="shared" si="64"/>
        <v>#VALUE!</v>
      </c>
      <c r="Y18" s="58"/>
      <c r="Z18" s="45"/>
      <c r="AA18" s="47"/>
      <c r="AB18" s="45"/>
    </row>
    <row r="19" spans="1:28" ht="21" customHeight="1" x14ac:dyDescent="0.15">
      <c r="A19" s="42">
        <f t="shared" si="48"/>
        <v>65535117</v>
      </c>
      <c r="B19" s="42"/>
      <c r="C19" s="45">
        <v>1</v>
      </c>
      <c r="D19" s="45" t="s">
        <v>128</v>
      </c>
      <c r="E19" s="46" t="s">
        <v>258</v>
      </c>
      <c r="F19" s="46" t="s">
        <v>259</v>
      </c>
      <c r="G19" s="58">
        <f t="shared" si="49"/>
        <v>0</v>
      </c>
      <c r="H19" s="58" t="e">
        <f t="shared" si="50"/>
        <v>#VALUE!</v>
      </c>
      <c r="I19" s="58">
        <f t="shared" si="51"/>
        <v>1</v>
      </c>
      <c r="J19" s="58" t="e">
        <f t="shared" si="52"/>
        <v>#VALUE!</v>
      </c>
      <c r="K19" s="58" t="e">
        <f t="shared" si="53"/>
        <v>#VALUE!</v>
      </c>
      <c r="L19" s="58"/>
      <c r="M19" s="58" t="str">
        <f t="shared" si="54"/>
        <v>none</v>
      </c>
      <c r="N19" s="43" t="str">
        <f>IFERROR(LEFT(M19,FIND("],",M19)+#REF!),M19)</f>
        <v>none</v>
      </c>
      <c r="O19" s="58" t="e">
        <f t="shared" si="56"/>
        <v>#VALUE!</v>
      </c>
      <c r="P19" s="58">
        <f t="shared" si="57"/>
        <v>4</v>
      </c>
      <c r="Q19" s="58" t="e">
        <f t="shared" si="58"/>
        <v>#VALUE!</v>
      </c>
      <c r="R19" s="58" t="e">
        <f t="shared" si="59"/>
        <v>#VALUE!</v>
      </c>
      <c r="S19" s="58"/>
      <c r="T19" s="43" t="str">
        <f t="shared" si="60"/>
        <v>none</v>
      </c>
      <c r="U19" s="58" t="e">
        <f t="shared" si="61"/>
        <v>#VALUE!</v>
      </c>
      <c r="V19" s="58">
        <f t="shared" si="62"/>
        <v>4</v>
      </c>
      <c r="W19" s="58" t="e">
        <f t="shared" si="63"/>
        <v>#VALUE!</v>
      </c>
      <c r="X19" s="58" t="e">
        <f t="shared" si="64"/>
        <v>#VALUE!</v>
      </c>
      <c r="Y19" s="58"/>
      <c r="Z19" s="45"/>
      <c r="AA19" s="47"/>
      <c r="AB19" s="45"/>
    </row>
    <row r="20" spans="1:28" ht="21" customHeight="1" x14ac:dyDescent="0.15">
      <c r="A20" s="42">
        <f t="shared" si="48"/>
        <v>65535118</v>
      </c>
      <c r="B20" s="42"/>
      <c r="C20" s="45">
        <v>1</v>
      </c>
      <c r="D20" s="45" t="s">
        <v>128</v>
      </c>
      <c r="E20" s="46" t="s">
        <v>260</v>
      </c>
      <c r="F20" s="46" t="s">
        <v>261</v>
      </c>
      <c r="G20" s="58">
        <f t="shared" si="49"/>
        <v>0</v>
      </c>
      <c r="H20" s="58" t="e">
        <f t="shared" si="50"/>
        <v>#VALUE!</v>
      </c>
      <c r="I20" s="58">
        <f t="shared" si="51"/>
        <v>1</v>
      </c>
      <c r="J20" s="58" t="e">
        <f t="shared" si="52"/>
        <v>#VALUE!</v>
      </c>
      <c r="K20" s="58" t="e">
        <f t="shared" si="53"/>
        <v>#VALUE!</v>
      </c>
      <c r="L20" s="58"/>
      <c r="M20" s="58" t="str">
        <f t="shared" si="54"/>
        <v>none</v>
      </c>
      <c r="N20" s="43" t="str">
        <f>IFERROR(LEFT(M20,FIND("],",M20)+#REF!),M20)</f>
        <v>none</v>
      </c>
      <c r="O20" s="58" t="e">
        <f t="shared" si="56"/>
        <v>#VALUE!</v>
      </c>
      <c r="P20" s="58">
        <f t="shared" si="57"/>
        <v>4</v>
      </c>
      <c r="Q20" s="58" t="e">
        <f t="shared" si="58"/>
        <v>#VALUE!</v>
      </c>
      <c r="R20" s="58" t="e">
        <f t="shared" si="59"/>
        <v>#VALUE!</v>
      </c>
      <c r="S20" s="58"/>
      <c r="T20" s="43" t="str">
        <f t="shared" si="60"/>
        <v>none</v>
      </c>
      <c r="U20" s="58" t="e">
        <f t="shared" si="61"/>
        <v>#VALUE!</v>
      </c>
      <c r="V20" s="58">
        <f t="shared" si="62"/>
        <v>4</v>
      </c>
      <c r="W20" s="58" t="e">
        <f t="shared" si="63"/>
        <v>#VALUE!</v>
      </c>
      <c r="X20" s="58" t="e">
        <f t="shared" si="64"/>
        <v>#VALUE!</v>
      </c>
      <c r="Y20" s="58"/>
      <c r="Z20" s="45"/>
      <c r="AA20" s="47"/>
      <c r="AB20" s="45"/>
    </row>
    <row r="21" spans="1:28" ht="21" customHeight="1" x14ac:dyDescent="0.15">
      <c r="A21" s="42">
        <f>65535221+1</f>
        <v>65535222</v>
      </c>
      <c r="B21" s="42" t="s">
        <v>453</v>
      </c>
      <c r="C21" s="45">
        <v>1</v>
      </c>
      <c r="D21" s="45" t="s">
        <v>128</v>
      </c>
      <c r="E21" s="46" t="s">
        <v>262</v>
      </c>
      <c r="F21" s="46" t="s">
        <v>238</v>
      </c>
      <c r="G21" s="58" t="str">
        <f t="shared" si="49"/>
        <v>[effect:hungup, target:unit_right, turn:3, rate:1, animation:hungup01]</v>
      </c>
      <c r="H21" s="58">
        <f t="shared" si="50"/>
        <v>9</v>
      </c>
      <c r="I21" s="58">
        <f t="shared" si="51"/>
        <v>15</v>
      </c>
      <c r="J21" s="58">
        <f t="shared" si="52"/>
        <v>24</v>
      </c>
      <c r="K21" s="58">
        <f t="shared" si="53"/>
        <v>34</v>
      </c>
      <c r="L21" s="58"/>
      <c r="M21" s="58" t="str">
        <f t="shared" si="54"/>
        <v xml:space="preserve">[effect:hungup, target:unit_left, turn:3, rate:1, animation:hungup01],[effect:hungup, target:unit_both, turn:3, rate:1, animation:hungup01] </v>
      </c>
      <c r="N21" s="43" t="str">
        <f>IFERROR(LEFT(M21,FIND("],",M21)+#REF!),M21)</f>
        <v xml:space="preserve">[effect:hungup, target:unit_left, turn:3, rate:1, animation:hungup01],[effect:hungup, target:unit_both, turn:3, rate:1, animation:hungup01] </v>
      </c>
      <c r="O21" s="58">
        <f t="shared" si="56"/>
        <v>9</v>
      </c>
      <c r="P21" s="58">
        <f t="shared" si="57"/>
        <v>15</v>
      </c>
      <c r="Q21" s="58">
        <f t="shared" si="58"/>
        <v>24</v>
      </c>
      <c r="R21" s="58">
        <f t="shared" si="59"/>
        <v>33</v>
      </c>
      <c r="S21" s="58"/>
      <c r="T21" s="43" t="str">
        <f t="shared" si="60"/>
        <v xml:space="preserve">[effect:hungup, target:unit_both, turn:3, rate:1, animation:hungup01] </v>
      </c>
      <c r="U21" s="58">
        <f t="shared" si="61"/>
        <v>9</v>
      </c>
      <c r="V21" s="58">
        <f t="shared" si="62"/>
        <v>15</v>
      </c>
      <c r="W21" s="58">
        <f t="shared" si="63"/>
        <v>24</v>
      </c>
      <c r="X21" s="58">
        <f t="shared" si="64"/>
        <v>33</v>
      </c>
      <c r="Y21" s="58"/>
      <c r="Z21" s="45"/>
      <c r="AA21" s="47"/>
      <c r="AB21" s="45"/>
    </row>
    <row r="22" spans="1:28" ht="21" customHeight="1" x14ac:dyDescent="0.15">
      <c r="A22" s="42">
        <f t="shared" si="48"/>
        <v>65535223</v>
      </c>
      <c r="B22" s="201" t="s">
        <v>452</v>
      </c>
      <c r="C22" s="202">
        <v>3</v>
      </c>
      <c r="D22" s="202" t="s">
        <v>305</v>
      </c>
      <c r="E22" s="203" t="s">
        <v>306</v>
      </c>
      <c r="F22" s="203" t="s">
        <v>307</v>
      </c>
      <c r="G22" s="58" t="str">
        <f t="shared" si="49"/>
        <v>[effect:fix_speed, target:enemy_green, turn:1]</v>
      </c>
      <c r="H22" s="58">
        <f t="shared" si="50"/>
        <v>9</v>
      </c>
      <c r="I22" s="58">
        <f t="shared" si="51"/>
        <v>18</v>
      </c>
      <c r="J22" s="58">
        <f t="shared" si="52"/>
        <v>27</v>
      </c>
      <c r="K22" s="58">
        <f t="shared" si="53"/>
        <v>38</v>
      </c>
      <c r="L22" s="58" t="str">
        <f>IFERROR(VLOOKUP(MID(G22,J22,K22-J22),[8]skilldef!$C:$D,2,FALSE),"-") &amp; " / " &amp; IFERROR(VLOOKUP(MID(G22,H22,I22-H22),[8]skilldef!$A:$B,2,FALSE),"-")</f>
        <v>緑の敵に / 行動値設定</v>
      </c>
      <c r="M22" s="58" t="str">
        <f t="shared" si="54"/>
        <v>[effect:fix_speed, target:myself, turn:2],[effect:enemy_message, val1:1.5, val2:0]</v>
      </c>
      <c r="N22" s="43" t="str">
        <f>IFERROR(LEFT(M22,FIND("],",M22)+S75),M22)</f>
        <v>[effect:fix_speed, target:myself, turn:2]</v>
      </c>
      <c r="O22" s="58">
        <f t="shared" si="56"/>
        <v>9</v>
      </c>
      <c r="P22" s="58">
        <f t="shared" si="57"/>
        <v>18</v>
      </c>
      <c r="Q22" s="58">
        <f t="shared" si="58"/>
        <v>27</v>
      </c>
      <c r="R22" s="58">
        <f t="shared" si="59"/>
        <v>33</v>
      </c>
      <c r="S22" s="58" t="str">
        <f>IFERROR(VLOOKUP(MID(N22,Q22,R22-Q22),[8]skilldef!$C:$D,2,FALSE),"-") &amp; " / " &amp; IFERROR(VLOOKUP(MID(N22,O22,P22-O22),[8]skilldef!$A:$B,2,FALSE),"-")</f>
        <v>自分自身に / 行動値設定</v>
      </c>
      <c r="T22" s="43" t="str">
        <f t="shared" si="60"/>
        <v>[effect:enemy_message, val1:1.5, val2:0]</v>
      </c>
      <c r="U22" s="58">
        <f t="shared" si="61"/>
        <v>9</v>
      </c>
      <c r="V22" s="58">
        <f t="shared" si="62"/>
        <v>22</v>
      </c>
      <c r="W22" s="58" t="e">
        <f t="shared" si="63"/>
        <v>#VALUE!</v>
      </c>
      <c r="X22" s="58">
        <f t="shared" si="64"/>
        <v>32</v>
      </c>
      <c r="Y22" s="58" t="str">
        <f>IFERROR(VLOOKUP(MID(T22,W22,X22-W22),[8]skilldef!$C:$D,2,FALSE),"-") &amp; " / " &amp; IFERROR(VLOOKUP(MID(T22,U22,V22-U22),[8]skilldef!$A:$B,2,FALSE),"-")</f>
        <v>- / -</v>
      </c>
      <c r="Z22" s="45"/>
      <c r="AA22" s="47"/>
      <c r="AB22" s="45"/>
    </row>
    <row r="23" spans="1:28" ht="21" customHeight="1" x14ac:dyDescent="0.15">
      <c r="A23" s="42">
        <f t="shared" si="48"/>
        <v>65535224</v>
      </c>
      <c r="B23" s="201" t="s">
        <v>308</v>
      </c>
      <c r="C23" s="202">
        <v>3</v>
      </c>
      <c r="D23" s="202" t="s">
        <v>305</v>
      </c>
      <c r="E23" s="203" t="s">
        <v>309</v>
      </c>
      <c r="F23" s="203" t="s">
        <v>310</v>
      </c>
      <c r="G23" s="58" t="str">
        <f t="shared" si="49"/>
        <v>[effect:heal, target:enemy_all, val:0.2, animation:enemy_heal]</v>
      </c>
      <c r="H23" s="58">
        <f t="shared" si="50"/>
        <v>9</v>
      </c>
      <c r="I23" s="58">
        <f t="shared" si="51"/>
        <v>13</v>
      </c>
      <c r="J23" s="58">
        <f t="shared" si="52"/>
        <v>22</v>
      </c>
      <c r="K23" s="58">
        <f t="shared" si="53"/>
        <v>31</v>
      </c>
      <c r="L23" s="58" t="str">
        <f>IFERROR(VLOOKUP(MID(G23,J23,K23-J23),[8]skilldef!$C:$D,2,FALSE),"-") &amp; " / " &amp; IFERROR(VLOOKUP(MID(G23,H23,I23-H23),[8]skilldef!$A:$B,2,FALSE),"-")</f>
        <v>敵全体に / 回復</v>
      </c>
      <c r="M23" s="58" t="str">
        <f t="shared" si="54"/>
        <v>none</v>
      </c>
      <c r="N23" s="43" t="str">
        <f>IFERROR(LEFT(M23,FIND("],",M23)+S76),M23)</f>
        <v>none</v>
      </c>
      <c r="O23" s="58" t="e">
        <f t="shared" si="56"/>
        <v>#VALUE!</v>
      </c>
      <c r="P23" s="58">
        <f t="shared" si="57"/>
        <v>4</v>
      </c>
      <c r="Q23" s="58" t="e">
        <f t="shared" si="58"/>
        <v>#VALUE!</v>
      </c>
      <c r="R23" s="58" t="e">
        <f t="shared" si="59"/>
        <v>#VALUE!</v>
      </c>
      <c r="S23" s="58" t="str">
        <f>IFERROR(VLOOKUP(MID(N23,Q23,R23-Q23),[8]skilldef!$C:$D,2,FALSE),"-") &amp; " / " &amp; IFERROR(VLOOKUP(MID(N23,O23,P23-O23),[8]skilldef!$A:$B,2,FALSE),"-")</f>
        <v>- / -</v>
      </c>
      <c r="T23" s="43" t="str">
        <f t="shared" si="60"/>
        <v>none</v>
      </c>
      <c r="U23" s="58" t="e">
        <f t="shared" si="61"/>
        <v>#VALUE!</v>
      </c>
      <c r="V23" s="58">
        <f t="shared" si="62"/>
        <v>4</v>
      </c>
      <c r="W23" s="58" t="e">
        <f t="shared" si="63"/>
        <v>#VALUE!</v>
      </c>
      <c r="X23" s="58" t="e">
        <f t="shared" si="64"/>
        <v>#VALUE!</v>
      </c>
      <c r="Y23" s="58" t="str">
        <f>IFERROR(VLOOKUP(MID(T23,W23,X23-W23),[8]skilldef!$C:$D,2,FALSE),"-") &amp; " / " &amp; IFERROR(VLOOKUP(MID(T23,U23,V23-U23),[8]skilldef!$A:$B,2,FALSE),"-")</f>
        <v>- / -</v>
      </c>
      <c r="Z23" s="45"/>
      <c r="AA23" s="47"/>
      <c r="AB23" s="45"/>
    </row>
    <row r="24" spans="1:28" ht="21" customHeight="1" x14ac:dyDescent="0.15">
      <c r="A24" s="42">
        <f t="shared" si="48"/>
        <v>65535225</v>
      </c>
      <c r="B24" s="201" t="s">
        <v>311</v>
      </c>
      <c r="C24" s="202">
        <v>3</v>
      </c>
      <c r="D24" s="202" t="s">
        <v>312</v>
      </c>
      <c r="E24" s="203" t="s">
        <v>313</v>
      </c>
      <c r="F24" s="203" t="s">
        <v>314</v>
      </c>
      <c r="G24" s="58" t="str">
        <f t="shared" si="49"/>
        <v>[effect:spread, val:0.30]</v>
      </c>
      <c r="H24" s="58">
        <f t="shared" si="50"/>
        <v>9</v>
      </c>
      <c r="I24" s="58">
        <f t="shared" si="51"/>
        <v>15</v>
      </c>
      <c r="J24" s="58" t="e">
        <f t="shared" si="52"/>
        <v>#VALUE!</v>
      </c>
      <c r="K24" s="58" t="e">
        <f t="shared" si="53"/>
        <v>#VALUE!</v>
      </c>
      <c r="L24" s="58" t="str">
        <f>IFERROR(VLOOKUP(MID(G24,J24,K24-J24),[8]skilldef!$C:$D,2,FALSE),"-") &amp; " / " &amp; IFERROR(VLOOKUP(MID(G24,H24,I24-H24),[8]skilldef!$A:$B,2,FALSE),"-")</f>
        <v>- / 全体攻撃</v>
      </c>
      <c r="M24" s="58" t="str">
        <f t="shared" si="54"/>
        <v>none</v>
      </c>
      <c r="N24" s="43" t="str">
        <f>IFERROR(LEFT(M24,FIND("],",M24)+S77),M24)</f>
        <v>none</v>
      </c>
      <c r="O24" s="58" t="e">
        <f t="shared" si="56"/>
        <v>#VALUE!</v>
      </c>
      <c r="P24" s="58">
        <f t="shared" si="57"/>
        <v>4</v>
      </c>
      <c r="Q24" s="58" t="e">
        <f t="shared" si="58"/>
        <v>#VALUE!</v>
      </c>
      <c r="R24" s="58" t="e">
        <f t="shared" si="59"/>
        <v>#VALUE!</v>
      </c>
      <c r="S24" s="58" t="str">
        <f>IFERROR(VLOOKUP(MID(N24,Q24,R24-Q24),[8]skilldef!$C:$D,2,FALSE),"-") &amp; " / " &amp; IFERROR(VLOOKUP(MID(N24,O24,P24-O24),[8]skilldef!$A:$B,2,FALSE),"-")</f>
        <v>- / -</v>
      </c>
      <c r="T24" s="43" t="str">
        <f t="shared" si="60"/>
        <v>none</v>
      </c>
      <c r="U24" s="58" t="e">
        <f t="shared" si="61"/>
        <v>#VALUE!</v>
      </c>
      <c r="V24" s="58">
        <f t="shared" si="62"/>
        <v>4</v>
      </c>
      <c r="W24" s="58" t="e">
        <f t="shared" si="63"/>
        <v>#VALUE!</v>
      </c>
      <c r="X24" s="58" t="e">
        <f t="shared" si="64"/>
        <v>#VALUE!</v>
      </c>
      <c r="Y24" s="58" t="str">
        <f>IFERROR(VLOOKUP(MID(T24,W24,X24-W24),[8]skilldef!$C:$D,2,FALSE),"-") &amp; " / " &amp; IFERROR(VLOOKUP(MID(T24,U24,V24-U24),[8]skilldef!$A:$B,2,FALSE),"-")</f>
        <v>- / -</v>
      </c>
      <c r="Z24" s="45"/>
      <c r="AA24" s="47"/>
      <c r="AB24" s="45"/>
    </row>
    <row r="25" spans="1:28" ht="21" customHeight="1" x14ac:dyDescent="0.15">
      <c r="A25" s="42">
        <f t="shared" si="48"/>
        <v>65535226</v>
      </c>
      <c r="B25" s="204" t="s">
        <v>315</v>
      </c>
      <c r="C25" s="205">
        <v>3</v>
      </c>
      <c r="D25" s="205" t="s">
        <v>316</v>
      </c>
      <c r="E25" s="206" t="s">
        <v>317</v>
      </c>
      <c r="F25" s="206" t="s">
        <v>318</v>
      </c>
      <c r="G25" s="58" t="str">
        <f t="shared" si="49"/>
        <v>[effect:fix_speed, target:myself, turn:2]</v>
      </c>
      <c r="H25" s="58">
        <f t="shared" si="50"/>
        <v>9</v>
      </c>
      <c r="I25" s="58">
        <f t="shared" si="51"/>
        <v>18</v>
      </c>
      <c r="J25" s="58">
        <f t="shared" si="52"/>
        <v>27</v>
      </c>
      <c r="K25" s="58">
        <f t="shared" si="53"/>
        <v>33</v>
      </c>
      <c r="L25" s="58" t="str">
        <f>IFERROR(VLOOKUP(MID(G25,J25,K25-J25),[8]skilldef!$C:$D,2,FALSE),"-") &amp; " / " &amp; IFERROR(VLOOKUP(MID(G25,H25,I25-H25),[8]skilldef!$A:$B,2,FALSE),"-")</f>
        <v>自分自身に / 行動値設定</v>
      </c>
      <c r="M25" s="58" t="str">
        <f t="shared" si="54"/>
        <v>[effect:enemy_message, val1:1.0, val2:0]</v>
      </c>
      <c r="N25" s="43" t="str">
        <f>IFERROR(LEFT(M25,FIND("],",M25)+S80),M25)</f>
        <v>[effect:enemy_message, val1:1.0, val2:0]</v>
      </c>
      <c r="O25" s="58">
        <f t="shared" si="56"/>
        <v>9</v>
      </c>
      <c r="P25" s="58">
        <f t="shared" si="57"/>
        <v>22</v>
      </c>
      <c r="Q25" s="58" t="e">
        <f t="shared" si="58"/>
        <v>#VALUE!</v>
      </c>
      <c r="R25" s="58">
        <f t="shared" si="59"/>
        <v>32</v>
      </c>
      <c r="S25" s="58" t="str">
        <f>IFERROR(VLOOKUP(MID(N25,Q25,R25-Q25),[8]skilldef!$C:$D,2,FALSE),"-") &amp; " / " &amp; IFERROR(VLOOKUP(MID(N25,O25,P25-O25),[8]skilldef!$A:$B,2,FALSE),"-")</f>
        <v>- / -</v>
      </c>
      <c r="T25" s="43" t="str">
        <f t="shared" si="60"/>
        <v>none</v>
      </c>
      <c r="U25" s="58" t="e">
        <f t="shared" si="61"/>
        <v>#VALUE!</v>
      </c>
      <c r="V25" s="58">
        <f t="shared" si="62"/>
        <v>4</v>
      </c>
      <c r="W25" s="58" t="e">
        <f t="shared" si="63"/>
        <v>#VALUE!</v>
      </c>
      <c r="X25" s="58" t="e">
        <f t="shared" si="64"/>
        <v>#VALUE!</v>
      </c>
      <c r="Y25" s="58" t="str">
        <f>IFERROR(VLOOKUP(MID(T25,W25,X25-W25),[8]skilldef!$C:$D,2,FALSE),"-") &amp; " / " &amp; IFERROR(VLOOKUP(MID(T25,U25,V25-U25),[8]skilldef!$A:$B,2,FALSE),"-")</f>
        <v>- / -</v>
      </c>
      <c r="Z25" s="45"/>
      <c r="AA25" s="47"/>
      <c r="AB25" s="45"/>
    </row>
    <row r="26" spans="1:28" ht="21" customHeight="1" x14ac:dyDescent="0.15">
      <c r="A26" s="42">
        <f t="shared" si="48"/>
        <v>65535227</v>
      </c>
      <c r="B26" s="204" t="s">
        <v>319</v>
      </c>
      <c r="C26" s="205">
        <v>3</v>
      </c>
      <c r="D26" s="205" t="s">
        <v>320</v>
      </c>
      <c r="E26" s="206" t="s">
        <v>321</v>
      </c>
      <c r="F26" s="206" t="s">
        <v>322</v>
      </c>
      <c r="G26" s="58" t="str">
        <f t="shared" si="49"/>
        <v>[effect:kamikaze, val:1.0]</v>
      </c>
      <c r="H26" s="58">
        <f t="shared" si="50"/>
        <v>9</v>
      </c>
      <c r="I26" s="58">
        <f t="shared" si="51"/>
        <v>17</v>
      </c>
      <c r="J26" s="58" t="e">
        <f t="shared" si="52"/>
        <v>#VALUE!</v>
      </c>
      <c r="K26" s="58" t="e">
        <f t="shared" si="53"/>
        <v>#VALUE!</v>
      </c>
      <c r="L26" s="58" t="str">
        <f>IFERROR(VLOOKUP(MID(G26,J26,K26-J26),[8]skilldef!$C:$D,2,FALSE),"-") &amp; " / " &amp; IFERROR(VLOOKUP(MID(G26,H26,I26-H26),[8]skilldef!$A:$B,2,FALSE),"-")</f>
        <v>- / 自爆</v>
      </c>
      <c r="M26" s="58" t="str">
        <f t="shared" si="54"/>
        <v>none</v>
      </c>
      <c r="N26" s="43" t="str">
        <f>IFERROR(LEFT(M26,FIND("],",M26)+S81),M26)</f>
        <v>none</v>
      </c>
      <c r="O26" s="58" t="e">
        <f t="shared" si="56"/>
        <v>#VALUE!</v>
      </c>
      <c r="P26" s="58">
        <f t="shared" si="57"/>
        <v>4</v>
      </c>
      <c r="Q26" s="58" t="e">
        <f t="shared" si="58"/>
        <v>#VALUE!</v>
      </c>
      <c r="R26" s="58" t="e">
        <f t="shared" si="59"/>
        <v>#VALUE!</v>
      </c>
      <c r="S26" s="58" t="str">
        <f>IFERROR(VLOOKUP(MID(N26,Q26,R26-Q26),[8]skilldef!$C:$D,2,FALSE),"-") &amp; " / " &amp; IFERROR(VLOOKUP(MID(N26,O26,P26-O26),[8]skilldef!$A:$B,2,FALSE),"-")</f>
        <v>- / -</v>
      </c>
      <c r="T26" s="43" t="str">
        <f t="shared" si="60"/>
        <v>none</v>
      </c>
      <c r="U26" s="58" t="e">
        <f t="shared" si="61"/>
        <v>#VALUE!</v>
      </c>
      <c r="V26" s="58">
        <f t="shared" si="62"/>
        <v>4</v>
      </c>
      <c r="W26" s="58" t="e">
        <f t="shared" si="63"/>
        <v>#VALUE!</v>
      </c>
      <c r="X26" s="58" t="e">
        <f t="shared" si="64"/>
        <v>#VALUE!</v>
      </c>
      <c r="Y26" s="58" t="str">
        <f>IFERROR(VLOOKUP(MID(T26,W26,X26-W26),[8]skilldef!$C:$D,2,FALSE),"-") &amp; " / " &amp; IFERROR(VLOOKUP(MID(T26,U26,V26-U26),[8]skilldef!$A:$B,2,FALSE),"-")</f>
        <v>- / -</v>
      </c>
      <c r="Z26" s="45"/>
      <c r="AA26" s="47"/>
      <c r="AB26" s="45"/>
    </row>
    <row r="27" spans="1:28" ht="21" customHeight="1" x14ac:dyDescent="0.15">
      <c r="A27" s="42">
        <f t="shared" si="48"/>
        <v>65535228</v>
      </c>
      <c r="B27" s="207" t="s">
        <v>323</v>
      </c>
      <c r="C27" s="208">
        <v>3</v>
      </c>
      <c r="D27" s="208" t="s">
        <v>324</v>
      </c>
      <c r="E27" s="209" t="s">
        <v>325</v>
      </c>
      <c r="F27" s="209" t="s">
        <v>326</v>
      </c>
      <c r="G27" s="58" t="str">
        <f t="shared" si="49"/>
        <v>[effect:virus, target:unit_all, turn:-1, rate:1, val:0.07, animation:enemy_virus]</v>
      </c>
      <c r="H27" s="58">
        <f t="shared" si="50"/>
        <v>9</v>
      </c>
      <c r="I27" s="58">
        <f t="shared" si="51"/>
        <v>14</v>
      </c>
      <c r="J27" s="58">
        <f t="shared" si="52"/>
        <v>23</v>
      </c>
      <c r="K27" s="58">
        <f t="shared" si="53"/>
        <v>31</v>
      </c>
      <c r="L27" s="58" t="str">
        <f>IFERROR(VLOOKUP(MID(G27,J27,K27-J27),[8]skilldef!$C:$D,2,FALSE),"-") &amp; " / " &amp; IFERROR(VLOOKUP(MID(G27,H27,I27-H27),[8]skilldef!$A:$B,2,FALSE),"-")</f>
        <v>味方全体に / ウィルス</v>
      </c>
      <c r="M27" s="58" t="str">
        <f t="shared" si="54"/>
        <v>[effect:fix_speed, target:myself, turn:2],[effect:enemy_message, val1:1, val2:1.8]</v>
      </c>
      <c r="N27" s="43" t="str">
        <f>IFERROR(LEFT(M27,FIND("],",M27)+S87),M27)</f>
        <v>[effect:fix_speed, target:myself, turn:2]</v>
      </c>
      <c r="O27" s="58">
        <f t="shared" si="56"/>
        <v>9</v>
      </c>
      <c r="P27" s="58">
        <f t="shared" si="57"/>
        <v>18</v>
      </c>
      <c r="Q27" s="58">
        <f t="shared" si="58"/>
        <v>27</v>
      </c>
      <c r="R27" s="58">
        <f t="shared" si="59"/>
        <v>33</v>
      </c>
      <c r="S27" s="58" t="str">
        <f>IFERROR(VLOOKUP(MID(N27,Q27,R27-Q27),[8]skilldef!$C:$D,2,FALSE),"-") &amp; " / " &amp; IFERROR(VLOOKUP(MID(N27,O27,P27-O27),[8]skilldef!$A:$B,2,FALSE),"-")</f>
        <v>自分自身に / 行動値設定</v>
      </c>
      <c r="T27" s="43" t="str">
        <f t="shared" si="60"/>
        <v>[effect:enemy_message, val1:1, val2:1.8]</v>
      </c>
      <c r="U27" s="58">
        <f t="shared" si="61"/>
        <v>9</v>
      </c>
      <c r="V27" s="58">
        <f t="shared" si="62"/>
        <v>22</v>
      </c>
      <c r="W27" s="58" t="e">
        <f t="shared" si="63"/>
        <v>#VALUE!</v>
      </c>
      <c r="X27" s="58">
        <f t="shared" si="64"/>
        <v>30</v>
      </c>
      <c r="Y27" s="58" t="str">
        <f>IFERROR(VLOOKUP(MID(T27,W27,X27-W27),[8]skilldef!$C:$D,2,FALSE),"-") &amp; " / " &amp; IFERROR(VLOOKUP(MID(T27,U27,V27-U27),[8]skilldef!$A:$B,2,FALSE),"-")</f>
        <v>- / -</v>
      </c>
      <c r="Z27" s="45"/>
      <c r="AA27" s="47"/>
      <c r="AB27" s="45"/>
    </row>
    <row r="28" spans="1:28" ht="21" customHeight="1" x14ac:dyDescent="0.15">
      <c r="A28" s="42">
        <f t="shared" si="48"/>
        <v>65535229</v>
      </c>
      <c r="B28" s="207" t="s">
        <v>327</v>
      </c>
      <c r="C28" s="208">
        <v>3</v>
      </c>
      <c r="D28" s="208" t="s">
        <v>316</v>
      </c>
      <c r="E28" s="209" t="s">
        <v>328</v>
      </c>
      <c r="F28" s="209" t="s">
        <v>329</v>
      </c>
      <c r="G28" s="58" t="str">
        <f t="shared" si="49"/>
        <v>[effect:rush, count:4, val:0.30]</v>
      </c>
      <c r="H28" s="58">
        <f t="shared" si="50"/>
        <v>9</v>
      </c>
      <c r="I28" s="58">
        <f t="shared" si="51"/>
        <v>13</v>
      </c>
      <c r="J28" s="58" t="e">
        <f t="shared" si="52"/>
        <v>#VALUE!</v>
      </c>
      <c r="K28" s="58">
        <f t="shared" si="53"/>
        <v>22</v>
      </c>
      <c r="L28" s="58" t="str">
        <f>IFERROR(VLOOKUP(MID(G28,J28,K28-J28),[8]skilldef!$C:$D,2,FALSE),"-") &amp; " / " &amp; IFERROR(VLOOKUP(MID(G28,H28,I28-H28),[8]skilldef!$A:$B,2,FALSE),"-")</f>
        <v>- / 連続攻撃</v>
      </c>
      <c r="M28" s="58" t="str">
        <f t="shared" si="54"/>
        <v>none</v>
      </c>
      <c r="N28" s="43" t="str">
        <f>IFERROR(LEFT(M28,FIND("],",M28)+S88),M28)</f>
        <v>none</v>
      </c>
      <c r="O28" s="58" t="e">
        <f t="shared" si="56"/>
        <v>#VALUE!</v>
      </c>
      <c r="P28" s="58">
        <f t="shared" si="57"/>
        <v>4</v>
      </c>
      <c r="Q28" s="58" t="e">
        <f t="shared" si="58"/>
        <v>#VALUE!</v>
      </c>
      <c r="R28" s="58" t="e">
        <f t="shared" si="59"/>
        <v>#VALUE!</v>
      </c>
      <c r="S28" s="58" t="str">
        <f>IFERROR(VLOOKUP(MID(N28,Q28,R28-Q28),[8]skilldef!$C:$D,2,FALSE),"-") &amp; " / " &amp; IFERROR(VLOOKUP(MID(N28,O28,P28-O28),[8]skilldef!$A:$B,2,FALSE),"-")</f>
        <v>- / -</v>
      </c>
      <c r="T28" s="43" t="str">
        <f t="shared" si="60"/>
        <v>none</v>
      </c>
      <c r="U28" s="58" t="e">
        <f t="shared" si="61"/>
        <v>#VALUE!</v>
      </c>
      <c r="V28" s="58">
        <f t="shared" si="62"/>
        <v>4</v>
      </c>
      <c r="W28" s="58" t="e">
        <f t="shared" si="63"/>
        <v>#VALUE!</v>
      </c>
      <c r="X28" s="58" t="e">
        <f t="shared" si="64"/>
        <v>#VALUE!</v>
      </c>
      <c r="Y28" s="58" t="str">
        <f>IFERROR(VLOOKUP(MID(T28,W28,X28-W28),[8]skilldef!$C:$D,2,FALSE),"-") &amp; " / " &amp; IFERROR(VLOOKUP(MID(T28,U28,V28-U28),[8]skilldef!$A:$B,2,FALSE),"-")</f>
        <v>- / -</v>
      </c>
      <c r="Z28" s="45"/>
      <c r="AA28" s="47"/>
      <c r="AB28" s="45"/>
    </row>
    <row r="29" spans="1:28" ht="21" customHeight="1" x14ac:dyDescent="0.15">
      <c r="A29" s="42">
        <f t="shared" si="48"/>
        <v>65535230</v>
      </c>
      <c r="B29" s="210" t="s">
        <v>330</v>
      </c>
      <c r="C29" s="211">
        <v>3</v>
      </c>
      <c r="D29" s="211" t="s">
        <v>331</v>
      </c>
      <c r="E29" s="212" t="s">
        <v>332</v>
      </c>
      <c r="F29" s="212" t="s">
        <v>333</v>
      </c>
      <c r="G29" s="58" t="str">
        <f t="shared" si="49"/>
        <v>[effect:virus, target:unit_all, turn:3, rate:1, val:0.15, animation:enemy_virus]</v>
      </c>
      <c r="H29" s="58">
        <f t="shared" si="50"/>
        <v>9</v>
      </c>
      <c r="I29" s="58">
        <f t="shared" si="51"/>
        <v>14</v>
      </c>
      <c r="J29" s="58">
        <f t="shared" si="52"/>
        <v>23</v>
      </c>
      <c r="K29" s="58">
        <f t="shared" si="53"/>
        <v>31</v>
      </c>
      <c r="L29" s="58" t="str">
        <f>IFERROR(VLOOKUP(MID(G29,J29,K29-J29),[8]skilldef!$C:$D,2,FALSE),"-") &amp; " / " &amp; IFERROR(VLOOKUP(MID(G29,H29,I29-H29),[8]skilldef!$A:$B,2,FALSE),"-")</f>
        <v>味方全体に / ウィルス</v>
      </c>
      <c r="M29" s="58" t="str">
        <f t="shared" si="54"/>
        <v>[effect:fix_speed, target:myself, turn:2],[effect:enemy_message, val1:1, val2:1.8]</v>
      </c>
      <c r="N29" s="43" t="str">
        <f>IFERROR(LEFT(M29,FIND("],",M29)+S92),M29)</f>
        <v>[effect:fix_speed, target:myself, turn:2]</v>
      </c>
      <c r="O29" s="58">
        <f t="shared" si="56"/>
        <v>9</v>
      </c>
      <c r="P29" s="58">
        <f t="shared" si="57"/>
        <v>18</v>
      </c>
      <c r="Q29" s="58">
        <f t="shared" si="58"/>
        <v>27</v>
      </c>
      <c r="R29" s="58">
        <f t="shared" si="59"/>
        <v>33</v>
      </c>
      <c r="S29" s="58" t="str">
        <f>IFERROR(VLOOKUP(MID(N29,Q29,R29-Q29),[8]skilldef!$C:$D,2,FALSE),"-") &amp; " / " &amp; IFERROR(VLOOKUP(MID(N29,O29,P29-O29),[8]skilldef!$A:$B,2,FALSE),"-")</f>
        <v>自分自身に / 行動値設定</v>
      </c>
      <c r="T29" s="43" t="str">
        <f t="shared" si="60"/>
        <v>[effect:enemy_message, val1:1, val2:1.8]</v>
      </c>
      <c r="U29" s="58">
        <f t="shared" si="61"/>
        <v>9</v>
      </c>
      <c r="V29" s="58">
        <f t="shared" si="62"/>
        <v>22</v>
      </c>
      <c r="W29" s="58" t="e">
        <f t="shared" si="63"/>
        <v>#VALUE!</v>
      </c>
      <c r="X29" s="58">
        <f t="shared" si="64"/>
        <v>30</v>
      </c>
      <c r="Y29" s="58" t="str">
        <f>IFERROR(VLOOKUP(MID(T29,W29,X29-W29),[8]skilldef!$C:$D,2,FALSE),"-") &amp; " / " &amp; IFERROR(VLOOKUP(MID(T29,U29,V29-U29),[8]skilldef!$A:$B,2,FALSE),"-")</f>
        <v>- / -</v>
      </c>
      <c r="Z29" s="45"/>
      <c r="AA29" s="47"/>
      <c r="AB29" s="45"/>
    </row>
    <row r="30" spans="1:28" ht="21" customHeight="1" x14ac:dyDescent="0.15">
      <c r="A30" s="42">
        <f t="shared" si="48"/>
        <v>65535231</v>
      </c>
      <c r="B30" s="210" t="s">
        <v>334</v>
      </c>
      <c r="C30" s="211">
        <v>3</v>
      </c>
      <c r="D30" s="211" t="s">
        <v>335</v>
      </c>
      <c r="E30" s="212" t="s">
        <v>336</v>
      </c>
      <c r="F30" s="212" t="s">
        <v>337</v>
      </c>
      <c r="G30" s="58" t="str">
        <f t="shared" si="49"/>
        <v>[effect:rush, count:8, val:0.20]</v>
      </c>
      <c r="H30" s="58">
        <f t="shared" si="50"/>
        <v>9</v>
      </c>
      <c r="I30" s="58">
        <f t="shared" si="51"/>
        <v>13</v>
      </c>
      <c r="J30" s="58" t="e">
        <f t="shared" si="52"/>
        <v>#VALUE!</v>
      </c>
      <c r="K30" s="58">
        <f t="shared" si="53"/>
        <v>22</v>
      </c>
      <c r="L30" s="58" t="str">
        <f>IFERROR(VLOOKUP(MID(G30,J30,K30-J30),[8]skilldef!$C:$D,2,FALSE),"-") &amp; " / " &amp; IFERROR(VLOOKUP(MID(G30,H30,I30-H30),[8]skilldef!$A:$B,2,FALSE),"-")</f>
        <v>- / 連続攻撃</v>
      </c>
      <c r="M30" s="58" t="str">
        <f t="shared" si="54"/>
        <v>none</v>
      </c>
      <c r="N30" s="43" t="str">
        <f>IFERROR(LEFT(M30,FIND("],",M30)+S92),M30)</f>
        <v>none</v>
      </c>
      <c r="O30" s="58" t="e">
        <f t="shared" si="56"/>
        <v>#VALUE!</v>
      </c>
      <c r="P30" s="58">
        <f t="shared" si="57"/>
        <v>4</v>
      </c>
      <c r="Q30" s="58" t="e">
        <f t="shared" si="58"/>
        <v>#VALUE!</v>
      </c>
      <c r="R30" s="58" t="e">
        <f t="shared" si="59"/>
        <v>#VALUE!</v>
      </c>
      <c r="S30" s="58" t="str">
        <f>IFERROR(VLOOKUP(MID(N30,Q30,R30-Q30),[8]skilldef!$C:$D,2,FALSE),"-") &amp; " / " &amp; IFERROR(VLOOKUP(MID(N30,O30,P30-O30),[8]skilldef!$A:$B,2,FALSE),"-")</f>
        <v>- / -</v>
      </c>
      <c r="T30" s="43" t="str">
        <f t="shared" si="60"/>
        <v>none</v>
      </c>
      <c r="U30" s="58" t="e">
        <f t="shared" si="61"/>
        <v>#VALUE!</v>
      </c>
      <c r="V30" s="58">
        <f t="shared" si="62"/>
        <v>4</v>
      </c>
      <c r="W30" s="58" t="e">
        <f t="shared" si="63"/>
        <v>#VALUE!</v>
      </c>
      <c r="X30" s="58" t="e">
        <f t="shared" si="64"/>
        <v>#VALUE!</v>
      </c>
      <c r="Y30" s="58" t="str">
        <f>IFERROR(VLOOKUP(MID(T30,W30,X30-W30),[8]skilldef!$C:$D,2,FALSE),"-") &amp; " / " &amp; IFERROR(VLOOKUP(MID(T30,U30,V30-U30),[8]skilldef!$A:$B,2,FALSE),"-")</f>
        <v>- / -</v>
      </c>
      <c r="Z30" s="45"/>
      <c r="AA30" s="47"/>
      <c r="AB30" s="45"/>
    </row>
    <row r="31" spans="1:28" s="217" customFormat="1" ht="21" customHeight="1" x14ac:dyDescent="0.15">
      <c r="A31" s="42">
        <f t="shared" si="48"/>
        <v>65535232</v>
      </c>
      <c r="B31" s="213" t="s">
        <v>338</v>
      </c>
      <c r="C31" s="214">
        <v>3</v>
      </c>
      <c r="D31" s="214" t="s">
        <v>331</v>
      </c>
      <c r="E31" s="215" t="s">
        <v>339</v>
      </c>
      <c r="F31" s="215" t="s">
        <v>340</v>
      </c>
      <c r="G31" s="215" t="str">
        <f t="shared" si="49"/>
        <v>[effect:fix_speed, target:myself, turn:2]</v>
      </c>
      <c r="H31" s="215">
        <f t="shared" si="50"/>
        <v>9</v>
      </c>
      <c r="I31" s="215">
        <f t="shared" si="51"/>
        <v>18</v>
      </c>
      <c r="J31" s="215">
        <f t="shared" si="52"/>
        <v>27</v>
      </c>
      <c r="K31" s="215">
        <f t="shared" si="53"/>
        <v>33</v>
      </c>
      <c r="L31" s="215" t="str">
        <f>IFERROR(VLOOKUP(MID(G31,J31,K31-J31),[8]skilldef!$C:$D,2,FALSE),"-") &amp; " / " &amp; IFERROR(VLOOKUP(MID(G31,H31,I31-H31),[8]skilldef!$A:$B,2,FALSE),"-")</f>
        <v>自分自身に / 行動値設定</v>
      </c>
      <c r="M31" s="215" t="str">
        <f t="shared" si="54"/>
        <v>[effect:enemy_message, val1:0, val2:0]</v>
      </c>
      <c r="N31" s="213" t="str">
        <f>IFERROR(LEFT(M31,FIND("],",M31)+S95),M31)</f>
        <v>[effect:enemy_message, val1:0, val2:0]</v>
      </c>
      <c r="O31" s="215">
        <f t="shared" si="56"/>
        <v>9</v>
      </c>
      <c r="P31" s="215">
        <f t="shared" si="57"/>
        <v>22</v>
      </c>
      <c r="Q31" s="215" t="e">
        <f t="shared" si="58"/>
        <v>#VALUE!</v>
      </c>
      <c r="R31" s="215">
        <f t="shared" si="59"/>
        <v>30</v>
      </c>
      <c r="S31" s="215" t="str">
        <f>IFERROR(VLOOKUP(MID(N31,Q31,R31-Q31),[8]skilldef!$C:$D,2,FALSE),"-") &amp; " / " &amp; IFERROR(VLOOKUP(MID(N31,O31,P31-O31),[8]skilldef!$A:$B,2,FALSE),"-")</f>
        <v>- / -</v>
      </c>
      <c r="T31" s="213" t="str">
        <f t="shared" si="60"/>
        <v>none</v>
      </c>
      <c r="U31" s="215" t="e">
        <f t="shared" si="61"/>
        <v>#VALUE!</v>
      </c>
      <c r="V31" s="215">
        <f t="shared" si="62"/>
        <v>4</v>
      </c>
      <c r="W31" s="215" t="e">
        <f t="shared" si="63"/>
        <v>#VALUE!</v>
      </c>
      <c r="X31" s="215" t="e">
        <f t="shared" si="64"/>
        <v>#VALUE!</v>
      </c>
      <c r="Y31" s="215" t="str">
        <f>IFERROR(VLOOKUP(MID(T31,W31,X31-W31),[8]skilldef!$C:$D,2,FALSE),"-") &amp; " / " &amp; IFERROR(VLOOKUP(MID(T31,U31,V31-U31),[8]skilldef!$A:$B,2,FALSE),"-")</f>
        <v>- / -</v>
      </c>
      <c r="Z31" s="214"/>
      <c r="AA31" s="216"/>
      <c r="AB31" s="214"/>
    </row>
    <row r="32" spans="1:28" ht="21" customHeight="1" x14ac:dyDescent="0.15">
      <c r="A32" s="42">
        <f t="shared" si="48"/>
        <v>65535233</v>
      </c>
      <c r="B32" s="218" t="s">
        <v>341</v>
      </c>
      <c r="C32" s="219">
        <v>3</v>
      </c>
      <c r="D32" s="219" t="s">
        <v>331</v>
      </c>
      <c r="E32" s="220" t="s">
        <v>342</v>
      </c>
      <c r="F32" s="220" t="s">
        <v>343</v>
      </c>
      <c r="G32" s="58" t="str">
        <f t="shared" si="49"/>
        <v>[effect:rush, count:1, val:1.0]</v>
      </c>
      <c r="H32" s="58">
        <f t="shared" si="50"/>
        <v>9</v>
      </c>
      <c r="I32" s="58">
        <f t="shared" si="51"/>
        <v>13</v>
      </c>
      <c r="J32" s="58" t="e">
        <f t="shared" si="52"/>
        <v>#VALUE!</v>
      </c>
      <c r="K32" s="58">
        <f t="shared" si="53"/>
        <v>22</v>
      </c>
      <c r="L32" s="58" t="str">
        <f>IFERROR(VLOOKUP(MID(G32,J32,K32-J32),[8]skilldef!$C:$D,2,FALSE),"-") &amp; " / " &amp; IFERROR(VLOOKUP(MID(G32,H32,I32-H32),[8]skilldef!$A:$B,2,FALSE),"-")</f>
        <v>- / 連続攻撃</v>
      </c>
      <c r="M32" s="58" t="str">
        <f t="shared" si="54"/>
        <v>[effect:heal, target:enemy_one, val:0.1, animation:enemy_heal]</v>
      </c>
      <c r="N32" s="43" t="str">
        <f>IFERROR(LEFT(M32,FIND("],",M32)+S96),M32)</f>
        <v>[effect:heal, target:enemy_one, val:0.1, animation:enemy_heal]</v>
      </c>
      <c r="O32" s="58">
        <f t="shared" si="56"/>
        <v>9</v>
      </c>
      <c r="P32" s="58">
        <f t="shared" si="57"/>
        <v>13</v>
      </c>
      <c r="Q32" s="58">
        <f t="shared" si="58"/>
        <v>22</v>
      </c>
      <c r="R32" s="58">
        <f t="shared" si="59"/>
        <v>31</v>
      </c>
      <c r="S32" s="58" t="str">
        <f>IFERROR(VLOOKUP(MID(N32,Q32,R32-Q32),[8]skilldef!$C:$D,2,FALSE),"-") &amp; " / " &amp; IFERROR(VLOOKUP(MID(N32,O32,P32-O32),[8]skilldef!$A:$B,2,FALSE),"-")</f>
        <v>敵単体に / 回復</v>
      </c>
      <c r="T32" s="43" t="str">
        <f t="shared" si="60"/>
        <v>none</v>
      </c>
      <c r="U32" s="58" t="e">
        <f t="shared" si="61"/>
        <v>#VALUE!</v>
      </c>
      <c r="V32" s="58">
        <f t="shared" si="62"/>
        <v>4</v>
      </c>
      <c r="W32" s="58" t="e">
        <f t="shared" si="63"/>
        <v>#VALUE!</v>
      </c>
      <c r="X32" s="58" t="e">
        <f t="shared" si="64"/>
        <v>#VALUE!</v>
      </c>
      <c r="Y32" s="58" t="str">
        <f>IFERROR(VLOOKUP(MID(T32,W32,X32-W32),[8]skilldef!$C:$D,2,FALSE),"-") &amp; " / " &amp; IFERROR(VLOOKUP(MID(T32,U32,V32-U32),[8]skilldef!$A:$B,2,FALSE),"-")</f>
        <v>- / -</v>
      </c>
      <c r="Z32" s="45"/>
      <c r="AA32" s="47"/>
      <c r="AB32" s="45"/>
    </row>
    <row r="33" spans="1:28" ht="21" customHeight="1" x14ac:dyDescent="0.15">
      <c r="A33" s="42">
        <f t="shared" si="48"/>
        <v>65535234</v>
      </c>
      <c r="B33" s="221" t="s">
        <v>344</v>
      </c>
      <c r="C33" s="222">
        <v>3</v>
      </c>
      <c r="D33" s="222" t="s">
        <v>331</v>
      </c>
      <c r="E33" s="223" t="s">
        <v>345</v>
      </c>
      <c r="F33" s="223" t="s">
        <v>340</v>
      </c>
      <c r="G33" s="58" t="str">
        <f t="shared" si="49"/>
        <v>[effect:fix_speed, target:myself, turn:1]</v>
      </c>
      <c r="H33" s="58">
        <f t="shared" si="50"/>
        <v>9</v>
      </c>
      <c r="I33" s="58">
        <f t="shared" si="51"/>
        <v>18</v>
      </c>
      <c r="J33" s="58">
        <f t="shared" si="52"/>
        <v>27</v>
      </c>
      <c r="K33" s="58">
        <f t="shared" si="53"/>
        <v>33</v>
      </c>
      <c r="L33" s="58" t="str">
        <f>IFERROR(VLOOKUP(MID(G33,J33,K33-J33),[8]skilldef!$C:$D,2,FALSE),"-") &amp; " / " &amp; IFERROR(VLOOKUP(MID(G33,H33,I33-H33),[8]skilldef!$A:$B,2,FALSE),"-")</f>
        <v>自分自身に / 行動値設定</v>
      </c>
      <c r="M33" s="58" t="str">
        <f t="shared" si="54"/>
        <v>[effect:enemy_message, val1:1.5, val2:0]</v>
      </c>
      <c r="N33" s="43" t="str">
        <f>IFERROR(LEFT(M33,FIND("],",M33)+S100),M33)</f>
        <v>[effect:enemy_message, val1:1.5, val2:0]</v>
      </c>
      <c r="O33" s="58">
        <f t="shared" si="56"/>
        <v>9</v>
      </c>
      <c r="P33" s="58">
        <f t="shared" si="57"/>
        <v>22</v>
      </c>
      <c r="Q33" s="58" t="e">
        <f t="shared" si="58"/>
        <v>#VALUE!</v>
      </c>
      <c r="R33" s="58">
        <f t="shared" si="59"/>
        <v>32</v>
      </c>
      <c r="S33" s="58" t="str">
        <f>IFERROR(VLOOKUP(MID(N33,Q33,R33-Q33),[8]skilldef!$C:$D,2,FALSE),"-") &amp; " / " &amp; IFERROR(VLOOKUP(MID(N33,O33,P33-O33),[8]skilldef!$A:$B,2,FALSE),"-")</f>
        <v>- / -</v>
      </c>
      <c r="T33" s="43" t="str">
        <f t="shared" si="60"/>
        <v>none</v>
      </c>
      <c r="U33" s="58" t="e">
        <f t="shared" si="61"/>
        <v>#VALUE!</v>
      </c>
      <c r="V33" s="58">
        <f t="shared" si="62"/>
        <v>4</v>
      </c>
      <c r="W33" s="58" t="e">
        <f t="shared" si="63"/>
        <v>#VALUE!</v>
      </c>
      <c r="X33" s="58" t="e">
        <f t="shared" si="64"/>
        <v>#VALUE!</v>
      </c>
      <c r="Y33" s="58" t="str">
        <f>IFERROR(VLOOKUP(MID(T33,W33,X33-W33),[8]skilldef!$C:$D,2,FALSE),"-") &amp; " / " &amp; IFERROR(VLOOKUP(MID(T33,U33,V33-U33),[8]skilldef!$A:$B,2,FALSE),"-")</f>
        <v>- / -</v>
      </c>
      <c r="Z33" s="45"/>
      <c r="AA33" s="47"/>
      <c r="AB33" s="45"/>
    </row>
    <row r="34" spans="1:28" ht="21" customHeight="1" x14ac:dyDescent="0.15">
      <c r="A34" s="42">
        <f t="shared" si="48"/>
        <v>65535235</v>
      </c>
      <c r="B34" s="221" t="s">
        <v>346</v>
      </c>
      <c r="C34" s="222">
        <v>3</v>
      </c>
      <c r="D34" s="222" t="s">
        <v>347</v>
      </c>
      <c r="E34" s="223" t="s">
        <v>348</v>
      </c>
      <c r="F34" s="223" t="s">
        <v>314</v>
      </c>
      <c r="G34" s="58" t="str">
        <f t="shared" si="49"/>
        <v>[effect:spread, val:0.30]</v>
      </c>
      <c r="H34" s="58">
        <f t="shared" si="50"/>
        <v>9</v>
      </c>
      <c r="I34" s="58">
        <f t="shared" si="51"/>
        <v>15</v>
      </c>
      <c r="J34" s="58" t="e">
        <f t="shared" si="52"/>
        <v>#VALUE!</v>
      </c>
      <c r="K34" s="58" t="e">
        <f t="shared" si="53"/>
        <v>#VALUE!</v>
      </c>
      <c r="L34" s="58" t="str">
        <f>IFERROR(VLOOKUP(MID(G34,J34,K34-J34),[8]skilldef!$C:$D,2,FALSE),"-") &amp; " / " &amp; IFERROR(VLOOKUP(MID(G34,H34,I34-H34),[8]skilldef!$A:$B,2,FALSE),"-")</f>
        <v>- / 全体攻撃</v>
      </c>
      <c r="M34" s="58" t="str">
        <f t="shared" si="54"/>
        <v>none</v>
      </c>
      <c r="N34" s="43" t="str">
        <f>IFERROR(LEFT(M34,FIND("],",M34)+S101),M34)</f>
        <v>none</v>
      </c>
      <c r="O34" s="58" t="e">
        <f t="shared" si="56"/>
        <v>#VALUE!</v>
      </c>
      <c r="P34" s="58">
        <f t="shared" si="57"/>
        <v>4</v>
      </c>
      <c r="Q34" s="58" t="e">
        <f t="shared" si="58"/>
        <v>#VALUE!</v>
      </c>
      <c r="R34" s="58" t="e">
        <f t="shared" si="59"/>
        <v>#VALUE!</v>
      </c>
      <c r="S34" s="58" t="str">
        <f>IFERROR(VLOOKUP(MID(N34,Q34,R34-Q34),[8]skilldef!$C:$D,2,FALSE),"-") &amp; " / " &amp; IFERROR(VLOOKUP(MID(N34,O34,P34-O34),[8]skilldef!$A:$B,2,FALSE),"-")</f>
        <v>- / -</v>
      </c>
      <c r="T34" s="43" t="str">
        <f t="shared" si="60"/>
        <v>none</v>
      </c>
      <c r="U34" s="58" t="e">
        <f t="shared" si="61"/>
        <v>#VALUE!</v>
      </c>
      <c r="V34" s="58">
        <f t="shared" si="62"/>
        <v>4</v>
      </c>
      <c r="W34" s="58" t="e">
        <f t="shared" si="63"/>
        <v>#VALUE!</v>
      </c>
      <c r="X34" s="58" t="e">
        <f t="shared" si="64"/>
        <v>#VALUE!</v>
      </c>
      <c r="Y34" s="58" t="str">
        <f>IFERROR(VLOOKUP(MID(T34,W34,X34-W34),[8]skilldef!$C:$D,2,FALSE),"-") &amp; " / " &amp; IFERROR(VLOOKUP(MID(T34,U34,V34-U34),[8]skilldef!$A:$B,2,FALSE),"-")</f>
        <v>- / -</v>
      </c>
      <c r="Z34" s="45"/>
      <c r="AA34" s="47"/>
      <c r="AB34" s="45"/>
    </row>
    <row r="35" spans="1:28" ht="21" customHeight="1" x14ac:dyDescent="0.15">
      <c r="A35" s="42">
        <f t="shared" si="48"/>
        <v>65535236</v>
      </c>
      <c r="B35" s="221" t="s">
        <v>349</v>
      </c>
      <c r="C35" s="222">
        <v>3</v>
      </c>
      <c r="D35" s="222" t="s">
        <v>335</v>
      </c>
      <c r="E35" s="223" t="s">
        <v>350</v>
      </c>
      <c r="F35" s="223" t="s">
        <v>351</v>
      </c>
      <c r="G35" s="58" t="str">
        <f t="shared" si="49"/>
        <v>[effect:enhance_enemy, target:enemy_all, turn:3, status:defense, val:5000, calc:add, animation:enemy_enhance_defense]</v>
      </c>
      <c r="H35" s="58">
        <f t="shared" si="50"/>
        <v>9</v>
      </c>
      <c r="I35" s="58">
        <f t="shared" si="51"/>
        <v>22</v>
      </c>
      <c r="J35" s="58">
        <f t="shared" si="52"/>
        <v>31</v>
      </c>
      <c r="K35" s="58">
        <f t="shared" si="53"/>
        <v>40</v>
      </c>
      <c r="L35" s="58" t="str">
        <f>IFERROR(VLOOKUP(MID(G35,J35,K35-J35),[8]skilldef!$C:$D,2,FALSE),"-") &amp; " / " &amp; IFERROR(VLOOKUP(MID(G35,H35,I35-H35),[8]skilldef!$A:$B,2,FALSE),"-")</f>
        <v>敵全体に / ステータス強化</v>
      </c>
      <c r="M35" s="58" t="str">
        <f t="shared" si="54"/>
        <v>none</v>
      </c>
      <c r="N35" s="43" t="str">
        <f>IFERROR(LEFT(M35,FIND("],",M35)+S103),M35)</f>
        <v>none</v>
      </c>
      <c r="O35" s="58" t="e">
        <f t="shared" si="56"/>
        <v>#VALUE!</v>
      </c>
      <c r="P35" s="58">
        <f t="shared" si="57"/>
        <v>4</v>
      </c>
      <c r="Q35" s="58" t="e">
        <f t="shared" si="58"/>
        <v>#VALUE!</v>
      </c>
      <c r="R35" s="58" t="e">
        <f t="shared" si="59"/>
        <v>#VALUE!</v>
      </c>
      <c r="S35" s="58" t="str">
        <f>IFERROR(VLOOKUP(MID(N35,Q35,R35-Q35),[8]skilldef!$C:$D,2,FALSE),"-") &amp; " / " &amp; IFERROR(VLOOKUP(MID(N35,O35,P35-O35),[8]skilldef!$A:$B,2,FALSE),"-")</f>
        <v>- / -</v>
      </c>
      <c r="T35" s="43" t="str">
        <f t="shared" si="60"/>
        <v>none</v>
      </c>
      <c r="U35" s="58" t="e">
        <f t="shared" si="61"/>
        <v>#VALUE!</v>
      </c>
      <c r="V35" s="58">
        <f t="shared" si="62"/>
        <v>4</v>
      </c>
      <c r="W35" s="58" t="e">
        <f t="shared" si="63"/>
        <v>#VALUE!</v>
      </c>
      <c r="X35" s="58" t="e">
        <f t="shared" si="64"/>
        <v>#VALUE!</v>
      </c>
      <c r="Y35" s="58" t="str">
        <f>IFERROR(VLOOKUP(MID(T35,W35,X35-W35),[8]skilldef!$C:$D,2,FALSE),"-") &amp; " / " &amp; IFERROR(VLOOKUP(MID(T35,U35,V35-U35),[8]skilldef!$A:$B,2,FALSE),"-")</f>
        <v>- / -</v>
      </c>
      <c r="Z35" s="45"/>
      <c r="AA35" s="47"/>
      <c r="AB35" s="45"/>
    </row>
    <row r="36" spans="1:28" s="217" customFormat="1" ht="21" customHeight="1" x14ac:dyDescent="0.15">
      <c r="A36" s="42">
        <f t="shared" si="48"/>
        <v>65535237</v>
      </c>
      <c r="B36" s="213" t="s">
        <v>352</v>
      </c>
      <c r="C36" s="214">
        <v>3</v>
      </c>
      <c r="D36" s="214" t="s">
        <v>353</v>
      </c>
      <c r="E36" s="215" t="s">
        <v>354</v>
      </c>
      <c r="F36" s="215" t="s">
        <v>355</v>
      </c>
      <c r="G36" s="215" t="str">
        <f t="shared" si="49"/>
        <v>[effect:fix_speed, target:myself, turn:2]</v>
      </c>
      <c r="H36" s="215">
        <f t="shared" si="50"/>
        <v>9</v>
      </c>
      <c r="I36" s="215">
        <f t="shared" si="51"/>
        <v>18</v>
      </c>
      <c r="J36" s="215">
        <f t="shared" si="52"/>
        <v>27</v>
      </c>
      <c r="K36" s="215">
        <f t="shared" si="53"/>
        <v>33</v>
      </c>
      <c r="L36" s="215" t="str">
        <f>IFERROR(VLOOKUP(MID(G36,J36,K36-J36),[8]skilldef!$C:$D,2,FALSE),"-") &amp; " / " &amp; IFERROR(VLOOKUP(MID(G36,H36,I36-H36),[8]skilldef!$A:$B,2,FALSE),"-")</f>
        <v>自分自身に / 行動値設定</v>
      </c>
      <c r="M36" s="215" t="str">
        <f t="shared" si="54"/>
        <v>[effect:enemy_message, val1:0, val2:0]</v>
      </c>
      <c r="N36" s="213" t="str">
        <f>IFERROR(LEFT(M36,FIND("],",M36)+S106),M36)</f>
        <v>[effect:enemy_message, val1:0, val2:0]</v>
      </c>
      <c r="O36" s="215">
        <f t="shared" si="56"/>
        <v>9</v>
      </c>
      <c r="P36" s="215">
        <f t="shared" si="57"/>
        <v>22</v>
      </c>
      <c r="Q36" s="215" t="e">
        <f t="shared" si="58"/>
        <v>#VALUE!</v>
      </c>
      <c r="R36" s="215">
        <f t="shared" si="59"/>
        <v>30</v>
      </c>
      <c r="S36" s="215" t="str">
        <f>IFERROR(VLOOKUP(MID(N36,Q36,R36-Q36),[8]skilldef!$C:$D,2,FALSE),"-") &amp; " / " &amp; IFERROR(VLOOKUP(MID(N36,O36,P36-O36),[8]skilldef!$A:$B,2,FALSE),"-")</f>
        <v>- / -</v>
      </c>
      <c r="T36" s="213" t="str">
        <f t="shared" si="60"/>
        <v>none</v>
      </c>
      <c r="U36" s="215" t="e">
        <f t="shared" si="61"/>
        <v>#VALUE!</v>
      </c>
      <c r="V36" s="215">
        <f t="shared" si="62"/>
        <v>4</v>
      </c>
      <c r="W36" s="215" t="e">
        <f t="shared" si="63"/>
        <v>#VALUE!</v>
      </c>
      <c r="X36" s="215" t="e">
        <f t="shared" si="64"/>
        <v>#VALUE!</v>
      </c>
      <c r="Y36" s="215" t="str">
        <f>IFERROR(VLOOKUP(MID(T36,W36,X36-W36),[8]skilldef!$C:$D,2,FALSE),"-") &amp; " / " &amp; IFERROR(VLOOKUP(MID(T36,U36,V36-U36),[8]skilldef!$A:$B,2,FALSE),"-")</f>
        <v>- / -</v>
      </c>
      <c r="Z36" s="214"/>
      <c r="AA36" s="216"/>
      <c r="AB36" s="214"/>
    </row>
    <row r="37" spans="1:28" ht="21" customHeight="1" x14ac:dyDescent="0.15">
      <c r="A37" s="42">
        <f t="shared" si="48"/>
        <v>65535238</v>
      </c>
      <c r="B37" s="224" t="s">
        <v>356</v>
      </c>
      <c r="C37" s="225">
        <v>3</v>
      </c>
      <c r="D37" s="225" t="s">
        <v>357</v>
      </c>
      <c r="E37" s="226" t="s">
        <v>358</v>
      </c>
      <c r="F37" s="226" t="s">
        <v>359</v>
      </c>
      <c r="G37" s="58" t="str">
        <f t="shared" si="49"/>
        <v>[effect:critical, val:1.2, animation:enemy_critical]</v>
      </c>
      <c r="H37" s="58">
        <f t="shared" si="50"/>
        <v>9</v>
      </c>
      <c r="I37" s="58">
        <f t="shared" si="51"/>
        <v>17</v>
      </c>
      <c r="J37" s="58" t="e">
        <f t="shared" si="52"/>
        <v>#VALUE!</v>
      </c>
      <c r="K37" s="58">
        <f t="shared" si="53"/>
        <v>26</v>
      </c>
      <c r="L37" s="58" t="str">
        <f>IFERROR(VLOOKUP(MID(G37,J37,K37-J37),[8]skilldef!$C:$D,2,FALSE),"-") &amp; " / " &amp; IFERROR(VLOOKUP(MID(G37,H37,I37-H37),[8]skilldef!$A:$B,2,FALSE),"-")</f>
        <v>- / 大攻撃</v>
      </c>
      <c r="M37" s="58" t="str">
        <f t="shared" si="54"/>
        <v>none</v>
      </c>
      <c r="N37" s="43" t="str">
        <f>IFERROR(LEFT(M37,FIND("],",M37)+S107),M37)</f>
        <v>none</v>
      </c>
      <c r="O37" s="58" t="e">
        <f t="shared" si="56"/>
        <v>#VALUE!</v>
      </c>
      <c r="P37" s="58">
        <f t="shared" si="57"/>
        <v>4</v>
      </c>
      <c r="Q37" s="58" t="e">
        <f t="shared" si="58"/>
        <v>#VALUE!</v>
      </c>
      <c r="R37" s="58" t="e">
        <f t="shared" si="59"/>
        <v>#VALUE!</v>
      </c>
      <c r="S37" s="58" t="str">
        <f>IFERROR(VLOOKUP(MID(N37,Q37,R37-Q37),[8]skilldef!$C:$D,2,FALSE),"-") &amp; " / " &amp; IFERROR(VLOOKUP(MID(N37,O37,P37-O37),[8]skilldef!$A:$B,2,FALSE),"-")</f>
        <v>- / -</v>
      </c>
      <c r="T37" s="43" t="str">
        <f t="shared" si="60"/>
        <v>none</v>
      </c>
      <c r="U37" s="58" t="e">
        <f t="shared" si="61"/>
        <v>#VALUE!</v>
      </c>
      <c r="V37" s="58">
        <f t="shared" si="62"/>
        <v>4</v>
      </c>
      <c r="W37" s="58" t="e">
        <f t="shared" si="63"/>
        <v>#VALUE!</v>
      </c>
      <c r="X37" s="58" t="e">
        <f t="shared" si="64"/>
        <v>#VALUE!</v>
      </c>
      <c r="Y37" s="58" t="str">
        <f>IFERROR(VLOOKUP(MID(T37,W37,X37-W37),[8]skilldef!$C:$D,2,FALSE),"-") &amp; " / " &amp; IFERROR(VLOOKUP(MID(T37,U37,V37-U37),[8]skilldef!$A:$B,2,FALSE),"-")</f>
        <v>- / -</v>
      </c>
      <c r="Z37" s="45"/>
      <c r="AA37" s="47"/>
      <c r="AB37" s="45"/>
    </row>
    <row r="38" spans="1:28" ht="21" customHeight="1" x14ac:dyDescent="0.15">
      <c r="A38" s="42">
        <f t="shared" si="48"/>
        <v>65535239</v>
      </c>
      <c r="B38" s="224" t="s">
        <v>360</v>
      </c>
      <c r="C38" s="225">
        <v>3</v>
      </c>
      <c r="D38" s="225" t="s">
        <v>361</v>
      </c>
      <c r="E38" s="226" t="s">
        <v>362</v>
      </c>
      <c r="F38" s="226" t="s">
        <v>363</v>
      </c>
      <c r="G38" s="58" t="str">
        <f t="shared" si="49"/>
        <v>[effect:enhance_enemy, target:enemy_yellow, turn:-1, status:attack, val:0.2, calc:mul, animation:enemy_enhance_attack]</v>
      </c>
      <c r="H38" s="58">
        <f t="shared" si="50"/>
        <v>9</v>
      </c>
      <c r="I38" s="58">
        <f t="shared" si="51"/>
        <v>22</v>
      </c>
      <c r="J38" s="58">
        <f t="shared" si="52"/>
        <v>31</v>
      </c>
      <c r="K38" s="58">
        <f t="shared" si="53"/>
        <v>43</v>
      </c>
      <c r="L38" s="58" t="str">
        <f>IFERROR(VLOOKUP(MID(G38,J38,K38-J38),[8]skilldef!$C:$D,2,FALSE),"-") &amp; " / " &amp; IFERROR(VLOOKUP(MID(G38,H38,I38-H38),[8]skilldef!$A:$B,2,FALSE),"-")</f>
        <v>黄の敵に / ステータス強化</v>
      </c>
      <c r="M38" s="58" t="str">
        <f t="shared" si="54"/>
        <v>none</v>
      </c>
      <c r="N38" s="43" t="str">
        <f>IFERROR(LEFT(M38,FIND("],",M38)+S108),M38)</f>
        <v>none</v>
      </c>
      <c r="O38" s="58" t="e">
        <f t="shared" si="56"/>
        <v>#VALUE!</v>
      </c>
      <c r="P38" s="58">
        <f t="shared" si="57"/>
        <v>4</v>
      </c>
      <c r="Q38" s="58" t="e">
        <f t="shared" si="58"/>
        <v>#VALUE!</v>
      </c>
      <c r="R38" s="58" t="e">
        <f t="shared" si="59"/>
        <v>#VALUE!</v>
      </c>
      <c r="S38" s="58" t="str">
        <f>IFERROR(VLOOKUP(MID(N38,Q38,R38-Q38),[8]skilldef!$C:$D,2,FALSE),"-") &amp; " / " &amp; IFERROR(VLOOKUP(MID(N38,O38,P38-O38),[8]skilldef!$A:$B,2,FALSE),"-")</f>
        <v>- / -</v>
      </c>
      <c r="T38" s="43" t="str">
        <f t="shared" si="60"/>
        <v>none</v>
      </c>
      <c r="U38" s="58" t="e">
        <f t="shared" si="61"/>
        <v>#VALUE!</v>
      </c>
      <c r="V38" s="58">
        <f t="shared" si="62"/>
        <v>4</v>
      </c>
      <c r="W38" s="58" t="e">
        <f t="shared" si="63"/>
        <v>#VALUE!</v>
      </c>
      <c r="X38" s="58" t="e">
        <f t="shared" si="64"/>
        <v>#VALUE!</v>
      </c>
      <c r="Y38" s="58" t="str">
        <f>IFERROR(VLOOKUP(MID(T38,W38,X38-W38),[8]skilldef!$C:$D,2,FALSE),"-") &amp; " / " &amp; IFERROR(VLOOKUP(MID(T38,U38,V38-U38),[8]skilldef!$A:$B,2,FALSE),"-")</f>
        <v>- / -</v>
      </c>
      <c r="Z38" s="45"/>
      <c r="AA38" s="47"/>
      <c r="AB38" s="45"/>
    </row>
    <row r="39" spans="1:28" ht="21" customHeight="1" x14ac:dyDescent="0.15">
      <c r="A39" s="42">
        <f t="shared" si="48"/>
        <v>65535240</v>
      </c>
      <c r="B39" s="201" t="s">
        <v>364</v>
      </c>
      <c r="C39" s="202">
        <v>3</v>
      </c>
      <c r="D39" s="202" t="s">
        <v>365</v>
      </c>
      <c r="E39" s="203" t="s">
        <v>366</v>
      </c>
      <c r="F39" s="203" t="s">
        <v>367</v>
      </c>
      <c r="G39" s="58" t="str">
        <f t="shared" si="49"/>
        <v>[effect:remove_enhancement, target:unit_all, target_effect:all, animation:frozen_wave]</v>
      </c>
      <c r="H39" s="58">
        <f t="shared" si="50"/>
        <v>9</v>
      </c>
      <c r="I39" s="58">
        <f t="shared" si="51"/>
        <v>27</v>
      </c>
      <c r="J39" s="58">
        <f t="shared" si="52"/>
        <v>36</v>
      </c>
      <c r="K39" s="58">
        <f t="shared" si="53"/>
        <v>44</v>
      </c>
      <c r="L39" s="58" t="str">
        <f>IFERROR(VLOOKUP(MID(G39,J39,K39-J39),[8]skilldef!$C:$D,2,FALSE),"-") &amp; " / " &amp; IFERROR(VLOOKUP(MID(G39,H39,I39-H39),[8]skilldef!$A:$B,2,FALSE),"-")</f>
        <v>味方全体に / -</v>
      </c>
      <c r="M39" s="58" t="str">
        <f t="shared" si="54"/>
        <v>[effect:fix_speed, target:myself, turn:1],[effect:enemy_message, val1:1, val2:1.8]</v>
      </c>
      <c r="N39" s="43" t="str">
        <f>IFERROR(LEFT(M39,FIND("],",M39)+S112),M39)</f>
        <v>[effect:fix_speed, target:myself, turn:1]</v>
      </c>
      <c r="O39" s="58">
        <f t="shared" si="56"/>
        <v>9</v>
      </c>
      <c r="P39" s="58">
        <f t="shared" si="57"/>
        <v>18</v>
      </c>
      <c r="Q39" s="58">
        <f t="shared" si="58"/>
        <v>27</v>
      </c>
      <c r="R39" s="58">
        <f t="shared" si="59"/>
        <v>33</v>
      </c>
      <c r="S39" s="58" t="str">
        <f>IFERROR(VLOOKUP(MID(N39,Q39,R39-Q39),[8]skilldef!$C:$D,2,FALSE),"-") &amp; " / " &amp; IFERROR(VLOOKUP(MID(N39,O39,P39-O39),[8]skilldef!$A:$B,2,FALSE),"-")</f>
        <v>自分自身に / 行動値設定</v>
      </c>
      <c r="T39" s="43" t="str">
        <f t="shared" si="60"/>
        <v>[effect:enemy_message, val1:1, val2:1.8]</v>
      </c>
      <c r="U39" s="58">
        <f t="shared" si="61"/>
        <v>9</v>
      </c>
      <c r="V39" s="58">
        <f t="shared" si="62"/>
        <v>22</v>
      </c>
      <c r="W39" s="58" t="e">
        <f t="shared" si="63"/>
        <v>#VALUE!</v>
      </c>
      <c r="X39" s="58">
        <f t="shared" si="64"/>
        <v>30</v>
      </c>
      <c r="Y39" s="58" t="str">
        <f>IFERROR(VLOOKUP(MID(T39,W39,X39-W39),[8]skilldef!$C:$D,2,FALSE),"-") &amp; " / " &amp; IFERROR(VLOOKUP(MID(T39,U39,V39-U39),[8]skilldef!$A:$B,2,FALSE),"-")</f>
        <v>- / -</v>
      </c>
      <c r="Z39" s="45"/>
      <c r="AA39" s="47"/>
      <c r="AB39" s="45"/>
    </row>
    <row r="40" spans="1:28" ht="21" customHeight="1" x14ac:dyDescent="0.15">
      <c r="A40" s="42">
        <f t="shared" si="48"/>
        <v>65535241</v>
      </c>
      <c r="B40" s="201" t="s">
        <v>368</v>
      </c>
      <c r="C40" s="202">
        <v>3</v>
      </c>
      <c r="D40" s="202" t="s">
        <v>331</v>
      </c>
      <c r="E40" s="203" t="s">
        <v>369</v>
      </c>
      <c r="F40" s="203" t="s">
        <v>370</v>
      </c>
      <c r="G40" s="58" t="str">
        <f t="shared" si="49"/>
        <v>[effect:change_attribute, target:myself, color:red, turn:-1, animation:change_attribute_red]</v>
      </c>
      <c r="H40" s="58">
        <f t="shared" si="50"/>
        <v>9</v>
      </c>
      <c r="I40" s="58">
        <f t="shared" si="51"/>
        <v>25</v>
      </c>
      <c r="J40" s="58">
        <f t="shared" si="52"/>
        <v>34</v>
      </c>
      <c r="K40" s="58">
        <f t="shared" si="53"/>
        <v>40</v>
      </c>
      <c r="L40" s="58" t="str">
        <f>IFERROR(VLOOKUP(MID(G40,J40,K40-J40),[8]skilldef!$C:$D,2,FALSE),"-") &amp; " / " &amp; IFERROR(VLOOKUP(MID(G40,H40,I40-H40),[8]skilldef!$A:$B,2,FALSE),"-")</f>
        <v>自分自身に / -</v>
      </c>
      <c r="M40" s="58" t="str">
        <f t="shared" si="54"/>
        <v>none</v>
      </c>
      <c r="N40" s="43" t="str">
        <f>IFERROR(LEFT(M40,FIND("],",M40)+S112),M40)</f>
        <v>none</v>
      </c>
      <c r="O40" s="58" t="e">
        <f t="shared" si="56"/>
        <v>#VALUE!</v>
      </c>
      <c r="P40" s="58">
        <f t="shared" si="57"/>
        <v>4</v>
      </c>
      <c r="Q40" s="58" t="e">
        <f t="shared" si="58"/>
        <v>#VALUE!</v>
      </c>
      <c r="R40" s="58" t="e">
        <f t="shared" si="59"/>
        <v>#VALUE!</v>
      </c>
      <c r="S40" s="58" t="str">
        <f>IFERROR(VLOOKUP(MID(N40,Q40,R40-Q40),[8]skilldef!$C:$D,2,FALSE),"-") &amp; " / " &amp; IFERROR(VLOOKUP(MID(N40,O40,P40-O40),[8]skilldef!$A:$B,2,FALSE),"-")</f>
        <v>- / -</v>
      </c>
      <c r="T40" s="43" t="str">
        <f t="shared" si="60"/>
        <v>none</v>
      </c>
      <c r="U40" s="58" t="e">
        <f t="shared" si="61"/>
        <v>#VALUE!</v>
      </c>
      <c r="V40" s="58">
        <f t="shared" si="62"/>
        <v>4</v>
      </c>
      <c r="W40" s="58" t="e">
        <f t="shared" si="63"/>
        <v>#VALUE!</v>
      </c>
      <c r="X40" s="58" t="e">
        <f t="shared" si="64"/>
        <v>#VALUE!</v>
      </c>
      <c r="Y40" s="58" t="str">
        <f>IFERROR(VLOOKUP(MID(T40,W40,X40-W40),[8]skilldef!$C:$D,2,FALSE),"-") &amp; " / " &amp; IFERROR(VLOOKUP(MID(T40,U40,V40-U40),[8]skilldef!$A:$B,2,FALSE),"-")</f>
        <v>- / -</v>
      </c>
      <c r="Z40" s="45"/>
      <c r="AA40" s="47"/>
      <c r="AB40" s="45"/>
    </row>
    <row r="41" spans="1:28" ht="21" customHeight="1" x14ac:dyDescent="0.15">
      <c r="A41" s="42">
        <f t="shared" si="48"/>
        <v>65535242</v>
      </c>
      <c r="B41" s="201" t="s">
        <v>371</v>
      </c>
      <c r="C41" s="202">
        <v>3</v>
      </c>
      <c r="D41" s="202" t="s">
        <v>365</v>
      </c>
      <c r="E41" s="203" t="s">
        <v>372</v>
      </c>
      <c r="F41" s="203" t="s">
        <v>373</v>
      </c>
      <c r="G41" s="58" t="str">
        <f t="shared" si="49"/>
        <v>[effect:damage_anti_color, target:unit_all, color:red, val1:0.75, val2:0.25]</v>
      </c>
      <c r="H41" s="58">
        <f t="shared" si="50"/>
        <v>9</v>
      </c>
      <c r="I41" s="58">
        <f t="shared" si="51"/>
        <v>26</v>
      </c>
      <c r="J41" s="58">
        <f t="shared" si="52"/>
        <v>35</v>
      </c>
      <c r="K41" s="58">
        <f t="shared" si="53"/>
        <v>43</v>
      </c>
      <c r="L41" s="58" t="str">
        <f>IFERROR(VLOOKUP(MID(G41,J41,K41-J41),[8]skilldef!$C:$D,2,FALSE),"-") &amp; " / " &amp; IFERROR(VLOOKUP(MID(G41,H41,I41-H41),[8]skilldef!$A:$B,2,FALSE),"-")</f>
        <v>味方全体に / 属性キラー</v>
      </c>
      <c r="M41" s="58" t="str">
        <f t="shared" si="54"/>
        <v>none</v>
      </c>
      <c r="N41" s="43" t="str">
        <f>IFERROR(LEFT(M41,FIND("],",M41)+S113),M41)</f>
        <v>none</v>
      </c>
      <c r="O41" s="58" t="e">
        <f t="shared" si="56"/>
        <v>#VALUE!</v>
      </c>
      <c r="P41" s="58">
        <f t="shared" si="57"/>
        <v>4</v>
      </c>
      <c r="Q41" s="58" t="e">
        <f t="shared" si="58"/>
        <v>#VALUE!</v>
      </c>
      <c r="R41" s="58" t="e">
        <f t="shared" si="59"/>
        <v>#VALUE!</v>
      </c>
      <c r="S41" s="58" t="str">
        <f>IFERROR(VLOOKUP(MID(N41,Q41,R41-Q41),[8]skilldef!$C:$D,2,FALSE),"-") &amp; " / " &amp; IFERROR(VLOOKUP(MID(N41,O41,P41-O41),[8]skilldef!$A:$B,2,FALSE),"-")</f>
        <v>- / -</v>
      </c>
      <c r="T41" s="43" t="str">
        <f t="shared" si="60"/>
        <v>none</v>
      </c>
      <c r="U41" s="58" t="e">
        <f t="shared" si="61"/>
        <v>#VALUE!</v>
      </c>
      <c r="V41" s="58">
        <f t="shared" si="62"/>
        <v>4</v>
      </c>
      <c r="W41" s="58" t="e">
        <f t="shared" si="63"/>
        <v>#VALUE!</v>
      </c>
      <c r="X41" s="58" t="e">
        <f t="shared" si="64"/>
        <v>#VALUE!</v>
      </c>
      <c r="Y41" s="58" t="str">
        <f>IFERROR(VLOOKUP(MID(T41,W41,X41-W41),[8]skilldef!$C:$D,2,FALSE),"-") &amp; " / " &amp; IFERROR(VLOOKUP(MID(T41,U41,V41-U41),[8]skilldef!$A:$B,2,FALSE),"-")</f>
        <v>- / -</v>
      </c>
      <c r="Z41" s="45"/>
      <c r="AA41" s="47"/>
      <c r="AB41" s="45"/>
    </row>
    <row r="42" spans="1:28" ht="21" customHeight="1" x14ac:dyDescent="0.15">
      <c r="A42" s="42">
        <f t="shared" si="48"/>
        <v>65535243</v>
      </c>
      <c r="B42" s="201" t="s">
        <v>374</v>
      </c>
      <c r="C42" s="202">
        <v>3</v>
      </c>
      <c r="D42" s="202" t="s">
        <v>375</v>
      </c>
      <c r="E42" s="203" t="s">
        <v>376</v>
      </c>
      <c r="F42" s="203" t="s">
        <v>377</v>
      </c>
      <c r="G42" s="58" t="str">
        <f t="shared" si="49"/>
        <v>[effect:damage_anti_color, target:unit_all, color:blue, val1:0.75, val2:0.25]</v>
      </c>
      <c r="H42" s="58">
        <f t="shared" si="50"/>
        <v>9</v>
      </c>
      <c r="I42" s="58">
        <f t="shared" si="51"/>
        <v>26</v>
      </c>
      <c r="J42" s="58">
        <f t="shared" si="52"/>
        <v>35</v>
      </c>
      <c r="K42" s="58">
        <f t="shared" si="53"/>
        <v>43</v>
      </c>
      <c r="L42" s="58" t="str">
        <f>IFERROR(VLOOKUP(MID(G42,J42,K42-J42),[8]skilldef!$C:$D,2,FALSE),"-") &amp; " / " &amp; IFERROR(VLOOKUP(MID(G42,H42,I42-H42),[8]skilldef!$A:$B,2,FALSE),"-")</f>
        <v>味方全体に / 属性キラー</v>
      </c>
      <c r="M42" s="58" t="str">
        <f t="shared" si="54"/>
        <v>none</v>
      </c>
      <c r="N42" s="43" t="str">
        <f>IFERROR(LEFT(M42,FIND("],",M42)+S115),M42)</f>
        <v>none</v>
      </c>
      <c r="O42" s="58" t="e">
        <f t="shared" si="56"/>
        <v>#VALUE!</v>
      </c>
      <c r="P42" s="58">
        <f t="shared" si="57"/>
        <v>4</v>
      </c>
      <c r="Q42" s="58" t="e">
        <f t="shared" si="58"/>
        <v>#VALUE!</v>
      </c>
      <c r="R42" s="58" t="e">
        <f t="shared" si="59"/>
        <v>#VALUE!</v>
      </c>
      <c r="S42" s="58" t="str">
        <f>IFERROR(VLOOKUP(MID(N42,Q42,R42-Q42),[8]skilldef!$C:$D,2,FALSE),"-") &amp; " / " &amp; IFERROR(VLOOKUP(MID(N42,O42,P42-O42),[8]skilldef!$A:$B,2,FALSE),"-")</f>
        <v>- / -</v>
      </c>
      <c r="T42" s="43" t="str">
        <f t="shared" si="60"/>
        <v>none</v>
      </c>
      <c r="U42" s="58" t="e">
        <f t="shared" si="61"/>
        <v>#VALUE!</v>
      </c>
      <c r="V42" s="58">
        <f t="shared" si="62"/>
        <v>4</v>
      </c>
      <c r="W42" s="58" t="e">
        <f t="shared" si="63"/>
        <v>#VALUE!</v>
      </c>
      <c r="X42" s="58" t="e">
        <f t="shared" si="64"/>
        <v>#VALUE!</v>
      </c>
      <c r="Y42" s="58" t="str">
        <f>IFERROR(VLOOKUP(MID(T42,W42,X42-W42),[8]skilldef!$C:$D,2,FALSE),"-") &amp; " / " &amp; IFERROR(VLOOKUP(MID(T42,U42,V42-U42),[8]skilldef!$A:$B,2,FALSE),"-")</f>
        <v>- / -</v>
      </c>
      <c r="Z42" s="45"/>
      <c r="AA42" s="47"/>
      <c r="AB42" s="45"/>
    </row>
    <row r="43" spans="1:28" ht="21" customHeight="1" x14ac:dyDescent="0.15">
      <c r="A43" s="42">
        <f t="shared" si="48"/>
        <v>65535244</v>
      </c>
      <c r="B43" s="201" t="s">
        <v>378</v>
      </c>
      <c r="C43" s="202">
        <v>3</v>
      </c>
      <c r="D43" s="202" t="s">
        <v>331</v>
      </c>
      <c r="E43" s="203" t="s">
        <v>379</v>
      </c>
      <c r="F43" s="203" t="s">
        <v>380</v>
      </c>
      <c r="G43" s="58" t="str">
        <f t="shared" si="49"/>
        <v>[effect:damage_anti_color, target:unit_all, color:green, val1:0.75, val2:0.25]</v>
      </c>
      <c r="H43" s="58">
        <f t="shared" si="50"/>
        <v>9</v>
      </c>
      <c r="I43" s="58">
        <f t="shared" si="51"/>
        <v>26</v>
      </c>
      <c r="J43" s="58">
        <f t="shared" si="52"/>
        <v>35</v>
      </c>
      <c r="K43" s="58">
        <f t="shared" si="53"/>
        <v>43</v>
      </c>
      <c r="L43" s="58" t="str">
        <f>IFERROR(VLOOKUP(MID(G43,J43,K43-J43),[8]skilldef!$C:$D,2,FALSE),"-") &amp; " / " &amp; IFERROR(VLOOKUP(MID(G43,H43,I43-H43),[8]skilldef!$A:$B,2,FALSE),"-")</f>
        <v>味方全体に / 属性キラー</v>
      </c>
      <c r="M43" s="58" t="str">
        <f t="shared" si="54"/>
        <v>none</v>
      </c>
      <c r="N43" s="43" t="str">
        <f>IFERROR(LEFT(M43,FIND("],",M43)+S116),M43)</f>
        <v>none</v>
      </c>
      <c r="O43" s="58" t="e">
        <f t="shared" si="56"/>
        <v>#VALUE!</v>
      </c>
      <c r="P43" s="58">
        <f t="shared" si="57"/>
        <v>4</v>
      </c>
      <c r="Q43" s="58" t="e">
        <f t="shared" si="58"/>
        <v>#VALUE!</v>
      </c>
      <c r="R43" s="58" t="e">
        <f t="shared" si="59"/>
        <v>#VALUE!</v>
      </c>
      <c r="S43" s="58" t="str">
        <f>IFERROR(VLOOKUP(MID(N43,Q43,R43-Q43),[8]skilldef!$C:$D,2,FALSE),"-") &amp; " / " &amp; IFERROR(VLOOKUP(MID(N43,O43,P43-O43),[8]skilldef!$A:$B,2,FALSE),"-")</f>
        <v>- / -</v>
      </c>
      <c r="T43" s="43" t="str">
        <f t="shared" si="60"/>
        <v>none</v>
      </c>
      <c r="U43" s="58" t="e">
        <f t="shared" si="61"/>
        <v>#VALUE!</v>
      </c>
      <c r="V43" s="58">
        <f t="shared" si="62"/>
        <v>4</v>
      </c>
      <c r="W43" s="58" t="e">
        <f t="shared" si="63"/>
        <v>#VALUE!</v>
      </c>
      <c r="X43" s="58" t="e">
        <f t="shared" si="64"/>
        <v>#VALUE!</v>
      </c>
      <c r="Y43" s="58" t="str">
        <f>IFERROR(VLOOKUP(MID(T43,W43,X43-W43),[8]skilldef!$C:$D,2,FALSE),"-") &amp; " / " &amp; IFERROR(VLOOKUP(MID(T43,U43,V43-U43),[8]skilldef!$A:$B,2,FALSE),"-")</f>
        <v>- / -</v>
      </c>
      <c r="Z43" s="45"/>
      <c r="AA43" s="47"/>
      <c r="AB43" s="45"/>
    </row>
    <row r="44" spans="1:28" ht="21" customHeight="1" x14ac:dyDescent="0.15">
      <c r="A44" s="42">
        <f t="shared" si="48"/>
        <v>65535245</v>
      </c>
      <c r="B44" s="201" t="s">
        <v>381</v>
      </c>
      <c r="C44" s="202">
        <v>3</v>
      </c>
      <c r="D44" s="202" t="s">
        <v>347</v>
      </c>
      <c r="E44" s="203" t="s">
        <v>382</v>
      </c>
      <c r="F44" s="203" t="s">
        <v>383</v>
      </c>
      <c r="G44" s="58" t="str">
        <f t="shared" si="49"/>
        <v>[effect:damage_anti_color, target:unit_all, color:yellow, val1:0.75, val2:0.25]</v>
      </c>
      <c r="H44" s="58">
        <f t="shared" si="50"/>
        <v>9</v>
      </c>
      <c r="I44" s="58">
        <f t="shared" si="51"/>
        <v>26</v>
      </c>
      <c r="J44" s="58">
        <f t="shared" si="52"/>
        <v>35</v>
      </c>
      <c r="K44" s="58">
        <f t="shared" si="53"/>
        <v>43</v>
      </c>
      <c r="L44" s="58" t="str">
        <f>IFERROR(VLOOKUP(MID(G44,J44,K44-J44),[8]skilldef!$C:$D,2,FALSE),"-") &amp; " / " &amp; IFERROR(VLOOKUP(MID(G44,H44,I44-H44),[8]skilldef!$A:$B,2,FALSE),"-")</f>
        <v>味方全体に / 属性キラー</v>
      </c>
      <c r="M44" s="58" t="str">
        <f t="shared" si="54"/>
        <v>none</v>
      </c>
      <c r="N44" s="43" t="str">
        <f>IFERROR(LEFT(M44,FIND("],",M44)+S116),M44)</f>
        <v>none</v>
      </c>
      <c r="O44" s="58" t="e">
        <f t="shared" si="56"/>
        <v>#VALUE!</v>
      </c>
      <c r="P44" s="58">
        <f t="shared" si="57"/>
        <v>4</v>
      </c>
      <c r="Q44" s="58" t="e">
        <f t="shared" si="58"/>
        <v>#VALUE!</v>
      </c>
      <c r="R44" s="58" t="e">
        <f t="shared" si="59"/>
        <v>#VALUE!</v>
      </c>
      <c r="S44" s="58" t="str">
        <f>IFERROR(VLOOKUP(MID(N44,Q44,R44-Q44),[8]skilldef!$C:$D,2,FALSE),"-") &amp; " / " &amp; IFERROR(VLOOKUP(MID(N44,O44,P44-O44),[8]skilldef!$A:$B,2,FALSE),"-")</f>
        <v>- / -</v>
      </c>
      <c r="T44" s="43" t="str">
        <f t="shared" si="60"/>
        <v>none</v>
      </c>
      <c r="U44" s="58" t="e">
        <f t="shared" si="61"/>
        <v>#VALUE!</v>
      </c>
      <c r="V44" s="58">
        <f t="shared" si="62"/>
        <v>4</v>
      </c>
      <c r="W44" s="58" t="e">
        <f t="shared" si="63"/>
        <v>#VALUE!</v>
      </c>
      <c r="X44" s="58" t="e">
        <f t="shared" si="64"/>
        <v>#VALUE!</v>
      </c>
      <c r="Y44" s="58" t="str">
        <f>IFERROR(VLOOKUP(MID(T44,W44,X44-W44),[8]skilldef!$C:$D,2,FALSE),"-") &amp; " / " &amp; IFERROR(VLOOKUP(MID(T44,U44,V44-U44),[8]skilldef!$A:$B,2,FALSE),"-")</f>
        <v>- / -</v>
      </c>
      <c r="Z44" s="45"/>
      <c r="AA44" s="47"/>
      <c r="AB44" s="45"/>
    </row>
    <row r="45" spans="1:28" ht="21" customHeight="1" x14ac:dyDescent="0.15">
      <c r="A45" s="42">
        <f t="shared" si="48"/>
        <v>65535246</v>
      </c>
      <c r="B45" s="201" t="s">
        <v>384</v>
      </c>
      <c r="C45" s="202">
        <v>3</v>
      </c>
      <c r="D45" s="202" t="s">
        <v>331</v>
      </c>
      <c r="E45" s="203" t="s">
        <v>385</v>
      </c>
      <c r="F45" s="203" t="s">
        <v>386</v>
      </c>
      <c r="G45" s="58" t="str">
        <f t="shared" si="49"/>
        <v xml:space="preserve">[effect:panel_freeze, target:block_blue, count:-1, break_count:1] </v>
      </c>
      <c r="H45" s="58">
        <f t="shared" si="50"/>
        <v>9</v>
      </c>
      <c r="I45" s="58">
        <f t="shared" si="51"/>
        <v>21</v>
      </c>
      <c r="J45" s="58">
        <f t="shared" si="52"/>
        <v>30</v>
      </c>
      <c r="K45" s="58">
        <f t="shared" si="53"/>
        <v>40</v>
      </c>
      <c r="L45" s="58" t="str">
        <f>IFERROR(VLOOKUP(MID(G45,J45,K45-J45),[8]skilldef!$C:$D,2,FALSE),"-") &amp; " / " &amp; IFERROR(VLOOKUP(MID(G45,H45,I45-H45),[8]skilldef!$A:$B,2,FALSE),"-")</f>
        <v>青パネルを / -</v>
      </c>
      <c r="M45" s="58" t="str">
        <f t="shared" si="54"/>
        <v>none</v>
      </c>
      <c r="N45" s="43" t="str">
        <f>IFERROR(LEFT(M45,FIND("],",M45)+S117),M45)</f>
        <v>none</v>
      </c>
      <c r="O45" s="58" t="e">
        <f t="shared" si="56"/>
        <v>#VALUE!</v>
      </c>
      <c r="P45" s="58">
        <f t="shared" si="57"/>
        <v>4</v>
      </c>
      <c r="Q45" s="58" t="e">
        <f t="shared" si="58"/>
        <v>#VALUE!</v>
      </c>
      <c r="R45" s="58" t="e">
        <f t="shared" si="59"/>
        <v>#VALUE!</v>
      </c>
      <c r="S45" s="58" t="str">
        <f>IFERROR(VLOOKUP(MID(N45,Q45,R45-Q45),[8]skilldef!$C:$D,2,FALSE),"-") &amp; " / " &amp; IFERROR(VLOOKUP(MID(N45,O45,P45-O45),[8]skilldef!$A:$B,2,FALSE),"-")</f>
        <v>- / -</v>
      </c>
      <c r="T45" s="43" t="str">
        <f t="shared" si="60"/>
        <v>none</v>
      </c>
      <c r="U45" s="58" t="e">
        <f t="shared" si="61"/>
        <v>#VALUE!</v>
      </c>
      <c r="V45" s="58">
        <f t="shared" si="62"/>
        <v>4</v>
      </c>
      <c r="W45" s="58" t="e">
        <f t="shared" si="63"/>
        <v>#VALUE!</v>
      </c>
      <c r="X45" s="58" t="e">
        <f t="shared" si="64"/>
        <v>#VALUE!</v>
      </c>
      <c r="Y45" s="58" t="str">
        <f>IFERROR(VLOOKUP(MID(T45,W45,X45-W45),[8]skilldef!$C:$D,2,FALSE),"-") &amp; " / " &amp; IFERROR(VLOOKUP(MID(T45,U45,V45-U45),[8]skilldef!$A:$B,2,FALSE),"-")</f>
        <v>- / -</v>
      </c>
      <c r="Z45" s="45"/>
      <c r="AA45" s="47"/>
      <c r="AB45" s="45"/>
    </row>
    <row r="46" spans="1:28" ht="21" customHeight="1" x14ac:dyDescent="0.15">
      <c r="A46" s="42">
        <f t="shared" si="48"/>
        <v>65535247</v>
      </c>
      <c r="B46" s="201" t="s">
        <v>387</v>
      </c>
      <c r="C46" s="202">
        <v>3</v>
      </c>
      <c r="D46" s="202" t="s">
        <v>331</v>
      </c>
      <c r="E46" s="203" t="s">
        <v>388</v>
      </c>
      <c r="F46" s="203" t="s">
        <v>389</v>
      </c>
      <c r="G46" s="58" t="str">
        <f t="shared" si="49"/>
        <v>[effect:break_attack_fix, target:unit_all, val:150, lowest_val:1000, count:-1, color:blue, block01:block_blue]</v>
      </c>
      <c r="H46" s="58">
        <f t="shared" si="50"/>
        <v>9</v>
      </c>
      <c r="I46" s="58">
        <f t="shared" si="51"/>
        <v>25</v>
      </c>
      <c r="J46" s="58">
        <f t="shared" si="52"/>
        <v>34</v>
      </c>
      <c r="K46" s="58">
        <f t="shared" si="53"/>
        <v>42</v>
      </c>
      <c r="L46" s="58" t="str">
        <f>IFERROR(VLOOKUP(MID(G46,J46,K46-J46),[8]skilldef!$C:$D,2,FALSE),"-") &amp; " / " &amp; IFERROR(VLOOKUP(MID(G46,H46,I46-H46),[8]skilldef!$A:$B,2,FALSE),"-")</f>
        <v>味方全体に / -</v>
      </c>
      <c r="M46" s="58" t="str">
        <f t="shared" si="54"/>
        <v>none</v>
      </c>
      <c r="N46" s="43" t="str">
        <f>IFERROR(LEFT(M46,FIND("],",M46)+S118),M46)</f>
        <v>none</v>
      </c>
      <c r="O46" s="58" t="e">
        <f t="shared" si="56"/>
        <v>#VALUE!</v>
      </c>
      <c r="P46" s="58">
        <f t="shared" si="57"/>
        <v>4</v>
      </c>
      <c r="Q46" s="58" t="e">
        <f t="shared" si="58"/>
        <v>#VALUE!</v>
      </c>
      <c r="R46" s="58" t="e">
        <f t="shared" si="59"/>
        <v>#VALUE!</v>
      </c>
      <c r="S46" s="58" t="str">
        <f>IFERROR(VLOOKUP(MID(N46,Q46,R46-Q46),[8]skilldef!$C:$D,2,FALSE),"-") &amp; " / " &amp; IFERROR(VLOOKUP(MID(N46,O46,P46-O46),[8]skilldef!$A:$B,2,FALSE),"-")</f>
        <v>- / -</v>
      </c>
      <c r="T46" s="43" t="str">
        <f t="shared" si="60"/>
        <v>none</v>
      </c>
      <c r="U46" s="58" t="e">
        <f t="shared" si="61"/>
        <v>#VALUE!</v>
      </c>
      <c r="V46" s="58">
        <f t="shared" si="62"/>
        <v>4</v>
      </c>
      <c r="W46" s="58" t="e">
        <f t="shared" si="63"/>
        <v>#VALUE!</v>
      </c>
      <c r="X46" s="58" t="e">
        <f t="shared" si="64"/>
        <v>#VALUE!</v>
      </c>
      <c r="Y46" s="58" t="str">
        <f>IFERROR(VLOOKUP(MID(T46,W46,X46-W46),[8]skilldef!$C:$D,2,FALSE),"-") &amp; " / " &amp; IFERROR(VLOOKUP(MID(T46,U46,V46-U46),[8]skilldef!$A:$B,2,FALSE),"-")</f>
        <v>- / -</v>
      </c>
      <c r="Z46" s="45"/>
      <c r="AA46" s="47"/>
      <c r="AB46" s="45"/>
    </row>
    <row r="47" spans="1:28" ht="21" customHeight="1" x14ac:dyDescent="0.15">
      <c r="A47" s="42">
        <f t="shared" si="48"/>
        <v>65535248</v>
      </c>
      <c r="B47" s="204" t="s">
        <v>390</v>
      </c>
      <c r="C47" s="205">
        <v>3</v>
      </c>
      <c r="D47" s="205" t="s">
        <v>347</v>
      </c>
      <c r="E47" s="206" t="s">
        <v>391</v>
      </c>
      <c r="F47" s="206" t="s">
        <v>367</v>
      </c>
      <c r="G47" s="58" t="str">
        <f t="shared" si="49"/>
        <v>[effect:remove_enhancement, target:unit_all, target_effect:all, animation:frozen_wave]</v>
      </c>
      <c r="H47" s="58">
        <f t="shared" si="50"/>
        <v>9</v>
      </c>
      <c r="I47" s="58">
        <f t="shared" si="51"/>
        <v>27</v>
      </c>
      <c r="J47" s="58">
        <f t="shared" si="52"/>
        <v>36</v>
      </c>
      <c r="K47" s="58">
        <f t="shared" si="53"/>
        <v>44</v>
      </c>
      <c r="L47" s="58" t="str">
        <f>IFERROR(VLOOKUP(MID(G47,J47,K47-J47),[8]skilldef!$C:$D,2,FALSE),"-") &amp; " / " &amp; IFERROR(VLOOKUP(MID(G47,H47,I47-H47),[8]skilldef!$A:$B,2,FALSE),"-")</f>
        <v>味方全体に / -</v>
      </c>
      <c r="M47" s="58" t="str">
        <f t="shared" si="54"/>
        <v>[effect:fix_speed, target:myself, turn:1],[effect:enemy_message, val1:1.8, val2:1.8]</v>
      </c>
      <c r="N47" s="43" t="str">
        <f>IFERROR(LEFT(M47,FIND("],",M47)+S120),M47)</f>
        <v>[effect:fix_speed, target:myself, turn:1]</v>
      </c>
      <c r="O47" s="58">
        <f t="shared" si="56"/>
        <v>9</v>
      </c>
      <c r="P47" s="58">
        <f t="shared" si="57"/>
        <v>18</v>
      </c>
      <c r="Q47" s="58">
        <f t="shared" si="58"/>
        <v>27</v>
      </c>
      <c r="R47" s="58">
        <f t="shared" si="59"/>
        <v>33</v>
      </c>
      <c r="S47" s="58" t="str">
        <f>IFERROR(VLOOKUP(MID(N47,Q47,R47-Q47),[8]skilldef!$C:$D,2,FALSE),"-") &amp; " / " &amp; IFERROR(VLOOKUP(MID(N47,O47,P47-O47),[8]skilldef!$A:$B,2,FALSE),"-")</f>
        <v>自分自身に / 行動値設定</v>
      </c>
      <c r="T47" s="43" t="str">
        <f t="shared" si="60"/>
        <v>[effect:enemy_message, val1:1.8, val2:1.8]</v>
      </c>
      <c r="U47" s="58">
        <f t="shared" si="61"/>
        <v>9</v>
      </c>
      <c r="V47" s="58">
        <f t="shared" si="62"/>
        <v>22</v>
      </c>
      <c r="W47" s="58" t="e">
        <f t="shared" si="63"/>
        <v>#VALUE!</v>
      </c>
      <c r="X47" s="58">
        <f t="shared" si="64"/>
        <v>32</v>
      </c>
      <c r="Y47" s="58" t="str">
        <f>IFERROR(VLOOKUP(MID(T47,W47,X47-W47),[8]skilldef!$C:$D,2,FALSE),"-") &amp; " / " &amp; IFERROR(VLOOKUP(MID(T47,U47,V47-U47),[8]skilldef!$A:$B,2,FALSE),"-")</f>
        <v>- / -</v>
      </c>
      <c r="Z47" s="45"/>
      <c r="AA47" s="47"/>
      <c r="AB47" s="45"/>
    </row>
    <row r="48" spans="1:28" ht="21" customHeight="1" x14ac:dyDescent="0.15">
      <c r="A48" s="42">
        <f t="shared" si="48"/>
        <v>65535249</v>
      </c>
      <c r="B48" s="204" t="s">
        <v>392</v>
      </c>
      <c r="C48" s="205">
        <v>3</v>
      </c>
      <c r="D48" s="205" t="s">
        <v>357</v>
      </c>
      <c r="E48" s="206" t="s">
        <v>393</v>
      </c>
      <c r="F48" s="206" t="s">
        <v>394</v>
      </c>
      <c r="G48" s="58" t="str">
        <f t="shared" si="49"/>
        <v>[effect:change_attribute, target:myself, color:blue, turn:-1, animation:change_attribute_blue]</v>
      </c>
      <c r="H48" s="58">
        <f t="shared" si="50"/>
        <v>9</v>
      </c>
      <c r="I48" s="58">
        <f t="shared" si="51"/>
        <v>25</v>
      </c>
      <c r="J48" s="58">
        <f t="shared" si="52"/>
        <v>34</v>
      </c>
      <c r="K48" s="58">
        <f t="shared" si="53"/>
        <v>40</v>
      </c>
      <c r="L48" s="58" t="str">
        <f>IFERROR(VLOOKUP(MID(G48,J48,K48-J48),[8]skilldef!$C:$D,2,FALSE),"-") &amp; " / " &amp; IFERROR(VLOOKUP(MID(G48,H48,I48-H48),[8]skilldef!$A:$B,2,FALSE),"-")</f>
        <v>自分自身に / -</v>
      </c>
      <c r="M48" s="58" t="str">
        <f t="shared" si="54"/>
        <v>none</v>
      </c>
      <c r="N48" s="43" t="str">
        <f>IFERROR(LEFT(M48,FIND("],",M48)+S120),M48)</f>
        <v>none</v>
      </c>
      <c r="O48" s="58" t="e">
        <f t="shared" si="56"/>
        <v>#VALUE!</v>
      </c>
      <c r="P48" s="58">
        <f t="shared" si="57"/>
        <v>4</v>
      </c>
      <c r="Q48" s="58" t="e">
        <f t="shared" si="58"/>
        <v>#VALUE!</v>
      </c>
      <c r="R48" s="58" t="e">
        <f t="shared" si="59"/>
        <v>#VALUE!</v>
      </c>
      <c r="S48" s="58" t="str">
        <f>IFERROR(VLOOKUP(MID(N48,Q48,R48-Q48),[8]skilldef!$C:$D,2,FALSE),"-") &amp; " / " &amp; IFERROR(VLOOKUP(MID(N48,O48,P48-O48),[8]skilldef!$A:$B,2,FALSE),"-")</f>
        <v>- / -</v>
      </c>
      <c r="T48" s="43" t="str">
        <f t="shared" si="60"/>
        <v>none</v>
      </c>
      <c r="U48" s="58" t="e">
        <f t="shared" si="61"/>
        <v>#VALUE!</v>
      </c>
      <c r="V48" s="58">
        <f t="shared" si="62"/>
        <v>4</v>
      </c>
      <c r="W48" s="58" t="e">
        <f t="shared" si="63"/>
        <v>#VALUE!</v>
      </c>
      <c r="X48" s="58" t="e">
        <f t="shared" si="64"/>
        <v>#VALUE!</v>
      </c>
      <c r="Y48" s="58" t="str">
        <f>IFERROR(VLOOKUP(MID(T48,W48,X48-W48),[8]skilldef!$C:$D,2,FALSE),"-") &amp; " / " &amp; IFERROR(VLOOKUP(MID(T48,U48,V48-U48),[8]skilldef!$A:$B,2,FALSE),"-")</f>
        <v>- / -</v>
      </c>
      <c r="Z48" s="45"/>
      <c r="AA48" s="47"/>
      <c r="AB48" s="45"/>
    </row>
    <row r="49" spans="1:28" ht="21" customHeight="1" x14ac:dyDescent="0.15">
      <c r="A49" s="42">
        <f t="shared" si="48"/>
        <v>65535250</v>
      </c>
      <c r="B49" s="204" t="s">
        <v>395</v>
      </c>
      <c r="C49" s="205">
        <v>3</v>
      </c>
      <c r="D49" s="205" t="s">
        <v>331</v>
      </c>
      <c r="E49" s="206" t="s">
        <v>396</v>
      </c>
      <c r="F49" s="206" t="s">
        <v>373</v>
      </c>
      <c r="G49" s="58" t="str">
        <f t="shared" si="49"/>
        <v>[effect:damage_anti_color, target:unit_all, color:red, val1:0.75, val2:0.25]</v>
      </c>
      <c r="H49" s="58">
        <f t="shared" si="50"/>
        <v>9</v>
      </c>
      <c r="I49" s="58">
        <f t="shared" si="51"/>
        <v>26</v>
      </c>
      <c r="J49" s="58">
        <f t="shared" si="52"/>
        <v>35</v>
      </c>
      <c r="K49" s="58">
        <f t="shared" si="53"/>
        <v>43</v>
      </c>
      <c r="L49" s="58" t="str">
        <f>IFERROR(VLOOKUP(MID(G49,J49,K49-J49),[8]skilldef!$C:$D,2,FALSE),"-") &amp; " / " &amp; IFERROR(VLOOKUP(MID(G49,H49,I49-H49),[8]skilldef!$A:$B,2,FALSE),"-")</f>
        <v>味方全体に / 属性キラー</v>
      </c>
      <c r="M49" s="58" t="str">
        <f t="shared" si="54"/>
        <v>none</v>
      </c>
      <c r="N49" s="43" t="str">
        <f>IFERROR(LEFT(M49,FIND("],",M49)+S121),M49)</f>
        <v>none</v>
      </c>
      <c r="O49" s="58" t="e">
        <f t="shared" si="56"/>
        <v>#VALUE!</v>
      </c>
      <c r="P49" s="58">
        <f t="shared" si="57"/>
        <v>4</v>
      </c>
      <c r="Q49" s="58" t="e">
        <f t="shared" si="58"/>
        <v>#VALUE!</v>
      </c>
      <c r="R49" s="58" t="e">
        <f t="shared" si="59"/>
        <v>#VALUE!</v>
      </c>
      <c r="S49" s="58" t="str">
        <f>IFERROR(VLOOKUP(MID(N49,Q49,R49-Q49),[8]skilldef!$C:$D,2,FALSE),"-") &amp; " / " &amp; IFERROR(VLOOKUP(MID(N49,O49,P49-O49),[8]skilldef!$A:$B,2,FALSE),"-")</f>
        <v>- / -</v>
      </c>
      <c r="T49" s="43" t="str">
        <f t="shared" si="60"/>
        <v>none</v>
      </c>
      <c r="U49" s="58" t="e">
        <f t="shared" si="61"/>
        <v>#VALUE!</v>
      </c>
      <c r="V49" s="58">
        <f t="shared" si="62"/>
        <v>4</v>
      </c>
      <c r="W49" s="58" t="e">
        <f t="shared" si="63"/>
        <v>#VALUE!</v>
      </c>
      <c r="X49" s="58" t="e">
        <f t="shared" si="64"/>
        <v>#VALUE!</v>
      </c>
      <c r="Y49" s="58" t="str">
        <f>IFERROR(VLOOKUP(MID(T49,W49,X49-W49),[8]skilldef!$C:$D,2,FALSE),"-") &amp; " / " &amp; IFERROR(VLOOKUP(MID(T49,U49,V49-U49),[8]skilldef!$A:$B,2,FALSE),"-")</f>
        <v>- / -</v>
      </c>
      <c r="Z49" s="45"/>
      <c r="AA49" s="47"/>
      <c r="AB49" s="45"/>
    </row>
    <row r="50" spans="1:28" ht="21" customHeight="1" x14ac:dyDescent="0.15">
      <c r="A50" s="42">
        <f t="shared" si="48"/>
        <v>65535251</v>
      </c>
      <c r="B50" s="204" t="s">
        <v>397</v>
      </c>
      <c r="C50" s="205">
        <v>3</v>
      </c>
      <c r="D50" s="205" t="s">
        <v>365</v>
      </c>
      <c r="E50" s="206" t="s">
        <v>398</v>
      </c>
      <c r="F50" s="206" t="s">
        <v>377</v>
      </c>
      <c r="G50" s="58" t="str">
        <f t="shared" si="49"/>
        <v>[effect:damage_anti_color, target:unit_all, color:blue, val1:0.75, val2:0.25]</v>
      </c>
      <c r="H50" s="58">
        <f t="shared" si="50"/>
        <v>9</v>
      </c>
      <c r="I50" s="58">
        <f t="shared" si="51"/>
        <v>26</v>
      </c>
      <c r="J50" s="58">
        <f t="shared" si="52"/>
        <v>35</v>
      </c>
      <c r="K50" s="58">
        <f t="shared" si="53"/>
        <v>43</v>
      </c>
      <c r="L50" s="58" t="str">
        <f>IFERROR(VLOOKUP(MID(G50,J50,K50-J50),[8]skilldef!$C:$D,2,FALSE),"-") &amp; " / " &amp; IFERROR(VLOOKUP(MID(G50,H50,I50-H50),[8]skilldef!$A:$B,2,FALSE),"-")</f>
        <v>味方全体に / 属性キラー</v>
      </c>
      <c r="M50" s="58" t="str">
        <f t="shared" si="54"/>
        <v>none</v>
      </c>
      <c r="N50" s="43" t="str">
        <f>IFERROR(LEFT(M50,FIND("],",M50)+S123),M50)</f>
        <v>none</v>
      </c>
      <c r="O50" s="58" t="e">
        <f t="shared" si="56"/>
        <v>#VALUE!</v>
      </c>
      <c r="P50" s="58">
        <f t="shared" si="57"/>
        <v>4</v>
      </c>
      <c r="Q50" s="58" t="e">
        <f t="shared" si="58"/>
        <v>#VALUE!</v>
      </c>
      <c r="R50" s="58" t="e">
        <f t="shared" si="59"/>
        <v>#VALUE!</v>
      </c>
      <c r="S50" s="58" t="str">
        <f>IFERROR(VLOOKUP(MID(N50,Q50,R50-Q50),[8]skilldef!$C:$D,2,FALSE),"-") &amp; " / " &amp; IFERROR(VLOOKUP(MID(N50,O50,P50-O50),[8]skilldef!$A:$B,2,FALSE),"-")</f>
        <v>- / -</v>
      </c>
      <c r="T50" s="43" t="str">
        <f t="shared" si="60"/>
        <v>none</v>
      </c>
      <c r="U50" s="58" t="e">
        <f t="shared" si="61"/>
        <v>#VALUE!</v>
      </c>
      <c r="V50" s="58">
        <f t="shared" si="62"/>
        <v>4</v>
      </c>
      <c r="W50" s="58" t="e">
        <f t="shared" si="63"/>
        <v>#VALUE!</v>
      </c>
      <c r="X50" s="58" t="e">
        <f t="shared" si="64"/>
        <v>#VALUE!</v>
      </c>
      <c r="Y50" s="58" t="str">
        <f>IFERROR(VLOOKUP(MID(T50,W50,X50-W50),[8]skilldef!$C:$D,2,FALSE),"-") &amp; " / " &amp; IFERROR(VLOOKUP(MID(T50,U50,V50-U50),[8]skilldef!$A:$B,2,FALSE),"-")</f>
        <v>- / -</v>
      </c>
      <c r="Z50" s="45"/>
      <c r="AA50" s="47"/>
      <c r="AB50" s="45"/>
    </row>
    <row r="51" spans="1:28" ht="21" customHeight="1" x14ac:dyDescent="0.15">
      <c r="A51" s="42">
        <f t="shared" si="48"/>
        <v>65535252</v>
      </c>
      <c r="B51" s="204" t="s">
        <v>399</v>
      </c>
      <c r="C51" s="205">
        <v>3</v>
      </c>
      <c r="D51" s="205" t="s">
        <v>365</v>
      </c>
      <c r="E51" s="206" t="s">
        <v>400</v>
      </c>
      <c r="F51" s="206" t="s">
        <v>380</v>
      </c>
      <c r="G51" s="58" t="str">
        <f t="shared" si="49"/>
        <v>[effect:damage_anti_color, target:unit_all, color:green, val1:0.75, val2:0.25]</v>
      </c>
      <c r="H51" s="58">
        <f t="shared" si="50"/>
        <v>9</v>
      </c>
      <c r="I51" s="58">
        <f t="shared" si="51"/>
        <v>26</v>
      </c>
      <c r="J51" s="58">
        <f t="shared" si="52"/>
        <v>35</v>
      </c>
      <c r="K51" s="58">
        <f t="shared" si="53"/>
        <v>43</v>
      </c>
      <c r="L51" s="58" t="str">
        <f>IFERROR(VLOOKUP(MID(G51,J51,K51-J51),[8]skilldef!$C:$D,2,FALSE),"-") &amp; " / " &amp; IFERROR(VLOOKUP(MID(G51,H51,I51-H51),[8]skilldef!$A:$B,2,FALSE),"-")</f>
        <v>味方全体に / 属性キラー</v>
      </c>
      <c r="M51" s="58" t="str">
        <f t="shared" si="54"/>
        <v>none</v>
      </c>
      <c r="N51" s="43" t="str">
        <f>IFERROR(LEFT(M51,FIND("],",M51)+S124),M51)</f>
        <v>none</v>
      </c>
      <c r="O51" s="58" t="e">
        <f t="shared" si="56"/>
        <v>#VALUE!</v>
      </c>
      <c r="P51" s="58">
        <f t="shared" si="57"/>
        <v>4</v>
      </c>
      <c r="Q51" s="58" t="e">
        <f t="shared" si="58"/>
        <v>#VALUE!</v>
      </c>
      <c r="R51" s="58" t="e">
        <f t="shared" si="59"/>
        <v>#VALUE!</v>
      </c>
      <c r="S51" s="58" t="str">
        <f>IFERROR(VLOOKUP(MID(N51,Q51,R51-Q51),[8]skilldef!$C:$D,2,FALSE),"-") &amp; " / " &amp; IFERROR(VLOOKUP(MID(N51,O51,P51-O51),[8]skilldef!$A:$B,2,FALSE),"-")</f>
        <v>- / -</v>
      </c>
      <c r="T51" s="43" t="str">
        <f t="shared" si="60"/>
        <v>none</v>
      </c>
      <c r="U51" s="58" t="e">
        <f t="shared" si="61"/>
        <v>#VALUE!</v>
      </c>
      <c r="V51" s="58">
        <f t="shared" si="62"/>
        <v>4</v>
      </c>
      <c r="W51" s="58" t="e">
        <f t="shared" si="63"/>
        <v>#VALUE!</v>
      </c>
      <c r="X51" s="58" t="e">
        <f t="shared" si="64"/>
        <v>#VALUE!</v>
      </c>
      <c r="Y51" s="58" t="str">
        <f>IFERROR(VLOOKUP(MID(T51,W51,X51-W51),[8]skilldef!$C:$D,2,FALSE),"-") &amp; " / " &amp; IFERROR(VLOOKUP(MID(T51,U51,V51-U51),[8]skilldef!$A:$B,2,FALSE),"-")</f>
        <v>- / -</v>
      </c>
      <c r="Z51" s="45"/>
      <c r="AA51" s="47"/>
      <c r="AB51" s="45"/>
    </row>
    <row r="52" spans="1:28" ht="21" customHeight="1" x14ac:dyDescent="0.15">
      <c r="A52" s="42">
        <f t="shared" si="48"/>
        <v>65535253</v>
      </c>
      <c r="B52" s="204" t="s">
        <v>401</v>
      </c>
      <c r="C52" s="205">
        <v>3</v>
      </c>
      <c r="D52" s="205" t="s">
        <v>347</v>
      </c>
      <c r="E52" s="206" t="s">
        <v>402</v>
      </c>
      <c r="F52" s="206" t="s">
        <v>383</v>
      </c>
      <c r="G52" s="58" t="str">
        <f t="shared" si="49"/>
        <v>[effect:damage_anti_color, target:unit_all, color:yellow, val1:0.75, val2:0.25]</v>
      </c>
      <c r="H52" s="58">
        <f t="shared" si="50"/>
        <v>9</v>
      </c>
      <c r="I52" s="58">
        <f t="shared" si="51"/>
        <v>26</v>
      </c>
      <c r="J52" s="58">
        <f t="shared" si="52"/>
        <v>35</v>
      </c>
      <c r="K52" s="58">
        <f t="shared" si="53"/>
        <v>43</v>
      </c>
      <c r="L52" s="58" t="str">
        <f>IFERROR(VLOOKUP(MID(G52,J52,K52-J52),[8]skilldef!$C:$D,2,FALSE),"-") &amp; " / " &amp; IFERROR(VLOOKUP(MID(G52,H52,I52-H52),[8]skilldef!$A:$B,2,FALSE),"-")</f>
        <v>味方全体に / 属性キラー</v>
      </c>
      <c r="M52" s="58" t="str">
        <f t="shared" si="54"/>
        <v>none</v>
      </c>
      <c r="N52" s="43" t="str">
        <f>IFERROR(LEFT(M52,FIND("],",M52)+S124),M52)</f>
        <v>none</v>
      </c>
      <c r="O52" s="58" t="e">
        <f t="shared" si="56"/>
        <v>#VALUE!</v>
      </c>
      <c r="P52" s="58">
        <f t="shared" si="57"/>
        <v>4</v>
      </c>
      <c r="Q52" s="58" t="e">
        <f t="shared" si="58"/>
        <v>#VALUE!</v>
      </c>
      <c r="R52" s="58" t="e">
        <f t="shared" si="59"/>
        <v>#VALUE!</v>
      </c>
      <c r="S52" s="58" t="str">
        <f>IFERROR(VLOOKUP(MID(N52,Q52,R52-Q52),[8]skilldef!$C:$D,2,FALSE),"-") &amp; " / " &amp; IFERROR(VLOOKUP(MID(N52,O52,P52-O52),[8]skilldef!$A:$B,2,FALSE),"-")</f>
        <v>- / -</v>
      </c>
      <c r="T52" s="43" t="str">
        <f t="shared" si="60"/>
        <v>none</v>
      </c>
      <c r="U52" s="58" t="e">
        <f t="shared" si="61"/>
        <v>#VALUE!</v>
      </c>
      <c r="V52" s="58">
        <f t="shared" si="62"/>
        <v>4</v>
      </c>
      <c r="W52" s="58" t="e">
        <f t="shared" si="63"/>
        <v>#VALUE!</v>
      </c>
      <c r="X52" s="58" t="e">
        <f t="shared" si="64"/>
        <v>#VALUE!</v>
      </c>
      <c r="Y52" s="58" t="str">
        <f>IFERROR(VLOOKUP(MID(T52,W52,X52-W52),[8]skilldef!$C:$D,2,FALSE),"-") &amp; " / " &amp; IFERROR(VLOOKUP(MID(T52,U52,V52-U52),[8]skilldef!$A:$B,2,FALSE),"-")</f>
        <v>- / -</v>
      </c>
      <c r="Z52" s="45"/>
      <c r="AA52" s="47"/>
      <c r="AB52" s="45"/>
    </row>
    <row r="53" spans="1:28" ht="21" customHeight="1" x14ac:dyDescent="0.15">
      <c r="A53" s="42">
        <f t="shared" si="48"/>
        <v>65535254</v>
      </c>
      <c r="B53" s="204" t="s">
        <v>403</v>
      </c>
      <c r="C53" s="205">
        <v>3</v>
      </c>
      <c r="D53" s="205" t="s">
        <v>331</v>
      </c>
      <c r="E53" s="206" t="s">
        <v>404</v>
      </c>
      <c r="F53" s="206" t="s">
        <v>405</v>
      </c>
      <c r="G53" s="58" t="str">
        <f t="shared" si="49"/>
        <v xml:space="preserve">[effect:panel_freeze, target:block_yellow, count:-1, break_count:1] </v>
      </c>
      <c r="H53" s="58">
        <f t="shared" si="50"/>
        <v>9</v>
      </c>
      <c r="I53" s="58">
        <f t="shared" si="51"/>
        <v>21</v>
      </c>
      <c r="J53" s="58">
        <f t="shared" si="52"/>
        <v>30</v>
      </c>
      <c r="K53" s="58">
        <f t="shared" si="53"/>
        <v>42</v>
      </c>
      <c r="L53" s="58" t="str">
        <f>IFERROR(VLOOKUP(MID(G53,J53,K53-J53),[8]skilldef!$C:$D,2,FALSE),"-") &amp; " / " &amp; IFERROR(VLOOKUP(MID(G53,H53,I53-H53),[8]skilldef!$A:$B,2,FALSE),"-")</f>
        <v>黄色パネルを / -</v>
      </c>
      <c r="M53" s="58" t="str">
        <f t="shared" si="54"/>
        <v>none</v>
      </c>
      <c r="N53" s="43" t="str">
        <f>IFERROR(LEFT(M53,FIND("],",M53)+S125),M53)</f>
        <v>none</v>
      </c>
      <c r="O53" s="58" t="e">
        <f t="shared" si="56"/>
        <v>#VALUE!</v>
      </c>
      <c r="P53" s="58">
        <f t="shared" si="57"/>
        <v>4</v>
      </c>
      <c r="Q53" s="58" t="e">
        <f t="shared" si="58"/>
        <v>#VALUE!</v>
      </c>
      <c r="R53" s="58" t="e">
        <f t="shared" si="59"/>
        <v>#VALUE!</v>
      </c>
      <c r="S53" s="58" t="str">
        <f>IFERROR(VLOOKUP(MID(N53,Q53,R53-Q53),[8]skilldef!$C:$D,2,FALSE),"-") &amp; " / " &amp; IFERROR(VLOOKUP(MID(N53,O53,P53-O53),[8]skilldef!$A:$B,2,FALSE),"-")</f>
        <v>- / -</v>
      </c>
      <c r="T53" s="43" t="str">
        <f t="shared" si="60"/>
        <v>none</v>
      </c>
      <c r="U53" s="58" t="e">
        <f t="shared" si="61"/>
        <v>#VALUE!</v>
      </c>
      <c r="V53" s="58">
        <f t="shared" si="62"/>
        <v>4</v>
      </c>
      <c r="W53" s="58" t="e">
        <f t="shared" si="63"/>
        <v>#VALUE!</v>
      </c>
      <c r="X53" s="58" t="e">
        <f t="shared" si="64"/>
        <v>#VALUE!</v>
      </c>
      <c r="Y53" s="58" t="str">
        <f>IFERROR(VLOOKUP(MID(T53,W53,X53-W53),[8]skilldef!$C:$D,2,FALSE),"-") &amp; " / " &amp; IFERROR(VLOOKUP(MID(T53,U53,V53-U53),[8]skilldef!$A:$B,2,FALSE),"-")</f>
        <v>- / -</v>
      </c>
      <c r="Z53" s="45"/>
      <c r="AA53" s="47"/>
      <c r="AB53" s="45"/>
    </row>
    <row r="54" spans="1:28" ht="21" customHeight="1" x14ac:dyDescent="0.15">
      <c r="A54" s="42">
        <f t="shared" si="48"/>
        <v>65535255</v>
      </c>
      <c r="B54" s="204" t="s">
        <v>406</v>
      </c>
      <c r="C54" s="205">
        <v>3</v>
      </c>
      <c r="D54" s="205" t="s">
        <v>331</v>
      </c>
      <c r="E54" s="206" t="s">
        <v>407</v>
      </c>
      <c r="F54" s="206" t="s">
        <v>408</v>
      </c>
      <c r="G54" s="58" t="str">
        <f t="shared" si="49"/>
        <v>[effect:break_attack_fix, target:unit_all, val:150, lowest_val:1000, count:-1, color:yellow, block01:block_yellow]</v>
      </c>
      <c r="H54" s="58">
        <f t="shared" si="50"/>
        <v>9</v>
      </c>
      <c r="I54" s="58">
        <f t="shared" si="51"/>
        <v>25</v>
      </c>
      <c r="J54" s="58">
        <f t="shared" si="52"/>
        <v>34</v>
      </c>
      <c r="K54" s="58">
        <f t="shared" si="53"/>
        <v>42</v>
      </c>
      <c r="L54" s="58" t="str">
        <f>IFERROR(VLOOKUP(MID(G54,J54,K54-J54),[8]skilldef!$C:$D,2,FALSE),"-") &amp; " / " &amp; IFERROR(VLOOKUP(MID(G54,H54,I54-H54),[8]skilldef!$A:$B,2,FALSE),"-")</f>
        <v>味方全体に / -</v>
      </c>
      <c r="M54" s="58" t="str">
        <f t="shared" si="54"/>
        <v>[effect:enemy_message, val1:2.2, val2:1.8]</v>
      </c>
      <c r="N54" s="43" t="str">
        <f>IFERROR(LEFT(M54,FIND("],",M54)+S126),M54)</f>
        <v>[effect:enemy_message, val1:2.2, val2:1.8]</v>
      </c>
      <c r="O54" s="58">
        <f t="shared" si="56"/>
        <v>9</v>
      </c>
      <c r="P54" s="58">
        <f t="shared" si="57"/>
        <v>22</v>
      </c>
      <c r="Q54" s="58" t="e">
        <f t="shared" si="58"/>
        <v>#VALUE!</v>
      </c>
      <c r="R54" s="58">
        <f t="shared" si="59"/>
        <v>32</v>
      </c>
      <c r="S54" s="58" t="str">
        <f>IFERROR(VLOOKUP(MID(N54,Q54,R54-Q54),[8]skilldef!$C:$D,2,FALSE),"-") &amp; " / " &amp; IFERROR(VLOOKUP(MID(N54,O54,P54-O54),[8]skilldef!$A:$B,2,FALSE),"-")</f>
        <v>- / -</v>
      </c>
      <c r="T54" s="43" t="str">
        <f t="shared" si="60"/>
        <v>none</v>
      </c>
      <c r="U54" s="58" t="e">
        <f t="shared" si="61"/>
        <v>#VALUE!</v>
      </c>
      <c r="V54" s="58">
        <f t="shared" si="62"/>
        <v>4</v>
      </c>
      <c r="W54" s="58" t="e">
        <f t="shared" si="63"/>
        <v>#VALUE!</v>
      </c>
      <c r="X54" s="58" t="e">
        <f t="shared" si="64"/>
        <v>#VALUE!</v>
      </c>
      <c r="Y54" s="58" t="str">
        <f>IFERROR(VLOOKUP(MID(T54,W54,X54-W54),[8]skilldef!$C:$D,2,FALSE),"-") &amp; " / " &amp; IFERROR(VLOOKUP(MID(T54,U54,V54-U54),[8]skilldef!$A:$B,2,FALSE),"-")</f>
        <v>- / -</v>
      </c>
      <c r="Z54" s="45"/>
      <c r="AA54" s="47"/>
      <c r="AB54" s="45"/>
    </row>
    <row r="55" spans="1:28" ht="21" customHeight="1" x14ac:dyDescent="0.15">
      <c r="A55" s="42">
        <f t="shared" si="48"/>
        <v>65535256</v>
      </c>
      <c r="B55" s="204" t="s">
        <v>409</v>
      </c>
      <c r="C55" s="205">
        <v>3</v>
      </c>
      <c r="D55" s="205" t="s">
        <v>331</v>
      </c>
      <c r="E55" s="206" t="s">
        <v>410</v>
      </c>
      <c r="F55" s="206" t="s">
        <v>411</v>
      </c>
      <c r="G55" s="58" t="str">
        <f t="shared" si="49"/>
        <v>[effect:virus, target:unit_all, turn:3, rate:1, val:0.1, animation:enemy_virus]</v>
      </c>
      <c r="H55" s="58">
        <f t="shared" si="50"/>
        <v>9</v>
      </c>
      <c r="I55" s="58">
        <f t="shared" si="51"/>
        <v>14</v>
      </c>
      <c r="J55" s="58">
        <f t="shared" si="52"/>
        <v>23</v>
      </c>
      <c r="K55" s="58">
        <f t="shared" si="53"/>
        <v>31</v>
      </c>
      <c r="L55" s="58" t="str">
        <f>IFERROR(VLOOKUP(MID(G55,J55,K55-J55),[8]skilldef!$C:$D,2,FALSE),"-") &amp; " / " &amp; IFERROR(VLOOKUP(MID(G55,H55,I55-H55),[8]skilldef!$A:$B,2,FALSE),"-")</f>
        <v>味方全体に / ウィルス</v>
      </c>
      <c r="M55" s="58" t="str">
        <f t="shared" si="54"/>
        <v>none</v>
      </c>
      <c r="N55" s="43" t="str">
        <f>IFERROR(LEFT(M55,FIND("],",M55)+S117),M55)</f>
        <v>none</v>
      </c>
      <c r="O55" s="58" t="e">
        <f t="shared" si="56"/>
        <v>#VALUE!</v>
      </c>
      <c r="P55" s="58">
        <f t="shared" si="57"/>
        <v>4</v>
      </c>
      <c r="Q55" s="58" t="e">
        <f t="shared" si="58"/>
        <v>#VALUE!</v>
      </c>
      <c r="R55" s="58" t="e">
        <f t="shared" si="59"/>
        <v>#VALUE!</v>
      </c>
      <c r="S55" s="58" t="str">
        <f>IFERROR(VLOOKUP(MID(N55,Q55,R55-Q55),[8]skilldef!$C:$D,2,FALSE),"-") &amp; " / " &amp; IFERROR(VLOOKUP(MID(N55,O55,P55-O55),[8]skilldef!$A:$B,2,FALSE),"-")</f>
        <v>- / -</v>
      </c>
      <c r="T55" s="43" t="str">
        <f t="shared" si="60"/>
        <v>none</v>
      </c>
      <c r="U55" s="58" t="e">
        <f t="shared" si="61"/>
        <v>#VALUE!</v>
      </c>
      <c r="V55" s="58">
        <f t="shared" si="62"/>
        <v>4</v>
      </c>
      <c r="W55" s="58" t="e">
        <f t="shared" si="63"/>
        <v>#VALUE!</v>
      </c>
      <c r="X55" s="58" t="e">
        <f t="shared" si="64"/>
        <v>#VALUE!</v>
      </c>
      <c r="Y55" s="58" t="str">
        <f>IFERROR(VLOOKUP(MID(T55,W55,X55-W55),[8]skilldef!$C:$D,2,FALSE),"-") &amp; " / " &amp; IFERROR(VLOOKUP(MID(T55,U55,V55-U55),[8]skilldef!$A:$B,2,FALSE),"-")</f>
        <v>- / -</v>
      </c>
      <c r="Z55" s="45"/>
      <c r="AA55" s="47"/>
      <c r="AB55" s="45"/>
    </row>
    <row r="56" spans="1:28" ht="21" customHeight="1" x14ac:dyDescent="0.15">
      <c r="A56" s="42">
        <f t="shared" si="48"/>
        <v>65535257</v>
      </c>
      <c r="B56" s="204" t="s">
        <v>412</v>
      </c>
      <c r="C56" s="205">
        <v>3</v>
      </c>
      <c r="D56" s="205" t="s">
        <v>331</v>
      </c>
      <c r="E56" s="206" t="s">
        <v>413</v>
      </c>
      <c r="F56" s="206" t="s">
        <v>414</v>
      </c>
      <c r="G56" s="58" t="str">
        <f t="shared" si="49"/>
        <v>[effect:damage_anti_abnormal, target:unit_all, target_effect01:virus, val1:0.4, val2:0.25]</v>
      </c>
      <c r="H56" s="58">
        <f t="shared" si="50"/>
        <v>9</v>
      </c>
      <c r="I56" s="58">
        <f t="shared" si="51"/>
        <v>29</v>
      </c>
      <c r="J56" s="58">
        <f t="shared" si="52"/>
        <v>38</v>
      </c>
      <c r="K56" s="58">
        <f t="shared" si="53"/>
        <v>46</v>
      </c>
      <c r="L56" s="58" t="str">
        <f>IFERROR(VLOOKUP(MID(G56,J56,K56-J56),[8]skilldef!$C:$D,2,FALSE),"-") &amp; " / " &amp; IFERROR(VLOOKUP(MID(G56,H56,I56-H56),[8]skilldef!$A:$B,2,FALSE),"-")</f>
        <v>味方全体に / -</v>
      </c>
      <c r="M56" s="58" t="str">
        <f t="shared" si="54"/>
        <v>none</v>
      </c>
      <c r="N56" s="43" t="str">
        <f>IFERROR(LEFT(M56,FIND("],",M56)+S119),M56)</f>
        <v>none</v>
      </c>
      <c r="O56" s="58" t="e">
        <f t="shared" si="56"/>
        <v>#VALUE!</v>
      </c>
      <c r="P56" s="58">
        <f t="shared" si="57"/>
        <v>4</v>
      </c>
      <c r="Q56" s="58" t="e">
        <f t="shared" si="58"/>
        <v>#VALUE!</v>
      </c>
      <c r="R56" s="58" t="e">
        <f t="shared" si="59"/>
        <v>#VALUE!</v>
      </c>
      <c r="S56" s="58" t="str">
        <f>IFERROR(VLOOKUP(MID(N56,Q56,R56-Q56),[8]skilldef!$C:$D,2,FALSE),"-") &amp; " / " &amp; IFERROR(VLOOKUP(MID(N56,O56,P56-O56),[8]skilldef!$A:$B,2,FALSE),"-")</f>
        <v>- / -</v>
      </c>
      <c r="T56" s="43" t="str">
        <f t="shared" si="60"/>
        <v>none</v>
      </c>
      <c r="U56" s="58" t="e">
        <f t="shared" si="61"/>
        <v>#VALUE!</v>
      </c>
      <c r="V56" s="58">
        <f t="shared" si="62"/>
        <v>4</v>
      </c>
      <c r="W56" s="58" t="e">
        <f t="shared" si="63"/>
        <v>#VALUE!</v>
      </c>
      <c r="X56" s="58" t="e">
        <f t="shared" si="64"/>
        <v>#VALUE!</v>
      </c>
      <c r="Y56" s="58" t="str">
        <f>IFERROR(VLOOKUP(MID(T56,W56,X56-W56),[8]skilldef!$C:$D,2,FALSE),"-") &amp; " / " &amp; IFERROR(VLOOKUP(MID(T56,U56,V56-U56),[8]skilldef!$A:$B,2,FALSE),"-")</f>
        <v>- / -</v>
      </c>
      <c r="Z56" s="45"/>
      <c r="AA56" s="47"/>
      <c r="AB56" s="45"/>
    </row>
    <row r="57" spans="1:28" ht="21" customHeight="1" x14ac:dyDescent="0.15">
      <c r="A57" s="42">
        <f t="shared" si="48"/>
        <v>65535258</v>
      </c>
      <c r="B57" s="207" t="s">
        <v>415</v>
      </c>
      <c r="C57" s="208">
        <v>3</v>
      </c>
      <c r="D57" s="208" t="s">
        <v>347</v>
      </c>
      <c r="E57" s="209" t="s">
        <v>416</v>
      </c>
      <c r="F57" s="209" t="s">
        <v>417</v>
      </c>
      <c r="G57" s="58" t="str">
        <f t="shared" si="49"/>
        <v>[effect:remove_enhancement, target:unit_all, target_effect:all, animation:frozen_wave]</v>
      </c>
      <c r="H57" s="58">
        <f t="shared" si="50"/>
        <v>9</v>
      </c>
      <c r="I57" s="58">
        <f t="shared" si="51"/>
        <v>27</v>
      </c>
      <c r="J57" s="58">
        <f t="shared" si="52"/>
        <v>36</v>
      </c>
      <c r="K57" s="58">
        <f t="shared" si="53"/>
        <v>44</v>
      </c>
      <c r="L57" s="58" t="str">
        <f>IFERROR(VLOOKUP(MID(G57,J57,K57-J57),[8]skilldef!$C:$D,2,FALSE),"-") &amp; " / " &amp; IFERROR(VLOOKUP(MID(G57,H57,I57-H57),[8]skilldef!$A:$B,2,FALSE),"-")</f>
        <v>味方全体に / -</v>
      </c>
      <c r="M57" s="58" t="str">
        <f t="shared" si="54"/>
        <v>[effect:change_attribute, target:myself, color:yellow, turn:-1, animation:change_attribute_yellow],[effect:fix_speed, target:myself, turn:1],[effect:enemy_message, val1:1.5, val2:1.8]</v>
      </c>
      <c r="N57" s="43" t="str">
        <f>IFERROR(LEFT(M57,FIND("],",M57)+S130),M57)</f>
        <v>[effect:change_attribute, target:myself, color:yellow, turn:-1, animation:change_attribute_yellow]</v>
      </c>
      <c r="O57" s="58">
        <f t="shared" si="56"/>
        <v>9</v>
      </c>
      <c r="P57" s="58">
        <f t="shared" si="57"/>
        <v>25</v>
      </c>
      <c r="Q57" s="58">
        <f t="shared" si="58"/>
        <v>34</v>
      </c>
      <c r="R57" s="58">
        <f t="shared" si="59"/>
        <v>40</v>
      </c>
      <c r="S57" s="58" t="str">
        <f>IFERROR(VLOOKUP(MID(N57,Q57,R57-Q57),[8]skilldef!$C:$D,2,FALSE),"-") &amp; " / " &amp; IFERROR(VLOOKUP(MID(N57,O57,P57-O57),[8]skilldef!$A:$B,2,FALSE),"-")</f>
        <v>自分自身に / -</v>
      </c>
      <c r="T57" s="43" t="str">
        <f t="shared" si="60"/>
        <v>[effect:fix_speed, target:myself, turn:1],[effect:enemy_message, val1:1.5, val2:1.8]</v>
      </c>
      <c r="U57" s="58">
        <f t="shared" si="61"/>
        <v>9</v>
      </c>
      <c r="V57" s="58">
        <f t="shared" si="62"/>
        <v>18</v>
      </c>
      <c r="W57" s="58">
        <f t="shared" si="63"/>
        <v>27</v>
      </c>
      <c r="X57" s="58">
        <f t="shared" si="64"/>
        <v>33</v>
      </c>
      <c r="Y57" s="58" t="str">
        <f>IFERROR(VLOOKUP(MID(T57,W57,X57-W57),[8]skilldef!$C:$D,2,FALSE),"-") &amp; " / " &amp; IFERROR(VLOOKUP(MID(T57,U57,V57-U57),[8]skilldef!$A:$B,2,FALSE),"-")</f>
        <v>自分自身に / 行動値設定</v>
      </c>
      <c r="Z57" s="45"/>
      <c r="AA57" s="47"/>
      <c r="AB57" s="45"/>
    </row>
    <row r="58" spans="1:28" ht="21" customHeight="1" x14ac:dyDescent="0.15">
      <c r="A58" s="42">
        <f t="shared" si="48"/>
        <v>65535259</v>
      </c>
      <c r="B58" s="207" t="s">
        <v>418</v>
      </c>
      <c r="C58" s="208">
        <v>3</v>
      </c>
      <c r="D58" s="208" t="s">
        <v>335</v>
      </c>
      <c r="E58" s="209" t="s">
        <v>419</v>
      </c>
      <c r="F58" s="209" t="s">
        <v>420</v>
      </c>
      <c r="G58" s="58" t="str">
        <f t="shared" si="49"/>
        <v>[effect:change_attribute, target:myself, color:green, turn:-1, animation:change_attribute_green]</v>
      </c>
      <c r="H58" s="58">
        <f t="shared" si="50"/>
        <v>9</v>
      </c>
      <c r="I58" s="58">
        <f t="shared" si="51"/>
        <v>25</v>
      </c>
      <c r="J58" s="58">
        <f t="shared" si="52"/>
        <v>34</v>
      </c>
      <c r="K58" s="58">
        <f t="shared" si="53"/>
        <v>40</v>
      </c>
      <c r="L58" s="58" t="str">
        <f>IFERROR(VLOOKUP(MID(G58,J58,K58-J58),[8]skilldef!$C:$D,2,FALSE),"-") &amp; " / " &amp; IFERROR(VLOOKUP(MID(G58,H58,I58-H58),[8]skilldef!$A:$B,2,FALSE),"-")</f>
        <v>自分自身に / -</v>
      </c>
      <c r="M58" s="58" t="str">
        <f t="shared" si="54"/>
        <v>none</v>
      </c>
      <c r="N58" s="43" t="str">
        <f>IFERROR(LEFT(M58,FIND("],",M58)+S130),M58)</f>
        <v>none</v>
      </c>
      <c r="O58" s="58" t="e">
        <f t="shared" si="56"/>
        <v>#VALUE!</v>
      </c>
      <c r="P58" s="58">
        <f t="shared" si="57"/>
        <v>4</v>
      </c>
      <c r="Q58" s="58" t="e">
        <f t="shared" si="58"/>
        <v>#VALUE!</v>
      </c>
      <c r="R58" s="58" t="e">
        <f t="shared" si="59"/>
        <v>#VALUE!</v>
      </c>
      <c r="S58" s="58" t="str">
        <f>IFERROR(VLOOKUP(MID(N58,Q58,R58-Q58),[8]skilldef!$C:$D,2,FALSE),"-") &amp; " / " &amp; IFERROR(VLOOKUP(MID(N58,O58,P58-O58),[8]skilldef!$A:$B,2,FALSE),"-")</f>
        <v>- / -</v>
      </c>
      <c r="T58" s="43" t="str">
        <f t="shared" si="60"/>
        <v>none</v>
      </c>
      <c r="U58" s="58" t="e">
        <f t="shared" si="61"/>
        <v>#VALUE!</v>
      </c>
      <c r="V58" s="58">
        <f t="shared" si="62"/>
        <v>4</v>
      </c>
      <c r="W58" s="58" t="e">
        <f t="shared" si="63"/>
        <v>#VALUE!</v>
      </c>
      <c r="X58" s="58" t="e">
        <f t="shared" si="64"/>
        <v>#VALUE!</v>
      </c>
      <c r="Y58" s="58" t="str">
        <f>IFERROR(VLOOKUP(MID(T58,W58,X58-W58),[8]skilldef!$C:$D,2,FALSE),"-") &amp; " / " &amp; IFERROR(VLOOKUP(MID(T58,U58,V58-U58),[8]skilldef!$A:$B,2,FALSE),"-")</f>
        <v>- / -</v>
      </c>
      <c r="Z58" s="45"/>
      <c r="AA58" s="47"/>
      <c r="AB58" s="45"/>
    </row>
    <row r="59" spans="1:28" ht="21" customHeight="1" x14ac:dyDescent="0.15">
      <c r="A59" s="42">
        <f t="shared" si="48"/>
        <v>65535260</v>
      </c>
      <c r="B59" s="207" t="s">
        <v>395</v>
      </c>
      <c r="C59" s="208">
        <v>3</v>
      </c>
      <c r="D59" s="208" t="s">
        <v>365</v>
      </c>
      <c r="E59" s="209" t="s">
        <v>396</v>
      </c>
      <c r="F59" s="209" t="s">
        <v>373</v>
      </c>
      <c r="G59" s="58" t="str">
        <f t="shared" si="49"/>
        <v>[effect:damage_anti_color, target:unit_all, color:red, val1:0.75, val2:0.25]</v>
      </c>
      <c r="H59" s="58">
        <f t="shared" si="50"/>
        <v>9</v>
      </c>
      <c r="I59" s="58">
        <f t="shared" si="51"/>
        <v>26</v>
      </c>
      <c r="J59" s="58">
        <f t="shared" si="52"/>
        <v>35</v>
      </c>
      <c r="K59" s="58">
        <f t="shared" si="53"/>
        <v>43</v>
      </c>
      <c r="L59" s="58" t="str">
        <f>IFERROR(VLOOKUP(MID(G59,J59,K59-J59),[8]skilldef!$C:$D,2,FALSE),"-") &amp; " / " &amp; IFERROR(VLOOKUP(MID(G59,H59,I59-H59),[8]skilldef!$A:$B,2,FALSE),"-")</f>
        <v>味方全体に / 属性キラー</v>
      </c>
      <c r="M59" s="58" t="str">
        <f t="shared" si="54"/>
        <v>none</v>
      </c>
      <c r="N59" s="43" t="str">
        <f>IFERROR(LEFT(M59,FIND("],",M59)+S131),M59)</f>
        <v>none</v>
      </c>
      <c r="O59" s="58" t="e">
        <f t="shared" si="56"/>
        <v>#VALUE!</v>
      </c>
      <c r="P59" s="58">
        <f t="shared" si="57"/>
        <v>4</v>
      </c>
      <c r="Q59" s="58" t="e">
        <f t="shared" si="58"/>
        <v>#VALUE!</v>
      </c>
      <c r="R59" s="58" t="e">
        <f t="shared" si="59"/>
        <v>#VALUE!</v>
      </c>
      <c r="S59" s="58" t="str">
        <f>IFERROR(VLOOKUP(MID(N59,Q59,R59-Q59),[8]skilldef!$C:$D,2,FALSE),"-") &amp; " / " &amp; IFERROR(VLOOKUP(MID(N59,O59,P59-O59),[8]skilldef!$A:$B,2,FALSE),"-")</f>
        <v>- / -</v>
      </c>
      <c r="T59" s="43" t="str">
        <f t="shared" si="60"/>
        <v>none</v>
      </c>
      <c r="U59" s="58" t="e">
        <f t="shared" si="61"/>
        <v>#VALUE!</v>
      </c>
      <c r="V59" s="58">
        <f t="shared" si="62"/>
        <v>4</v>
      </c>
      <c r="W59" s="58" t="e">
        <f t="shared" si="63"/>
        <v>#VALUE!</v>
      </c>
      <c r="X59" s="58" t="e">
        <f t="shared" si="64"/>
        <v>#VALUE!</v>
      </c>
      <c r="Y59" s="58" t="str">
        <f>IFERROR(VLOOKUP(MID(T59,W59,X59-W59),[8]skilldef!$C:$D,2,FALSE),"-") &amp; " / " &amp; IFERROR(VLOOKUP(MID(T59,U59,V59-U59),[8]skilldef!$A:$B,2,FALSE),"-")</f>
        <v>- / -</v>
      </c>
      <c r="Z59" s="45"/>
      <c r="AA59" s="47"/>
      <c r="AB59" s="45"/>
    </row>
    <row r="60" spans="1:28" ht="21" customHeight="1" x14ac:dyDescent="0.15">
      <c r="A60" s="42">
        <f t="shared" si="48"/>
        <v>65535261</v>
      </c>
      <c r="B60" s="207" t="s">
        <v>397</v>
      </c>
      <c r="C60" s="208">
        <v>3</v>
      </c>
      <c r="D60" s="208" t="s">
        <v>335</v>
      </c>
      <c r="E60" s="209" t="s">
        <v>398</v>
      </c>
      <c r="F60" s="209" t="s">
        <v>377</v>
      </c>
      <c r="G60" s="58" t="str">
        <f t="shared" si="49"/>
        <v>[effect:damage_anti_color, target:unit_all, color:blue, val1:0.75, val2:0.25]</v>
      </c>
      <c r="H60" s="58">
        <f t="shared" si="50"/>
        <v>9</v>
      </c>
      <c r="I60" s="58">
        <f t="shared" si="51"/>
        <v>26</v>
      </c>
      <c r="J60" s="58">
        <f t="shared" si="52"/>
        <v>35</v>
      </c>
      <c r="K60" s="58">
        <f t="shared" si="53"/>
        <v>43</v>
      </c>
      <c r="L60" s="58" t="str">
        <f>IFERROR(VLOOKUP(MID(G60,J60,K60-J60),[8]skilldef!$C:$D,2,FALSE),"-") &amp; " / " &amp; IFERROR(VLOOKUP(MID(G60,H60,I60-H60),[8]skilldef!$A:$B,2,FALSE),"-")</f>
        <v>味方全体に / 属性キラー</v>
      </c>
      <c r="M60" s="58" t="str">
        <f t="shared" si="54"/>
        <v>none</v>
      </c>
      <c r="N60" s="43" t="str">
        <f>IFERROR(LEFT(M60,FIND("],",M60)+S133),M60)</f>
        <v>none</v>
      </c>
      <c r="O60" s="58" t="e">
        <f t="shared" si="56"/>
        <v>#VALUE!</v>
      </c>
      <c r="P60" s="58">
        <f t="shared" si="57"/>
        <v>4</v>
      </c>
      <c r="Q60" s="58" t="e">
        <f t="shared" si="58"/>
        <v>#VALUE!</v>
      </c>
      <c r="R60" s="58" t="e">
        <f t="shared" si="59"/>
        <v>#VALUE!</v>
      </c>
      <c r="S60" s="58" t="str">
        <f>IFERROR(VLOOKUP(MID(N60,Q60,R60-Q60),[8]skilldef!$C:$D,2,FALSE),"-") &amp; " / " &amp; IFERROR(VLOOKUP(MID(N60,O60,P60-O60),[8]skilldef!$A:$B,2,FALSE),"-")</f>
        <v>- / -</v>
      </c>
      <c r="T60" s="43" t="str">
        <f t="shared" si="60"/>
        <v>none</v>
      </c>
      <c r="U60" s="58" t="e">
        <f t="shared" si="61"/>
        <v>#VALUE!</v>
      </c>
      <c r="V60" s="58">
        <f t="shared" si="62"/>
        <v>4</v>
      </c>
      <c r="W60" s="58" t="e">
        <f t="shared" si="63"/>
        <v>#VALUE!</v>
      </c>
      <c r="X60" s="58" t="e">
        <f t="shared" si="64"/>
        <v>#VALUE!</v>
      </c>
      <c r="Y60" s="58" t="str">
        <f>IFERROR(VLOOKUP(MID(T60,W60,X60-W60),[8]skilldef!$C:$D,2,FALSE),"-") &amp; " / " &amp; IFERROR(VLOOKUP(MID(T60,U60,V60-U60),[8]skilldef!$A:$B,2,FALSE),"-")</f>
        <v>- / -</v>
      </c>
      <c r="Z60" s="45"/>
      <c r="AA60" s="47"/>
      <c r="AB60" s="45"/>
    </row>
    <row r="61" spans="1:28" ht="21" customHeight="1" x14ac:dyDescent="0.15">
      <c r="A61" s="42">
        <f t="shared" si="48"/>
        <v>65535262</v>
      </c>
      <c r="B61" s="207" t="s">
        <v>399</v>
      </c>
      <c r="C61" s="208">
        <v>3</v>
      </c>
      <c r="D61" s="208" t="s">
        <v>421</v>
      </c>
      <c r="E61" s="209" t="s">
        <v>400</v>
      </c>
      <c r="F61" s="209" t="s">
        <v>380</v>
      </c>
      <c r="G61" s="58" t="str">
        <f t="shared" si="49"/>
        <v>[effect:damage_anti_color, target:unit_all, color:green, val1:0.75, val2:0.25]</v>
      </c>
      <c r="H61" s="58">
        <f t="shared" si="50"/>
        <v>9</v>
      </c>
      <c r="I61" s="58">
        <f t="shared" si="51"/>
        <v>26</v>
      </c>
      <c r="J61" s="58">
        <f t="shared" si="52"/>
        <v>35</v>
      </c>
      <c r="K61" s="58">
        <f t="shared" si="53"/>
        <v>43</v>
      </c>
      <c r="L61" s="58" t="str">
        <f>IFERROR(VLOOKUP(MID(G61,J61,K61-J61),[8]skilldef!$C:$D,2,FALSE),"-") &amp; " / " &amp; IFERROR(VLOOKUP(MID(G61,H61,I61-H61),[8]skilldef!$A:$B,2,FALSE),"-")</f>
        <v>味方全体に / 属性キラー</v>
      </c>
      <c r="M61" s="58" t="str">
        <f t="shared" si="54"/>
        <v>none</v>
      </c>
      <c r="N61" s="43" t="str">
        <f>IFERROR(LEFT(M61,FIND("],",M61)+S134),M61)</f>
        <v>none</v>
      </c>
      <c r="O61" s="58" t="e">
        <f t="shared" si="56"/>
        <v>#VALUE!</v>
      </c>
      <c r="P61" s="58">
        <f t="shared" si="57"/>
        <v>4</v>
      </c>
      <c r="Q61" s="58" t="e">
        <f t="shared" si="58"/>
        <v>#VALUE!</v>
      </c>
      <c r="R61" s="58" t="e">
        <f t="shared" si="59"/>
        <v>#VALUE!</v>
      </c>
      <c r="S61" s="58" t="str">
        <f>IFERROR(VLOOKUP(MID(N61,Q61,R61-Q61),[8]skilldef!$C:$D,2,FALSE),"-") &amp; " / " &amp; IFERROR(VLOOKUP(MID(N61,O61,P61-O61),[8]skilldef!$A:$B,2,FALSE),"-")</f>
        <v>- / -</v>
      </c>
      <c r="T61" s="43" t="str">
        <f t="shared" si="60"/>
        <v>none</v>
      </c>
      <c r="U61" s="58" t="e">
        <f t="shared" si="61"/>
        <v>#VALUE!</v>
      </c>
      <c r="V61" s="58">
        <f t="shared" si="62"/>
        <v>4</v>
      </c>
      <c r="W61" s="58" t="e">
        <f t="shared" si="63"/>
        <v>#VALUE!</v>
      </c>
      <c r="X61" s="58" t="e">
        <f t="shared" si="64"/>
        <v>#VALUE!</v>
      </c>
      <c r="Y61" s="58" t="str">
        <f>IFERROR(VLOOKUP(MID(T61,W61,X61-W61),[8]skilldef!$C:$D,2,FALSE),"-") &amp; " / " &amp; IFERROR(VLOOKUP(MID(T61,U61,V61-U61),[8]skilldef!$A:$B,2,FALSE),"-")</f>
        <v>- / -</v>
      </c>
      <c r="Z61" s="45"/>
      <c r="AA61" s="47"/>
      <c r="AB61" s="45"/>
    </row>
    <row r="62" spans="1:28" ht="21" customHeight="1" x14ac:dyDescent="0.15">
      <c r="A62" s="42">
        <f t="shared" si="48"/>
        <v>65535263</v>
      </c>
      <c r="B62" s="207" t="s">
        <v>401</v>
      </c>
      <c r="C62" s="208">
        <v>3</v>
      </c>
      <c r="D62" s="208" t="s">
        <v>347</v>
      </c>
      <c r="E62" s="209" t="s">
        <v>402</v>
      </c>
      <c r="F62" s="209" t="s">
        <v>383</v>
      </c>
      <c r="G62" s="58" t="str">
        <f t="shared" si="49"/>
        <v>[effect:damage_anti_color, target:unit_all, color:yellow, val1:0.75, val2:0.25]</v>
      </c>
      <c r="H62" s="58">
        <f t="shared" si="50"/>
        <v>9</v>
      </c>
      <c r="I62" s="58">
        <f t="shared" si="51"/>
        <v>26</v>
      </c>
      <c r="J62" s="58">
        <f t="shared" si="52"/>
        <v>35</v>
      </c>
      <c r="K62" s="58">
        <f t="shared" si="53"/>
        <v>43</v>
      </c>
      <c r="L62" s="58" t="str">
        <f>IFERROR(VLOOKUP(MID(G62,J62,K62-J62),[8]skilldef!$C:$D,2,FALSE),"-") &amp; " / " &amp; IFERROR(VLOOKUP(MID(G62,H62,I62-H62),[8]skilldef!$A:$B,2,FALSE),"-")</f>
        <v>味方全体に / 属性キラー</v>
      </c>
      <c r="M62" s="58" t="str">
        <f t="shared" si="54"/>
        <v>none</v>
      </c>
      <c r="N62" s="43" t="str">
        <f>IFERROR(LEFT(M62,FIND("],",M62)+S134),M62)</f>
        <v>none</v>
      </c>
      <c r="O62" s="58" t="e">
        <f t="shared" si="56"/>
        <v>#VALUE!</v>
      </c>
      <c r="P62" s="58">
        <f t="shared" si="57"/>
        <v>4</v>
      </c>
      <c r="Q62" s="58" t="e">
        <f t="shared" si="58"/>
        <v>#VALUE!</v>
      </c>
      <c r="R62" s="58" t="e">
        <f t="shared" si="59"/>
        <v>#VALUE!</v>
      </c>
      <c r="S62" s="58" t="str">
        <f>IFERROR(VLOOKUP(MID(N62,Q62,R62-Q62),[8]skilldef!$C:$D,2,FALSE),"-") &amp; " / " &amp; IFERROR(VLOOKUP(MID(N62,O62,P62-O62),[8]skilldef!$A:$B,2,FALSE),"-")</f>
        <v>- / -</v>
      </c>
      <c r="T62" s="43" t="str">
        <f t="shared" si="60"/>
        <v>none</v>
      </c>
      <c r="U62" s="58" t="e">
        <f t="shared" si="61"/>
        <v>#VALUE!</v>
      </c>
      <c r="V62" s="58">
        <f t="shared" si="62"/>
        <v>4</v>
      </c>
      <c r="W62" s="58" t="e">
        <f t="shared" si="63"/>
        <v>#VALUE!</v>
      </c>
      <c r="X62" s="58" t="e">
        <f t="shared" si="64"/>
        <v>#VALUE!</v>
      </c>
      <c r="Y62" s="58" t="str">
        <f>IFERROR(VLOOKUP(MID(T62,W62,X62-W62),[8]skilldef!$C:$D,2,FALSE),"-") &amp; " / " &amp; IFERROR(VLOOKUP(MID(T62,U62,V62-U62),[8]skilldef!$A:$B,2,FALSE),"-")</f>
        <v>- / -</v>
      </c>
      <c r="Z62" s="45"/>
      <c r="AA62" s="47"/>
      <c r="AB62" s="45"/>
    </row>
    <row r="63" spans="1:28" ht="43" customHeight="1" x14ac:dyDescent="0.15">
      <c r="A63" s="42">
        <f t="shared" si="48"/>
        <v>65535264</v>
      </c>
      <c r="B63" s="207" t="s">
        <v>422</v>
      </c>
      <c r="C63" s="208">
        <v>3</v>
      </c>
      <c r="D63" s="208" t="s">
        <v>347</v>
      </c>
      <c r="E63" s="209" t="s">
        <v>423</v>
      </c>
      <c r="F63" s="209" t="s">
        <v>424</v>
      </c>
      <c r="G63" s="58" t="str">
        <f t="shared" si="49"/>
        <v>[effect:panel_freeze, target:block_green, count:-1, break_count:1] ,[effect:enemy_message, val1:1.2, val2:2.5]</v>
      </c>
      <c r="H63" s="58">
        <f t="shared" si="50"/>
        <v>9</v>
      </c>
      <c r="I63" s="58">
        <f t="shared" si="51"/>
        <v>21</v>
      </c>
      <c r="J63" s="58">
        <f t="shared" si="52"/>
        <v>30</v>
      </c>
      <c r="K63" s="58">
        <f t="shared" si="53"/>
        <v>41</v>
      </c>
      <c r="L63" s="58" t="str">
        <f>IFERROR(VLOOKUP(MID(G63,J63,K63-J63),[8]skilldef!$C:$D,2,FALSE),"-") &amp; " / " &amp; IFERROR(VLOOKUP(MID(G63,H63,I63-H63),[8]skilldef!$A:$B,2,FALSE),"-")</f>
        <v>緑パネルを / -</v>
      </c>
      <c r="M63" s="58" t="str">
        <f t="shared" si="54"/>
        <v>none</v>
      </c>
      <c r="N63" s="43" t="str">
        <f>IFERROR(LEFT(M63,FIND("],",M63)+S135),M63)</f>
        <v>none</v>
      </c>
      <c r="O63" s="58" t="e">
        <f t="shared" si="56"/>
        <v>#VALUE!</v>
      </c>
      <c r="P63" s="58">
        <f t="shared" si="57"/>
        <v>4</v>
      </c>
      <c r="Q63" s="58" t="e">
        <f t="shared" si="58"/>
        <v>#VALUE!</v>
      </c>
      <c r="R63" s="58" t="e">
        <f t="shared" si="59"/>
        <v>#VALUE!</v>
      </c>
      <c r="S63" s="58" t="str">
        <f>IFERROR(VLOOKUP(MID(N63,Q63,R63-Q63),[8]skilldef!$C:$D,2,FALSE),"-") &amp; " / " &amp; IFERROR(VLOOKUP(MID(N63,O63,P63-O63),[8]skilldef!$A:$B,2,FALSE),"-")</f>
        <v>- / -</v>
      </c>
      <c r="T63" s="43" t="str">
        <f t="shared" si="60"/>
        <v>none</v>
      </c>
      <c r="U63" s="58" t="e">
        <f t="shared" si="61"/>
        <v>#VALUE!</v>
      </c>
      <c r="V63" s="58">
        <f t="shared" si="62"/>
        <v>4</v>
      </c>
      <c r="W63" s="58" t="e">
        <f t="shared" si="63"/>
        <v>#VALUE!</v>
      </c>
      <c r="X63" s="58" t="e">
        <f t="shared" si="64"/>
        <v>#VALUE!</v>
      </c>
      <c r="Y63" s="58" t="str">
        <f>IFERROR(VLOOKUP(MID(T63,W63,X63-W63),[8]skilldef!$C:$D,2,FALSE),"-") &amp; " / " &amp; IFERROR(VLOOKUP(MID(T63,U63,V63-U63),[8]skilldef!$A:$B,2,FALSE),"-")</f>
        <v>- / -</v>
      </c>
      <c r="Z63" s="45"/>
      <c r="AA63" s="47"/>
      <c r="AB63" s="45"/>
    </row>
    <row r="64" spans="1:28" ht="43" customHeight="1" x14ac:dyDescent="0.15">
      <c r="A64" s="42">
        <f t="shared" si="48"/>
        <v>65535265</v>
      </c>
      <c r="B64" s="207" t="s">
        <v>425</v>
      </c>
      <c r="C64" s="208">
        <v>3</v>
      </c>
      <c r="D64" s="208" t="s">
        <v>426</v>
      </c>
      <c r="E64" s="209" t="s">
        <v>427</v>
      </c>
      <c r="F64" s="209" t="s">
        <v>428</v>
      </c>
      <c r="G64" s="58" t="str">
        <f t="shared" si="49"/>
        <v>[effect:break_attack_fix, target:unit_all, val:150, lowest_val:1000, count:-1, color:green, block01:block_green]</v>
      </c>
      <c r="H64" s="58">
        <f t="shared" si="50"/>
        <v>9</v>
      </c>
      <c r="I64" s="58">
        <f t="shared" si="51"/>
        <v>25</v>
      </c>
      <c r="J64" s="58">
        <f t="shared" si="52"/>
        <v>34</v>
      </c>
      <c r="K64" s="58">
        <f t="shared" si="53"/>
        <v>42</v>
      </c>
      <c r="L64" s="58" t="str">
        <f>IFERROR(VLOOKUP(MID(G64,J64,K64-J64),[8]skilldef!$C:$D,2,FALSE),"-") &amp; " / " &amp; IFERROR(VLOOKUP(MID(G64,H64,I64-H64),[8]skilldef!$A:$B,2,FALSE),"-")</f>
        <v>味方全体に / -</v>
      </c>
      <c r="M64" s="58" t="str">
        <f t="shared" si="54"/>
        <v>[effect:enemy_message, val1:1.2, val2:2.5]</v>
      </c>
      <c r="N64" s="43" t="str">
        <f>IFERROR(LEFT(M64,FIND("],",M64)+S136),M64)</f>
        <v>[effect:enemy_message, val1:1.2, val2:2.5]</v>
      </c>
      <c r="O64" s="58">
        <f t="shared" si="56"/>
        <v>9</v>
      </c>
      <c r="P64" s="58">
        <f t="shared" si="57"/>
        <v>22</v>
      </c>
      <c r="Q64" s="58" t="e">
        <f t="shared" si="58"/>
        <v>#VALUE!</v>
      </c>
      <c r="R64" s="58">
        <f t="shared" si="59"/>
        <v>32</v>
      </c>
      <c r="S64" s="58" t="str">
        <f>IFERROR(VLOOKUP(MID(N64,Q64,R64-Q64),[8]skilldef!$C:$D,2,FALSE),"-") &amp; " / " &amp; IFERROR(VLOOKUP(MID(N64,O64,P64-O64),[8]skilldef!$A:$B,2,FALSE),"-")</f>
        <v>- / -</v>
      </c>
      <c r="T64" s="43" t="str">
        <f t="shared" si="60"/>
        <v>none</v>
      </c>
      <c r="U64" s="58" t="e">
        <f t="shared" si="61"/>
        <v>#VALUE!</v>
      </c>
      <c r="V64" s="58">
        <f t="shared" si="62"/>
        <v>4</v>
      </c>
      <c r="W64" s="58" t="e">
        <f t="shared" si="63"/>
        <v>#VALUE!</v>
      </c>
      <c r="X64" s="58" t="e">
        <f t="shared" si="64"/>
        <v>#VALUE!</v>
      </c>
      <c r="Y64" s="58" t="str">
        <f>IFERROR(VLOOKUP(MID(T64,W64,X64-W64),[8]skilldef!$C:$D,2,FALSE),"-") &amp; " / " &amp; IFERROR(VLOOKUP(MID(T64,U64,V64-U64),[8]skilldef!$A:$B,2,FALSE),"-")</f>
        <v>- / -</v>
      </c>
      <c r="Z64" s="45"/>
      <c r="AA64" s="47"/>
      <c r="AB64" s="45"/>
    </row>
    <row r="65" spans="1:28" ht="21" customHeight="1" x14ac:dyDescent="0.15">
      <c r="A65" s="42">
        <f t="shared" si="48"/>
        <v>65535266</v>
      </c>
      <c r="B65" s="207" t="s">
        <v>429</v>
      </c>
      <c r="C65" s="208">
        <v>3</v>
      </c>
      <c r="D65" s="208" t="s">
        <v>426</v>
      </c>
      <c r="E65" s="209" t="s">
        <v>430</v>
      </c>
      <c r="F65" s="209" t="s">
        <v>431</v>
      </c>
      <c r="G65" s="58" t="str">
        <f t="shared" si="49"/>
        <v>[effect:enemy_message, val1:1, val2:1.8]</v>
      </c>
      <c r="H65" s="58">
        <f t="shared" si="50"/>
        <v>9</v>
      </c>
      <c r="I65" s="58">
        <f t="shared" si="51"/>
        <v>22</v>
      </c>
      <c r="J65" s="58" t="e">
        <f t="shared" si="52"/>
        <v>#VALUE!</v>
      </c>
      <c r="K65" s="58">
        <f t="shared" si="53"/>
        <v>30</v>
      </c>
      <c r="L65" s="58" t="str">
        <f>IFERROR(VLOOKUP(MID(G65,J65,K65-J65),[8]skilldef!$C:$D,2,FALSE),"-") &amp; " / " &amp; IFERROR(VLOOKUP(MID(G65,H65,I65-H65),[8]skilldef!$A:$B,2,FALSE),"-")</f>
        <v>- / -</v>
      </c>
      <c r="M65" s="58" t="str">
        <f t="shared" si="54"/>
        <v>none</v>
      </c>
      <c r="N65" s="43" t="str">
        <f>IFERROR(LEFT(M65,FIND("],",M65)+S127),M65)</f>
        <v>none</v>
      </c>
      <c r="O65" s="58" t="e">
        <f t="shared" si="56"/>
        <v>#VALUE!</v>
      </c>
      <c r="P65" s="58">
        <f t="shared" si="57"/>
        <v>4</v>
      </c>
      <c r="Q65" s="58" t="e">
        <f t="shared" si="58"/>
        <v>#VALUE!</v>
      </c>
      <c r="R65" s="58" t="e">
        <f t="shared" si="59"/>
        <v>#VALUE!</v>
      </c>
      <c r="S65" s="58" t="str">
        <f>IFERROR(VLOOKUP(MID(N65,Q65,R65-Q65),[8]skilldef!$C:$D,2,FALSE),"-") &amp; " / " &amp; IFERROR(VLOOKUP(MID(N65,O65,P65-O65),[8]skilldef!$A:$B,2,FALSE),"-")</f>
        <v>- / -</v>
      </c>
      <c r="T65" s="43" t="str">
        <f t="shared" si="60"/>
        <v>none</v>
      </c>
      <c r="U65" s="58" t="e">
        <f t="shared" si="61"/>
        <v>#VALUE!</v>
      </c>
      <c r="V65" s="58">
        <f t="shared" si="62"/>
        <v>4</v>
      </c>
      <c r="W65" s="58" t="e">
        <f t="shared" si="63"/>
        <v>#VALUE!</v>
      </c>
      <c r="X65" s="58" t="e">
        <f t="shared" si="64"/>
        <v>#VALUE!</v>
      </c>
      <c r="Y65" s="58" t="str">
        <f>IFERROR(VLOOKUP(MID(T65,W65,X65-W65),[8]skilldef!$C:$D,2,FALSE),"-") &amp; " / " &amp; IFERROR(VLOOKUP(MID(T65,U65,V65-U65),[8]skilldef!$A:$B,2,FALSE),"-")</f>
        <v>- / -</v>
      </c>
      <c r="Z65" s="45"/>
      <c r="AA65" s="47"/>
      <c r="AB65" s="45"/>
    </row>
    <row r="66" spans="1:28" ht="21" customHeight="1" x14ac:dyDescent="0.15">
      <c r="A66" s="42">
        <f t="shared" si="48"/>
        <v>65535267</v>
      </c>
      <c r="B66" s="207" t="s">
        <v>432</v>
      </c>
      <c r="C66" s="208">
        <v>3</v>
      </c>
      <c r="D66" s="208" t="s">
        <v>331</v>
      </c>
      <c r="E66" s="209" t="s">
        <v>433</v>
      </c>
      <c r="F66" s="209" t="s">
        <v>314</v>
      </c>
      <c r="G66" s="58" t="str">
        <f t="shared" si="49"/>
        <v>[effect:spread, val:1.0]</v>
      </c>
      <c r="H66" s="58">
        <f t="shared" si="50"/>
        <v>9</v>
      </c>
      <c r="I66" s="58">
        <f t="shared" si="51"/>
        <v>15</v>
      </c>
      <c r="J66" s="58" t="e">
        <f t="shared" si="52"/>
        <v>#VALUE!</v>
      </c>
      <c r="K66" s="58" t="e">
        <f t="shared" si="53"/>
        <v>#VALUE!</v>
      </c>
      <c r="L66" s="58" t="str">
        <f>IFERROR(VLOOKUP(MID(G66,J66,K66-J66),[8]skilldef!$C:$D,2,FALSE),"-") &amp; " / " &amp; IFERROR(VLOOKUP(MID(G66,H66,I66-H66),[8]skilldef!$A:$B,2,FALSE),"-")</f>
        <v>- / 全体攻撃</v>
      </c>
      <c r="M66" s="58" t="str">
        <f t="shared" si="54"/>
        <v>none</v>
      </c>
      <c r="N66" s="43" t="str">
        <f>IFERROR(LEFT(M66,FIND("],",M66)+S129),M66)</f>
        <v>none</v>
      </c>
      <c r="O66" s="58" t="e">
        <f t="shared" si="56"/>
        <v>#VALUE!</v>
      </c>
      <c r="P66" s="58">
        <f t="shared" si="57"/>
        <v>4</v>
      </c>
      <c r="Q66" s="58" t="e">
        <f t="shared" si="58"/>
        <v>#VALUE!</v>
      </c>
      <c r="R66" s="58" t="e">
        <f t="shared" si="59"/>
        <v>#VALUE!</v>
      </c>
      <c r="S66" s="58" t="str">
        <f>IFERROR(VLOOKUP(MID(N66,Q66,R66-Q66),[8]skilldef!$C:$D,2,FALSE),"-") &amp; " / " &amp; IFERROR(VLOOKUP(MID(N66,O66,P66-O66),[8]skilldef!$A:$B,2,FALSE),"-")</f>
        <v>- / -</v>
      </c>
      <c r="T66" s="43" t="str">
        <f t="shared" si="60"/>
        <v>none</v>
      </c>
      <c r="U66" s="58" t="e">
        <f t="shared" si="61"/>
        <v>#VALUE!</v>
      </c>
      <c r="V66" s="58">
        <f t="shared" si="62"/>
        <v>4</v>
      </c>
      <c r="W66" s="58" t="e">
        <f t="shared" si="63"/>
        <v>#VALUE!</v>
      </c>
      <c r="X66" s="58" t="e">
        <f t="shared" si="64"/>
        <v>#VALUE!</v>
      </c>
      <c r="Y66" s="58" t="str">
        <f>IFERROR(VLOOKUP(MID(T66,W66,X66-W66),[8]skilldef!$C:$D,2,FALSE),"-") &amp; " / " &amp; IFERROR(VLOOKUP(MID(T66,U66,V66-U66),[8]skilldef!$A:$B,2,FALSE),"-")</f>
        <v>- / -</v>
      </c>
      <c r="Z66" s="45"/>
      <c r="AA66" s="47"/>
      <c r="AB66" s="45"/>
    </row>
    <row r="67" spans="1:28" ht="21" customHeight="1" x14ac:dyDescent="0.15">
      <c r="A67" s="42">
        <f t="shared" si="48"/>
        <v>65535268</v>
      </c>
      <c r="B67" s="207" t="s">
        <v>434</v>
      </c>
      <c r="C67" s="208">
        <v>3</v>
      </c>
      <c r="D67" s="208" t="s">
        <v>335</v>
      </c>
      <c r="E67" s="209" t="s">
        <v>435</v>
      </c>
      <c r="F67" s="209" t="s">
        <v>436</v>
      </c>
      <c r="G67" s="58" t="str">
        <f t="shared" si="49"/>
        <v>[effect:enemy_message, val1:1.8, val2:0]</v>
      </c>
      <c r="H67" s="58">
        <f t="shared" si="50"/>
        <v>9</v>
      </c>
      <c r="I67" s="58">
        <f t="shared" si="51"/>
        <v>22</v>
      </c>
      <c r="J67" s="58" t="e">
        <f t="shared" si="52"/>
        <v>#VALUE!</v>
      </c>
      <c r="K67" s="58">
        <f t="shared" si="53"/>
        <v>32</v>
      </c>
      <c r="L67" s="58" t="str">
        <f>IFERROR(VLOOKUP(MID(G67,J67,K67-J67),[8]skilldef!$C:$D,2,FALSE),"-") &amp; " / " &amp; IFERROR(VLOOKUP(MID(G67,H67,I67-H67),[8]skilldef!$A:$B,2,FALSE),"-")</f>
        <v>- / -</v>
      </c>
      <c r="M67" s="58" t="str">
        <f t="shared" si="54"/>
        <v>none</v>
      </c>
      <c r="N67" s="43" t="str">
        <f>IFERROR(LEFT(M67,FIND("],",M67)+S130),M67)</f>
        <v>none</v>
      </c>
      <c r="O67" s="58" t="e">
        <f t="shared" si="56"/>
        <v>#VALUE!</v>
      </c>
      <c r="P67" s="58">
        <f t="shared" si="57"/>
        <v>4</v>
      </c>
      <c r="Q67" s="58" t="e">
        <f t="shared" si="58"/>
        <v>#VALUE!</v>
      </c>
      <c r="R67" s="58" t="e">
        <f t="shared" si="59"/>
        <v>#VALUE!</v>
      </c>
      <c r="S67" s="58" t="str">
        <f>IFERROR(VLOOKUP(MID(N67,Q67,R67-Q67),[8]skilldef!$C:$D,2,FALSE),"-") &amp; " / " &amp; IFERROR(VLOOKUP(MID(N67,O67,P67-O67),[8]skilldef!$A:$B,2,FALSE),"-")</f>
        <v>- / -</v>
      </c>
      <c r="T67" s="43" t="str">
        <f t="shared" si="60"/>
        <v>none</v>
      </c>
      <c r="U67" s="58" t="e">
        <f t="shared" si="61"/>
        <v>#VALUE!</v>
      </c>
      <c r="V67" s="58">
        <f t="shared" si="62"/>
        <v>4</v>
      </c>
      <c r="W67" s="58" t="e">
        <f t="shared" si="63"/>
        <v>#VALUE!</v>
      </c>
      <c r="X67" s="58" t="e">
        <f t="shared" si="64"/>
        <v>#VALUE!</v>
      </c>
      <c r="Y67" s="58" t="str">
        <f>IFERROR(VLOOKUP(MID(T67,W67,X67-W67),[8]skilldef!$C:$D,2,FALSE),"-") &amp; " / " &amp; IFERROR(VLOOKUP(MID(T67,U67,V67-U67),[8]skilldef!$A:$B,2,FALSE),"-")</f>
        <v>- / -</v>
      </c>
      <c r="Z67" s="45"/>
      <c r="AA67" s="47"/>
      <c r="AB67" s="45"/>
    </row>
    <row r="68" spans="1:28" ht="21" customHeight="1" x14ac:dyDescent="0.15">
      <c r="A68" s="42">
        <f t="shared" si="48"/>
        <v>65535269</v>
      </c>
      <c r="B68" s="201" t="s">
        <v>437</v>
      </c>
      <c r="C68" s="202">
        <v>3</v>
      </c>
      <c r="D68" s="202" t="s">
        <v>347</v>
      </c>
      <c r="E68" s="203" t="s">
        <v>388</v>
      </c>
      <c r="F68" s="203" t="s">
        <v>389</v>
      </c>
      <c r="G68" s="58" t="str">
        <f t="shared" si="49"/>
        <v>[effect:break_attack_fix, target:unit_all, val:80, lowest_val:600, count:-1, color:blue, block01:block_blue]</v>
      </c>
      <c r="H68" s="58">
        <f t="shared" si="50"/>
        <v>9</v>
      </c>
      <c r="I68" s="58">
        <f t="shared" si="51"/>
        <v>25</v>
      </c>
      <c r="J68" s="58">
        <f t="shared" si="52"/>
        <v>34</v>
      </c>
      <c r="K68" s="58">
        <f t="shared" si="53"/>
        <v>42</v>
      </c>
      <c r="L68" s="58" t="str">
        <f>IFERROR(VLOOKUP(MID(G68,J68,K68-J68),[8]skilldef!$C:$D,2,FALSE),"-") &amp; " / " &amp; IFERROR(VLOOKUP(MID(G68,H68,I68-H68),[8]skilldef!$A:$B,2,FALSE),"-")</f>
        <v>味方全体に / -</v>
      </c>
      <c r="M68" s="58" t="str">
        <f t="shared" si="54"/>
        <v>none</v>
      </c>
      <c r="N68" s="43" t="str">
        <f>IFERROR(LEFT(M68,FIND("],",M68)+S140),M68)</f>
        <v>none</v>
      </c>
      <c r="O68" s="58" t="e">
        <f t="shared" si="56"/>
        <v>#VALUE!</v>
      </c>
      <c r="P68" s="58">
        <f t="shared" si="57"/>
        <v>4</v>
      </c>
      <c r="Q68" s="58" t="e">
        <f t="shared" si="58"/>
        <v>#VALUE!</v>
      </c>
      <c r="R68" s="58" t="e">
        <f t="shared" si="59"/>
        <v>#VALUE!</v>
      </c>
      <c r="S68" s="58" t="str">
        <f>IFERROR(VLOOKUP(MID(N68,Q68,R68-Q68),[8]skilldef!$C:$D,2,FALSE),"-") &amp; " / " &amp; IFERROR(VLOOKUP(MID(N68,O68,P68-O68),[8]skilldef!$A:$B,2,FALSE),"-")</f>
        <v>- / -</v>
      </c>
      <c r="T68" s="43" t="str">
        <f t="shared" si="60"/>
        <v>none</v>
      </c>
      <c r="U68" s="58" t="e">
        <f t="shared" si="61"/>
        <v>#VALUE!</v>
      </c>
      <c r="V68" s="58">
        <f t="shared" si="62"/>
        <v>4</v>
      </c>
      <c r="W68" s="58" t="e">
        <f t="shared" si="63"/>
        <v>#VALUE!</v>
      </c>
      <c r="X68" s="58" t="e">
        <f t="shared" si="64"/>
        <v>#VALUE!</v>
      </c>
      <c r="Y68" s="58" t="str">
        <f>IFERROR(VLOOKUP(MID(T68,W68,X68-W68),[8]skilldef!$C:$D,2,FALSE),"-") &amp; " / " &amp; IFERROR(VLOOKUP(MID(T68,U68,V68-U68),[8]skilldef!$A:$B,2,FALSE),"-")</f>
        <v>- / -</v>
      </c>
      <c r="Z68" s="45"/>
      <c r="AA68" s="47"/>
      <c r="AB68" s="45"/>
    </row>
    <row r="69" spans="1:28" ht="21" customHeight="1" x14ac:dyDescent="0.15">
      <c r="A69" s="42">
        <f t="shared" si="48"/>
        <v>65535270</v>
      </c>
      <c r="B69" s="204" t="s">
        <v>438</v>
      </c>
      <c r="C69" s="205">
        <v>3</v>
      </c>
      <c r="D69" s="205" t="s">
        <v>353</v>
      </c>
      <c r="E69" s="206" t="s">
        <v>439</v>
      </c>
      <c r="F69" s="206" t="s">
        <v>408</v>
      </c>
      <c r="G69" s="58" t="str">
        <f t="shared" si="49"/>
        <v>[effect:break_attack_fix, target:unit_all, val:80, lowest_val:600, count:-1, color:yellow, block01:block_yellow]</v>
      </c>
      <c r="H69" s="58">
        <f t="shared" si="50"/>
        <v>9</v>
      </c>
      <c r="I69" s="58">
        <f t="shared" si="51"/>
        <v>25</v>
      </c>
      <c r="J69" s="58">
        <f t="shared" si="52"/>
        <v>34</v>
      </c>
      <c r="K69" s="58">
        <f t="shared" si="53"/>
        <v>42</v>
      </c>
      <c r="L69" s="58" t="str">
        <f>IFERROR(VLOOKUP(MID(G69,J69,K69-J69),[8]skilldef!$C:$D,2,FALSE),"-") &amp; " / " &amp; IFERROR(VLOOKUP(MID(G69,H69,I69-H69),[8]skilldef!$A:$B,2,FALSE),"-")</f>
        <v>味方全体に / -</v>
      </c>
      <c r="M69" s="58" t="str">
        <f t="shared" si="54"/>
        <v>[effect:enemy_message, val1:2.2, val2:1.8]</v>
      </c>
      <c r="N69" s="43" t="str">
        <f>IFERROR(LEFT(M69,FIND("],",M69)+S141),M69)</f>
        <v>[effect:enemy_message, val1:2.2, val2:1.8]</v>
      </c>
      <c r="O69" s="58">
        <f t="shared" si="56"/>
        <v>9</v>
      </c>
      <c r="P69" s="58">
        <f t="shared" si="57"/>
        <v>22</v>
      </c>
      <c r="Q69" s="58" t="e">
        <f t="shared" si="58"/>
        <v>#VALUE!</v>
      </c>
      <c r="R69" s="58">
        <f t="shared" si="59"/>
        <v>32</v>
      </c>
      <c r="S69" s="58" t="str">
        <f>IFERROR(VLOOKUP(MID(N69,Q69,R69-Q69),[8]skilldef!$C:$D,2,FALSE),"-") &amp; " / " &amp; IFERROR(VLOOKUP(MID(N69,O69,P69-O69),[8]skilldef!$A:$B,2,FALSE),"-")</f>
        <v>- / -</v>
      </c>
      <c r="T69" s="43" t="str">
        <f t="shared" si="60"/>
        <v>none</v>
      </c>
      <c r="U69" s="58" t="e">
        <f t="shared" si="61"/>
        <v>#VALUE!</v>
      </c>
      <c r="V69" s="58">
        <f t="shared" si="62"/>
        <v>4</v>
      </c>
      <c r="W69" s="58" t="e">
        <f t="shared" si="63"/>
        <v>#VALUE!</v>
      </c>
      <c r="X69" s="58" t="e">
        <f t="shared" si="64"/>
        <v>#VALUE!</v>
      </c>
      <c r="Y69" s="58" t="str">
        <f>IFERROR(VLOOKUP(MID(T69,W69,X69-W69),[8]skilldef!$C:$D,2,FALSE),"-") &amp; " / " &amp; IFERROR(VLOOKUP(MID(T69,U69,V69-U69),[8]skilldef!$A:$B,2,FALSE),"-")</f>
        <v>- / -</v>
      </c>
      <c r="Z69" s="45"/>
      <c r="AA69" s="47"/>
      <c r="AB69" s="45"/>
    </row>
    <row r="70" spans="1:28" ht="43" customHeight="1" x14ac:dyDescent="0.15">
      <c r="A70" s="42">
        <f t="shared" si="48"/>
        <v>65535271</v>
      </c>
      <c r="B70" s="207" t="s">
        <v>440</v>
      </c>
      <c r="C70" s="208">
        <v>3</v>
      </c>
      <c r="D70" s="208" t="s">
        <v>353</v>
      </c>
      <c r="E70" s="209" t="s">
        <v>441</v>
      </c>
      <c r="F70" s="209" t="s">
        <v>428</v>
      </c>
      <c r="G70" s="58" t="str">
        <f t="shared" si="49"/>
        <v>[effect:break_attack_fix, target:unit_all, val:80, lowest_val:600, count:-1, color:green, block01:block_green]</v>
      </c>
      <c r="H70" s="58">
        <f t="shared" si="50"/>
        <v>9</v>
      </c>
      <c r="I70" s="58">
        <f t="shared" si="51"/>
        <v>25</v>
      </c>
      <c r="J70" s="58">
        <f t="shared" si="52"/>
        <v>34</v>
      </c>
      <c r="K70" s="58">
        <f t="shared" si="53"/>
        <v>42</v>
      </c>
      <c r="L70" s="58" t="str">
        <f>IFERROR(VLOOKUP(MID(G70,J70,K70-J70),[8]skilldef!$C:$D,2,FALSE),"-") &amp; " / " &amp; IFERROR(VLOOKUP(MID(G70,H70,I70-H70),[8]skilldef!$A:$B,2,FALSE),"-")</f>
        <v>味方全体に / -</v>
      </c>
      <c r="M70" s="58" t="str">
        <f t="shared" si="54"/>
        <v>[effect:enemy_message, val1:1.2, val2:2.5]</v>
      </c>
      <c r="N70" s="43" t="str">
        <f>IFERROR(LEFT(M70,FIND("],",M70)+S142),M70)</f>
        <v>[effect:enemy_message, val1:1.2, val2:2.5]</v>
      </c>
      <c r="O70" s="58">
        <f t="shared" si="56"/>
        <v>9</v>
      </c>
      <c r="P70" s="58">
        <f t="shared" si="57"/>
        <v>22</v>
      </c>
      <c r="Q70" s="58" t="e">
        <f t="shared" si="58"/>
        <v>#VALUE!</v>
      </c>
      <c r="R70" s="58">
        <f t="shared" si="59"/>
        <v>32</v>
      </c>
      <c r="S70" s="58" t="str">
        <f>IFERROR(VLOOKUP(MID(N70,Q70,R70-Q70),[8]skilldef!$C:$D,2,FALSE),"-") &amp; " / " &amp; IFERROR(VLOOKUP(MID(N70,O70,P70-O70),[8]skilldef!$A:$B,2,FALSE),"-")</f>
        <v>- / -</v>
      </c>
      <c r="T70" s="43" t="str">
        <f t="shared" si="60"/>
        <v>none</v>
      </c>
      <c r="U70" s="58" t="e">
        <f t="shared" si="61"/>
        <v>#VALUE!</v>
      </c>
      <c r="V70" s="58">
        <f t="shared" si="62"/>
        <v>4</v>
      </c>
      <c r="W70" s="58" t="e">
        <f t="shared" si="63"/>
        <v>#VALUE!</v>
      </c>
      <c r="X70" s="58" t="e">
        <f t="shared" si="64"/>
        <v>#VALUE!</v>
      </c>
      <c r="Y70" s="58" t="str">
        <f>IFERROR(VLOOKUP(MID(T70,W70,X70-W70),[8]skilldef!$C:$D,2,FALSE),"-") &amp; " / " &amp; IFERROR(VLOOKUP(MID(T70,U70,V70-U70),[8]skilldef!$A:$B,2,FALSE),"-")</f>
        <v>- / -</v>
      </c>
      <c r="Z70" s="45"/>
      <c r="AA70" s="47"/>
      <c r="AB70" s="45"/>
    </row>
    <row r="71" spans="1:28" ht="43" customHeight="1" x14ac:dyDescent="0.15">
      <c r="A71" s="42">
        <f>A70+1</f>
        <v>65535272</v>
      </c>
      <c r="B71" s="207" t="s">
        <v>454</v>
      </c>
      <c r="C71" s="208">
        <v>3</v>
      </c>
      <c r="D71" s="208" t="s">
        <v>305</v>
      </c>
      <c r="E71" s="209" t="s">
        <v>443</v>
      </c>
      <c r="F71" s="209" t="s">
        <v>444</v>
      </c>
      <c r="G71" s="58" t="str">
        <f t="shared" si="49"/>
        <v>[effect:damage_abnormal, target:unit_one, val:0.75, status:virus, turn:2, rate:1, val_abnormal:0.5]</v>
      </c>
      <c r="H71" s="58">
        <f t="shared" si="50"/>
        <v>9</v>
      </c>
      <c r="I71" s="58">
        <f t="shared" si="51"/>
        <v>24</v>
      </c>
      <c r="J71" s="58">
        <f t="shared" si="52"/>
        <v>33</v>
      </c>
      <c r="K71" s="58">
        <f t="shared" si="53"/>
        <v>41</v>
      </c>
      <c r="L71" s="58" t="str">
        <f>IFERROR(VLOOKUP(MID(G71,J71,K71-J71),[8]skilldef!$C:$D,2,FALSE),"-") &amp; " / " &amp; IFERROR(VLOOKUP(MID(G71,H71,I71-H71),[8]skilldef!$A:$B,2,FALSE),"-")</f>
        <v>味方単体に / -</v>
      </c>
      <c r="M71" s="58" t="str">
        <f t="shared" si="54"/>
        <v>none</v>
      </c>
      <c r="N71" s="43" t="str">
        <f>IFERROR(LEFT(M71,FIND("],",M71)+S142),M71)</f>
        <v>none</v>
      </c>
      <c r="O71" s="58" t="e">
        <f t="shared" si="56"/>
        <v>#VALUE!</v>
      </c>
      <c r="P71" s="58">
        <f t="shared" si="57"/>
        <v>4</v>
      </c>
      <c r="Q71" s="58" t="e">
        <f t="shared" si="58"/>
        <v>#VALUE!</v>
      </c>
      <c r="R71" s="58" t="e">
        <f t="shared" si="59"/>
        <v>#VALUE!</v>
      </c>
      <c r="S71" s="58" t="str">
        <f>IFERROR(VLOOKUP(MID(N71,Q71,R71-Q71),[8]skilldef!$C:$D,2,FALSE),"-") &amp; " / " &amp; IFERROR(VLOOKUP(MID(N71,O71,P71-O71),[8]skilldef!$A:$B,2,FALSE),"-")</f>
        <v>- / -</v>
      </c>
      <c r="T71" s="43" t="str">
        <f t="shared" si="60"/>
        <v>none</v>
      </c>
      <c r="U71" s="58" t="e">
        <f t="shared" si="61"/>
        <v>#VALUE!</v>
      </c>
      <c r="V71" s="58">
        <f t="shared" si="62"/>
        <v>4</v>
      </c>
      <c r="W71" s="58" t="e">
        <f t="shared" si="63"/>
        <v>#VALUE!</v>
      </c>
      <c r="X71" s="58" t="e">
        <f t="shared" si="64"/>
        <v>#VALUE!</v>
      </c>
      <c r="Y71" s="58" t="str">
        <f>IFERROR(VLOOKUP(MID(T71,W71,X71-W71),[8]skilldef!$C:$D,2,FALSE),"-") &amp; " / " &amp; IFERROR(VLOOKUP(MID(T71,U71,V71-U71),[8]skilldef!$A:$B,2,FALSE),"-")</f>
        <v>- / -</v>
      </c>
      <c r="Z71" s="45"/>
      <c r="AA71" s="47"/>
      <c r="AB71" s="45"/>
    </row>
    <row r="72" spans="1:28" ht="43" customHeight="1" x14ac:dyDescent="0.15">
      <c r="A72" s="42">
        <f>A71+1</f>
        <v>65535273</v>
      </c>
      <c r="B72" s="207" t="s">
        <v>445</v>
      </c>
      <c r="C72" s="208">
        <v>3</v>
      </c>
      <c r="D72" s="208" t="s">
        <v>353</v>
      </c>
      <c r="E72" s="209" t="s">
        <v>449</v>
      </c>
      <c r="F72" s="209" t="s">
        <v>444</v>
      </c>
      <c r="G72" s="58" t="str">
        <f t="shared" ref="G72" si="65">IFERROR(LEFT(B72,FIND("],",B72)),B72)</f>
        <v>[effect:damage_abnormal, target:unit_one, val:1, status:virus, turn:2, rate:1, val_abnormal:0.5]</v>
      </c>
      <c r="H72" s="58">
        <f t="shared" ref="H72" si="66">FIND("effect:",G72)+7</f>
        <v>9</v>
      </c>
      <c r="I72" s="58">
        <f t="shared" ref="I72" si="67">IFERROR(FIND(",",G72),LEN(G72))</f>
        <v>24</v>
      </c>
      <c r="J72" s="58">
        <f t="shared" ref="J72" si="68">FIND("target:",G72)+7</f>
        <v>33</v>
      </c>
      <c r="K72" s="58">
        <f t="shared" ref="K72" si="69">FIND(",",G72,I72+1)</f>
        <v>41</v>
      </c>
      <c r="L72" s="58" t="str">
        <f>IFERROR(VLOOKUP(MID(G72,J72,K72-J72),[8]skilldef!$C:$D,2,FALSE),"-") &amp; " / " &amp; IFERROR(VLOOKUP(MID(G72,H72,I72-H72),[8]skilldef!$A:$B,2,FALSE),"-")</f>
        <v>味方単体に / -</v>
      </c>
      <c r="M72" s="58" t="str">
        <f t="shared" ref="M72" si="70">IFERROR(RIGHT(B72,LEN(B72)-FIND("],",B72)-1),"none")</f>
        <v>none</v>
      </c>
      <c r="N72" s="43" t="str">
        <f>IFERROR(LEFT(M72,FIND("],",M72)+S143),M72)</f>
        <v>none</v>
      </c>
      <c r="O72" s="58" t="e">
        <f t="shared" ref="O72" si="71">FIND("effect:",N72)+7</f>
        <v>#VALUE!</v>
      </c>
      <c r="P72" s="58">
        <f t="shared" ref="P72" si="72">IFERROR(FIND(",",N72),LEN(N72))</f>
        <v>4</v>
      </c>
      <c r="Q72" s="58" t="e">
        <f t="shared" ref="Q72" si="73">FIND("target:",N72)+7</f>
        <v>#VALUE!</v>
      </c>
      <c r="R72" s="58" t="e">
        <f t="shared" ref="R72" si="74">FIND(",",N72,P72+1)</f>
        <v>#VALUE!</v>
      </c>
      <c r="S72" s="58" t="str">
        <f>IFERROR(VLOOKUP(MID(N72,Q72,R72-Q72),[8]skilldef!$C:$D,2,FALSE),"-") &amp; " / " &amp; IFERROR(VLOOKUP(MID(N72,O72,P72-O72),[8]skilldef!$A:$B,2,FALSE),"-")</f>
        <v>- / -</v>
      </c>
      <c r="T72" s="43" t="str">
        <f t="shared" ref="T72" si="75">IFERROR(RIGHT(M72,LEN(M72)-FIND("],",M72)-1),"none")</f>
        <v>none</v>
      </c>
      <c r="U72" s="58" t="e">
        <f t="shared" ref="U72" si="76">FIND("effect:",T72)+7</f>
        <v>#VALUE!</v>
      </c>
      <c r="V72" s="58">
        <f t="shared" ref="V72" si="77">IFERROR(FIND(",",T72),LEN(T72))</f>
        <v>4</v>
      </c>
      <c r="W72" s="58" t="e">
        <f t="shared" ref="W72" si="78">FIND("target:",T72)+7</f>
        <v>#VALUE!</v>
      </c>
      <c r="X72" s="58" t="e">
        <f t="shared" ref="X72" si="79">FIND(",",T72,V72+1)</f>
        <v>#VALUE!</v>
      </c>
      <c r="Y72" s="58" t="str">
        <f>IFERROR(VLOOKUP(MID(T72,W72,X72-W72),[8]skilldef!$C:$D,2,FALSE),"-") &amp; " / " &amp; IFERROR(VLOOKUP(MID(T72,U72,V72-U72),[8]skilldef!$A:$B,2,FALSE),"-")</f>
        <v>- / -</v>
      </c>
      <c r="Z72" s="45"/>
      <c r="AA72" s="47"/>
      <c r="AB72" s="45"/>
    </row>
    <row r="73" spans="1:28" ht="43" customHeight="1" x14ac:dyDescent="0.15">
      <c r="A73" s="42">
        <f>A72+1</f>
        <v>65535274</v>
      </c>
      <c r="B73" s="207" t="s">
        <v>447</v>
      </c>
      <c r="C73" s="208">
        <v>3</v>
      </c>
      <c r="D73" s="208" t="s">
        <v>353</v>
      </c>
      <c r="E73" s="209" t="s">
        <v>446</v>
      </c>
      <c r="F73" s="209" t="s">
        <v>448</v>
      </c>
      <c r="G73" s="58" t="str">
        <f t="shared" ref="G73" si="80">IFERROR(LEFT(B73,FIND("],",B73)),B73)</f>
        <v>[effect:damage_abnormal, target:unit_one, val:1.5, status:virus, turn:2, rate:1, val_abnormal:0.5]</v>
      </c>
      <c r="H73" s="58">
        <f t="shared" ref="H73" si="81">FIND("effect:",G73)+7</f>
        <v>9</v>
      </c>
      <c r="I73" s="58">
        <f t="shared" ref="I73" si="82">IFERROR(FIND(",",G73),LEN(G73))</f>
        <v>24</v>
      </c>
      <c r="J73" s="58">
        <f t="shared" ref="J73" si="83">FIND("target:",G73)+7</f>
        <v>33</v>
      </c>
      <c r="K73" s="58">
        <f t="shared" ref="K73" si="84">FIND(",",G73,I73+1)</f>
        <v>41</v>
      </c>
      <c r="L73" s="58" t="str">
        <f>IFERROR(VLOOKUP(MID(G73,J73,K73-J73),[8]skilldef!$C:$D,2,FALSE),"-") &amp; " / " &amp; IFERROR(VLOOKUP(MID(G73,H73,I73-H73),[8]skilldef!$A:$B,2,FALSE),"-")</f>
        <v>味方単体に / -</v>
      </c>
      <c r="M73" s="58" t="str">
        <f t="shared" ref="M73" si="85">IFERROR(RIGHT(B73,LEN(B73)-FIND("],",B73)-1),"none")</f>
        <v>none</v>
      </c>
      <c r="N73" s="43" t="str">
        <f>IFERROR(LEFT(M73,FIND("],",M73)+S144),M73)</f>
        <v>none</v>
      </c>
      <c r="O73" s="58" t="e">
        <f t="shared" ref="O73" si="86">FIND("effect:",N73)+7</f>
        <v>#VALUE!</v>
      </c>
      <c r="P73" s="58">
        <f t="shared" ref="P73" si="87">IFERROR(FIND(",",N73),LEN(N73))</f>
        <v>4</v>
      </c>
      <c r="Q73" s="58" t="e">
        <f t="shared" ref="Q73" si="88">FIND("target:",N73)+7</f>
        <v>#VALUE!</v>
      </c>
      <c r="R73" s="58" t="e">
        <f t="shared" ref="R73" si="89">FIND(",",N73,P73+1)</f>
        <v>#VALUE!</v>
      </c>
      <c r="S73" s="58" t="str">
        <f>IFERROR(VLOOKUP(MID(N73,Q73,R73-Q73),[8]skilldef!$C:$D,2,FALSE),"-") &amp; " / " &amp; IFERROR(VLOOKUP(MID(N73,O73,P73-O73),[8]skilldef!$A:$B,2,FALSE),"-")</f>
        <v>- / -</v>
      </c>
      <c r="T73" s="43" t="str">
        <f t="shared" ref="T73" si="90">IFERROR(RIGHT(M73,LEN(M73)-FIND("],",M73)-1),"none")</f>
        <v>none</v>
      </c>
      <c r="U73" s="58" t="e">
        <f t="shared" ref="U73" si="91">FIND("effect:",T73)+7</f>
        <v>#VALUE!</v>
      </c>
      <c r="V73" s="58">
        <f t="shared" ref="V73" si="92">IFERROR(FIND(",",T73),LEN(T73))</f>
        <v>4</v>
      </c>
      <c r="W73" s="58" t="e">
        <f t="shared" ref="W73" si="93">FIND("target:",T73)+7</f>
        <v>#VALUE!</v>
      </c>
      <c r="X73" s="58" t="e">
        <f t="shared" ref="X73" si="94">FIND(",",T73,V73+1)</f>
        <v>#VALUE!</v>
      </c>
      <c r="Y73" s="58" t="str">
        <f>IFERROR(VLOOKUP(MID(T73,W73,X73-W73),[8]skilldef!$C:$D,2,FALSE),"-") &amp; " / " &amp; IFERROR(VLOOKUP(MID(T73,U73,V73-U73),[8]skilldef!$A:$B,2,FALSE),"-")</f>
        <v>- / -</v>
      </c>
      <c r="Z73" s="45"/>
      <c r="AA73" s="47"/>
      <c r="AB73" s="45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5"/>
  <sheetViews>
    <sheetView showGridLines="0" zoomScale="75" zoomScaleNormal="75" zoomScalePageLayoutView="75" workbookViewId="0">
      <pane ySplit="1" topLeftCell="A42" activePane="bottomLeft" state="frozenSplit"/>
      <selection pane="bottomLeft" activeCell="A55" sqref="A55"/>
    </sheetView>
  </sheetViews>
  <sheetFormatPr baseColWidth="12" defaultColWidth="12.83203125" defaultRowHeight="21" customHeight="1" x14ac:dyDescent="0.15"/>
  <cols>
    <col min="1" max="1" width="16.1640625" style="44" bestFit="1" customWidth="1"/>
    <col min="2" max="2" width="13.33203125" style="44" bestFit="1" customWidth="1"/>
    <col min="3" max="3" width="11.83203125" style="44" bestFit="1" customWidth="1"/>
    <col min="4" max="4" width="14.6640625" style="44" bestFit="1" customWidth="1"/>
    <col min="5" max="5" width="15.6640625" style="44" bestFit="1" customWidth="1"/>
    <col min="6" max="6" width="17" style="44" bestFit="1" customWidth="1"/>
    <col min="7" max="7" width="15.6640625" style="44" bestFit="1" customWidth="1"/>
    <col min="8" max="9" width="14.6640625" style="44" customWidth="1"/>
    <col min="10" max="10" width="14.6640625" style="44" bestFit="1" customWidth="1"/>
    <col min="11" max="11" width="22.83203125" style="34" bestFit="1" customWidth="1"/>
    <col min="12" max="16384" width="12.83203125" style="40"/>
  </cols>
  <sheetData>
    <row r="1" spans="1:11" ht="21" customHeight="1" x14ac:dyDescent="0.15">
      <c r="A1" s="37" t="s">
        <v>84</v>
      </c>
      <c r="B1" s="37" t="s">
        <v>85</v>
      </c>
      <c r="C1" s="37" t="s">
        <v>86</v>
      </c>
      <c r="D1" s="37" t="s">
        <v>87</v>
      </c>
      <c r="E1" s="37" t="s">
        <v>70</v>
      </c>
      <c r="F1" s="48" t="s">
        <v>71</v>
      </c>
      <c r="G1" s="48" t="s">
        <v>72</v>
      </c>
      <c r="H1" s="37" t="s">
        <v>73</v>
      </c>
      <c r="I1" s="37" t="s">
        <v>74</v>
      </c>
      <c r="J1" s="37" t="s">
        <v>75</v>
      </c>
      <c r="K1" s="49" t="s">
        <v>88</v>
      </c>
    </row>
    <row r="2" spans="1:11" ht="21" customHeight="1" x14ac:dyDescent="0.15">
      <c r="A2" s="42">
        <v>65535100</v>
      </c>
      <c r="B2" s="42">
        <v>1</v>
      </c>
      <c r="C2" s="42" t="s">
        <v>89</v>
      </c>
      <c r="D2" s="42">
        <v>100</v>
      </c>
      <c r="E2" s="42" t="s">
        <v>221</v>
      </c>
      <c r="F2" s="42" t="s">
        <v>90</v>
      </c>
      <c r="G2" s="42">
        <v>1</v>
      </c>
      <c r="H2" s="42" t="s">
        <v>90</v>
      </c>
      <c r="I2" s="42" t="s">
        <v>90</v>
      </c>
      <c r="J2" s="43">
        <f t="shared" ref="J2" si="0">D2</f>
        <v>100</v>
      </c>
    </row>
    <row r="3" spans="1:11" ht="21" customHeight="1" x14ac:dyDescent="0.15">
      <c r="A3" s="42">
        <v>65535101</v>
      </c>
      <c r="B3" s="42">
        <v>1</v>
      </c>
      <c r="C3" s="42" t="s">
        <v>89</v>
      </c>
      <c r="D3" s="42">
        <v>100</v>
      </c>
      <c r="E3" s="42" t="s">
        <v>221</v>
      </c>
      <c r="F3" s="42" t="s">
        <v>90</v>
      </c>
      <c r="G3" s="42">
        <v>1</v>
      </c>
      <c r="H3" s="42" t="s">
        <v>90</v>
      </c>
      <c r="I3" s="42" t="s">
        <v>90</v>
      </c>
      <c r="J3" s="43">
        <f t="shared" ref="J3:J51" si="1">D3</f>
        <v>100</v>
      </c>
    </row>
    <row r="4" spans="1:11" ht="21" customHeight="1" x14ac:dyDescent="0.15">
      <c r="A4" s="42">
        <v>65535102</v>
      </c>
      <c r="B4" s="42">
        <v>1</v>
      </c>
      <c r="C4" s="42" t="s">
        <v>89</v>
      </c>
      <c r="D4" s="42">
        <v>100</v>
      </c>
      <c r="E4" s="42" t="s">
        <v>221</v>
      </c>
      <c r="F4" s="42" t="s">
        <v>90</v>
      </c>
      <c r="G4" s="42">
        <v>1</v>
      </c>
      <c r="H4" s="42" t="s">
        <v>90</v>
      </c>
      <c r="I4" s="42" t="s">
        <v>90</v>
      </c>
      <c r="J4" s="43">
        <f t="shared" si="1"/>
        <v>100</v>
      </c>
    </row>
    <row r="5" spans="1:11" ht="21" customHeight="1" x14ac:dyDescent="0.15">
      <c r="A5" s="42">
        <v>65535103</v>
      </c>
      <c r="B5" s="42">
        <v>1</v>
      </c>
      <c r="C5" s="42" t="s">
        <v>89</v>
      </c>
      <c r="D5" s="42">
        <v>100</v>
      </c>
      <c r="E5" s="42" t="s">
        <v>221</v>
      </c>
      <c r="F5" s="42" t="s">
        <v>90</v>
      </c>
      <c r="G5" s="42">
        <v>1</v>
      </c>
      <c r="H5" s="42" t="s">
        <v>90</v>
      </c>
      <c r="I5" s="42" t="s">
        <v>90</v>
      </c>
      <c r="J5" s="43">
        <f t="shared" si="1"/>
        <v>100</v>
      </c>
    </row>
    <row r="6" spans="1:11" ht="21" customHeight="1" x14ac:dyDescent="0.15">
      <c r="A6" s="42">
        <v>65535104</v>
      </c>
      <c r="B6" s="227">
        <v>1</v>
      </c>
      <c r="C6" s="227">
        <v>10</v>
      </c>
      <c r="D6" s="227">
        <v>100</v>
      </c>
      <c r="E6" s="227" t="s">
        <v>442</v>
      </c>
      <c r="F6" s="227" t="s">
        <v>442</v>
      </c>
      <c r="G6" s="227">
        <v>1</v>
      </c>
      <c r="H6" s="227" t="s">
        <v>442</v>
      </c>
      <c r="I6" s="227" t="s">
        <v>442</v>
      </c>
      <c r="J6" s="43">
        <f t="shared" si="1"/>
        <v>100</v>
      </c>
    </row>
    <row r="7" spans="1:11" ht="21" customHeight="1" x14ac:dyDescent="0.15">
      <c r="A7" s="42">
        <v>65535105</v>
      </c>
      <c r="B7" s="42">
        <v>0</v>
      </c>
      <c r="C7" s="42">
        <v>20</v>
      </c>
      <c r="D7" s="42">
        <v>100</v>
      </c>
      <c r="E7" s="42" t="s">
        <v>442</v>
      </c>
      <c r="F7" s="42" t="s">
        <v>442</v>
      </c>
      <c r="G7" s="42" t="s">
        <v>442</v>
      </c>
      <c r="H7" s="42">
        <v>3</v>
      </c>
      <c r="I7" s="42" t="s">
        <v>442</v>
      </c>
      <c r="J7" s="43">
        <f t="shared" si="1"/>
        <v>100</v>
      </c>
    </row>
    <row r="8" spans="1:11" ht="21" customHeight="1" x14ac:dyDescent="0.15">
      <c r="A8" s="42">
        <v>65535106</v>
      </c>
      <c r="B8" s="227">
        <v>0</v>
      </c>
      <c r="C8" s="227">
        <v>10</v>
      </c>
      <c r="D8" s="227">
        <v>100</v>
      </c>
      <c r="E8" s="227" t="s">
        <v>442</v>
      </c>
      <c r="F8" s="227" t="s">
        <v>442</v>
      </c>
      <c r="G8" s="227" t="s">
        <v>442</v>
      </c>
      <c r="H8" s="227">
        <v>1</v>
      </c>
      <c r="I8" s="227" t="s">
        <v>442</v>
      </c>
      <c r="J8" s="43">
        <f t="shared" si="1"/>
        <v>100</v>
      </c>
    </row>
    <row r="9" spans="1:11" ht="21" customHeight="1" x14ac:dyDescent="0.15">
      <c r="A9" s="42">
        <v>65535107</v>
      </c>
      <c r="B9" s="227">
        <v>1</v>
      </c>
      <c r="C9" s="227">
        <v>10</v>
      </c>
      <c r="D9" s="227">
        <v>100</v>
      </c>
      <c r="E9" s="227" t="s">
        <v>442</v>
      </c>
      <c r="F9" s="227" t="s">
        <v>442</v>
      </c>
      <c r="G9" s="227">
        <v>1</v>
      </c>
      <c r="H9" s="227" t="s">
        <v>442</v>
      </c>
      <c r="I9" s="227" t="s">
        <v>442</v>
      </c>
      <c r="J9" s="43">
        <f t="shared" si="1"/>
        <v>100</v>
      </c>
    </row>
    <row r="10" spans="1:11" ht="21" customHeight="1" x14ac:dyDescent="0.15">
      <c r="A10" s="42">
        <v>65535108</v>
      </c>
      <c r="B10" s="227">
        <v>0</v>
      </c>
      <c r="C10" s="227">
        <v>20</v>
      </c>
      <c r="D10" s="227">
        <v>100</v>
      </c>
      <c r="E10" s="227" t="s">
        <v>442</v>
      </c>
      <c r="F10" s="227" t="s">
        <v>442</v>
      </c>
      <c r="G10" s="227" t="s">
        <v>442</v>
      </c>
      <c r="H10" s="227">
        <v>3</v>
      </c>
      <c r="I10" s="227" t="s">
        <v>442</v>
      </c>
      <c r="J10" s="43">
        <f t="shared" si="1"/>
        <v>100</v>
      </c>
    </row>
    <row r="11" spans="1:11" ht="21" customHeight="1" x14ac:dyDescent="0.15">
      <c r="A11" s="42">
        <v>65535109</v>
      </c>
      <c r="B11" s="227">
        <v>1</v>
      </c>
      <c r="C11" s="227">
        <v>10</v>
      </c>
      <c r="D11" s="227">
        <v>100</v>
      </c>
      <c r="E11" s="227" t="s">
        <v>442</v>
      </c>
      <c r="F11" s="227" t="s">
        <v>442</v>
      </c>
      <c r="G11" s="227">
        <v>1</v>
      </c>
      <c r="H11" s="227" t="s">
        <v>442</v>
      </c>
      <c r="I11" s="227" t="s">
        <v>442</v>
      </c>
      <c r="J11" s="43">
        <f t="shared" si="1"/>
        <v>100</v>
      </c>
    </row>
    <row r="12" spans="1:11" ht="21" customHeight="1" x14ac:dyDescent="0.15">
      <c r="A12" s="42">
        <v>65535110</v>
      </c>
      <c r="B12" s="227">
        <v>0</v>
      </c>
      <c r="C12" s="227">
        <v>20</v>
      </c>
      <c r="D12" s="227">
        <v>50</v>
      </c>
      <c r="E12" s="227" t="s">
        <v>442</v>
      </c>
      <c r="F12" s="227" t="s">
        <v>442</v>
      </c>
      <c r="G12" s="227" t="s">
        <v>442</v>
      </c>
      <c r="H12" s="227">
        <v>1</v>
      </c>
      <c r="I12" s="227" t="s">
        <v>442</v>
      </c>
      <c r="J12" s="43">
        <f t="shared" si="1"/>
        <v>50</v>
      </c>
    </row>
    <row r="13" spans="1:11" ht="21" customHeight="1" x14ac:dyDescent="0.15">
      <c r="A13" s="42">
        <v>65535111</v>
      </c>
      <c r="B13" s="227">
        <v>1</v>
      </c>
      <c r="C13" s="227">
        <v>10</v>
      </c>
      <c r="D13" s="227">
        <v>100</v>
      </c>
      <c r="E13" s="227" t="s">
        <v>442</v>
      </c>
      <c r="F13" s="227" t="s">
        <v>442</v>
      </c>
      <c r="G13" s="227">
        <v>1</v>
      </c>
      <c r="H13" s="227" t="s">
        <v>442</v>
      </c>
      <c r="I13" s="227" t="s">
        <v>442</v>
      </c>
      <c r="J13" s="43">
        <f t="shared" si="1"/>
        <v>100</v>
      </c>
    </row>
    <row r="14" spans="1:11" ht="21" customHeight="1" x14ac:dyDescent="0.15">
      <c r="A14" s="42">
        <v>65535112</v>
      </c>
      <c r="B14" s="227">
        <v>0</v>
      </c>
      <c r="C14" s="227">
        <v>20</v>
      </c>
      <c r="D14" s="227">
        <v>50</v>
      </c>
      <c r="E14" s="227" t="s">
        <v>442</v>
      </c>
      <c r="F14" s="227" t="s">
        <v>442</v>
      </c>
      <c r="G14" s="227" t="s">
        <v>442</v>
      </c>
      <c r="H14" s="227">
        <v>1</v>
      </c>
      <c r="I14" s="227" t="s">
        <v>442</v>
      </c>
      <c r="J14" s="43">
        <f t="shared" si="1"/>
        <v>50</v>
      </c>
    </row>
    <row r="15" spans="1:11" ht="21" customHeight="1" x14ac:dyDescent="0.15">
      <c r="A15" s="42">
        <v>65535113</v>
      </c>
      <c r="B15" s="227">
        <v>1</v>
      </c>
      <c r="C15" s="227">
        <v>10</v>
      </c>
      <c r="D15" s="227">
        <v>100</v>
      </c>
      <c r="E15" s="227" t="s">
        <v>442</v>
      </c>
      <c r="F15" s="227" t="s">
        <v>442</v>
      </c>
      <c r="G15" s="227">
        <v>1</v>
      </c>
      <c r="H15" s="227" t="s">
        <v>442</v>
      </c>
      <c r="I15" s="227" t="s">
        <v>442</v>
      </c>
      <c r="J15" s="43">
        <f t="shared" si="1"/>
        <v>100</v>
      </c>
    </row>
    <row r="16" spans="1:11" ht="21" customHeight="1" x14ac:dyDescent="0.15">
      <c r="A16" s="42">
        <v>65535114</v>
      </c>
      <c r="B16" s="227">
        <v>0</v>
      </c>
      <c r="C16" s="227">
        <v>20</v>
      </c>
      <c r="D16" s="227">
        <v>100</v>
      </c>
      <c r="E16" s="227" t="s">
        <v>442</v>
      </c>
      <c r="F16" s="227" t="s">
        <v>442</v>
      </c>
      <c r="G16" s="227" t="s">
        <v>442</v>
      </c>
      <c r="H16" s="227">
        <v>1</v>
      </c>
      <c r="I16" s="227" t="s">
        <v>442</v>
      </c>
      <c r="J16" s="43">
        <f t="shared" si="1"/>
        <v>100</v>
      </c>
    </row>
    <row r="17" spans="1:10" ht="21" customHeight="1" x14ac:dyDescent="0.15">
      <c r="A17" s="42">
        <v>65535115</v>
      </c>
      <c r="B17" s="227">
        <v>1</v>
      </c>
      <c r="C17" s="227">
        <v>10</v>
      </c>
      <c r="D17" s="227">
        <v>100</v>
      </c>
      <c r="E17" s="227" t="s">
        <v>442</v>
      </c>
      <c r="F17" s="227" t="s">
        <v>442</v>
      </c>
      <c r="G17" s="227">
        <v>1</v>
      </c>
      <c r="H17" s="227" t="s">
        <v>442</v>
      </c>
      <c r="I17" s="227" t="s">
        <v>442</v>
      </c>
      <c r="J17" s="43">
        <f t="shared" si="1"/>
        <v>100</v>
      </c>
    </row>
    <row r="18" spans="1:10" ht="21" customHeight="1" x14ac:dyDescent="0.15">
      <c r="A18" s="42">
        <v>65535116</v>
      </c>
      <c r="B18" s="227">
        <v>0</v>
      </c>
      <c r="C18" s="227">
        <v>20</v>
      </c>
      <c r="D18" s="227">
        <v>70</v>
      </c>
      <c r="E18" s="227" t="s">
        <v>442</v>
      </c>
      <c r="F18" s="227" t="s">
        <v>442</v>
      </c>
      <c r="G18" s="227" t="s">
        <v>442</v>
      </c>
      <c r="H18" s="227">
        <v>1</v>
      </c>
      <c r="I18" s="227" t="s">
        <v>442</v>
      </c>
      <c r="J18" s="43">
        <f t="shared" si="1"/>
        <v>70</v>
      </c>
    </row>
    <row r="19" spans="1:10" ht="21" customHeight="1" x14ac:dyDescent="0.15">
      <c r="A19" s="42">
        <v>65535117</v>
      </c>
      <c r="B19" s="227">
        <v>0</v>
      </c>
      <c r="C19" s="227">
        <v>30</v>
      </c>
      <c r="D19" s="227">
        <v>100</v>
      </c>
      <c r="E19" s="227" t="s">
        <v>442</v>
      </c>
      <c r="F19" s="227" t="s">
        <v>442</v>
      </c>
      <c r="G19" s="227">
        <v>1</v>
      </c>
      <c r="H19" s="227">
        <v>3</v>
      </c>
      <c r="I19" s="227" t="s">
        <v>442</v>
      </c>
      <c r="J19" s="43">
        <f t="shared" si="1"/>
        <v>100</v>
      </c>
    </row>
    <row r="20" spans="1:10" ht="21" customHeight="1" x14ac:dyDescent="0.15">
      <c r="A20" s="42">
        <v>65535118</v>
      </c>
      <c r="B20" s="227">
        <v>1</v>
      </c>
      <c r="C20" s="227">
        <v>10</v>
      </c>
      <c r="D20" s="227">
        <v>100</v>
      </c>
      <c r="E20" s="227" t="s">
        <v>442</v>
      </c>
      <c r="F20" s="227" t="s">
        <v>442</v>
      </c>
      <c r="G20" s="227">
        <v>1</v>
      </c>
      <c r="H20" s="227" t="s">
        <v>442</v>
      </c>
      <c r="I20" s="227" t="s">
        <v>442</v>
      </c>
      <c r="J20" s="43">
        <f t="shared" si="1"/>
        <v>100</v>
      </c>
    </row>
    <row r="21" spans="1:10" ht="21" customHeight="1" x14ac:dyDescent="0.15">
      <c r="A21" s="42">
        <v>65535119</v>
      </c>
      <c r="B21" s="227">
        <v>0</v>
      </c>
      <c r="C21" s="227">
        <v>20</v>
      </c>
      <c r="D21" s="227">
        <v>50</v>
      </c>
      <c r="E21" s="227" t="s">
        <v>442</v>
      </c>
      <c r="F21" s="227" t="s">
        <v>442</v>
      </c>
      <c r="G21" s="227" t="s">
        <v>442</v>
      </c>
      <c r="H21" s="227">
        <v>1</v>
      </c>
      <c r="I21" s="227" t="s">
        <v>442</v>
      </c>
      <c r="J21" s="43">
        <f t="shared" si="1"/>
        <v>50</v>
      </c>
    </row>
    <row r="22" spans="1:10" ht="21" customHeight="1" x14ac:dyDescent="0.15">
      <c r="A22" s="42">
        <v>65535120</v>
      </c>
      <c r="B22" s="227">
        <v>0</v>
      </c>
      <c r="C22" s="227">
        <v>30</v>
      </c>
      <c r="D22" s="227">
        <v>100</v>
      </c>
      <c r="E22" s="227" t="s">
        <v>442</v>
      </c>
      <c r="F22" s="227" t="s">
        <v>442</v>
      </c>
      <c r="G22" s="227">
        <v>1</v>
      </c>
      <c r="H22" s="227">
        <v>2</v>
      </c>
      <c r="I22" s="227" t="s">
        <v>442</v>
      </c>
      <c r="J22" s="43">
        <f t="shared" si="1"/>
        <v>100</v>
      </c>
    </row>
    <row r="23" spans="1:10" ht="21" customHeight="1" x14ac:dyDescent="0.15">
      <c r="A23" s="42">
        <v>65535121</v>
      </c>
      <c r="B23" s="227">
        <v>1</v>
      </c>
      <c r="C23" s="227">
        <v>10</v>
      </c>
      <c r="D23" s="227">
        <v>100</v>
      </c>
      <c r="E23" s="227" t="s">
        <v>442</v>
      </c>
      <c r="F23" s="227" t="s">
        <v>442</v>
      </c>
      <c r="G23" s="227">
        <v>1</v>
      </c>
      <c r="H23" s="227" t="s">
        <v>442</v>
      </c>
      <c r="I23" s="227" t="s">
        <v>442</v>
      </c>
      <c r="J23" s="43">
        <f t="shared" si="1"/>
        <v>100</v>
      </c>
    </row>
    <row r="24" spans="1:10" ht="21" customHeight="1" x14ac:dyDescent="0.15">
      <c r="A24" s="42">
        <v>65535122</v>
      </c>
      <c r="B24" s="227">
        <v>0</v>
      </c>
      <c r="C24" s="227">
        <v>50</v>
      </c>
      <c r="D24" s="227">
        <v>100</v>
      </c>
      <c r="E24" s="227">
        <v>50</v>
      </c>
      <c r="F24" s="227" t="s">
        <v>442</v>
      </c>
      <c r="G24" s="227">
        <v>1</v>
      </c>
      <c r="H24" s="227">
        <v>1</v>
      </c>
      <c r="I24" s="227" t="s">
        <v>442</v>
      </c>
      <c r="J24" s="43">
        <f t="shared" si="1"/>
        <v>100</v>
      </c>
    </row>
    <row r="25" spans="1:10" ht="21" customHeight="1" x14ac:dyDescent="0.15">
      <c r="A25" s="42">
        <v>65535123</v>
      </c>
      <c r="B25" s="227">
        <v>0</v>
      </c>
      <c r="C25" s="227">
        <v>34</v>
      </c>
      <c r="D25" s="227">
        <v>25</v>
      </c>
      <c r="E25" s="227" t="s">
        <v>442</v>
      </c>
      <c r="F25" s="227" t="s">
        <v>442</v>
      </c>
      <c r="G25" s="227" t="s">
        <v>442</v>
      </c>
      <c r="H25" s="227">
        <v>1</v>
      </c>
      <c r="I25" s="227" t="s">
        <v>442</v>
      </c>
      <c r="J25" s="43">
        <f t="shared" si="1"/>
        <v>25</v>
      </c>
    </row>
    <row r="26" spans="1:10" ht="21" customHeight="1" x14ac:dyDescent="0.15">
      <c r="A26" s="42">
        <v>65535124</v>
      </c>
      <c r="B26" s="227">
        <v>0</v>
      </c>
      <c r="C26" s="227">
        <v>33</v>
      </c>
      <c r="D26" s="227">
        <v>33</v>
      </c>
      <c r="E26" s="227" t="s">
        <v>442</v>
      </c>
      <c r="F26" s="227" t="s">
        <v>442</v>
      </c>
      <c r="G26" s="227" t="s">
        <v>442</v>
      </c>
      <c r="H26" s="227">
        <v>1</v>
      </c>
      <c r="I26" s="227" t="s">
        <v>442</v>
      </c>
      <c r="J26" s="43">
        <f t="shared" si="1"/>
        <v>33</v>
      </c>
    </row>
    <row r="27" spans="1:10" ht="21" customHeight="1" x14ac:dyDescent="0.15">
      <c r="A27" s="42">
        <v>65535125</v>
      </c>
      <c r="B27" s="227">
        <v>0</v>
      </c>
      <c r="C27" s="227">
        <v>32</v>
      </c>
      <c r="D27" s="227">
        <v>50</v>
      </c>
      <c r="E27" s="227" t="s">
        <v>442</v>
      </c>
      <c r="F27" s="227" t="s">
        <v>442</v>
      </c>
      <c r="G27" s="227" t="s">
        <v>442</v>
      </c>
      <c r="H27" s="227">
        <v>1</v>
      </c>
      <c r="I27" s="227" t="s">
        <v>442</v>
      </c>
      <c r="J27" s="43">
        <f t="shared" si="1"/>
        <v>50</v>
      </c>
    </row>
    <row r="28" spans="1:10" ht="21" customHeight="1" x14ac:dyDescent="0.15">
      <c r="A28" s="42">
        <v>65535126</v>
      </c>
      <c r="B28" s="227">
        <v>0</v>
      </c>
      <c r="C28" s="227">
        <v>31</v>
      </c>
      <c r="D28" s="227">
        <v>100</v>
      </c>
      <c r="E28" s="227" t="s">
        <v>442</v>
      </c>
      <c r="F28" s="227" t="s">
        <v>442</v>
      </c>
      <c r="G28" s="227" t="s">
        <v>442</v>
      </c>
      <c r="H28" s="227">
        <v>1</v>
      </c>
      <c r="I28" s="227" t="s">
        <v>442</v>
      </c>
      <c r="J28" s="43">
        <f t="shared" si="1"/>
        <v>100</v>
      </c>
    </row>
    <row r="29" spans="1:10" ht="21" customHeight="1" x14ac:dyDescent="0.15">
      <c r="A29" s="42">
        <v>65535127</v>
      </c>
      <c r="B29" s="227">
        <v>0</v>
      </c>
      <c r="C29" s="227">
        <v>40</v>
      </c>
      <c r="D29" s="227">
        <v>100</v>
      </c>
      <c r="E29" s="227" t="s">
        <v>442</v>
      </c>
      <c r="F29" s="227" t="s">
        <v>442</v>
      </c>
      <c r="G29" s="227" t="s">
        <v>442</v>
      </c>
      <c r="H29" s="227">
        <v>2</v>
      </c>
      <c r="I29" s="227" t="s">
        <v>442</v>
      </c>
      <c r="J29" s="43">
        <f t="shared" si="1"/>
        <v>100</v>
      </c>
    </row>
    <row r="30" spans="1:10" ht="21" customHeight="1" x14ac:dyDescent="0.15">
      <c r="A30" s="42">
        <v>65535128</v>
      </c>
      <c r="B30" s="227">
        <v>0</v>
      </c>
      <c r="C30" s="227">
        <v>45</v>
      </c>
      <c r="D30" s="227">
        <v>100</v>
      </c>
      <c r="E30" s="227" t="s">
        <v>442</v>
      </c>
      <c r="F30" s="227" t="s">
        <v>442</v>
      </c>
      <c r="G30" s="227" t="s">
        <v>442</v>
      </c>
      <c r="H30" s="227">
        <v>4</v>
      </c>
      <c r="I30" s="227" t="s">
        <v>442</v>
      </c>
      <c r="J30" s="43">
        <f t="shared" si="1"/>
        <v>100</v>
      </c>
    </row>
    <row r="31" spans="1:10" ht="21" customHeight="1" x14ac:dyDescent="0.15">
      <c r="A31" s="42">
        <v>65535129</v>
      </c>
      <c r="B31" s="227">
        <v>1</v>
      </c>
      <c r="C31" s="227">
        <v>10</v>
      </c>
      <c r="D31" s="227">
        <v>100</v>
      </c>
      <c r="E31" s="227" t="s">
        <v>442</v>
      </c>
      <c r="F31" s="227" t="s">
        <v>442</v>
      </c>
      <c r="G31" s="227">
        <v>1</v>
      </c>
      <c r="H31" s="227" t="s">
        <v>442</v>
      </c>
      <c r="I31" s="227" t="s">
        <v>442</v>
      </c>
      <c r="J31" s="43">
        <f t="shared" si="1"/>
        <v>100</v>
      </c>
    </row>
    <row r="32" spans="1:10" ht="21" customHeight="1" x14ac:dyDescent="0.15">
      <c r="A32" s="42">
        <v>65535130</v>
      </c>
      <c r="B32" s="227">
        <v>0</v>
      </c>
      <c r="C32" s="227">
        <v>50</v>
      </c>
      <c r="D32" s="227">
        <v>100</v>
      </c>
      <c r="E32" s="227">
        <v>50</v>
      </c>
      <c r="F32" s="227" t="s">
        <v>442</v>
      </c>
      <c r="G32" s="227">
        <v>1</v>
      </c>
      <c r="H32" s="227">
        <v>1</v>
      </c>
      <c r="I32" s="227" t="s">
        <v>442</v>
      </c>
      <c r="J32" s="43">
        <f t="shared" si="1"/>
        <v>100</v>
      </c>
    </row>
    <row r="33" spans="1:10" ht="21" customHeight="1" x14ac:dyDescent="0.15">
      <c r="A33" s="42">
        <v>65535131</v>
      </c>
      <c r="B33" s="227">
        <v>0</v>
      </c>
      <c r="C33" s="227">
        <v>34</v>
      </c>
      <c r="D33" s="227">
        <v>25</v>
      </c>
      <c r="E33" s="227" t="s">
        <v>442</v>
      </c>
      <c r="F33" s="227" t="s">
        <v>442</v>
      </c>
      <c r="G33" s="227" t="s">
        <v>442</v>
      </c>
      <c r="H33" s="227">
        <v>1</v>
      </c>
      <c r="I33" s="227" t="s">
        <v>442</v>
      </c>
      <c r="J33" s="43">
        <f t="shared" si="1"/>
        <v>25</v>
      </c>
    </row>
    <row r="34" spans="1:10" ht="21" customHeight="1" x14ac:dyDescent="0.15">
      <c r="A34" s="42">
        <v>65535132</v>
      </c>
      <c r="B34" s="227">
        <v>0</v>
      </c>
      <c r="C34" s="227">
        <v>33</v>
      </c>
      <c r="D34" s="227">
        <v>33</v>
      </c>
      <c r="E34" s="227" t="s">
        <v>442</v>
      </c>
      <c r="F34" s="227" t="s">
        <v>442</v>
      </c>
      <c r="G34" s="227" t="s">
        <v>442</v>
      </c>
      <c r="H34" s="227">
        <v>1</v>
      </c>
      <c r="I34" s="227" t="s">
        <v>442</v>
      </c>
      <c r="J34" s="43">
        <f t="shared" si="1"/>
        <v>33</v>
      </c>
    </row>
    <row r="35" spans="1:10" ht="21" customHeight="1" x14ac:dyDescent="0.15">
      <c r="A35" s="42">
        <v>65535133</v>
      </c>
      <c r="B35" s="227">
        <v>0</v>
      </c>
      <c r="C35" s="227">
        <v>32</v>
      </c>
      <c r="D35" s="227">
        <v>50</v>
      </c>
      <c r="E35" s="227" t="s">
        <v>442</v>
      </c>
      <c r="F35" s="227" t="s">
        <v>442</v>
      </c>
      <c r="G35" s="227" t="s">
        <v>442</v>
      </c>
      <c r="H35" s="227">
        <v>1</v>
      </c>
      <c r="I35" s="227" t="s">
        <v>442</v>
      </c>
      <c r="J35" s="43">
        <f t="shared" si="1"/>
        <v>50</v>
      </c>
    </row>
    <row r="36" spans="1:10" ht="21" customHeight="1" x14ac:dyDescent="0.15">
      <c r="A36" s="42">
        <v>65535134</v>
      </c>
      <c r="B36" s="227">
        <v>0</v>
      </c>
      <c r="C36" s="227">
        <v>31</v>
      </c>
      <c r="D36" s="227">
        <v>100</v>
      </c>
      <c r="E36" s="227" t="s">
        <v>442</v>
      </c>
      <c r="F36" s="227" t="s">
        <v>442</v>
      </c>
      <c r="G36" s="227" t="s">
        <v>442</v>
      </c>
      <c r="H36" s="227">
        <v>1</v>
      </c>
      <c r="I36" s="227" t="s">
        <v>442</v>
      </c>
      <c r="J36" s="43">
        <f t="shared" si="1"/>
        <v>100</v>
      </c>
    </row>
    <row r="37" spans="1:10" ht="21" customHeight="1" x14ac:dyDescent="0.15">
      <c r="A37" s="42">
        <v>65535135</v>
      </c>
      <c r="B37" s="227">
        <v>0</v>
      </c>
      <c r="C37" s="227">
        <v>40</v>
      </c>
      <c r="D37" s="227">
        <v>100</v>
      </c>
      <c r="E37" s="227" t="s">
        <v>442</v>
      </c>
      <c r="F37" s="227" t="s">
        <v>442</v>
      </c>
      <c r="G37" s="227" t="s">
        <v>442</v>
      </c>
      <c r="H37" s="227">
        <v>2</v>
      </c>
      <c r="I37" s="227" t="s">
        <v>442</v>
      </c>
      <c r="J37" s="43">
        <f t="shared" si="1"/>
        <v>100</v>
      </c>
    </row>
    <row r="38" spans="1:10" ht="21" customHeight="1" x14ac:dyDescent="0.15">
      <c r="A38" s="42">
        <v>65535136</v>
      </c>
      <c r="B38" s="227">
        <v>0</v>
      </c>
      <c r="C38" s="227">
        <v>45</v>
      </c>
      <c r="D38" s="227">
        <v>100</v>
      </c>
      <c r="E38" s="227" t="s">
        <v>442</v>
      </c>
      <c r="F38" s="227" t="s">
        <v>442</v>
      </c>
      <c r="G38" s="227" t="s">
        <v>442</v>
      </c>
      <c r="H38" s="227">
        <v>4</v>
      </c>
      <c r="I38" s="227" t="s">
        <v>442</v>
      </c>
      <c r="J38" s="43">
        <f t="shared" si="1"/>
        <v>100</v>
      </c>
    </row>
    <row r="39" spans="1:10" ht="21" customHeight="1" x14ac:dyDescent="0.15">
      <c r="A39" s="42">
        <v>65535137</v>
      </c>
      <c r="B39" s="227">
        <v>0</v>
      </c>
      <c r="C39" s="227">
        <v>36</v>
      </c>
      <c r="D39" s="227">
        <v>100</v>
      </c>
      <c r="E39" s="227">
        <v>70</v>
      </c>
      <c r="F39" s="227" t="s">
        <v>442</v>
      </c>
      <c r="G39" s="227">
        <v>1</v>
      </c>
      <c r="H39" s="227">
        <v>1</v>
      </c>
      <c r="I39" s="227" t="s">
        <v>442</v>
      </c>
      <c r="J39" s="43">
        <f t="shared" si="1"/>
        <v>100</v>
      </c>
    </row>
    <row r="40" spans="1:10" ht="21" customHeight="1" x14ac:dyDescent="0.15">
      <c r="A40" s="42">
        <v>65535138</v>
      </c>
      <c r="B40" s="227">
        <v>0</v>
      </c>
      <c r="C40" s="227">
        <v>35</v>
      </c>
      <c r="D40" s="227">
        <v>100</v>
      </c>
      <c r="E40" s="227">
        <v>70</v>
      </c>
      <c r="F40" s="227" t="s">
        <v>442</v>
      </c>
      <c r="G40" s="227">
        <v>1</v>
      </c>
      <c r="H40" s="227">
        <v>1</v>
      </c>
      <c r="I40" s="227" t="s">
        <v>442</v>
      </c>
      <c r="J40" s="43">
        <f t="shared" si="1"/>
        <v>100</v>
      </c>
    </row>
    <row r="41" spans="1:10" ht="21" customHeight="1" x14ac:dyDescent="0.15">
      <c r="A41" s="42">
        <v>65535139</v>
      </c>
      <c r="B41" s="227">
        <v>1</v>
      </c>
      <c r="C41" s="227">
        <v>10</v>
      </c>
      <c r="D41" s="227">
        <v>100</v>
      </c>
      <c r="E41" s="227" t="s">
        <v>442</v>
      </c>
      <c r="F41" s="227" t="s">
        <v>442</v>
      </c>
      <c r="G41" s="227">
        <v>1</v>
      </c>
      <c r="H41" s="227" t="s">
        <v>442</v>
      </c>
      <c r="I41" s="227" t="s">
        <v>442</v>
      </c>
      <c r="J41" s="43">
        <f t="shared" si="1"/>
        <v>100</v>
      </c>
    </row>
    <row r="42" spans="1:10" ht="21" customHeight="1" x14ac:dyDescent="0.15">
      <c r="A42" s="42">
        <v>65535140</v>
      </c>
      <c r="B42" s="227">
        <v>0</v>
      </c>
      <c r="C42" s="227">
        <v>50</v>
      </c>
      <c r="D42" s="227">
        <v>100</v>
      </c>
      <c r="E42" s="227">
        <v>50</v>
      </c>
      <c r="F42" s="227" t="s">
        <v>442</v>
      </c>
      <c r="G42" s="227">
        <v>1</v>
      </c>
      <c r="H42" s="227">
        <v>1</v>
      </c>
      <c r="I42" s="227" t="s">
        <v>442</v>
      </c>
      <c r="J42" s="43">
        <f t="shared" si="1"/>
        <v>100</v>
      </c>
    </row>
    <row r="43" spans="1:10" ht="21" customHeight="1" x14ac:dyDescent="0.15">
      <c r="A43" s="42">
        <v>65535141</v>
      </c>
      <c r="B43" s="227">
        <v>0</v>
      </c>
      <c r="C43" s="227">
        <v>34</v>
      </c>
      <c r="D43" s="227">
        <v>25</v>
      </c>
      <c r="E43" s="227" t="s">
        <v>442</v>
      </c>
      <c r="F43" s="227" t="s">
        <v>442</v>
      </c>
      <c r="G43" s="227" t="s">
        <v>442</v>
      </c>
      <c r="H43" s="227">
        <v>1</v>
      </c>
      <c r="I43" s="227" t="s">
        <v>442</v>
      </c>
      <c r="J43" s="43">
        <f t="shared" si="1"/>
        <v>25</v>
      </c>
    </row>
    <row r="44" spans="1:10" ht="21" customHeight="1" x14ac:dyDescent="0.15">
      <c r="A44" s="42">
        <v>65535142</v>
      </c>
      <c r="B44" s="227">
        <v>0</v>
      </c>
      <c r="C44" s="227">
        <v>33</v>
      </c>
      <c r="D44" s="227">
        <v>33</v>
      </c>
      <c r="E44" s="227" t="s">
        <v>442</v>
      </c>
      <c r="F44" s="227" t="s">
        <v>442</v>
      </c>
      <c r="G44" s="227" t="s">
        <v>442</v>
      </c>
      <c r="H44" s="227">
        <v>1</v>
      </c>
      <c r="I44" s="227" t="s">
        <v>442</v>
      </c>
      <c r="J44" s="43">
        <f t="shared" si="1"/>
        <v>33</v>
      </c>
    </row>
    <row r="45" spans="1:10" ht="21" customHeight="1" x14ac:dyDescent="0.15">
      <c r="A45" s="42">
        <v>65535143</v>
      </c>
      <c r="B45" s="227">
        <v>0</v>
      </c>
      <c r="C45" s="227">
        <v>32</v>
      </c>
      <c r="D45" s="227">
        <v>50</v>
      </c>
      <c r="E45" s="227" t="s">
        <v>442</v>
      </c>
      <c r="F45" s="227" t="s">
        <v>442</v>
      </c>
      <c r="G45" s="227" t="s">
        <v>442</v>
      </c>
      <c r="H45" s="227">
        <v>1</v>
      </c>
      <c r="I45" s="227" t="s">
        <v>442</v>
      </c>
      <c r="J45" s="43">
        <f t="shared" si="1"/>
        <v>50</v>
      </c>
    </row>
    <row r="46" spans="1:10" ht="21" customHeight="1" x14ac:dyDescent="0.15">
      <c r="A46" s="42">
        <v>65535144</v>
      </c>
      <c r="B46" s="227">
        <v>0</v>
      </c>
      <c r="C46" s="227">
        <v>31</v>
      </c>
      <c r="D46" s="227">
        <v>100</v>
      </c>
      <c r="E46" s="227" t="s">
        <v>442</v>
      </c>
      <c r="F46" s="227" t="s">
        <v>442</v>
      </c>
      <c r="G46" s="227" t="s">
        <v>442</v>
      </c>
      <c r="H46" s="227">
        <v>1</v>
      </c>
      <c r="I46" s="227" t="s">
        <v>442</v>
      </c>
      <c r="J46" s="43">
        <f t="shared" si="1"/>
        <v>100</v>
      </c>
    </row>
    <row r="47" spans="1:10" ht="21" customHeight="1" x14ac:dyDescent="0.15">
      <c r="A47" s="42">
        <v>65535145</v>
      </c>
      <c r="B47" s="227">
        <v>0</v>
      </c>
      <c r="C47" s="227">
        <v>40</v>
      </c>
      <c r="D47" s="227">
        <v>100</v>
      </c>
      <c r="E47" s="227" t="s">
        <v>442</v>
      </c>
      <c r="F47" s="227" t="s">
        <v>442</v>
      </c>
      <c r="G47" s="227" t="s">
        <v>442</v>
      </c>
      <c r="H47" s="227">
        <v>2</v>
      </c>
      <c r="I47" s="227" t="s">
        <v>442</v>
      </c>
      <c r="J47" s="43">
        <f t="shared" si="1"/>
        <v>100</v>
      </c>
    </row>
    <row r="48" spans="1:10" ht="21" customHeight="1" x14ac:dyDescent="0.15">
      <c r="A48" s="42">
        <v>65535146</v>
      </c>
      <c r="B48" s="227">
        <v>0</v>
      </c>
      <c r="C48" s="227">
        <v>45</v>
      </c>
      <c r="D48" s="227">
        <v>100</v>
      </c>
      <c r="E48" s="227" t="s">
        <v>442</v>
      </c>
      <c r="F48" s="227" t="s">
        <v>442</v>
      </c>
      <c r="G48" s="227" t="s">
        <v>442</v>
      </c>
      <c r="H48" s="227">
        <v>4</v>
      </c>
      <c r="I48" s="227" t="s">
        <v>442</v>
      </c>
      <c r="J48" s="43">
        <f t="shared" si="1"/>
        <v>100</v>
      </c>
    </row>
    <row r="49" spans="1:10" ht="21" customHeight="1" x14ac:dyDescent="0.15">
      <c r="A49" s="42">
        <v>65535147</v>
      </c>
      <c r="B49" s="227">
        <v>0</v>
      </c>
      <c r="C49" s="227">
        <v>49</v>
      </c>
      <c r="D49" s="227">
        <v>100</v>
      </c>
      <c r="E49" s="227">
        <v>25</v>
      </c>
      <c r="F49" s="227" t="s">
        <v>442</v>
      </c>
      <c r="G49" s="227">
        <v>1</v>
      </c>
      <c r="H49" s="227">
        <v>1</v>
      </c>
      <c r="I49" s="227" t="s">
        <v>442</v>
      </c>
      <c r="J49" s="43">
        <f t="shared" si="1"/>
        <v>100</v>
      </c>
    </row>
    <row r="50" spans="1:10" ht="21" customHeight="1" x14ac:dyDescent="0.15">
      <c r="A50" s="42">
        <v>65535148</v>
      </c>
      <c r="B50" s="227">
        <v>0</v>
      </c>
      <c r="C50" s="227">
        <v>48</v>
      </c>
      <c r="D50" s="227">
        <v>100</v>
      </c>
      <c r="E50" s="227">
        <v>25</v>
      </c>
      <c r="F50" s="227" t="s">
        <v>442</v>
      </c>
      <c r="G50" s="227">
        <v>1</v>
      </c>
      <c r="H50" s="227">
        <v>1</v>
      </c>
      <c r="I50" s="227" t="s">
        <v>442</v>
      </c>
      <c r="J50" s="43">
        <f t="shared" si="1"/>
        <v>100</v>
      </c>
    </row>
    <row r="51" spans="1:10" ht="21" customHeight="1" x14ac:dyDescent="0.15">
      <c r="A51" s="42">
        <v>65535149</v>
      </c>
      <c r="B51" s="227">
        <v>0</v>
      </c>
      <c r="C51" s="227">
        <v>50</v>
      </c>
      <c r="D51" s="227">
        <v>100</v>
      </c>
      <c r="E51" s="227" t="s">
        <v>442</v>
      </c>
      <c r="F51" s="227" t="s">
        <v>442</v>
      </c>
      <c r="G51" s="227">
        <v>0</v>
      </c>
      <c r="H51" s="227" t="s">
        <v>442</v>
      </c>
      <c r="I51" s="227">
        <v>0</v>
      </c>
      <c r="J51" s="43">
        <f t="shared" si="1"/>
        <v>100</v>
      </c>
    </row>
    <row r="52" spans="1:10" ht="21" customHeight="1" x14ac:dyDescent="0.15">
      <c r="A52" s="42">
        <f>A51+1</f>
        <v>65535150</v>
      </c>
      <c r="B52" s="227">
        <v>0</v>
      </c>
      <c r="C52" s="227">
        <v>100</v>
      </c>
      <c r="D52" s="227">
        <v>80</v>
      </c>
      <c r="E52" s="227" t="s">
        <v>89</v>
      </c>
      <c r="F52" s="227" t="s">
        <v>89</v>
      </c>
      <c r="G52" s="227" t="s">
        <v>450</v>
      </c>
      <c r="H52" s="227">
        <v>2</v>
      </c>
      <c r="I52" s="227" t="s">
        <v>451</v>
      </c>
      <c r="J52" s="43">
        <f t="shared" ref="J52" si="2">D52</f>
        <v>80</v>
      </c>
    </row>
    <row r="53" spans="1:10" ht="21" customHeight="1" x14ac:dyDescent="0.15">
      <c r="A53" s="42">
        <f>A52+1</f>
        <v>65535151</v>
      </c>
      <c r="B53" s="227">
        <v>0</v>
      </c>
      <c r="C53" s="227">
        <v>100</v>
      </c>
      <c r="D53" s="227">
        <v>30</v>
      </c>
      <c r="E53" s="227" t="s">
        <v>89</v>
      </c>
      <c r="F53" s="227" t="s">
        <v>89</v>
      </c>
      <c r="G53" s="227" t="s">
        <v>450</v>
      </c>
      <c r="H53" s="227">
        <v>2</v>
      </c>
      <c r="I53" s="227" t="s">
        <v>451</v>
      </c>
      <c r="J53" s="43">
        <f t="shared" ref="J53" si="3">D53</f>
        <v>30</v>
      </c>
    </row>
    <row r="54" spans="1:10" ht="21" customHeight="1" x14ac:dyDescent="0.15">
      <c r="A54" s="42">
        <f>A53+1</f>
        <v>65535152</v>
      </c>
      <c r="B54" s="227">
        <v>0</v>
      </c>
      <c r="C54" s="227">
        <v>0</v>
      </c>
      <c r="D54" s="227">
        <v>100</v>
      </c>
      <c r="E54" s="227" t="s">
        <v>89</v>
      </c>
      <c r="F54" s="227" t="s">
        <v>89</v>
      </c>
      <c r="G54" s="227" t="s">
        <v>450</v>
      </c>
      <c r="H54" s="227" t="s">
        <v>451</v>
      </c>
      <c r="I54" s="227" t="s">
        <v>451</v>
      </c>
      <c r="J54" s="43">
        <f t="shared" ref="J54" si="4">D54</f>
        <v>100</v>
      </c>
    </row>
    <row r="55" spans="1:10" ht="21" customHeight="1" x14ac:dyDescent="0.15">
      <c r="A55" s="42">
        <f>A54+1</f>
        <v>65535153</v>
      </c>
      <c r="B55" s="227">
        <v>1</v>
      </c>
      <c r="C55" s="227">
        <v>0</v>
      </c>
      <c r="D55" s="227">
        <v>100</v>
      </c>
      <c r="E55" s="227" t="s">
        <v>89</v>
      </c>
      <c r="F55" s="227" t="s">
        <v>89</v>
      </c>
      <c r="G55" s="227" t="s">
        <v>450</v>
      </c>
      <c r="H55" s="227" t="s">
        <v>451</v>
      </c>
      <c r="I55" s="227" t="s">
        <v>451</v>
      </c>
      <c r="J55" s="43">
        <f t="shared" ref="J55" si="5">D55</f>
        <v>100</v>
      </c>
    </row>
  </sheetData>
  <autoFilter ref="A1:G1"/>
  <phoneticPr fontId="5"/>
  <conditionalFormatting sqref="K1:K2 K56:K1048576">
    <cfRule type="duplicateValues" dxfId="50" priority="52"/>
  </conditionalFormatting>
  <conditionalFormatting sqref="K3">
    <cfRule type="duplicateValues" dxfId="49" priority="51"/>
  </conditionalFormatting>
  <conditionalFormatting sqref="K4">
    <cfRule type="duplicateValues" dxfId="48" priority="49"/>
  </conditionalFormatting>
  <conditionalFormatting sqref="K5">
    <cfRule type="duplicateValues" dxfId="47" priority="48"/>
  </conditionalFormatting>
  <conditionalFormatting sqref="K7">
    <cfRule type="duplicateValues" dxfId="46" priority="47"/>
  </conditionalFormatting>
  <conditionalFormatting sqref="K8:K9">
    <cfRule type="duplicateValues" dxfId="45" priority="46"/>
  </conditionalFormatting>
  <conditionalFormatting sqref="K10">
    <cfRule type="duplicateValues" dxfId="44" priority="45"/>
  </conditionalFormatting>
  <conditionalFormatting sqref="K11">
    <cfRule type="duplicateValues" dxfId="43" priority="44"/>
  </conditionalFormatting>
  <conditionalFormatting sqref="K12">
    <cfRule type="duplicateValues" dxfId="42" priority="43"/>
  </conditionalFormatting>
  <conditionalFormatting sqref="K13">
    <cfRule type="duplicateValues" dxfId="41" priority="42"/>
  </conditionalFormatting>
  <conditionalFormatting sqref="K14">
    <cfRule type="duplicateValues" dxfId="40" priority="41"/>
  </conditionalFormatting>
  <conditionalFormatting sqref="K16">
    <cfRule type="duplicateValues" dxfId="39" priority="40"/>
  </conditionalFormatting>
  <conditionalFormatting sqref="K17:K18">
    <cfRule type="duplicateValues" dxfId="38" priority="39"/>
  </conditionalFormatting>
  <conditionalFormatting sqref="K19">
    <cfRule type="duplicateValues" dxfId="37" priority="38"/>
  </conditionalFormatting>
  <conditionalFormatting sqref="K20:K21">
    <cfRule type="duplicateValues" dxfId="36" priority="37"/>
  </conditionalFormatting>
  <conditionalFormatting sqref="K22">
    <cfRule type="duplicateValues" dxfId="35" priority="36"/>
  </conditionalFormatting>
  <conditionalFormatting sqref="K23">
    <cfRule type="duplicateValues" dxfId="34" priority="35"/>
  </conditionalFormatting>
  <conditionalFormatting sqref="K24">
    <cfRule type="duplicateValues" dxfId="33" priority="34"/>
  </conditionalFormatting>
  <conditionalFormatting sqref="K25">
    <cfRule type="duplicateValues" dxfId="32" priority="33"/>
  </conditionalFormatting>
  <conditionalFormatting sqref="K26">
    <cfRule type="duplicateValues" dxfId="31" priority="32"/>
  </conditionalFormatting>
  <conditionalFormatting sqref="K27">
    <cfRule type="duplicateValues" dxfId="30" priority="31"/>
  </conditionalFormatting>
  <conditionalFormatting sqref="K28">
    <cfRule type="duplicateValues" dxfId="29" priority="30"/>
  </conditionalFormatting>
  <conditionalFormatting sqref="K29">
    <cfRule type="duplicateValues" dxfId="28" priority="29"/>
  </conditionalFormatting>
  <conditionalFormatting sqref="K30">
    <cfRule type="duplicateValues" dxfId="27" priority="28"/>
  </conditionalFormatting>
  <conditionalFormatting sqref="K31">
    <cfRule type="duplicateValues" dxfId="26" priority="27"/>
  </conditionalFormatting>
  <conditionalFormatting sqref="K32">
    <cfRule type="duplicateValues" dxfId="25" priority="26"/>
  </conditionalFormatting>
  <conditionalFormatting sqref="K33">
    <cfRule type="duplicateValues" dxfId="24" priority="25"/>
  </conditionalFormatting>
  <conditionalFormatting sqref="K34">
    <cfRule type="duplicateValues" dxfId="23" priority="24"/>
  </conditionalFormatting>
  <conditionalFormatting sqref="K35">
    <cfRule type="duplicateValues" dxfId="22" priority="23"/>
  </conditionalFormatting>
  <conditionalFormatting sqref="K36">
    <cfRule type="duplicateValues" dxfId="21" priority="22"/>
  </conditionalFormatting>
  <conditionalFormatting sqref="K37">
    <cfRule type="duplicateValues" dxfId="20" priority="21"/>
  </conditionalFormatting>
  <conditionalFormatting sqref="K38">
    <cfRule type="duplicateValues" dxfId="19" priority="20"/>
  </conditionalFormatting>
  <conditionalFormatting sqref="K39">
    <cfRule type="duplicateValues" dxfId="18" priority="19"/>
  </conditionalFormatting>
  <conditionalFormatting sqref="K40">
    <cfRule type="duplicateValues" dxfId="17" priority="18"/>
  </conditionalFormatting>
  <conditionalFormatting sqref="K41">
    <cfRule type="duplicateValues" dxfId="16" priority="17"/>
  </conditionalFormatting>
  <conditionalFormatting sqref="K42">
    <cfRule type="duplicateValues" dxfId="15" priority="16"/>
  </conditionalFormatting>
  <conditionalFormatting sqref="K43">
    <cfRule type="duplicateValues" dxfId="14" priority="15"/>
  </conditionalFormatting>
  <conditionalFormatting sqref="K44">
    <cfRule type="duplicateValues" dxfId="13" priority="14"/>
  </conditionalFormatting>
  <conditionalFormatting sqref="K45">
    <cfRule type="duplicateValues" dxfId="12" priority="13"/>
  </conditionalFormatting>
  <conditionalFormatting sqref="K46">
    <cfRule type="duplicateValues" dxfId="11" priority="12"/>
  </conditionalFormatting>
  <conditionalFormatting sqref="K47">
    <cfRule type="duplicateValues" dxfId="10" priority="11"/>
  </conditionalFormatting>
  <conditionalFormatting sqref="K48">
    <cfRule type="duplicateValues" dxfId="9" priority="10"/>
  </conditionalFormatting>
  <conditionalFormatting sqref="K49">
    <cfRule type="duplicateValues" dxfId="8" priority="9"/>
  </conditionalFormatting>
  <conditionalFormatting sqref="K50">
    <cfRule type="duplicateValues" dxfId="7" priority="8"/>
  </conditionalFormatting>
  <conditionalFormatting sqref="K6">
    <cfRule type="duplicateValues" dxfId="6" priority="7"/>
  </conditionalFormatting>
  <conditionalFormatting sqref="K15">
    <cfRule type="duplicateValues" dxfId="5" priority="6"/>
  </conditionalFormatting>
  <conditionalFormatting sqref="K51">
    <cfRule type="duplicateValues" dxfId="4" priority="5"/>
  </conditionalFormatting>
  <conditionalFormatting sqref="K52">
    <cfRule type="duplicateValues" dxfId="3" priority="4"/>
  </conditionalFormatting>
  <conditionalFormatting sqref="K53">
    <cfRule type="duplicateValues" dxfId="2" priority="3"/>
  </conditionalFormatting>
  <conditionalFormatting sqref="K54">
    <cfRule type="duplicateValues" dxfId="1" priority="2"/>
  </conditionalFormatting>
  <conditionalFormatting sqref="K55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"/>
  <sheetViews>
    <sheetView workbookViewId="0">
      <selection activeCell="E22" sqref="E2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9" t="s">
        <v>151</v>
      </c>
      <c r="B1" s="59" t="s">
        <v>152</v>
      </c>
      <c r="C1" s="60" t="s">
        <v>153</v>
      </c>
      <c r="D1" s="65" t="s">
        <v>154</v>
      </c>
      <c r="E1" s="61" t="s">
        <v>155</v>
      </c>
      <c r="F1" s="59" t="s">
        <v>156</v>
      </c>
      <c r="G1" s="59" t="s">
        <v>157</v>
      </c>
      <c r="H1" s="59" t="s">
        <v>158</v>
      </c>
      <c r="I1" s="59" t="s">
        <v>159</v>
      </c>
      <c r="J1" s="59" t="s">
        <v>160</v>
      </c>
      <c r="K1" s="59" t="s">
        <v>161</v>
      </c>
      <c r="L1" s="59" t="s">
        <v>162</v>
      </c>
      <c r="M1" s="59" t="s">
        <v>163</v>
      </c>
      <c r="N1" s="59" t="s">
        <v>164</v>
      </c>
      <c r="O1" s="59" t="s">
        <v>165</v>
      </c>
      <c r="P1" s="59" t="s">
        <v>166</v>
      </c>
      <c r="Q1" s="59" t="s">
        <v>167</v>
      </c>
      <c r="R1" s="59" t="s">
        <v>168</v>
      </c>
    </row>
    <row r="2" spans="1:18" x14ac:dyDescent="0.1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</row>
    <row r="3" spans="1:18" x14ac:dyDescent="0.15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0" t="s">
        <v>186</v>
      </c>
      <c r="B1" s="66" t="s">
        <v>187</v>
      </c>
      <c r="C1" s="71" t="s">
        <v>188</v>
      </c>
      <c r="D1" s="71" t="s">
        <v>33</v>
      </c>
      <c r="E1" s="66" t="s">
        <v>189</v>
      </c>
      <c r="F1" s="71" t="s">
        <v>190</v>
      </c>
      <c r="G1" s="71" t="s">
        <v>33</v>
      </c>
      <c r="H1" s="66" t="s">
        <v>191</v>
      </c>
      <c r="I1" s="86" t="s">
        <v>193</v>
      </c>
      <c r="J1" s="73" t="s">
        <v>127</v>
      </c>
      <c r="K1" s="72" t="s">
        <v>184</v>
      </c>
      <c r="L1" s="87" t="s">
        <v>183</v>
      </c>
      <c r="M1" s="74" t="s">
        <v>194</v>
      </c>
    </row>
    <row r="2" spans="1:13" x14ac:dyDescent="0.15">
      <c r="A2" s="75" t="s">
        <v>199</v>
      </c>
      <c r="B2" s="76">
        <f>floors!$C$2</f>
        <v>65535</v>
      </c>
      <c r="C2" s="77" t="str">
        <f ca="1">VLOOKUP($B2,OFFSET([2]quests!$A$1,0,0,COUNTA([2]quests!$A:$A),MATCH(C$1,[2]quests!$1:$1,0)-MATCH($B$1,[2]quests!$1:$1,0)+1),MATCH(C$1,[2]quests!$1:$1,0)-MATCH($B$1,[2]quests!$1:$1,0)+1,FALSE)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" s="77" t="str">
        <f ca="1">VLOOKUP($B2,OFFSET([2]quests!$A$1,0,0,COUNTA([2]quests!$A:$A),MATCH(D$1,[2]quests!$1:$1,0)-MATCH($B$1,[2]quests!$1:$1,0)+1),MATCH(D$1,[2]quests!$1:$1,0)-MATCH($B$1,[2]quests!$1:$1,0)+1,FALSE)</f>
        <v>検証</v>
      </c>
      <c r="E2" s="81" t="s">
        <v>214</v>
      </c>
      <c r="F2" s="77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77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79">
        <v>0</v>
      </c>
      <c r="I2">
        <v>1</v>
      </c>
      <c r="J2" s="78" t="s">
        <v>196</v>
      </c>
      <c r="K2" s="88" t="str">
        <f>VLOOKUP(I2,[9]stage_hints!$A:$C,3,FALSE)</f>
        <v>長くつなげて大ダメージ</v>
      </c>
      <c r="L2" s="89" t="str">
        <f>VLOOKUP(I2,[9]stage_hints!$A:$D,4,FALSE)</f>
        <v>パネルを長くつなげるほど_x000D_大ダメージを与えることができます</v>
      </c>
      <c r="M2" s="52" t="s">
        <v>211</v>
      </c>
    </row>
    <row r="3" spans="1:13" x14ac:dyDescent="0.15">
      <c r="A3" s="75" t="s">
        <v>199</v>
      </c>
      <c r="B3" s="76">
        <f>floors!$C$2</f>
        <v>65535</v>
      </c>
      <c r="C3" s="77" t="str">
        <f ca="1">VLOOKUP($B3,OFFSET([2]quests!$A$1,0,0,COUNTA([2]quests!$A:$A),MATCH(C$1,[2]quests!$1:$1,0)-MATCH($B$1,[2]quests!$1:$1,0)+1),MATCH(C$1,[2]quests!$1:$1,0)-MATCH($B$1,[2]quests!$1:$1,0)+1,FALSE)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" s="77" t="str">
        <f ca="1">VLOOKUP($B3,OFFSET([2]quests!$A$1,0,0,COUNTA([2]quests!$A:$A),MATCH(D$1,[2]quests!$1:$1,0)-MATCH($B$1,[2]quests!$1:$1,0)+1),MATCH(D$1,[2]quests!$1:$1,0)-MATCH($B$1,[2]quests!$1:$1,0)+1,FALSE)</f>
        <v>検証</v>
      </c>
      <c r="E3" s="81" t="s">
        <v>214</v>
      </c>
      <c r="F3" s="77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77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79">
        <v>0</v>
      </c>
      <c r="I3">
        <v>2</v>
      </c>
      <c r="J3" s="78" t="s">
        <v>196</v>
      </c>
      <c r="K3" s="88" t="str">
        <f>VLOOKUP(I3,[9]stage_hints!$A:$C,3,FALSE)</f>
        <v>属性の相性</v>
      </c>
      <c r="L3" s="89" t="str">
        <f>VLOOKUP(I3,[9]stage_hints!$A:$D,4,FALSE)</f>
        <v>赤＞青　青＞黄　黄＞緑　緑＞赤_x000D_敵属性に最適なパーティがオススメです</v>
      </c>
      <c r="M3" s="52" t="s">
        <v>211</v>
      </c>
    </row>
    <row r="4" spans="1:13" x14ac:dyDescent="0.15">
      <c r="A4" s="75" t="s">
        <v>199</v>
      </c>
      <c r="B4" s="76">
        <f>floors!$C$2</f>
        <v>65535</v>
      </c>
      <c r="C4" s="77" t="str">
        <f ca="1">VLOOKUP($B4,OFFSET([2]quests!$A$1,0,0,COUNTA([2]quests!$A:$A),MATCH(C$1,[2]quests!$1:$1,0)-MATCH($B$1,[2]quests!$1:$1,0)+1),MATCH(C$1,[2]quests!$1:$1,0)-MATCH($B$1,[2]quests!$1:$1,0)+1,FALSE)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" s="77" t="str">
        <f ca="1">VLOOKUP($B4,OFFSET([2]quests!$A$1,0,0,COUNTA([2]quests!$A:$A),MATCH(D$1,[2]quests!$1:$1,0)-MATCH($B$1,[2]quests!$1:$1,0)+1),MATCH(D$1,[2]quests!$1:$1,0)-MATCH($B$1,[2]quests!$1:$1,0)+1,FALSE)</f>
        <v>検証</v>
      </c>
      <c r="E4" s="81" t="s">
        <v>214</v>
      </c>
      <c r="F4" s="77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77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79">
        <v>0</v>
      </c>
      <c r="I4">
        <v>3</v>
      </c>
      <c r="J4" s="78" t="s">
        <v>196</v>
      </c>
      <c r="K4" s="88" t="str">
        <f>VLOOKUP(I4,[9]stage_hints!$A:$C,3,FALSE)</f>
        <v>ターゲット</v>
      </c>
      <c r="L4" s="89" t="str">
        <f>VLOOKUP(I4,[9]stage_hints!$A:$D,4,FALSE)</f>
        <v>敵ユニットをタップすると_x000D_その敵を狙い撃ちできます</v>
      </c>
      <c r="M4" s="52" t="s">
        <v>211</v>
      </c>
    </row>
    <row r="5" spans="1:13" x14ac:dyDescent="0.15">
      <c r="A5" s="75" t="s">
        <v>199</v>
      </c>
      <c r="B5" s="76">
        <f>floors!$C$2</f>
        <v>65535</v>
      </c>
      <c r="C5" s="77" t="str">
        <f ca="1">VLOOKUP($B5,OFFSET([2]quests!$A$1,0,0,COUNTA([2]quests!$A:$A),MATCH(C$1,[2]quests!$1:$1,0)-MATCH($B$1,[2]quests!$1:$1,0)+1),MATCH(C$1,[2]quests!$1:$1,0)-MATCH($B$1,[2]quests!$1:$1,0)+1,FALSE)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" s="77" t="str">
        <f ca="1">VLOOKUP($B5,OFFSET([2]quests!$A$1,0,0,COUNTA([2]quests!$A:$A),MATCH(D$1,[2]quests!$1:$1,0)-MATCH($B$1,[2]quests!$1:$1,0)+1),MATCH(D$1,[2]quests!$1:$1,0)-MATCH($B$1,[2]quests!$1:$1,0)+1,FALSE)</f>
        <v>検証</v>
      </c>
      <c r="E5" s="81" t="s">
        <v>214</v>
      </c>
      <c r="F5" s="77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77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79">
        <v>0</v>
      </c>
      <c r="I5">
        <v>5</v>
      </c>
      <c r="J5" s="78" t="s">
        <v>196</v>
      </c>
      <c r="K5" s="88" t="str">
        <f>VLOOKUP(I5,[9]stage_hints!$A:$C,3,FALSE)</f>
        <v>ユニット強化でレベルアップ</v>
      </c>
      <c r="L5" s="89" t="str">
        <f>VLOOKUP(I5,[9]stage_hints!$A:$D,4,FALSE)</f>
        <v>「ユニット強化」でレベルアップすると_x000D_勝てない敵にも勝てるようになります</v>
      </c>
      <c r="M5" s="52" t="s">
        <v>211</v>
      </c>
    </row>
    <row r="6" spans="1:13" x14ac:dyDescent="0.15">
      <c r="A6" s="75" t="s">
        <v>199</v>
      </c>
      <c r="B6" s="76">
        <f>floors!$C$2</f>
        <v>65535</v>
      </c>
      <c r="C6" s="77" t="str">
        <f ca="1">VLOOKUP($B6,OFFSET([2]quests!$A$1,0,0,COUNTA([2]quests!$A:$A),MATCH(C$1,[2]quests!$1:$1,0)-MATCH($B$1,[2]quests!$1:$1,0)+1),MATCH(C$1,[2]quests!$1:$1,0)-MATCH($B$1,[2]quests!$1:$1,0)+1,FALSE)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" s="77" t="str">
        <f ca="1">VLOOKUP($B6,OFFSET([2]quests!$A$1,0,0,COUNTA([2]quests!$A:$A),MATCH(D$1,[2]quests!$1:$1,0)-MATCH($B$1,[2]quests!$1:$1,0)+1),MATCH(D$1,[2]quests!$1:$1,0)-MATCH($B$1,[2]quests!$1:$1,0)+1,FALSE)</f>
        <v>検証</v>
      </c>
      <c r="E6" s="81" t="s">
        <v>214</v>
      </c>
      <c r="F6" s="77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77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79">
        <v>0</v>
      </c>
      <c r="I6">
        <v>6</v>
      </c>
      <c r="J6" s="78" t="s">
        <v>196</v>
      </c>
      <c r="K6" s="88" t="str">
        <f>VLOOKUP(I6,[9]stage_hints!$A:$C,3,FALSE)</f>
        <v>ユニット強化の属性ボーナス</v>
      </c>
      <c r="L6" s="89" t="str">
        <f>VLOOKUP(I6,[9]stage_hints!$A:$D,4,FALSE)</f>
        <v>同属性ユニットを強化素材にすると_x000D_経験値が多くもらえます</v>
      </c>
      <c r="M6" s="52" t="s">
        <v>211</v>
      </c>
    </row>
    <row r="7" spans="1:13" x14ac:dyDescent="0.15">
      <c r="A7" s="75" t="s">
        <v>199</v>
      </c>
      <c r="B7" s="76">
        <f>floors!$C$2</f>
        <v>65535</v>
      </c>
      <c r="C7" s="77" t="str">
        <f ca="1">VLOOKUP($B7,OFFSET([2]quests!$A$1,0,0,COUNTA([2]quests!$A:$A),MATCH(C$1,[2]quests!$1:$1,0)-MATCH($B$1,[2]quests!$1:$1,0)+1),MATCH(C$1,[2]quests!$1:$1,0)-MATCH($B$1,[2]quests!$1:$1,0)+1,FALSE)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" s="77" t="str">
        <f ca="1">VLOOKUP($B7,OFFSET([2]quests!$A$1,0,0,COUNTA([2]quests!$A:$A),MATCH(D$1,[2]quests!$1:$1,0)-MATCH($B$1,[2]quests!$1:$1,0)+1),MATCH(D$1,[2]quests!$1:$1,0)-MATCH($B$1,[2]quests!$1:$1,0)+1,FALSE)</f>
        <v>検証</v>
      </c>
      <c r="E7" s="81" t="s">
        <v>214</v>
      </c>
      <c r="F7" s="77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77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79">
        <v>0</v>
      </c>
      <c r="I7">
        <v>7</v>
      </c>
      <c r="J7" s="78" t="s">
        <v>196</v>
      </c>
      <c r="K7" s="88" t="str">
        <f>VLOOKUP(I7,[9]stage_hints!$A:$C,3,FALSE)</f>
        <v>メタルダックで経験値を獲得</v>
      </c>
      <c r="L7" s="89" t="str">
        <f>VLOOKUP(I7,[9]stage_hints!$A:$D,4,FALSE)</f>
        <v>「メタルなアヒル」を強化素材にすると_x000D_大量の経験値がもらえます</v>
      </c>
      <c r="M7" s="52" t="s">
        <v>211</v>
      </c>
    </row>
    <row r="8" spans="1:13" x14ac:dyDescent="0.15">
      <c r="A8" s="75" t="s">
        <v>199</v>
      </c>
      <c r="B8" s="76">
        <f>floors!$C$2</f>
        <v>65535</v>
      </c>
      <c r="C8" s="77" t="str">
        <f ca="1">VLOOKUP($B8,OFFSET([2]quests!$A$1,0,0,COUNTA([2]quests!$A:$A),MATCH(C$1,[2]quests!$1:$1,0)-MATCH($B$1,[2]quests!$1:$1,0)+1),MATCH(C$1,[2]quests!$1:$1,0)-MATCH($B$1,[2]quests!$1:$1,0)+1,FALSE)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" s="77" t="str">
        <f ca="1">VLOOKUP($B8,OFFSET([2]quests!$A$1,0,0,COUNTA([2]quests!$A:$A),MATCH(D$1,[2]quests!$1:$1,0)-MATCH($B$1,[2]quests!$1:$1,0)+1),MATCH(D$1,[2]quests!$1:$1,0)-MATCH($B$1,[2]quests!$1:$1,0)+1,FALSE)</f>
        <v>検証</v>
      </c>
      <c r="E8" s="81" t="s">
        <v>214</v>
      </c>
      <c r="F8" s="77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77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79">
        <v>0</v>
      </c>
      <c r="I8">
        <v>8</v>
      </c>
      <c r="J8" s="78" t="s">
        <v>196</v>
      </c>
      <c r="K8" s="88" t="str">
        <f>VLOOKUP(I8,[9]stage_hints!$A:$C,3,FALSE)</f>
        <v>ゲリラクエストは要チェック</v>
      </c>
      <c r="L8" s="89" t="str">
        <f>VLOOKUP(I8,[9]stage_hints!$A:$D,4,FALSE)</f>
        <v>時間限定の「アヒル捕獲作戦」では_x000D_経験値素材ユニットが多く手に入ります</v>
      </c>
      <c r="M8" s="52" t="s">
        <v>211</v>
      </c>
    </row>
    <row r="9" spans="1:13" x14ac:dyDescent="0.15">
      <c r="A9" s="75" t="s">
        <v>199</v>
      </c>
      <c r="B9" s="76">
        <f>floors!$C$2</f>
        <v>65535</v>
      </c>
      <c r="C9" s="77" t="str">
        <f ca="1">VLOOKUP($B9,OFFSET([2]quests!$A$1,0,0,COUNTA([2]quests!$A:$A),MATCH(C$1,[2]quests!$1:$1,0)-MATCH($B$1,[2]quests!$1:$1,0)+1),MATCH(C$1,[2]quests!$1:$1,0)-MATCH($B$1,[2]quests!$1:$1,0)+1,FALSE)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" s="77" t="str">
        <f ca="1">VLOOKUP($B9,OFFSET([2]quests!$A$1,0,0,COUNTA([2]quests!$A:$A),MATCH(D$1,[2]quests!$1:$1,0)-MATCH($B$1,[2]quests!$1:$1,0)+1),MATCH(D$1,[2]quests!$1:$1,0)-MATCH($B$1,[2]quests!$1:$1,0)+1,FALSE)</f>
        <v>検証</v>
      </c>
      <c r="E9" s="81" t="s">
        <v>214</v>
      </c>
      <c r="F9" s="77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77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79">
        <v>0</v>
      </c>
      <c r="I9">
        <v>9</v>
      </c>
      <c r="J9" s="78" t="s">
        <v>196</v>
      </c>
      <c r="K9" s="88" t="str">
        <f>VLOOKUP(I9,[9]stage_hints!$A:$C,3,FALSE)</f>
        <v>ゴールドダックでビットを獲得</v>
      </c>
      <c r="L9" s="89" t="str">
        <f>VLOOKUP(I9,[9]stage_hints!$A:$D,4,FALSE)</f>
        <v>「ゴールドなアヒル」を売却すると_x000D_大量のビットがもらえます</v>
      </c>
      <c r="M9" s="52" t="s">
        <v>211</v>
      </c>
    </row>
    <row r="10" spans="1:13" x14ac:dyDescent="0.15">
      <c r="A10" s="75" t="s">
        <v>199</v>
      </c>
      <c r="B10" s="76">
        <f>floors!$C$2</f>
        <v>65535</v>
      </c>
      <c r="C10" s="77" t="str">
        <f ca="1">VLOOKUP($B10,OFFSET([2]quests!$A$1,0,0,COUNTA([2]quests!$A:$A),MATCH(C$1,[2]quests!$1:$1,0)-MATCH($B$1,[2]quests!$1:$1,0)+1),MATCH(C$1,[2]quests!$1:$1,0)-MATCH($B$1,[2]quests!$1:$1,0)+1,FALSE)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" s="77" t="str">
        <f ca="1">VLOOKUP($B10,OFFSET([2]quests!$A$1,0,0,COUNTA([2]quests!$A:$A),MATCH(D$1,[2]quests!$1:$1,0)-MATCH($B$1,[2]quests!$1:$1,0)+1),MATCH(D$1,[2]quests!$1:$1,0)-MATCH($B$1,[2]quests!$1:$1,0)+1,FALSE)</f>
        <v>検証</v>
      </c>
      <c r="E10" s="81" t="s">
        <v>214</v>
      </c>
      <c r="F10" s="77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77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79">
        <v>0</v>
      </c>
      <c r="I10">
        <v>10</v>
      </c>
      <c r="J10" s="78" t="s">
        <v>196</v>
      </c>
      <c r="K10" s="88" t="str">
        <f>VLOOKUP(I10,[9]stage_hints!$A:$C,3,FALSE)</f>
        <v>土日に大量のビットを獲得</v>
      </c>
      <c r="L10" s="89" t="str">
        <f>VLOOKUP(I10,[9]stage_hints!$A:$D,4,FALSE)</f>
        <v>土日限定の「ゴールドカジノ」では_x000D_売却素材ユニットが多く手に入ります</v>
      </c>
      <c r="M10" s="52" t="s">
        <v>211</v>
      </c>
    </row>
    <row r="11" spans="1:13" x14ac:dyDescent="0.15">
      <c r="A11" s="75" t="s">
        <v>199</v>
      </c>
      <c r="B11" s="76">
        <f>floors!$C$2</f>
        <v>65535</v>
      </c>
      <c r="C11" s="77" t="str">
        <f ca="1">VLOOKUP($B11,OFFSET([2]quests!$A$1,0,0,COUNTA([2]quests!$A:$A),MATCH(C$1,[2]quests!$1:$1,0)-MATCH($B$1,[2]quests!$1:$1,0)+1),MATCH(C$1,[2]quests!$1:$1,0)-MATCH($B$1,[2]quests!$1:$1,0)+1,FALSE)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" s="77" t="str">
        <f ca="1">VLOOKUP($B11,OFFSET([2]quests!$A$1,0,0,COUNTA([2]quests!$A:$A),MATCH(D$1,[2]quests!$1:$1,0)-MATCH($B$1,[2]quests!$1:$1,0)+1),MATCH(D$1,[2]quests!$1:$1,0)-MATCH($B$1,[2]quests!$1:$1,0)+1,FALSE)</f>
        <v>検証</v>
      </c>
      <c r="E11" s="81" t="s">
        <v>214</v>
      </c>
      <c r="F11" s="77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77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79">
        <v>0</v>
      </c>
      <c r="I11">
        <v>11</v>
      </c>
      <c r="J11" s="78" t="s">
        <v>196</v>
      </c>
      <c r="K11" s="88" t="str">
        <f>VLOOKUP(I11,[9]stage_hints!$A:$C,3,FALSE)</f>
        <v>ランク解放クエスト</v>
      </c>
      <c r="L11" s="89" t="str">
        <f>VLOOKUP(I11,[9]stage_hints!$A:$D,4,FALSE)</f>
        <v>一定ランクに到達すると_x000D_報酬付きのランク開放クエストが現れます</v>
      </c>
      <c r="M11" s="52" t="s">
        <v>211</v>
      </c>
    </row>
    <row r="12" spans="1:13" x14ac:dyDescent="0.15">
      <c r="A12" s="75" t="s">
        <v>199</v>
      </c>
      <c r="B12" s="76">
        <f>floors!$C$2</f>
        <v>65535</v>
      </c>
      <c r="C12" s="77" t="str">
        <f ca="1">VLOOKUP($B12,OFFSET([2]quests!$A$1,0,0,COUNTA([2]quests!$A:$A),MATCH(C$1,[2]quests!$1:$1,0)-MATCH($B$1,[2]quests!$1:$1,0)+1),MATCH(C$1,[2]quests!$1:$1,0)-MATCH($B$1,[2]quests!$1:$1,0)+1,FALSE)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" s="77" t="str">
        <f ca="1">VLOOKUP($B12,OFFSET([2]quests!$A$1,0,0,COUNTA([2]quests!$A:$A),MATCH(D$1,[2]quests!$1:$1,0)-MATCH($B$1,[2]quests!$1:$1,0)+1),MATCH(D$1,[2]quests!$1:$1,0)-MATCH($B$1,[2]quests!$1:$1,0)+1,FALSE)</f>
        <v>検証</v>
      </c>
      <c r="E12" s="81" t="s">
        <v>214</v>
      </c>
      <c r="F12" s="77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77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79">
        <v>0</v>
      </c>
      <c r="I12">
        <v>12</v>
      </c>
      <c r="J12" s="78" t="s">
        <v>196</v>
      </c>
      <c r="K12" s="88" t="str">
        <f>VLOOKUP(I12,[9]stage_hints!$A:$C,3,FALSE)</f>
        <v>ユニットのお気に入り登録</v>
      </c>
      <c r="L12" s="89" t="str">
        <f>VLOOKUP(I12,[9]stage_hints!$A:$D,4,FALSE)</f>
        <v>大事なユニットを誤って消さないように_x000D_フォルダから「お気に入り登録」しましょう</v>
      </c>
      <c r="M12" s="52" t="s">
        <v>211</v>
      </c>
    </row>
    <row r="13" spans="1:13" x14ac:dyDescent="0.15">
      <c r="A13" s="75" t="s">
        <v>199</v>
      </c>
      <c r="B13" s="76">
        <f>floors!$C$2</f>
        <v>65535</v>
      </c>
      <c r="C13" s="77" t="str">
        <f ca="1">VLOOKUP($B13,OFFSET([2]quests!$A$1,0,0,COUNTA([2]quests!$A:$A),MATCH(C$1,[2]quests!$1:$1,0)-MATCH($B$1,[2]quests!$1:$1,0)+1),MATCH(C$1,[2]quests!$1:$1,0)-MATCH($B$1,[2]quests!$1:$1,0)+1,FALSE)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3" s="77" t="str">
        <f ca="1">VLOOKUP($B13,OFFSET([2]quests!$A$1,0,0,COUNTA([2]quests!$A:$A),MATCH(D$1,[2]quests!$1:$1,0)-MATCH($B$1,[2]quests!$1:$1,0)+1),MATCH(D$1,[2]quests!$1:$1,0)-MATCH($B$1,[2]quests!$1:$1,0)+1,FALSE)</f>
        <v>検証</v>
      </c>
      <c r="E13" s="81" t="s">
        <v>214</v>
      </c>
      <c r="F13" s="77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77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79">
        <v>0</v>
      </c>
      <c r="I13">
        <v>13</v>
      </c>
      <c r="J13" s="78" t="s">
        <v>196</v>
      </c>
      <c r="K13" s="88" t="str">
        <f>VLOOKUP(I13,[9]stage_hints!$A:$C,3,FALSE)</f>
        <v>ユニットの覚醒</v>
      </c>
      <c r="L13" s="89" t="str">
        <f>VLOOKUP(I13,[9]stage_hints!$A:$D,4,FALSE)</f>
        <v>ユニットを覚醒させると_x000D_比べものにならない強さが手に入ります</v>
      </c>
      <c r="M13" s="52" t="s">
        <v>211</v>
      </c>
    </row>
    <row r="14" spans="1:13" x14ac:dyDescent="0.15">
      <c r="A14" s="75" t="s">
        <v>199</v>
      </c>
      <c r="B14" s="76">
        <f>floors!$C$2</f>
        <v>65535</v>
      </c>
      <c r="C14" s="77" t="str">
        <f ca="1">VLOOKUP($B14,OFFSET([2]quests!$A$1,0,0,COUNTA([2]quests!$A:$A),MATCH(C$1,[2]quests!$1:$1,0)-MATCH($B$1,[2]quests!$1:$1,0)+1),MATCH(C$1,[2]quests!$1:$1,0)-MATCH($B$1,[2]quests!$1:$1,0)+1,FALSE)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4" s="77" t="str">
        <f ca="1">VLOOKUP($B14,OFFSET([2]quests!$A$1,0,0,COUNTA([2]quests!$A:$A),MATCH(D$1,[2]quests!$1:$1,0)-MATCH($B$1,[2]quests!$1:$1,0)+1),MATCH(D$1,[2]quests!$1:$1,0)-MATCH($B$1,[2]quests!$1:$1,0)+1,FALSE)</f>
        <v>検証</v>
      </c>
      <c r="E14" s="81" t="s">
        <v>214</v>
      </c>
      <c r="F14" s="77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77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79">
        <v>0</v>
      </c>
      <c r="I14">
        <v>14</v>
      </c>
      <c r="J14" s="78" t="s">
        <v>196</v>
      </c>
      <c r="K14" s="88" t="str">
        <f>VLOOKUP(I14,[9]stage_hints!$A:$C,3,FALSE)</f>
        <v>覚醒するにはレベルを最大に</v>
      </c>
      <c r="L14" s="89" t="str">
        <f>VLOOKUP(I14,[9]stage_hints!$A:$D,4,FALSE)</f>
        <v>覚醒するにはユニットのレベルを_x000D_最大まで上げる必要があります</v>
      </c>
      <c r="M14" s="52" t="s">
        <v>211</v>
      </c>
    </row>
    <row r="15" spans="1:13" x14ac:dyDescent="0.15">
      <c r="A15" s="75" t="s">
        <v>199</v>
      </c>
      <c r="B15" s="76">
        <f>floors!$C$2</f>
        <v>65535</v>
      </c>
      <c r="C15" s="77" t="str">
        <f ca="1">VLOOKUP($B15,OFFSET([2]quests!$A$1,0,0,COUNTA([2]quests!$A:$A),MATCH(C$1,[2]quests!$1:$1,0)-MATCH($B$1,[2]quests!$1:$1,0)+1),MATCH(C$1,[2]quests!$1:$1,0)-MATCH($B$1,[2]quests!$1:$1,0)+1,FALSE)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5" s="77" t="str">
        <f ca="1">VLOOKUP($B15,OFFSET([2]quests!$A$1,0,0,COUNTA([2]quests!$A:$A),MATCH(D$1,[2]quests!$1:$1,0)-MATCH($B$1,[2]quests!$1:$1,0)+1),MATCH(D$1,[2]quests!$1:$1,0)-MATCH($B$1,[2]quests!$1:$1,0)+1,FALSE)</f>
        <v>検証</v>
      </c>
      <c r="E15" s="81" t="s">
        <v>214</v>
      </c>
      <c r="F15" s="77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77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79">
        <v>0</v>
      </c>
      <c r="I15">
        <v>15</v>
      </c>
      <c r="J15" s="78" t="s">
        <v>196</v>
      </c>
      <c r="K15" s="88" t="str">
        <f>VLOOKUP(I15,[9]stage_hints!$A:$C,3,FALSE)</f>
        <v>覚醒素材を獲得</v>
      </c>
      <c r="L15" s="89" t="str">
        <f>VLOOKUP(I15,[9]stage_hints!$A:$D,4,FALSE)</f>
        <v>「曜日クエスト」では_x000D_ユニットの覚醒に必要な素材が手に入ります</v>
      </c>
      <c r="M15" s="52" t="s">
        <v>211</v>
      </c>
    </row>
    <row r="16" spans="1:13" x14ac:dyDescent="0.15">
      <c r="A16" s="75" t="s">
        <v>199</v>
      </c>
      <c r="B16" s="76">
        <f>floors!$C$2</f>
        <v>65535</v>
      </c>
      <c r="C16" s="77" t="str">
        <f ca="1">VLOOKUP($B16,OFFSET([2]quests!$A$1,0,0,COUNTA([2]quests!$A:$A),MATCH(C$1,[2]quests!$1:$1,0)-MATCH($B$1,[2]quests!$1:$1,0)+1),MATCH(C$1,[2]quests!$1:$1,0)-MATCH($B$1,[2]quests!$1:$1,0)+1,FALSE)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6" s="77" t="str">
        <f ca="1">VLOOKUP($B16,OFFSET([2]quests!$A$1,0,0,COUNTA([2]quests!$A:$A),MATCH(D$1,[2]quests!$1:$1,0)-MATCH($B$1,[2]quests!$1:$1,0)+1),MATCH(D$1,[2]quests!$1:$1,0)-MATCH($B$1,[2]quests!$1:$1,0)+1,FALSE)</f>
        <v>検証</v>
      </c>
      <c r="E16" s="81" t="s">
        <v>214</v>
      </c>
      <c r="F16" s="77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77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79">
        <v>0</v>
      </c>
      <c r="I16">
        <v>16</v>
      </c>
      <c r="J16" s="78" t="s">
        <v>196</v>
      </c>
      <c r="K16" s="88" t="str">
        <f>VLOOKUP(I16,[9]stage_hints!$A:$C,3,FALSE)</f>
        <v>マルチプレイのメリット（その1）</v>
      </c>
      <c r="L16" s="89" t="str">
        <f>VLOOKUP(I16,[9]stage_hints!$A:$D,4,FALSE)</f>
        <v>他のプレイヤーとマルチプレイで遊ぶと_x000D_ポリゴンがもらえます（100人まで）</v>
      </c>
      <c r="M16" s="52" t="s">
        <v>211</v>
      </c>
    </row>
    <row r="17" spans="1:13" x14ac:dyDescent="0.15">
      <c r="A17" s="75" t="s">
        <v>199</v>
      </c>
      <c r="B17" s="76">
        <f>floors!$C$2</f>
        <v>65535</v>
      </c>
      <c r="C17" s="77" t="str">
        <f ca="1">VLOOKUP($B17,OFFSET([2]quests!$A$1,0,0,COUNTA([2]quests!$A:$A),MATCH(C$1,[2]quests!$1:$1,0)-MATCH($B$1,[2]quests!$1:$1,0)+1),MATCH(C$1,[2]quests!$1:$1,0)-MATCH($B$1,[2]quests!$1:$1,0)+1,FALSE)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7" s="77" t="str">
        <f ca="1">VLOOKUP($B17,OFFSET([2]quests!$A$1,0,0,COUNTA([2]quests!$A:$A),MATCH(D$1,[2]quests!$1:$1,0)-MATCH($B$1,[2]quests!$1:$1,0)+1),MATCH(D$1,[2]quests!$1:$1,0)-MATCH($B$1,[2]quests!$1:$1,0)+1,FALSE)</f>
        <v>検証</v>
      </c>
      <c r="E17" s="81" t="s">
        <v>214</v>
      </c>
      <c r="F17" s="77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77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79">
        <v>0</v>
      </c>
      <c r="I17">
        <v>17</v>
      </c>
      <c r="J17" s="78" t="s">
        <v>196</v>
      </c>
      <c r="K17" s="88" t="str">
        <f>VLOOKUP(I17,[9]stage_hints!$A:$C,3,FALSE)</f>
        <v>リンクガチャ</v>
      </c>
      <c r="L17" s="89" t="str">
        <f>VLOOKUP(I17,[9]stage_hints!$A:$D,4,FALSE)</f>
        <v>無料のリンクガチャを回して_x000D_経験値素材や売却素材を獲得しましょう</v>
      </c>
      <c r="M17" s="52" t="s">
        <v>211</v>
      </c>
    </row>
    <row r="18" spans="1:13" x14ac:dyDescent="0.15">
      <c r="A18" s="75" t="s">
        <v>199</v>
      </c>
      <c r="B18" s="76">
        <f>floors!$C$2</f>
        <v>65535</v>
      </c>
      <c r="C18" s="77" t="str">
        <f ca="1">VLOOKUP($B18,OFFSET([2]quests!$A$1,0,0,COUNTA([2]quests!$A:$A),MATCH(C$1,[2]quests!$1:$1,0)-MATCH($B$1,[2]quests!$1:$1,0)+1),MATCH(C$1,[2]quests!$1:$1,0)-MATCH($B$1,[2]quests!$1:$1,0)+1,FALSE)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8" s="77" t="str">
        <f ca="1">VLOOKUP($B18,OFFSET([2]quests!$A$1,0,0,COUNTA([2]quests!$A:$A),MATCH(D$1,[2]quests!$1:$1,0)-MATCH($B$1,[2]quests!$1:$1,0)+1),MATCH(D$1,[2]quests!$1:$1,0)-MATCH($B$1,[2]quests!$1:$1,0)+1,FALSE)</f>
        <v>検証</v>
      </c>
      <c r="E18" s="81" t="s">
        <v>214</v>
      </c>
      <c r="F18" s="77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77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79">
        <v>0</v>
      </c>
      <c r="I18">
        <v>18</v>
      </c>
      <c r="J18" s="78" t="s">
        <v>196</v>
      </c>
      <c r="K18" s="88" t="str">
        <f>VLOOKUP(I18,[9]stage_hints!$A:$C,3,FALSE)</f>
        <v>マルチプレイのメリット（その2）</v>
      </c>
      <c r="L18" s="89" t="str">
        <f>VLOOKUP(I18,[9]stage_hints!$A:$D,4,FALSE)</f>
        <v>マルチプレイならリンクが2倍もらえます_x000D_リンクガチャをたくさん回しましょう</v>
      </c>
      <c r="M18" s="52" t="s">
        <v>211</v>
      </c>
    </row>
    <row r="19" spans="1:13" x14ac:dyDescent="0.15">
      <c r="A19" s="75" t="s">
        <v>199</v>
      </c>
      <c r="B19" s="76">
        <f>floors!$C$2</f>
        <v>65535</v>
      </c>
      <c r="C19" s="77" t="str">
        <f ca="1">VLOOKUP($B19,OFFSET([2]quests!$A$1,0,0,COUNTA([2]quests!$A:$A),MATCH(C$1,[2]quests!$1:$1,0)-MATCH($B$1,[2]quests!$1:$1,0)+1),MATCH(C$1,[2]quests!$1:$1,0)-MATCH($B$1,[2]quests!$1:$1,0)+1,FALSE)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9" s="77" t="str">
        <f ca="1">VLOOKUP($B19,OFFSET([2]quests!$A$1,0,0,COUNTA([2]quests!$A:$A),MATCH(D$1,[2]quests!$1:$1,0)-MATCH($B$1,[2]quests!$1:$1,0)+1),MATCH(D$1,[2]quests!$1:$1,0)-MATCH($B$1,[2]quests!$1:$1,0)+1,FALSE)</f>
        <v>検証</v>
      </c>
      <c r="E19" s="81" t="s">
        <v>214</v>
      </c>
      <c r="F19" s="77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77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79">
        <v>0</v>
      </c>
      <c r="I19">
        <v>19</v>
      </c>
      <c r="J19" s="78" t="s">
        <v>196</v>
      </c>
      <c r="K19" s="88" t="str">
        <f>VLOOKUP(I19,[9]stage_hints!$A:$C,3,FALSE)</f>
        <v>ソロ専用チャレンジタワー</v>
      </c>
      <c r="L19" s="89" t="str">
        <f>VLOOKUP(I19,[9]stage_hints!$A:$D,4,FALSE)</f>
        <v>ソロ専用の「チャレンジタワー」では_x000D_各フロアごとにクリア報酬がもらえます</v>
      </c>
      <c r="M19" s="52" t="s">
        <v>211</v>
      </c>
    </row>
    <row r="20" spans="1:13" x14ac:dyDescent="0.15">
      <c r="A20" s="75" t="s">
        <v>199</v>
      </c>
      <c r="B20" s="76">
        <f>floors!$C$2</f>
        <v>65535</v>
      </c>
      <c r="C20" s="77" t="str">
        <f ca="1">VLOOKUP($B20,OFFSET([2]quests!$A$1,0,0,COUNTA([2]quests!$A:$A),MATCH(C$1,[2]quests!$1:$1,0)-MATCH($B$1,[2]quests!$1:$1,0)+1),MATCH(C$1,[2]quests!$1:$1,0)-MATCH($B$1,[2]quests!$1:$1,0)+1,FALSE)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0" s="77" t="str">
        <f ca="1">VLOOKUP($B20,OFFSET([2]quests!$A$1,0,0,COUNTA([2]quests!$A:$A),MATCH(D$1,[2]quests!$1:$1,0)-MATCH($B$1,[2]quests!$1:$1,0)+1),MATCH(D$1,[2]quests!$1:$1,0)-MATCH($B$1,[2]quests!$1:$1,0)+1,FALSE)</f>
        <v>検証</v>
      </c>
      <c r="E20" s="81" t="s">
        <v>214</v>
      </c>
      <c r="F20" s="77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77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79">
        <v>0</v>
      </c>
      <c r="I20">
        <v>20</v>
      </c>
      <c r="J20" s="78" t="s">
        <v>196</v>
      </c>
      <c r="K20" s="88" t="str">
        <f>VLOOKUP(I20,[9]stage_hints!$A:$C,3,FALSE)</f>
        <v>マルチプレイのメリット（その3）</v>
      </c>
      <c r="L20" s="89" t="str">
        <f>VLOOKUP(I20,[9]stage_hints!$A:$D,4,FALSE)</f>
        <v>マルチプレイへの参加はエナジー消費ゼロ_x000D_いつでも好きなだけ遊ぶことができます</v>
      </c>
      <c r="M20" s="52" t="s">
        <v>211</v>
      </c>
    </row>
    <row r="21" spans="1:13" x14ac:dyDescent="0.15">
      <c r="A21" s="75" t="s">
        <v>199</v>
      </c>
      <c r="B21" s="76">
        <f>floors!$C$2</f>
        <v>65535</v>
      </c>
      <c r="C21" s="77" t="str">
        <f ca="1">VLOOKUP($B21,OFFSET([2]quests!$A$1,0,0,COUNTA([2]quests!$A:$A),MATCH(C$1,[2]quests!$1:$1,0)-MATCH($B$1,[2]quests!$1:$1,0)+1),MATCH(C$1,[2]quests!$1:$1,0)-MATCH($B$1,[2]quests!$1:$1,0)+1,FALSE)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1" s="77" t="str">
        <f ca="1">VLOOKUP($B21,OFFSET([2]quests!$A$1,0,0,COUNTA([2]quests!$A:$A),MATCH(D$1,[2]quests!$1:$1,0)-MATCH($B$1,[2]quests!$1:$1,0)+1),MATCH(D$1,[2]quests!$1:$1,0)-MATCH($B$1,[2]quests!$1:$1,0)+1,FALSE)</f>
        <v>検証</v>
      </c>
      <c r="E21" s="81" t="s">
        <v>214</v>
      </c>
      <c r="F21" s="77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77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79">
        <v>0</v>
      </c>
      <c r="I21">
        <v>21</v>
      </c>
      <c r="J21" s="78" t="s">
        <v>196</v>
      </c>
      <c r="K21" s="88" t="str">
        <f>VLOOKUP(I21,[9]stage_hints!$A:$C,3,FALSE)</f>
        <v>スキルを有効に</v>
      </c>
      <c r="L21" s="89" t="str">
        <f>VLOOKUP(I21,[9]stage_hints!$A:$D,4,FALSE)</f>
        <v>ターン経過でユニットのスキルが使えます_x000D_強力スキルでバトルを有利に進めましょう</v>
      </c>
      <c r="M21" s="52" t="s">
        <v>211</v>
      </c>
    </row>
    <row r="22" spans="1:13" x14ac:dyDescent="0.15">
      <c r="A22" s="75" t="s">
        <v>199</v>
      </c>
      <c r="B22" s="76">
        <f>floors!$C$2</f>
        <v>65535</v>
      </c>
      <c r="C22" s="77" t="str">
        <f ca="1">VLOOKUP($B22,OFFSET([2]quests!$A$1,0,0,COUNTA([2]quests!$A:$A),MATCH(C$1,[2]quests!$1:$1,0)-MATCH($B$1,[2]quests!$1:$1,0)+1),MATCH(C$1,[2]quests!$1:$1,0)-MATCH($B$1,[2]quests!$1:$1,0)+1,FALSE)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2" s="77" t="str">
        <f ca="1">VLOOKUP($B22,OFFSET([2]quests!$A$1,0,0,COUNTA([2]quests!$A:$A),MATCH(D$1,[2]quests!$1:$1,0)-MATCH($B$1,[2]quests!$1:$1,0)+1),MATCH(D$1,[2]quests!$1:$1,0)-MATCH($B$1,[2]quests!$1:$1,0)+1,FALSE)</f>
        <v>検証</v>
      </c>
      <c r="E22" s="81" t="s">
        <v>214</v>
      </c>
      <c r="F22" s="77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77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79">
        <v>0</v>
      </c>
      <c r="I22">
        <v>22</v>
      </c>
      <c r="J22" s="78" t="s">
        <v>196</v>
      </c>
      <c r="K22" s="88" t="str">
        <f>VLOOKUP(I22,[9]stage_hints!$A:$C,3,FALSE)</f>
        <v>フィーバーで一発逆転（その1）</v>
      </c>
      <c r="L22" s="89" t="str">
        <f>VLOOKUP(I22,[9]stage_hints!$A:$D,4,FALSE)</f>
        <v>フィーバーは攻撃と回復を兼ね備えます_x000D_ピンチからの一発逆転を狙いましょう</v>
      </c>
      <c r="M22" s="52" t="s">
        <v>211</v>
      </c>
    </row>
    <row r="23" spans="1:13" x14ac:dyDescent="0.15">
      <c r="A23" s="75" t="s">
        <v>199</v>
      </c>
      <c r="B23" s="76">
        <f>floors!$C$2</f>
        <v>65535</v>
      </c>
      <c r="C23" s="77" t="str">
        <f ca="1">VLOOKUP($B23,OFFSET([2]quests!$A$1,0,0,COUNTA([2]quests!$A:$A),MATCH(C$1,[2]quests!$1:$1,0)-MATCH($B$1,[2]quests!$1:$1,0)+1),MATCH(C$1,[2]quests!$1:$1,0)-MATCH($B$1,[2]quests!$1:$1,0)+1,FALSE)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3" s="77" t="str">
        <f ca="1">VLOOKUP($B23,OFFSET([2]quests!$A$1,0,0,COUNTA([2]quests!$A:$A),MATCH(D$1,[2]quests!$1:$1,0)-MATCH($B$1,[2]quests!$1:$1,0)+1),MATCH(D$1,[2]quests!$1:$1,0)-MATCH($B$1,[2]quests!$1:$1,0)+1,FALSE)</f>
        <v>検証</v>
      </c>
      <c r="E23" s="81" t="s">
        <v>214</v>
      </c>
      <c r="F23" s="77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77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79">
        <v>0</v>
      </c>
      <c r="I23">
        <v>23</v>
      </c>
      <c r="J23" s="78" t="s">
        <v>196</v>
      </c>
      <c r="K23" s="88" t="str">
        <f>VLOOKUP(I23,[9]stage_hints!$A:$C,3,FALSE)</f>
        <v>フィーバーで一発逆転（その2）</v>
      </c>
      <c r="L23" s="89" t="str">
        <f>VLOOKUP(I23,[9]stage_hints!$A:$D,4,FALSE)</f>
        <v>フィーバー中は虹色のボムパネルを狙って_x000D_画面上のパネルを一気に破壊しましょう</v>
      </c>
      <c r="M23" s="52" t="s">
        <v>211</v>
      </c>
    </row>
    <row r="24" spans="1:13" x14ac:dyDescent="0.15">
      <c r="A24" s="75" t="s">
        <v>199</v>
      </c>
      <c r="B24" s="76">
        <f>floors!$C$2</f>
        <v>65535</v>
      </c>
      <c r="C24" s="77" t="str">
        <f ca="1">VLOOKUP($B24,OFFSET([2]quests!$A$1,0,0,COUNTA([2]quests!$A:$A),MATCH(C$1,[2]quests!$1:$1,0)-MATCH($B$1,[2]quests!$1:$1,0)+1),MATCH(C$1,[2]quests!$1:$1,0)-MATCH($B$1,[2]quests!$1:$1,0)+1,FALSE)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4" s="77" t="str">
        <f ca="1">VLOOKUP($B24,OFFSET([2]quests!$A$1,0,0,COUNTA([2]quests!$A:$A),MATCH(D$1,[2]quests!$1:$1,0)-MATCH($B$1,[2]quests!$1:$1,0)+1),MATCH(D$1,[2]quests!$1:$1,0)-MATCH($B$1,[2]quests!$1:$1,0)+1,FALSE)</f>
        <v>検証</v>
      </c>
      <c r="E24" s="81" t="s">
        <v>214</v>
      </c>
      <c r="F24" s="77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77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79">
        <v>0</v>
      </c>
      <c r="I24">
        <v>24</v>
      </c>
      <c r="J24" s="78" t="s">
        <v>196</v>
      </c>
      <c r="K24" s="88" t="str">
        <f>VLOOKUP(I24,[9]stage_hints!$A:$C,3,FALSE)</f>
        <v>りんごを使って限界突破</v>
      </c>
      <c r="L24" s="89" t="str">
        <f>VLOOKUP(I24,[9]stage_hints!$A:$D,4,FALSE)</f>
        <v>赤りんご(攻撃力) 青りんご(回復力)_x000D_緑りんご(体力)をユニット強化に使うと_x000D_ステータスが限界突破します（計99個迄）</v>
      </c>
      <c r="M24" s="52" t="s">
        <v>211</v>
      </c>
    </row>
    <row r="25" spans="1:13" x14ac:dyDescent="0.15">
      <c r="A25" s="75" t="s">
        <v>199</v>
      </c>
      <c r="B25" s="76">
        <f>floors!$C$2</f>
        <v>65535</v>
      </c>
      <c r="C25" s="77" t="str">
        <f ca="1">VLOOKUP($B25,OFFSET([2]quests!$A$1,0,0,COUNTA([2]quests!$A:$A),MATCH(C$1,[2]quests!$1:$1,0)-MATCH($B$1,[2]quests!$1:$1,0)+1),MATCH(C$1,[2]quests!$1:$1,0)-MATCH($B$1,[2]quests!$1:$1,0)+1,FALSE)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5" s="77" t="str">
        <f ca="1">VLOOKUP($B25,OFFSET([2]quests!$A$1,0,0,COUNTA([2]quests!$A:$A),MATCH(D$1,[2]quests!$1:$1,0)-MATCH($B$1,[2]quests!$1:$1,0)+1),MATCH(D$1,[2]quests!$1:$1,0)-MATCH($B$1,[2]quests!$1:$1,0)+1,FALSE)</f>
        <v>検証</v>
      </c>
      <c r="E25" s="81" t="s">
        <v>214</v>
      </c>
      <c r="F25" s="77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77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79">
        <v>0</v>
      </c>
      <c r="I25">
        <v>25</v>
      </c>
      <c r="J25" s="78" t="s">
        <v>196</v>
      </c>
      <c r="K25" s="88" t="str">
        <f>VLOOKUP(I25,[9]stage_hints!$A:$C,3,FALSE)</f>
        <v>スキルレベルアップ</v>
      </c>
      <c r="L25" s="89" t="str">
        <f>VLOOKUP(I25,[9]stage_hints!$A:$D,4,FALSE)</f>
        <v>「クリスタルのりんご」を強化に使うと_x000D_スキルレベルを上げることができます</v>
      </c>
      <c r="M25" s="52" t="s">
        <v>211</v>
      </c>
    </row>
    <row r="26" spans="1:13" x14ac:dyDescent="0.15">
      <c r="A26" s="75" t="s">
        <v>199</v>
      </c>
      <c r="B26" s="76">
        <f>floors!$C$2</f>
        <v>65535</v>
      </c>
      <c r="C26" s="77" t="str">
        <f ca="1">VLOOKUP($B26,OFFSET([2]quests!$A$1,0,0,COUNTA([2]quests!$A:$A),MATCH(C$1,[2]quests!$1:$1,0)-MATCH($B$1,[2]quests!$1:$1,0)+1),MATCH(C$1,[2]quests!$1:$1,0)-MATCH($B$1,[2]quests!$1:$1,0)+1,FALSE)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6" s="77" t="str">
        <f ca="1">VLOOKUP($B26,OFFSET([2]quests!$A$1,0,0,COUNTA([2]quests!$A:$A),MATCH(D$1,[2]quests!$1:$1,0)-MATCH($B$1,[2]quests!$1:$1,0)+1),MATCH(D$1,[2]quests!$1:$1,0)-MATCH($B$1,[2]quests!$1:$1,0)+1,FALSE)</f>
        <v>検証</v>
      </c>
      <c r="E26" s="81" t="s">
        <v>214</v>
      </c>
      <c r="F26" s="77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77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79">
        <v>0</v>
      </c>
      <c r="I26">
        <v>26</v>
      </c>
      <c r="J26" s="78" t="s">
        <v>196</v>
      </c>
      <c r="K26" s="88" t="str">
        <f>VLOOKUP(I26,[9]stage_hints!$A:$C,3,FALSE)</f>
        <v>スキルレベルの効果</v>
      </c>
      <c r="L26" s="89" t="str">
        <f>VLOOKUP(I26,[9]stage_hints!$A:$D,4,FALSE)</f>
        <v>スキルレベルが上がると_x000D_短いターンでスキルを使うことができます</v>
      </c>
      <c r="M26" s="52" t="s">
        <v>211</v>
      </c>
    </row>
    <row r="27" spans="1:13" x14ac:dyDescent="0.15">
      <c r="A27" s="75" t="s">
        <v>199</v>
      </c>
      <c r="B27" s="76">
        <f>floors!$C$2</f>
        <v>65535</v>
      </c>
      <c r="C27" s="77" t="str">
        <f ca="1">VLOOKUP($B27,OFFSET([2]quests!$A$1,0,0,COUNTA([2]quests!$A:$A),MATCH(C$1,[2]quests!$1:$1,0)-MATCH($B$1,[2]quests!$1:$1,0)+1),MATCH(C$1,[2]quests!$1:$1,0)-MATCH($B$1,[2]quests!$1:$1,0)+1,FALSE)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7" s="77" t="str">
        <f ca="1">VLOOKUP($B27,OFFSET([2]quests!$A$1,0,0,COUNTA([2]quests!$A:$A),MATCH(D$1,[2]quests!$1:$1,0)-MATCH($B$1,[2]quests!$1:$1,0)+1),MATCH(D$1,[2]quests!$1:$1,0)-MATCH($B$1,[2]quests!$1:$1,0)+1,FALSE)</f>
        <v>検証</v>
      </c>
      <c r="E27" s="81" t="s">
        <v>214</v>
      </c>
      <c r="F27" s="77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77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79">
        <v>0</v>
      </c>
      <c r="I27">
        <v>39</v>
      </c>
      <c r="J27" s="78" t="s">
        <v>196</v>
      </c>
      <c r="K27" s="88" t="str">
        <f>VLOOKUP(I27,[9]stage_hints!$A:$C,3,FALSE)</f>
        <v>システム適合者を確認</v>
      </c>
      <c r="L27" s="89" t="str">
        <f>VLOOKUP(I27,[9]stage_hints!$A:$D,4,FALSE)</f>
        <v>ALICEが「アナタ」を呼んでいます</v>
      </c>
      <c r="M27" s="52" t="s">
        <v>211</v>
      </c>
    </row>
    <row r="28" spans="1:13" x14ac:dyDescent="0.15">
      <c r="A28" s="75" t="s">
        <v>199</v>
      </c>
      <c r="B28" s="76">
        <f>floors!$C$2</f>
        <v>65535</v>
      </c>
      <c r="C28" s="77" t="str">
        <f ca="1">VLOOKUP($B28,OFFSET([2]quests!$A$1,0,0,COUNTA([2]quests!$A:$A),MATCH(C$1,[2]quests!$1:$1,0)-MATCH($B$1,[2]quests!$1:$1,0)+1),MATCH(C$1,[2]quests!$1:$1,0)-MATCH($B$1,[2]quests!$1:$1,0)+1,FALSE)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8" s="77" t="str">
        <f ca="1">VLOOKUP($B28,OFFSET([2]quests!$A$1,0,0,COUNTA([2]quests!$A:$A),MATCH(D$1,[2]quests!$1:$1,0)-MATCH($B$1,[2]quests!$1:$1,0)+1),MATCH(D$1,[2]quests!$1:$1,0)-MATCH($B$1,[2]quests!$1:$1,0)+1,FALSE)</f>
        <v>検証</v>
      </c>
      <c r="E28" s="81" t="s">
        <v>215</v>
      </c>
      <c r="F28" s="77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77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79">
        <v>0</v>
      </c>
      <c r="I28">
        <v>3</v>
      </c>
      <c r="J28" s="78" t="s">
        <v>196</v>
      </c>
      <c r="K28" s="88" t="str">
        <f>VLOOKUP(I28,[9]stage_hints!$A:$C,3,FALSE)</f>
        <v>ターゲット</v>
      </c>
      <c r="L28" s="89" t="str">
        <f>VLOOKUP(I28,[9]stage_hints!$A:$D,4,FALSE)</f>
        <v>敵ユニットをタップすると_x000D_その敵を狙い撃ちできます</v>
      </c>
      <c r="M28" s="52" t="s">
        <v>211</v>
      </c>
    </row>
    <row r="29" spans="1:13" x14ac:dyDescent="0.15">
      <c r="A29" s="75" t="s">
        <v>199</v>
      </c>
      <c r="B29" s="76">
        <f>floors!$C$2</f>
        <v>65535</v>
      </c>
      <c r="C29" s="77" t="str">
        <f ca="1">VLOOKUP($B29,OFFSET([2]quests!$A$1,0,0,COUNTA([2]quests!$A:$A),MATCH(C$1,[2]quests!$1:$1,0)-MATCH($B$1,[2]quests!$1:$1,0)+1),MATCH(C$1,[2]quests!$1:$1,0)-MATCH($B$1,[2]quests!$1:$1,0)+1,FALSE)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9" s="77" t="str">
        <f ca="1">VLOOKUP($B29,OFFSET([2]quests!$A$1,0,0,COUNTA([2]quests!$A:$A),MATCH(D$1,[2]quests!$1:$1,0)-MATCH($B$1,[2]quests!$1:$1,0)+1),MATCH(D$1,[2]quests!$1:$1,0)-MATCH($B$1,[2]quests!$1:$1,0)+1,FALSE)</f>
        <v>検証</v>
      </c>
      <c r="E29" s="81" t="s">
        <v>215</v>
      </c>
      <c r="F29" s="77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77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79">
        <v>0</v>
      </c>
      <c r="I29">
        <v>6</v>
      </c>
      <c r="J29" s="78" t="s">
        <v>196</v>
      </c>
      <c r="K29" s="88" t="str">
        <f>VLOOKUP(I29,[9]stage_hints!$A:$C,3,FALSE)</f>
        <v>ユニット強化の属性ボーナス</v>
      </c>
      <c r="L29" s="89" t="str">
        <f>VLOOKUP(I29,[9]stage_hints!$A:$D,4,FALSE)</f>
        <v>同属性ユニットを強化素材にすると_x000D_経験値が多くもらえます</v>
      </c>
      <c r="M29" s="52" t="s">
        <v>211</v>
      </c>
    </row>
    <row r="30" spans="1:13" x14ac:dyDescent="0.15">
      <c r="A30" s="75" t="s">
        <v>199</v>
      </c>
      <c r="B30" s="76">
        <f>floors!$C$2</f>
        <v>65535</v>
      </c>
      <c r="C30" s="77" t="str">
        <f ca="1">VLOOKUP($B30,OFFSET([2]quests!$A$1,0,0,COUNTA([2]quests!$A:$A),MATCH(C$1,[2]quests!$1:$1,0)-MATCH($B$1,[2]quests!$1:$1,0)+1),MATCH(C$1,[2]quests!$1:$1,0)-MATCH($B$1,[2]quests!$1:$1,0)+1,FALSE)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0" s="77" t="str">
        <f ca="1">VLOOKUP($B30,OFFSET([2]quests!$A$1,0,0,COUNTA([2]quests!$A:$A),MATCH(D$1,[2]quests!$1:$1,0)-MATCH($B$1,[2]quests!$1:$1,0)+1),MATCH(D$1,[2]quests!$1:$1,0)-MATCH($B$1,[2]quests!$1:$1,0)+1,FALSE)</f>
        <v>検証</v>
      </c>
      <c r="E30" s="81" t="s">
        <v>215</v>
      </c>
      <c r="F30" s="77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77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79">
        <v>0</v>
      </c>
      <c r="I30">
        <v>7</v>
      </c>
      <c r="J30" s="78" t="s">
        <v>196</v>
      </c>
      <c r="K30" s="88" t="str">
        <f>VLOOKUP(I30,[9]stage_hints!$A:$C,3,FALSE)</f>
        <v>メタルダックで経験値を獲得</v>
      </c>
      <c r="L30" s="89" t="str">
        <f>VLOOKUP(I30,[9]stage_hints!$A:$D,4,FALSE)</f>
        <v>「メタルなアヒル」を強化素材にすると_x000D_大量の経験値がもらえます</v>
      </c>
      <c r="M30" s="52" t="s">
        <v>211</v>
      </c>
    </row>
    <row r="31" spans="1:13" x14ac:dyDescent="0.15">
      <c r="A31" s="75" t="s">
        <v>199</v>
      </c>
      <c r="B31" s="76">
        <f>floors!$C$2</f>
        <v>65535</v>
      </c>
      <c r="C31" s="77" t="str">
        <f ca="1">VLOOKUP($B31,OFFSET([2]quests!$A$1,0,0,COUNTA([2]quests!$A:$A),MATCH(C$1,[2]quests!$1:$1,0)-MATCH($B$1,[2]quests!$1:$1,0)+1),MATCH(C$1,[2]quests!$1:$1,0)-MATCH($B$1,[2]quests!$1:$1,0)+1,FALSE)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1" s="77" t="str">
        <f ca="1">VLOOKUP($B31,OFFSET([2]quests!$A$1,0,0,COUNTA([2]quests!$A:$A),MATCH(D$1,[2]quests!$1:$1,0)-MATCH($B$1,[2]quests!$1:$1,0)+1),MATCH(D$1,[2]quests!$1:$1,0)-MATCH($B$1,[2]quests!$1:$1,0)+1,FALSE)</f>
        <v>検証</v>
      </c>
      <c r="E31" s="81" t="s">
        <v>215</v>
      </c>
      <c r="F31" s="77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77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79">
        <v>0</v>
      </c>
      <c r="I31">
        <v>8</v>
      </c>
      <c r="J31" s="78" t="s">
        <v>196</v>
      </c>
      <c r="K31" s="88" t="str">
        <f>VLOOKUP(I31,[9]stage_hints!$A:$C,3,FALSE)</f>
        <v>ゲリラクエストは要チェック</v>
      </c>
      <c r="L31" s="89" t="str">
        <f>VLOOKUP(I31,[9]stage_hints!$A:$D,4,FALSE)</f>
        <v>時間限定の「アヒル捕獲作戦」では_x000D_経験値素材ユニットが多く手に入ります</v>
      </c>
      <c r="M31" s="52" t="s">
        <v>211</v>
      </c>
    </row>
    <row r="32" spans="1:13" x14ac:dyDescent="0.15">
      <c r="A32" s="75" t="s">
        <v>199</v>
      </c>
      <c r="B32" s="76">
        <f>floors!$C$2</f>
        <v>65535</v>
      </c>
      <c r="C32" s="77" t="str">
        <f ca="1">VLOOKUP($B32,OFFSET([2]quests!$A$1,0,0,COUNTA([2]quests!$A:$A),MATCH(C$1,[2]quests!$1:$1,0)-MATCH($B$1,[2]quests!$1:$1,0)+1),MATCH(C$1,[2]quests!$1:$1,0)-MATCH($B$1,[2]quests!$1:$1,0)+1,FALSE)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2" s="77" t="str">
        <f ca="1">VLOOKUP($B32,OFFSET([2]quests!$A$1,0,0,COUNTA([2]quests!$A:$A),MATCH(D$1,[2]quests!$1:$1,0)-MATCH($B$1,[2]quests!$1:$1,0)+1),MATCH(D$1,[2]quests!$1:$1,0)-MATCH($B$1,[2]quests!$1:$1,0)+1,FALSE)</f>
        <v>検証</v>
      </c>
      <c r="E32" s="81" t="s">
        <v>215</v>
      </c>
      <c r="F32" s="77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77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79">
        <v>0</v>
      </c>
      <c r="I32">
        <v>9</v>
      </c>
      <c r="J32" s="78" t="s">
        <v>196</v>
      </c>
      <c r="K32" s="88" t="str">
        <f>VLOOKUP(I32,[9]stage_hints!$A:$C,3,FALSE)</f>
        <v>ゴールドダックでビットを獲得</v>
      </c>
      <c r="L32" s="89" t="str">
        <f>VLOOKUP(I32,[9]stage_hints!$A:$D,4,FALSE)</f>
        <v>「ゴールドなアヒル」を売却すると_x000D_大量のビットがもらえます</v>
      </c>
      <c r="M32" s="52" t="s">
        <v>211</v>
      </c>
    </row>
    <row r="33" spans="1:13" x14ac:dyDescent="0.15">
      <c r="A33" s="75" t="s">
        <v>199</v>
      </c>
      <c r="B33" s="76">
        <f>floors!$C$2</f>
        <v>65535</v>
      </c>
      <c r="C33" s="77" t="str">
        <f ca="1">VLOOKUP($B33,OFFSET([2]quests!$A$1,0,0,COUNTA([2]quests!$A:$A),MATCH(C$1,[2]quests!$1:$1,0)-MATCH($B$1,[2]quests!$1:$1,0)+1),MATCH(C$1,[2]quests!$1:$1,0)-MATCH($B$1,[2]quests!$1:$1,0)+1,FALSE)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3" s="77" t="str">
        <f ca="1">VLOOKUP($B33,OFFSET([2]quests!$A$1,0,0,COUNTA([2]quests!$A:$A),MATCH(D$1,[2]quests!$1:$1,0)-MATCH($B$1,[2]quests!$1:$1,0)+1),MATCH(D$1,[2]quests!$1:$1,0)-MATCH($B$1,[2]quests!$1:$1,0)+1,FALSE)</f>
        <v>検証</v>
      </c>
      <c r="E33" s="81" t="s">
        <v>215</v>
      </c>
      <c r="F33" s="77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77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79">
        <v>0</v>
      </c>
      <c r="I33">
        <v>10</v>
      </c>
      <c r="J33" s="78" t="s">
        <v>196</v>
      </c>
      <c r="K33" s="88" t="str">
        <f>VLOOKUP(I33,[9]stage_hints!$A:$C,3,FALSE)</f>
        <v>土日に大量のビットを獲得</v>
      </c>
      <c r="L33" s="89" t="str">
        <f>VLOOKUP(I33,[9]stage_hints!$A:$D,4,FALSE)</f>
        <v>土日限定の「ゴールドカジノ」では_x000D_売却素材ユニットが多く手に入ります</v>
      </c>
      <c r="M33" s="52" t="s">
        <v>211</v>
      </c>
    </row>
    <row r="34" spans="1:13" x14ac:dyDescent="0.15">
      <c r="A34" s="75" t="s">
        <v>199</v>
      </c>
      <c r="B34" s="76">
        <f>floors!$C$2</f>
        <v>65535</v>
      </c>
      <c r="C34" s="77" t="str">
        <f ca="1">VLOOKUP($B34,OFFSET([2]quests!$A$1,0,0,COUNTA([2]quests!$A:$A),MATCH(C$1,[2]quests!$1:$1,0)-MATCH($B$1,[2]quests!$1:$1,0)+1),MATCH(C$1,[2]quests!$1:$1,0)-MATCH($B$1,[2]quests!$1:$1,0)+1,FALSE)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4" s="77" t="str">
        <f ca="1">VLOOKUP($B34,OFFSET([2]quests!$A$1,0,0,COUNTA([2]quests!$A:$A),MATCH(D$1,[2]quests!$1:$1,0)-MATCH($B$1,[2]quests!$1:$1,0)+1),MATCH(D$1,[2]quests!$1:$1,0)-MATCH($B$1,[2]quests!$1:$1,0)+1,FALSE)</f>
        <v>検証</v>
      </c>
      <c r="E34" s="81" t="s">
        <v>215</v>
      </c>
      <c r="F34" s="77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77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79">
        <v>0</v>
      </c>
      <c r="I34">
        <v>11</v>
      </c>
      <c r="J34" s="78" t="s">
        <v>196</v>
      </c>
      <c r="K34" s="88" t="str">
        <f>VLOOKUP(I34,[9]stage_hints!$A:$C,3,FALSE)</f>
        <v>ランク解放クエスト</v>
      </c>
      <c r="L34" s="89" t="str">
        <f>VLOOKUP(I34,[9]stage_hints!$A:$D,4,FALSE)</f>
        <v>一定ランクに到達すると_x000D_報酬付きのランク開放クエストが現れます</v>
      </c>
      <c r="M34" s="52" t="s">
        <v>211</v>
      </c>
    </row>
    <row r="35" spans="1:13" x14ac:dyDescent="0.15">
      <c r="A35" s="75" t="s">
        <v>199</v>
      </c>
      <c r="B35" s="76">
        <f>floors!$C$2</f>
        <v>65535</v>
      </c>
      <c r="C35" s="77" t="str">
        <f ca="1">VLOOKUP($B35,OFFSET([2]quests!$A$1,0,0,COUNTA([2]quests!$A:$A),MATCH(C$1,[2]quests!$1:$1,0)-MATCH($B$1,[2]quests!$1:$1,0)+1),MATCH(C$1,[2]quests!$1:$1,0)-MATCH($B$1,[2]quests!$1:$1,0)+1,FALSE)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5" s="77" t="str">
        <f ca="1">VLOOKUP($B35,OFFSET([2]quests!$A$1,0,0,COUNTA([2]quests!$A:$A),MATCH(D$1,[2]quests!$1:$1,0)-MATCH($B$1,[2]quests!$1:$1,0)+1),MATCH(D$1,[2]quests!$1:$1,0)-MATCH($B$1,[2]quests!$1:$1,0)+1,FALSE)</f>
        <v>検証</v>
      </c>
      <c r="E35" s="81" t="s">
        <v>215</v>
      </c>
      <c r="F35" s="77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77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79">
        <v>0</v>
      </c>
      <c r="I35">
        <v>12</v>
      </c>
      <c r="J35" s="78" t="s">
        <v>196</v>
      </c>
      <c r="K35" s="88" t="str">
        <f>VLOOKUP(I35,[9]stage_hints!$A:$C,3,FALSE)</f>
        <v>ユニットのお気に入り登録</v>
      </c>
      <c r="L35" s="89" t="str">
        <f>VLOOKUP(I35,[9]stage_hints!$A:$D,4,FALSE)</f>
        <v>大事なユニットを誤って消さないように_x000D_フォルダから「お気に入り登録」しましょう</v>
      </c>
      <c r="M35" s="52" t="s">
        <v>211</v>
      </c>
    </row>
    <row r="36" spans="1:13" x14ac:dyDescent="0.15">
      <c r="A36" s="75" t="s">
        <v>199</v>
      </c>
      <c r="B36" s="76">
        <f>floors!$C$2</f>
        <v>65535</v>
      </c>
      <c r="C36" s="77" t="str">
        <f ca="1">VLOOKUP($B36,OFFSET([2]quests!$A$1,0,0,COUNTA([2]quests!$A:$A),MATCH(C$1,[2]quests!$1:$1,0)-MATCH($B$1,[2]quests!$1:$1,0)+1),MATCH(C$1,[2]quests!$1:$1,0)-MATCH($B$1,[2]quests!$1:$1,0)+1,FALSE)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6" s="77" t="str">
        <f ca="1">VLOOKUP($B36,OFFSET([2]quests!$A$1,0,0,COUNTA([2]quests!$A:$A),MATCH(D$1,[2]quests!$1:$1,0)-MATCH($B$1,[2]quests!$1:$1,0)+1),MATCH(D$1,[2]quests!$1:$1,0)-MATCH($B$1,[2]quests!$1:$1,0)+1,FALSE)</f>
        <v>検証</v>
      </c>
      <c r="E36" s="81" t="s">
        <v>215</v>
      </c>
      <c r="F36" s="77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77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79">
        <v>0</v>
      </c>
      <c r="I36">
        <v>13</v>
      </c>
      <c r="J36" s="78" t="s">
        <v>196</v>
      </c>
      <c r="K36" s="88" t="str">
        <f>VLOOKUP(I36,[9]stage_hints!$A:$C,3,FALSE)</f>
        <v>ユニットの覚醒</v>
      </c>
      <c r="L36" s="89" t="str">
        <f>VLOOKUP(I36,[9]stage_hints!$A:$D,4,FALSE)</f>
        <v>ユニットを覚醒させると_x000D_比べものにならない強さが手に入ります</v>
      </c>
      <c r="M36" s="52" t="s">
        <v>211</v>
      </c>
    </row>
    <row r="37" spans="1:13" x14ac:dyDescent="0.15">
      <c r="A37" s="75" t="s">
        <v>199</v>
      </c>
      <c r="B37" s="76">
        <f>floors!$C$2</f>
        <v>65535</v>
      </c>
      <c r="C37" s="77" t="str">
        <f ca="1">VLOOKUP($B37,OFFSET([2]quests!$A$1,0,0,COUNTA([2]quests!$A:$A),MATCH(C$1,[2]quests!$1:$1,0)-MATCH($B$1,[2]quests!$1:$1,0)+1),MATCH(C$1,[2]quests!$1:$1,0)-MATCH($B$1,[2]quests!$1:$1,0)+1,FALSE)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7" s="77" t="str">
        <f ca="1">VLOOKUP($B37,OFFSET([2]quests!$A$1,0,0,COUNTA([2]quests!$A:$A),MATCH(D$1,[2]quests!$1:$1,0)-MATCH($B$1,[2]quests!$1:$1,0)+1),MATCH(D$1,[2]quests!$1:$1,0)-MATCH($B$1,[2]quests!$1:$1,0)+1,FALSE)</f>
        <v>検証</v>
      </c>
      <c r="E37" s="81" t="s">
        <v>215</v>
      </c>
      <c r="F37" s="77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77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79">
        <v>0</v>
      </c>
      <c r="I37">
        <v>14</v>
      </c>
      <c r="J37" s="78" t="s">
        <v>196</v>
      </c>
      <c r="K37" s="88" t="str">
        <f>VLOOKUP(I37,[9]stage_hints!$A:$C,3,FALSE)</f>
        <v>覚醒するにはレベルを最大に</v>
      </c>
      <c r="L37" s="89" t="str">
        <f>VLOOKUP(I37,[9]stage_hints!$A:$D,4,FALSE)</f>
        <v>覚醒するにはユニットのレベルを_x000D_最大まで上げる必要があります</v>
      </c>
      <c r="M37" s="52" t="s">
        <v>211</v>
      </c>
    </row>
    <row r="38" spans="1:13" x14ac:dyDescent="0.15">
      <c r="A38" s="75" t="s">
        <v>199</v>
      </c>
      <c r="B38" s="76">
        <f>floors!$C$2</f>
        <v>65535</v>
      </c>
      <c r="C38" s="77" t="str">
        <f ca="1">VLOOKUP($B38,OFFSET([2]quests!$A$1,0,0,COUNTA([2]quests!$A:$A),MATCH(C$1,[2]quests!$1:$1,0)-MATCH($B$1,[2]quests!$1:$1,0)+1),MATCH(C$1,[2]quests!$1:$1,0)-MATCH($B$1,[2]quests!$1:$1,0)+1,FALSE)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8" s="77" t="str">
        <f ca="1">VLOOKUP($B38,OFFSET([2]quests!$A$1,0,0,COUNTA([2]quests!$A:$A),MATCH(D$1,[2]quests!$1:$1,0)-MATCH($B$1,[2]quests!$1:$1,0)+1),MATCH(D$1,[2]quests!$1:$1,0)-MATCH($B$1,[2]quests!$1:$1,0)+1,FALSE)</f>
        <v>検証</v>
      </c>
      <c r="E38" s="81" t="s">
        <v>215</v>
      </c>
      <c r="F38" s="77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77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79">
        <v>0</v>
      </c>
      <c r="I38">
        <v>15</v>
      </c>
      <c r="J38" s="78" t="s">
        <v>196</v>
      </c>
      <c r="K38" s="88" t="str">
        <f>VLOOKUP(I38,[9]stage_hints!$A:$C,3,FALSE)</f>
        <v>覚醒素材を獲得</v>
      </c>
      <c r="L38" s="89" t="str">
        <f>VLOOKUP(I38,[9]stage_hints!$A:$D,4,FALSE)</f>
        <v>「曜日クエスト」では_x000D_ユニットの覚醒に必要な素材が手に入ります</v>
      </c>
      <c r="M38" s="52" t="s">
        <v>211</v>
      </c>
    </row>
    <row r="39" spans="1:13" x14ac:dyDescent="0.15">
      <c r="A39" s="75" t="s">
        <v>199</v>
      </c>
      <c r="B39" s="76">
        <f>floors!$C$2</f>
        <v>65535</v>
      </c>
      <c r="C39" s="77" t="str">
        <f ca="1">VLOOKUP($B39,OFFSET([2]quests!$A$1,0,0,COUNTA([2]quests!$A:$A),MATCH(C$1,[2]quests!$1:$1,0)-MATCH($B$1,[2]quests!$1:$1,0)+1),MATCH(C$1,[2]quests!$1:$1,0)-MATCH($B$1,[2]quests!$1:$1,0)+1,FALSE)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9" s="77" t="str">
        <f ca="1">VLOOKUP($B39,OFFSET([2]quests!$A$1,0,0,COUNTA([2]quests!$A:$A),MATCH(D$1,[2]quests!$1:$1,0)-MATCH($B$1,[2]quests!$1:$1,0)+1),MATCH(D$1,[2]quests!$1:$1,0)-MATCH($B$1,[2]quests!$1:$1,0)+1,FALSE)</f>
        <v>検証</v>
      </c>
      <c r="E39" s="81" t="s">
        <v>215</v>
      </c>
      <c r="F39" s="77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77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79">
        <v>0</v>
      </c>
      <c r="I39">
        <v>16</v>
      </c>
      <c r="J39" s="78" t="s">
        <v>196</v>
      </c>
      <c r="K39" s="88" t="str">
        <f>VLOOKUP(I39,[9]stage_hints!$A:$C,3,FALSE)</f>
        <v>マルチプレイのメリット（その1）</v>
      </c>
      <c r="L39" s="89" t="str">
        <f>VLOOKUP(I39,[9]stage_hints!$A:$D,4,FALSE)</f>
        <v>他のプレイヤーとマルチプレイで遊ぶと_x000D_ポリゴンがもらえます（100人まで）</v>
      </c>
      <c r="M39" s="52" t="s">
        <v>211</v>
      </c>
    </row>
    <row r="40" spans="1:13" x14ac:dyDescent="0.15">
      <c r="A40" s="75" t="s">
        <v>199</v>
      </c>
      <c r="B40" s="76">
        <f>floors!$C$2</f>
        <v>65535</v>
      </c>
      <c r="C40" s="77" t="str">
        <f ca="1">VLOOKUP($B40,OFFSET([2]quests!$A$1,0,0,COUNTA([2]quests!$A:$A),MATCH(C$1,[2]quests!$1:$1,0)-MATCH($B$1,[2]quests!$1:$1,0)+1),MATCH(C$1,[2]quests!$1:$1,0)-MATCH($B$1,[2]quests!$1:$1,0)+1,FALSE)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0" s="77" t="str">
        <f ca="1">VLOOKUP($B40,OFFSET([2]quests!$A$1,0,0,COUNTA([2]quests!$A:$A),MATCH(D$1,[2]quests!$1:$1,0)-MATCH($B$1,[2]quests!$1:$1,0)+1),MATCH(D$1,[2]quests!$1:$1,0)-MATCH($B$1,[2]quests!$1:$1,0)+1,FALSE)</f>
        <v>検証</v>
      </c>
      <c r="E40" s="81" t="s">
        <v>215</v>
      </c>
      <c r="F40" s="77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77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79">
        <v>0</v>
      </c>
      <c r="I40">
        <v>17</v>
      </c>
      <c r="J40" s="78" t="s">
        <v>196</v>
      </c>
      <c r="K40" s="88" t="str">
        <f>VLOOKUP(I40,[9]stage_hints!$A:$C,3,FALSE)</f>
        <v>リンクガチャ</v>
      </c>
      <c r="L40" s="89" t="str">
        <f>VLOOKUP(I40,[9]stage_hints!$A:$D,4,FALSE)</f>
        <v>無料のリンクガチャを回して_x000D_経験値素材や売却素材を獲得しましょう</v>
      </c>
      <c r="M40" s="52" t="s">
        <v>211</v>
      </c>
    </row>
    <row r="41" spans="1:13" x14ac:dyDescent="0.15">
      <c r="A41" s="75" t="s">
        <v>199</v>
      </c>
      <c r="B41" s="76">
        <f>floors!$C$2</f>
        <v>65535</v>
      </c>
      <c r="C41" s="77" t="str">
        <f ca="1">VLOOKUP($B41,OFFSET([2]quests!$A$1,0,0,COUNTA([2]quests!$A:$A),MATCH(C$1,[2]quests!$1:$1,0)-MATCH($B$1,[2]quests!$1:$1,0)+1),MATCH(C$1,[2]quests!$1:$1,0)-MATCH($B$1,[2]quests!$1:$1,0)+1,FALSE)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1" s="77" t="str">
        <f ca="1">VLOOKUP($B41,OFFSET([2]quests!$A$1,0,0,COUNTA([2]quests!$A:$A),MATCH(D$1,[2]quests!$1:$1,0)-MATCH($B$1,[2]quests!$1:$1,0)+1),MATCH(D$1,[2]quests!$1:$1,0)-MATCH($B$1,[2]quests!$1:$1,0)+1,FALSE)</f>
        <v>検証</v>
      </c>
      <c r="E41" s="81" t="s">
        <v>215</v>
      </c>
      <c r="F41" s="77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77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79">
        <v>0</v>
      </c>
      <c r="I41">
        <v>18</v>
      </c>
      <c r="J41" s="78" t="s">
        <v>196</v>
      </c>
      <c r="K41" s="88" t="str">
        <f>VLOOKUP(I41,[9]stage_hints!$A:$C,3,FALSE)</f>
        <v>マルチプレイのメリット（その2）</v>
      </c>
      <c r="L41" s="89" t="str">
        <f>VLOOKUP(I41,[9]stage_hints!$A:$D,4,FALSE)</f>
        <v>マルチプレイならリンクが2倍もらえます_x000D_リンクガチャをたくさん回しましょう</v>
      </c>
      <c r="M41" s="52" t="s">
        <v>211</v>
      </c>
    </row>
    <row r="42" spans="1:13" x14ac:dyDescent="0.15">
      <c r="A42" s="75" t="s">
        <v>199</v>
      </c>
      <c r="B42" s="76">
        <f>floors!$C$2</f>
        <v>65535</v>
      </c>
      <c r="C42" s="77" t="str">
        <f ca="1">VLOOKUP($B42,OFFSET([2]quests!$A$1,0,0,COUNTA([2]quests!$A:$A),MATCH(C$1,[2]quests!$1:$1,0)-MATCH($B$1,[2]quests!$1:$1,0)+1),MATCH(C$1,[2]quests!$1:$1,0)-MATCH($B$1,[2]quests!$1:$1,0)+1,FALSE)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2" s="77" t="str">
        <f ca="1">VLOOKUP($B42,OFFSET([2]quests!$A$1,0,0,COUNTA([2]quests!$A:$A),MATCH(D$1,[2]quests!$1:$1,0)-MATCH($B$1,[2]quests!$1:$1,0)+1),MATCH(D$1,[2]quests!$1:$1,0)-MATCH($B$1,[2]quests!$1:$1,0)+1,FALSE)</f>
        <v>検証</v>
      </c>
      <c r="E42" s="81" t="s">
        <v>215</v>
      </c>
      <c r="F42" s="77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77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79">
        <v>0</v>
      </c>
      <c r="I42">
        <v>19</v>
      </c>
      <c r="J42" s="78" t="s">
        <v>196</v>
      </c>
      <c r="K42" s="88" t="str">
        <f>VLOOKUP(I42,[9]stage_hints!$A:$C,3,FALSE)</f>
        <v>ソロ専用チャレンジタワー</v>
      </c>
      <c r="L42" s="89" t="str">
        <f>VLOOKUP(I42,[9]stage_hints!$A:$D,4,FALSE)</f>
        <v>ソロ専用の「チャレンジタワー」では_x000D_各フロアごとにクリア報酬がもらえます</v>
      </c>
      <c r="M42" s="52" t="s">
        <v>211</v>
      </c>
    </row>
    <row r="43" spans="1:13" x14ac:dyDescent="0.15">
      <c r="A43" s="75" t="s">
        <v>199</v>
      </c>
      <c r="B43" s="76">
        <f>floors!$C$2</f>
        <v>65535</v>
      </c>
      <c r="C43" s="77" t="str">
        <f ca="1">VLOOKUP($B43,OFFSET([2]quests!$A$1,0,0,COUNTA([2]quests!$A:$A),MATCH(C$1,[2]quests!$1:$1,0)-MATCH($B$1,[2]quests!$1:$1,0)+1),MATCH(C$1,[2]quests!$1:$1,0)-MATCH($B$1,[2]quests!$1:$1,0)+1,FALSE)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3" s="77" t="str">
        <f ca="1">VLOOKUP($B43,OFFSET([2]quests!$A$1,0,0,COUNTA([2]quests!$A:$A),MATCH(D$1,[2]quests!$1:$1,0)-MATCH($B$1,[2]quests!$1:$1,0)+1),MATCH(D$1,[2]quests!$1:$1,0)-MATCH($B$1,[2]quests!$1:$1,0)+1,FALSE)</f>
        <v>検証</v>
      </c>
      <c r="E43" s="81" t="s">
        <v>215</v>
      </c>
      <c r="F43" s="77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77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79">
        <v>0</v>
      </c>
      <c r="I43">
        <v>20</v>
      </c>
      <c r="J43" s="78" t="s">
        <v>196</v>
      </c>
      <c r="K43" s="88" t="str">
        <f>VLOOKUP(I43,[9]stage_hints!$A:$C,3,FALSE)</f>
        <v>マルチプレイのメリット（その3）</v>
      </c>
      <c r="L43" s="89" t="str">
        <f>VLOOKUP(I43,[9]stage_hints!$A:$D,4,FALSE)</f>
        <v>マルチプレイへの参加はエナジー消費ゼロ_x000D_いつでも好きなだけ遊ぶことができます</v>
      </c>
      <c r="M43" s="52" t="s">
        <v>211</v>
      </c>
    </row>
    <row r="44" spans="1:13" x14ac:dyDescent="0.15">
      <c r="A44" s="75" t="s">
        <v>199</v>
      </c>
      <c r="B44" s="76">
        <f>floors!$C$2</f>
        <v>65535</v>
      </c>
      <c r="C44" s="77" t="str">
        <f ca="1">VLOOKUP($B44,OFFSET([2]quests!$A$1,0,0,COUNTA([2]quests!$A:$A),MATCH(C$1,[2]quests!$1:$1,0)-MATCH($B$1,[2]quests!$1:$1,0)+1),MATCH(C$1,[2]quests!$1:$1,0)-MATCH($B$1,[2]quests!$1:$1,0)+1,FALSE)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4" s="77" t="str">
        <f ca="1">VLOOKUP($B44,OFFSET([2]quests!$A$1,0,0,COUNTA([2]quests!$A:$A),MATCH(D$1,[2]quests!$1:$1,0)-MATCH($B$1,[2]quests!$1:$1,0)+1),MATCH(D$1,[2]quests!$1:$1,0)-MATCH($B$1,[2]quests!$1:$1,0)+1,FALSE)</f>
        <v>検証</v>
      </c>
      <c r="E44" s="81" t="s">
        <v>215</v>
      </c>
      <c r="F44" s="77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77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79">
        <v>0</v>
      </c>
      <c r="I44">
        <v>21</v>
      </c>
      <c r="J44" s="78" t="s">
        <v>196</v>
      </c>
      <c r="K44" s="88" t="str">
        <f>VLOOKUP(I44,[9]stage_hints!$A:$C,3,FALSE)</f>
        <v>スキルを有効に</v>
      </c>
      <c r="L44" s="89" t="str">
        <f>VLOOKUP(I44,[9]stage_hints!$A:$D,4,FALSE)</f>
        <v>ターン経過でユニットのスキルが使えます_x000D_強力スキルでバトルを有利に進めましょう</v>
      </c>
      <c r="M44" s="52" t="s">
        <v>211</v>
      </c>
    </row>
    <row r="45" spans="1:13" x14ac:dyDescent="0.15">
      <c r="A45" s="75" t="s">
        <v>199</v>
      </c>
      <c r="B45" s="76">
        <f>floors!$C$2</f>
        <v>65535</v>
      </c>
      <c r="C45" s="77" t="str">
        <f ca="1">VLOOKUP($B45,OFFSET([2]quests!$A$1,0,0,COUNTA([2]quests!$A:$A),MATCH(C$1,[2]quests!$1:$1,0)-MATCH($B$1,[2]quests!$1:$1,0)+1),MATCH(C$1,[2]quests!$1:$1,0)-MATCH($B$1,[2]quests!$1:$1,0)+1,FALSE)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5" s="77" t="str">
        <f ca="1">VLOOKUP($B45,OFFSET([2]quests!$A$1,0,0,COUNTA([2]quests!$A:$A),MATCH(D$1,[2]quests!$1:$1,0)-MATCH($B$1,[2]quests!$1:$1,0)+1),MATCH(D$1,[2]quests!$1:$1,0)-MATCH($B$1,[2]quests!$1:$1,0)+1,FALSE)</f>
        <v>検証</v>
      </c>
      <c r="E45" s="81" t="s">
        <v>215</v>
      </c>
      <c r="F45" s="77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77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79">
        <v>0</v>
      </c>
      <c r="I45">
        <v>22</v>
      </c>
      <c r="J45" s="78" t="s">
        <v>196</v>
      </c>
      <c r="K45" s="88" t="str">
        <f>VLOOKUP(I45,[9]stage_hints!$A:$C,3,FALSE)</f>
        <v>フィーバーで一発逆転（その1）</v>
      </c>
      <c r="L45" s="89" t="str">
        <f>VLOOKUP(I45,[9]stage_hints!$A:$D,4,FALSE)</f>
        <v>フィーバーは攻撃と回復を兼ね備えます_x000D_ピンチからの一発逆転を狙いましょう</v>
      </c>
      <c r="M45" s="52" t="s">
        <v>211</v>
      </c>
    </row>
    <row r="46" spans="1:13" x14ac:dyDescent="0.15">
      <c r="A46" s="75" t="s">
        <v>199</v>
      </c>
      <c r="B46" s="76">
        <f>floors!$C$2</f>
        <v>65535</v>
      </c>
      <c r="C46" s="77" t="str">
        <f ca="1">VLOOKUP($B46,OFFSET([2]quests!$A$1,0,0,COUNTA([2]quests!$A:$A),MATCH(C$1,[2]quests!$1:$1,0)-MATCH($B$1,[2]quests!$1:$1,0)+1),MATCH(C$1,[2]quests!$1:$1,0)-MATCH($B$1,[2]quests!$1:$1,0)+1,FALSE)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6" s="77" t="str">
        <f ca="1">VLOOKUP($B46,OFFSET([2]quests!$A$1,0,0,COUNTA([2]quests!$A:$A),MATCH(D$1,[2]quests!$1:$1,0)-MATCH($B$1,[2]quests!$1:$1,0)+1),MATCH(D$1,[2]quests!$1:$1,0)-MATCH($B$1,[2]quests!$1:$1,0)+1,FALSE)</f>
        <v>検証</v>
      </c>
      <c r="E46" s="81" t="s">
        <v>215</v>
      </c>
      <c r="F46" s="77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77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79">
        <v>0</v>
      </c>
      <c r="I46">
        <v>23</v>
      </c>
      <c r="J46" s="78" t="s">
        <v>196</v>
      </c>
      <c r="K46" s="88" t="str">
        <f>VLOOKUP(I46,[9]stage_hints!$A:$C,3,FALSE)</f>
        <v>フィーバーで一発逆転（その2）</v>
      </c>
      <c r="L46" s="89" t="str">
        <f>VLOOKUP(I46,[9]stage_hints!$A:$D,4,FALSE)</f>
        <v>フィーバー中は虹色のボムパネルを狙って_x000D_画面上のパネルを一気に破壊しましょう</v>
      </c>
      <c r="M46" s="52" t="s">
        <v>211</v>
      </c>
    </row>
    <row r="47" spans="1:13" x14ac:dyDescent="0.15">
      <c r="A47" s="75" t="s">
        <v>199</v>
      </c>
      <c r="B47" s="76">
        <f>floors!$C$2</f>
        <v>65535</v>
      </c>
      <c r="C47" s="77" t="str">
        <f ca="1">VLOOKUP($B47,OFFSET([2]quests!$A$1,0,0,COUNTA([2]quests!$A:$A),MATCH(C$1,[2]quests!$1:$1,0)-MATCH($B$1,[2]quests!$1:$1,0)+1),MATCH(C$1,[2]quests!$1:$1,0)-MATCH($B$1,[2]quests!$1:$1,0)+1,FALSE)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7" s="77" t="str">
        <f ca="1">VLOOKUP($B47,OFFSET([2]quests!$A$1,0,0,COUNTA([2]quests!$A:$A),MATCH(D$1,[2]quests!$1:$1,0)-MATCH($B$1,[2]quests!$1:$1,0)+1),MATCH(D$1,[2]quests!$1:$1,0)-MATCH($B$1,[2]quests!$1:$1,0)+1,FALSE)</f>
        <v>検証</v>
      </c>
      <c r="E47" s="81" t="s">
        <v>215</v>
      </c>
      <c r="F47" s="77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77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79">
        <v>0</v>
      </c>
      <c r="I47">
        <v>24</v>
      </c>
      <c r="J47" s="78" t="s">
        <v>196</v>
      </c>
      <c r="K47" s="88" t="str">
        <f>VLOOKUP(I47,[9]stage_hints!$A:$C,3,FALSE)</f>
        <v>りんごを使って限界突破</v>
      </c>
      <c r="L47" s="89" t="str">
        <f>VLOOKUP(I47,[9]stage_hints!$A:$D,4,FALSE)</f>
        <v>赤りんご(攻撃力) 青りんご(回復力)_x000D_緑りんご(体力)をユニット強化に使うと_x000D_ステータスが限界突破します（計99個迄）</v>
      </c>
      <c r="M47" s="52" t="s">
        <v>211</v>
      </c>
    </row>
    <row r="48" spans="1:13" x14ac:dyDescent="0.15">
      <c r="A48" s="75" t="s">
        <v>199</v>
      </c>
      <c r="B48" s="76">
        <f>floors!$C$2</f>
        <v>65535</v>
      </c>
      <c r="C48" s="77" t="str">
        <f ca="1">VLOOKUP($B48,OFFSET([2]quests!$A$1,0,0,COUNTA([2]quests!$A:$A),MATCH(C$1,[2]quests!$1:$1,0)-MATCH($B$1,[2]quests!$1:$1,0)+1),MATCH(C$1,[2]quests!$1:$1,0)-MATCH($B$1,[2]quests!$1:$1,0)+1,FALSE)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8" s="77" t="str">
        <f ca="1">VLOOKUP($B48,OFFSET([2]quests!$A$1,0,0,COUNTA([2]quests!$A:$A),MATCH(D$1,[2]quests!$1:$1,0)-MATCH($B$1,[2]quests!$1:$1,0)+1),MATCH(D$1,[2]quests!$1:$1,0)-MATCH($B$1,[2]quests!$1:$1,0)+1,FALSE)</f>
        <v>検証</v>
      </c>
      <c r="E48" s="81" t="s">
        <v>215</v>
      </c>
      <c r="F48" s="77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77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79">
        <v>0</v>
      </c>
      <c r="I48">
        <v>25</v>
      </c>
      <c r="J48" s="78" t="s">
        <v>196</v>
      </c>
      <c r="K48" s="88" t="str">
        <f>VLOOKUP(I48,[9]stage_hints!$A:$C,3,FALSE)</f>
        <v>スキルレベルアップ</v>
      </c>
      <c r="L48" s="89" t="str">
        <f>VLOOKUP(I48,[9]stage_hints!$A:$D,4,FALSE)</f>
        <v>「クリスタルのりんご」を強化に使うと_x000D_スキルレベルを上げることができます</v>
      </c>
      <c r="M48" s="52" t="s">
        <v>211</v>
      </c>
    </row>
    <row r="49" spans="1:13" x14ac:dyDescent="0.15">
      <c r="A49" s="75" t="s">
        <v>199</v>
      </c>
      <c r="B49" s="76">
        <f>floors!$C$2</f>
        <v>65535</v>
      </c>
      <c r="C49" s="77" t="str">
        <f ca="1">VLOOKUP($B49,OFFSET([2]quests!$A$1,0,0,COUNTA([2]quests!$A:$A),MATCH(C$1,[2]quests!$1:$1,0)-MATCH($B$1,[2]quests!$1:$1,0)+1),MATCH(C$1,[2]quests!$1:$1,0)-MATCH($B$1,[2]quests!$1:$1,0)+1,FALSE)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49" s="77" t="str">
        <f ca="1">VLOOKUP($B49,OFFSET([2]quests!$A$1,0,0,COUNTA([2]quests!$A:$A),MATCH(D$1,[2]quests!$1:$1,0)-MATCH($B$1,[2]quests!$1:$1,0)+1),MATCH(D$1,[2]quests!$1:$1,0)-MATCH($B$1,[2]quests!$1:$1,0)+1,FALSE)</f>
        <v>検証</v>
      </c>
      <c r="E49" s="81" t="s">
        <v>215</v>
      </c>
      <c r="F49" s="77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77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79">
        <v>0</v>
      </c>
      <c r="I49">
        <v>26</v>
      </c>
      <c r="J49" s="78" t="s">
        <v>196</v>
      </c>
      <c r="K49" s="88" t="str">
        <f>VLOOKUP(I49,[9]stage_hints!$A:$C,3,FALSE)</f>
        <v>スキルレベルの効果</v>
      </c>
      <c r="L49" s="89" t="str">
        <f>VLOOKUP(I49,[9]stage_hints!$A:$D,4,FALSE)</f>
        <v>スキルレベルが上がると_x000D_短いターンでスキルを使うことができます</v>
      </c>
      <c r="M49" s="52" t="s">
        <v>211</v>
      </c>
    </row>
    <row r="50" spans="1:13" x14ac:dyDescent="0.15">
      <c r="A50" s="75" t="s">
        <v>199</v>
      </c>
      <c r="B50" s="76">
        <f>floors!$C$2</f>
        <v>65535</v>
      </c>
      <c r="C50" s="77" t="str">
        <f ca="1">VLOOKUP($B50,OFFSET([2]quests!$A$1,0,0,COUNTA([2]quests!$A:$A),MATCH(C$1,[2]quests!$1:$1,0)-MATCH($B$1,[2]quests!$1:$1,0)+1),MATCH(C$1,[2]quests!$1:$1,0)-MATCH($B$1,[2]quests!$1:$1,0)+1,FALSE)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0" s="77" t="str">
        <f ca="1">VLOOKUP($B50,OFFSET([2]quests!$A$1,0,0,COUNTA([2]quests!$A:$A),MATCH(D$1,[2]quests!$1:$1,0)-MATCH($B$1,[2]quests!$1:$1,0)+1),MATCH(D$1,[2]quests!$1:$1,0)-MATCH($B$1,[2]quests!$1:$1,0)+1,FALSE)</f>
        <v>検証</v>
      </c>
      <c r="E50" s="81" t="s">
        <v>215</v>
      </c>
      <c r="F50" s="77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77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79">
        <v>0</v>
      </c>
      <c r="I50">
        <v>27</v>
      </c>
      <c r="J50" s="78" t="s">
        <v>196</v>
      </c>
      <c r="K50" s="88" t="str">
        <f>VLOOKUP(I50,[9]stage_hints!$A:$C,3,FALSE)</f>
        <v>ホーム画面からデッキを編成</v>
      </c>
      <c r="L50" s="89" t="str">
        <f>VLOOKUP(I50,[9]stage_hints!$A:$D,4,FALSE)</f>
        <v>ホーム画面でユニットを長押しすると_x000D_すぐにパーティ編成に移動できます</v>
      </c>
      <c r="M50" s="52" t="s">
        <v>211</v>
      </c>
    </row>
    <row r="51" spans="1:13" x14ac:dyDescent="0.15">
      <c r="A51" s="75" t="s">
        <v>199</v>
      </c>
      <c r="B51" s="76">
        <f>floors!$C$2</f>
        <v>65535</v>
      </c>
      <c r="C51" s="77" t="str">
        <f ca="1">VLOOKUP($B51,OFFSET([2]quests!$A$1,0,0,COUNTA([2]quests!$A:$A),MATCH(C$1,[2]quests!$1:$1,0)-MATCH($B$1,[2]quests!$1:$1,0)+1),MATCH(C$1,[2]quests!$1:$1,0)-MATCH($B$1,[2]quests!$1:$1,0)+1,FALSE)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1" s="77" t="str">
        <f ca="1">VLOOKUP($B51,OFFSET([2]quests!$A$1,0,0,COUNTA([2]quests!$A:$A),MATCH(D$1,[2]quests!$1:$1,0)-MATCH($B$1,[2]quests!$1:$1,0)+1),MATCH(D$1,[2]quests!$1:$1,0)-MATCH($B$1,[2]quests!$1:$1,0)+1,FALSE)</f>
        <v>検証</v>
      </c>
      <c r="E51" s="81" t="s">
        <v>215</v>
      </c>
      <c r="F51" s="77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77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79">
        <v>0</v>
      </c>
      <c r="I51">
        <v>28</v>
      </c>
      <c r="J51" s="78" t="s">
        <v>196</v>
      </c>
      <c r="K51" s="88" t="str">
        <f>VLOOKUP(I51,[9]stage_hints!$A:$C,3,FALSE)</f>
        <v>ステータス情報は長押しで</v>
      </c>
      <c r="L51" s="89" t="str">
        <f>VLOOKUP(I51,[9]stage_hints!$A:$D,4,FALSE)</f>
        <v>ユニットのアイコンを長押しすると_x000D_ステータス情報を確認することができます</v>
      </c>
      <c r="M51" s="52" t="s">
        <v>211</v>
      </c>
    </row>
    <row r="52" spans="1:13" x14ac:dyDescent="0.15">
      <c r="A52" s="75" t="s">
        <v>199</v>
      </c>
      <c r="B52" s="76">
        <f>floors!$C$2</f>
        <v>65535</v>
      </c>
      <c r="C52" s="77" t="str">
        <f ca="1">VLOOKUP($B52,OFFSET([2]quests!$A$1,0,0,COUNTA([2]quests!$A:$A),MATCH(C$1,[2]quests!$1:$1,0)-MATCH($B$1,[2]quests!$1:$1,0)+1),MATCH(C$1,[2]quests!$1:$1,0)-MATCH($B$1,[2]quests!$1:$1,0)+1,FALSE)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2" s="77" t="str">
        <f ca="1">VLOOKUP($B52,OFFSET([2]quests!$A$1,0,0,COUNTA([2]quests!$A:$A),MATCH(D$1,[2]quests!$1:$1,0)-MATCH($B$1,[2]quests!$1:$1,0)+1),MATCH(D$1,[2]quests!$1:$1,0)-MATCH($B$1,[2]quests!$1:$1,0)+1,FALSE)</f>
        <v>検証</v>
      </c>
      <c r="E52" s="81" t="s">
        <v>215</v>
      </c>
      <c r="F52" s="77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77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79">
        <v>0</v>
      </c>
      <c r="I52">
        <v>29</v>
      </c>
      <c r="J52" s="78" t="s">
        <v>196</v>
      </c>
      <c r="K52" s="88" t="str">
        <f>VLOOKUP(I52,[9]stage_hints!$A:$C,3,FALSE)</f>
        <v>「バグ」のメリット</v>
      </c>
      <c r="L52" s="89" t="str">
        <f>VLOOKUP(I52,[9]stage_hints!$A:$D,4,FALSE)</f>
        <v>ユニットの「バグ」を増やすと_x000D_報酬をもらえる確率がアップします</v>
      </c>
      <c r="M52" s="52" t="s">
        <v>211</v>
      </c>
    </row>
    <row r="53" spans="1:13" x14ac:dyDescent="0.15">
      <c r="A53" s="75" t="s">
        <v>199</v>
      </c>
      <c r="B53" s="76">
        <f>floors!$C$2</f>
        <v>65535</v>
      </c>
      <c r="C53" s="77" t="str">
        <f ca="1">VLOOKUP($B53,OFFSET([2]quests!$A$1,0,0,COUNTA([2]quests!$A:$A),MATCH(C$1,[2]quests!$1:$1,0)-MATCH($B$1,[2]quests!$1:$1,0)+1),MATCH(C$1,[2]quests!$1:$1,0)-MATCH($B$1,[2]quests!$1:$1,0)+1,FALSE)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3" s="77" t="str">
        <f ca="1">VLOOKUP($B53,OFFSET([2]quests!$A$1,0,0,COUNTA([2]quests!$A:$A),MATCH(D$1,[2]quests!$1:$1,0)-MATCH($B$1,[2]quests!$1:$1,0)+1),MATCH(D$1,[2]quests!$1:$1,0)-MATCH($B$1,[2]quests!$1:$1,0)+1,FALSE)</f>
        <v>検証</v>
      </c>
      <c r="E53" s="81" t="s">
        <v>215</v>
      </c>
      <c r="F53" s="77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77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79">
        <v>0</v>
      </c>
      <c r="I53">
        <v>30</v>
      </c>
      <c r="J53" s="78" t="s">
        <v>196</v>
      </c>
      <c r="K53" s="88" t="str">
        <f>VLOOKUP(I53,[9]stage_hints!$A:$C,3,FALSE)</f>
        <v>「バグ」の増やし方</v>
      </c>
      <c r="L53" s="89" t="str">
        <f>VLOOKUP(I53,[9]stage_hints!$A:$D,4,FALSE)</f>
        <v>同じユニット同士を強化で合成すると_x000D_「バグ」を増やすことができます</v>
      </c>
      <c r="M53" s="52" t="s">
        <v>211</v>
      </c>
    </row>
    <row r="54" spans="1:13" x14ac:dyDescent="0.15">
      <c r="A54" s="75" t="s">
        <v>199</v>
      </c>
      <c r="B54" s="76">
        <f>floors!$C$2</f>
        <v>65535</v>
      </c>
      <c r="C54" s="77" t="str">
        <f ca="1">VLOOKUP($B54,OFFSET([2]quests!$A$1,0,0,COUNTA([2]quests!$A:$A),MATCH(C$1,[2]quests!$1:$1,0)-MATCH($B$1,[2]quests!$1:$1,0)+1),MATCH(C$1,[2]quests!$1:$1,0)-MATCH($B$1,[2]quests!$1:$1,0)+1,FALSE)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4" s="77" t="str">
        <f ca="1">VLOOKUP($B54,OFFSET([2]quests!$A$1,0,0,COUNTA([2]quests!$A:$A),MATCH(D$1,[2]quests!$1:$1,0)-MATCH($B$1,[2]quests!$1:$1,0)+1),MATCH(D$1,[2]quests!$1:$1,0)-MATCH($B$1,[2]quests!$1:$1,0)+1,FALSE)</f>
        <v>検証</v>
      </c>
      <c r="E54" s="81" t="s">
        <v>215</v>
      </c>
      <c r="F54" s="77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77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79">
        <v>0</v>
      </c>
      <c r="I54">
        <v>31</v>
      </c>
      <c r="J54" s="78" t="s">
        <v>196</v>
      </c>
      <c r="K54" s="88" t="str">
        <f>VLOOKUP(I54,[9]stage_hints!$A:$C,3,FALSE)</f>
        <v>イベントはお知らせでチェック</v>
      </c>
      <c r="L54" s="89" t="str">
        <f>VLOOKUP(I54,[9]stage_hints!$A:$D,4,FALSE)</f>
        <v>イベント限定ユニットを取り忘れないように_x000D_お知らせをこまめにチェックしましょう</v>
      </c>
      <c r="M54" s="52" t="s">
        <v>211</v>
      </c>
    </row>
    <row r="55" spans="1:13" x14ac:dyDescent="0.15">
      <c r="A55" s="75" t="s">
        <v>199</v>
      </c>
      <c r="B55" s="76">
        <f>floors!$C$2</f>
        <v>65535</v>
      </c>
      <c r="C55" s="77" t="str">
        <f ca="1">VLOOKUP($B55,OFFSET([2]quests!$A$1,0,0,COUNTA([2]quests!$A:$A),MATCH(C$1,[2]quests!$1:$1,0)-MATCH($B$1,[2]quests!$1:$1,0)+1),MATCH(C$1,[2]quests!$1:$1,0)-MATCH($B$1,[2]quests!$1:$1,0)+1,FALSE)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5" s="77" t="str">
        <f ca="1">VLOOKUP($B55,OFFSET([2]quests!$A$1,0,0,COUNTA([2]quests!$A:$A),MATCH(D$1,[2]quests!$1:$1,0)-MATCH($B$1,[2]quests!$1:$1,0)+1),MATCH(D$1,[2]quests!$1:$1,0)-MATCH($B$1,[2]quests!$1:$1,0)+1,FALSE)</f>
        <v>検証</v>
      </c>
      <c r="E55" s="81" t="s">
        <v>215</v>
      </c>
      <c r="F55" s="77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77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79">
        <v>0</v>
      </c>
      <c r="I55">
        <v>32</v>
      </c>
      <c r="J55" s="78" t="s">
        <v>196</v>
      </c>
      <c r="K55" s="88" t="str">
        <f>VLOOKUP(I55,[9]stage_hints!$A:$C,3,FALSE)</f>
        <v>敵の連続攻撃には</v>
      </c>
      <c r="L55" s="89" t="str">
        <f>VLOOKUP(I55,[9]stage_hints!$A:$D,4,FALSE)</f>
        <v>カウンタースキルを持つユニットがいれば_x000D_ダメージ回数分の反撃ができます</v>
      </c>
      <c r="M55" s="52" t="s">
        <v>211</v>
      </c>
    </row>
    <row r="56" spans="1:13" x14ac:dyDescent="0.15">
      <c r="A56" s="75" t="s">
        <v>199</v>
      </c>
      <c r="B56" s="76">
        <f>floors!$C$2</f>
        <v>65535</v>
      </c>
      <c r="C56" s="77" t="str">
        <f ca="1">VLOOKUP($B56,OFFSET([2]quests!$A$1,0,0,COUNTA([2]quests!$A:$A),MATCH(C$1,[2]quests!$1:$1,0)-MATCH($B$1,[2]quests!$1:$1,0)+1),MATCH(C$1,[2]quests!$1:$1,0)-MATCH($B$1,[2]quests!$1:$1,0)+1,FALSE)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6" s="77" t="str">
        <f ca="1">VLOOKUP($B56,OFFSET([2]quests!$A$1,0,0,COUNTA([2]quests!$A:$A),MATCH(D$1,[2]quests!$1:$1,0)-MATCH($B$1,[2]quests!$1:$1,0)+1),MATCH(D$1,[2]quests!$1:$1,0)-MATCH($B$1,[2]quests!$1:$1,0)+1,FALSE)</f>
        <v>検証</v>
      </c>
      <c r="E56" s="81" t="s">
        <v>215</v>
      </c>
      <c r="F56" s="77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77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79">
        <v>0</v>
      </c>
      <c r="I56">
        <v>33</v>
      </c>
      <c r="J56" s="78" t="s">
        <v>196</v>
      </c>
      <c r="K56" s="88" t="str">
        <f>VLOOKUP(I56,[9]stage_hints!$A:$C,3,FALSE)</f>
        <v>敵のカウンター攻撃には</v>
      </c>
      <c r="L56" s="89" t="str">
        <f>VLOOKUP(I56,[9]stage_hints!$A:$D,4,FALSE)</f>
        <v>カウンターブレイクスキルを持っていれば_x000D_敵のカウンターを解除して攻撃ができます</v>
      </c>
      <c r="M56" s="52" t="s">
        <v>211</v>
      </c>
    </row>
    <row r="57" spans="1:13" x14ac:dyDescent="0.15">
      <c r="A57" s="75" t="s">
        <v>199</v>
      </c>
      <c r="B57" s="76">
        <f>floors!$C$2</f>
        <v>65535</v>
      </c>
      <c r="C57" s="77" t="str">
        <f ca="1">VLOOKUP($B57,OFFSET([2]quests!$A$1,0,0,COUNTA([2]quests!$A:$A),MATCH(C$1,[2]quests!$1:$1,0)-MATCH($B$1,[2]quests!$1:$1,0)+1),MATCH(C$1,[2]quests!$1:$1,0)-MATCH($B$1,[2]quests!$1:$1,0)+1,FALSE)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7" s="77" t="str">
        <f ca="1">VLOOKUP($B57,OFFSET([2]quests!$A$1,0,0,COUNTA([2]quests!$A:$A),MATCH(D$1,[2]quests!$1:$1,0)-MATCH($B$1,[2]quests!$1:$1,0)+1),MATCH(D$1,[2]quests!$1:$1,0)-MATCH($B$1,[2]quests!$1:$1,0)+1,FALSE)</f>
        <v>検証</v>
      </c>
      <c r="E57" s="81" t="s">
        <v>215</v>
      </c>
      <c r="F57" s="77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77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79">
        <v>0</v>
      </c>
      <c r="I57">
        <v>34</v>
      </c>
      <c r="J57" s="78" t="s">
        <v>196</v>
      </c>
      <c r="K57" s="88" t="str">
        <f>VLOOKUP(I57,[9]stage_hints!$A:$C,3,FALSE)</f>
        <v>ステータスをスキルで下げられたら</v>
      </c>
      <c r="L57" s="89" t="str">
        <f>VLOOKUP(I57,[9]stage_hints!$A:$D,4,FALSE)</f>
        <v>ステータスダウンのスキルを受けたら_x000D_ステータスアップスキルで上書きしましょう</v>
      </c>
      <c r="M57" s="52" t="s">
        <v>211</v>
      </c>
    </row>
    <row r="58" spans="1:13" x14ac:dyDescent="0.15">
      <c r="A58" s="75" t="s">
        <v>199</v>
      </c>
      <c r="B58" s="76">
        <f>floors!$C$2</f>
        <v>65535</v>
      </c>
      <c r="C58" s="77" t="str">
        <f ca="1">VLOOKUP($B58,OFFSET([2]quests!$A$1,0,0,COUNTA([2]quests!$A:$A),MATCH(C$1,[2]quests!$1:$1,0)-MATCH($B$1,[2]quests!$1:$1,0)+1),MATCH(C$1,[2]quests!$1:$1,0)-MATCH($B$1,[2]quests!$1:$1,0)+1,FALSE)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8" s="77" t="str">
        <f ca="1">VLOOKUP($B58,OFFSET([2]quests!$A$1,0,0,COUNTA([2]quests!$A:$A),MATCH(D$1,[2]quests!$1:$1,0)-MATCH($B$1,[2]quests!$1:$1,0)+1),MATCH(D$1,[2]quests!$1:$1,0)-MATCH($B$1,[2]quests!$1:$1,0)+1,FALSE)</f>
        <v>検証</v>
      </c>
      <c r="E58" s="81" t="s">
        <v>215</v>
      </c>
      <c r="F58" s="77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77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79">
        <v>0</v>
      </c>
      <c r="I58">
        <v>35</v>
      </c>
      <c r="J58" s="78" t="s">
        <v>196</v>
      </c>
      <c r="K58" s="88" t="str">
        <f>VLOOKUP(I58,[9]stage_hints!$A:$C,3,FALSE)</f>
        <v>敵のステータスがスキルで上がったら</v>
      </c>
      <c r="L58" s="89" t="str">
        <f>VLOOKUP(I58,[9]stage_hints!$A:$D,4,FALSE)</f>
        <v>敵のステータスがスキルでアップしたときは_x000D_ステータスダウンスキルで上書きしましょう</v>
      </c>
      <c r="M58" s="52" t="s">
        <v>211</v>
      </c>
    </row>
    <row r="59" spans="1:13" x14ac:dyDescent="0.15">
      <c r="A59" s="75" t="s">
        <v>199</v>
      </c>
      <c r="B59" s="76">
        <f>floors!$C$2</f>
        <v>65535</v>
      </c>
      <c r="C59" s="77" t="str">
        <f ca="1">VLOOKUP($B59,OFFSET([2]quests!$A$1,0,0,COUNTA([2]quests!$A:$A),MATCH(C$1,[2]quests!$1:$1,0)-MATCH($B$1,[2]quests!$1:$1,0)+1),MATCH(C$1,[2]quests!$1:$1,0)-MATCH($B$1,[2]quests!$1:$1,0)+1,FALSE)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59" s="77" t="str">
        <f ca="1">VLOOKUP($B59,OFFSET([2]quests!$A$1,0,0,COUNTA([2]quests!$A:$A),MATCH(D$1,[2]quests!$1:$1,0)-MATCH($B$1,[2]quests!$1:$1,0)+1),MATCH(D$1,[2]quests!$1:$1,0)-MATCH($B$1,[2]quests!$1:$1,0)+1,FALSE)</f>
        <v>検証</v>
      </c>
      <c r="E59" s="81" t="s">
        <v>215</v>
      </c>
      <c r="F59" s="77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77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79">
        <v>0</v>
      </c>
      <c r="I59">
        <v>39</v>
      </c>
      <c r="J59" s="78" t="s">
        <v>196</v>
      </c>
      <c r="K59" s="88" t="str">
        <f>VLOOKUP(I59,[9]stage_hints!$A:$C,3,FALSE)</f>
        <v>システム適合者を確認</v>
      </c>
      <c r="L59" s="89" t="str">
        <f>VLOOKUP(I59,[9]stage_hints!$A:$D,4,FALSE)</f>
        <v>ALICEが「アナタ」を呼んでいます</v>
      </c>
      <c r="M59" s="52" t="s">
        <v>211</v>
      </c>
    </row>
    <row r="60" spans="1:13" x14ac:dyDescent="0.15">
      <c r="A60" s="75" t="s">
        <v>199</v>
      </c>
      <c r="B60" s="76">
        <f>floors!$C$2</f>
        <v>65535</v>
      </c>
      <c r="C60" s="77" t="str">
        <f ca="1">VLOOKUP($B60,OFFSET([2]quests!$A$1,0,0,COUNTA([2]quests!$A:$A),MATCH(C$1,[2]quests!$1:$1,0)-MATCH($B$1,[2]quests!$1:$1,0)+1),MATCH(C$1,[2]quests!$1:$1,0)-MATCH($B$1,[2]quests!$1:$1,0)+1,FALSE)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0" s="77" t="str">
        <f ca="1">VLOOKUP($B60,OFFSET([2]quests!$A$1,0,0,COUNTA([2]quests!$A:$A),MATCH(D$1,[2]quests!$1:$1,0)-MATCH($B$1,[2]quests!$1:$1,0)+1),MATCH(D$1,[2]quests!$1:$1,0)-MATCH($B$1,[2]quests!$1:$1,0)+1,FALSE)</f>
        <v>検証</v>
      </c>
      <c r="E60" s="81" t="s">
        <v>216</v>
      </c>
      <c r="F60" s="77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77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79">
        <v>0</v>
      </c>
      <c r="I60" s="92">
        <v>3</v>
      </c>
      <c r="J60" s="78" t="s">
        <v>196</v>
      </c>
      <c r="K60" s="88" t="str">
        <f>VLOOKUP(I60,[9]stage_hints!$A:$C,3,FALSE)</f>
        <v>ターゲット</v>
      </c>
      <c r="L60" s="89" t="str">
        <f>VLOOKUP(I60,[9]stage_hints!$A:$D,4,FALSE)</f>
        <v>敵ユニットをタップすると_x000D_その敵を狙い撃ちできます</v>
      </c>
      <c r="M60" s="52" t="s">
        <v>211</v>
      </c>
    </row>
    <row r="61" spans="1:13" x14ac:dyDescent="0.15">
      <c r="A61" s="75" t="s">
        <v>199</v>
      </c>
      <c r="B61" s="76">
        <f>floors!$C$2</f>
        <v>65535</v>
      </c>
      <c r="C61" s="77" t="str">
        <f ca="1">VLOOKUP($B61,OFFSET([2]quests!$A$1,0,0,COUNTA([2]quests!$A:$A),MATCH(C$1,[2]quests!$1:$1,0)-MATCH($B$1,[2]quests!$1:$1,0)+1),MATCH(C$1,[2]quests!$1:$1,0)-MATCH($B$1,[2]quests!$1:$1,0)+1,FALSE)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1" s="77" t="str">
        <f ca="1">VLOOKUP($B61,OFFSET([2]quests!$A$1,0,0,COUNTA([2]quests!$A:$A),MATCH(D$1,[2]quests!$1:$1,0)-MATCH($B$1,[2]quests!$1:$1,0)+1),MATCH(D$1,[2]quests!$1:$1,0)-MATCH($B$1,[2]quests!$1:$1,0)+1,FALSE)</f>
        <v>検証</v>
      </c>
      <c r="E61" s="81" t="s">
        <v>216</v>
      </c>
      <c r="F61" s="77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77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79">
        <v>0</v>
      </c>
      <c r="I61" s="92">
        <v>6</v>
      </c>
      <c r="J61" s="78" t="s">
        <v>196</v>
      </c>
      <c r="K61" s="88" t="str">
        <f>VLOOKUP(I61,[9]stage_hints!$A:$C,3,FALSE)</f>
        <v>ユニット強化の属性ボーナス</v>
      </c>
      <c r="L61" s="89" t="str">
        <f>VLOOKUP(I61,[9]stage_hints!$A:$D,4,FALSE)</f>
        <v>同属性ユニットを強化素材にすると_x000D_経験値が多くもらえます</v>
      </c>
      <c r="M61" s="52" t="s">
        <v>211</v>
      </c>
    </row>
    <row r="62" spans="1:13" x14ac:dyDescent="0.15">
      <c r="A62" s="75" t="s">
        <v>199</v>
      </c>
      <c r="B62" s="76">
        <f>floors!$C$2</f>
        <v>65535</v>
      </c>
      <c r="C62" s="77" t="str">
        <f ca="1">VLOOKUP($B62,OFFSET([2]quests!$A$1,0,0,COUNTA([2]quests!$A:$A),MATCH(C$1,[2]quests!$1:$1,0)-MATCH($B$1,[2]quests!$1:$1,0)+1),MATCH(C$1,[2]quests!$1:$1,0)-MATCH($B$1,[2]quests!$1:$1,0)+1,FALSE)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2" s="77" t="str">
        <f ca="1">VLOOKUP($B62,OFFSET([2]quests!$A$1,0,0,COUNTA([2]quests!$A:$A),MATCH(D$1,[2]quests!$1:$1,0)-MATCH($B$1,[2]quests!$1:$1,0)+1),MATCH(D$1,[2]quests!$1:$1,0)-MATCH($B$1,[2]quests!$1:$1,0)+1,FALSE)</f>
        <v>検証</v>
      </c>
      <c r="E62" s="81" t="s">
        <v>216</v>
      </c>
      <c r="F62" s="77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77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79">
        <v>0</v>
      </c>
      <c r="I62" s="92">
        <v>7</v>
      </c>
      <c r="J62" s="78" t="s">
        <v>196</v>
      </c>
      <c r="K62" s="88" t="str">
        <f>VLOOKUP(I62,[9]stage_hints!$A:$C,3,FALSE)</f>
        <v>メタルダックで経験値を獲得</v>
      </c>
      <c r="L62" s="89" t="str">
        <f>VLOOKUP(I62,[9]stage_hints!$A:$D,4,FALSE)</f>
        <v>「メタルなアヒル」を強化素材にすると_x000D_大量の経験値がもらえます</v>
      </c>
      <c r="M62" s="52" t="s">
        <v>211</v>
      </c>
    </row>
    <row r="63" spans="1:13" x14ac:dyDescent="0.15">
      <c r="A63" s="75" t="s">
        <v>199</v>
      </c>
      <c r="B63" s="76">
        <f>floors!$C$2</f>
        <v>65535</v>
      </c>
      <c r="C63" s="77" t="str">
        <f ca="1">VLOOKUP($B63,OFFSET([2]quests!$A$1,0,0,COUNTA([2]quests!$A:$A),MATCH(C$1,[2]quests!$1:$1,0)-MATCH($B$1,[2]quests!$1:$1,0)+1),MATCH(C$1,[2]quests!$1:$1,0)-MATCH($B$1,[2]quests!$1:$1,0)+1,FALSE)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3" s="77" t="str">
        <f ca="1">VLOOKUP($B63,OFFSET([2]quests!$A$1,0,0,COUNTA([2]quests!$A:$A),MATCH(D$1,[2]quests!$1:$1,0)-MATCH($B$1,[2]quests!$1:$1,0)+1),MATCH(D$1,[2]quests!$1:$1,0)-MATCH($B$1,[2]quests!$1:$1,0)+1,FALSE)</f>
        <v>検証</v>
      </c>
      <c r="E63" s="81" t="s">
        <v>216</v>
      </c>
      <c r="F63" s="77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77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79">
        <v>0</v>
      </c>
      <c r="I63" s="92">
        <v>8</v>
      </c>
      <c r="J63" s="78" t="s">
        <v>196</v>
      </c>
      <c r="K63" s="88" t="str">
        <f>VLOOKUP(I63,[9]stage_hints!$A:$C,3,FALSE)</f>
        <v>ゲリラクエストは要チェック</v>
      </c>
      <c r="L63" s="89" t="str">
        <f>VLOOKUP(I63,[9]stage_hints!$A:$D,4,FALSE)</f>
        <v>時間限定の「アヒル捕獲作戦」では_x000D_経験値素材ユニットが多く手に入ります</v>
      </c>
      <c r="M63" s="52" t="s">
        <v>211</v>
      </c>
    </row>
    <row r="64" spans="1:13" x14ac:dyDescent="0.15">
      <c r="A64" s="75" t="s">
        <v>199</v>
      </c>
      <c r="B64" s="76">
        <f>floors!$C$2</f>
        <v>65535</v>
      </c>
      <c r="C64" s="77" t="str">
        <f ca="1">VLOOKUP($B64,OFFSET([2]quests!$A$1,0,0,COUNTA([2]quests!$A:$A),MATCH(C$1,[2]quests!$1:$1,0)-MATCH($B$1,[2]quests!$1:$1,0)+1),MATCH(C$1,[2]quests!$1:$1,0)-MATCH($B$1,[2]quests!$1:$1,0)+1,FALSE)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4" s="77" t="str">
        <f ca="1">VLOOKUP($B64,OFFSET([2]quests!$A$1,0,0,COUNTA([2]quests!$A:$A),MATCH(D$1,[2]quests!$1:$1,0)-MATCH($B$1,[2]quests!$1:$1,0)+1),MATCH(D$1,[2]quests!$1:$1,0)-MATCH($B$1,[2]quests!$1:$1,0)+1,FALSE)</f>
        <v>検証</v>
      </c>
      <c r="E64" s="81" t="s">
        <v>216</v>
      </c>
      <c r="F64" s="77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77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79">
        <v>0</v>
      </c>
      <c r="I64" s="92">
        <v>9</v>
      </c>
      <c r="J64" s="78" t="s">
        <v>196</v>
      </c>
      <c r="K64" s="88" t="str">
        <f>VLOOKUP(I64,[9]stage_hints!$A:$C,3,FALSE)</f>
        <v>ゴールドダックでビットを獲得</v>
      </c>
      <c r="L64" s="89" t="str">
        <f>VLOOKUP(I64,[9]stage_hints!$A:$D,4,FALSE)</f>
        <v>「ゴールドなアヒル」を売却すると_x000D_大量のビットがもらえます</v>
      </c>
      <c r="M64" s="52" t="s">
        <v>211</v>
      </c>
    </row>
    <row r="65" spans="1:13" x14ac:dyDescent="0.15">
      <c r="A65" s="75" t="s">
        <v>199</v>
      </c>
      <c r="B65" s="76">
        <f>floors!$C$2</f>
        <v>65535</v>
      </c>
      <c r="C65" s="77" t="str">
        <f ca="1">VLOOKUP($B65,OFFSET([2]quests!$A$1,0,0,COUNTA([2]quests!$A:$A),MATCH(C$1,[2]quests!$1:$1,0)-MATCH($B$1,[2]quests!$1:$1,0)+1),MATCH(C$1,[2]quests!$1:$1,0)-MATCH($B$1,[2]quests!$1:$1,0)+1,FALSE)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5" s="77" t="str">
        <f ca="1">VLOOKUP($B65,OFFSET([2]quests!$A$1,0,0,COUNTA([2]quests!$A:$A),MATCH(D$1,[2]quests!$1:$1,0)-MATCH($B$1,[2]quests!$1:$1,0)+1),MATCH(D$1,[2]quests!$1:$1,0)-MATCH($B$1,[2]quests!$1:$1,0)+1,FALSE)</f>
        <v>検証</v>
      </c>
      <c r="E65" s="81" t="s">
        <v>216</v>
      </c>
      <c r="F65" s="77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77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79">
        <v>0</v>
      </c>
      <c r="I65" s="92">
        <v>10</v>
      </c>
      <c r="J65" s="78" t="s">
        <v>196</v>
      </c>
      <c r="K65" s="88" t="str">
        <f>VLOOKUP(I65,[9]stage_hints!$A:$C,3,FALSE)</f>
        <v>土日に大量のビットを獲得</v>
      </c>
      <c r="L65" s="89" t="str">
        <f>VLOOKUP(I65,[9]stage_hints!$A:$D,4,FALSE)</f>
        <v>土日限定の「ゴールドカジノ」では_x000D_売却素材ユニットが多く手に入ります</v>
      </c>
      <c r="M65" s="52" t="s">
        <v>211</v>
      </c>
    </row>
    <row r="66" spans="1:13" x14ac:dyDescent="0.15">
      <c r="A66" s="75" t="s">
        <v>199</v>
      </c>
      <c r="B66" s="76">
        <f>floors!$C$2</f>
        <v>65535</v>
      </c>
      <c r="C66" s="77" t="str">
        <f ca="1">VLOOKUP($B66,OFFSET([2]quests!$A$1,0,0,COUNTA([2]quests!$A:$A),MATCH(C$1,[2]quests!$1:$1,0)-MATCH($B$1,[2]quests!$1:$1,0)+1),MATCH(C$1,[2]quests!$1:$1,0)-MATCH($B$1,[2]quests!$1:$1,0)+1,FALSE)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6" s="77" t="str">
        <f ca="1">VLOOKUP($B66,OFFSET([2]quests!$A$1,0,0,COUNTA([2]quests!$A:$A),MATCH(D$1,[2]quests!$1:$1,0)-MATCH($B$1,[2]quests!$1:$1,0)+1),MATCH(D$1,[2]quests!$1:$1,0)-MATCH($B$1,[2]quests!$1:$1,0)+1,FALSE)</f>
        <v>検証</v>
      </c>
      <c r="E66" s="81" t="s">
        <v>216</v>
      </c>
      <c r="F66" s="77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77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79">
        <v>0</v>
      </c>
      <c r="I66" s="92">
        <v>11</v>
      </c>
      <c r="J66" s="78" t="s">
        <v>196</v>
      </c>
      <c r="K66" s="88" t="str">
        <f>VLOOKUP(I66,[9]stage_hints!$A:$C,3,FALSE)</f>
        <v>ランク解放クエスト</v>
      </c>
      <c r="L66" s="89" t="str">
        <f>VLOOKUP(I66,[9]stage_hints!$A:$D,4,FALSE)</f>
        <v>一定ランクに到達すると_x000D_報酬付きのランク開放クエストが現れます</v>
      </c>
      <c r="M66" s="52" t="s">
        <v>211</v>
      </c>
    </row>
    <row r="67" spans="1:13" x14ac:dyDescent="0.15">
      <c r="A67" s="75" t="s">
        <v>199</v>
      </c>
      <c r="B67" s="76">
        <f>floors!$C$2</f>
        <v>65535</v>
      </c>
      <c r="C67" s="77" t="str">
        <f ca="1">VLOOKUP($B67,OFFSET([2]quests!$A$1,0,0,COUNTA([2]quests!$A:$A),MATCH(C$1,[2]quests!$1:$1,0)-MATCH($B$1,[2]quests!$1:$1,0)+1),MATCH(C$1,[2]quests!$1:$1,0)-MATCH($B$1,[2]quests!$1:$1,0)+1,FALSE)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7" s="77" t="str">
        <f ca="1">VLOOKUP($B67,OFFSET([2]quests!$A$1,0,0,COUNTA([2]quests!$A:$A),MATCH(D$1,[2]quests!$1:$1,0)-MATCH($B$1,[2]quests!$1:$1,0)+1),MATCH(D$1,[2]quests!$1:$1,0)-MATCH($B$1,[2]quests!$1:$1,0)+1,FALSE)</f>
        <v>検証</v>
      </c>
      <c r="E67" s="81" t="s">
        <v>216</v>
      </c>
      <c r="F67" s="77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77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79">
        <v>0</v>
      </c>
      <c r="I67" s="92">
        <v>12</v>
      </c>
      <c r="J67" s="78" t="s">
        <v>196</v>
      </c>
      <c r="K67" s="88" t="str">
        <f>VLOOKUP(I67,[9]stage_hints!$A:$C,3,FALSE)</f>
        <v>ユニットのお気に入り登録</v>
      </c>
      <c r="L67" s="89" t="str">
        <f>VLOOKUP(I67,[9]stage_hints!$A:$D,4,FALSE)</f>
        <v>大事なユニットを誤って消さないように_x000D_フォルダから「お気に入り登録」しましょう</v>
      </c>
      <c r="M67" s="52" t="s">
        <v>211</v>
      </c>
    </row>
    <row r="68" spans="1:13" x14ac:dyDescent="0.15">
      <c r="A68" s="75" t="s">
        <v>199</v>
      </c>
      <c r="B68" s="76">
        <f>floors!$C$2</f>
        <v>65535</v>
      </c>
      <c r="C68" s="77" t="str">
        <f ca="1">VLOOKUP($B68,OFFSET([2]quests!$A$1,0,0,COUNTA([2]quests!$A:$A),MATCH(C$1,[2]quests!$1:$1,0)-MATCH($B$1,[2]quests!$1:$1,0)+1),MATCH(C$1,[2]quests!$1:$1,0)-MATCH($B$1,[2]quests!$1:$1,0)+1,FALSE)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8" s="77" t="str">
        <f ca="1">VLOOKUP($B68,OFFSET([2]quests!$A$1,0,0,COUNTA([2]quests!$A:$A),MATCH(D$1,[2]quests!$1:$1,0)-MATCH($B$1,[2]quests!$1:$1,0)+1),MATCH(D$1,[2]quests!$1:$1,0)-MATCH($B$1,[2]quests!$1:$1,0)+1,FALSE)</f>
        <v>検証</v>
      </c>
      <c r="E68" s="81" t="s">
        <v>216</v>
      </c>
      <c r="F68" s="77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77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79">
        <v>0</v>
      </c>
      <c r="I68" s="92">
        <v>13</v>
      </c>
      <c r="J68" s="78" t="s">
        <v>196</v>
      </c>
      <c r="K68" s="88" t="str">
        <f>VLOOKUP(I68,[9]stage_hints!$A:$C,3,FALSE)</f>
        <v>ユニットの覚醒</v>
      </c>
      <c r="L68" s="89" t="str">
        <f>VLOOKUP(I68,[9]stage_hints!$A:$D,4,FALSE)</f>
        <v>ユニットを覚醒させると_x000D_比べものにならない強さが手に入ります</v>
      </c>
      <c r="M68" s="52" t="s">
        <v>211</v>
      </c>
    </row>
    <row r="69" spans="1:13" x14ac:dyDescent="0.15">
      <c r="A69" s="75" t="s">
        <v>199</v>
      </c>
      <c r="B69" s="76">
        <f>floors!$C$2</f>
        <v>65535</v>
      </c>
      <c r="C69" s="77" t="str">
        <f ca="1">VLOOKUP($B69,OFFSET([2]quests!$A$1,0,0,COUNTA([2]quests!$A:$A),MATCH(C$1,[2]quests!$1:$1,0)-MATCH($B$1,[2]quests!$1:$1,0)+1),MATCH(C$1,[2]quests!$1:$1,0)-MATCH($B$1,[2]quests!$1:$1,0)+1,FALSE)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69" s="77" t="str">
        <f ca="1">VLOOKUP($B69,OFFSET([2]quests!$A$1,0,0,COUNTA([2]quests!$A:$A),MATCH(D$1,[2]quests!$1:$1,0)-MATCH($B$1,[2]quests!$1:$1,0)+1),MATCH(D$1,[2]quests!$1:$1,0)-MATCH($B$1,[2]quests!$1:$1,0)+1,FALSE)</f>
        <v>検証</v>
      </c>
      <c r="E69" s="81" t="s">
        <v>216</v>
      </c>
      <c r="F69" s="77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77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79">
        <v>0</v>
      </c>
      <c r="I69" s="92">
        <v>14</v>
      </c>
      <c r="J69" s="78" t="s">
        <v>196</v>
      </c>
      <c r="K69" s="88" t="str">
        <f>VLOOKUP(I69,[9]stage_hints!$A:$C,3,FALSE)</f>
        <v>覚醒するにはレベルを最大に</v>
      </c>
      <c r="L69" s="89" t="str">
        <f>VLOOKUP(I69,[9]stage_hints!$A:$D,4,FALSE)</f>
        <v>覚醒するにはユニットのレベルを_x000D_最大まで上げる必要があります</v>
      </c>
      <c r="M69" s="52" t="s">
        <v>211</v>
      </c>
    </row>
    <row r="70" spans="1:13" x14ac:dyDescent="0.15">
      <c r="A70" s="75" t="s">
        <v>199</v>
      </c>
      <c r="B70" s="76">
        <f>floors!$C$2</f>
        <v>65535</v>
      </c>
      <c r="C70" s="77" t="str">
        <f ca="1">VLOOKUP($B70,OFFSET([2]quests!$A$1,0,0,COUNTA([2]quests!$A:$A),MATCH(C$1,[2]quests!$1:$1,0)-MATCH($B$1,[2]quests!$1:$1,0)+1),MATCH(C$1,[2]quests!$1:$1,0)-MATCH($B$1,[2]quests!$1:$1,0)+1,FALSE)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0" s="77" t="str">
        <f ca="1">VLOOKUP($B70,OFFSET([2]quests!$A$1,0,0,COUNTA([2]quests!$A:$A),MATCH(D$1,[2]quests!$1:$1,0)-MATCH($B$1,[2]quests!$1:$1,0)+1),MATCH(D$1,[2]quests!$1:$1,0)-MATCH($B$1,[2]quests!$1:$1,0)+1,FALSE)</f>
        <v>検証</v>
      </c>
      <c r="E70" s="81" t="s">
        <v>216</v>
      </c>
      <c r="F70" s="77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77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79">
        <v>0</v>
      </c>
      <c r="I70" s="92">
        <v>15</v>
      </c>
      <c r="J70" s="78" t="s">
        <v>196</v>
      </c>
      <c r="K70" s="88" t="str">
        <f>VLOOKUP(I70,[9]stage_hints!$A:$C,3,FALSE)</f>
        <v>覚醒素材を獲得</v>
      </c>
      <c r="L70" s="89" t="str">
        <f>VLOOKUP(I70,[9]stage_hints!$A:$D,4,FALSE)</f>
        <v>「曜日クエスト」では_x000D_ユニットの覚醒に必要な素材が手に入ります</v>
      </c>
      <c r="M70" s="52" t="s">
        <v>211</v>
      </c>
    </row>
    <row r="71" spans="1:13" x14ac:dyDescent="0.15">
      <c r="A71" s="75" t="s">
        <v>199</v>
      </c>
      <c r="B71" s="76">
        <f>floors!$C$2</f>
        <v>65535</v>
      </c>
      <c r="C71" s="77" t="str">
        <f ca="1">VLOOKUP($B71,OFFSET([2]quests!$A$1,0,0,COUNTA([2]quests!$A:$A),MATCH(C$1,[2]quests!$1:$1,0)-MATCH($B$1,[2]quests!$1:$1,0)+1),MATCH(C$1,[2]quests!$1:$1,0)-MATCH($B$1,[2]quests!$1:$1,0)+1,FALSE)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1" s="77" t="str">
        <f ca="1">VLOOKUP($B71,OFFSET([2]quests!$A$1,0,0,COUNTA([2]quests!$A:$A),MATCH(D$1,[2]quests!$1:$1,0)-MATCH($B$1,[2]quests!$1:$1,0)+1),MATCH(D$1,[2]quests!$1:$1,0)-MATCH($B$1,[2]quests!$1:$1,0)+1,FALSE)</f>
        <v>検証</v>
      </c>
      <c r="E71" s="81" t="s">
        <v>216</v>
      </c>
      <c r="F71" s="77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77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79">
        <v>0</v>
      </c>
      <c r="I71" s="92">
        <v>16</v>
      </c>
      <c r="J71" s="78" t="s">
        <v>196</v>
      </c>
      <c r="K71" s="88" t="str">
        <f>VLOOKUP(I71,[9]stage_hints!$A:$C,3,FALSE)</f>
        <v>マルチプレイのメリット（その1）</v>
      </c>
      <c r="L71" s="89" t="str">
        <f>VLOOKUP(I71,[9]stage_hints!$A:$D,4,FALSE)</f>
        <v>他のプレイヤーとマルチプレイで遊ぶと_x000D_ポリゴンがもらえます（100人まで）</v>
      </c>
      <c r="M71" s="52" t="s">
        <v>211</v>
      </c>
    </row>
    <row r="72" spans="1:13" x14ac:dyDescent="0.15">
      <c r="A72" s="75" t="s">
        <v>199</v>
      </c>
      <c r="B72" s="76">
        <f>floors!$C$2</f>
        <v>65535</v>
      </c>
      <c r="C72" s="77" t="str">
        <f ca="1">VLOOKUP($B72,OFFSET([2]quests!$A$1,0,0,COUNTA([2]quests!$A:$A),MATCH(C$1,[2]quests!$1:$1,0)-MATCH($B$1,[2]quests!$1:$1,0)+1),MATCH(C$1,[2]quests!$1:$1,0)-MATCH($B$1,[2]quests!$1:$1,0)+1,FALSE)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2" s="77" t="str">
        <f ca="1">VLOOKUP($B72,OFFSET([2]quests!$A$1,0,0,COUNTA([2]quests!$A:$A),MATCH(D$1,[2]quests!$1:$1,0)-MATCH($B$1,[2]quests!$1:$1,0)+1),MATCH(D$1,[2]quests!$1:$1,0)-MATCH($B$1,[2]quests!$1:$1,0)+1,FALSE)</f>
        <v>検証</v>
      </c>
      <c r="E72" s="81" t="s">
        <v>216</v>
      </c>
      <c r="F72" s="77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77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79">
        <v>0</v>
      </c>
      <c r="I72" s="92">
        <v>17</v>
      </c>
      <c r="J72" s="78" t="s">
        <v>196</v>
      </c>
      <c r="K72" s="88" t="str">
        <f>VLOOKUP(I72,[9]stage_hints!$A:$C,3,FALSE)</f>
        <v>リンクガチャ</v>
      </c>
      <c r="L72" s="89" t="str">
        <f>VLOOKUP(I72,[9]stage_hints!$A:$D,4,FALSE)</f>
        <v>無料のリンクガチャを回して_x000D_経験値素材や売却素材を獲得しましょう</v>
      </c>
      <c r="M72" s="52" t="s">
        <v>211</v>
      </c>
    </row>
    <row r="73" spans="1:13" x14ac:dyDescent="0.15">
      <c r="A73" s="75" t="s">
        <v>199</v>
      </c>
      <c r="B73" s="76">
        <f>floors!$C$2</f>
        <v>65535</v>
      </c>
      <c r="C73" s="77" t="str">
        <f ca="1">VLOOKUP($B73,OFFSET([2]quests!$A$1,0,0,COUNTA([2]quests!$A:$A),MATCH(C$1,[2]quests!$1:$1,0)-MATCH($B$1,[2]quests!$1:$1,0)+1),MATCH(C$1,[2]quests!$1:$1,0)-MATCH($B$1,[2]quests!$1:$1,0)+1,FALSE)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3" s="77" t="str">
        <f ca="1">VLOOKUP($B73,OFFSET([2]quests!$A$1,0,0,COUNTA([2]quests!$A:$A),MATCH(D$1,[2]quests!$1:$1,0)-MATCH($B$1,[2]quests!$1:$1,0)+1),MATCH(D$1,[2]quests!$1:$1,0)-MATCH($B$1,[2]quests!$1:$1,0)+1,FALSE)</f>
        <v>検証</v>
      </c>
      <c r="E73" s="81" t="s">
        <v>216</v>
      </c>
      <c r="F73" s="77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77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79">
        <v>0</v>
      </c>
      <c r="I73" s="92">
        <v>18</v>
      </c>
      <c r="J73" s="78" t="s">
        <v>196</v>
      </c>
      <c r="K73" s="88" t="str">
        <f>VLOOKUP(I73,[9]stage_hints!$A:$C,3,FALSE)</f>
        <v>マルチプレイのメリット（その2）</v>
      </c>
      <c r="L73" s="89" t="str">
        <f>VLOOKUP(I73,[9]stage_hints!$A:$D,4,FALSE)</f>
        <v>マルチプレイならリンクが2倍もらえます_x000D_リンクガチャをたくさん回しましょう</v>
      </c>
      <c r="M73" s="52" t="s">
        <v>211</v>
      </c>
    </row>
    <row r="74" spans="1:13" x14ac:dyDescent="0.15">
      <c r="A74" s="75" t="s">
        <v>199</v>
      </c>
      <c r="B74" s="76">
        <f>floors!$C$2</f>
        <v>65535</v>
      </c>
      <c r="C74" s="77" t="str">
        <f ca="1">VLOOKUP($B74,OFFSET([2]quests!$A$1,0,0,COUNTA([2]quests!$A:$A),MATCH(C$1,[2]quests!$1:$1,0)-MATCH($B$1,[2]quests!$1:$1,0)+1),MATCH(C$1,[2]quests!$1:$1,0)-MATCH($B$1,[2]quests!$1:$1,0)+1,FALSE)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4" s="77" t="str">
        <f ca="1">VLOOKUP($B74,OFFSET([2]quests!$A$1,0,0,COUNTA([2]quests!$A:$A),MATCH(D$1,[2]quests!$1:$1,0)-MATCH($B$1,[2]quests!$1:$1,0)+1),MATCH(D$1,[2]quests!$1:$1,0)-MATCH($B$1,[2]quests!$1:$1,0)+1,FALSE)</f>
        <v>検証</v>
      </c>
      <c r="E74" s="81" t="s">
        <v>216</v>
      </c>
      <c r="F74" s="77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77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79">
        <v>0</v>
      </c>
      <c r="I74" s="92">
        <v>19</v>
      </c>
      <c r="J74" s="78" t="s">
        <v>196</v>
      </c>
      <c r="K74" s="88" t="str">
        <f>VLOOKUP(I74,[9]stage_hints!$A:$C,3,FALSE)</f>
        <v>ソロ専用チャレンジタワー</v>
      </c>
      <c r="L74" s="89" t="str">
        <f>VLOOKUP(I74,[9]stage_hints!$A:$D,4,FALSE)</f>
        <v>ソロ専用の「チャレンジタワー」では_x000D_各フロアごとにクリア報酬がもらえます</v>
      </c>
      <c r="M74" s="52" t="s">
        <v>211</v>
      </c>
    </row>
    <row r="75" spans="1:13" x14ac:dyDescent="0.15">
      <c r="A75" s="75" t="s">
        <v>199</v>
      </c>
      <c r="B75" s="76">
        <f>floors!$C$2</f>
        <v>65535</v>
      </c>
      <c r="C75" s="77" t="str">
        <f ca="1">VLOOKUP($B75,OFFSET([2]quests!$A$1,0,0,COUNTA([2]quests!$A:$A),MATCH(C$1,[2]quests!$1:$1,0)-MATCH($B$1,[2]quests!$1:$1,0)+1),MATCH(C$1,[2]quests!$1:$1,0)-MATCH($B$1,[2]quests!$1:$1,0)+1,FALSE)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5" s="77" t="str">
        <f ca="1">VLOOKUP($B75,OFFSET([2]quests!$A$1,0,0,COUNTA([2]quests!$A:$A),MATCH(D$1,[2]quests!$1:$1,0)-MATCH($B$1,[2]quests!$1:$1,0)+1),MATCH(D$1,[2]quests!$1:$1,0)-MATCH($B$1,[2]quests!$1:$1,0)+1,FALSE)</f>
        <v>検証</v>
      </c>
      <c r="E75" s="81" t="s">
        <v>216</v>
      </c>
      <c r="F75" s="77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77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79">
        <v>0</v>
      </c>
      <c r="I75" s="92">
        <v>20</v>
      </c>
      <c r="J75" s="78" t="s">
        <v>196</v>
      </c>
      <c r="K75" s="88" t="str">
        <f>VLOOKUP(I75,[9]stage_hints!$A:$C,3,FALSE)</f>
        <v>マルチプレイのメリット（その3）</v>
      </c>
      <c r="L75" s="89" t="str">
        <f>VLOOKUP(I75,[9]stage_hints!$A:$D,4,FALSE)</f>
        <v>マルチプレイへの参加はエナジー消費ゼロ_x000D_いつでも好きなだけ遊ぶことができます</v>
      </c>
      <c r="M75" s="52" t="s">
        <v>211</v>
      </c>
    </row>
    <row r="76" spans="1:13" x14ac:dyDescent="0.15">
      <c r="A76" s="75" t="s">
        <v>199</v>
      </c>
      <c r="B76" s="76">
        <f>floors!$C$2</f>
        <v>65535</v>
      </c>
      <c r="C76" s="77" t="str">
        <f ca="1">VLOOKUP($B76,OFFSET([2]quests!$A$1,0,0,COUNTA([2]quests!$A:$A),MATCH(C$1,[2]quests!$1:$1,0)-MATCH($B$1,[2]quests!$1:$1,0)+1),MATCH(C$1,[2]quests!$1:$1,0)-MATCH($B$1,[2]quests!$1:$1,0)+1,FALSE)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6" s="77" t="str">
        <f ca="1">VLOOKUP($B76,OFFSET([2]quests!$A$1,0,0,COUNTA([2]quests!$A:$A),MATCH(D$1,[2]quests!$1:$1,0)-MATCH($B$1,[2]quests!$1:$1,0)+1),MATCH(D$1,[2]quests!$1:$1,0)-MATCH($B$1,[2]quests!$1:$1,0)+1,FALSE)</f>
        <v>検証</v>
      </c>
      <c r="E76" s="81" t="s">
        <v>216</v>
      </c>
      <c r="F76" s="77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77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79">
        <v>0</v>
      </c>
      <c r="I76" s="92">
        <v>21</v>
      </c>
      <c r="J76" s="78" t="s">
        <v>196</v>
      </c>
      <c r="K76" s="88" t="str">
        <f>VLOOKUP(I76,[9]stage_hints!$A:$C,3,FALSE)</f>
        <v>スキルを有効に</v>
      </c>
      <c r="L76" s="89" t="str">
        <f>VLOOKUP(I76,[9]stage_hints!$A:$D,4,FALSE)</f>
        <v>ターン経過でユニットのスキルが使えます_x000D_強力スキルでバトルを有利に進めましょう</v>
      </c>
      <c r="M76" s="52" t="s">
        <v>211</v>
      </c>
    </row>
    <row r="77" spans="1:13" x14ac:dyDescent="0.15">
      <c r="A77" s="75" t="s">
        <v>199</v>
      </c>
      <c r="B77" s="76">
        <f>floors!$C$2</f>
        <v>65535</v>
      </c>
      <c r="C77" s="77" t="str">
        <f ca="1">VLOOKUP($B77,OFFSET([2]quests!$A$1,0,0,COUNTA([2]quests!$A:$A),MATCH(C$1,[2]quests!$1:$1,0)-MATCH($B$1,[2]quests!$1:$1,0)+1),MATCH(C$1,[2]quests!$1:$1,0)-MATCH($B$1,[2]quests!$1:$1,0)+1,FALSE)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7" s="77" t="str">
        <f ca="1">VLOOKUP($B77,OFFSET([2]quests!$A$1,0,0,COUNTA([2]quests!$A:$A),MATCH(D$1,[2]quests!$1:$1,0)-MATCH($B$1,[2]quests!$1:$1,0)+1),MATCH(D$1,[2]quests!$1:$1,0)-MATCH($B$1,[2]quests!$1:$1,0)+1,FALSE)</f>
        <v>検証</v>
      </c>
      <c r="E77" s="81" t="s">
        <v>216</v>
      </c>
      <c r="F77" s="77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77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79">
        <v>0</v>
      </c>
      <c r="I77" s="92">
        <v>22</v>
      </c>
      <c r="J77" s="78" t="s">
        <v>196</v>
      </c>
      <c r="K77" s="88" t="str">
        <f>VLOOKUP(I77,[9]stage_hints!$A:$C,3,FALSE)</f>
        <v>フィーバーで一発逆転（その1）</v>
      </c>
      <c r="L77" s="89" t="str">
        <f>VLOOKUP(I77,[9]stage_hints!$A:$D,4,FALSE)</f>
        <v>フィーバーは攻撃と回復を兼ね備えます_x000D_ピンチからの一発逆転を狙いましょう</v>
      </c>
      <c r="M77" s="52" t="s">
        <v>211</v>
      </c>
    </row>
    <row r="78" spans="1:13" x14ac:dyDescent="0.15">
      <c r="A78" s="75" t="s">
        <v>199</v>
      </c>
      <c r="B78" s="76">
        <f>floors!$C$2</f>
        <v>65535</v>
      </c>
      <c r="C78" s="77" t="str">
        <f ca="1">VLOOKUP($B78,OFFSET([2]quests!$A$1,0,0,COUNTA([2]quests!$A:$A),MATCH(C$1,[2]quests!$1:$1,0)-MATCH($B$1,[2]quests!$1:$1,0)+1),MATCH(C$1,[2]quests!$1:$1,0)-MATCH($B$1,[2]quests!$1:$1,0)+1,FALSE)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8" s="77" t="str">
        <f ca="1">VLOOKUP($B78,OFFSET([2]quests!$A$1,0,0,COUNTA([2]quests!$A:$A),MATCH(D$1,[2]quests!$1:$1,0)-MATCH($B$1,[2]quests!$1:$1,0)+1),MATCH(D$1,[2]quests!$1:$1,0)-MATCH($B$1,[2]quests!$1:$1,0)+1,FALSE)</f>
        <v>検証</v>
      </c>
      <c r="E78" s="81" t="s">
        <v>216</v>
      </c>
      <c r="F78" s="77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77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79">
        <v>0</v>
      </c>
      <c r="I78" s="92">
        <v>23</v>
      </c>
      <c r="J78" s="78" t="s">
        <v>196</v>
      </c>
      <c r="K78" s="88" t="str">
        <f>VLOOKUP(I78,[9]stage_hints!$A:$C,3,FALSE)</f>
        <v>フィーバーで一発逆転（その2）</v>
      </c>
      <c r="L78" s="89" t="str">
        <f>VLOOKUP(I78,[9]stage_hints!$A:$D,4,FALSE)</f>
        <v>フィーバー中は虹色のボムパネルを狙って_x000D_画面上のパネルを一気に破壊しましょう</v>
      </c>
      <c r="M78" s="52" t="s">
        <v>211</v>
      </c>
    </row>
    <row r="79" spans="1:13" x14ac:dyDescent="0.15">
      <c r="A79" s="75" t="s">
        <v>199</v>
      </c>
      <c r="B79" s="76">
        <f>floors!$C$2</f>
        <v>65535</v>
      </c>
      <c r="C79" s="77" t="str">
        <f ca="1">VLOOKUP($B79,OFFSET([2]quests!$A$1,0,0,COUNTA([2]quests!$A:$A),MATCH(C$1,[2]quests!$1:$1,0)-MATCH($B$1,[2]quests!$1:$1,0)+1),MATCH(C$1,[2]quests!$1:$1,0)-MATCH($B$1,[2]quests!$1:$1,0)+1,FALSE)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79" s="77" t="str">
        <f ca="1">VLOOKUP($B79,OFFSET([2]quests!$A$1,0,0,COUNTA([2]quests!$A:$A),MATCH(D$1,[2]quests!$1:$1,0)-MATCH($B$1,[2]quests!$1:$1,0)+1),MATCH(D$1,[2]quests!$1:$1,0)-MATCH($B$1,[2]quests!$1:$1,0)+1,FALSE)</f>
        <v>検証</v>
      </c>
      <c r="E79" s="81" t="s">
        <v>216</v>
      </c>
      <c r="F79" s="77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77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79">
        <v>0</v>
      </c>
      <c r="I79" s="92">
        <v>24</v>
      </c>
      <c r="J79" s="78" t="s">
        <v>196</v>
      </c>
      <c r="K79" s="88" t="str">
        <f>VLOOKUP(I79,[9]stage_hints!$A:$C,3,FALSE)</f>
        <v>りんごを使って限界突破</v>
      </c>
      <c r="L79" s="89" t="str">
        <f>VLOOKUP(I79,[9]stage_hints!$A:$D,4,FALSE)</f>
        <v>赤りんご(攻撃力) 青りんご(回復力)_x000D_緑りんご(体力)をユニット強化に使うと_x000D_ステータスが限界突破します（計99個迄）</v>
      </c>
      <c r="M79" s="52" t="s">
        <v>211</v>
      </c>
    </row>
    <row r="80" spans="1:13" x14ac:dyDescent="0.15">
      <c r="A80" s="75" t="s">
        <v>199</v>
      </c>
      <c r="B80" s="76">
        <f>floors!$C$2</f>
        <v>65535</v>
      </c>
      <c r="C80" s="77" t="str">
        <f ca="1">VLOOKUP($B80,OFFSET([2]quests!$A$1,0,0,COUNTA([2]quests!$A:$A),MATCH(C$1,[2]quests!$1:$1,0)-MATCH($B$1,[2]quests!$1:$1,0)+1),MATCH(C$1,[2]quests!$1:$1,0)-MATCH($B$1,[2]quests!$1:$1,0)+1,FALSE)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0" s="77" t="str">
        <f ca="1">VLOOKUP($B80,OFFSET([2]quests!$A$1,0,0,COUNTA([2]quests!$A:$A),MATCH(D$1,[2]quests!$1:$1,0)-MATCH($B$1,[2]quests!$1:$1,0)+1),MATCH(D$1,[2]quests!$1:$1,0)-MATCH($B$1,[2]quests!$1:$1,0)+1,FALSE)</f>
        <v>検証</v>
      </c>
      <c r="E80" s="81" t="s">
        <v>216</v>
      </c>
      <c r="F80" s="77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77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79">
        <v>0</v>
      </c>
      <c r="I80" s="92">
        <v>25</v>
      </c>
      <c r="J80" s="78" t="s">
        <v>196</v>
      </c>
      <c r="K80" s="88" t="str">
        <f>VLOOKUP(I80,[9]stage_hints!$A:$C,3,FALSE)</f>
        <v>スキルレベルアップ</v>
      </c>
      <c r="L80" s="89" t="str">
        <f>VLOOKUP(I80,[9]stage_hints!$A:$D,4,FALSE)</f>
        <v>「クリスタルのりんご」を強化に使うと_x000D_スキルレベルを上げることができます</v>
      </c>
      <c r="M80" s="52" t="s">
        <v>211</v>
      </c>
    </row>
    <row r="81" spans="1:13" x14ac:dyDescent="0.15">
      <c r="A81" s="75" t="s">
        <v>199</v>
      </c>
      <c r="B81" s="76">
        <f>floors!$C$2</f>
        <v>65535</v>
      </c>
      <c r="C81" s="77" t="str">
        <f ca="1">VLOOKUP($B81,OFFSET([2]quests!$A$1,0,0,COUNTA([2]quests!$A:$A),MATCH(C$1,[2]quests!$1:$1,0)-MATCH($B$1,[2]quests!$1:$1,0)+1),MATCH(C$1,[2]quests!$1:$1,0)-MATCH($B$1,[2]quests!$1:$1,0)+1,FALSE)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1" s="77" t="str">
        <f ca="1">VLOOKUP($B81,OFFSET([2]quests!$A$1,0,0,COUNTA([2]quests!$A:$A),MATCH(D$1,[2]quests!$1:$1,0)-MATCH($B$1,[2]quests!$1:$1,0)+1),MATCH(D$1,[2]quests!$1:$1,0)-MATCH($B$1,[2]quests!$1:$1,0)+1,FALSE)</f>
        <v>検証</v>
      </c>
      <c r="E81" s="81" t="s">
        <v>216</v>
      </c>
      <c r="F81" s="77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77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79">
        <v>0</v>
      </c>
      <c r="I81" s="92">
        <v>26</v>
      </c>
      <c r="J81" s="78" t="s">
        <v>196</v>
      </c>
      <c r="K81" s="88" t="str">
        <f>VLOOKUP(I81,[9]stage_hints!$A:$C,3,FALSE)</f>
        <v>スキルレベルの効果</v>
      </c>
      <c r="L81" s="89" t="str">
        <f>VLOOKUP(I81,[9]stage_hints!$A:$D,4,FALSE)</f>
        <v>スキルレベルが上がると_x000D_短いターンでスキルを使うことができます</v>
      </c>
      <c r="M81" s="52" t="s">
        <v>211</v>
      </c>
    </row>
    <row r="82" spans="1:13" x14ac:dyDescent="0.15">
      <c r="A82" s="75" t="s">
        <v>199</v>
      </c>
      <c r="B82" s="76">
        <f>floors!$C$2</f>
        <v>65535</v>
      </c>
      <c r="C82" s="77" t="str">
        <f ca="1">VLOOKUP($B82,OFFSET([2]quests!$A$1,0,0,COUNTA([2]quests!$A:$A),MATCH(C$1,[2]quests!$1:$1,0)-MATCH($B$1,[2]quests!$1:$1,0)+1),MATCH(C$1,[2]quests!$1:$1,0)-MATCH($B$1,[2]quests!$1:$1,0)+1,FALSE)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2" s="77" t="str">
        <f ca="1">VLOOKUP($B82,OFFSET([2]quests!$A$1,0,0,COUNTA([2]quests!$A:$A),MATCH(D$1,[2]quests!$1:$1,0)-MATCH($B$1,[2]quests!$1:$1,0)+1),MATCH(D$1,[2]quests!$1:$1,0)-MATCH($B$1,[2]quests!$1:$1,0)+1,FALSE)</f>
        <v>検証</v>
      </c>
      <c r="E82" s="81" t="s">
        <v>216</v>
      </c>
      <c r="F82" s="77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77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79">
        <v>0</v>
      </c>
      <c r="I82" s="92">
        <v>27</v>
      </c>
      <c r="J82" s="78" t="s">
        <v>196</v>
      </c>
      <c r="K82" s="88" t="str">
        <f>VLOOKUP(I82,[9]stage_hints!$A:$C,3,FALSE)</f>
        <v>ホーム画面からデッキを編成</v>
      </c>
      <c r="L82" s="89" t="str">
        <f>VLOOKUP(I82,[9]stage_hints!$A:$D,4,FALSE)</f>
        <v>ホーム画面でユニットを長押しすると_x000D_すぐにパーティ編成に移動できます</v>
      </c>
      <c r="M82" s="52" t="s">
        <v>211</v>
      </c>
    </row>
    <row r="83" spans="1:13" x14ac:dyDescent="0.15">
      <c r="A83" s="75" t="s">
        <v>199</v>
      </c>
      <c r="B83" s="76">
        <f>floors!$C$2</f>
        <v>65535</v>
      </c>
      <c r="C83" s="77" t="str">
        <f ca="1">VLOOKUP($B83,OFFSET([2]quests!$A$1,0,0,COUNTA([2]quests!$A:$A),MATCH(C$1,[2]quests!$1:$1,0)-MATCH($B$1,[2]quests!$1:$1,0)+1),MATCH(C$1,[2]quests!$1:$1,0)-MATCH($B$1,[2]quests!$1:$1,0)+1,FALSE)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3" s="77" t="str">
        <f ca="1">VLOOKUP($B83,OFFSET([2]quests!$A$1,0,0,COUNTA([2]quests!$A:$A),MATCH(D$1,[2]quests!$1:$1,0)-MATCH($B$1,[2]quests!$1:$1,0)+1),MATCH(D$1,[2]quests!$1:$1,0)-MATCH($B$1,[2]quests!$1:$1,0)+1,FALSE)</f>
        <v>検証</v>
      </c>
      <c r="E83" s="81" t="s">
        <v>216</v>
      </c>
      <c r="F83" s="77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77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79">
        <v>0</v>
      </c>
      <c r="I83" s="92">
        <v>28</v>
      </c>
      <c r="J83" s="78" t="s">
        <v>196</v>
      </c>
      <c r="K83" s="88" t="str">
        <f>VLOOKUP(I83,[9]stage_hints!$A:$C,3,FALSE)</f>
        <v>ステータス情報は長押しで</v>
      </c>
      <c r="L83" s="89" t="str">
        <f>VLOOKUP(I83,[9]stage_hints!$A:$D,4,FALSE)</f>
        <v>ユニットのアイコンを長押しすると_x000D_ステータス情報を確認することができます</v>
      </c>
      <c r="M83" s="52" t="s">
        <v>211</v>
      </c>
    </row>
    <row r="84" spans="1:13" x14ac:dyDescent="0.15">
      <c r="A84" s="75" t="s">
        <v>199</v>
      </c>
      <c r="B84" s="76">
        <f>floors!$C$2</f>
        <v>65535</v>
      </c>
      <c r="C84" s="77" t="str">
        <f ca="1">VLOOKUP($B84,OFFSET([2]quests!$A$1,0,0,COUNTA([2]quests!$A:$A),MATCH(C$1,[2]quests!$1:$1,0)-MATCH($B$1,[2]quests!$1:$1,0)+1),MATCH(C$1,[2]quests!$1:$1,0)-MATCH($B$1,[2]quests!$1:$1,0)+1,FALSE)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4" s="77" t="str">
        <f ca="1">VLOOKUP($B84,OFFSET([2]quests!$A$1,0,0,COUNTA([2]quests!$A:$A),MATCH(D$1,[2]quests!$1:$1,0)-MATCH($B$1,[2]quests!$1:$1,0)+1),MATCH(D$1,[2]quests!$1:$1,0)-MATCH($B$1,[2]quests!$1:$1,0)+1,FALSE)</f>
        <v>検証</v>
      </c>
      <c r="E84" s="81" t="s">
        <v>216</v>
      </c>
      <c r="F84" s="77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77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79">
        <v>0</v>
      </c>
      <c r="I84" s="92">
        <v>29</v>
      </c>
      <c r="J84" s="78" t="s">
        <v>196</v>
      </c>
      <c r="K84" s="88" t="str">
        <f>VLOOKUP(I84,[9]stage_hints!$A:$C,3,FALSE)</f>
        <v>「バグ」のメリット</v>
      </c>
      <c r="L84" s="89" t="str">
        <f>VLOOKUP(I84,[9]stage_hints!$A:$D,4,FALSE)</f>
        <v>ユニットの「バグ」を増やすと_x000D_報酬をもらえる確率がアップします</v>
      </c>
      <c r="M84" s="52" t="s">
        <v>211</v>
      </c>
    </row>
    <row r="85" spans="1:13" x14ac:dyDescent="0.15">
      <c r="A85" s="75" t="s">
        <v>199</v>
      </c>
      <c r="B85" s="76">
        <f>floors!$C$2</f>
        <v>65535</v>
      </c>
      <c r="C85" s="77" t="str">
        <f ca="1">VLOOKUP($B85,OFFSET([2]quests!$A$1,0,0,COUNTA([2]quests!$A:$A),MATCH(C$1,[2]quests!$1:$1,0)-MATCH($B$1,[2]quests!$1:$1,0)+1),MATCH(C$1,[2]quests!$1:$1,0)-MATCH($B$1,[2]quests!$1:$1,0)+1,FALSE)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5" s="77" t="str">
        <f ca="1">VLOOKUP($B85,OFFSET([2]quests!$A$1,0,0,COUNTA([2]quests!$A:$A),MATCH(D$1,[2]quests!$1:$1,0)-MATCH($B$1,[2]quests!$1:$1,0)+1),MATCH(D$1,[2]quests!$1:$1,0)-MATCH($B$1,[2]quests!$1:$1,0)+1,FALSE)</f>
        <v>検証</v>
      </c>
      <c r="E85" s="81" t="s">
        <v>216</v>
      </c>
      <c r="F85" s="77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77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79">
        <v>0</v>
      </c>
      <c r="I85" s="92">
        <v>30</v>
      </c>
      <c r="J85" s="78" t="s">
        <v>196</v>
      </c>
      <c r="K85" s="88" t="str">
        <f>VLOOKUP(I85,[9]stage_hints!$A:$C,3,FALSE)</f>
        <v>「バグ」の増やし方</v>
      </c>
      <c r="L85" s="89" t="str">
        <f>VLOOKUP(I85,[9]stage_hints!$A:$D,4,FALSE)</f>
        <v>同じユニット同士を強化で合成すると_x000D_「バグ」を増やすことができます</v>
      </c>
      <c r="M85" s="52" t="s">
        <v>211</v>
      </c>
    </row>
    <row r="86" spans="1:13" x14ac:dyDescent="0.15">
      <c r="A86" s="75" t="s">
        <v>199</v>
      </c>
      <c r="B86" s="76">
        <f>floors!$C$2</f>
        <v>65535</v>
      </c>
      <c r="C86" s="77" t="str">
        <f ca="1">VLOOKUP($B86,OFFSET([2]quests!$A$1,0,0,COUNTA([2]quests!$A:$A),MATCH(C$1,[2]quests!$1:$1,0)-MATCH($B$1,[2]quests!$1:$1,0)+1),MATCH(C$1,[2]quests!$1:$1,0)-MATCH($B$1,[2]quests!$1:$1,0)+1,FALSE)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6" s="77" t="str">
        <f ca="1">VLOOKUP($B86,OFFSET([2]quests!$A$1,0,0,COUNTA([2]quests!$A:$A),MATCH(D$1,[2]quests!$1:$1,0)-MATCH($B$1,[2]quests!$1:$1,0)+1),MATCH(D$1,[2]quests!$1:$1,0)-MATCH($B$1,[2]quests!$1:$1,0)+1,FALSE)</f>
        <v>検証</v>
      </c>
      <c r="E86" s="81" t="s">
        <v>216</v>
      </c>
      <c r="F86" s="77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77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79">
        <v>0</v>
      </c>
      <c r="I86" s="92">
        <v>31</v>
      </c>
      <c r="J86" s="78" t="s">
        <v>196</v>
      </c>
      <c r="K86" s="88" t="str">
        <f>VLOOKUP(I86,[9]stage_hints!$A:$C,3,FALSE)</f>
        <v>イベントはお知らせでチェック</v>
      </c>
      <c r="L86" s="89" t="str">
        <f>VLOOKUP(I86,[9]stage_hints!$A:$D,4,FALSE)</f>
        <v>イベント限定ユニットを取り忘れないように_x000D_お知らせをこまめにチェックしましょう</v>
      </c>
      <c r="M86" s="52" t="s">
        <v>211</v>
      </c>
    </row>
    <row r="87" spans="1:13" x14ac:dyDescent="0.15">
      <c r="A87" s="75" t="s">
        <v>199</v>
      </c>
      <c r="B87" s="76">
        <f>floors!$C$2</f>
        <v>65535</v>
      </c>
      <c r="C87" s="77" t="str">
        <f ca="1">VLOOKUP($B87,OFFSET([2]quests!$A$1,0,0,COUNTA([2]quests!$A:$A),MATCH(C$1,[2]quests!$1:$1,0)-MATCH($B$1,[2]quests!$1:$1,0)+1),MATCH(C$1,[2]quests!$1:$1,0)-MATCH($B$1,[2]quests!$1:$1,0)+1,FALSE)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7" s="77" t="str">
        <f ca="1">VLOOKUP($B87,OFFSET([2]quests!$A$1,0,0,COUNTA([2]quests!$A:$A),MATCH(D$1,[2]quests!$1:$1,0)-MATCH($B$1,[2]quests!$1:$1,0)+1),MATCH(D$1,[2]quests!$1:$1,0)-MATCH($B$1,[2]quests!$1:$1,0)+1,FALSE)</f>
        <v>検証</v>
      </c>
      <c r="E87" s="81" t="s">
        <v>216</v>
      </c>
      <c r="F87" s="77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77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79">
        <v>0</v>
      </c>
      <c r="I87" s="92">
        <v>32</v>
      </c>
      <c r="J87" s="78" t="s">
        <v>196</v>
      </c>
      <c r="K87" s="88" t="str">
        <f>VLOOKUP(I87,[9]stage_hints!$A:$C,3,FALSE)</f>
        <v>敵の連続攻撃には</v>
      </c>
      <c r="L87" s="89" t="str">
        <f>VLOOKUP(I87,[9]stage_hints!$A:$D,4,FALSE)</f>
        <v>カウンタースキルを持つユニットがいれば_x000D_ダメージ回数分の反撃ができます</v>
      </c>
      <c r="M87" s="52" t="s">
        <v>211</v>
      </c>
    </row>
    <row r="88" spans="1:13" x14ac:dyDescent="0.15">
      <c r="A88" s="75" t="s">
        <v>199</v>
      </c>
      <c r="B88" s="76">
        <f>floors!$C$2</f>
        <v>65535</v>
      </c>
      <c r="C88" s="77" t="str">
        <f ca="1">VLOOKUP($B88,OFFSET([2]quests!$A$1,0,0,COUNTA([2]quests!$A:$A),MATCH(C$1,[2]quests!$1:$1,0)-MATCH($B$1,[2]quests!$1:$1,0)+1),MATCH(C$1,[2]quests!$1:$1,0)-MATCH($B$1,[2]quests!$1:$1,0)+1,FALSE)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8" s="77" t="str">
        <f ca="1">VLOOKUP($B88,OFFSET([2]quests!$A$1,0,0,COUNTA([2]quests!$A:$A),MATCH(D$1,[2]quests!$1:$1,0)-MATCH($B$1,[2]quests!$1:$1,0)+1),MATCH(D$1,[2]quests!$1:$1,0)-MATCH($B$1,[2]quests!$1:$1,0)+1,FALSE)</f>
        <v>検証</v>
      </c>
      <c r="E88" s="81" t="s">
        <v>216</v>
      </c>
      <c r="F88" s="77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77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79">
        <v>0</v>
      </c>
      <c r="I88" s="92">
        <v>33</v>
      </c>
      <c r="J88" s="78" t="s">
        <v>196</v>
      </c>
      <c r="K88" s="88" t="str">
        <f>VLOOKUP(I88,[9]stage_hints!$A:$C,3,FALSE)</f>
        <v>敵のカウンター攻撃には</v>
      </c>
      <c r="L88" s="89" t="str">
        <f>VLOOKUP(I88,[9]stage_hints!$A:$D,4,FALSE)</f>
        <v>カウンターブレイクスキルを持っていれば_x000D_敵のカウンターを解除して攻撃ができます</v>
      </c>
      <c r="M88" s="52" t="s">
        <v>211</v>
      </c>
    </row>
    <row r="89" spans="1:13" x14ac:dyDescent="0.15">
      <c r="A89" s="75" t="s">
        <v>199</v>
      </c>
      <c r="B89" s="76">
        <f>floors!$C$2</f>
        <v>65535</v>
      </c>
      <c r="C89" s="77" t="str">
        <f ca="1">VLOOKUP($B89,OFFSET([2]quests!$A$1,0,0,COUNTA([2]quests!$A:$A),MATCH(C$1,[2]quests!$1:$1,0)-MATCH($B$1,[2]quests!$1:$1,0)+1),MATCH(C$1,[2]quests!$1:$1,0)-MATCH($B$1,[2]quests!$1:$1,0)+1,FALSE)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89" s="77" t="str">
        <f ca="1">VLOOKUP($B89,OFFSET([2]quests!$A$1,0,0,COUNTA([2]quests!$A:$A),MATCH(D$1,[2]quests!$1:$1,0)-MATCH($B$1,[2]quests!$1:$1,0)+1),MATCH(D$1,[2]quests!$1:$1,0)-MATCH($B$1,[2]quests!$1:$1,0)+1,FALSE)</f>
        <v>検証</v>
      </c>
      <c r="E89" s="81" t="s">
        <v>216</v>
      </c>
      <c r="F89" s="77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77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79">
        <v>0</v>
      </c>
      <c r="I89" s="92">
        <v>34</v>
      </c>
      <c r="J89" s="78" t="s">
        <v>196</v>
      </c>
      <c r="K89" s="88" t="str">
        <f>VLOOKUP(I89,[9]stage_hints!$A:$C,3,FALSE)</f>
        <v>ステータスをスキルで下げられたら</v>
      </c>
      <c r="L89" s="89" t="str">
        <f>VLOOKUP(I89,[9]stage_hints!$A:$D,4,FALSE)</f>
        <v>ステータスダウンのスキルを受けたら_x000D_ステータスアップスキルで上書きしましょう</v>
      </c>
      <c r="M89" s="52" t="s">
        <v>211</v>
      </c>
    </row>
    <row r="90" spans="1:13" x14ac:dyDescent="0.15">
      <c r="A90" s="75" t="s">
        <v>199</v>
      </c>
      <c r="B90" s="76">
        <f>floors!$C$2</f>
        <v>65535</v>
      </c>
      <c r="C90" s="77" t="str">
        <f ca="1">VLOOKUP($B90,OFFSET([2]quests!$A$1,0,0,COUNTA([2]quests!$A:$A),MATCH(C$1,[2]quests!$1:$1,0)-MATCH($B$1,[2]quests!$1:$1,0)+1),MATCH(C$1,[2]quests!$1:$1,0)-MATCH($B$1,[2]quests!$1:$1,0)+1,FALSE)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0" s="77" t="str">
        <f ca="1">VLOOKUP($B90,OFFSET([2]quests!$A$1,0,0,COUNTA([2]quests!$A:$A),MATCH(D$1,[2]quests!$1:$1,0)-MATCH($B$1,[2]quests!$1:$1,0)+1),MATCH(D$1,[2]quests!$1:$1,0)-MATCH($B$1,[2]quests!$1:$1,0)+1,FALSE)</f>
        <v>検証</v>
      </c>
      <c r="E90" s="81" t="s">
        <v>216</v>
      </c>
      <c r="F90" s="77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77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79">
        <v>0</v>
      </c>
      <c r="I90" s="92">
        <v>35</v>
      </c>
      <c r="J90" s="78" t="s">
        <v>196</v>
      </c>
      <c r="K90" s="88" t="str">
        <f>VLOOKUP(I90,[9]stage_hints!$A:$C,3,FALSE)</f>
        <v>敵のステータスがスキルで上がったら</v>
      </c>
      <c r="L90" s="89" t="str">
        <f>VLOOKUP(I90,[9]stage_hints!$A:$D,4,FALSE)</f>
        <v>敵のステータスがスキルでアップしたときは_x000D_ステータスダウンスキルで上書きしましょう</v>
      </c>
      <c r="M90" s="52" t="s">
        <v>211</v>
      </c>
    </row>
    <row r="91" spans="1:13" x14ac:dyDescent="0.15">
      <c r="A91" s="75" t="s">
        <v>199</v>
      </c>
      <c r="B91" s="76">
        <f>floors!$C$2</f>
        <v>65535</v>
      </c>
      <c r="C91" s="77" t="str">
        <f ca="1">VLOOKUP($B91,OFFSET([2]quests!$A$1,0,0,COUNTA([2]quests!$A:$A),MATCH(C$1,[2]quests!$1:$1,0)-MATCH($B$1,[2]quests!$1:$1,0)+1),MATCH(C$1,[2]quests!$1:$1,0)-MATCH($B$1,[2]quests!$1:$1,0)+1,FALSE)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1" s="77" t="str">
        <f ca="1">VLOOKUP($B91,OFFSET([2]quests!$A$1,0,0,COUNTA([2]quests!$A:$A),MATCH(D$1,[2]quests!$1:$1,0)-MATCH($B$1,[2]quests!$1:$1,0)+1),MATCH(D$1,[2]quests!$1:$1,0)-MATCH($B$1,[2]quests!$1:$1,0)+1,FALSE)</f>
        <v>検証</v>
      </c>
      <c r="E91" s="81" t="s">
        <v>216</v>
      </c>
      <c r="F91" s="77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77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79">
        <v>0</v>
      </c>
      <c r="I91" s="92">
        <v>36</v>
      </c>
      <c r="J91" s="78" t="s">
        <v>196</v>
      </c>
      <c r="K91" s="88" t="str">
        <f>VLOOKUP(I91,[9]stage_hints!$A:$C,3,FALSE)</f>
        <v>チャレンジタワーのボス</v>
      </c>
      <c r="L91" s="89" t="str">
        <f>VLOOKUP(I91,[9]stage_hints!$A:$D,4,FALSE)</f>
        <v>チャレンジタワーでのみ登場するボスは_x000D_一定確率で獲得することができます</v>
      </c>
      <c r="M91" s="52" t="s">
        <v>211</v>
      </c>
    </row>
    <row r="92" spans="1:13" x14ac:dyDescent="0.15">
      <c r="A92" s="75" t="s">
        <v>199</v>
      </c>
      <c r="B92" s="76">
        <f>floors!$C$2</f>
        <v>65535</v>
      </c>
      <c r="C92" s="77" t="str">
        <f ca="1">VLOOKUP($B92,OFFSET([2]quests!$A$1,0,0,COUNTA([2]quests!$A:$A),MATCH(C$1,[2]quests!$1:$1,0)-MATCH($B$1,[2]quests!$1:$1,0)+1),MATCH(C$1,[2]quests!$1:$1,0)-MATCH($B$1,[2]quests!$1:$1,0)+1,FALSE)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2" s="77" t="str">
        <f ca="1">VLOOKUP($B92,OFFSET([2]quests!$A$1,0,0,COUNTA([2]quests!$A:$A),MATCH(D$1,[2]quests!$1:$1,0)-MATCH($B$1,[2]quests!$1:$1,0)+1),MATCH(D$1,[2]quests!$1:$1,0)-MATCH($B$1,[2]quests!$1:$1,0)+1,FALSE)</f>
        <v>検証</v>
      </c>
      <c r="E92" s="81" t="s">
        <v>216</v>
      </c>
      <c r="F92" s="77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77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79">
        <v>0</v>
      </c>
      <c r="I92" s="92">
        <v>37</v>
      </c>
      <c r="J92" s="78" t="s">
        <v>196</v>
      </c>
      <c r="K92" s="88" t="str">
        <f>VLOOKUP(I92,[9]stage_hints!$A:$C,3,FALSE)</f>
        <v>限界突破値の引き継ぎ</v>
      </c>
      <c r="L92" s="89" t="str">
        <f>VLOOKUP(I92,[9]stage_hints!$A:$D,4,FALSE)</f>
        <v>同じユニットを強化で合成すると_x000D_限界突破値を引き継げます（覚醒前後も可）</v>
      </c>
      <c r="M92" s="52" t="s">
        <v>211</v>
      </c>
    </row>
    <row r="93" spans="1:13" x14ac:dyDescent="0.15">
      <c r="A93" s="75" t="s">
        <v>199</v>
      </c>
      <c r="B93" s="76">
        <f>floors!$C$2</f>
        <v>65535</v>
      </c>
      <c r="C93" s="77" t="str">
        <f ca="1">VLOOKUP($B93,OFFSET([2]quests!$A$1,0,0,COUNTA([2]quests!$A:$A),MATCH(C$1,[2]quests!$1:$1,0)-MATCH($B$1,[2]quests!$1:$1,0)+1),MATCH(C$1,[2]quests!$1:$1,0)-MATCH($B$1,[2]quests!$1:$1,0)+1,FALSE)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3" s="77" t="str">
        <f ca="1">VLOOKUP($B93,OFFSET([2]quests!$A$1,0,0,COUNTA([2]quests!$A:$A),MATCH(D$1,[2]quests!$1:$1,0)-MATCH($B$1,[2]quests!$1:$1,0)+1),MATCH(D$1,[2]quests!$1:$1,0)-MATCH($B$1,[2]quests!$1:$1,0)+1,FALSE)</f>
        <v>検証</v>
      </c>
      <c r="E93" s="81" t="s">
        <v>216</v>
      </c>
      <c r="F93" s="77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77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79">
        <v>0</v>
      </c>
      <c r="I93" s="92">
        <v>39</v>
      </c>
      <c r="J93" s="78" t="s">
        <v>196</v>
      </c>
      <c r="K93" s="88" t="str">
        <f>VLOOKUP(I93,[9]stage_hints!$A:$C,3,FALSE)</f>
        <v>システム適合者を確認</v>
      </c>
      <c r="L93" s="89" t="str">
        <f>VLOOKUP(I93,[9]stage_hints!$A:$D,4,FALSE)</f>
        <v>ALICEが「アナタ」を呼んでいます</v>
      </c>
      <c r="M93" s="52" t="s">
        <v>211</v>
      </c>
    </row>
    <row r="94" spans="1:13" x14ac:dyDescent="0.15">
      <c r="A94" s="75" t="s">
        <v>199</v>
      </c>
      <c r="B94" s="76">
        <f>floors!$C$2</f>
        <v>65535</v>
      </c>
      <c r="C94" s="77" t="str">
        <f ca="1">VLOOKUP($B94,OFFSET([2]quests!$A$1,0,0,COUNTA([2]quests!$A:$A),MATCH(C$1,[2]quests!$1:$1,0)-MATCH($B$1,[2]quests!$1:$1,0)+1),MATCH(C$1,[2]quests!$1:$1,0)-MATCH($B$1,[2]quests!$1:$1,0)+1,FALSE)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4" s="77" t="str">
        <f ca="1">VLOOKUP($B94,OFFSET([2]quests!$A$1,0,0,COUNTA([2]quests!$A:$A),MATCH(D$1,[2]quests!$1:$1,0)-MATCH($B$1,[2]quests!$1:$1,0)+1),MATCH(D$1,[2]quests!$1:$1,0)-MATCH($B$1,[2]quests!$1:$1,0)+1,FALSE)</f>
        <v>検証</v>
      </c>
      <c r="E94" s="81" t="s">
        <v>217</v>
      </c>
      <c r="F94" s="77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77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79">
        <v>0</v>
      </c>
      <c r="I94">
        <v>12</v>
      </c>
      <c r="J94" s="78" t="s">
        <v>196</v>
      </c>
      <c r="K94" s="88" t="str">
        <f>VLOOKUP(I94,[9]stage_hints!$A:$C,3,FALSE)</f>
        <v>ユニットのお気に入り登録</v>
      </c>
      <c r="L94" s="89" t="str">
        <f>VLOOKUP(I94,[9]stage_hints!$A:$D,4,FALSE)</f>
        <v>大事なユニットを誤って消さないように_x000D_フォルダから「お気に入り登録」しましょう</v>
      </c>
      <c r="M94" s="52" t="s">
        <v>211</v>
      </c>
    </row>
    <row r="95" spans="1:13" x14ac:dyDescent="0.15">
      <c r="A95" s="75" t="s">
        <v>199</v>
      </c>
      <c r="B95" s="76">
        <f>floors!$C$2</f>
        <v>65535</v>
      </c>
      <c r="C95" s="77" t="str">
        <f ca="1">VLOOKUP($B95,OFFSET([2]quests!$A$1,0,0,COUNTA([2]quests!$A:$A),MATCH(C$1,[2]quests!$1:$1,0)-MATCH($B$1,[2]quests!$1:$1,0)+1),MATCH(C$1,[2]quests!$1:$1,0)-MATCH($B$1,[2]quests!$1:$1,0)+1,FALSE)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5" s="77" t="str">
        <f ca="1">VLOOKUP($B95,OFFSET([2]quests!$A$1,0,0,COUNTA([2]quests!$A:$A),MATCH(D$1,[2]quests!$1:$1,0)-MATCH($B$1,[2]quests!$1:$1,0)+1),MATCH(D$1,[2]quests!$1:$1,0)-MATCH($B$1,[2]quests!$1:$1,0)+1,FALSE)</f>
        <v>検証</v>
      </c>
      <c r="E95" s="81" t="s">
        <v>217</v>
      </c>
      <c r="F95" s="77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77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79">
        <v>0</v>
      </c>
      <c r="I95">
        <v>17</v>
      </c>
      <c r="J95" s="78" t="s">
        <v>196</v>
      </c>
      <c r="K95" s="88" t="str">
        <f>VLOOKUP(I95,[9]stage_hints!$A:$C,3,FALSE)</f>
        <v>リンクガチャ</v>
      </c>
      <c r="L95" s="89" t="str">
        <f>VLOOKUP(I95,[9]stage_hints!$A:$D,4,FALSE)</f>
        <v>無料のリンクガチャを回して_x000D_経験値素材や売却素材を獲得しましょう</v>
      </c>
      <c r="M95" s="52" t="s">
        <v>211</v>
      </c>
    </row>
    <row r="96" spans="1:13" x14ac:dyDescent="0.15">
      <c r="A96" s="75" t="s">
        <v>199</v>
      </c>
      <c r="B96" s="76">
        <f>floors!$C$2</f>
        <v>65535</v>
      </c>
      <c r="C96" s="77" t="str">
        <f ca="1">VLOOKUP($B96,OFFSET([2]quests!$A$1,0,0,COUNTA([2]quests!$A:$A),MATCH(C$1,[2]quests!$1:$1,0)-MATCH($B$1,[2]quests!$1:$1,0)+1),MATCH(C$1,[2]quests!$1:$1,0)-MATCH($B$1,[2]quests!$1:$1,0)+1,FALSE)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6" s="77" t="str">
        <f ca="1">VLOOKUP($B96,OFFSET([2]quests!$A$1,0,0,COUNTA([2]quests!$A:$A),MATCH(D$1,[2]quests!$1:$1,0)-MATCH($B$1,[2]quests!$1:$1,0)+1),MATCH(D$1,[2]quests!$1:$1,0)-MATCH($B$1,[2]quests!$1:$1,0)+1,FALSE)</f>
        <v>検証</v>
      </c>
      <c r="E96" s="81" t="s">
        <v>217</v>
      </c>
      <c r="F96" s="77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77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79">
        <v>0</v>
      </c>
      <c r="I96">
        <v>19</v>
      </c>
      <c r="J96" s="78" t="s">
        <v>196</v>
      </c>
      <c r="K96" s="88" t="str">
        <f>VLOOKUP(I96,[9]stage_hints!$A:$C,3,FALSE)</f>
        <v>ソロ専用チャレンジタワー</v>
      </c>
      <c r="L96" s="89" t="str">
        <f>VLOOKUP(I96,[9]stage_hints!$A:$D,4,FALSE)</f>
        <v>ソロ専用の「チャレンジタワー」では_x000D_各フロアごとにクリア報酬がもらえます</v>
      </c>
      <c r="M96" s="52" t="s">
        <v>211</v>
      </c>
    </row>
    <row r="97" spans="1:13" x14ac:dyDescent="0.15">
      <c r="A97" s="75" t="s">
        <v>199</v>
      </c>
      <c r="B97" s="76">
        <f>floors!$C$2</f>
        <v>65535</v>
      </c>
      <c r="C97" s="77" t="str">
        <f ca="1">VLOOKUP($B97,OFFSET([2]quests!$A$1,0,0,COUNTA([2]quests!$A:$A),MATCH(C$1,[2]quests!$1:$1,0)-MATCH($B$1,[2]quests!$1:$1,0)+1),MATCH(C$1,[2]quests!$1:$1,0)-MATCH($B$1,[2]quests!$1:$1,0)+1,FALSE)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7" s="77" t="str">
        <f ca="1">VLOOKUP($B97,OFFSET([2]quests!$A$1,0,0,COUNTA([2]quests!$A:$A),MATCH(D$1,[2]quests!$1:$1,0)-MATCH($B$1,[2]quests!$1:$1,0)+1),MATCH(D$1,[2]quests!$1:$1,0)-MATCH($B$1,[2]quests!$1:$1,0)+1,FALSE)</f>
        <v>検証</v>
      </c>
      <c r="E97" s="81" t="s">
        <v>217</v>
      </c>
      <c r="F97" s="77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77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79">
        <v>0</v>
      </c>
      <c r="I97">
        <v>21</v>
      </c>
      <c r="J97" s="78" t="s">
        <v>196</v>
      </c>
      <c r="K97" s="88" t="str">
        <f>VLOOKUP(I97,[9]stage_hints!$A:$C,3,FALSE)</f>
        <v>スキルを有効に</v>
      </c>
      <c r="L97" s="89" t="str">
        <f>VLOOKUP(I97,[9]stage_hints!$A:$D,4,FALSE)</f>
        <v>ターン経過でユニットのスキルが使えます_x000D_強力スキルでバトルを有利に進めましょう</v>
      </c>
      <c r="M97" s="52" t="s">
        <v>211</v>
      </c>
    </row>
    <row r="98" spans="1:13" x14ac:dyDescent="0.15">
      <c r="A98" s="75" t="s">
        <v>199</v>
      </c>
      <c r="B98" s="76">
        <f>floors!$C$2</f>
        <v>65535</v>
      </c>
      <c r="C98" s="77" t="str">
        <f ca="1">VLOOKUP($B98,OFFSET([2]quests!$A$1,0,0,COUNTA([2]quests!$A:$A),MATCH(C$1,[2]quests!$1:$1,0)-MATCH($B$1,[2]quests!$1:$1,0)+1),MATCH(C$1,[2]quests!$1:$1,0)-MATCH($B$1,[2]quests!$1:$1,0)+1,FALSE)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8" s="77" t="str">
        <f ca="1">VLOOKUP($B98,OFFSET([2]quests!$A$1,0,0,COUNTA([2]quests!$A:$A),MATCH(D$1,[2]quests!$1:$1,0)-MATCH($B$1,[2]quests!$1:$1,0)+1),MATCH(D$1,[2]quests!$1:$1,0)-MATCH($B$1,[2]quests!$1:$1,0)+1,FALSE)</f>
        <v>検証</v>
      </c>
      <c r="E98" s="81" t="s">
        <v>217</v>
      </c>
      <c r="F98" s="77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77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79">
        <v>0</v>
      </c>
      <c r="I98">
        <v>27</v>
      </c>
      <c r="J98" s="78" t="s">
        <v>196</v>
      </c>
      <c r="K98" s="88" t="str">
        <f>VLOOKUP(I98,[9]stage_hints!$A:$C,3,FALSE)</f>
        <v>ホーム画面からデッキを編成</v>
      </c>
      <c r="L98" s="89" t="str">
        <f>VLOOKUP(I98,[9]stage_hints!$A:$D,4,FALSE)</f>
        <v>ホーム画面でユニットを長押しすると_x000D_すぐにパーティ編成に移動できます</v>
      </c>
      <c r="M98" s="52" t="s">
        <v>211</v>
      </c>
    </row>
    <row r="99" spans="1:13" x14ac:dyDescent="0.15">
      <c r="A99" s="75" t="s">
        <v>199</v>
      </c>
      <c r="B99" s="76">
        <f>floors!$C$2</f>
        <v>65535</v>
      </c>
      <c r="C99" s="77" t="str">
        <f ca="1">VLOOKUP($B99,OFFSET([2]quests!$A$1,0,0,COUNTA([2]quests!$A:$A),MATCH(C$1,[2]quests!$1:$1,0)-MATCH($B$1,[2]quests!$1:$1,0)+1),MATCH(C$1,[2]quests!$1:$1,0)-MATCH($B$1,[2]quests!$1:$1,0)+1,FALSE)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99" s="77" t="str">
        <f ca="1">VLOOKUP($B99,OFFSET([2]quests!$A$1,0,0,COUNTA([2]quests!$A:$A),MATCH(D$1,[2]quests!$1:$1,0)-MATCH($B$1,[2]quests!$1:$1,0)+1),MATCH(D$1,[2]quests!$1:$1,0)-MATCH($B$1,[2]quests!$1:$1,0)+1,FALSE)</f>
        <v>検証</v>
      </c>
      <c r="E99" s="81" t="s">
        <v>217</v>
      </c>
      <c r="F99" s="77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77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79">
        <v>0</v>
      </c>
      <c r="I99">
        <v>28</v>
      </c>
      <c r="J99" s="78" t="s">
        <v>196</v>
      </c>
      <c r="K99" s="88" t="str">
        <f>VLOOKUP(I99,[9]stage_hints!$A:$C,3,FALSE)</f>
        <v>ステータス情報は長押しで</v>
      </c>
      <c r="L99" s="89" t="str">
        <f>VLOOKUP(I99,[9]stage_hints!$A:$D,4,FALSE)</f>
        <v>ユニットのアイコンを長押しすると_x000D_ステータス情報を確認することができます</v>
      </c>
      <c r="M99" s="52" t="s">
        <v>211</v>
      </c>
    </row>
    <row r="100" spans="1:13" x14ac:dyDescent="0.15">
      <c r="A100" s="75" t="s">
        <v>199</v>
      </c>
      <c r="B100" s="76">
        <f>floors!$C$2</f>
        <v>65535</v>
      </c>
      <c r="C100" s="77" t="str">
        <f ca="1">VLOOKUP($B100,OFFSET([2]quests!$A$1,0,0,COUNTA([2]quests!$A:$A),MATCH(C$1,[2]quests!$1:$1,0)-MATCH($B$1,[2]quests!$1:$1,0)+1),MATCH(C$1,[2]quests!$1:$1,0)-MATCH($B$1,[2]quests!$1:$1,0)+1,FALSE)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0" s="77" t="str">
        <f ca="1">VLOOKUP($B100,OFFSET([2]quests!$A$1,0,0,COUNTA([2]quests!$A:$A),MATCH(D$1,[2]quests!$1:$1,0)-MATCH($B$1,[2]quests!$1:$1,0)+1),MATCH(D$1,[2]quests!$1:$1,0)-MATCH($B$1,[2]quests!$1:$1,0)+1,FALSE)</f>
        <v>検証</v>
      </c>
      <c r="E100" s="81" t="s">
        <v>217</v>
      </c>
      <c r="F100" s="77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77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79">
        <v>0</v>
      </c>
      <c r="I100">
        <v>29</v>
      </c>
      <c r="J100" s="78" t="s">
        <v>196</v>
      </c>
      <c r="K100" s="88" t="str">
        <f>VLOOKUP(I100,[9]stage_hints!$A:$C,3,FALSE)</f>
        <v>「バグ」のメリット</v>
      </c>
      <c r="L100" s="89" t="str">
        <f>VLOOKUP(I100,[9]stage_hints!$A:$D,4,FALSE)</f>
        <v>ユニットの「バグ」を増やすと_x000D_報酬をもらえる確率がアップします</v>
      </c>
      <c r="M100" s="52" t="s">
        <v>211</v>
      </c>
    </row>
    <row r="101" spans="1:13" x14ac:dyDescent="0.15">
      <c r="A101" s="75" t="s">
        <v>199</v>
      </c>
      <c r="B101" s="76">
        <f>floors!$C$2</f>
        <v>65535</v>
      </c>
      <c r="C101" s="77" t="str">
        <f ca="1">VLOOKUP($B101,OFFSET([2]quests!$A$1,0,0,COUNTA([2]quests!$A:$A),MATCH(C$1,[2]quests!$1:$1,0)-MATCH($B$1,[2]quests!$1:$1,0)+1),MATCH(C$1,[2]quests!$1:$1,0)-MATCH($B$1,[2]quests!$1:$1,0)+1,FALSE)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1" s="77" t="str">
        <f ca="1">VLOOKUP($B101,OFFSET([2]quests!$A$1,0,0,COUNTA([2]quests!$A:$A),MATCH(D$1,[2]quests!$1:$1,0)-MATCH($B$1,[2]quests!$1:$1,0)+1),MATCH(D$1,[2]quests!$1:$1,0)-MATCH($B$1,[2]quests!$1:$1,0)+1,FALSE)</f>
        <v>検証</v>
      </c>
      <c r="E101" s="81" t="s">
        <v>217</v>
      </c>
      <c r="F101" s="77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77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79">
        <v>0</v>
      </c>
      <c r="I101">
        <v>30</v>
      </c>
      <c r="J101" s="78" t="s">
        <v>196</v>
      </c>
      <c r="K101" s="88" t="str">
        <f>VLOOKUP(I101,[9]stage_hints!$A:$C,3,FALSE)</f>
        <v>「バグ」の増やし方</v>
      </c>
      <c r="L101" s="89" t="str">
        <f>VLOOKUP(I101,[9]stage_hints!$A:$D,4,FALSE)</f>
        <v>同じユニット同士を強化で合成すると_x000D_「バグ」を増やすことができます</v>
      </c>
      <c r="M101" s="52" t="s">
        <v>211</v>
      </c>
    </row>
    <row r="102" spans="1:13" x14ac:dyDescent="0.15">
      <c r="A102" s="75" t="s">
        <v>199</v>
      </c>
      <c r="B102" s="76">
        <f>floors!$C$2</f>
        <v>65535</v>
      </c>
      <c r="C102" s="77" t="str">
        <f ca="1">VLOOKUP($B102,OFFSET([2]quests!$A$1,0,0,COUNTA([2]quests!$A:$A),MATCH(C$1,[2]quests!$1:$1,0)-MATCH($B$1,[2]quests!$1:$1,0)+1),MATCH(C$1,[2]quests!$1:$1,0)-MATCH($B$1,[2]quests!$1:$1,0)+1,FALSE)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2" s="77" t="str">
        <f ca="1">VLOOKUP($B102,OFFSET([2]quests!$A$1,0,0,COUNTA([2]quests!$A:$A),MATCH(D$1,[2]quests!$1:$1,0)-MATCH($B$1,[2]quests!$1:$1,0)+1),MATCH(D$1,[2]quests!$1:$1,0)-MATCH($B$1,[2]quests!$1:$1,0)+1,FALSE)</f>
        <v>検証</v>
      </c>
      <c r="E102" s="81" t="s">
        <v>217</v>
      </c>
      <c r="F102" s="77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77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79">
        <v>0</v>
      </c>
      <c r="I102">
        <v>32</v>
      </c>
      <c r="J102" s="78" t="s">
        <v>196</v>
      </c>
      <c r="K102" s="88" t="str">
        <f>VLOOKUP(I102,[9]stage_hints!$A:$C,3,FALSE)</f>
        <v>敵の連続攻撃には</v>
      </c>
      <c r="L102" s="89" t="str">
        <f>VLOOKUP(I102,[9]stage_hints!$A:$D,4,FALSE)</f>
        <v>カウンタースキルを持つユニットがいれば_x000D_ダメージ回数分の反撃ができます</v>
      </c>
      <c r="M102" s="52" t="s">
        <v>211</v>
      </c>
    </row>
    <row r="103" spans="1:13" x14ac:dyDescent="0.15">
      <c r="A103" s="75" t="s">
        <v>199</v>
      </c>
      <c r="B103" s="76">
        <f>floors!$C$2</f>
        <v>65535</v>
      </c>
      <c r="C103" s="77" t="str">
        <f ca="1">VLOOKUP($B103,OFFSET([2]quests!$A$1,0,0,COUNTA([2]quests!$A:$A),MATCH(C$1,[2]quests!$1:$1,0)-MATCH($B$1,[2]quests!$1:$1,0)+1),MATCH(C$1,[2]quests!$1:$1,0)-MATCH($B$1,[2]quests!$1:$1,0)+1,FALSE)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3" s="77" t="str">
        <f ca="1">VLOOKUP($B103,OFFSET([2]quests!$A$1,0,0,COUNTA([2]quests!$A:$A),MATCH(D$1,[2]quests!$1:$1,0)-MATCH($B$1,[2]quests!$1:$1,0)+1),MATCH(D$1,[2]quests!$1:$1,0)-MATCH($B$1,[2]quests!$1:$1,0)+1,FALSE)</f>
        <v>検証</v>
      </c>
      <c r="E103" s="81" t="s">
        <v>217</v>
      </c>
      <c r="F103" s="77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77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79">
        <v>0</v>
      </c>
      <c r="I103">
        <v>33</v>
      </c>
      <c r="J103" s="78" t="s">
        <v>196</v>
      </c>
      <c r="K103" s="88" t="str">
        <f>VLOOKUP(I103,[9]stage_hints!$A:$C,3,FALSE)</f>
        <v>敵のカウンター攻撃には</v>
      </c>
      <c r="L103" s="89" t="str">
        <f>VLOOKUP(I103,[9]stage_hints!$A:$D,4,FALSE)</f>
        <v>カウンターブレイクスキルを持っていれば_x000D_敵のカウンターを解除して攻撃ができます</v>
      </c>
      <c r="M103" s="52" t="s">
        <v>211</v>
      </c>
    </row>
    <row r="104" spans="1:13" x14ac:dyDescent="0.15">
      <c r="A104" s="75" t="s">
        <v>199</v>
      </c>
      <c r="B104" s="76">
        <f>floors!$C$2</f>
        <v>65535</v>
      </c>
      <c r="C104" s="77" t="str">
        <f ca="1">VLOOKUP($B104,OFFSET([2]quests!$A$1,0,0,COUNTA([2]quests!$A:$A),MATCH(C$1,[2]quests!$1:$1,0)-MATCH($B$1,[2]quests!$1:$1,0)+1),MATCH(C$1,[2]quests!$1:$1,0)-MATCH($B$1,[2]quests!$1:$1,0)+1,FALSE)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4" s="77" t="str">
        <f ca="1">VLOOKUP($B104,OFFSET([2]quests!$A$1,0,0,COUNTA([2]quests!$A:$A),MATCH(D$1,[2]quests!$1:$1,0)-MATCH($B$1,[2]quests!$1:$1,0)+1),MATCH(D$1,[2]quests!$1:$1,0)-MATCH($B$1,[2]quests!$1:$1,0)+1,FALSE)</f>
        <v>検証</v>
      </c>
      <c r="E104" s="81" t="s">
        <v>217</v>
      </c>
      <c r="F104" s="77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77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79">
        <v>0</v>
      </c>
      <c r="I104">
        <v>34</v>
      </c>
      <c r="J104" s="78" t="s">
        <v>196</v>
      </c>
      <c r="K104" s="88" t="str">
        <f>VLOOKUP(I104,[9]stage_hints!$A:$C,3,FALSE)</f>
        <v>ステータスをスキルで下げられたら</v>
      </c>
      <c r="L104" s="89" t="str">
        <f>VLOOKUP(I104,[9]stage_hints!$A:$D,4,FALSE)</f>
        <v>ステータスダウンのスキルを受けたら_x000D_ステータスアップスキルで上書きしましょう</v>
      </c>
      <c r="M104" s="52" t="s">
        <v>211</v>
      </c>
    </row>
    <row r="105" spans="1:13" x14ac:dyDescent="0.15">
      <c r="A105" s="75" t="s">
        <v>199</v>
      </c>
      <c r="B105" s="76">
        <f>floors!$C$2</f>
        <v>65535</v>
      </c>
      <c r="C105" s="77" t="str">
        <f ca="1">VLOOKUP($B105,OFFSET([2]quests!$A$1,0,0,COUNTA([2]quests!$A:$A),MATCH(C$1,[2]quests!$1:$1,0)-MATCH($B$1,[2]quests!$1:$1,0)+1),MATCH(C$1,[2]quests!$1:$1,0)-MATCH($B$1,[2]quests!$1:$1,0)+1,FALSE)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5" s="77" t="str">
        <f ca="1">VLOOKUP($B105,OFFSET([2]quests!$A$1,0,0,COUNTA([2]quests!$A:$A),MATCH(D$1,[2]quests!$1:$1,0)-MATCH($B$1,[2]quests!$1:$1,0)+1),MATCH(D$1,[2]quests!$1:$1,0)-MATCH($B$1,[2]quests!$1:$1,0)+1,FALSE)</f>
        <v>検証</v>
      </c>
      <c r="E105" s="81" t="s">
        <v>217</v>
      </c>
      <c r="F105" s="77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77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79">
        <v>0</v>
      </c>
      <c r="I105">
        <v>35</v>
      </c>
      <c r="J105" s="78" t="s">
        <v>196</v>
      </c>
      <c r="K105" s="88" t="str">
        <f>VLOOKUP(I105,[9]stage_hints!$A:$C,3,FALSE)</f>
        <v>敵のステータスがスキルで上がったら</v>
      </c>
      <c r="L105" s="89" t="str">
        <f>VLOOKUP(I105,[9]stage_hints!$A:$D,4,FALSE)</f>
        <v>敵のステータスがスキルでアップしたときは_x000D_ステータスダウンスキルで上書きしましょう</v>
      </c>
      <c r="M105" s="52" t="s">
        <v>211</v>
      </c>
    </row>
    <row r="106" spans="1:13" x14ac:dyDescent="0.15">
      <c r="A106" s="75" t="s">
        <v>199</v>
      </c>
      <c r="B106" s="76">
        <f>floors!$C$2</f>
        <v>65535</v>
      </c>
      <c r="C106" s="77" t="str">
        <f ca="1">VLOOKUP($B106,OFFSET([2]quests!$A$1,0,0,COUNTA([2]quests!$A:$A),MATCH(C$1,[2]quests!$1:$1,0)-MATCH($B$1,[2]quests!$1:$1,0)+1),MATCH(C$1,[2]quests!$1:$1,0)-MATCH($B$1,[2]quests!$1:$1,0)+1,FALSE)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6" s="77" t="str">
        <f ca="1">VLOOKUP($B106,OFFSET([2]quests!$A$1,0,0,COUNTA([2]quests!$A:$A),MATCH(D$1,[2]quests!$1:$1,0)-MATCH($B$1,[2]quests!$1:$1,0)+1),MATCH(D$1,[2]quests!$1:$1,0)-MATCH($B$1,[2]quests!$1:$1,0)+1,FALSE)</f>
        <v>検証</v>
      </c>
      <c r="E106" s="81" t="s">
        <v>217</v>
      </c>
      <c r="F106" s="77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77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79">
        <v>0</v>
      </c>
      <c r="I106">
        <v>36</v>
      </c>
      <c r="J106" s="78" t="s">
        <v>196</v>
      </c>
      <c r="K106" s="88" t="str">
        <f>VLOOKUP(I106,[9]stage_hints!$A:$C,3,FALSE)</f>
        <v>チャレンジタワーのボス</v>
      </c>
      <c r="L106" s="89" t="str">
        <f>VLOOKUP(I106,[9]stage_hints!$A:$D,4,FALSE)</f>
        <v>チャレンジタワーでのみ登場するボスは_x000D_一定確率で獲得することができます</v>
      </c>
      <c r="M106" s="52" t="s">
        <v>211</v>
      </c>
    </row>
    <row r="107" spans="1:13" x14ac:dyDescent="0.15">
      <c r="A107" s="75" t="s">
        <v>199</v>
      </c>
      <c r="B107" s="76">
        <f>floors!$C$2</f>
        <v>65535</v>
      </c>
      <c r="C107" s="77" t="str">
        <f ca="1">VLOOKUP($B107,OFFSET([2]quests!$A$1,0,0,COUNTA([2]quests!$A:$A),MATCH(C$1,[2]quests!$1:$1,0)-MATCH($B$1,[2]quests!$1:$1,0)+1),MATCH(C$1,[2]quests!$1:$1,0)-MATCH($B$1,[2]quests!$1:$1,0)+1,FALSE)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7" s="77" t="str">
        <f ca="1">VLOOKUP($B107,OFFSET([2]quests!$A$1,0,0,COUNTA([2]quests!$A:$A),MATCH(D$1,[2]quests!$1:$1,0)-MATCH($B$1,[2]quests!$1:$1,0)+1),MATCH(D$1,[2]quests!$1:$1,0)-MATCH($B$1,[2]quests!$1:$1,0)+1,FALSE)</f>
        <v>検証</v>
      </c>
      <c r="E107" s="81" t="s">
        <v>217</v>
      </c>
      <c r="F107" s="77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77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79">
        <v>0</v>
      </c>
      <c r="I107">
        <v>37</v>
      </c>
      <c r="J107" s="78" t="s">
        <v>196</v>
      </c>
      <c r="K107" s="88" t="str">
        <f>VLOOKUP(I107,[9]stage_hints!$A:$C,3,FALSE)</f>
        <v>限界突破値の引き継ぎ</v>
      </c>
      <c r="L107" s="89" t="str">
        <f>VLOOKUP(I107,[9]stage_hints!$A:$D,4,FALSE)</f>
        <v>同じユニットを強化で合成すると_x000D_限界突破値を引き継げます（覚醒前後も可）</v>
      </c>
      <c r="M107" s="52" t="s">
        <v>211</v>
      </c>
    </row>
    <row r="108" spans="1:13" x14ac:dyDescent="0.15">
      <c r="A108" s="75" t="s">
        <v>199</v>
      </c>
      <c r="B108" s="76">
        <f>floors!$C$2</f>
        <v>65535</v>
      </c>
      <c r="C108" s="77" t="str">
        <f ca="1">VLOOKUP($B108,OFFSET([2]quests!$A$1,0,0,COUNTA([2]quests!$A:$A),MATCH(C$1,[2]quests!$1:$1,0)-MATCH($B$1,[2]quests!$1:$1,0)+1),MATCH(C$1,[2]quests!$1:$1,0)-MATCH($B$1,[2]quests!$1:$1,0)+1,FALSE)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8" s="77" t="str">
        <f ca="1">VLOOKUP($B108,OFFSET([2]quests!$A$1,0,0,COUNTA([2]quests!$A:$A),MATCH(D$1,[2]quests!$1:$1,0)-MATCH($B$1,[2]quests!$1:$1,0)+1),MATCH(D$1,[2]quests!$1:$1,0)-MATCH($B$1,[2]quests!$1:$1,0)+1,FALSE)</f>
        <v>検証</v>
      </c>
      <c r="E108" s="81" t="s">
        <v>217</v>
      </c>
      <c r="F108" s="77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77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79">
        <v>0</v>
      </c>
      <c r="I108">
        <v>39</v>
      </c>
      <c r="J108" s="78" t="s">
        <v>196</v>
      </c>
      <c r="K108" s="88" t="str">
        <f>VLOOKUP(I108,[9]stage_hints!$A:$C,3,FALSE)</f>
        <v>システム適合者を確認</v>
      </c>
      <c r="L108" s="89" t="str">
        <f>VLOOKUP(I108,[9]stage_hints!$A:$D,4,FALSE)</f>
        <v>ALICEが「アナタ」を呼んでいます</v>
      </c>
      <c r="M108" s="52" t="s">
        <v>211</v>
      </c>
    </row>
    <row r="109" spans="1:13" x14ac:dyDescent="0.15">
      <c r="A109" s="75" t="s">
        <v>199</v>
      </c>
      <c r="B109" s="76">
        <f>floors!$C$2</f>
        <v>65535</v>
      </c>
      <c r="C109" s="77" t="str">
        <f ca="1">VLOOKUP($B109,OFFSET([2]quests!$A$1,0,0,COUNTA([2]quests!$A:$A),MATCH(C$1,[2]quests!$1:$1,0)-MATCH($B$1,[2]quests!$1:$1,0)+1),MATCH(C$1,[2]quests!$1:$1,0)-MATCH($B$1,[2]quests!$1:$1,0)+1,FALSE)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09" s="77" t="str">
        <f ca="1">VLOOKUP($B109,OFFSET([2]quests!$A$1,0,0,COUNTA([2]quests!$A:$A),MATCH(D$1,[2]quests!$1:$1,0)-MATCH($B$1,[2]quests!$1:$1,0)+1),MATCH(D$1,[2]quests!$1:$1,0)-MATCH($B$1,[2]quests!$1:$1,0)+1,FALSE)</f>
        <v>検証</v>
      </c>
      <c r="E109" s="81" t="s">
        <v>218</v>
      </c>
      <c r="F109" s="77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77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79">
        <v>0</v>
      </c>
      <c r="I109">
        <v>12</v>
      </c>
      <c r="J109" s="78" t="s">
        <v>196</v>
      </c>
      <c r="K109" s="88" t="str">
        <f>VLOOKUP(I109,[9]stage_hints!$A:$C,3,FALSE)</f>
        <v>ユニットのお気に入り登録</v>
      </c>
      <c r="L109" s="89" t="str">
        <f>VLOOKUP(I109,[9]stage_hints!$A:$D,4,FALSE)</f>
        <v>大事なユニットを誤って消さないように_x000D_フォルダから「お気に入り登録」しましょう</v>
      </c>
      <c r="M109" s="52" t="s">
        <v>211</v>
      </c>
    </row>
    <row r="110" spans="1:13" x14ac:dyDescent="0.15">
      <c r="A110" s="75" t="s">
        <v>199</v>
      </c>
      <c r="B110" s="76">
        <f>floors!$C$2</f>
        <v>65535</v>
      </c>
      <c r="C110" s="77" t="str">
        <f ca="1">VLOOKUP($B110,OFFSET([2]quests!$A$1,0,0,COUNTA([2]quests!$A:$A),MATCH(C$1,[2]quests!$1:$1,0)-MATCH($B$1,[2]quests!$1:$1,0)+1),MATCH(C$1,[2]quests!$1:$1,0)-MATCH($B$1,[2]quests!$1:$1,0)+1,FALSE)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0" s="77" t="str">
        <f ca="1">VLOOKUP($B110,OFFSET([2]quests!$A$1,0,0,COUNTA([2]quests!$A:$A),MATCH(D$1,[2]quests!$1:$1,0)-MATCH($B$1,[2]quests!$1:$1,0)+1),MATCH(D$1,[2]quests!$1:$1,0)-MATCH($B$1,[2]quests!$1:$1,0)+1,FALSE)</f>
        <v>検証</v>
      </c>
      <c r="E110" s="81" t="s">
        <v>218</v>
      </c>
      <c r="F110" s="77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77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79">
        <v>0</v>
      </c>
      <c r="I110">
        <v>17</v>
      </c>
      <c r="J110" s="78" t="s">
        <v>196</v>
      </c>
      <c r="K110" s="88" t="str">
        <f>VLOOKUP(I110,[9]stage_hints!$A:$C,3,FALSE)</f>
        <v>リンクガチャ</v>
      </c>
      <c r="L110" s="89" t="str">
        <f>VLOOKUP(I110,[9]stage_hints!$A:$D,4,FALSE)</f>
        <v>無料のリンクガチャを回して_x000D_経験値素材や売却素材を獲得しましょう</v>
      </c>
      <c r="M110" s="52" t="s">
        <v>211</v>
      </c>
    </row>
    <row r="111" spans="1:13" x14ac:dyDescent="0.15">
      <c r="A111" s="75" t="s">
        <v>199</v>
      </c>
      <c r="B111" s="76">
        <f>floors!$C$2</f>
        <v>65535</v>
      </c>
      <c r="C111" s="77" t="str">
        <f ca="1">VLOOKUP($B111,OFFSET([2]quests!$A$1,0,0,COUNTA([2]quests!$A:$A),MATCH(C$1,[2]quests!$1:$1,0)-MATCH($B$1,[2]quests!$1:$1,0)+1),MATCH(C$1,[2]quests!$1:$1,0)-MATCH($B$1,[2]quests!$1:$1,0)+1,FALSE)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1" s="77" t="str">
        <f ca="1">VLOOKUP($B111,OFFSET([2]quests!$A$1,0,0,COUNTA([2]quests!$A:$A),MATCH(D$1,[2]quests!$1:$1,0)-MATCH($B$1,[2]quests!$1:$1,0)+1),MATCH(D$1,[2]quests!$1:$1,0)-MATCH($B$1,[2]quests!$1:$1,0)+1,FALSE)</f>
        <v>検証</v>
      </c>
      <c r="E111" s="81" t="s">
        <v>218</v>
      </c>
      <c r="F111" s="77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77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79">
        <v>0</v>
      </c>
      <c r="I111">
        <v>19</v>
      </c>
      <c r="J111" s="78" t="s">
        <v>196</v>
      </c>
      <c r="K111" s="88" t="str">
        <f>VLOOKUP(I111,[9]stage_hints!$A:$C,3,FALSE)</f>
        <v>ソロ専用チャレンジタワー</v>
      </c>
      <c r="L111" s="89" t="str">
        <f>VLOOKUP(I111,[9]stage_hints!$A:$D,4,FALSE)</f>
        <v>ソロ専用の「チャレンジタワー」では_x000D_各フロアごとにクリア報酬がもらえます</v>
      </c>
      <c r="M111" s="52" t="s">
        <v>211</v>
      </c>
    </row>
    <row r="112" spans="1:13" x14ac:dyDescent="0.15">
      <c r="A112" s="75" t="s">
        <v>199</v>
      </c>
      <c r="B112" s="76">
        <f>floors!$C$2</f>
        <v>65535</v>
      </c>
      <c r="C112" s="77" t="str">
        <f ca="1">VLOOKUP($B112,OFFSET([2]quests!$A$1,0,0,COUNTA([2]quests!$A:$A),MATCH(C$1,[2]quests!$1:$1,0)-MATCH($B$1,[2]quests!$1:$1,0)+1),MATCH(C$1,[2]quests!$1:$1,0)-MATCH($B$1,[2]quests!$1:$1,0)+1,FALSE)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2" s="77" t="str">
        <f ca="1">VLOOKUP($B112,OFFSET([2]quests!$A$1,0,0,COUNTA([2]quests!$A:$A),MATCH(D$1,[2]quests!$1:$1,0)-MATCH($B$1,[2]quests!$1:$1,0)+1),MATCH(D$1,[2]quests!$1:$1,0)-MATCH($B$1,[2]quests!$1:$1,0)+1,FALSE)</f>
        <v>検証</v>
      </c>
      <c r="E112" s="81" t="s">
        <v>218</v>
      </c>
      <c r="F112" s="77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77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79">
        <v>0</v>
      </c>
      <c r="I112">
        <v>21</v>
      </c>
      <c r="J112" s="78" t="s">
        <v>196</v>
      </c>
      <c r="K112" s="88" t="str">
        <f>VLOOKUP(I112,[9]stage_hints!$A:$C,3,FALSE)</f>
        <v>スキルを有効に</v>
      </c>
      <c r="L112" s="89" t="str">
        <f>VLOOKUP(I112,[9]stage_hints!$A:$D,4,FALSE)</f>
        <v>ターン経過でユニットのスキルが使えます_x000D_強力スキルでバトルを有利に進めましょう</v>
      </c>
      <c r="M112" s="52" t="s">
        <v>211</v>
      </c>
    </row>
    <row r="113" spans="1:13" x14ac:dyDescent="0.15">
      <c r="A113" s="75" t="s">
        <v>199</v>
      </c>
      <c r="B113" s="76">
        <f>floors!$C$2</f>
        <v>65535</v>
      </c>
      <c r="C113" s="77" t="str">
        <f ca="1">VLOOKUP($B113,OFFSET([2]quests!$A$1,0,0,COUNTA([2]quests!$A:$A),MATCH(C$1,[2]quests!$1:$1,0)-MATCH($B$1,[2]quests!$1:$1,0)+1),MATCH(C$1,[2]quests!$1:$1,0)-MATCH($B$1,[2]quests!$1:$1,0)+1,FALSE)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3" s="77" t="str">
        <f ca="1">VLOOKUP($B113,OFFSET([2]quests!$A$1,0,0,COUNTA([2]quests!$A:$A),MATCH(D$1,[2]quests!$1:$1,0)-MATCH($B$1,[2]quests!$1:$1,0)+1),MATCH(D$1,[2]quests!$1:$1,0)-MATCH($B$1,[2]quests!$1:$1,0)+1,FALSE)</f>
        <v>検証</v>
      </c>
      <c r="E113" s="81" t="s">
        <v>218</v>
      </c>
      <c r="F113" s="77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77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79">
        <v>0</v>
      </c>
      <c r="I113">
        <v>29</v>
      </c>
      <c r="J113" s="78" t="s">
        <v>196</v>
      </c>
      <c r="K113" s="88" t="str">
        <f>VLOOKUP(I113,[9]stage_hints!$A:$C,3,FALSE)</f>
        <v>「バグ」のメリット</v>
      </c>
      <c r="L113" s="89" t="str">
        <f>VLOOKUP(I113,[9]stage_hints!$A:$D,4,FALSE)</f>
        <v>ユニットの「バグ」を増やすと_x000D_報酬をもらえる確率がアップします</v>
      </c>
      <c r="M113" s="52" t="s">
        <v>211</v>
      </c>
    </row>
    <row r="114" spans="1:13" x14ac:dyDescent="0.15">
      <c r="A114" s="75" t="s">
        <v>199</v>
      </c>
      <c r="B114" s="76">
        <f>floors!$C$2</f>
        <v>65535</v>
      </c>
      <c r="C114" s="77" t="str">
        <f ca="1">VLOOKUP($B114,OFFSET([2]quests!$A$1,0,0,COUNTA([2]quests!$A:$A),MATCH(C$1,[2]quests!$1:$1,0)-MATCH($B$1,[2]quests!$1:$1,0)+1),MATCH(C$1,[2]quests!$1:$1,0)-MATCH($B$1,[2]quests!$1:$1,0)+1,FALSE)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4" s="77" t="str">
        <f ca="1">VLOOKUP($B114,OFFSET([2]quests!$A$1,0,0,COUNTA([2]quests!$A:$A),MATCH(D$1,[2]quests!$1:$1,0)-MATCH($B$1,[2]quests!$1:$1,0)+1),MATCH(D$1,[2]quests!$1:$1,0)-MATCH($B$1,[2]quests!$1:$1,0)+1,FALSE)</f>
        <v>検証</v>
      </c>
      <c r="E114" s="81" t="s">
        <v>218</v>
      </c>
      <c r="F114" s="77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77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79">
        <v>0</v>
      </c>
      <c r="I114">
        <v>30</v>
      </c>
      <c r="J114" s="78" t="s">
        <v>196</v>
      </c>
      <c r="K114" s="88" t="str">
        <f>VLOOKUP(I114,[9]stage_hints!$A:$C,3,FALSE)</f>
        <v>「バグ」の増やし方</v>
      </c>
      <c r="L114" s="89" t="str">
        <f>VLOOKUP(I114,[9]stage_hints!$A:$D,4,FALSE)</f>
        <v>同じユニット同士を強化で合成すると_x000D_「バグ」を増やすことができます</v>
      </c>
      <c r="M114" s="52" t="s">
        <v>211</v>
      </c>
    </row>
    <row r="115" spans="1:13" x14ac:dyDescent="0.15">
      <c r="A115" s="75" t="s">
        <v>199</v>
      </c>
      <c r="B115" s="76">
        <f>floors!$C$2</f>
        <v>65535</v>
      </c>
      <c r="C115" s="77" t="str">
        <f ca="1">VLOOKUP($B115,OFFSET([2]quests!$A$1,0,0,COUNTA([2]quests!$A:$A),MATCH(C$1,[2]quests!$1:$1,0)-MATCH($B$1,[2]quests!$1:$1,0)+1),MATCH(C$1,[2]quests!$1:$1,0)-MATCH($B$1,[2]quests!$1:$1,0)+1,FALSE)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5" s="77" t="str">
        <f ca="1">VLOOKUP($B115,OFFSET([2]quests!$A$1,0,0,COUNTA([2]quests!$A:$A),MATCH(D$1,[2]quests!$1:$1,0)-MATCH($B$1,[2]quests!$1:$1,0)+1),MATCH(D$1,[2]quests!$1:$1,0)-MATCH($B$1,[2]quests!$1:$1,0)+1,FALSE)</f>
        <v>検証</v>
      </c>
      <c r="E115" s="81" t="s">
        <v>218</v>
      </c>
      <c r="F115" s="77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77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79">
        <v>0</v>
      </c>
      <c r="I115">
        <v>32</v>
      </c>
      <c r="J115" s="78" t="s">
        <v>196</v>
      </c>
      <c r="K115" s="88" t="str">
        <f>VLOOKUP(I115,[9]stage_hints!$A:$C,3,FALSE)</f>
        <v>敵の連続攻撃には</v>
      </c>
      <c r="L115" s="89" t="str">
        <f>VLOOKUP(I115,[9]stage_hints!$A:$D,4,FALSE)</f>
        <v>カウンタースキルを持つユニットがいれば_x000D_ダメージ回数分の反撃ができます</v>
      </c>
      <c r="M115" s="52" t="s">
        <v>211</v>
      </c>
    </row>
    <row r="116" spans="1:13" x14ac:dyDescent="0.15">
      <c r="A116" s="75" t="s">
        <v>199</v>
      </c>
      <c r="B116" s="76">
        <f>floors!$C$2</f>
        <v>65535</v>
      </c>
      <c r="C116" s="77" t="str">
        <f ca="1">VLOOKUP($B116,OFFSET([2]quests!$A$1,0,0,COUNTA([2]quests!$A:$A),MATCH(C$1,[2]quests!$1:$1,0)-MATCH($B$1,[2]quests!$1:$1,0)+1),MATCH(C$1,[2]quests!$1:$1,0)-MATCH($B$1,[2]quests!$1:$1,0)+1,FALSE)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6" s="77" t="str">
        <f ca="1">VLOOKUP($B116,OFFSET([2]quests!$A$1,0,0,COUNTA([2]quests!$A:$A),MATCH(D$1,[2]quests!$1:$1,0)-MATCH($B$1,[2]quests!$1:$1,0)+1),MATCH(D$1,[2]quests!$1:$1,0)-MATCH($B$1,[2]quests!$1:$1,0)+1,FALSE)</f>
        <v>検証</v>
      </c>
      <c r="E116" s="81" t="s">
        <v>218</v>
      </c>
      <c r="F116" s="77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77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79">
        <v>0</v>
      </c>
      <c r="I116">
        <v>33</v>
      </c>
      <c r="J116" s="78" t="s">
        <v>196</v>
      </c>
      <c r="K116" s="88" t="str">
        <f>VLOOKUP(I116,[9]stage_hints!$A:$C,3,FALSE)</f>
        <v>敵のカウンター攻撃には</v>
      </c>
      <c r="L116" s="89" t="str">
        <f>VLOOKUP(I116,[9]stage_hints!$A:$D,4,FALSE)</f>
        <v>カウンターブレイクスキルを持っていれば_x000D_敵のカウンターを解除して攻撃ができます</v>
      </c>
      <c r="M116" s="52" t="s">
        <v>211</v>
      </c>
    </row>
    <row r="117" spans="1:13" x14ac:dyDescent="0.15">
      <c r="A117" s="75" t="s">
        <v>199</v>
      </c>
      <c r="B117" s="76">
        <f>floors!$C$2</f>
        <v>65535</v>
      </c>
      <c r="C117" s="77" t="str">
        <f ca="1">VLOOKUP($B117,OFFSET([2]quests!$A$1,0,0,COUNTA([2]quests!$A:$A),MATCH(C$1,[2]quests!$1:$1,0)-MATCH($B$1,[2]quests!$1:$1,0)+1),MATCH(C$1,[2]quests!$1:$1,0)-MATCH($B$1,[2]quests!$1:$1,0)+1,FALSE)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7" s="77" t="str">
        <f ca="1">VLOOKUP($B117,OFFSET([2]quests!$A$1,0,0,COUNTA([2]quests!$A:$A),MATCH(D$1,[2]quests!$1:$1,0)-MATCH($B$1,[2]quests!$1:$1,0)+1),MATCH(D$1,[2]quests!$1:$1,0)-MATCH($B$1,[2]quests!$1:$1,0)+1,FALSE)</f>
        <v>検証</v>
      </c>
      <c r="E117" s="81" t="s">
        <v>218</v>
      </c>
      <c r="F117" s="77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77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79">
        <v>0</v>
      </c>
      <c r="I117">
        <v>34</v>
      </c>
      <c r="J117" s="78" t="s">
        <v>196</v>
      </c>
      <c r="K117" s="88" t="str">
        <f>VLOOKUP(I117,[9]stage_hints!$A:$C,3,FALSE)</f>
        <v>ステータスをスキルで下げられたら</v>
      </c>
      <c r="L117" s="89" t="str">
        <f>VLOOKUP(I117,[9]stage_hints!$A:$D,4,FALSE)</f>
        <v>ステータスダウンのスキルを受けたら_x000D_ステータスアップスキルで上書きしましょう</v>
      </c>
      <c r="M117" s="52" t="s">
        <v>211</v>
      </c>
    </row>
    <row r="118" spans="1:13" x14ac:dyDescent="0.15">
      <c r="A118" s="75" t="s">
        <v>199</v>
      </c>
      <c r="B118" s="76">
        <f>floors!$C$2</f>
        <v>65535</v>
      </c>
      <c r="C118" s="77" t="str">
        <f ca="1">VLOOKUP($B118,OFFSET([2]quests!$A$1,0,0,COUNTA([2]quests!$A:$A),MATCH(C$1,[2]quests!$1:$1,0)-MATCH($B$1,[2]quests!$1:$1,0)+1),MATCH(C$1,[2]quests!$1:$1,0)-MATCH($B$1,[2]quests!$1:$1,0)+1,FALSE)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8" s="77" t="str">
        <f ca="1">VLOOKUP($B118,OFFSET([2]quests!$A$1,0,0,COUNTA([2]quests!$A:$A),MATCH(D$1,[2]quests!$1:$1,0)-MATCH($B$1,[2]quests!$1:$1,0)+1),MATCH(D$1,[2]quests!$1:$1,0)-MATCH($B$1,[2]quests!$1:$1,0)+1,FALSE)</f>
        <v>検証</v>
      </c>
      <c r="E118" s="81" t="s">
        <v>218</v>
      </c>
      <c r="F118" s="77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77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79">
        <v>0</v>
      </c>
      <c r="I118">
        <v>35</v>
      </c>
      <c r="J118" s="78" t="s">
        <v>196</v>
      </c>
      <c r="K118" s="88" t="str">
        <f>VLOOKUP(I118,[9]stage_hints!$A:$C,3,FALSE)</f>
        <v>敵のステータスがスキルで上がったら</v>
      </c>
      <c r="L118" s="89" t="str">
        <f>VLOOKUP(I118,[9]stage_hints!$A:$D,4,FALSE)</f>
        <v>敵のステータスがスキルでアップしたときは_x000D_ステータスダウンスキルで上書きしましょう</v>
      </c>
      <c r="M118" s="52" t="s">
        <v>211</v>
      </c>
    </row>
    <row r="119" spans="1:13" x14ac:dyDescent="0.15">
      <c r="A119" s="75" t="s">
        <v>199</v>
      </c>
      <c r="B119" s="76">
        <f>floors!$C$2</f>
        <v>65535</v>
      </c>
      <c r="C119" s="77" t="str">
        <f ca="1">VLOOKUP($B119,OFFSET([2]quests!$A$1,0,0,COUNTA([2]quests!$A:$A),MATCH(C$1,[2]quests!$1:$1,0)-MATCH($B$1,[2]quests!$1:$1,0)+1),MATCH(C$1,[2]quests!$1:$1,0)-MATCH($B$1,[2]quests!$1:$1,0)+1,FALSE)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19" s="77" t="str">
        <f ca="1">VLOOKUP($B119,OFFSET([2]quests!$A$1,0,0,COUNTA([2]quests!$A:$A),MATCH(D$1,[2]quests!$1:$1,0)-MATCH($B$1,[2]quests!$1:$1,0)+1),MATCH(D$1,[2]quests!$1:$1,0)-MATCH($B$1,[2]quests!$1:$1,0)+1,FALSE)</f>
        <v>検証</v>
      </c>
      <c r="E119" s="81" t="s">
        <v>218</v>
      </c>
      <c r="F119" s="77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77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79">
        <v>0</v>
      </c>
      <c r="I119">
        <v>36</v>
      </c>
      <c r="J119" s="78" t="s">
        <v>196</v>
      </c>
      <c r="K119" s="88" t="str">
        <f>VLOOKUP(I119,[9]stage_hints!$A:$C,3,FALSE)</f>
        <v>チャレンジタワーのボス</v>
      </c>
      <c r="L119" s="89" t="str">
        <f>VLOOKUP(I119,[9]stage_hints!$A:$D,4,FALSE)</f>
        <v>チャレンジタワーでのみ登場するボスは_x000D_一定確率で獲得することができます</v>
      </c>
      <c r="M119" s="52" t="s">
        <v>211</v>
      </c>
    </row>
    <row r="120" spans="1:13" x14ac:dyDescent="0.15">
      <c r="A120" s="75" t="s">
        <v>199</v>
      </c>
      <c r="B120" s="76">
        <f>floors!$C$2</f>
        <v>65535</v>
      </c>
      <c r="C120" s="77" t="str">
        <f ca="1">VLOOKUP($B120,OFFSET([2]quests!$A$1,0,0,COUNTA([2]quests!$A:$A),MATCH(C$1,[2]quests!$1:$1,0)-MATCH($B$1,[2]quests!$1:$1,0)+1),MATCH(C$1,[2]quests!$1:$1,0)-MATCH($B$1,[2]quests!$1:$1,0)+1,FALSE)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0" s="77" t="str">
        <f ca="1">VLOOKUP($B120,OFFSET([2]quests!$A$1,0,0,COUNTA([2]quests!$A:$A),MATCH(D$1,[2]quests!$1:$1,0)-MATCH($B$1,[2]quests!$1:$1,0)+1),MATCH(D$1,[2]quests!$1:$1,0)-MATCH($B$1,[2]quests!$1:$1,0)+1,FALSE)</f>
        <v>検証</v>
      </c>
      <c r="E120" s="81" t="s">
        <v>218</v>
      </c>
      <c r="F120" s="77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77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79">
        <v>0</v>
      </c>
      <c r="I120">
        <v>37</v>
      </c>
      <c r="J120" s="78" t="s">
        <v>196</v>
      </c>
      <c r="K120" s="88" t="str">
        <f>VLOOKUP(I120,[9]stage_hints!$A:$C,3,FALSE)</f>
        <v>限界突破値の引き継ぎ</v>
      </c>
      <c r="L120" s="89" t="str">
        <f>VLOOKUP(I120,[9]stage_hints!$A:$D,4,FALSE)</f>
        <v>同じユニットを強化で合成すると_x000D_限界突破値を引き継げます（覚醒前後も可）</v>
      </c>
      <c r="M120" s="52" t="s">
        <v>211</v>
      </c>
    </row>
    <row r="121" spans="1:13" x14ac:dyDescent="0.15">
      <c r="A121" s="75" t="s">
        <v>199</v>
      </c>
      <c r="B121" s="76">
        <f>floors!$C$2</f>
        <v>65535</v>
      </c>
      <c r="C121" s="77" t="str">
        <f ca="1">VLOOKUP($B121,OFFSET([2]quests!$A$1,0,0,COUNTA([2]quests!$A:$A),MATCH(C$1,[2]quests!$1:$1,0)-MATCH($B$1,[2]quests!$1:$1,0)+1),MATCH(C$1,[2]quests!$1:$1,0)-MATCH($B$1,[2]quests!$1:$1,0)+1,FALSE)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1" s="77" t="str">
        <f ca="1">VLOOKUP($B121,OFFSET([2]quests!$A$1,0,0,COUNTA([2]quests!$A:$A),MATCH(D$1,[2]quests!$1:$1,0)-MATCH($B$1,[2]quests!$1:$1,0)+1),MATCH(D$1,[2]quests!$1:$1,0)-MATCH($B$1,[2]quests!$1:$1,0)+1,FALSE)</f>
        <v>検証</v>
      </c>
      <c r="E121" s="81" t="s">
        <v>218</v>
      </c>
      <c r="F121" s="77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77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79">
        <v>0</v>
      </c>
      <c r="I121">
        <v>39</v>
      </c>
      <c r="J121" s="78" t="s">
        <v>196</v>
      </c>
      <c r="K121" s="88" t="str">
        <f>VLOOKUP(I121,[9]stage_hints!$A:$C,3,FALSE)</f>
        <v>システム適合者を確認</v>
      </c>
      <c r="L121" s="89" t="str">
        <f>VLOOKUP(I121,[9]stage_hints!$A:$D,4,FALSE)</f>
        <v>ALICEが「アナタ」を呼んでいます</v>
      </c>
      <c r="M121" s="52" t="s">
        <v>211</v>
      </c>
    </row>
    <row r="122" spans="1:13" x14ac:dyDescent="0.15">
      <c r="A122" s="75" t="s">
        <v>199</v>
      </c>
      <c r="B122" s="76">
        <f>floors!$C$2</f>
        <v>65535</v>
      </c>
      <c r="C122" s="77" t="str">
        <f ca="1">VLOOKUP($B122,OFFSET([2]quests!$A$1,0,0,COUNTA([2]quests!$A:$A),MATCH(C$1,[2]quests!$1:$1,0)-MATCH($B$1,[2]quests!$1:$1,0)+1),MATCH(C$1,[2]quests!$1:$1,0)-MATCH($B$1,[2]quests!$1:$1,0)+1,FALSE)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2" s="77" t="str">
        <f ca="1">VLOOKUP($B122,OFFSET([2]quests!$A$1,0,0,COUNTA([2]quests!$A:$A),MATCH(D$1,[2]quests!$1:$1,0)-MATCH($B$1,[2]quests!$1:$1,0)+1),MATCH(D$1,[2]quests!$1:$1,0)-MATCH($B$1,[2]quests!$1:$1,0)+1,FALSE)</f>
        <v>検証</v>
      </c>
      <c r="E122" s="81" t="s">
        <v>219</v>
      </c>
      <c r="F122" s="77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77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79">
        <v>0</v>
      </c>
      <c r="I122">
        <v>12</v>
      </c>
      <c r="J122" s="78" t="s">
        <v>196</v>
      </c>
      <c r="K122" s="88" t="str">
        <f>VLOOKUP(I122,[9]stage_hints!$A:$C,3,FALSE)</f>
        <v>ユニットのお気に入り登録</v>
      </c>
      <c r="L122" s="89" t="str">
        <f>VLOOKUP(I122,[9]stage_hints!$A:$D,4,FALSE)</f>
        <v>大事なユニットを誤って消さないように_x000D_フォルダから「お気に入り登録」しましょう</v>
      </c>
      <c r="M122" s="52" t="s">
        <v>211</v>
      </c>
    </row>
    <row r="123" spans="1:13" x14ac:dyDescent="0.15">
      <c r="A123" s="75" t="s">
        <v>199</v>
      </c>
      <c r="B123" s="76">
        <f>floors!$C$2</f>
        <v>65535</v>
      </c>
      <c r="C123" s="77" t="str">
        <f ca="1">VLOOKUP($B123,OFFSET([2]quests!$A$1,0,0,COUNTA([2]quests!$A:$A),MATCH(C$1,[2]quests!$1:$1,0)-MATCH($B$1,[2]quests!$1:$1,0)+1),MATCH(C$1,[2]quests!$1:$1,0)-MATCH($B$1,[2]quests!$1:$1,0)+1,FALSE)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3" s="77" t="str">
        <f ca="1">VLOOKUP($B123,OFFSET([2]quests!$A$1,0,0,COUNTA([2]quests!$A:$A),MATCH(D$1,[2]quests!$1:$1,0)-MATCH($B$1,[2]quests!$1:$1,0)+1),MATCH(D$1,[2]quests!$1:$1,0)-MATCH($B$1,[2]quests!$1:$1,0)+1,FALSE)</f>
        <v>検証</v>
      </c>
      <c r="E123" s="81" t="s">
        <v>219</v>
      </c>
      <c r="F123" s="77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77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79">
        <v>0</v>
      </c>
      <c r="I123">
        <v>17</v>
      </c>
      <c r="J123" s="78" t="s">
        <v>196</v>
      </c>
      <c r="K123" s="88" t="str">
        <f>VLOOKUP(I123,[9]stage_hints!$A:$C,3,FALSE)</f>
        <v>リンクガチャ</v>
      </c>
      <c r="L123" s="89" t="str">
        <f>VLOOKUP(I123,[9]stage_hints!$A:$D,4,FALSE)</f>
        <v>無料のリンクガチャを回して_x000D_経験値素材や売却素材を獲得しましょう</v>
      </c>
      <c r="M123" s="52" t="s">
        <v>211</v>
      </c>
    </row>
    <row r="124" spans="1:13" x14ac:dyDescent="0.15">
      <c r="A124" s="75" t="s">
        <v>199</v>
      </c>
      <c r="B124" s="76">
        <f>floors!$C$2</f>
        <v>65535</v>
      </c>
      <c r="C124" s="77" t="str">
        <f ca="1">VLOOKUP($B124,OFFSET([2]quests!$A$1,0,0,COUNTA([2]quests!$A:$A),MATCH(C$1,[2]quests!$1:$1,0)-MATCH($B$1,[2]quests!$1:$1,0)+1),MATCH(C$1,[2]quests!$1:$1,0)-MATCH($B$1,[2]quests!$1:$1,0)+1,FALSE)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4" s="77" t="str">
        <f ca="1">VLOOKUP($B124,OFFSET([2]quests!$A$1,0,0,COUNTA([2]quests!$A:$A),MATCH(D$1,[2]quests!$1:$1,0)-MATCH($B$1,[2]quests!$1:$1,0)+1),MATCH(D$1,[2]quests!$1:$1,0)-MATCH($B$1,[2]quests!$1:$1,0)+1,FALSE)</f>
        <v>検証</v>
      </c>
      <c r="E124" s="81" t="s">
        <v>219</v>
      </c>
      <c r="F124" s="77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77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79">
        <v>0</v>
      </c>
      <c r="I124">
        <v>19</v>
      </c>
      <c r="J124" s="78" t="s">
        <v>196</v>
      </c>
      <c r="K124" s="88" t="str">
        <f>VLOOKUP(I124,[9]stage_hints!$A:$C,3,FALSE)</f>
        <v>ソロ専用チャレンジタワー</v>
      </c>
      <c r="L124" s="89" t="str">
        <f>VLOOKUP(I124,[9]stage_hints!$A:$D,4,FALSE)</f>
        <v>ソロ専用の「チャレンジタワー」では_x000D_各フロアごとにクリア報酬がもらえます</v>
      </c>
      <c r="M124" s="52" t="s">
        <v>211</v>
      </c>
    </row>
    <row r="125" spans="1:13" x14ac:dyDescent="0.15">
      <c r="A125" s="75" t="s">
        <v>199</v>
      </c>
      <c r="B125" s="76">
        <f>floors!$C$2</f>
        <v>65535</v>
      </c>
      <c r="C125" s="77" t="str">
        <f ca="1">VLOOKUP($B125,OFFSET([2]quests!$A$1,0,0,COUNTA([2]quests!$A:$A),MATCH(C$1,[2]quests!$1:$1,0)-MATCH($B$1,[2]quests!$1:$1,0)+1),MATCH(C$1,[2]quests!$1:$1,0)-MATCH($B$1,[2]quests!$1:$1,0)+1,FALSE)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5" s="77" t="str">
        <f ca="1">VLOOKUP($B125,OFFSET([2]quests!$A$1,0,0,COUNTA([2]quests!$A:$A),MATCH(D$1,[2]quests!$1:$1,0)-MATCH($B$1,[2]quests!$1:$1,0)+1),MATCH(D$1,[2]quests!$1:$1,0)-MATCH($B$1,[2]quests!$1:$1,0)+1,FALSE)</f>
        <v>検証</v>
      </c>
      <c r="E125" s="81" t="s">
        <v>219</v>
      </c>
      <c r="F125" s="77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77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79">
        <v>0</v>
      </c>
      <c r="I125">
        <v>21</v>
      </c>
      <c r="J125" s="78" t="s">
        <v>196</v>
      </c>
      <c r="K125" s="88" t="str">
        <f>VLOOKUP(I125,[9]stage_hints!$A:$C,3,FALSE)</f>
        <v>スキルを有効に</v>
      </c>
      <c r="L125" s="89" t="str">
        <f>VLOOKUP(I125,[9]stage_hints!$A:$D,4,FALSE)</f>
        <v>ターン経過でユニットのスキルが使えます_x000D_強力スキルでバトルを有利に進めましょう</v>
      </c>
      <c r="M125" s="52" t="s">
        <v>211</v>
      </c>
    </row>
    <row r="126" spans="1:13" x14ac:dyDescent="0.15">
      <c r="A126" s="75" t="s">
        <v>199</v>
      </c>
      <c r="B126" s="76">
        <f>floors!$C$2</f>
        <v>65535</v>
      </c>
      <c r="C126" s="77" t="str">
        <f ca="1">VLOOKUP($B126,OFFSET([2]quests!$A$1,0,0,COUNTA([2]quests!$A:$A),MATCH(C$1,[2]quests!$1:$1,0)-MATCH($B$1,[2]quests!$1:$1,0)+1),MATCH(C$1,[2]quests!$1:$1,0)-MATCH($B$1,[2]quests!$1:$1,0)+1,FALSE)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6" s="77" t="str">
        <f ca="1">VLOOKUP($B126,OFFSET([2]quests!$A$1,0,0,COUNTA([2]quests!$A:$A),MATCH(D$1,[2]quests!$1:$1,0)-MATCH($B$1,[2]quests!$1:$1,0)+1),MATCH(D$1,[2]quests!$1:$1,0)-MATCH($B$1,[2]quests!$1:$1,0)+1,FALSE)</f>
        <v>検証</v>
      </c>
      <c r="E126" s="81" t="s">
        <v>219</v>
      </c>
      <c r="F126" s="77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77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79">
        <v>0</v>
      </c>
      <c r="I126">
        <v>29</v>
      </c>
      <c r="J126" s="78" t="s">
        <v>196</v>
      </c>
      <c r="K126" s="88" t="str">
        <f>VLOOKUP(I126,[9]stage_hints!$A:$C,3,FALSE)</f>
        <v>「バグ」のメリット</v>
      </c>
      <c r="L126" s="89" t="str">
        <f>VLOOKUP(I126,[9]stage_hints!$A:$D,4,FALSE)</f>
        <v>ユニットの「バグ」を増やすと_x000D_報酬をもらえる確率がアップします</v>
      </c>
      <c r="M126" s="52" t="s">
        <v>211</v>
      </c>
    </row>
    <row r="127" spans="1:13" x14ac:dyDescent="0.15">
      <c r="A127" s="75" t="s">
        <v>199</v>
      </c>
      <c r="B127" s="76">
        <f>floors!$C$2</f>
        <v>65535</v>
      </c>
      <c r="C127" s="77" t="str">
        <f ca="1">VLOOKUP($B127,OFFSET([2]quests!$A$1,0,0,COUNTA([2]quests!$A:$A),MATCH(C$1,[2]quests!$1:$1,0)-MATCH($B$1,[2]quests!$1:$1,0)+1),MATCH(C$1,[2]quests!$1:$1,0)-MATCH($B$1,[2]quests!$1:$1,0)+1,FALSE)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7" s="77" t="str">
        <f ca="1">VLOOKUP($B127,OFFSET([2]quests!$A$1,0,0,COUNTA([2]quests!$A:$A),MATCH(D$1,[2]quests!$1:$1,0)-MATCH($B$1,[2]quests!$1:$1,0)+1),MATCH(D$1,[2]quests!$1:$1,0)-MATCH($B$1,[2]quests!$1:$1,0)+1,FALSE)</f>
        <v>検証</v>
      </c>
      <c r="E127" s="81" t="s">
        <v>219</v>
      </c>
      <c r="F127" s="77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77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79">
        <v>0</v>
      </c>
      <c r="I127">
        <v>30</v>
      </c>
      <c r="J127" s="78" t="s">
        <v>196</v>
      </c>
      <c r="K127" s="88" t="str">
        <f>VLOOKUP(I127,[9]stage_hints!$A:$C,3,FALSE)</f>
        <v>「バグ」の増やし方</v>
      </c>
      <c r="L127" s="89" t="str">
        <f>VLOOKUP(I127,[9]stage_hints!$A:$D,4,FALSE)</f>
        <v>同じユニット同士を強化で合成すると_x000D_「バグ」を増やすことができます</v>
      </c>
      <c r="M127" s="52" t="s">
        <v>211</v>
      </c>
    </row>
    <row r="128" spans="1:13" x14ac:dyDescent="0.15">
      <c r="A128" s="75" t="s">
        <v>199</v>
      </c>
      <c r="B128" s="76">
        <f>floors!$C$2</f>
        <v>65535</v>
      </c>
      <c r="C128" s="77" t="str">
        <f ca="1">VLOOKUP($B128,OFFSET([2]quests!$A$1,0,0,COUNTA([2]quests!$A:$A),MATCH(C$1,[2]quests!$1:$1,0)-MATCH($B$1,[2]quests!$1:$1,0)+1),MATCH(C$1,[2]quests!$1:$1,0)-MATCH($B$1,[2]quests!$1:$1,0)+1,FALSE)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8" s="77" t="str">
        <f ca="1">VLOOKUP($B128,OFFSET([2]quests!$A$1,0,0,COUNTA([2]quests!$A:$A),MATCH(D$1,[2]quests!$1:$1,0)-MATCH($B$1,[2]quests!$1:$1,0)+1),MATCH(D$1,[2]quests!$1:$1,0)-MATCH($B$1,[2]quests!$1:$1,0)+1,FALSE)</f>
        <v>検証</v>
      </c>
      <c r="E128" s="81" t="s">
        <v>219</v>
      </c>
      <c r="F128" s="77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77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79">
        <v>0</v>
      </c>
      <c r="I128">
        <v>32</v>
      </c>
      <c r="J128" s="78" t="s">
        <v>196</v>
      </c>
      <c r="K128" s="88" t="str">
        <f>VLOOKUP(I128,[9]stage_hints!$A:$C,3,FALSE)</f>
        <v>敵の連続攻撃には</v>
      </c>
      <c r="L128" s="89" t="str">
        <f>VLOOKUP(I128,[9]stage_hints!$A:$D,4,FALSE)</f>
        <v>カウンタースキルを持つユニットがいれば_x000D_ダメージ回数分の反撃ができます</v>
      </c>
      <c r="M128" s="52" t="s">
        <v>211</v>
      </c>
    </row>
    <row r="129" spans="1:13" x14ac:dyDescent="0.15">
      <c r="A129" s="75" t="s">
        <v>199</v>
      </c>
      <c r="B129" s="76">
        <f>floors!$C$2</f>
        <v>65535</v>
      </c>
      <c r="C129" s="77" t="str">
        <f ca="1">VLOOKUP($B129,OFFSET([2]quests!$A$1,0,0,COUNTA([2]quests!$A:$A),MATCH(C$1,[2]quests!$1:$1,0)-MATCH($B$1,[2]quests!$1:$1,0)+1),MATCH(C$1,[2]quests!$1:$1,0)-MATCH($B$1,[2]quests!$1:$1,0)+1,FALSE)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29" s="77" t="str">
        <f ca="1">VLOOKUP($B129,OFFSET([2]quests!$A$1,0,0,COUNTA([2]quests!$A:$A),MATCH(D$1,[2]quests!$1:$1,0)-MATCH($B$1,[2]quests!$1:$1,0)+1),MATCH(D$1,[2]quests!$1:$1,0)-MATCH($B$1,[2]quests!$1:$1,0)+1,FALSE)</f>
        <v>検証</v>
      </c>
      <c r="E129" s="81" t="s">
        <v>219</v>
      </c>
      <c r="F129" s="77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77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79">
        <v>0</v>
      </c>
      <c r="I129">
        <v>33</v>
      </c>
      <c r="J129" s="78" t="s">
        <v>196</v>
      </c>
      <c r="K129" s="88" t="str">
        <f>VLOOKUP(I129,[9]stage_hints!$A:$C,3,FALSE)</f>
        <v>敵のカウンター攻撃には</v>
      </c>
      <c r="L129" s="89" t="str">
        <f>VLOOKUP(I129,[9]stage_hints!$A:$D,4,FALSE)</f>
        <v>カウンターブレイクスキルを持っていれば_x000D_敵のカウンターを解除して攻撃ができます</v>
      </c>
      <c r="M129" s="52" t="s">
        <v>211</v>
      </c>
    </row>
    <row r="130" spans="1:13" x14ac:dyDescent="0.15">
      <c r="A130" s="75" t="s">
        <v>199</v>
      </c>
      <c r="B130" s="76">
        <f>floors!$C$2</f>
        <v>65535</v>
      </c>
      <c r="C130" s="77" t="str">
        <f ca="1">VLOOKUP($B130,OFFSET([2]quests!$A$1,0,0,COUNTA([2]quests!$A:$A),MATCH(C$1,[2]quests!$1:$1,0)-MATCH($B$1,[2]quests!$1:$1,0)+1),MATCH(C$1,[2]quests!$1:$1,0)-MATCH($B$1,[2]quests!$1:$1,0)+1,FALSE)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30" s="77" t="str">
        <f ca="1">VLOOKUP($B130,OFFSET([2]quests!$A$1,0,0,COUNTA([2]quests!$A:$A),MATCH(D$1,[2]quests!$1:$1,0)-MATCH($B$1,[2]quests!$1:$1,0)+1),MATCH(D$1,[2]quests!$1:$1,0)-MATCH($B$1,[2]quests!$1:$1,0)+1,FALSE)</f>
        <v>検証</v>
      </c>
      <c r="E130" s="81" t="s">
        <v>219</v>
      </c>
      <c r="F130" s="77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77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79">
        <v>0</v>
      </c>
      <c r="I130">
        <v>34</v>
      </c>
      <c r="J130" s="78" t="s">
        <v>196</v>
      </c>
      <c r="K130" s="88" t="str">
        <f>VLOOKUP(I130,[9]stage_hints!$A:$C,3,FALSE)</f>
        <v>ステータスをスキルで下げられたら</v>
      </c>
      <c r="L130" s="89" t="str">
        <f>VLOOKUP(I130,[9]stage_hints!$A:$D,4,FALSE)</f>
        <v>ステータスダウンのスキルを受けたら_x000D_ステータスアップスキルで上書きしましょう</v>
      </c>
      <c r="M130" s="52" t="s">
        <v>211</v>
      </c>
    </row>
    <row r="131" spans="1:13" x14ac:dyDescent="0.15">
      <c r="A131" s="75" t="s">
        <v>199</v>
      </c>
      <c r="B131" s="76">
        <f>floors!$C$2</f>
        <v>65535</v>
      </c>
      <c r="C131" s="77" t="str">
        <f ca="1">VLOOKUP($B131,OFFSET([2]quests!$A$1,0,0,COUNTA([2]quests!$A:$A),MATCH(C$1,[2]quests!$1:$1,0)-MATCH($B$1,[2]quests!$1:$1,0)+1),MATCH(C$1,[2]quests!$1:$1,0)-MATCH($B$1,[2]quests!$1:$1,0)+1,FALSE)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31" s="77" t="str">
        <f ca="1">VLOOKUP($B131,OFFSET([2]quests!$A$1,0,0,COUNTA([2]quests!$A:$A),MATCH(D$1,[2]quests!$1:$1,0)-MATCH($B$1,[2]quests!$1:$1,0)+1),MATCH(D$1,[2]quests!$1:$1,0)-MATCH($B$1,[2]quests!$1:$1,0)+1,FALSE)</f>
        <v>検証</v>
      </c>
      <c r="E131" s="81" t="s">
        <v>219</v>
      </c>
      <c r="F131" s="77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77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79">
        <v>0</v>
      </c>
      <c r="I131">
        <v>35</v>
      </c>
      <c r="J131" s="78" t="s">
        <v>196</v>
      </c>
      <c r="K131" s="88" t="str">
        <f>VLOOKUP(I131,[9]stage_hints!$A:$C,3,FALSE)</f>
        <v>敵のステータスがスキルで上がったら</v>
      </c>
      <c r="L131" s="89" t="str">
        <f>VLOOKUP(I131,[9]stage_hints!$A:$D,4,FALSE)</f>
        <v>敵のステータスがスキルでアップしたときは_x000D_ステータスダウンスキルで上書きしましょう</v>
      </c>
      <c r="M131" s="52" t="s">
        <v>211</v>
      </c>
    </row>
    <row r="132" spans="1:13" x14ac:dyDescent="0.15">
      <c r="A132" s="75" t="s">
        <v>199</v>
      </c>
      <c r="B132" s="76">
        <f>floors!$C$2</f>
        <v>65535</v>
      </c>
      <c r="C132" s="77" t="str">
        <f ca="1">VLOOKUP($B132,OFFSET([2]quests!$A$1,0,0,COUNTA([2]quests!$A:$A),MATCH(C$1,[2]quests!$1:$1,0)-MATCH($B$1,[2]quests!$1:$1,0)+1),MATCH(C$1,[2]quests!$1:$1,0)-MATCH($B$1,[2]quests!$1:$1,0)+1,FALSE)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32" s="77" t="str">
        <f ca="1">VLOOKUP($B132,OFFSET([2]quests!$A$1,0,0,COUNTA([2]quests!$A:$A),MATCH(D$1,[2]quests!$1:$1,0)-MATCH($B$1,[2]quests!$1:$1,0)+1),MATCH(D$1,[2]quests!$1:$1,0)-MATCH($B$1,[2]quests!$1:$1,0)+1,FALSE)</f>
        <v>検証</v>
      </c>
      <c r="E132" s="81" t="s">
        <v>219</v>
      </c>
      <c r="F132" s="77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77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79">
        <v>0</v>
      </c>
      <c r="I132">
        <v>36</v>
      </c>
      <c r="J132" s="78" t="s">
        <v>196</v>
      </c>
      <c r="K132" s="88" t="str">
        <f>VLOOKUP(I132,[9]stage_hints!$A:$C,3,FALSE)</f>
        <v>チャレンジタワーのボス</v>
      </c>
      <c r="L132" s="89" t="str">
        <f>VLOOKUP(I132,[9]stage_hints!$A:$D,4,FALSE)</f>
        <v>チャレンジタワーでのみ登場するボスは_x000D_一定確率で獲得することができます</v>
      </c>
      <c r="M132" s="52" t="s">
        <v>211</v>
      </c>
    </row>
    <row r="133" spans="1:13" x14ac:dyDescent="0.15">
      <c r="A133" s="75" t="s">
        <v>199</v>
      </c>
      <c r="B133" s="76">
        <f>floors!$C$2</f>
        <v>65535</v>
      </c>
      <c r="C133" s="77" t="str">
        <f ca="1">VLOOKUP($B133,OFFSET([2]quests!$A$1,0,0,COUNTA([2]quests!$A:$A),MATCH(C$1,[2]quests!$1:$1,0)-MATCH($B$1,[2]quests!$1:$1,0)+1),MATCH(C$1,[2]quests!$1:$1,0)-MATCH($B$1,[2]quests!$1:$1,0)+1,FALSE)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33" s="77" t="str">
        <f ca="1">VLOOKUP($B133,OFFSET([2]quests!$A$1,0,0,COUNTA([2]quests!$A:$A),MATCH(D$1,[2]quests!$1:$1,0)-MATCH($B$1,[2]quests!$1:$1,0)+1),MATCH(D$1,[2]quests!$1:$1,0)-MATCH($B$1,[2]quests!$1:$1,0)+1,FALSE)</f>
        <v>検証</v>
      </c>
      <c r="E133" s="81" t="s">
        <v>219</v>
      </c>
      <c r="F133" s="77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77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79">
        <v>0</v>
      </c>
      <c r="I133">
        <v>37</v>
      </c>
      <c r="J133" s="78" t="s">
        <v>196</v>
      </c>
      <c r="K133" s="88" t="str">
        <f>VLOOKUP(I133,[9]stage_hints!$A:$C,3,FALSE)</f>
        <v>限界突破値の引き継ぎ</v>
      </c>
      <c r="L133" s="89" t="str">
        <f>VLOOKUP(I133,[9]stage_hints!$A:$D,4,FALSE)</f>
        <v>同じユニットを強化で合成すると_x000D_限界突破値を引き継げます（覚醒前後も可）</v>
      </c>
      <c r="M133" s="52" t="s">
        <v>211</v>
      </c>
    </row>
    <row r="134" spans="1:13" x14ac:dyDescent="0.15">
      <c r="A134" s="75" t="s">
        <v>199</v>
      </c>
      <c r="B134" s="76">
        <f>floors!$C$2</f>
        <v>65535</v>
      </c>
      <c r="C134" s="77" t="str">
        <f ca="1">VLOOKUP($B134,OFFSET([2]quests!$A$1,0,0,COUNTA([2]quests!$A:$A),MATCH(C$1,[2]quests!$1:$1,0)-MATCH($B$1,[2]quests!$1:$1,0)+1),MATCH(C$1,[2]quests!$1:$1,0)-MATCH($B$1,[2]quests!$1:$1,0)+1,FALSE)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134" s="77" t="str">
        <f ca="1">VLOOKUP($B134,OFFSET([2]quests!$A$1,0,0,COUNTA([2]quests!$A:$A),MATCH(D$1,[2]quests!$1:$1,0)-MATCH($B$1,[2]quests!$1:$1,0)+1),MATCH(D$1,[2]quests!$1:$1,0)-MATCH($B$1,[2]quests!$1:$1,0)+1,FALSE)</f>
        <v>検証</v>
      </c>
      <c r="E134" s="81" t="s">
        <v>219</v>
      </c>
      <c r="F134" s="77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77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79">
        <v>0</v>
      </c>
      <c r="I134">
        <v>39</v>
      </c>
      <c r="J134" s="78" t="s">
        <v>196</v>
      </c>
      <c r="K134" s="88" t="str">
        <f>VLOOKUP(I134,[9]stage_hints!$A:$C,3,FALSE)</f>
        <v>システム適合者を確認</v>
      </c>
      <c r="L134" s="89" t="str">
        <f>VLOOKUP(I134,[9]stage_hints!$A:$D,4,FALSE)</f>
        <v>ALICEが「アナタ」を呼んでいます</v>
      </c>
      <c r="M134" s="52" t="s">
        <v>211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K2" sqref="K2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0" t="s">
        <v>186</v>
      </c>
      <c r="B1" s="66" t="s">
        <v>151</v>
      </c>
      <c r="C1" s="71" t="s">
        <v>188</v>
      </c>
      <c r="D1" s="71" t="s">
        <v>33</v>
      </c>
      <c r="E1" s="66" t="s">
        <v>189</v>
      </c>
      <c r="F1" s="71" t="s">
        <v>18</v>
      </c>
      <c r="G1" s="71" t="s">
        <v>33</v>
      </c>
      <c r="H1" s="66" t="s">
        <v>191</v>
      </c>
      <c r="I1" s="84" t="s">
        <v>192</v>
      </c>
      <c r="J1" s="86" t="s">
        <v>193</v>
      </c>
      <c r="K1" s="73" t="s">
        <v>127</v>
      </c>
      <c r="L1" s="72" t="s">
        <v>184</v>
      </c>
      <c r="M1" s="87" t="s">
        <v>183</v>
      </c>
      <c r="N1" s="74" t="s">
        <v>194</v>
      </c>
    </row>
    <row r="2" spans="1:14" x14ac:dyDescent="0.15">
      <c r="A2" s="75" t="s">
        <v>195</v>
      </c>
      <c r="B2" s="76">
        <f>floors!$C$2</f>
        <v>65535</v>
      </c>
      <c r="C2" s="77" t="str">
        <f ca="1">VLOOKUP($B2,OFFSET([2]quests!$A$1,0,0,COUNTA([2]quests!$A:$A),MATCH(C$1,[2]quests!$1:$1,0)-MATCH($B$1,[2]quests!$1:$1,0)+1),MATCH(C$1,[2]quests!$1:$1,0)-MATCH($B$1,[2]quests!$1:$1,0)+1,FALSE)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" s="77" t="str">
        <f ca="1">VLOOKUP($B2,OFFSET([2]quests!$A$1,0,0,COUNTA([2]quests!$A:$A),MATCH(D$1,[2]quests!$1:$1,0)-MATCH($B$1,[2]quests!$1:$1,0)+1),MATCH(D$1,[2]quests!$1:$1,0)-MATCH($B$1,[2]quests!$1:$1,0)+1,FALSE)</f>
        <v>検証</v>
      </c>
      <c r="E2" s="78">
        <v>1</v>
      </c>
      <c r="F2" s="77" t="str">
        <f ca="1">VLOOKUP($B2&amp;"_"&amp;$E2,OFFSET([2]stages!$A$1,0,0,COUNTA([2]stages!$A:$A),MATCH(F$1,[2]stages!$2:$2,0)-MATCH("temp_stage",[2]stages!$2:$2,0)+1),MATCH(F$1,[2]stages!$2:$2,0)-MATCH("temp_stage",[2]stages!$2:$2,0)+1,FALSE)</f>
        <v>テンプレート</v>
      </c>
      <c r="G2" s="77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79">
        <v>0</v>
      </c>
      <c r="I2" s="85">
        <f>ROW()-1</f>
        <v>1</v>
      </c>
      <c r="J2" s="80" t="str">
        <f>B2&amp;TEXT(I2,"00")</f>
        <v>6553501</v>
      </c>
      <c r="K2" s="78" t="s">
        <v>196</v>
      </c>
      <c r="L2" s="81" t="s">
        <v>197</v>
      </c>
      <c r="M2" s="82" t="s">
        <v>200</v>
      </c>
      <c r="N2" s="52" t="s">
        <v>198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G5" sqref="G5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177" t="s">
        <v>268</v>
      </c>
      <c r="B1" s="178" t="s">
        <v>269</v>
      </c>
      <c r="C1" s="71" t="s">
        <v>270</v>
      </c>
      <c r="D1" s="71" t="s">
        <v>33</v>
      </c>
      <c r="E1" s="178" t="s">
        <v>271</v>
      </c>
      <c r="F1" s="71" t="s">
        <v>270</v>
      </c>
      <c r="G1" s="71" t="s">
        <v>33</v>
      </c>
      <c r="H1" s="178" t="s">
        <v>272</v>
      </c>
      <c r="I1" s="178" t="s">
        <v>274</v>
      </c>
      <c r="J1" s="178" t="s">
        <v>275</v>
      </c>
      <c r="K1" s="66" t="s">
        <v>276</v>
      </c>
      <c r="L1" s="66" t="s">
        <v>156</v>
      </c>
      <c r="M1" s="66" t="s">
        <v>157</v>
      </c>
      <c r="N1" s="71" t="s">
        <v>16</v>
      </c>
      <c r="O1" s="66" t="s">
        <v>158</v>
      </c>
      <c r="P1" s="66" t="s">
        <v>57</v>
      </c>
      <c r="Q1" s="66" t="s">
        <v>160</v>
      </c>
      <c r="R1" s="66" t="s">
        <v>38</v>
      </c>
      <c r="S1" s="66" t="s">
        <v>40</v>
      </c>
      <c r="T1" s="66" t="s">
        <v>42</v>
      </c>
      <c r="U1" s="66" t="s">
        <v>44</v>
      </c>
      <c r="V1" s="66" t="s">
        <v>46</v>
      </c>
      <c r="W1" s="66" t="s">
        <v>167</v>
      </c>
      <c r="X1" s="66" t="s">
        <v>168</v>
      </c>
    </row>
    <row r="2" spans="1:24" x14ac:dyDescent="0.15">
      <c r="A2" s="179" t="str">
        <f>B2&amp;"_"&amp;E2&amp;"_"&amp;H2&amp;"_"&amp;I2&amp;"_"&amp;J2</f>
        <v>65535_7_everyone_clear_1</v>
      </c>
      <c r="B2" s="76">
        <v>65535</v>
      </c>
      <c r="C2" s="77" t="str">
        <f ca="1">VLOOKUP($B2,OFFSET([2]quests!$A$1,0,0,COUNTA([2]quests!$A:$A),MATCH(C$1,[2]quests!$1:$1,0)-MATCH($B$1,[2]quests!$1:$1,0)+1),MATCH(C$1,[2]quests!$1:$1,0)-MATCH($B$1,[2]quests!$1:$1,0)+1,FALSE)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" s="77" t="str">
        <f ca="1">VLOOKUP($B2,OFFSET([2]quests!$A$1,0,0,COUNTA([2]quests!$A:$A),MATCH(D$1,[2]quests!$1:$1,0)-MATCH($B$1,[2]quests!$1:$1,0)+1),MATCH(D$1,[2]quests!$1:$1,0)-MATCH($B$1,[2]quests!$1:$1,0)+1,FALSE)</f>
        <v>検証</v>
      </c>
      <c r="E2" s="78">
        <v>7</v>
      </c>
      <c r="F2" s="77" t="str">
        <f ca="1">VLOOKUP($B2&amp;"_"&amp;$E2,OFFSET([2]stages!$A$1,0,0,COUNTA([2]stages!$A:$A),MATCH(F$1,[2]stages!$2:$2,0)-MATCH("temp_stage",[2]stages!$2:$2,0)+1),MATCH(F$1,[2]stages!$2:$2,0)-MATCH("temp_stage",[2]stages!$2:$2,0)+1,FALSE)</f>
        <v>爆風ジャンヌ</v>
      </c>
      <c r="G2" s="77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79" t="s">
        <v>277</v>
      </c>
      <c r="I2" s="78" t="s">
        <v>278</v>
      </c>
      <c r="J2" s="78">
        <v>1</v>
      </c>
      <c r="K2" s="78">
        <v>100</v>
      </c>
      <c r="L2" s="78" t="s">
        <v>298</v>
      </c>
      <c r="M2" s="78">
        <v>600</v>
      </c>
      <c r="N2" s="180" t="str">
        <f ca="1">IF(L2="unit",VLOOKUP($M2,OFFSET([6]characters!$A$1,0,0,COUNTA([6]characters!$A:$A),MATCH(N$1,[6]characters!$1:$1,0)-MATCH("character_id",[6]characters!$1:$1,0)+1),MATCH(N$1,[6]characters!$1:$1,0)-MATCH("character_id",[6]characters!$1:$1,0)+1,FALSE),"")</f>
        <v/>
      </c>
      <c r="O2" s="78">
        <v>2</v>
      </c>
      <c r="P2" s="78">
        <v>1</v>
      </c>
      <c r="Q2" s="78">
        <v>1</v>
      </c>
      <c r="R2" s="78">
        <v>0</v>
      </c>
      <c r="S2" s="78">
        <v>0</v>
      </c>
      <c r="T2" s="78">
        <v>0</v>
      </c>
      <c r="U2" s="78">
        <v>0</v>
      </c>
      <c r="V2" s="78">
        <v>1</v>
      </c>
      <c r="W2" s="181" t="s">
        <v>279</v>
      </c>
      <c r="X2" s="182" t="s">
        <v>280</v>
      </c>
    </row>
    <row r="3" spans="1:24" x14ac:dyDescent="0.15">
      <c r="A3" s="179" t="str">
        <f>B3&amp;"_"&amp;E3&amp;"_"&amp;H3&amp;"_"&amp;I3&amp;"_"&amp;J3</f>
        <v>65535_7_everyone_no_continue_1</v>
      </c>
      <c r="B3" s="76">
        <v>65535</v>
      </c>
      <c r="C3" s="77" t="str">
        <f ca="1">VLOOKUP($B3,OFFSET([2]quests!$A$1,0,0,COUNTA([2]quests!$A:$A),MATCH(C$1,[2]quests!$1:$1,0)-MATCH($B$1,[2]quests!$1:$1,0)+1),MATCH(C$1,[2]quests!$1:$1,0)-MATCH($B$1,[2]quests!$1:$1,0)+1,FALSE)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" s="77" t="str">
        <f ca="1">VLOOKUP($B3,OFFSET([2]quests!$A$1,0,0,COUNTA([2]quests!$A:$A),MATCH(D$1,[2]quests!$1:$1,0)-MATCH($B$1,[2]quests!$1:$1,0)+1),MATCH(D$1,[2]quests!$1:$1,0)-MATCH($B$1,[2]quests!$1:$1,0)+1,FALSE)</f>
        <v>検証</v>
      </c>
      <c r="E3" s="78">
        <v>7</v>
      </c>
      <c r="F3" s="77" t="str">
        <f ca="1">VLOOKUP($B3&amp;"_"&amp;$E3,OFFSET([2]stages!$A$1,0,0,COUNTA([2]stages!$A:$A),MATCH(F$1,[2]stages!$2:$2,0)-MATCH("temp_stage",[2]stages!$2:$2,0)+1),MATCH(F$1,[2]stages!$2:$2,0)-MATCH("temp_stage",[2]stages!$2:$2,0)+1,FALSE)</f>
        <v>爆風ジャンヌ</v>
      </c>
      <c r="G3" s="77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79" t="s">
        <v>277</v>
      </c>
      <c r="I3" s="78" t="s">
        <v>281</v>
      </c>
      <c r="J3" s="78">
        <v>1</v>
      </c>
      <c r="K3" s="78">
        <v>100</v>
      </c>
      <c r="L3" s="78" t="s">
        <v>298</v>
      </c>
      <c r="M3" s="78">
        <v>600</v>
      </c>
      <c r="N3" s="180" t="str">
        <f ca="1">IF(L3="unit",VLOOKUP($M3,OFFSET([6]characters!$A$1,0,0,COUNTA([6]characters!$A:$A),MATCH(N$1,[6]characters!$1:$1,0)-MATCH("character_id",[6]characters!$1:$1,0)+1),MATCH(N$1,[6]characters!$1:$1,0)-MATCH("character_id",[6]characters!$1:$1,0)+1,FALSE),"")</f>
        <v/>
      </c>
      <c r="O3" s="78">
        <v>3</v>
      </c>
      <c r="P3" s="78">
        <v>1</v>
      </c>
      <c r="Q3" s="78">
        <v>1</v>
      </c>
      <c r="R3" s="78">
        <v>0</v>
      </c>
      <c r="S3" s="78">
        <v>0</v>
      </c>
      <c r="T3" s="78">
        <v>0</v>
      </c>
      <c r="U3" s="78">
        <v>0</v>
      </c>
      <c r="V3" s="78">
        <v>1</v>
      </c>
      <c r="W3" s="181" t="s">
        <v>279</v>
      </c>
      <c r="X3" s="182" t="s">
        <v>280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2016-10-20T00:08:21Z</dcterms:modified>
</cp:coreProperties>
</file>