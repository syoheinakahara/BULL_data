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960" yWindow="1460" windowWidth="30320" windowHeight="201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AC7" i="1"/>
  <c r="A7" i="1"/>
  <c r="AC6" i="1"/>
  <c r="A6" i="1"/>
  <c r="AC5" i="1"/>
  <c r="A5" i="1"/>
  <c r="AC4" i="1"/>
  <c r="A4" i="1"/>
  <c r="AC3" i="1"/>
  <c r="A3" i="1"/>
  <c r="AD7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D6" i="1"/>
  <c r="AF6" i="1"/>
  <c r="AI6" i="1"/>
  <c r="AG6" i="1"/>
  <c r="AE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D3" i="1"/>
  <c r="AF3" i="1"/>
  <c r="AI3" i="1"/>
  <c r="AG3" i="1"/>
  <c r="AE3" i="1"/>
  <c r="V3" i="1"/>
  <c r="T3" i="1"/>
  <c r="Q3" i="1"/>
  <c r="O3" i="1"/>
  <c r="N3" i="1"/>
  <c r="M3" i="1"/>
  <c r="H3" i="1"/>
  <c r="J3" i="1"/>
  <c r="I3" i="1"/>
  <c r="D3" i="1"/>
  <c r="F3" i="1"/>
  <c r="E3" i="1"/>
  <c r="AD2" i="1"/>
  <c r="AF2" i="1"/>
  <c r="AI2" i="1"/>
  <c r="AG2" i="1"/>
  <c r="AE2" i="1"/>
  <c r="AC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C10" i="18"/>
  <c r="D10" i="18"/>
  <c r="I7" i="21"/>
  <c r="G7" i="21"/>
  <c r="F7" i="21"/>
  <c r="D7" i="21"/>
  <c r="C7" i="21"/>
  <c r="I6" i="21"/>
  <c r="G6" i="21"/>
  <c r="F6" i="21"/>
  <c r="D6" i="21"/>
  <c r="C6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I2" i="21"/>
  <c r="G2" i="21"/>
  <c r="F2" i="21"/>
  <c r="D2" i="21"/>
  <c r="C2" i="21"/>
  <c r="G2" i="2"/>
  <c r="A2" i="2"/>
  <c r="G3" i="2"/>
  <c r="A3" i="2"/>
  <c r="G4" i="2"/>
  <c r="A4" i="2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3" i="21"/>
  <c r="O4" i="21"/>
  <c r="O5" i="21"/>
  <c r="O6" i="21"/>
  <c r="O7" i="21"/>
  <c r="O2" i="21"/>
  <c r="H4" i="2"/>
  <c r="E4" i="2"/>
  <c r="D4" i="2"/>
  <c r="B4" i="2"/>
  <c r="H3" i="2"/>
  <c r="E3" i="2"/>
  <c r="D3" i="2"/>
  <c r="B3" i="2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  <c r="A2" i="1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<sst xmlns="http://schemas.openxmlformats.org/spreadsheetml/2006/main" count="635" uniqueCount="341">
  <si>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</si>
  <si>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</si>
  <si>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</si>
  <si>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</si>
  <si>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</si>
  <si>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</si>
  <si>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</si>
  <si>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</si>
  <si>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</si>
  <si>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</si>
  <si>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</si>
  <si>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</si>
  <si>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</si>
  <si>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</si>
  <si>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</si>
  <si>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</si>
  <si>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</si>
  <si>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</si>
  <si>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</si>
  <si>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</si>
  <si>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</si>
  <si>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</si>
  <si>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</si>
  <si>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</si>
  <si>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</si>
  <si>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</si>
  <si>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</si>
  <si>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</si>
  <si>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</si>
  <si>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</si>
  <si>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</si>
  <si>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</si>
  <si>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</si>
  <si>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</si>
  <si>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</si>
  <si>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</si>
  <si>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</si>
  <si>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</si>
  <si>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</si>
  <si>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</si>
  <si>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</si>
  <si>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</si>
  <si>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</si>
  <si>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</si>
  <si>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</si>
  <si>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</si>
  <si>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</si>
  <si>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</si>
  <si>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</si>
  <si>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</si>
  <si>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</si>
  <si>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</si>
  <si>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</si>
  <si>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</si>
  <si>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</si>
  <si>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</si>
  <si>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</si>
  <si>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</si>
  <si>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</si>
  <si>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</si>
  <si>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</si>
  <si>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</si>
  <si>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</si>
  <si>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</si>
  <si>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</si>
  <si>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</si>
  <si>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</si>
  <si>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</si>
  <si>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</si>
  <si>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</si>
  <si>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</si>
  <si>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</si>
  <si>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</si>
  <si>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</si>
  <si>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</si>
  <si>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</si>
  <si>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</si>
  <si>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</si>
  <si>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</si>
  <si>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</si>
  <si>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</si>
  <si>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</si>
  <si>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</si>
  <si>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</si>
  <si>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</si>
  <si>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</si>
  <si>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</si>
  <si>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</si>
  <si>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</si>
  <si>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</si>
  <si>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</si>
  <si>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</si>
  <si>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</si>
  <si>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</si>
  <si>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</si>
  <si>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</si>
  <si>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</si>
  <si>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</si>
  <si>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</si>
  <si>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</si>
  <si>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</si>
  <si>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</si>
  <si>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</si>
  <si>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</si>
  <si>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</si>
  <si>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</si>
  <si>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</si>
  <si>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</si>
  <si>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</si>
  <si>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</si>
  <si>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</si>
  <si>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</si>
  <si>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</si>
  <si>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</si>
  <si>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</si>
  <si>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</si>
  <si>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</si>
  <si>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</si>
  <si>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</si>
  <si>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</si>
  <si>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</si>
  <si>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</si>
  <si>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</si>
  <si>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</si>
  <si>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</si>
  <si>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</si>
  <si>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</si>
  <si>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</si>
  <si>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</si>
  <si>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</si>
  <si>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</si>
  <si>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</si>
  <si>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</si>
  <si>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</si>
  <si>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</si>
  <si>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</si>
  <si>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</si>
  <si>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</si>
  <si>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</si>
  <si>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</si>
  <si>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</si>
  <si>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</si>
  <si>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</si>
  <si>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</si>
  <si>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</si>
  <si>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</si>
  <si>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</si>
  <si>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</si>
  <si>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</si>
  <si>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</si>
  <si>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</si>
  <si>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</si>
  <si>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</si>
  <si>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</si>
  <si>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</si>
  <si>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</si>
  <si>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</si>
  <si>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</si>
  <si>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</si>
  <si>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</si>
  <si>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</si>
  <si>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</si>
  <si>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</si>
  <si>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</si>
  <si>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</si>
  <si>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</si>
  <si>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</si>
  <si>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</si>
  <si>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</si>
  <si>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</si>
  <si>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</si>
  <si>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</si>
  <si>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</si>
  <si>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</si>
  <si>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</si>
  <si>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</si>
  <si>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</si>
  <si>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</si>
  <si>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</si>
  <si>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</si>
  <si>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</si>
  <si>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</si>
  <si>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</si>
  <si>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</si>
  <si>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</si>
  <si>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</si>
  <si>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</si>
  <si>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</si>
  <si>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</si>
  <si>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</si>
  <si>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</si>
  <si>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</si>
  <si>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</si>
  <si>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</si>
  <si>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</si>
  <si>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</si>
  <si>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</si>
  <si>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</si>
  <si>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</si>
  <si>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</si>
  <si>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</si>
  <si>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</si>
  <si>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</si>
  <si>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</si>
  <si>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</si>
  <si>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</si>
  <si>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</si>
  <si>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</si>
  <si>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</si>
  <si>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</si>
  <si>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</si>
  <si>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</si>
  <si>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</si>
  <si>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</si>
  <si>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</si>
  <si>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</si>
  <si>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</si>
  <si>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</si>
  <si>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</si>
  <si>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</si>
  <si>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</si>
  <si>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</si>
  <si>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</si>
  <si>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</si>
  <si>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</si>
  <si>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</si>
  <si>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</si>
  <si>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</si>
  <si>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</si>
  <si>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</si>
  <si>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</si>
  <si>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</si>
  <si>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</si>
  <si>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</si>
  <si>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</si>
  <si>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</si>
  <si>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</si>
  <si>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</si>
  <si>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</si>
  <si>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</si>
  <si>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</si>
  <si>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</si>
  <si>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</si>
  <si>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</si>
  <si>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</si>
  <si>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</si>
  <si>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</si>
  <si>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</si>
  <si>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</si>
  <si>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塔の結界</t>
    <rPh sb="0" eb="1">
      <t>トウノ</t>
    </rPh>
    <rPh sb="2" eb="4">
      <t>ケッカイ</t>
    </rPh>
    <phoneticPr fontId="5"/>
  </si>
  <si>
    <t>unit</t>
  </si>
  <si>
    <t>link</t>
  </si>
  <si>
    <t>null</t>
    <phoneticPr fontId="5"/>
  </si>
  <si>
    <t>bit</t>
    <phoneticPr fontId="5"/>
  </si>
  <si>
    <t>bit</t>
    <phoneticPr fontId="5"/>
  </si>
  <si>
    <t>null</t>
    <phoneticPr fontId="5"/>
  </si>
  <si>
    <t>null</t>
    <phoneticPr fontId="5"/>
  </si>
  <si>
    <t>singleonly</t>
    <phoneticPr fontId="5"/>
  </si>
  <si>
    <t>singleonly</t>
    <phoneticPr fontId="5"/>
  </si>
  <si>
    <t>ja</t>
    <phoneticPr fontId="5"/>
  </si>
  <si>
    <t>ja</t>
    <phoneticPr fontId="5"/>
  </si>
  <si>
    <t>チェンはターンが経過すると
攻撃力がUPします
なるべく素早く抜けましょう</t>
    <phoneticPr fontId="5"/>
  </si>
  <si>
    <t>NULL</t>
    <phoneticPr fontId="5"/>
  </si>
  <si>
    <t>八咫烏は赤・青・黄属性に対して
それぞれ全体キラー攻撃を行います
複数属性のパーティで挑みましょう</t>
    <rPh sb="34" eb="36">
      <t>フクスウ</t>
    </rPh>
    <rPh sb="36" eb="38">
      <t>ゾクセイ</t>
    </rPh>
    <rPh sb="44" eb="45">
      <t>イドム</t>
    </rPh>
    <phoneticPr fontId="5"/>
  </si>
  <si>
    <t>ja</t>
    <phoneticPr fontId="5"/>
  </si>
  <si>
    <t>バハムートは緑パネルを赤パネルに変換した
次のターンに赤パネル吸収攻撃を行います</t>
    <phoneticPr fontId="5"/>
  </si>
  <si>
    <t>NULL</t>
    <phoneticPr fontId="5"/>
  </si>
  <si>
    <t>ユミルは定期的に自身の攻撃力をUPします
防御力UPのスキルを持つ
ユニットで対抗しましょう</t>
    <rPh sb="8" eb="10">
      <t>ジシンノ</t>
    </rPh>
    <phoneticPr fontId="5"/>
  </si>
  <si>
    <t>ニーズヘッグはユミルが倒されると
攻撃力が超大UPします
先に倒すべき相手を見極めましょう</t>
    <rPh sb="30" eb="31">
      <t>サキニ</t>
    </rPh>
    <rPh sb="32" eb="33">
      <t>タオスベキ</t>
    </rPh>
    <rPh sb="36" eb="38">
      <t>アイテヲ</t>
    </rPh>
    <rPh sb="39" eb="41">
      <t>ミキワメマショウ</t>
    </rPh>
    <phoneticPr fontId="5"/>
  </si>
  <si>
    <t>null</t>
    <phoneticPr fontId="5"/>
  </si>
  <si>
    <t>ja</t>
    <phoneticPr fontId="5"/>
  </si>
  <si>
    <t>セルフエンチャント</t>
    <phoneticPr fontId="5"/>
  </si>
  <si>
    <t>ja</t>
    <phoneticPr fontId="5"/>
  </si>
  <si>
    <t>威圧の眼光</t>
    <rPh sb="0" eb="2">
      <t>イアツ</t>
    </rPh>
    <rPh sb="3" eb="5">
      <t>ガンコウ</t>
    </rPh>
    <phoneticPr fontId="5"/>
  </si>
  <si>
    <t>機械仕掛けの氷弾</t>
    <rPh sb="0" eb="4">
      <t>キカイジカケ</t>
    </rPh>
    <rPh sb="6" eb="7">
      <t>コオリ</t>
    </rPh>
    <rPh sb="7" eb="8">
      <t>タマ</t>
    </rPh>
    <phoneticPr fontId="5"/>
  </si>
  <si>
    <t>ja</t>
    <phoneticPr fontId="5"/>
  </si>
  <si>
    <t>機械仕掛けの雷弾</t>
    <rPh sb="0" eb="4">
      <t>キカイジカケ</t>
    </rPh>
    <rPh sb="6" eb="7">
      <t>カミナリ</t>
    </rPh>
    <rPh sb="7" eb="8">
      <t>タマ</t>
    </rPh>
    <phoneticPr fontId="5"/>
  </si>
  <si>
    <t>ja</t>
    <phoneticPr fontId="5"/>
  </si>
  <si>
    <t>時差式爆炎弾</t>
    <rPh sb="0" eb="3">
      <t>ジサシキ</t>
    </rPh>
    <rPh sb="3" eb="5">
      <t>バクエン</t>
    </rPh>
    <rPh sb="5" eb="6">
      <t>タマ</t>
    </rPh>
    <phoneticPr fontId="5"/>
  </si>
  <si>
    <t>霊鳥の視界</t>
    <rPh sb="0" eb="2">
      <t>レイチョウ</t>
    </rPh>
    <rPh sb="3" eb="5">
      <t>シカイ</t>
    </rPh>
    <phoneticPr fontId="5"/>
  </si>
  <si>
    <t>[effect:break_attack_fix, target:unit_all, val:150, lowest_val:750, count:30, color:red, block01:block_red],[effect:fix_speed, target:myself, turn:2]</t>
    <phoneticPr fontId="5"/>
  </si>
  <si>
    <t>ヒートスライサー</t>
    <phoneticPr fontId="5"/>
  </si>
  <si>
    <t>赤パネルを吸収して全体攻撃（最大30個）</t>
    <rPh sb="14" eb="16">
      <t>サイダイ</t>
    </rPh>
    <rPh sb="18" eb="19">
      <t>コ</t>
    </rPh>
    <phoneticPr fontId="5"/>
  </si>
  <si>
    <t>グリーンクラッシャー</t>
    <phoneticPr fontId="5"/>
  </si>
  <si>
    <t>ラブパッション</t>
    <phoneticPr fontId="5"/>
  </si>
  <si>
    <t>鋼鉄の巨壁</t>
    <rPh sb="0" eb="2">
      <t>コウテツノ</t>
    </rPh>
    <rPh sb="3" eb="5">
      <t>キョヘキ</t>
    </rPh>
    <phoneticPr fontId="5"/>
  </si>
  <si>
    <t>赤を砕く機剣</t>
    <rPh sb="0" eb="1">
      <t>アカヲ</t>
    </rPh>
    <rPh sb="2" eb="3">
      <t>クダク</t>
    </rPh>
    <rPh sb="4" eb="5">
      <t>キコウ</t>
    </rPh>
    <rPh sb="5" eb="6">
      <t>ケン</t>
    </rPh>
    <phoneticPr fontId="5"/>
  </si>
  <si>
    <t>青を砕く機剣</t>
    <rPh sb="0" eb="1">
      <t>アオヲ</t>
    </rPh>
    <rPh sb="2" eb="3">
      <t>クダク</t>
    </rPh>
    <rPh sb="4" eb="5">
      <t>キカイ</t>
    </rPh>
    <rPh sb="5" eb="6">
      <t>ケン</t>
    </rPh>
    <phoneticPr fontId="5"/>
  </si>
  <si>
    <t>ja</t>
    <phoneticPr fontId="5"/>
  </si>
  <si>
    <t>破滅の火種</t>
    <rPh sb="0" eb="2">
      <t>ハメツノ</t>
    </rPh>
    <rPh sb="3" eb="5">
      <t>ヒダネ</t>
    </rPh>
    <phoneticPr fontId="5"/>
  </si>
  <si>
    <t>鋼鉄の凶身</t>
    <rPh sb="0" eb="2">
      <t>コウテツノ</t>
    </rPh>
    <rPh sb="3" eb="4">
      <t>キョウボウ</t>
    </rPh>
    <rPh sb="4" eb="5">
      <t>シンタイ</t>
    </rPh>
    <phoneticPr fontId="5"/>
  </si>
  <si>
    <t>鋼鉄の凶刃</t>
    <rPh sb="0" eb="2">
      <t>コウテツノ</t>
    </rPh>
    <rPh sb="3" eb="4">
      <t>キョウボウ</t>
    </rPh>
    <phoneticPr fontId="5"/>
  </si>
  <si>
    <t>イエローイーター</t>
    <phoneticPr fontId="5"/>
  </si>
  <si>
    <t>黄属性のユニットに大ダメージの全体攻撃</t>
    <rPh sb="0" eb="1">
      <t>キイロ</t>
    </rPh>
    <rPh sb="1" eb="3">
      <t>キゾクセイノ</t>
    </rPh>
    <phoneticPr fontId="5"/>
  </si>
  <si>
    <t>悪竜の暴散</t>
    <rPh sb="0" eb="1">
      <t>アク</t>
    </rPh>
    <rPh sb="1" eb="2">
      <t>リュウ</t>
    </rPh>
    <rPh sb="3" eb="4">
      <t>ボウソウ</t>
    </rPh>
    <rPh sb="4" eb="5">
      <t>サンカイ</t>
    </rPh>
    <phoneticPr fontId="5"/>
  </si>
  <si>
    <t>悪竜の逆襲</t>
    <rPh sb="0" eb="1">
      <t>アク</t>
    </rPh>
    <rPh sb="1" eb="2">
      <t>リュウ</t>
    </rPh>
    <phoneticPr fontId="5"/>
  </si>
  <si>
    <t>ニーズヘッグの攻撃力超大UP</t>
    <rPh sb="7" eb="10">
      <t>コウゲキリョク</t>
    </rPh>
    <phoneticPr fontId="5"/>
  </si>
  <si>
    <t>null</t>
    <phoneticPr fontId="5"/>
  </si>
  <si>
    <t>「塔の結界」はコスト31以上のユニットに
即死級のダメージを与えます
注意しましょう</t>
    <phoneticPr fontId="5"/>
  </si>
  <si>
    <t>コスト31以上のユニットに即死級の自爆攻撃</t>
    <rPh sb="5" eb="7">
      <t>イジョウ</t>
    </rPh>
    <rPh sb="13" eb="16">
      <t>ソクシキュウ</t>
    </rPh>
    <rPh sb="17" eb="19">
      <t>ジバク</t>
    </rPh>
    <rPh sb="19" eb="21">
      <t>コウゲキ</t>
    </rPh>
    <phoneticPr fontId="5"/>
  </si>
  <si>
    <t>ヒールポイズン</t>
    <phoneticPr fontId="5"/>
  </si>
  <si>
    <t xml:space="preserve">[effect:enemy_message, val1:1, val2:2.6],[effect:damage_anti_color, target:unit_all, color:red, val1:0.45, val2:0.18],[effect:fix_speed, target:myself, turn:1],[effect:sp_boost, target:unit_machine, val:1, animation:sp_boost_one03]    </t>
    <phoneticPr fontId="5"/>
  </si>
  <si>
    <t xml:space="preserve">[effect:enemy_message, val1:1, val2:2.6],[effect:damage_anti_color, target:unit_all, color:blue, val1:0.45, val2:0.18],[effect:fix_speed, target:myself, turn:1],[effect:sp_boost, target:unit_machine, val:1, animation:sp_boost_one03]  </t>
    <phoneticPr fontId="5"/>
  </si>
  <si>
    <t>ja</t>
    <phoneticPr fontId="5"/>
  </si>
  <si>
    <t xml:space="preserve">[effect:enhance_enemy, target:myself, turn:-1, status:attack, val:1, calc:mul, animation:enemy_enhance_attack]    </t>
    <phoneticPr fontId="5"/>
  </si>
  <si>
    <t>[effect:tolerance, target:myself, turn:-1, tolerance_effect:all, count:-1, animation:enemy_tolerance],[effect:enhance_enemy, target:myself, turn:5, status:defense, val:5000, calc:add, animation:enemy_enhance_defense],[effect:fix_speed, target:myself, turn:1]</t>
    <phoneticPr fontId="5"/>
  </si>
  <si>
    <t xml:space="preserve">[effect:enemy_message, val1:1, val2:2.6],[effect:damage_anti_color, target:unit_all, color:blue, val1:0.36, val2:0.16],[effect:sp_boost, target:unit_machine, val:1, animation:sp_boost_one03]  </t>
    <phoneticPr fontId="5"/>
  </si>
  <si>
    <t>[effect:damage_anti_color, target:unit_all, color:green, val1:0.95, val2:0.05]</t>
    <phoneticPr fontId="5"/>
  </si>
  <si>
    <t>緑属性に大ダメージの全体攻撃</t>
    <phoneticPr fontId="5"/>
  </si>
  <si>
    <t>自然の破壊</t>
    <phoneticPr fontId="5"/>
  </si>
  <si>
    <t>緑パネルを赤パネルに変換</t>
    <rPh sb="0" eb="1">
      <t>ミドリパネル</t>
    </rPh>
    <rPh sb="5" eb="6">
      <t>アカ</t>
    </rPh>
    <rPh sb="10" eb="12">
      <t>ヘンカン</t>
    </rPh>
    <phoneticPr fontId="5"/>
  </si>
  <si>
    <t>[effect:damage_anti_color, target:unit_all, color:yellow, val1:1.35, val2:0.01],[effect:fix_speed, target:myself, turn:1]</t>
    <phoneticPr fontId="5"/>
  </si>
  <si>
    <t>[effect:damage_anti_color, target:unit_all, color:green, val1:0.9, val2:0.03],[effect:damage_anti_tribe, target:unit_all, tribe:animal, val1:0.88, val2:0.01]</t>
    <phoneticPr fontId="5"/>
  </si>
  <si>
    <t>攻撃力超大UP</t>
    <rPh sb="4" eb="5">
      <t>チョウダイ</t>
    </rPh>
    <phoneticPr fontId="5"/>
  </si>
  <si>
    <t>赤属性に大ダメージの全体攻撃+
種族マシンのスキルゲージ1上昇</t>
    <rPh sb="0" eb="1">
      <t>アカ</t>
    </rPh>
    <rPh sb="1" eb="3">
      <t>ゾクセイ</t>
    </rPh>
    <rPh sb="4" eb="5">
      <t>ダイダメージ</t>
    </rPh>
    <phoneticPr fontId="5"/>
  </si>
  <si>
    <t>青属性に大ダメージの全体攻撃+
種族マシンのスキルゲージ1上昇</t>
    <rPh sb="0" eb="1">
      <t>アオ</t>
    </rPh>
    <rPh sb="1" eb="3">
      <t>ゾクセイ</t>
    </rPh>
    <rPh sb="4" eb="5">
      <t>ダイダメージ</t>
    </rPh>
    <phoneticPr fontId="5"/>
  </si>
  <si>
    <t>クリティカル+黄パネルを最大4個まで
時限式ダメージパネルに変換</t>
    <phoneticPr fontId="5"/>
  </si>
  <si>
    <t>緑属性に大ダメージの全体攻撃+
種族アニマルに大ダメージの全体攻撃</t>
    <phoneticPr fontId="5"/>
  </si>
  <si>
    <t>状態異常耐性+3ターン防御力大UP</t>
    <rPh sb="11" eb="14">
      <t>ボウギョリョク</t>
    </rPh>
    <rPh sb="14" eb="15">
      <t>ダイ</t>
    </rPh>
    <phoneticPr fontId="5"/>
  </si>
  <si>
    <t>状態異常耐性+5ターン防御力UP</t>
    <rPh sb="13" eb="14">
      <t>チカラ</t>
    </rPh>
    <phoneticPr fontId="5"/>
  </si>
  <si>
    <t>[effect:critical, val:0.5],[effect:enemy_message, val1:1, val2:2.2],[effect:force_change_block, new_block:time_bomb, target:block_yellow, ignore01:crash, ignore02:crack_bomb, ignore03:time_bomb, color:block_yellow, count:6, val:0.1, min_time_count:2, max_time_count:3 animation:change_block]</t>
    <phoneticPr fontId="5"/>
  </si>
  <si>
    <t>クリティカル+
黄パネルを時限式ダメージパネルに変換(最大6個)</t>
    <phoneticPr fontId="5"/>
  </si>
  <si>
    <t>クリティカル+
赤パネルを時限式ダメージパネルに変換(最大5個)</t>
    <rPh sb="8" eb="9">
      <t>アカパネル</t>
    </rPh>
    <rPh sb="13" eb="16">
      <t>ジゲンシキ</t>
    </rPh>
    <rPh sb="24" eb="26">
      <t>ヘンカn</t>
    </rPh>
    <phoneticPr fontId="5"/>
  </si>
  <si>
    <t>[effect:critical, val:1],[effect:enemy_message, val1:1, val2:2.2],[effect:force_change_block, new_block:time_bomb, target:block_red, ignore01:crash, ignore02:crack_bomb, ignore03:time_bomb, color:block_red, count:5, val:0.1, min_time_count:2, max_time_count:3, animation:change_block]</t>
    <phoneticPr fontId="5"/>
  </si>
  <si>
    <t>回復タイプのユニットに11ターンウィルス</t>
    <phoneticPr fontId="5"/>
  </si>
  <si>
    <t>[effect:enemy_message, val1:1, val2:2.6],[effect:virus, target:unit_heal, turn:11, rate:1, val:0.62, animation:enemy_virus],[effect:fix_speed, target:myself, turn:1]</t>
    <phoneticPr fontId="5"/>
  </si>
  <si>
    <t>[effect:enhance_enemy, target:myself, turn:3, status:attack, val:0.65, calc:mul, animation:enemy_enhance_attack],[effect:enhance_enemy, target:myself, turn:3, status:defense, val:2000, calc:add, animation:enemy_enhance_defense],[effect:fix_speed, target:myself, turn:1]</t>
    <phoneticPr fontId="5"/>
  </si>
  <si>
    <t>2ターン攻撃力大UP+3ターン防御力UP</t>
    <rPh sb="4" eb="7">
      <t>コウゲキリョク</t>
    </rPh>
    <rPh sb="7" eb="8">
      <t>チョウダイ</t>
    </rPh>
    <rPh sb="15" eb="18">
      <t>ボウギョリョク</t>
    </rPh>
    <phoneticPr fontId="5"/>
  </si>
  <si>
    <t>3ターン攻撃力大UP＆防御力UP</t>
    <rPh sb="4" eb="7">
      <t>コウゲキリョク</t>
    </rPh>
    <rPh sb="11" eb="14">
      <t>ボウギョリョク</t>
    </rPh>
    <phoneticPr fontId="5"/>
  </si>
  <si>
    <t>[effect:enemy_message, val1:1, val2:2.3],[effect:enhance_enemy, target:myself, turn:2, status:attack, val:0.65, calc:mul, animation:enemy_enhance_attack],[effect:enhance_enemy, target:myself, turn:3, status:defense, val:2000, calc:add, animation:enemy_enhance_defense]</t>
    <phoneticPr fontId="5"/>
  </si>
  <si>
    <t>[effect:enhance_enemy, target:myself, turn:5, status:attack, val:0.8, calc:mul, animation:enemy_enhance_attack]</t>
    <phoneticPr fontId="5"/>
  </si>
  <si>
    <t>5ターン攻撃力大UP</t>
    <rPh sb="4" eb="7">
      <t>コウゲキリョク</t>
    </rPh>
    <phoneticPr fontId="5"/>
  </si>
  <si>
    <t>[effect:enhance_enemy, target:myself, turn:-1, status:attack, val:1, calc:mul, animation:enemy_enhance_attack]</t>
    <phoneticPr fontId="5"/>
  </si>
  <si>
    <t>[effect:enemy_message, val1:1, val2:2.8],[effect:damage_anti_cost, target:unit_all, lower:31, val1:99, val2:0.01, cost_type:unit],[effect:damage_anti_cost, target:unit_all, lower:31, val1:99, val2:0.01, cost_type:unit],[effect:suicide, val:1, dead_type:suicide, target:myself]</t>
    <phoneticPr fontId="5"/>
  </si>
  <si>
    <t>[effect:tolerance, target:myself, turn:-1, tolerance_effect:all, count:-1, animation:enemy_tolerance],[effect:enhance_enemy, target:myself, turn:3, status:defense, val:5000, calc:add, animation:enemy_enhance_defense],[effect:fix_speed, target:myself, turn:1]</t>
    <phoneticPr fontId="5"/>
  </si>
  <si>
    <t>[effect:force_change_block, new_block:block_red, target:block_green, ignore01:crash, ignore02:crack_bomb, ignore03:time_bomb, count:0, val:0, animation:change_block],[effect:enemy_message, val1:1.3, val2:1.5]</t>
    <phoneticPr fontId="5"/>
  </si>
  <si>
    <t>[effect:enemy_message, val1:1, val2:2.6],[effect:damage_anti_color, target:unit_all, color:red, val1:0.36, val2:0.16],[effect:sp_boost, target:unit_machine, val:1, animation:sp_boost_one03]</t>
    <phoneticPr fontId="5"/>
  </si>
  <si>
    <t>13301_11</t>
    <phoneticPr fontId="5"/>
  </si>
  <si>
    <t>13301_11</t>
    <phoneticPr fontId="5"/>
  </si>
  <si>
    <t>13301_11</t>
    <phoneticPr fontId="5"/>
  </si>
  <si>
    <t>[effect:critical, val:0.8],[effect:enemy_message, val1:1, val2:2.2],[effect:force_change_block, new_block:time_bomb, target:block_yellow, ignore01:crash, ignore02:crack_bomb, ignore03:time_bomb, color:block_yellow, count:4, val:0.16, min_time_count:2, max_time_count:2, animation:change_block],[effect:fix_speed, target:myself, turn:1]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</si>
</sst>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0" xfId="0" applyAlignment="1">
      <alignment wrapText="1"/>
    </xf>
    <xf numFmtId="0" fontId="30" fillId="14" borderId="7" xfId="0" applyFont="1" applyFill="1" applyBorder="1"/>
    <xf numFmtId="0" fontId="16" fillId="3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dotsuka-Kashin/Documents/BULL_data/master_excel/EnemyHabitatsMasterData_ResetTower_1_1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13300_13-1</v>
          </cell>
        </row>
        <row r="3">
          <cell r="A3" t="str">
            <v>13300_13-2</v>
          </cell>
        </row>
        <row r="4">
          <cell r="A4" t="str">
            <v>13300_13-3</v>
          </cell>
        </row>
      </sheetData>
      <sheetData sheetId="2"/>
      <sheetData sheetId="3"/>
      <sheetData sheetId="4"/>
      <sheetData sheetId="5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13300701</v>
          </cell>
        </row>
        <row r="3">
          <cell r="A3">
            <v>13300711</v>
          </cell>
        </row>
        <row r="4">
          <cell r="A4">
            <v>13300712</v>
          </cell>
        </row>
        <row r="5">
          <cell r="A5">
            <v>13300721</v>
          </cell>
        </row>
        <row r="6">
          <cell r="A6">
            <v>13300722</v>
          </cell>
        </row>
        <row r="7">
          <cell r="A7">
            <v>13300723</v>
          </cell>
        </row>
        <row r="8">
          <cell r="A8">
            <v>13300724</v>
          </cell>
        </row>
        <row r="9">
          <cell r="A9">
            <v>13300725</v>
          </cell>
        </row>
        <row r="10">
          <cell r="A10">
            <v>13300741</v>
          </cell>
        </row>
        <row r="11">
          <cell r="A11">
            <v>13300742</v>
          </cell>
        </row>
        <row r="12">
          <cell r="A12">
            <v>13300743</v>
          </cell>
        </row>
        <row r="13">
          <cell r="A13">
            <v>13300761</v>
          </cell>
        </row>
        <row r="14">
          <cell r="A14">
            <v>13300762</v>
          </cell>
        </row>
        <row r="15">
          <cell r="A15">
            <v>13300763</v>
          </cell>
        </row>
        <row r="16">
          <cell r="A16">
            <v>13300764</v>
          </cell>
        </row>
        <row r="17">
          <cell r="A17">
            <v>13300765</v>
          </cell>
        </row>
        <row r="18">
          <cell r="A18">
            <v>13300766</v>
          </cell>
        </row>
        <row r="19">
          <cell r="A19">
            <v>13300767</v>
          </cell>
        </row>
        <row r="20">
          <cell r="A20">
            <v>13300781</v>
          </cell>
        </row>
        <row r="21">
          <cell r="A21">
            <v>13300782</v>
          </cell>
        </row>
        <row r="22">
          <cell r="A22">
            <v>13300783</v>
          </cell>
        </row>
      </sheetData>
      <sheetData sheetId="6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13300701</v>
          </cell>
        </row>
        <row r="3">
          <cell r="A3">
            <v>13300711</v>
          </cell>
        </row>
        <row r="4">
          <cell r="A4">
            <v>13300712</v>
          </cell>
        </row>
        <row r="5">
          <cell r="A5">
            <v>13300721</v>
          </cell>
        </row>
        <row r="6">
          <cell r="A6">
            <v>13300722</v>
          </cell>
        </row>
        <row r="7">
          <cell r="A7">
            <v>13300723</v>
          </cell>
        </row>
        <row r="8">
          <cell r="A8">
            <v>13300724</v>
          </cell>
        </row>
        <row r="9">
          <cell r="A9">
            <v>13300725</v>
          </cell>
        </row>
        <row r="10">
          <cell r="A10">
            <v>13300726</v>
          </cell>
        </row>
        <row r="11">
          <cell r="A11">
            <v>13300741</v>
          </cell>
        </row>
        <row r="12">
          <cell r="A12">
            <v>13300742</v>
          </cell>
        </row>
        <row r="13">
          <cell r="A13">
            <v>13300743</v>
          </cell>
        </row>
        <row r="14">
          <cell r="A14">
            <v>13300761</v>
          </cell>
        </row>
        <row r="15">
          <cell r="A15">
            <v>13300762</v>
          </cell>
        </row>
        <row r="16">
          <cell r="A16">
            <v>13300763</v>
          </cell>
        </row>
        <row r="17">
          <cell r="A17">
            <v>13300764</v>
          </cell>
        </row>
        <row r="18">
          <cell r="A18">
            <v>13300765</v>
          </cell>
        </row>
        <row r="19">
          <cell r="A19">
            <v>13300766</v>
          </cell>
        </row>
        <row r="20">
          <cell r="A20">
            <v>13300767</v>
          </cell>
        </row>
        <row r="21">
          <cell r="A21">
            <v>13300781</v>
          </cell>
        </row>
        <row r="22">
          <cell r="A22">
            <v>13300782</v>
          </cell>
        </row>
        <row r="23">
          <cell r="A23">
            <v>13300783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G27" sqref="G2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248</v>
      </c>
      <c r="B2" s="55" t="s">
        <v>105</v>
      </c>
      <c r="C2" s="60" t="s">
        <v>337</v>
      </c>
      <c r="D2" s="55" t="s">
        <v>106</v>
      </c>
      <c r="E2" s="54" t="str">
        <f>B2&amp;C2&amp;D2</f>
        <v>floors_13301_11.tmp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248</v>
      </c>
      <c r="B3" s="55" t="s">
        <v>108</v>
      </c>
      <c r="C3" s="60" t="s">
        <v>338</v>
      </c>
      <c r="D3" s="55" t="s">
        <v>106</v>
      </c>
      <c r="E3" s="54" t="str">
        <f>B3&amp;C3&amp;D3</f>
        <v>enemy_habitats_13301_11.tmp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175</v>
      </c>
    </row>
    <row r="4" spans="1:30" x14ac:dyDescent="0.15">
      <c r="A4" s="59" t="s">
        <v>248</v>
      </c>
      <c r="B4" s="55" t="s">
        <v>110</v>
      </c>
      <c r="C4" s="60" t="s">
        <v>338</v>
      </c>
      <c r="D4" s="55" t="s">
        <v>106</v>
      </c>
      <c r="E4" s="54" t="str">
        <f>B4&amp;C4&amp;D4</f>
        <v>enemy_habitat_S_13301_11.tmp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248</v>
      </c>
      <c r="B5" s="55" t="s">
        <v>112</v>
      </c>
      <c r="C5" s="60" t="s">
        <v>337</v>
      </c>
      <c r="D5" s="55" t="s">
        <v>106</v>
      </c>
      <c r="E5" s="54" t="str">
        <f>B5&amp;C5&amp;D5</f>
        <v>enemy_skill_sets_13301_11.tmp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248</v>
      </c>
      <c r="B6" s="55" t="s">
        <v>114</v>
      </c>
      <c r="C6" s="60" t="s">
        <v>339</v>
      </c>
      <c r="D6" s="55" t="s">
        <v>115</v>
      </c>
      <c r="E6" s="54" t="str">
        <f t="shared" ref="E6:E10" si="0">B6&amp;C6&amp;D6</f>
        <v>enemy_skills_tmp_13301_11.tmp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248</v>
      </c>
      <c r="B7" s="55" t="s">
        <v>116</v>
      </c>
      <c r="C7" s="60" t="s">
        <v>338</v>
      </c>
      <c r="D7" s="55" t="s">
        <v>106</v>
      </c>
      <c r="E7" s="54" t="str">
        <f>B7&amp;C7&amp;D7</f>
        <v>enemy_skills_i18n_13301_11.tmp</v>
      </c>
      <c r="F7" s="55" t="s">
        <v>117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248</v>
      </c>
      <c r="B8" s="55" t="s">
        <v>118</v>
      </c>
      <c r="C8" s="60" t="s">
        <v>338</v>
      </c>
      <c r="D8" s="55" t="s">
        <v>119</v>
      </c>
      <c r="E8" s="54" t="str">
        <f t="shared" si="0"/>
        <v>enemy_skill_triggers_13301_11.tmp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248</v>
      </c>
      <c r="B9" s="65" t="s">
        <v>174</v>
      </c>
      <c r="C9" s="60" t="s">
        <v>338</v>
      </c>
      <c r="D9" s="65" t="s">
        <v>168</v>
      </c>
      <c r="E9" s="66" t="str">
        <f t="shared" si="0"/>
        <v>stage_bug_bonuses_13301_11.tmp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184</v>
      </c>
      <c r="B10" s="65" t="s">
        <v>197</v>
      </c>
      <c r="C10" s="60" t="s">
        <v>338</v>
      </c>
      <c r="D10" s="65" t="s">
        <v>177</v>
      </c>
      <c r="E10" s="66" t="str">
        <f t="shared" si="0"/>
        <v>stage_hints_data_c_13301_11.tmp</v>
      </c>
      <c r="F10" s="65" t="s">
        <v>205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9" t="s">
        <v>248</v>
      </c>
      <c r="B11" s="65" t="s">
        <v>198</v>
      </c>
      <c r="C11" s="60" t="s">
        <v>338</v>
      </c>
      <c r="D11" s="65" t="s">
        <v>168</v>
      </c>
      <c r="E11" s="66" t="str">
        <f t="shared" ref="E11:E13" si="1">B11&amp;C11&amp;D11</f>
        <v>stage_hints_data_f_13301_11.tmp</v>
      </c>
      <c r="F11" s="65" t="s">
        <v>206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9" t="s">
        <v>248</v>
      </c>
      <c r="B12" s="65" t="s">
        <v>199</v>
      </c>
      <c r="C12" s="60" t="s">
        <v>337</v>
      </c>
      <c r="D12" s="65" t="s">
        <v>168</v>
      </c>
      <c r="E12" s="66" t="str">
        <f t="shared" si="1"/>
        <v>stage_hints_i18n_13301_11.tmp</v>
      </c>
      <c r="F12" s="65" t="s">
        <v>207</v>
      </c>
      <c r="G12" s="71" t="s">
        <v>200</v>
      </c>
      <c r="H12" s="89" t="s">
        <v>201</v>
      </c>
      <c r="I12" s="70" t="s">
        <v>202</v>
      </c>
      <c r="J12" s="97" t="s">
        <v>203</v>
      </c>
      <c r="K12" s="64" t="s">
        <v>204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9" t="s">
        <v>248</v>
      </c>
      <c r="B13" s="65" t="s">
        <v>245</v>
      </c>
      <c r="C13" s="60" t="s">
        <v>338</v>
      </c>
      <c r="D13" s="65" t="s">
        <v>226</v>
      </c>
      <c r="E13" s="66" t="str">
        <f t="shared" si="1"/>
        <v>stage_bonuses_13301_11.tmp</v>
      </c>
      <c r="F13" s="65" t="s">
        <v>225</v>
      </c>
      <c r="G13" s="70" t="s">
        <v>227</v>
      </c>
      <c r="H13" s="70" t="s">
        <v>228</v>
      </c>
      <c r="I13" s="70" t="s">
        <v>229</v>
      </c>
      <c r="J13" s="70" t="s">
        <v>230</v>
      </c>
      <c r="K13" s="70" t="s">
        <v>231</v>
      </c>
      <c r="L13" s="70" t="s">
        <v>232</v>
      </c>
      <c r="M13" s="70" t="s">
        <v>233</v>
      </c>
      <c r="N13" s="70" t="s">
        <v>234</v>
      </c>
      <c r="O13" s="70" t="s">
        <v>235</v>
      </c>
      <c r="P13" s="70" t="s">
        <v>236</v>
      </c>
      <c r="Q13" s="70" t="s">
        <v>237</v>
      </c>
      <c r="R13" s="70" t="s">
        <v>238</v>
      </c>
      <c r="S13" s="70" t="s">
        <v>239</v>
      </c>
      <c r="T13" s="70" t="s">
        <v>240</v>
      </c>
      <c r="U13" s="70" t="s">
        <v>241</v>
      </c>
      <c r="V13" s="70" t="s">
        <v>242</v>
      </c>
      <c r="W13" s="70" t="s">
        <v>243</v>
      </c>
      <c r="X13" s="70" t="s">
        <v>244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G10" sqref="G10:H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13301_11-1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11</v>
      </c>
      <c r="G2" s="22" t="str">
        <f>C2&amp;"_"&amp;F2</f>
        <v>13301_11</v>
      </c>
      <c r="H2" s="15" t="str">
        <f ca="1">VLOOKUP($G2,OFFSET([2]stages!$A$1,0,0,COUNTA([2]stages!$A:$A),MATCH(H$1,[2]stages!$2:$2,0)-MATCH($G$1,[2]stages!$2:$2,0)+1),MATCH(H$1,[2]stages!$2:$2,0)-MATCH($G$1,[2]stages!$2:$2,0)+1,FALSE)</f>
        <v>11階 コスト30以下限定</v>
      </c>
      <c r="I2" s="20">
        <v>1</v>
      </c>
      <c r="J2" s="12">
        <v>35</v>
      </c>
      <c r="K2" s="12">
        <v>35</v>
      </c>
    </row>
    <row r="3" spans="1:11" ht="21" customHeight="1" x14ac:dyDescent="0.15">
      <c r="A3" s="16" t="str">
        <f>G3&amp;"-"&amp;I3</f>
        <v>13301_11-2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11</v>
      </c>
      <c r="G3" s="22" t="str">
        <f>C3&amp;"_"&amp;F3</f>
        <v>13301_11</v>
      </c>
      <c r="H3" s="15" t="str">
        <f ca="1">VLOOKUP($G3,OFFSET([2]stages!$A$1,0,0,COUNTA([2]stages!$A:$A),MATCH(H$1,[2]stages!$2:$2,0)-MATCH($G$1,[2]stages!$2:$2,0)+1),MATCH(H$1,[2]stages!$2:$2,0)-MATCH($G$1,[2]stages!$2:$2,0)+1,FALSE)</f>
        <v>11階 コスト30以下限定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13301_11-3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11</v>
      </c>
      <c r="G4" s="22" t="str">
        <f>C4&amp;"_"&amp;F4</f>
        <v>13301_11</v>
      </c>
      <c r="H4" s="15" t="str">
        <f ca="1">VLOOKUP($G4,OFFSET([2]stages!$A$1,0,0,COUNTA([2]stages!$A:$A),MATCH(H$1,[2]stages!$2:$2,0)-MATCH($G$1,[2]stages!$2:$2,0)+1),MATCH(H$1,[2]stages!$2:$2,0)-MATCH($G$1,[2]stages!$2:$2,0)+1,FALSE)</f>
        <v>11階 コスト30以下限定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20" zoomScaleNormal="120" zoomScalePageLayoutView="12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6" sqref="L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7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246</v>
      </c>
      <c r="U1" s="24" t="s">
        <v>50</v>
      </c>
      <c r="V1" s="98" t="s">
        <v>247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6" t="str">
        <f t="shared" ref="A2:A7" ca="1" si="0">B2&amp;"_"&amp;C2&amp;"-"&amp;G2&amp;"/"&amp;L2&amp;"&lt;lv"&amp;R2&amp;"&gt;s"&amp;AC2</f>
        <v>13301_11-1/35&lt;lv30&gt;s4</v>
      </c>
      <c r="B2" s="21">
        <v>13301</v>
      </c>
      <c r="C2" s="107">
        <v>11</v>
      </c>
      <c r="D2" s="15" t="str">
        <f>B2&amp;"_"&amp;C2</f>
        <v>13301_11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11階 コスト30以下限定</v>
      </c>
      <c r="G2" s="107">
        <v>1</v>
      </c>
      <c r="H2" s="15" t="str">
        <f>B2&amp;"_"&amp;C2&amp;"-"&amp;G2</f>
        <v>13301_11-1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 t="s">
        <v>53</v>
      </c>
      <c r="L2" s="108">
        <v>35</v>
      </c>
      <c r="M2" s="17" t="str">
        <f ca="1">VLOOKUP($L2,OFFSET([4]enemies!$A$1,0,0,COUNTA([4]enemies!$A:$A),MATCH(M$1,[4]enemies!$1:$1,0)-MATCH($L$1,[4]enemies!$1:$1,0)+1),MATCH(M$1,[4]enemies!$1:$1,0)-MATCH($L$1,[4]enemies!$1:$1,0)+1,FALSE)</f>
        <v>F2</v>
      </c>
      <c r="N2" s="17" t="str">
        <f ca="1">VLOOKUP($L2,OFFSET([4]enemies!$A$1,0,0,COUNTA([4]enemies!$A:$A),MATCH(N$1,[4]enemies!$1:$1,0)-MATCH($L$1,[4]enemies!$1:$1,0)+1),MATCH(N$1,[4]enemies!$1:$1,0)-MATCH($L$1,[4]enemies!$1:$1,0)+1,FALSE)</f>
        <v>green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Drop1S</v>
      </c>
      <c r="P2" s="17" t="str">
        <f ca="1">VLOOKUP($L2,OFFSET([4]enemies!$A$1,0,0,COUNTA([4]enemies!$A:$A),MATCH(P$1,[4]enemies!$1:$1,0)-MATCH($L$1,[4]enemies!$1:$1,0)+1),MATCH(P$1,[4]enemies!$1:$1,0)-MATCH($L$1,[4]enemies!$1:$1,0)+1,FALSE)</f>
        <v>machine</v>
      </c>
      <c r="Q2" s="17">
        <f ca="1">VLOOKUP($L2,OFFSET([4]enemies!$A$1,0,0,COUNTA([4]enemies!$A:$A),MATCH(Q$1,[4]enemies!$1:$1,0)-MATCH($L$1,[4]enemies!$1:$1,0)+1),MATCH(Q$1,[4]enemies!$1:$1,0)-MATCH($L$1,[4]enemies!$1:$1,0)+1,FALSE)</f>
        <v>15</v>
      </c>
      <c r="R2" s="5">
        <v>30</v>
      </c>
      <c r="S2" s="23">
        <v>2</v>
      </c>
      <c r="T2" s="99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11566</v>
      </c>
      <c r="U2" s="23">
        <v>1.1000000000000001</v>
      </c>
      <c r="V2" s="99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1833.7</v>
      </c>
      <c r="W2" s="5">
        <v>0</v>
      </c>
      <c r="X2" s="4" t="e">
        <v>#VALUE!</v>
      </c>
      <c r="Y2" s="101">
        <v>13301700</v>
      </c>
      <c r="Z2" s="6">
        <v>1</v>
      </c>
      <c r="AA2" s="6">
        <v>100</v>
      </c>
      <c r="AB2" s="6">
        <v>0</v>
      </c>
      <c r="AC2" s="17">
        <f ca="1">VLOOKUP($L2,OFFSET([4]enemies!$A$1,0,0,COUNTA([4]enemies!$A:$A),MATCH(AC$1,[4]enemies!$1:$1,0)-MATCH($L$1,[4]enemies!$1:$1,0)+1),MATCH(AC$1,[4]enemies!$1:$1,0)-MATCH($L$1,[4]enemies!$1:$1,0)+1,FALSE)</f>
        <v>4</v>
      </c>
      <c r="AD2" s="109">
        <f>L2</f>
        <v>35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F2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2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Drop1S</v>
      </c>
      <c r="AH2" s="110">
        <v>1</v>
      </c>
      <c r="AI2" s="109">
        <f ca="1">AF2</f>
        <v>2</v>
      </c>
      <c r="AJ2" s="8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1</v>
      </c>
      <c r="AP2" s="67">
        <v>1</v>
      </c>
    </row>
    <row r="3" spans="1:42" ht="21" customHeight="1" x14ac:dyDescent="0.15">
      <c r="A3" s="16" t="str">
        <f t="shared" ca="1" si="0"/>
        <v>13301_11-1/58&lt;lv30&gt;s2</v>
      </c>
      <c r="B3" s="21">
        <v>13301</v>
      </c>
      <c r="C3" s="107">
        <v>11</v>
      </c>
      <c r="D3" s="15" t="str">
        <f>B3&amp;"_"&amp;C3</f>
        <v>13301_11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11階 コスト30以下限定</v>
      </c>
      <c r="G3" s="107">
        <v>1</v>
      </c>
      <c r="H3" s="15" t="str">
        <f>B3&amp;"_"&amp;C3&amp;"-"&amp;G3</f>
        <v>13301_11-1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 t="s">
        <v>53</v>
      </c>
      <c r="L3" s="108">
        <v>58</v>
      </c>
      <c r="M3" s="17" t="str">
        <f ca="1">VLOOKUP($L3,OFFSET([4]enemies!$A$1,0,0,COUNTA([4]enemies!$A:$A),MATCH(M$1,[4]enemies!$1:$1,0)-MATCH($L$1,[4]enemies!$1:$1,0)+1),MATCH(M$1,[4]enemies!$1:$1,0)-MATCH($L$1,[4]enemies!$1:$1,0)+1,FALSE)</f>
        <v>ドランクマスター チェン・リー</v>
      </c>
      <c r="N3" s="17" t="str">
        <f ca="1">VLOOKUP($L3,OFFSET([4]enemies!$A$1,0,0,COUNTA([4]enemies!$A:$A),MATCH(N$1,[4]enemies!$1:$1,0)-MATCH($L$1,[4]enemies!$1:$1,0)+1),MATCH(N$1,[4]enemies!$1:$1,0)-MATCH($L$1,[4]enemies!$1:$1,0)+1,FALSE)</f>
        <v>red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Drop1N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animal</v>
      </c>
      <c r="Q3" s="17">
        <f ca="1">VLOOKUP($L3,OFFSET([4]enemies!$A$1,0,0,COUNTA([4]enemies!$A:$A),MATCH(Q$1,[4]enemies!$1:$1,0)-MATCH($L$1,[4]enemies!$1:$1,0)+1),MATCH(Q$1,[4]enemies!$1:$1,0)-MATCH($L$1,[4]enemies!$1:$1,0)+1,FALSE)</f>
        <v>20</v>
      </c>
      <c r="R3" s="5">
        <v>30</v>
      </c>
      <c r="S3" s="23">
        <v>4</v>
      </c>
      <c r="T3" s="99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83160</v>
      </c>
      <c r="U3" s="23">
        <v>0.9</v>
      </c>
      <c r="V3" s="99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3206.7000000000003</v>
      </c>
      <c r="W3" s="5">
        <v>0</v>
      </c>
      <c r="X3" s="4" t="e">
        <v>#VALUE!</v>
      </c>
      <c r="Y3" s="101">
        <v>13301710</v>
      </c>
      <c r="Z3" s="6">
        <v>1</v>
      </c>
      <c r="AA3" s="6">
        <v>100</v>
      </c>
      <c r="AB3" s="6">
        <v>1</v>
      </c>
      <c r="AC3" s="17">
        <f ca="1">VLOOKUP($L3,OFFSET([4]enemies!$A$1,0,0,COUNTA([4]enemies!$A:$A),MATCH(AC$1,[4]enemies!$1:$1,0)-MATCH($L$1,[4]enemies!$1:$1,0)+1),MATCH(AC$1,[4]enemies!$1:$1,0)-MATCH($L$1,[4]enemies!$1:$1,0)+1,FALSE)</f>
        <v>2</v>
      </c>
      <c r="AD3" s="109">
        <f>L3</f>
        <v>58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ドランクマスター チェン・リー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3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Drop1N</v>
      </c>
      <c r="AH3" s="110">
        <v>1</v>
      </c>
      <c r="AI3" s="109">
        <f ca="1">AF3</f>
        <v>3</v>
      </c>
      <c r="AJ3" s="8">
        <v>0</v>
      </c>
      <c r="AK3" s="110">
        <v>0</v>
      </c>
      <c r="AL3" s="110">
        <v>0</v>
      </c>
      <c r="AM3" s="110">
        <v>0</v>
      </c>
      <c r="AN3" s="110">
        <v>0</v>
      </c>
      <c r="AO3" s="110">
        <v>1</v>
      </c>
      <c r="AP3" s="67">
        <v>1</v>
      </c>
    </row>
    <row r="4" spans="1:42" ht="21" customHeight="1" x14ac:dyDescent="0.15">
      <c r="A4" s="16" t="str">
        <f t="shared" ca="1" si="0"/>
        <v>13301_11-2/403&lt;lv30&gt;s3</v>
      </c>
      <c r="B4" s="21">
        <v>13301</v>
      </c>
      <c r="C4" s="107">
        <v>11</v>
      </c>
      <c r="D4" s="15" t="str">
        <f>B4&amp;"_"&amp;C4</f>
        <v>13301_11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11階 コスト30以下限定</v>
      </c>
      <c r="G4" s="107">
        <v>2</v>
      </c>
      <c r="H4" s="15" t="str">
        <f>B4&amp;"_"&amp;C4&amp;"-"&amp;G4</f>
        <v>13301_11-2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6" t="s">
        <v>53</v>
      </c>
      <c r="L4" s="108">
        <v>403</v>
      </c>
      <c r="M4" s="17" t="str">
        <f ca="1">VLOOKUP($L4,OFFSET([4]enemies!$A$1,0,0,COUNTA([4]enemies!$A:$A),MATCH(M$1,[4]enemies!$1:$1,0)-MATCH($L$1,[4]enemies!$1:$1,0)+1),MATCH(M$1,[4]enemies!$1:$1,0)-MATCH($L$1,[4]enemies!$1:$1,0)+1,FALSE)</f>
        <v>静撃の翠眼 八咫烏</v>
      </c>
      <c r="N4" s="17" t="str">
        <f ca="1">VLOOKUP($L4,OFFSET([4]enemies!$A$1,0,0,COUNTA([4]enemies!$A:$A),MATCH(N$1,[4]enemies!$1:$1,0)-MATCH($L$1,[4]enemies!$1:$1,0)+1),MATCH(N$1,[4]enemies!$1:$1,0)-MATCH($L$1,[4]enemies!$1:$1,0)+1,FALSE)</f>
        <v>green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PremiumSS</v>
      </c>
      <c r="P4" s="17" t="str">
        <f ca="1">VLOOKUP($L4,OFFSET([4]enemies!$A$1,0,0,COUNTA([4]enemies!$A:$A),MATCH(P$1,[4]enemies!$1:$1,0)-MATCH($L$1,[4]enemies!$1:$1,0)+1),MATCH(P$1,[4]enemies!$1:$1,0)-MATCH($L$1,[4]enemies!$1:$1,0)+1,FALSE)</f>
        <v>animal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30</v>
      </c>
      <c r="S4" s="23">
        <v>6.1</v>
      </c>
      <c r="T4" s="99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254790.9</v>
      </c>
      <c r="U4" s="23">
        <v>0.9</v>
      </c>
      <c r="V4" s="99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3098.7000000000003</v>
      </c>
      <c r="W4" s="5">
        <v>0</v>
      </c>
      <c r="X4" s="4" t="e">
        <v>#VALUE!</v>
      </c>
      <c r="Y4" s="101">
        <v>13301720</v>
      </c>
      <c r="Z4" s="6">
        <v>1</v>
      </c>
      <c r="AA4" s="6">
        <v>100</v>
      </c>
      <c r="AB4" s="6">
        <v>0</v>
      </c>
      <c r="AC4" s="17">
        <f ca="1">VLOOKUP($L4,OFFSET([4]enemies!$A$1,0,0,COUNTA([4]enemies!$A:$A),MATCH(AC$1,[4]enemies!$1:$1,0)-MATCH($L$1,[4]enemies!$1:$1,0)+1),MATCH(AC$1,[4]enemies!$1:$1,0)-MATCH($L$1,[4]enemies!$1:$1,0)+1,FALSE)</f>
        <v>3</v>
      </c>
      <c r="AD4" s="109">
        <f>L4</f>
        <v>403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静撃の翠眼 八咫烏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4" s="110">
        <v>1</v>
      </c>
      <c r="AI4" s="109">
        <f ca="1">AF4</f>
        <v>4</v>
      </c>
      <c r="AJ4" s="8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1</v>
      </c>
      <c r="AP4" s="67">
        <v>1</v>
      </c>
    </row>
    <row r="5" spans="1:42" ht="21" customHeight="1" x14ac:dyDescent="0.15">
      <c r="A5" s="16" t="str">
        <f t="shared" ca="1" si="0"/>
        <v>13301_11-2/381&lt;lv30&gt;s3</v>
      </c>
      <c r="B5" s="21">
        <v>13301</v>
      </c>
      <c r="C5" s="107">
        <v>11</v>
      </c>
      <c r="D5" s="15" t="str">
        <f>B5&amp;"_"&amp;C5</f>
        <v>13301_11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11階 コスト30以下限定</v>
      </c>
      <c r="G5" s="107">
        <v>2</v>
      </c>
      <c r="H5" s="15" t="str">
        <f>B5&amp;"_"&amp;C5&amp;"-"&amp;G5</f>
        <v>13301_11-2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6" t="s">
        <v>53</v>
      </c>
      <c r="L5" s="108">
        <v>381</v>
      </c>
      <c r="M5" s="17" t="str">
        <f ca="1">VLOOKUP($L5,OFFSET([4]enemies!$A$1,0,0,COUNTA([4]enemies!$A:$A),MATCH(M$1,[4]enemies!$1:$1,0)-MATCH($L$1,[4]enemies!$1:$1,0)+1),MATCH(M$1,[4]enemies!$1:$1,0)-MATCH($L$1,[4]enemies!$1:$1,0)+1,FALSE)</f>
        <v>肉食の恋火 バハムート</v>
      </c>
      <c r="N5" s="17" t="str">
        <f ca="1">VLOOKUP($L5,OFFSET([4]enemies!$A$1,0,0,COUNTA([4]enemies!$A:$A),MATCH(N$1,[4]enemies!$1:$1,0)-MATCH($L$1,[4]enemies!$1:$1,0)+1),MATCH(N$1,[4]enemies!$1:$1,0)-MATCH($L$1,[4]enemies!$1:$1,0)+1,FALSE)</f>
        <v>red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PremiumS</v>
      </c>
      <c r="P5" s="17" t="str">
        <f ca="1">VLOOKUP($L5,OFFSET([4]enemies!$A$1,0,0,COUNTA([4]enemies!$A:$A),MATCH(P$1,[4]enemies!$1:$1,0)-MATCH($L$1,[4]enemies!$1:$1,0)+1),MATCH(P$1,[4]enemies!$1:$1,0)-MATCH($L$1,[4]enemies!$1:$1,0)+1,FALSE)</f>
        <v>dragon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30</v>
      </c>
      <c r="S5" s="23">
        <v>4.7</v>
      </c>
      <c r="T5" s="99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199200.1</v>
      </c>
      <c r="U5" s="23">
        <v>0.9</v>
      </c>
      <c r="V5" s="99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2902.5</v>
      </c>
      <c r="W5" s="5">
        <v>0</v>
      </c>
      <c r="X5" s="4" t="e">
        <v>#VALUE!</v>
      </c>
      <c r="Y5" s="101">
        <v>13301740</v>
      </c>
      <c r="Z5" s="6">
        <v>1</v>
      </c>
      <c r="AA5" s="6">
        <v>100</v>
      </c>
      <c r="AB5" s="6">
        <v>0</v>
      </c>
      <c r="AC5" s="17">
        <f ca="1">VLOOKUP($L5,OFFSET([4]enemies!$A$1,0,0,COUNTA([4]enemies!$A:$A),MATCH(AC$1,[4]enemies!$1:$1,0)-MATCH($L$1,[4]enemies!$1:$1,0)+1),MATCH(AC$1,[4]enemies!$1:$1,0)-MATCH($L$1,[4]enemies!$1:$1,0)+1,FALSE)</f>
        <v>3</v>
      </c>
      <c r="AD5" s="109">
        <f>L5</f>
        <v>381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肉食の恋火 バハムート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5" s="110">
        <v>1</v>
      </c>
      <c r="AI5" s="109">
        <f ca="1">AF5</f>
        <v>4</v>
      </c>
      <c r="AJ5" s="8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1</v>
      </c>
      <c r="AP5" s="67">
        <v>1</v>
      </c>
    </row>
    <row r="6" spans="1:42" ht="21" customHeight="1" x14ac:dyDescent="0.15">
      <c r="A6" s="16" t="str">
        <f t="shared" ca="1" si="0"/>
        <v>13301_11-3/586&lt;lv30&gt;s3</v>
      </c>
      <c r="B6" s="21">
        <v>13301</v>
      </c>
      <c r="C6" s="107">
        <v>11</v>
      </c>
      <c r="D6" s="15" t="str">
        <f t="shared" ref="D6:D7" si="1">B6&amp;"_"&amp;C6</f>
        <v>13301_11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11階 コスト30以下限定</v>
      </c>
      <c r="G6" s="107">
        <v>3</v>
      </c>
      <c r="H6" s="15" t="str">
        <f t="shared" ref="H6:H7" si="2">B6&amp;"_"&amp;C6&amp;"-"&amp;G6</f>
        <v>13301_11-3</v>
      </c>
      <c r="I6" s="4" t="e">
        <f ca="1">VLOOKUP($H6,OFFSET([3]floors!$A$1,0,0,COUNTA([3]floors!$A:$A),MATCH(I$1,[3]floors!$1:$1,0)-MATCH($H$1,[3]floors!$1:$1,0)+1),MATCH(I$1,[3]floors!$1:$1,0)-MATCH($H$1,[3]floors!$1:$1,0)+1,FALSE)</f>
        <v>#VALUE!</v>
      </c>
      <c r="J6" s="4" t="e">
        <f ca="1">VLOOKUP($H6,OFFSET([3]floors!$A$1,0,0,COUNTA([3]floors!$A:$A),MATCH(J$1,[3]floors!$1:$1,0)-MATCH($H$1,[3]floors!$1:$1,0)+1),MATCH(J$1,[3]floors!$1:$1,0)-MATCH($H$1,[3]floors!$1:$1,0)+1,FALSE)</f>
        <v>#VALUE!</v>
      </c>
      <c r="K6" s="36" t="s">
        <v>297</v>
      </c>
      <c r="L6" s="108">
        <v>586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ユミル</v>
      </c>
      <c r="N6" s="17" t="str">
        <f ca="1">VLOOKUP($L6,OFFSET([4]enemies!$A$1,0,0,COUNTA([4]enemies!$A:$A),MATCH(N$1,[4]enemies!$1:$1,0)-MATCH($L$1,[4]enemies!$1:$1,0)+1),MATCH(N$1,[4]enemies!$1:$1,0)-MATCH($L$1,[4]enemies!$1:$1,0)+1,FALSE)</f>
        <v>red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PremiumSS</v>
      </c>
      <c r="P6" s="17" t="str">
        <f ca="1">VLOOKUP($L6,OFFSET([4]enemies!$A$1,0,0,COUNTA([4]enemies!$A:$A),MATCH(P$1,[4]enemies!$1:$1,0)-MATCH($L$1,[4]enemies!$1:$1,0)+1),MATCH(P$1,[4]enemies!$1:$1,0)-MATCH($L$1,[4]enemies!$1:$1,0)+1,FALSE)</f>
        <v>machine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30</v>
      </c>
      <c r="S6" s="23">
        <v>5.2</v>
      </c>
      <c r="T6" s="99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308765.60000000003</v>
      </c>
      <c r="U6" s="23">
        <v>1</v>
      </c>
      <c r="V6" s="99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2769</v>
      </c>
      <c r="W6" s="5">
        <v>0</v>
      </c>
      <c r="X6" s="4" t="e">
        <v>#VALUE!</v>
      </c>
      <c r="Y6" s="101">
        <v>13301760</v>
      </c>
      <c r="Z6" s="6">
        <v>1</v>
      </c>
      <c r="AA6" s="6">
        <v>100</v>
      </c>
      <c r="AB6" s="6">
        <v>0</v>
      </c>
      <c r="AC6" s="17">
        <f ca="1">VLOOKUP($L6,OFFSET([4]enemies!$A$1,0,0,COUNTA([4]enemies!$A:$A),MATCH(AC$1,[4]enemies!$1:$1,0)-MATCH($L$1,[4]enemies!$1:$1,0)+1),MATCH(AC$1,[4]enemies!$1:$1,0)-MATCH($L$1,[4]enemies!$1:$1,0)+1,FALSE)</f>
        <v>3</v>
      </c>
      <c r="AD6" s="109">
        <f t="shared" ref="AD6:AD7" si="3">L6</f>
        <v>586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ユミル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6" s="110">
        <v>1</v>
      </c>
      <c r="AI6" s="109">
        <f t="shared" ref="AI6:AI7" ca="1" si="4">AF6</f>
        <v>4</v>
      </c>
      <c r="AJ6" s="8">
        <v>0</v>
      </c>
      <c r="AK6" s="110">
        <v>0</v>
      </c>
      <c r="AL6" s="110">
        <v>0</v>
      </c>
      <c r="AM6" s="110">
        <v>0</v>
      </c>
      <c r="AN6" s="110">
        <v>0</v>
      </c>
      <c r="AO6" s="110">
        <v>1</v>
      </c>
      <c r="AP6" s="67">
        <v>1</v>
      </c>
    </row>
    <row r="7" spans="1:42" ht="21" customHeight="1" x14ac:dyDescent="0.15">
      <c r="A7" s="16" t="str">
        <f t="shared" ca="1" si="0"/>
        <v>13301_11-3/600&lt;lv30&gt;s3</v>
      </c>
      <c r="B7" s="21">
        <v>13301</v>
      </c>
      <c r="C7" s="107">
        <v>11</v>
      </c>
      <c r="D7" s="15" t="str">
        <f t="shared" si="1"/>
        <v>13301_11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11階 コスト30以下限定</v>
      </c>
      <c r="G7" s="107">
        <v>3</v>
      </c>
      <c r="H7" s="15" t="str">
        <f t="shared" si="2"/>
        <v>13301_11-3</v>
      </c>
      <c r="I7" s="4" t="e">
        <f ca="1">VLOOKUP($H7,OFFSET([3]floors!$A$1,0,0,COUNTA([3]floors!$A:$A),MATCH(I$1,[3]floors!$1:$1,0)-MATCH($H$1,[3]floors!$1:$1,0)+1),MATCH(I$1,[3]floors!$1:$1,0)-MATCH($H$1,[3]floors!$1:$1,0)+1,FALSE)</f>
        <v>#VALUE!</v>
      </c>
      <c r="J7" s="4" t="e">
        <f ca="1">VLOOKUP($H7,OFFSET([3]floors!$A$1,0,0,COUNTA([3]floors!$A:$A),MATCH(J$1,[3]floors!$1:$1,0)-MATCH($H$1,[3]floors!$1:$1,0)+1),MATCH(J$1,[3]floors!$1:$1,0)-MATCH($H$1,[3]floors!$1:$1,0)+1,FALSE)</f>
        <v>#VALUE!</v>
      </c>
      <c r="K7" s="36" t="s">
        <v>53</v>
      </c>
      <c r="L7" s="108">
        <v>600</v>
      </c>
      <c r="M7" s="17" t="str">
        <f ca="1">VLOOKUP($L7,OFFSET([4]enemies!$A$1,0,0,COUNTA([4]enemies!$A:$A),MATCH(M$1,[4]enemies!$1:$1,0)-MATCH($L$1,[4]enemies!$1:$1,0)+1),MATCH(M$1,[4]enemies!$1:$1,0)-MATCH($L$1,[4]enemies!$1:$1,0)+1,FALSE)</f>
        <v>界下に潜む蛇 ニーズヘッグ</v>
      </c>
      <c r="N7" s="17" t="str">
        <f ca="1">VLOOKUP($L7,OFFSET([4]enemies!$A$1,0,0,COUNTA([4]enemies!$A:$A),MATCH(N$1,[4]enemies!$1:$1,0)-MATCH($L$1,[4]enemies!$1:$1,0)+1),MATCH(N$1,[4]enemies!$1:$1,0)-MATCH($L$1,[4]enemies!$1:$1,0)+1,FALSE)</f>
        <v>green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PremiumS</v>
      </c>
      <c r="P7" s="17" t="str">
        <f ca="1">VLOOKUP($L7,OFFSET([4]enemies!$A$1,0,0,COUNTA([4]enemies!$A:$A),MATCH(P$1,[4]enemies!$1:$1,0)-MATCH($L$1,[4]enemies!$1:$1,0)+1),MATCH(P$1,[4]enemies!$1:$1,0)-MATCH($L$1,[4]enemies!$1:$1,0)+1,FALSE)</f>
        <v>dragon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30</v>
      </c>
      <c r="S7" s="23">
        <v>5.3</v>
      </c>
      <c r="T7" s="99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254580.19999999998</v>
      </c>
      <c r="U7" s="23">
        <v>0.8</v>
      </c>
      <c r="V7" s="99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3664</v>
      </c>
      <c r="W7" s="5">
        <v>0</v>
      </c>
      <c r="X7" s="4" t="e">
        <v>#VALUE!</v>
      </c>
      <c r="Y7" s="101">
        <v>13301780</v>
      </c>
      <c r="Z7" s="6">
        <v>1</v>
      </c>
      <c r="AA7" s="6">
        <v>100</v>
      </c>
      <c r="AB7" s="6">
        <v>0</v>
      </c>
      <c r="AC7" s="17">
        <f ca="1">VLOOKUP($L7,OFFSET([4]enemies!$A$1,0,0,COUNTA([4]enemies!$A:$A),MATCH(AC$1,[4]enemies!$1:$1,0)-MATCH($L$1,[4]enemies!$1:$1,0)+1),MATCH(AC$1,[4]enemies!$1:$1,0)-MATCH($L$1,[4]enemies!$1:$1,0)+1,FALSE)</f>
        <v>3</v>
      </c>
      <c r="AD7" s="109">
        <f t="shared" si="3"/>
        <v>600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界下に潜む蛇 ニーズヘッグ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7" s="110">
        <v>1</v>
      </c>
      <c r="AI7" s="109">
        <f t="shared" ca="1" si="4"/>
        <v>4</v>
      </c>
      <c r="AJ7" s="8">
        <v>0</v>
      </c>
      <c r="AK7" s="110">
        <v>0</v>
      </c>
      <c r="AL7" s="110">
        <v>0</v>
      </c>
      <c r="AM7" s="110">
        <v>0</v>
      </c>
      <c r="AN7" s="110">
        <v>0</v>
      </c>
      <c r="AO7" s="110">
        <v>1</v>
      </c>
      <c r="AP7" s="67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zoomScale="90" zoomScaleNormal="90" zoomScalePageLayoutView="90" workbookViewId="0">
      <pane xSplit="18" ySplit="1" topLeftCell="X2" activePane="bottomRight" state="frozen"/>
      <selection activeCell="E25" sqref="E25"/>
      <selection pane="topRight" activeCell="E25" sqref="E25"/>
      <selection pane="bottomLeft" activeCell="E25" sqref="E25"/>
      <selection pane="bottomRight" activeCell="C9" sqref="C9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246</v>
      </c>
      <c r="V1" s="24" t="s">
        <v>50</v>
      </c>
      <c r="W1" s="98" t="s">
        <v>247</v>
      </c>
      <c r="X1" s="24" t="s">
        <v>52</v>
      </c>
      <c r="Y1" s="26" t="s">
        <v>127</v>
      </c>
      <c r="Z1" s="27" t="s">
        <v>126</v>
      </c>
      <c r="AA1" s="26" t="s">
        <v>8</v>
      </c>
    </row>
    <row r="4" spans="1:27" ht="21" customHeight="1" x14ac:dyDescent="0.15">
      <c r="M4" s="3"/>
    </row>
    <row r="5" spans="1:27" ht="21" customHeight="1" x14ac:dyDescent="0.15">
      <c r="M5" s="3"/>
    </row>
    <row r="6" spans="1:27" ht="21" customHeight="1" x14ac:dyDescent="0.15">
      <c r="M6" s="3"/>
    </row>
    <row r="7" spans="1:27" ht="21" customHeight="1" x14ac:dyDescent="0.15">
      <c r="M7" s="3"/>
    </row>
    <row r="8" spans="1:27" ht="21" customHeight="1" x14ac:dyDescent="0.15">
      <c r="M8" s="3"/>
    </row>
    <row r="9" spans="1:27" ht="21" customHeight="1" x14ac:dyDescent="0.15">
      <c r="M9" s="3"/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3"/>
  <sheetViews>
    <sheetView showGridLines="0" zoomScale="120" zoomScaleNormal="120" zoomScalePageLayoutView="120" workbookViewId="0">
      <pane xSplit="5" ySplit="1" topLeftCell="F6" activePane="bottomRight" state="frozen"/>
      <selection pane="topRight"/>
      <selection pane="bottomLeft"/>
      <selection pane="bottomRight" activeCell="E26" sqref="E26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11" style="47" customWidth="1"/>
    <col min="3" max="3" width="11.83203125" style="47" customWidth="1"/>
    <col min="4" max="4" width="8.1640625" style="47" customWidth="1" outlineLevel="1"/>
    <col min="5" max="5" width="7.83203125" style="47" customWidth="1" outlineLevel="1"/>
    <col min="6" max="6" width="16" style="47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:A23" si="0">B2&amp;"_"&amp;C2</f>
        <v>13301700_13301701</v>
      </c>
      <c r="B2" s="45">
        <v>13301700</v>
      </c>
      <c r="C2" s="45">
        <v>13301701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" s="45">
        <v>13301701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" s="45"/>
      <c r="Q2" s="45"/>
      <c r="R2" s="45"/>
    </row>
    <row r="3" spans="1:18" ht="21" customHeight="1" x14ac:dyDescent="0.15">
      <c r="A3" s="37" t="str">
        <f t="shared" si="0"/>
        <v>13301710_13301711</v>
      </c>
      <c r="B3" s="45">
        <v>13301710</v>
      </c>
      <c r="C3" s="45">
        <v>13301711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" s="45">
        <v>13301711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" s="45"/>
      <c r="Q3" s="45"/>
      <c r="R3" s="45"/>
    </row>
    <row r="4" spans="1:18" ht="21" customHeight="1" x14ac:dyDescent="0.15">
      <c r="A4" s="37" t="str">
        <f t="shared" si="0"/>
        <v>13301710_13301712</v>
      </c>
      <c r="B4" s="45">
        <v>13301710</v>
      </c>
      <c r="C4" s="45">
        <v>13301712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4" s="45">
        <v>13301712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4" s="45"/>
      <c r="Q4" s="45"/>
      <c r="R4" s="45"/>
    </row>
    <row r="5" spans="1:18" ht="21" customHeight="1" x14ac:dyDescent="0.15">
      <c r="A5" s="37" t="str">
        <f t="shared" si="0"/>
        <v>13301720_13301721</v>
      </c>
      <c r="B5" s="106">
        <v>13301720</v>
      </c>
      <c r="C5" s="105">
        <v>13301721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5" s="105">
        <v>13301721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5" s="45"/>
      <c r="Q5" s="45"/>
      <c r="R5" s="45"/>
    </row>
    <row r="6" spans="1:18" ht="21" customHeight="1" x14ac:dyDescent="0.15">
      <c r="A6" s="37" t="str">
        <f t="shared" si="0"/>
        <v>13301720_13301722</v>
      </c>
      <c r="B6" s="106">
        <v>13301720</v>
      </c>
      <c r="C6" s="105">
        <v>13301722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6" s="105">
        <v>13301722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6" s="45"/>
      <c r="Q6" s="45"/>
      <c r="R6" s="45"/>
    </row>
    <row r="7" spans="1:18" ht="21" customHeight="1" x14ac:dyDescent="0.15">
      <c r="A7" s="37" t="str">
        <f t="shared" si="0"/>
        <v>13301720_13301723</v>
      </c>
      <c r="B7" s="106">
        <v>13301720</v>
      </c>
      <c r="C7" s="105">
        <v>13301723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7" s="105">
        <v>13301723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7" s="45"/>
      <c r="Q7" s="45"/>
      <c r="R7" s="45"/>
    </row>
    <row r="8" spans="1:18" ht="21" customHeight="1" x14ac:dyDescent="0.15">
      <c r="A8" s="37" t="str">
        <f t="shared" si="0"/>
        <v>13301720_13301724</v>
      </c>
      <c r="B8" s="106">
        <v>13301720</v>
      </c>
      <c r="C8" s="105">
        <v>13301724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8" s="105">
        <v>13301724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8" s="45"/>
      <c r="Q8" s="45"/>
      <c r="R8" s="45"/>
    </row>
    <row r="9" spans="1:18" ht="21" customHeight="1" x14ac:dyDescent="0.15">
      <c r="A9" s="37" t="str">
        <f t="shared" si="0"/>
        <v>13301720_13301724</v>
      </c>
      <c r="B9" s="106">
        <v>13301720</v>
      </c>
      <c r="C9" s="105">
        <v>13301724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9" s="105">
        <v>13301725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9" s="45"/>
      <c r="Q9" s="45"/>
      <c r="R9" s="45"/>
    </row>
    <row r="10" spans="1:18" ht="21" customHeight="1" x14ac:dyDescent="0.15">
      <c r="A10" s="37" t="str">
        <f t="shared" si="0"/>
        <v>13301720_13301725</v>
      </c>
      <c r="B10" s="106">
        <v>13301720</v>
      </c>
      <c r="C10" s="105">
        <v>13301725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0" s="105">
        <v>13301726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0" s="45"/>
      <c r="Q10" s="45"/>
      <c r="R10" s="45"/>
    </row>
    <row r="11" spans="1:18" ht="21" customHeight="1" x14ac:dyDescent="0.15">
      <c r="A11" s="37" t="str">
        <f t="shared" si="0"/>
        <v>13301740_13301741</v>
      </c>
      <c r="B11" s="106">
        <v>13301740</v>
      </c>
      <c r="C11" s="45">
        <v>13301741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1" s="45">
        <v>13301741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1" s="45"/>
      <c r="Q11" s="45"/>
      <c r="R11" s="45"/>
    </row>
    <row r="12" spans="1:18" ht="21" customHeight="1" x14ac:dyDescent="0.15">
      <c r="A12" s="37" t="str">
        <f t="shared" si="0"/>
        <v>13301740_13301742</v>
      </c>
      <c r="B12" s="106">
        <v>13301740</v>
      </c>
      <c r="C12" s="45">
        <v>13301742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2" s="45">
        <v>13301742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2" s="45"/>
      <c r="Q12" s="45"/>
      <c r="R12" s="45"/>
    </row>
    <row r="13" spans="1:18" ht="21" customHeight="1" x14ac:dyDescent="0.15">
      <c r="A13" s="37" t="str">
        <f t="shared" si="0"/>
        <v>13301740_13301743</v>
      </c>
      <c r="B13" s="106">
        <v>13301740</v>
      </c>
      <c r="C13" s="45">
        <v>13301743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3" s="45">
        <v>13301743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3" s="45"/>
      <c r="Q13" s="45"/>
      <c r="R13" s="45"/>
    </row>
    <row r="14" spans="1:18" ht="21" customHeight="1" x14ac:dyDescent="0.15">
      <c r="A14" s="37" t="str">
        <f t="shared" si="0"/>
        <v>13301760_13301761</v>
      </c>
      <c r="B14" s="45">
        <v>13301760</v>
      </c>
      <c r="C14" s="105">
        <v>13301761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4" s="105">
        <v>13301761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4" s="45"/>
      <c r="Q14" s="45"/>
      <c r="R14" s="45"/>
    </row>
    <row r="15" spans="1:18" ht="21" customHeight="1" x14ac:dyDescent="0.15">
      <c r="A15" s="37" t="str">
        <f t="shared" si="0"/>
        <v>13301760_13301762</v>
      </c>
      <c r="B15" s="45">
        <v>13301760</v>
      </c>
      <c r="C15" s="105">
        <v>13301762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5" s="105">
        <v>13301762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5" s="45"/>
      <c r="Q15" s="45"/>
      <c r="R15" s="45"/>
    </row>
    <row r="16" spans="1:18" ht="21" customHeight="1" x14ac:dyDescent="0.15">
      <c r="A16" s="37" t="str">
        <f t="shared" si="0"/>
        <v>13301760_13301763</v>
      </c>
      <c r="B16" s="45">
        <v>13301760</v>
      </c>
      <c r="C16" s="105">
        <v>13301763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6" s="105">
        <v>13301763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6" s="45"/>
      <c r="Q16" s="45"/>
      <c r="R16" s="45"/>
    </row>
    <row r="17" spans="1:18" ht="21" customHeight="1" x14ac:dyDescent="0.15">
      <c r="A17" s="37" t="str">
        <f t="shared" si="0"/>
        <v>13301760_13301764</v>
      </c>
      <c r="B17" s="45">
        <v>13301760</v>
      </c>
      <c r="C17" s="105">
        <v>13301764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7" s="105">
        <v>13301764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7" s="45"/>
      <c r="Q17" s="45"/>
      <c r="R17" s="45"/>
    </row>
    <row r="18" spans="1:18" ht="21" customHeight="1" x14ac:dyDescent="0.15">
      <c r="A18" s="37" t="str">
        <f t="shared" si="0"/>
        <v>13301760_13301765</v>
      </c>
      <c r="B18" s="45">
        <v>13301760</v>
      </c>
      <c r="C18" s="105">
        <v>13301765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8" s="105">
        <v>13301765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8" s="45"/>
      <c r="Q18" s="45"/>
      <c r="R18" s="45"/>
    </row>
    <row r="19" spans="1:18" ht="21" customHeight="1" x14ac:dyDescent="0.15">
      <c r="A19" s="37" t="str">
        <f t="shared" si="0"/>
        <v>13301760_13301766</v>
      </c>
      <c r="B19" s="45">
        <v>13301760</v>
      </c>
      <c r="C19" s="105">
        <v>13301766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9" s="105">
        <v>13301766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9" s="45"/>
      <c r="Q19" s="45"/>
      <c r="R19" s="45"/>
    </row>
    <row r="20" spans="1:18" ht="21" customHeight="1" x14ac:dyDescent="0.15">
      <c r="A20" s="37" t="str">
        <f t="shared" si="0"/>
        <v>13301760_13301767</v>
      </c>
      <c r="B20" s="45">
        <v>13301760</v>
      </c>
      <c r="C20" s="105">
        <v>13301767</v>
      </c>
      <c r="D20" s="44" t="e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0" s="44" t="e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0" s="105">
        <v>13301767</v>
      </c>
      <c r="G20" s="46" t="e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0" s="46" t="e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0" s="46" t="e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0" s="46" t="e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0" s="46" t="e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0" s="46" t="e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0" s="46" t="e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0" s="46" t="e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0" s="46" t="e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0" s="45"/>
      <c r="Q20" s="45"/>
      <c r="R20" s="45"/>
    </row>
    <row r="21" spans="1:18" ht="21" customHeight="1" x14ac:dyDescent="0.15">
      <c r="A21" s="37" t="str">
        <f t="shared" si="0"/>
        <v>13301780_13301781</v>
      </c>
      <c r="B21" s="45">
        <v>13301780</v>
      </c>
      <c r="C21" s="45">
        <v>13301781</v>
      </c>
      <c r="D21" s="44" t="e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1" s="44" t="e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1" s="45">
        <v>13301781</v>
      </c>
      <c r="G21" s="46" t="e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1" s="46" t="e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1" s="46" t="e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1" s="46" t="e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1" s="46" t="e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1" s="46" t="e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1" s="46" t="e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1" s="46" t="e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1" s="46" t="e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1" s="45"/>
      <c r="Q21" s="45"/>
      <c r="R21" s="45"/>
    </row>
    <row r="22" spans="1:18" ht="21" customHeight="1" x14ac:dyDescent="0.15">
      <c r="A22" s="37" t="str">
        <f t="shared" si="0"/>
        <v>13301780_13301782</v>
      </c>
      <c r="B22" s="45">
        <v>13301780</v>
      </c>
      <c r="C22" s="45">
        <v>13301782</v>
      </c>
      <c r="D22" s="44" t="e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2" s="44" t="e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2" s="45">
        <v>13301782</v>
      </c>
      <c r="G22" s="46" t="e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2" s="46" t="e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2" s="46" t="e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2" s="46" t="e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2" s="46" t="e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2" s="46" t="e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2" s="46" t="e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2" s="46" t="e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2" s="46" t="e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2" s="45"/>
      <c r="Q22" s="45"/>
      <c r="R22" s="45"/>
    </row>
    <row r="23" spans="1:18" ht="21" customHeight="1" x14ac:dyDescent="0.15">
      <c r="A23" s="37" t="str">
        <f t="shared" si="0"/>
        <v>13301780_13301783</v>
      </c>
      <c r="B23" s="45">
        <v>13301780</v>
      </c>
      <c r="C23" s="45">
        <v>13301783</v>
      </c>
      <c r="D23" s="44" t="e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3" s="44" t="e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3" s="45">
        <v>13301783</v>
      </c>
      <c r="G23" s="46" t="e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3" s="46" t="e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3" s="46" t="e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3" s="46" t="e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3" s="46" t="e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3" s="46" t="e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3" s="46" t="e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3" s="46" t="e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3" s="46" t="e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3" s="45"/>
      <c r="Q23" s="45"/>
      <c r="R23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2"/>
  <sheetViews>
    <sheetView showGridLines="0" tabSelected="1" zoomScale="120" zoomScaleNormal="120" zoomScalePageLayoutView="120" workbookViewId="0">
      <pane ySplit="1" topLeftCell="A2" activePane="bottomLeft" state="frozenSplit"/>
      <selection pane="bottomLeft" activeCell="B8" sqref="B8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2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customWidth="1" outlineLevel="1"/>
    <col min="8" max="8" width="18.33203125" style="47" customWidth="1" outlineLevel="1"/>
    <col min="9" max="11" width="18.6640625" style="47" customWidth="1" outlineLevel="1"/>
    <col min="12" max="12" width="23.6640625" style="47" customWidth="1"/>
    <col min="13" max="18" width="23.6640625" style="47" customWidth="1" outlineLevel="1"/>
    <col min="19" max="19" width="23.6640625" style="47" customWidth="1"/>
    <col min="20" max="24" width="23.6640625" style="47" customWidth="1" outlineLevel="1"/>
    <col min="25" max="25" width="23.6640625" style="47" customWidth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79</v>
      </c>
      <c r="B1" s="38" t="s">
        <v>80</v>
      </c>
      <c r="C1" s="38" t="s">
        <v>81</v>
      </c>
      <c r="D1" s="38" t="s">
        <v>125</v>
      </c>
      <c r="E1" s="38" t="s">
        <v>82</v>
      </c>
      <c r="F1" s="38" t="s">
        <v>83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76</v>
      </c>
      <c r="AA1" s="39" t="s">
        <v>77</v>
      </c>
      <c r="AB1" s="39" t="s">
        <v>78</v>
      </c>
    </row>
    <row r="2" spans="1:28" ht="21" customHeight="1" x14ac:dyDescent="0.15">
      <c r="A2" s="45">
        <v>13301701</v>
      </c>
      <c r="B2" s="45" t="s">
        <v>333</v>
      </c>
      <c r="C2" s="48">
        <v>3</v>
      </c>
      <c r="D2" s="48" t="s">
        <v>270</v>
      </c>
      <c r="E2" s="49" t="s">
        <v>249</v>
      </c>
      <c r="F2" s="49" t="s">
        <v>299</v>
      </c>
      <c r="G2" s="61" t="str">
        <f>IFERROR(LEFT(B2,FIND("],",B2)),B2)</f>
        <v>[effect:enemy_message, val1:1, val2:2.8]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30</v>
      </c>
      <c r="L2" s="61" t="str">
        <f>IFERROR(VLOOKUP(MID(G2,J2,K2-J2),[6]skilldef!$C:$D,2,FALSE),"-") &amp; " / " &amp; IFERROR(VLOOKUP(MID(G2,H2,I2-H2),[6]skilldef!$A:$B,2,FALSE),"-")</f>
        <v>- / -</v>
      </c>
      <c r="M2" s="61" t="str">
        <f>IFERROR(RIGHT(B2,LEN(B2)-FIND("],",B2)-1),"none")</f>
        <v>[effect:damage_anti_cost, target:unit_all, lower:31, val1:99, val2:0.01, cost_type:unit],[effect:damage_anti_cost, target:unit_all, lower:31, val1:99, val2:0.01, cost_type:unit],[effect:suicide, val:1, dead_type:suicide, target:myself]</v>
      </c>
      <c r="N2" s="46" t="str">
        <f>IFERROR(LEFT(M2,FIND("],",M2)+S14),M2)</f>
        <v>[effect:damage_anti_cost, target:unit_all, lower:31, val1:99, val2:0.01, cost_type:unit],[effect:damage_anti_cost, target:unit_all, lower:31, val1:99, val2:0.01, cost_type:unit],[effect:suicide, val:1, dead_type:suicide, target:myself]</v>
      </c>
      <c r="O2" s="61">
        <f>FIND("effect:",N2)+7</f>
        <v>9</v>
      </c>
      <c r="P2" s="61">
        <f>IFERROR(FIND(",",N2),LEN(N2))</f>
        <v>25</v>
      </c>
      <c r="Q2" s="61">
        <f>FIND("target:",N2)+7</f>
        <v>34</v>
      </c>
      <c r="R2" s="61">
        <f>FIND(",",N2,P2+1)</f>
        <v>42</v>
      </c>
      <c r="S2" s="61" t="str">
        <f>IFERROR(VLOOKUP(MID(N2,Q2,R2-Q2),[6]skilldef!$C:$D,2,FALSE),"-") &amp; " / " &amp; IFERROR(VLOOKUP(MID(N2,O2,P2-O2),[6]skilldef!$A:$B,2,FALSE),"-")</f>
        <v>味方全体に / -</v>
      </c>
      <c r="T2" s="46" t="str">
        <f>IFERROR(RIGHT(M2,LEN(M2)-FIND("],",M2)-1),"none")</f>
        <v>[effect:damage_anti_cost, target:unit_all, lower:31, val1:99, val2:0.01, cost_type:unit],[effect:suicide, val:1, dead_type:suicide, target:myself]</v>
      </c>
      <c r="U2" s="61">
        <f>FIND("effect:",T2)+7</f>
        <v>9</v>
      </c>
      <c r="V2" s="61">
        <f>IFERROR(FIND(",",T2),LEN(T2))</f>
        <v>25</v>
      </c>
      <c r="W2" s="61">
        <f>FIND("target:",T2)+7</f>
        <v>34</v>
      </c>
      <c r="X2" s="61">
        <f>FIND(",",T2,V2+1)</f>
        <v>42</v>
      </c>
      <c r="Y2" s="61" t="str">
        <f>IFERROR(VLOOKUP(MID(T2,W2,X2-W2),[6]skilldef!$C:$D,2,FALSE),"-") &amp; " / " &amp; IFERROR(VLOOKUP(MID(T2,U2,V2-U2),[6]skilldef!$A:$B,2,FALSE),"-")</f>
        <v>味方全体に / -</v>
      </c>
      <c r="Z2" s="48"/>
      <c r="AA2" s="50"/>
      <c r="AB2" s="48"/>
    </row>
    <row r="3" spans="1:28" ht="31" customHeight="1" x14ac:dyDescent="0.15">
      <c r="A3" s="45">
        <v>13301711</v>
      </c>
      <c r="B3" s="45" t="s">
        <v>325</v>
      </c>
      <c r="C3" s="48">
        <v>3</v>
      </c>
      <c r="D3" s="48" t="s">
        <v>270</v>
      </c>
      <c r="E3" s="49" t="s">
        <v>300</v>
      </c>
      <c r="F3" s="49" t="s">
        <v>324</v>
      </c>
      <c r="G3" s="61" t="str">
        <f t="shared" ref="G3:G22" si="0">IFERROR(LEFT(B3,FIND("],",B3)),B3)</f>
        <v>[effect:enemy_message, val1:1, val2:2.6]</v>
      </c>
      <c r="H3" s="61">
        <f t="shared" ref="H3:H22" si="1">FIND("effect:",G3)+7</f>
        <v>9</v>
      </c>
      <c r="I3" s="61">
        <f t="shared" ref="I3:I22" si="2">IFERROR(FIND(",",G3),LEN(G3))</f>
        <v>22</v>
      </c>
      <c r="J3" s="61" t="e">
        <f t="shared" ref="J3:J22" si="3">FIND("target:",G3)+7</f>
        <v>#VALUE!</v>
      </c>
      <c r="K3" s="61">
        <f t="shared" ref="K3:K22" si="4">FIND(",",G3,I3+1)</f>
        <v>30</v>
      </c>
      <c r="L3" s="61" t="str">
        <f>IFERROR(VLOOKUP(MID(G3,J3,K3-J3),[6]skilldef!$C:$D,2,FALSE),"-") &amp; " / " &amp; IFERROR(VLOOKUP(MID(G3,H3,I3-H3),[6]skilldef!$A:$B,2,FALSE),"-")</f>
        <v>- / -</v>
      </c>
      <c r="M3" s="61" t="str">
        <f t="shared" ref="M3:M22" si="5">IFERROR(RIGHT(B3,LEN(B3)-FIND("],",B3)-1),"none")</f>
        <v>[effect:virus, target:unit_heal, turn:11, rate:1, val:0.62, animation:enemy_virus],[effect:fix_speed, target:myself, turn:1]</v>
      </c>
      <c r="N3" s="46" t="str">
        <f>IFERROR(LEFT(M3,FIND("],",M3)+S15),M3)</f>
        <v>[effect:virus, target:unit_heal, turn:11, rate:1, val:0.62, animation:enemy_virus],[effect:fix_speed, target:myself, turn:1]</v>
      </c>
      <c r="O3" s="61">
        <f t="shared" ref="O3:O22" si="6">FIND("effect:",N3)+7</f>
        <v>9</v>
      </c>
      <c r="P3" s="61">
        <f t="shared" ref="P3:P22" si="7">IFERROR(FIND(",",N3),LEN(N3))</f>
        <v>14</v>
      </c>
      <c r="Q3" s="61">
        <f t="shared" ref="Q3:Q22" si="8">FIND("target:",N3)+7</f>
        <v>23</v>
      </c>
      <c r="R3" s="61">
        <f t="shared" ref="R3:R22" si="9">FIND(",",N3,P3+1)</f>
        <v>32</v>
      </c>
      <c r="S3" s="61" t="str">
        <f>IFERROR(VLOOKUP(MID(N3,Q3,R3-Q3),[6]skilldef!$C:$D,2,FALSE),"-") &amp; " / " &amp; IFERROR(VLOOKUP(MID(N3,O3,P3-O3),[6]skilldef!$A:$B,2,FALSE),"-")</f>
        <v>回復タイプの味方に / ウィルス</v>
      </c>
      <c r="T3" s="46" t="str">
        <f t="shared" ref="T3:T22" si="10">IFERROR(RIGHT(M3,LEN(M3)-FIND("],",M3)-1),"none")</f>
        <v>[effect:fix_speed, target:myself, turn:1]</v>
      </c>
      <c r="U3" s="61">
        <f t="shared" ref="U3:U22" si="11">FIND("effect:",T3)+7</f>
        <v>9</v>
      </c>
      <c r="V3" s="61">
        <f t="shared" ref="V3:V22" si="12">IFERROR(FIND(",",T3),LEN(T3))</f>
        <v>18</v>
      </c>
      <c r="W3" s="61">
        <f t="shared" ref="W3:W22" si="13">FIND("target:",T3)+7</f>
        <v>27</v>
      </c>
      <c r="X3" s="61">
        <f t="shared" ref="X3:X22" si="14">FIND(",",T3,V3+1)</f>
        <v>33</v>
      </c>
      <c r="Y3" s="61" t="str">
        <f>IFERROR(VLOOKUP(MID(T3,W3,X3-W3),[6]skilldef!$C:$D,2,FALSE),"-") &amp; " / " &amp; IFERROR(VLOOKUP(MID(T3,U3,V3-U3),[6]skilldef!$A:$B,2,FALSE),"-")</f>
        <v>自分自身に / 行動値設定</v>
      </c>
      <c r="Z3" s="48"/>
      <c r="AA3" s="50"/>
      <c r="AB3" s="48"/>
    </row>
    <row r="4" spans="1:28" ht="21" customHeight="1" x14ac:dyDescent="0.15">
      <c r="A4" s="45">
        <v>13301712</v>
      </c>
      <c r="B4" s="45" t="s">
        <v>304</v>
      </c>
      <c r="C4" s="48">
        <v>3</v>
      </c>
      <c r="D4" s="48" t="s">
        <v>270</v>
      </c>
      <c r="E4" s="49" t="s">
        <v>271</v>
      </c>
      <c r="F4" s="49" t="s">
        <v>313</v>
      </c>
      <c r="G4" s="61" t="str">
        <f t="shared" si="0"/>
        <v xml:space="preserve">[effect:enhance_enemy, target:myself, turn:-1, status:attack, val:1, calc:mul, animation:enemy_enhance_attack]    </v>
      </c>
      <c r="H4" s="61">
        <f t="shared" si="1"/>
        <v>9</v>
      </c>
      <c r="I4" s="61">
        <f t="shared" si="2"/>
        <v>22</v>
      </c>
      <c r="J4" s="61">
        <f t="shared" si="3"/>
        <v>31</v>
      </c>
      <c r="K4" s="61">
        <f t="shared" si="4"/>
        <v>37</v>
      </c>
      <c r="L4" s="61" t="str">
        <f>IFERROR(VLOOKUP(MID(G4,J4,K4-J4),[6]skilldef!$C:$D,2,FALSE),"-") &amp; " / " &amp; IFERROR(VLOOKUP(MID(G4,H4,I4-H4),[6]skilldef!$A:$B,2,FALSE),"-")</f>
        <v>自分自身に / ステータス強化</v>
      </c>
      <c r="M4" s="61" t="str">
        <f t="shared" si="5"/>
        <v>none</v>
      </c>
      <c r="N4" s="46" t="str">
        <f>IFERROR(LEFT(M4,FIND("],",M4)+S20),M4)</f>
        <v>none</v>
      </c>
      <c r="O4" s="61" t="e">
        <f t="shared" si="6"/>
        <v>#VALUE!</v>
      </c>
      <c r="P4" s="61">
        <f t="shared" si="7"/>
        <v>4</v>
      </c>
      <c r="Q4" s="61" t="e">
        <f t="shared" si="8"/>
        <v>#VALUE!</v>
      </c>
      <c r="R4" s="61" t="e">
        <f t="shared" si="9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6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8"/>
      <c r="AA4" s="50"/>
      <c r="AB4" s="48"/>
    </row>
    <row r="5" spans="1:28" ht="31" customHeight="1" x14ac:dyDescent="0.15">
      <c r="A5" s="105">
        <v>13301721</v>
      </c>
      <c r="B5" s="45" t="s">
        <v>305</v>
      </c>
      <c r="C5" s="48">
        <v>3</v>
      </c>
      <c r="D5" s="48" t="s">
        <v>272</v>
      </c>
      <c r="E5" s="49" t="s">
        <v>273</v>
      </c>
      <c r="F5" s="49" t="s">
        <v>319</v>
      </c>
      <c r="G5" s="61" t="str">
        <f t="shared" si="0"/>
        <v>[effect:tolerance, target:myself, turn:-1, tolerance_effect:all, count:-1, animation:enemy_tolerance]</v>
      </c>
      <c r="H5" s="61">
        <f t="shared" si="1"/>
        <v>9</v>
      </c>
      <c r="I5" s="61">
        <f t="shared" si="2"/>
        <v>18</v>
      </c>
      <c r="J5" s="61">
        <f t="shared" si="3"/>
        <v>27</v>
      </c>
      <c r="K5" s="61">
        <f t="shared" si="4"/>
        <v>33</v>
      </c>
      <c r="L5" s="61" t="str">
        <f>IFERROR(VLOOKUP(MID(G5,J5,K5-J5),[6]skilldef!$C:$D,2,FALSE),"-") &amp; " / " &amp; IFERROR(VLOOKUP(MID(G5,H5,I5-H5),[6]skilldef!$A:$B,2,FALSE),"-")</f>
        <v>自分自身に / 状態異常耐性</v>
      </c>
      <c r="M5" s="61" t="str">
        <f t="shared" si="5"/>
        <v>[effect:enhance_enemy, target:myself, turn:5, status:defense, val:5000, calc:add, animation:enemy_enhance_defense],[effect:fix_speed, target:myself, turn:1]</v>
      </c>
      <c r="N5" s="46" t="str">
        <f>IFERROR(LEFT(M5,FIND("],",M5)+S21),M5)</f>
        <v>[effect:enhance_enemy, target:myself, turn:5, status:defense, val:5000, calc:add, animation:enemy_enhance_defense],[effect:fix_speed, target:myself, turn:1]</v>
      </c>
      <c r="O5" s="61">
        <f t="shared" si="6"/>
        <v>9</v>
      </c>
      <c r="P5" s="61">
        <f t="shared" si="7"/>
        <v>22</v>
      </c>
      <c r="Q5" s="61">
        <f t="shared" si="8"/>
        <v>31</v>
      </c>
      <c r="R5" s="61">
        <f t="shared" si="9"/>
        <v>37</v>
      </c>
      <c r="S5" s="61" t="str">
        <f>IFERROR(VLOOKUP(MID(N5,Q5,R5-Q5),[6]skilldef!$C:$D,2,FALSE),"-") &amp; " / " &amp; IFERROR(VLOOKUP(MID(N5,O5,P5-O5),[6]skilldef!$A:$B,2,FALSE),"-")</f>
        <v>自分自身に / ステータス強化</v>
      </c>
      <c r="T5" s="46" t="str">
        <f t="shared" si="10"/>
        <v>[effect:fix_speed, target:myself, turn:1]</v>
      </c>
      <c r="U5" s="61">
        <f t="shared" si="11"/>
        <v>9</v>
      </c>
      <c r="V5" s="61">
        <f t="shared" si="12"/>
        <v>18</v>
      </c>
      <c r="W5" s="61">
        <f t="shared" si="13"/>
        <v>27</v>
      </c>
      <c r="X5" s="61">
        <f t="shared" si="14"/>
        <v>33</v>
      </c>
      <c r="Y5" s="61" t="str">
        <f>IFERROR(VLOOKUP(MID(T5,W5,X5-W5),[6]skilldef!$C:$D,2,FALSE),"-") &amp; " / " &amp; IFERROR(VLOOKUP(MID(T5,U5,V5-U5),[6]skilldef!$A:$B,2,FALSE),"-")</f>
        <v>自分自身に / 行動値設定</v>
      </c>
      <c r="Z5" s="48"/>
      <c r="AA5" s="50"/>
      <c r="AB5" s="48"/>
    </row>
    <row r="6" spans="1:28" ht="34" customHeight="1" x14ac:dyDescent="0.15">
      <c r="A6" s="105">
        <v>13301722</v>
      </c>
      <c r="B6" s="45" t="s">
        <v>301</v>
      </c>
      <c r="C6" s="48">
        <v>3</v>
      </c>
      <c r="D6" s="48" t="s">
        <v>272</v>
      </c>
      <c r="E6" s="49" t="s">
        <v>274</v>
      </c>
      <c r="F6" s="49" t="s">
        <v>314</v>
      </c>
      <c r="G6" s="61" t="str">
        <f t="shared" si="0"/>
        <v>[effect:enemy_message, val1:1, val2:2.6]</v>
      </c>
      <c r="H6" s="61">
        <f t="shared" si="1"/>
        <v>9</v>
      </c>
      <c r="I6" s="61">
        <f t="shared" si="2"/>
        <v>22</v>
      </c>
      <c r="J6" s="61" t="e">
        <f t="shared" si="3"/>
        <v>#VALUE!</v>
      </c>
      <c r="K6" s="61">
        <f t="shared" si="4"/>
        <v>30</v>
      </c>
      <c r="L6" s="61" t="str">
        <f>IFERROR(VLOOKUP(MID(G6,J6,K6-J6),[6]skilldef!$C:$D,2,FALSE),"-") &amp; " / " &amp; IFERROR(VLOOKUP(MID(G6,H6,I6-H6),[6]skilldef!$A:$B,2,FALSE),"-")</f>
        <v>- / -</v>
      </c>
      <c r="M6" s="61" t="str">
        <f t="shared" si="5"/>
        <v xml:space="preserve">[effect:damage_anti_color, target:unit_all, color:red, val1:0.45, val2:0.18],[effect:fix_speed, target:myself, turn:1],[effect:sp_boost, target:unit_machine, val:1, animation:sp_boost_one03]    </v>
      </c>
      <c r="N6" s="46" t="str">
        <f>IFERROR(LEFT(M6,FIND("],",M6)+#REF!),M6)</f>
        <v xml:space="preserve">[effect:damage_anti_color, target:unit_all, color:red, val1:0.45, val2:0.18],[effect:fix_speed, target:myself, turn:1],[effect:sp_boost, target:unit_machine, val:1, animation:sp_boost_one03]    </v>
      </c>
      <c r="O6" s="61">
        <f t="shared" si="6"/>
        <v>9</v>
      </c>
      <c r="P6" s="61">
        <f t="shared" si="7"/>
        <v>26</v>
      </c>
      <c r="Q6" s="61">
        <f t="shared" si="8"/>
        <v>35</v>
      </c>
      <c r="R6" s="61">
        <f t="shared" si="9"/>
        <v>43</v>
      </c>
      <c r="S6" s="61" t="str">
        <f>IFERROR(VLOOKUP(MID(N6,Q6,R6-Q6),[6]skilldef!$C:$D,2,FALSE),"-") &amp; " / " &amp; IFERROR(VLOOKUP(MID(N6,O6,P6-O6),[6]skilldef!$A:$B,2,FALSE),"-")</f>
        <v>味方全体に / 属性キラー</v>
      </c>
      <c r="T6" s="46" t="str">
        <f t="shared" si="10"/>
        <v xml:space="preserve">[effect:fix_speed, target:myself, turn:1],[effect:sp_boost, target:unit_machine, val:1, animation:sp_boost_one03]    </v>
      </c>
      <c r="U6" s="61">
        <f t="shared" si="11"/>
        <v>9</v>
      </c>
      <c r="V6" s="61">
        <f t="shared" si="12"/>
        <v>18</v>
      </c>
      <c r="W6" s="61">
        <f t="shared" si="13"/>
        <v>27</v>
      </c>
      <c r="X6" s="61">
        <f t="shared" si="14"/>
        <v>33</v>
      </c>
      <c r="Y6" s="61" t="str">
        <f>IFERROR(VLOOKUP(MID(T6,W6,X6-W6),[6]skilldef!$C:$D,2,FALSE),"-") &amp; " / " &amp; IFERROR(VLOOKUP(MID(T6,U6,V6-U6),[6]skilldef!$A:$B,2,FALSE),"-")</f>
        <v>自分自身に / 行動値設定</v>
      </c>
      <c r="Z6" s="48"/>
      <c r="AA6" s="50"/>
      <c r="AB6" s="48"/>
    </row>
    <row r="7" spans="1:28" ht="34" customHeight="1" x14ac:dyDescent="0.15">
      <c r="A7" s="105">
        <v>13301723</v>
      </c>
      <c r="B7" s="45" t="s">
        <v>302</v>
      </c>
      <c r="C7" s="48">
        <v>3</v>
      </c>
      <c r="D7" s="48" t="s">
        <v>275</v>
      </c>
      <c r="E7" s="49" t="s">
        <v>276</v>
      </c>
      <c r="F7" s="49" t="s">
        <v>315</v>
      </c>
      <c r="G7" s="61" t="str">
        <f t="shared" si="0"/>
        <v>[effect:enemy_message, val1:1, val2:2.6]</v>
      </c>
      <c r="H7" s="61">
        <f t="shared" si="1"/>
        <v>9</v>
      </c>
      <c r="I7" s="61">
        <f t="shared" si="2"/>
        <v>22</v>
      </c>
      <c r="J7" s="61" t="e">
        <f t="shared" si="3"/>
        <v>#VALUE!</v>
      </c>
      <c r="K7" s="61">
        <f t="shared" si="4"/>
        <v>30</v>
      </c>
      <c r="L7" s="61" t="str">
        <f>IFERROR(VLOOKUP(MID(G7,J7,K7-J7),[6]skilldef!$C:$D,2,FALSE),"-") &amp; " / " &amp; IFERROR(VLOOKUP(MID(G7,H7,I7-H7),[6]skilldef!$A:$B,2,FALSE),"-")</f>
        <v>- / -</v>
      </c>
      <c r="M7" s="61" t="str">
        <f t="shared" si="5"/>
        <v xml:space="preserve">[effect:damage_anti_color, target:unit_all, color:blue, val1:0.45, val2:0.18],[effect:fix_speed, target:myself, turn:1],[effect:sp_boost, target:unit_machine, val:1, animation:sp_boost_one03]  </v>
      </c>
      <c r="N7" s="46" t="str">
        <f>IFERROR(LEFT(M7,FIND("],",M7)+S22),M7)</f>
        <v xml:space="preserve">[effect:damage_anti_color, target:unit_all, color:blue, val1:0.45, val2:0.18],[effect:fix_speed, target:myself, turn:1],[effect:sp_boost, target:unit_machine, val:1, animation:sp_boost_one03]  </v>
      </c>
      <c r="O7" s="61">
        <f t="shared" si="6"/>
        <v>9</v>
      </c>
      <c r="P7" s="61">
        <f t="shared" si="7"/>
        <v>26</v>
      </c>
      <c r="Q7" s="61">
        <f t="shared" si="8"/>
        <v>35</v>
      </c>
      <c r="R7" s="61">
        <f t="shared" si="9"/>
        <v>43</v>
      </c>
      <c r="S7" s="61" t="str">
        <f>IFERROR(VLOOKUP(MID(N7,Q7,R7-Q7),[6]skilldef!$C:$D,2,FALSE),"-") &amp; " / " &amp; IFERROR(VLOOKUP(MID(N7,O7,P7-O7),[6]skilldef!$A:$B,2,FALSE),"-")</f>
        <v>味方全体に / 属性キラー</v>
      </c>
      <c r="T7" s="46" t="str">
        <f t="shared" si="10"/>
        <v xml:space="preserve">[effect:fix_speed, target:myself, turn:1],[effect:sp_boost, target:unit_machine, val:1, animation:sp_boost_one03]  </v>
      </c>
      <c r="U7" s="61">
        <f t="shared" si="11"/>
        <v>9</v>
      </c>
      <c r="V7" s="61">
        <f t="shared" si="12"/>
        <v>18</v>
      </c>
      <c r="W7" s="61">
        <f t="shared" si="13"/>
        <v>27</v>
      </c>
      <c r="X7" s="61">
        <f t="shared" si="14"/>
        <v>33</v>
      </c>
      <c r="Y7" s="61" t="str">
        <f>IFERROR(VLOOKUP(MID(T7,W7,X7-W7),[6]skilldef!$C:$D,2,FALSE),"-") &amp; " / " &amp; IFERROR(VLOOKUP(MID(T7,U7,V7-U7),[6]skilldef!$A:$B,2,FALSE),"-")</f>
        <v>自分自身に / 行動値設定</v>
      </c>
      <c r="Z7" s="48"/>
      <c r="AA7" s="50"/>
      <c r="AB7" s="48"/>
    </row>
    <row r="8" spans="1:28" ht="38" customHeight="1" x14ac:dyDescent="0.15">
      <c r="A8" s="105">
        <v>13301724</v>
      </c>
      <c r="B8" s="45" t="s">
        <v>340</v>
      </c>
      <c r="C8" s="48">
        <v>3</v>
      </c>
      <c r="D8" s="48" t="s">
        <v>277</v>
      </c>
      <c r="E8" s="49" t="s">
        <v>278</v>
      </c>
      <c r="F8" s="49" t="s">
        <v>316</v>
      </c>
      <c r="G8" s="61" t="str">
        <f t="shared" si="0"/>
        <v>[effect:critical, val:0.8]</v>
      </c>
      <c r="H8" s="61">
        <f t="shared" si="1"/>
        <v>9</v>
      </c>
      <c r="I8" s="61">
        <f t="shared" si="2"/>
        <v>17</v>
      </c>
      <c r="J8" s="61" t="e">
        <f t="shared" si="3"/>
        <v>#VALUE!</v>
      </c>
      <c r="K8" s="61" t="e">
        <f t="shared" si="4"/>
        <v>#VALUE!</v>
      </c>
      <c r="L8" s="61" t="str">
        <f>IFERROR(VLOOKUP(MID(G8,J8,K8-J8),[6]skilldef!$C:$D,2,FALSE),"-") &amp; " / " &amp; IFERROR(VLOOKUP(MID(G8,H8,I8-H8),[6]skilldef!$A:$B,2,FALSE),"-")</f>
        <v>- / 大攻撃</v>
      </c>
      <c r="M8" s="61" t="str">
        <f t="shared" si="5"/>
        <v>[effect:enemy_message, val1:1, val2:2.2],[effect:force_change_block, new_block:time_bomb, target:block_yellow, ignore01:crash, ignore02:crack_bomb, ignore03:time_bomb, color:block_yellow, count:4, val:0.16, min_time_count:2, max_time_count:2, animation:change_block],[effect:fix_speed, target:myself, turn:1]</v>
      </c>
      <c r="N8" s="46" t="str">
        <f>IFERROR(LEFT(M8,FIND("],",M8)+S22),M8)</f>
        <v>[effect:enemy_message, val1:1, val2:2.2],[effect:force_change_block, new_block:time_bomb, target:block_yellow, ignore01:crash, ignore02:crack_bomb, ignore03:time_bomb, color:block_yellow, count:4, val:0.16, min_time_count:2, max_time_count:2, animation:change_block],[effect:fix_speed, target:myself, turn:1]</v>
      </c>
      <c r="O8" s="61">
        <f t="shared" si="6"/>
        <v>9</v>
      </c>
      <c r="P8" s="61">
        <f t="shared" si="7"/>
        <v>22</v>
      </c>
      <c r="Q8" s="61">
        <f t="shared" si="8"/>
        <v>98</v>
      </c>
      <c r="R8" s="61">
        <f t="shared" si="9"/>
        <v>30</v>
      </c>
      <c r="S8" s="61" t="str">
        <f>IFERROR(VLOOKUP(MID(N8,Q8,R8-Q8),[6]skilldef!$C:$D,2,FALSE),"-") &amp; " / " &amp; IFERROR(VLOOKUP(MID(N8,O8,P8-O8),[6]skilldef!$A:$B,2,FALSE),"-")</f>
        <v>- / -</v>
      </c>
      <c r="T8" s="46" t="str">
        <f t="shared" si="10"/>
        <v>[effect:force_change_block, new_block:time_bomb, target:block_yellow, ignore01:crash, ignore02:crack_bomb, ignore03:time_bomb, color:block_yellow, count:4, val:0.16, min_time_count:2, max_time_count:2, animation:change_block],[effect:fix_speed, target:myself, turn:1]</v>
      </c>
      <c r="U8" s="61">
        <f t="shared" si="11"/>
        <v>9</v>
      </c>
      <c r="V8" s="61">
        <f t="shared" si="12"/>
        <v>27</v>
      </c>
      <c r="W8" s="61">
        <f t="shared" si="13"/>
        <v>57</v>
      </c>
      <c r="X8" s="61">
        <f t="shared" si="14"/>
        <v>48</v>
      </c>
      <c r="Y8" s="61" t="str">
        <f>IFERROR(VLOOKUP(MID(T8,W8,X8-W8),[6]skilldef!$C:$D,2,FALSE),"-") &amp; " / " &amp; IFERROR(VLOOKUP(MID(T8,U8,V8-U8),[6]skilldef!$A:$B,2,FALSE),"-")</f>
        <v>- / -</v>
      </c>
      <c r="Z8" s="48"/>
      <c r="AA8" s="50"/>
      <c r="AB8" s="48"/>
    </row>
    <row r="9" spans="1:28" ht="21" customHeight="1" x14ac:dyDescent="0.15">
      <c r="A9" s="105">
        <v>13301725</v>
      </c>
      <c r="B9" s="45" t="s">
        <v>326</v>
      </c>
      <c r="C9" s="48">
        <v>3</v>
      </c>
      <c r="D9" s="48" t="s">
        <v>272</v>
      </c>
      <c r="E9" s="49" t="s">
        <v>279</v>
      </c>
      <c r="F9" s="49" t="s">
        <v>328</v>
      </c>
      <c r="G9" s="61" t="str">
        <f t="shared" si="0"/>
        <v>[effect:enhance_enemy, target:myself, turn:3, status:attack, val:0.65, calc:mul, animation:enemy_enhance_attack]</v>
      </c>
      <c r="H9" s="61">
        <f t="shared" si="1"/>
        <v>9</v>
      </c>
      <c r="I9" s="61">
        <f t="shared" si="2"/>
        <v>22</v>
      </c>
      <c r="J9" s="61">
        <f t="shared" si="3"/>
        <v>31</v>
      </c>
      <c r="K9" s="61">
        <f t="shared" si="4"/>
        <v>37</v>
      </c>
      <c r="L9" s="61" t="str">
        <f>IFERROR(VLOOKUP(MID(G9,J9,K9-J9),[6]skilldef!$C:$D,2,FALSE),"-") &amp; " / " &amp; IFERROR(VLOOKUP(MID(G9,H9,I9-H9),[6]skilldef!$A:$B,2,FALSE),"-")</f>
        <v>自分自身に / ステータス強化</v>
      </c>
      <c r="M9" s="61" t="str">
        <f t="shared" si="5"/>
        <v>[effect:enhance_enemy, target:myself, turn:3, status:defense, val:2000, calc:add, animation:enemy_enhance_defense],[effect:fix_speed, target:myself, turn:1]</v>
      </c>
      <c r="N9" s="46" t="str">
        <f>IFERROR(LEFT(M9,FIND("],",M9)+#REF!),M9)</f>
        <v>[effect:enhance_enemy, target:myself, turn:3, status:defense, val:2000, calc:add, animation:enemy_enhance_defense],[effect:fix_speed, target:myself, turn:1]</v>
      </c>
      <c r="O9" s="61">
        <f t="shared" si="6"/>
        <v>9</v>
      </c>
      <c r="P9" s="61">
        <f t="shared" si="7"/>
        <v>22</v>
      </c>
      <c r="Q9" s="61">
        <f t="shared" si="8"/>
        <v>31</v>
      </c>
      <c r="R9" s="61">
        <f t="shared" si="9"/>
        <v>37</v>
      </c>
      <c r="S9" s="61" t="str">
        <f>IFERROR(VLOOKUP(MID(N9,Q9,R9-Q9),[6]skilldef!$C:$D,2,FALSE),"-") &amp; " / " &amp; IFERROR(VLOOKUP(MID(N9,O9,P9-O9),[6]skilldef!$A:$B,2,FALSE),"-")</f>
        <v>自分自身に / ステータス強化</v>
      </c>
      <c r="T9" s="46" t="str">
        <f t="shared" si="10"/>
        <v>[effect:fix_speed, target:myself, turn:1]</v>
      </c>
      <c r="U9" s="61">
        <f t="shared" si="11"/>
        <v>9</v>
      </c>
      <c r="V9" s="61">
        <f t="shared" si="12"/>
        <v>18</v>
      </c>
      <c r="W9" s="61">
        <f t="shared" si="13"/>
        <v>27</v>
      </c>
      <c r="X9" s="61">
        <f t="shared" si="14"/>
        <v>33</v>
      </c>
      <c r="Y9" s="61" t="str">
        <f>IFERROR(VLOOKUP(MID(T9,W9,X9-W9),[6]skilldef!$C:$D,2,FALSE),"-") &amp; " / " &amp; IFERROR(VLOOKUP(MID(T9,U9,V9-U9),[6]skilldef!$A:$B,2,FALSE),"-")</f>
        <v>自分自身に / 行動値設定</v>
      </c>
      <c r="Z9" s="48"/>
      <c r="AA9" s="50"/>
      <c r="AB9" s="48"/>
    </row>
    <row r="10" spans="1:28" ht="21" customHeight="1" x14ac:dyDescent="0.15">
      <c r="A10" s="45">
        <v>13301741</v>
      </c>
      <c r="B10" s="45" t="s">
        <v>280</v>
      </c>
      <c r="C10" s="48">
        <v>3</v>
      </c>
      <c r="D10" s="48" t="s">
        <v>272</v>
      </c>
      <c r="E10" s="49" t="s">
        <v>281</v>
      </c>
      <c r="F10" s="49" t="s">
        <v>282</v>
      </c>
      <c r="G10" s="61" t="str">
        <f t="shared" si="0"/>
        <v>[effect:break_attack_fix, target:unit_all, val:150, lowest_val:750, count:30, color:red, block01:block_red]</v>
      </c>
      <c r="H10" s="61">
        <f t="shared" si="1"/>
        <v>9</v>
      </c>
      <c r="I10" s="61">
        <f t="shared" si="2"/>
        <v>25</v>
      </c>
      <c r="J10" s="61">
        <f t="shared" si="3"/>
        <v>34</v>
      </c>
      <c r="K10" s="61">
        <f t="shared" si="4"/>
        <v>42</v>
      </c>
      <c r="L10" s="61" t="str">
        <f>IFERROR(VLOOKUP(MID(G10,J10,K10-J10),[6]skilldef!$C:$D,2,FALSE),"-") &amp; " / " &amp; IFERROR(VLOOKUP(MID(G10,H10,I10-H10),[6]skilldef!$A:$B,2,FALSE),"-")</f>
        <v>味方全体に / -</v>
      </c>
      <c r="M10" s="61" t="str">
        <f t="shared" si="5"/>
        <v>[effect:fix_speed, target:myself, turn:2]</v>
      </c>
      <c r="N10" s="46" t="str">
        <f>IFERROR(LEFT(M10,FIND("],",M10)+#REF!),M10)</f>
        <v>[effect:fix_speed, target:myself, turn:2]</v>
      </c>
      <c r="O10" s="61">
        <f t="shared" si="6"/>
        <v>9</v>
      </c>
      <c r="P10" s="61">
        <f t="shared" si="7"/>
        <v>18</v>
      </c>
      <c r="Q10" s="61">
        <f t="shared" si="8"/>
        <v>27</v>
      </c>
      <c r="R10" s="61">
        <f t="shared" si="9"/>
        <v>33</v>
      </c>
      <c r="S10" s="61" t="str">
        <f>IFERROR(VLOOKUP(MID(N10,Q10,R10-Q10),[6]skilldef!$C:$D,2,FALSE),"-") &amp; " / " &amp; IFERROR(VLOOKUP(MID(N10,O10,P10-O10),[6]skilldef!$A:$B,2,FALSE),"-")</f>
        <v>自分自身に / 行動値設定</v>
      </c>
      <c r="T10" s="46" t="str">
        <f t="shared" si="10"/>
        <v>none</v>
      </c>
      <c r="U10" s="61" t="e">
        <f t="shared" si="11"/>
        <v>#VALUE!</v>
      </c>
      <c r="V10" s="61">
        <f t="shared" si="12"/>
        <v>4</v>
      </c>
      <c r="W10" s="61" t="e">
        <f t="shared" si="13"/>
        <v>#VALUE!</v>
      </c>
      <c r="X10" s="61" t="e">
        <f t="shared" si="14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8"/>
      <c r="AA10" s="50"/>
      <c r="AB10" s="48"/>
    </row>
    <row r="11" spans="1:28" ht="21" customHeight="1" x14ac:dyDescent="0.15">
      <c r="A11" s="45">
        <v>13301742</v>
      </c>
      <c r="B11" s="45" t="s">
        <v>307</v>
      </c>
      <c r="C11" s="48">
        <v>3</v>
      </c>
      <c r="D11" s="48" t="s">
        <v>275</v>
      </c>
      <c r="E11" s="49" t="s">
        <v>283</v>
      </c>
      <c r="F11" s="49" t="s">
        <v>308</v>
      </c>
      <c r="G11" s="61" t="str">
        <f t="shared" si="0"/>
        <v>[effect:damage_anti_color, target:unit_all, color:green, val1:0.95, val2:0.05]</v>
      </c>
      <c r="H11" s="61">
        <f t="shared" si="1"/>
        <v>9</v>
      </c>
      <c r="I11" s="61">
        <f t="shared" si="2"/>
        <v>26</v>
      </c>
      <c r="J11" s="61">
        <f t="shared" si="3"/>
        <v>35</v>
      </c>
      <c r="K11" s="61">
        <f t="shared" si="4"/>
        <v>43</v>
      </c>
      <c r="L11" s="61" t="str">
        <f>IFERROR(VLOOKUP(MID(G11,J11,K11-J11),[6]skilldef!$C:$D,2,FALSE),"-") &amp; " / " &amp; IFERROR(VLOOKUP(MID(G11,H11,I11-H11),[6]skilldef!$A:$B,2,FALSE),"-")</f>
        <v>味方全体に / 属性キラー</v>
      </c>
      <c r="M11" s="61" t="str">
        <f t="shared" si="5"/>
        <v>none</v>
      </c>
      <c r="N11" s="46" t="str">
        <f t="shared" ref="N11:N16" si="15">IFERROR(LEFT(M11,FIND("],",M11)+S23),M11)</f>
        <v>none</v>
      </c>
      <c r="O11" s="61" t="e">
        <f t="shared" si="6"/>
        <v>#VALUE!</v>
      </c>
      <c r="P11" s="61">
        <f t="shared" si="7"/>
        <v>4</v>
      </c>
      <c r="Q11" s="61" t="e">
        <f t="shared" si="8"/>
        <v>#VALUE!</v>
      </c>
      <c r="R11" s="61" t="e">
        <f t="shared" si="9"/>
        <v>#VALUE!</v>
      </c>
      <c r="S11" s="61" t="str">
        <f>IFERROR(VLOOKUP(MID(N11,Q11,R11-Q11),[6]skilldef!$C:$D,2,FALSE),"-") &amp; " / " &amp; IFERROR(VLOOKUP(MID(N11,O11,P11-O11),[6]skilldef!$A:$B,2,FALSE),"-")</f>
        <v>- / -</v>
      </c>
      <c r="T11" s="46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8"/>
      <c r="AA11" s="50"/>
      <c r="AB11" s="48"/>
    </row>
    <row r="12" spans="1:28" ht="33" customHeight="1" x14ac:dyDescent="0.15">
      <c r="A12" s="45">
        <v>13301743</v>
      </c>
      <c r="B12" s="45" t="s">
        <v>335</v>
      </c>
      <c r="C12" s="48">
        <v>3</v>
      </c>
      <c r="D12" s="48" t="s">
        <v>272</v>
      </c>
      <c r="E12" s="49" t="s">
        <v>284</v>
      </c>
      <c r="F12" s="49" t="s">
        <v>310</v>
      </c>
      <c r="G12" s="61" t="str">
        <f t="shared" si="0"/>
        <v>[effect:force_change_block, new_block:block_red, target:block_green, ignore01:crash, ignore02:crack_bomb, ignore03:time_bomb, count:0, val:0, animation:change_block]</v>
      </c>
      <c r="H12" s="61">
        <f t="shared" si="1"/>
        <v>9</v>
      </c>
      <c r="I12" s="61">
        <f t="shared" si="2"/>
        <v>27</v>
      </c>
      <c r="J12" s="61">
        <f t="shared" si="3"/>
        <v>57</v>
      </c>
      <c r="K12" s="61">
        <f t="shared" si="4"/>
        <v>48</v>
      </c>
      <c r="L12" s="61" t="str">
        <f>IFERROR(VLOOKUP(MID(G12,J12,K12-J12),[6]skilldef!$C:$D,2,FALSE),"-") &amp; " / " &amp; IFERROR(VLOOKUP(MID(G12,H12,I12-H12),[6]skilldef!$A:$B,2,FALSE),"-")</f>
        <v>- / -</v>
      </c>
      <c r="M12" s="61" t="str">
        <f t="shared" si="5"/>
        <v>[effect:enemy_message, val1:1.3, val2:1.5]</v>
      </c>
      <c r="N12" s="46" t="str">
        <f t="shared" si="15"/>
        <v>[effect:enemy_message, val1:1.3, val2:1.5]</v>
      </c>
      <c r="O12" s="61">
        <f t="shared" si="6"/>
        <v>9</v>
      </c>
      <c r="P12" s="61">
        <f t="shared" si="7"/>
        <v>22</v>
      </c>
      <c r="Q12" s="61" t="e">
        <f t="shared" si="8"/>
        <v>#VALUE!</v>
      </c>
      <c r="R12" s="61">
        <f t="shared" si="9"/>
        <v>32</v>
      </c>
      <c r="S12" s="61" t="str">
        <f>IFERROR(VLOOKUP(MID(N12,Q12,R12-Q12),[6]skilldef!$C:$D,2,FALSE),"-") &amp; " / " &amp; IFERROR(VLOOKUP(MID(N12,O12,P12-O12),[6]skilldef!$A:$B,2,FALSE),"-")</f>
        <v>- / -</v>
      </c>
      <c r="T12" s="46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8"/>
      <c r="AA12" s="50"/>
      <c r="AB12" s="48"/>
    </row>
    <row r="13" spans="1:28" ht="35" customHeight="1" x14ac:dyDescent="0.15">
      <c r="A13" s="105">
        <v>13301761</v>
      </c>
      <c r="B13" s="45" t="s">
        <v>334</v>
      </c>
      <c r="C13" s="48">
        <v>3</v>
      </c>
      <c r="D13" s="48" t="s">
        <v>272</v>
      </c>
      <c r="E13" s="49" t="s">
        <v>285</v>
      </c>
      <c r="F13" s="49" t="s">
        <v>318</v>
      </c>
      <c r="G13" s="61" t="str">
        <f t="shared" si="0"/>
        <v>[effect:tolerance, target:myself, turn:-1, tolerance_effect:all, count:-1, animation:enemy_tolerance]</v>
      </c>
      <c r="H13" s="61">
        <f t="shared" si="1"/>
        <v>9</v>
      </c>
      <c r="I13" s="61">
        <f t="shared" si="2"/>
        <v>18</v>
      </c>
      <c r="J13" s="61">
        <f t="shared" si="3"/>
        <v>27</v>
      </c>
      <c r="K13" s="61">
        <f t="shared" si="4"/>
        <v>33</v>
      </c>
      <c r="L13" s="61" t="str">
        <f>IFERROR(VLOOKUP(MID(G13,J13,K13-J13),[6]skilldef!$C:$D,2,FALSE),"-") &amp; " / " &amp; IFERROR(VLOOKUP(MID(G13,H13,I13-H13),[6]skilldef!$A:$B,2,FALSE),"-")</f>
        <v>自分自身に / 状態異常耐性</v>
      </c>
      <c r="M13" s="61" t="str">
        <f t="shared" si="5"/>
        <v>[effect:enhance_enemy, target:myself, turn:3, status:defense, val:5000, calc:add, animation:enemy_enhance_defense],[effect:fix_speed, target:myself, turn:1]</v>
      </c>
      <c r="N13" s="46" t="str">
        <f t="shared" si="15"/>
        <v>[effect:enhance_enemy, target:myself, turn:3, status:defense, val:5000, calc:add, animation:enemy_enhance_defense]</v>
      </c>
      <c r="O13" s="61">
        <f t="shared" si="6"/>
        <v>9</v>
      </c>
      <c r="P13" s="61">
        <f t="shared" si="7"/>
        <v>22</v>
      </c>
      <c r="Q13" s="61">
        <f t="shared" si="8"/>
        <v>31</v>
      </c>
      <c r="R13" s="61">
        <f t="shared" si="9"/>
        <v>37</v>
      </c>
      <c r="S13" s="61" t="str">
        <f>IFERROR(VLOOKUP(MID(N13,Q13,R13-Q13),[6]skilldef!$C:$D,2,FALSE),"-") &amp; " / " &amp; IFERROR(VLOOKUP(MID(N13,O13,P13-O13),[6]skilldef!$A:$B,2,FALSE),"-")</f>
        <v>自分自身に / ステータス強化</v>
      </c>
      <c r="T13" s="46" t="str">
        <f t="shared" si="10"/>
        <v>[effect:fix_speed, target:myself, turn:1]</v>
      </c>
      <c r="U13" s="61">
        <f t="shared" si="11"/>
        <v>9</v>
      </c>
      <c r="V13" s="61">
        <f t="shared" si="12"/>
        <v>18</v>
      </c>
      <c r="W13" s="61">
        <f t="shared" si="13"/>
        <v>27</v>
      </c>
      <c r="X13" s="61">
        <f t="shared" si="14"/>
        <v>33</v>
      </c>
      <c r="Y13" s="61" t="str">
        <f>IFERROR(VLOOKUP(MID(T13,W13,X13-W13),[6]skilldef!$C:$D,2,FALSE),"-") &amp; " / " &amp; IFERROR(VLOOKUP(MID(T13,U13,V13-U13),[6]skilldef!$A:$B,2,FALSE),"-")</f>
        <v>自分自身に / 行動値設定</v>
      </c>
      <c r="Z13" s="48"/>
      <c r="AA13" s="50"/>
      <c r="AB13" s="48"/>
    </row>
    <row r="14" spans="1:28" ht="38" customHeight="1" x14ac:dyDescent="0.15">
      <c r="A14" s="105">
        <v>13301762</v>
      </c>
      <c r="B14" s="45" t="s">
        <v>336</v>
      </c>
      <c r="C14" s="48">
        <v>3</v>
      </c>
      <c r="D14" s="48" t="s">
        <v>272</v>
      </c>
      <c r="E14" s="49" t="s">
        <v>286</v>
      </c>
      <c r="F14" s="49" t="s">
        <v>314</v>
      </c>
      <c r="G14" s="61" t="str">
        <f t="shared" si="0"/>
        <v>[effect:enemy_message, val1:1, val2:2.6]</v>
      </c>
      <c r="H14" s="61">
        <f t="shared" si="1"/>
        <v>9</v>
      </c>
      <c r="I14" s="61">
        <f t="shared" si="2"/>
        <v>22</v>
      </c>
      <c r="J14" s="61" t="e">
        <f t="shared" si="3"/>
        <v>#VALUE!</v>
      </c>
      <c r="K14" s="61">
        <f t="shared" si="4"/>
        <v>30</v>
      </c>
      <c r="L14" s="61" t="str">
        <f>IFERROR(VLOOKUP(MID(G14,J14,K14-J14),[6]skilldef!$C:$D,2,FALSE),"-") &amp; " / " &amp; IFERROR(VLOOKUP(MID(G14,H14,I14-H14),[6]skilldef!$A:$B,2,FALSE),"-")</f>
        <v>- / -</v>
      </c>
      <c r="M14" s="61" t="str">
        <f t="shared" si="5"/>
        <v>[effect:damage_anti_color, target:unit_all, color:red, val1:0.36, val2:0.16],[effect:sp_boost, target:unit_machine, val:1, animation:sp_boost_one03]</v>
      </c>
      <c r="N14" s="46" t="str">
        <f t="shared" si="15"/>
        <v>[effect:damage_anti_color, target:unit_all, color:red, val1:0.36, val2:0.16]</v>
      </c>
      <c r="O14" s="61">
        <f t="shared" si="6"/>
        <v>9</v>
      </c>
      <c r="P14" s="61">
        <f t="shared" si="7"/>
        <v>26</v>
      </c>
      <c r="Q14" s="61">
        <f t="shared" si="8"/>
        <v>35</v>
      </c>
      <c r="R14" s="61">
        <f t="shared" si="9"/>
        <v>43</v>
      </c>
      <c r="S14" s="61" t="str">
        <f>IFERROR(VLOOKUP(MID(N14,Q14,R14-Q14),[6]skilldef!$C:$D,2,FALSE),"-") &amp; " / " &amp; IFERROR(VLOOKUP(MID(N14,O14,P14-O14),[6]skilldef!$A:$B,2,FALSE),"-")</f>
        <v>味方全体に / 属性キラー</v>
      </c>
      <c r="T14" s="46" t="str">
        <f t="shared" si="10"/>
        <v>[effect:sp_boost, target:unit_machine, val:1, animation:sp_boost_one03]</v>
      </c>
      <c r="U14" s="61">
        <f t="shared" si="11"/>
        <v>9</v>
      </c>
      <c r="V14" s="61">
        <f t="shared" si="12"/>
        <v>17</v>
      </c>
      <c r="W14" s="61">
        <f t="shared" si="13"/>
        <v>26</v>
      </c>
      <c r="X14" s="61">
        <f t="shared" si="14"/>
        <v>38</v>
      </c>
      <c r="Y14" s="61" t="str">
        <f>IFERROR(VLOOKUP(MID(T14,W14,X14-W14),[6]skilldef!$C:$D,2,FALSE),"-") &amp; " / " &amp; IFERROR(VLOOKUP(MID(T14,U14,V14-U14),[6]skilldef!$A:$B,2,FALSE),"-")</f>
        <v>- / -</v>
      </c>
      <c r="Z14" s="48"/>
      <c r="AA14" s="50"/>
      <c r="AB14" s="48"/>
    </row>
    <row r="15" spans="1:28" ht="35" customHeight="1" x14ac:dyDescent="0.15">
      <c r="A15" s="105">
        <v>13301763</v>
      </c>
      <c r="B15" s="45" t="s">
        <v>306</v>
      </c>
      <c r="C15" s="48">
        <v>3</v>
      </c>
      <c r="D15" s="48" t="s">
        <v>272</v>
      </c>
      <c r="E15" s="49" t="s">
        <v>287</v>
      </c>
      <c r="F15" s="49" t="s">
        <v>315</v>
      </c>
      <c r="G15" s="61" t="str">
        <f t="shared" si="0"/>
        <v>[effect:enemy_message, val1:1, val2:2.6]</v>
      </c>
      <c r="H15" s="61">
        <f t="shared" si="1"/>
        <v>9</v>
      </c>
      <c r="I15" s="61">
        <f t="shared" si="2"/>
        <v>22</v>
      </c>
      <c r="J15" s="61" t="e">
        <f t="shared" si="3"/>
        <v>#VALUE!</v>
      </c>
      <c r="K15" s="61">
        <f t="shared" si="4"/>
        <v>30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5"/>
        <v xml:space="preserve">[effect:damage_anti_color, target:unit_all, color:blue, val1:0.36, val2:0.16],[effect:sp_boost, target:unit_machine, val:1, animation:sp_boost_one03]  </v>
      </c>
      <c r="N15" s="46" t="str">
        <f t="shared" si="15"/>
        <v>[effect:damage_anti_color, target:unit_all, color:blue, val1:0.36, val2:0.16]</v>
      </c>
      <c r="O15" s="61">
        <f t="shared" si="6"/>
        <v>9</v>
      </c>
      <c r="P15" s="61">
        <f t="shared" si="7"/>
        <v>26</v>
      </c>
      <c r="Q15" s="61">
        <f t="shared" si="8"/>
        <v>35</v>
      </c>
      <c r="R15" s="61">
        <f t="shared" si="9"/>
        <v>43</v>
      </c>
      <c r="S15" s="61" t="str">
        <f>IFERROR(VLOOKUP(MID(N15,Q15,R15-Q15),[6]skilldef!$C:$D,2,FALSE),"-") &amp; " / " &amp; IFERROR(VLOOKUP(MID(N15,O15,P15-O15),[6]skilldef!$A:$B,2,FALSE),"-")</f>
        <v>味方全体に / 属性キラー</v>
      </c>
      <c r="T15" s="46" t="str">
        <f t="shared" si="10"/>
        <v xml:space="preserve">[effect:sp_boost, target:unit_machine, val:1, animation:sp_boost_one03]  </v>
      </c>
      <c r="U15" s="61">
        <f t="shared" si="11"/>
        <v>9</v>
      </c>
      <c r="V15" s="61">
        <f t="shared" si="12"/>
        <v>17</v>
      </c>
      <c r="W15" s="61">
        <f t="shared" si="13"/>
        <v>26</v>
      </c>
      <c r="X15" s="61">
        <f t="shared" si="14"/>
        <v>38</v>
      </c>
      <c r="Y15" s="61" t="str">
        <f>IFERROR(VLOOKUP(MID(T15,W15,X15-W15),[6]skilldef!$C:$D,2,FALSE),"-") &amp; " / " &amp; IFERROR(VLOOKUP(MID(T15,U15,V15-U15),[6]skilldef!$A:$B,2,FALSE),"-")</f>
        <v>- / -</v>
      </c>
      <c r="Z15" s="48"/>
      <c r="AA15" s="50"/>
      <c r="AB15" s="48"/>
    </row>
    <row r="16" spans="1:28" ht="50" customHeight="1" x14ac:dyDescent="0.15">
      <c r="A16" s="105">
        <v>13301764</v>
      </c>
      <c r="B16" s="45" t="s">
        <v>312</v>
      </c>
      <c r="C16" s="48">
        <v>3</v>
      </c>
      <c r="D16" s="48" t="s">
        <v>288</v>
      </c>
      <c r="E16" s="49" t="s">
        <v>309</v>
      </c>
      <c r="F16" s="49" t="s">
        <v>317</v>
      </c>
      <c r="G16" s="61" t="str">
        <f t="shared" si="0"/>
        <v>[effect:damage_anti_color, target:unit_all, color:green, val1:0.9, val2:0.03]</v>
      </c>
      <c r="H16" s="61">
        <f t="shared" si="1"/>
        <v>9</v>
      </c>
      <c r="I16" s="61">
        <f t="shared" si="2"/>
        <v>26</v>
      </c>
      <c r="J16" s="61">
        <f t="shared" si="3"/>
        <v>35</v>
      </c>
      <c r="K16" s="61">
        <f t="shared" si="4"/>
        <v>43</v>
      </c>
      <c r="L16" s="61" t="str">
        <f>IFERROR(VLOOKUP(MID(G16,J16,K16-J16),[6]skilldef!$C:$D,2,FALSE),"-") &amp; " / " &amp; IFERROR(VLOOKUP(MID(G16,H16,I16-H16),[6]skilldef!$A:$B,2,FALSE),"-")</f>
        <v>味方全体に / 属性キラー</v>
      </c>
      <c r="M16" s="61" t="str">
        <f t="shared" si="5"/>
        <v>[effect:damage_anti_tribe, target:unit_all, tribe:animal, val1:0.88, val2:0.01]</v>
      </c>
      <c r="N16" s="46" t="str">
        <f t="shared" si="15"/>
        <v>[effect:damage_anti_tribe, target:unit_all, tribe:animal, val1:0.88, val2:0.01]</v>
      </c>
      <c r="O16" s="61">
        <f t="shared" si="6"/>
        <v>9</v>
      </c>
      <c r="P16" s="61">
        <f t="shared" si="7"/>
        <v>26</v>
      </c>
      <c r="Q16" s="61">
        <f t="shared" si="8"/>
        <v>35</v>
      </c>
      <c r="R16" s="61">
        <f t="shared" si="9"/>
        <v>43</v>
      </c>
      <c r="S16" s="61" t="str">
        <f>IFERROR(VLOOKUP(MID(N16,Q16,R16-Q16),[6]skilldef!$C:$D,2,FALSE),"-") &amp; " / " &amp; IFERROR(VLOOKUP(MID(N16,O16,P16-O16),[6]skilldef!$A:$B,2,FALSE),"-")</f>
        <v>味方全体に / 種族キラー</v>
      </c>
      <c r="T16" s="46" t="str">
        <f t="shared" si="10"/>
        <v>none</v>
      </c>
      <c r="U16" s="61" t="e">
        <f t="shared" si="11"/>
        <v>#VALUE!</v>
      </c>
      <c r="V16" s="61">
        <f t="shared" si="12"/>
        <v>4</v>
      </c>
      <c r="W16" s="61" t="e">
        <f t="shared" si="13"/>
        <v>#VALUE!</v>
      </c>
      <c r="X16" s="61" t="e">
        <f t="shared" si="14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8"/>
      <c r="AA16" s="50"/>
      <c r="AB16" s="48"/>
    </row>
    <row r="17" spans="1:28" ht="36" customHeight="1" x14ac:dyDescent="0.15">
      <c r="A17" s="105">
        <v>13301765</v>
      </c>
      <c r="B17" s="45" t="s">
        <v>323</v>
      </c>
      <c r="C17" s="48">
        <v>3</v>
      </c>
      <c r="D17" s="48" t="s">
        <v>303</v>
      </c>
      <c r="E17" s="49" t="s">
        <v>289</v>
      </c>
      <c r="F17" s="49" t="s">
        <v>322</v>
      </c>
      <c r="G17" s="61" t="str">
        <f t="shared" si="0"/>
        <v>[effect:critical, val:1]</v>
      </c>
      <c r="H17" s="61">
        <f t="shared" si="1"/>
        <v>9</v>
      </c>
      <c r="I17" s="61">
        <f t="shared" si="2"/>
        <v>17</v>
      </c>
      <c r="J17" s="61" t="e">
        <f t="shared" si="3"/>
        <v>#VALUE!</v>
      </c>
      <c r="K17" s="61" t="e">
        <f t="shared" si="4"/>
        <v>#VALUE!</v>
      </c>
      <c r="L17" s="61" t="str">
        <f>IFERROR(VLOOKUP(MID(G17,J17,K17-J17),[6]skilldef!$C:$D,2,FALSE),"-") &amp; " / " &amp; IFERROR(VLOOKUP(MID(G17,H17,I17-H17),[6]skilldef!$A:$B,2,FALSE),"-")</f>
        <v>- / 大攻撃</v>
      </c>
      <c r="M17" s="61" t="str">
        <f t="shared" si="5"/>
        <v>[effect:enemy_message, val1:1, val2:2.2],[effect:force_change_block, new_block:time_bomb, target:block_red, ignore01:crash, ignore02:crack_bomb, ignore03:time_bomb, color:block_red, count:5, val:0.1, min_time_count:2, max_time_count:3, animation:change_block]</v>
      </c>
      <c r="N17" s="46" t="str">
        <f>IFERROR(LEFT(M17,FIND("],",M17)+S28),M17)</f>
        <v>[effect:enemy_message, val1:1, val2:2.2]</v>
      </c>
      <c r="O17" s="61">
        <f t="shared" si="6"/>
        <v>9</v>
      </c>
      <c r="P17" s="61">
        <f t="shared" si="7"/>
        <v>22</v>
      </c>
      <c r="Q17" s="61" t="e">
        <f t="shared" si="8"/>
        <v>#VALUE!</v>
      </c>
      <c r="R17" s="61">
        <f t="shared" si="9"/>
        <v>30</v>
      </c>
      <c r="S17" s="61" t="str">
        <f>IFERROR(VLOOKUP(MID(N17,Q17,R17-Q17),[6]skilldef!$C:$D,2,FALSE),"-") &amp; " / " &amp; IFERROR(VLOOKUP(MID(N17,O17,P17-O17),[6]skilldef!$A:$B,2,FALSE),"-")</f>
        <v>- / -</v>
      </c>
      <c r="T17" s="46" t="str">
        <f t="shared" si="10"/>
        <v>[effect:force_change_block, new_block:time_bomb, target:block_red, ignore01:crash, ignore02:crack_bomb, ignore03:time_bomb, color:block_red, count:5, val:0.1, min_time_count:2, max_time_count:3, animation:change_block]</v>
      </c>
      <c r="U17" s="61">
        <f t="shared" si="11"/>
        <v>9</v>
      </c>
      <c r="V17" s="61">
        <f t="shared" si="12"/>
        <v>27</v>
      </c>
      <c r="W17" s="61">
        <f t="shared" si="13"/>
        <v>57</v>
      </c>
      <c r="X17" s="61">
        <f t="shared" si="14"/>
        <v>48</v>
      </c>
      <c r="Y17" s="61" t="str">
        <f>IFERROR(VLOOKUP(MID(T17,W17,X17-W17),[6]skilldef!$C:$D,2,FALSE),"-") &amp; " / " &amp; IFERROR(VLOOKUP(MID(T17,U17,V17-U17),[6]skilldef!$A:$B,2,FALSE),"-")</f>
        <v>- / -</v>
      </c>
      <c r="Z17" s="48"/>
      <c r="AA17" s="50"/>
      <c r="AB17" s="48"/>
    </row>
    <row r="18" spans="1:28" ht="32" customHeight="1" x14ac:dyDescent="0.15">
      <c r="A18" s="105">
        <v>13301766</v>
      </c>
      <c r="B18" s="45" t="s">
        <v>329</v>
      </c>
      <c r="C18" s="48">
        <v>3</v>
      </c>
      <c r="D18" s="48" t="s">
        <v>270</v>
      </c>
      <c r="E18" s="49" t="s">
        <v>290</v>
      </c>
      <c r="F18" s="49" t="s">
        <v>327</v>
      </c>
      <c r="G18" s="61" t="str">
        <f t="shared" si="0"/>
        <v>[effect:enemy_message, val1:1, val2:2.3]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30</v>
      </c>
      <c r="L18" s="61" t="str">
        <f>IFERROR(VLOOKUP(MID(G18,J18,K18-J18),[6]skilldef!$C:$D,2,FALSE),"-") &amp; " / " &amp; IFERROR(VLOOKUP(MID(G18,H18,I18-H18),[6]skilldef!$A:$B,2,FALSE),"-")</f>
        <v>- / -</v>
      </c>
      <c r="M18" s="61" t="str">
        <f t="shared" si="5"/>
        <v>[effect:enhance_enemy, target:myself, turn:2, status:attack, val:0.65, calc:mul, animation:enemy_enhance_attack],[effect:enhance_enemy, target:myself, turn:3, status:defense, val:2000, calc:add, animation:enemy_enhance_defense]</v>
      </c>
      <c r="N18" s="46" t="str">
        <f>IFERROR(LEFT(M18,FIND("],",M18)+S29),M18)</f>
        <v>[effect:enhance_enemy, target:myself, turn:2, status:attack, val:0.65, calc:mul, animation:enemy_enhance_attack]</v>
      </c>
      <c r="O18" s="61">
        <f t="shared" si="6"/>
        <v>9</v>
      </c>
      <c r="P18" s="61">
        <f t="shared" si="7"/>
        <v>22</v>
      </c>
      <c r="Q18" s="61">
        <f t="shared" si="8"/>
        <v>31</v>
      </c>
      <c r="R18" s="61">
        <f t="shared" si="9"/>
        <v>37</v>
      </c>
      <c r="S18" s="61" t="str">
        <f>IFERROR(VLOOKUP(MID(N18,Q18,R18-Q18),[6]skilldef!$C:$D,2,FALSE),"-") &amp; " / " &amp; IFERROR(VLOOKUP(MID(N18,O18,P18-O18),[6]skilldef!$A:$B,2,FALSE),"-")</f>
        <v>自分自身に / ステータス強化</v>
      </c>
      <c r="T18" s="46" t="str">
        <f t="shared" si="10"/>
        <v>[effect:enhance_enemy, target:myself, turn:3, status:defense, val:2000, calc:add, animation:enemy_enhance_defense]</v>
      </c>
      <c r="U18" s="61">
        <f t="shared" si="11"/>
        <v>9</v>
      </c>
      <c r="V18" s="61">
        <f t="shared" si="12"/>
        <v>22</v>
      </c>
      <c r="W18" s="61">
        <f t="shared" si="13"/>
        <v>31</v>
      </c>
      <c r="X18" s="61">
        <f t="shared" si="14"/>
        <v>37</v>
      </c>
      <c r="Y18" s="61" t="str">
        <f>IFERROR(VLOOKUP(MID(T18,W18,X18-W18),[6]skilldef!$C:$D,2,FALSE),"-") &amp; " / " &amp; IFERROR(VLOOKUP(MID(T18,U18,V18-U18),[6]skilldef!$A:$B,2,FALSE),"-")</f>
        <v>自分自身に / ステータス強化</v>
      </c>
      <c r="Z18" s="48"/>
      <c r="AA18" s="50"/>
      <c r="AB18" s="48"/>
    </row>
    <row r="19" spans="1:28" ht="29" customHeight="1" x14ac:dyDescent="0.15">
      <c r="A19" s="105">
        <v>13301767</v>
      </c>
      <c r="B19" s="45" t="s">
        <v>330</v>
      </c>
      <c r="C19" s="48">
        <v>3</v>
      </c>
      <c r="D19" s="48" t="s">
        <v>272</v>
      </c>
      <c r="E19" s="49" t="s">
        <v>291</v>
      </c>
      <c r="F19" s="49" t="s">
        <v>331</v>
      </c>
      <c r="G19" s="61" t="str">
        <f t="shared" si="0"/>
        <v>[effect:enhance_enemy, target:myself, turn:5, status:attack, val:0.8, calc:mul, animation:enemy_enhance_attack]</v>
      </c>
      <c r="H19" s="61">
        <f t="shared" si="1"/>
        <v>9</v>
      </c>
      <c r="I19" s="61">
        <f t="shared" si="2"/>
        <v>22</v>
      </c>
      <c r="J19" s="61">
        <f t="shared" si="3"/>
        <v>31</v>
      </c>
      <c r="K19" s="61">
        <f t="shared" si="4"/>
        <v>37</v>
      </c>
      <c r="L19" s="61" t="str">
        <f>IFERROR(VLOOKUP(MID(G19,J19,K19-J19),[6]skilldef!$C:$D,2,FALSE),"-") &amp; " / " &amp; IFERROR(VLOOKUP(MID(G19,H19,I19-H19),[6]skilldef!$A:$B,2,FALSE),"-")</f>
        <v>自分自身に / ステータス強化</v>
      </c>
      <c r="M19" s="61" t="str">
        <f t="shared" si="5"/>
        <v>none</v>
      </c>
      <c r="N19" s="46" t="str">
        <f>IFERROR(LEFT(M19,FIND("],",M19)+S30),M19)</f>
        <v>none</v>
      </c>
      <c r="O19" s="61" t="e">
        <f t="shared" si="6"/>
        <v>#VALUE!</v>
      </c>
      <c r="P19" s="61">
        <f t="shared" si="7"/>
        <v>4</v>
      </c>
      <c r="Q19" s="61" t="e">
        <f t="shared" si="8"/>
        <v>#VALUE!</v>
      </c>
      <c r="R19" s="61" t="e">
        <f t="shared" si="9"/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6" t="str">
        <f t="shared" si="10"/>
        <v>none</v>
      </c>
      <c r="U19" s="61" t="e">
        <f t="shared" si="11"/>
        <v>#VALUE!</v>
      </c>
      <c r="V19" s="61">
        <f t="shared" si="12"/>
        <v>4</v>
      </c>
      <c r="W19" s="61" t="e">
        <f t="shared" si="13"/>
        <v>#VALUE!</v>
      </c>
      <c r="X19" s="61" t="e">
        <f t="shared" si="14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8"/>
      <c r="AA19" s="50"/>
      <c r="AB19" s="48"/>
    </row>
    <row r="20" spans="1:28" ht="21" customHeight="1" x14ac:dyDescent="0.15">
      <c r="A20" s="45">
        <v>13301781</v>
      </c>
      <c r="B20" s="45" t="s">
        <v>311</v>
      </c>
      <c r="C20" s="48">
        <v>3</v>
      </c>
      <c r="D20" s="48" t="s">
        <v>272</v>
      </c>
      <c r="E20" s="49" t="s">
        <v>292</v>
      </c>
      <c r="F20" s="49" t="s">
        <v>293</v>
      </c>
      <c r="G20" s="61" t="str">
        <f t="shared" si="0"/>
        <v>[effect:damage_anti_color, target:unit_all, color:yellow, val1:1.35, val2:0.01]</v>
      </c>
      <c r="H20" s="61">
        <f t="shared" si="1"/>
        <v>9</v>
      </c>
      <c r="I20" s="61">
        <f t="shared" si="2"/>
        <v>26</v>
      </c>
      <c r="J20" s="61">
        <f t="shared" si="3"/>
        <v>35</v>
      </c>
      <c r="K20" s="61">
        <f t="shared" si="4"/>
        <v>43</v>
      </c>
      <c r="L20" s="61" t="str">
        <f>IFERROR(VLOOKUP(MID(G20,J20,K20-J20),[6]skilldef!$C:$D,2,FALSE),"-") &amp; " / " &amp; IFERROR(VLOOKUP(MID(G20,H20,I20-H20),[6]skilldef!$A:$B,2,FALSE),"-")</f>
        <v>味方全体に / 属性キラー</v>
      </c>
      <c r="M20" s="61" t="str">
        <f t="shared" si="5"/>
        <v>[effect:fix_speed, target:myself, turn:1]</v>
      </c>
      <c r="N20" s="46" t="str">
        <f>IFERROR(LEFT(M20,FIND("],",M20)+S28),M20)</f>
        <v>[effect:fix_speed, target:myself, turn:1]</v>
      </c>
      <c r="O20" s="61">
        <f t="shared" si="6"/>
        <v>9</v>
      </c>
      <c r="P20" s="61">
        <f t="shared" si="7"/>
        <v>18</v>
      </c>
      <c r="Q20" s="61">
        <f t="shared" si="8"/>
        <v>27</v>
      </c>
      <c r="R20" s="61">
        <f t="shared" si="9"/>
        <v>33</v>
      </c>
      <c r="S20" s="61" t="str">
        <f>IFERROR(VLOOKUP(MID(N20,Q20,R20-Q20),[6]skilldef!$C:$D,2,FALSE),"-") &amp; " / " &amp; IFERROR(VLOOKUP(MID(N20,O20,P20-O20),[6]skilldef!$A:$B,2,FALSE),"-")</f>
        <v>自分自身に / 行動値設定</v>
      </c>
      <c r="T20" s="46" t="str">
        <f t="shared" si="10"/>
        <v>none</v>
      </c>
      <c r="U20" s="61" t="e">
        <f t="shared" si="11"/>
        <v>#VALUE!</v>
      </c>
      <c r="V20" s="61">
        <f t="shared" si="12"/>
        <v>4</v>
      </c>
      <c r="W20" s="61" t="e">
        <f t="shared" si="13"/>
        <v>#VALUE!</v>
      </c>
      <c r="X20" s="61" t="e">
        <f t="shared" si="14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8"/>
      <c r="AA20" s="50"/>
      <c r="AB20" s="48"/>
    </row>
    <row r="21" spans="1:28" ht="36" customHeight="1" x14ac:dyDescent="0.15">
      <c r="A21" s="45">
        <v>13301782</v>
      </c>
      <c r="B21" s="45" t="s">
        <v>320</v>
      </c>
      <c r="C21" s="48">
        <v>3</v>
      </c>
      <c r="D21" s="48" t="s">
        <v>272</v>
      </c>
      <c r="E21" s="49" t="s">
        <v>294</v>
      </c>
      <c r="F21" s="49" t="s">
        <v>321</v>
      </c>
      <c r="G21" s="61" t="str">
        <f t="shared" si="0"/>
        <v>[effect:critical, val:0.5]</v>
      </c>
      <c r="H21" s="61">
        <f t="shared" si="1"/>
        <v>9</v>
      </c>
      <c r="I21" s="61">
        <f t="shared" si="2"/>
        <v>17</v>
      </c>
      <c r="J21" s="61" t="e">
        <f t="shared" si="3"/>
        <v>#VALUE!</v>
      </c>
      <c r="K21" s="61" t="e">
        <f t="shared" si="4"/>
        <v>#VALUE!</v>
      </c>
      <c r="L21" s="61" t="str">
        <f>IFERROR(VLOOKUP(MID(G21,J21,K21-J21),[6]skilldef!$C:$D,2,FALSE),"-") &amp; " / " &amp; IFERROR(VLOOKUP(MID(G21,H21,I21-H21),[6]skilldef!$A:$B,2,FALSE),"-")</f>
        <v>- / 大攻撃</v>
      </c>
      <c r="M21" s="61" t="str">
        <f t="shared" si="5"/>
        <v>[effect:enemy_message, val1:1, val2:2.2],[effect:force_change_block, new_block:time_bomb, target:block_yellow, ignore01:crash, ignore02:crack_bomb, ignore03:time_bomb, color:block_yellow, count:6, val:0.1, min_time_count:2, max_time_count:3 animation:change_block]</v>
      </c>
      <c r="N21" s="46" t="str">
        <f>IFERROR(LEFT(M21,FIND("],",M21)+S29),M21)</f>
        <v>[effect:enemy_message, val1:1, val2:2.2]</v>
      </c>
      <c r="O21" s="61">
        <f t="shared" si="6"/>
        <v>9</v>
      </c>
      <c r="P21" s="61">
        <f t="shared" si="7"/>
        <v>22</v>
      </c>
      <c r="Q21" s="61" t="e">
        <f t="shared" si="8"/>
        <v>#VALUE!</v>
      </c>
      <c r="R21" s="61">
        <f t="shared" si="9"/>
        <v>30</v>
      </c>
      <c r="S21" s="61" t="str">
        <f>IFERROR(VLOOKUP(MID(N21,Q21,R21-Q21),[6]skilldef!$C:$D,2,FALSE),"-") &amp; " / " &amp; IFERROR(VLOOKUP(MID(N21,O21,P21-O21),[6]skilldef!$A:$B,2,FALSE),"-")</f>
        <v>- / -</v>
      </c>
      <c r="T21" s="46" t="str">
        <f t="shared" si="10"/>
        <v>[effect:force_change_block, new_block:time_bomb, target:block_yellow, ignore01:crash, ignore02:crack_bomb, ignore03:time_bomb, color:block_yellow, count:6, val:0.1, min_time_count:2, max_time_count:3 animation:change_block]</v>
      </c>
      <c r="U21" s="61">
        <f t="shared" si="11"/>
        <v>9</v>
      </c>
      <c r="V21" s="61">
        <f t="shared" si="12"/>
        <v>27</v>
      </c>
      <c r="W21" s="61">
        <f t="shared" si="13"/>
        <v>57</v>
      </c>
      <c r="X21" s="61">
        <f t="shared" si="14"/>
        <v>48</v>
      </c>
      <c r="Y21" s="61" t="str">
        <f>IFERROR(VLOOKUP(MID(T21,W21,X21-W21),[6]skilldef!$C:$D,2,FALSE),"-") &amp; " / " &amp; IFERROR(VLOOKUP(MID(T21,U21,V21-U21),[6]skilldef!$A:$B,2,FALSE),"-")</f>
        <v>- / -</v>
      </c>
      <c r="Z21" s="48"/>
      <c r="AA21" s="50"/>
      <c r="AB21" s="48"/>
    </row>
    <row r="22" spans="1:28" ht="21" customHeight="1" x14ac:dyDescent="0.15">
      <c r="A22" s="45">
        <v>13301783</v>
      </c>
      <c r="B22" s="45" t="s">
        <v>332</v>
      </c>
      <c r="C22" s="48">
        <v>3</v>
      </c>
      <c r="D22" s="48" t="s">
        <v>272</v>
      </c>
      <c r="E22" s="49" t="s">
        <v>295</v>
      </c>
      <c r="F22" s="49" t="s">
        <v>296</v>
      </c>
      <c r="G22" s="61" t="str">
        <f t="shared" si="0"/>
        <v>[effect:enhance_enemy, target:myself, turn:-1, status:attack, val:1, calc:mul, animation:enemy_enhance_attack]</v>
      </c>
      <c r="H22" s="61">
        <f t="shared" si="1"/>
        <v>9</v>
      </c>
      <c r="I22" s="61">
        <f t="shared" si="2"/>
        <v>22</v>
      </c>
      <c r="J22" s="61">
        <f t="shared" si="3"/>
        <v>31</v>
      </c>
      <c r="K22" s="61">
        <f t="shared" si="4"/>
        <v>37</v>
      </c>
      <c r="L22" s="61" t="str">
        <f>IFERROR(VLOOKUP(MID(G22,J22,K22-J22),[6]skilldef!$C:$D,2,FALSE),"-") &amp; " / " &amp; IFERROR(VLOOKUP(MID(G22,H22,I22-H22),[6]skilldef!$A:$B,2,FALSE),"-")</f>
        <v>自分自身に / ステータス強化</v>
      </c>
      <c r="M22" s="61" t="str">
        <f t="shared" si="5"/>
        <v>none</v>
      </c>
      <c r="N22" s="46" t="str">
        <f>IFERROR(LEFT(M22,FIND("],",M22)+S30),M22)</f>
        <v>none</v>
      </c>
      <c r="O22" s="61" t="e">
        <f t="shared" si="6"/>
        <v>#VALUE!</v>
      </c>
      <c r="P22" s="61">
        <f t="shared" si="7"/>
        <v>4</v>
      </c>
      <c r="Q22" s="61" t="e">
        <f t="shared" si="8"/>
        <v>#VALUE!</v>
      </c>
      <c r="R22" s="61" t="e">
        <f t="shared" si="9"/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6" t="str">
        <f t="shared" si="10"/>
        <v>none</v>
      </c>
      <c r="U22" s="61" t="e">
        <f t="shared" si="11"/>
        <v>#VALUE!</v>
      </c>
      <c r="V22" s="61">
        <f t="shared" si="12"/>
        <v>4</v>
      </c>
      <c r="W22" s="61" t="e">
        <f t="shared" si="13"/>
        <v>#VALUE!</v>
      </c>
      <c r="X22" s="61" t="e">
        <f t="shared" si="14"/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8"/>
      <c r="AA22" s="50"/>
      <c r="AB22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3"/>
  <sheetViews>
    <sheetView showGridLines="0" workbookViewId="0">
      <pane ySplit="1" topLeftCell="A2" activePane="bottomLeft" state="frozenSplit"/>
      <selection pane="bottomLeft" activeCell="D23" sqref="D23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13301701</v>
      </c>
      <c r="B2" s="45">
        <v>1</v>
      </c>
      <c r="C2" s="45" t="s">
        <v>53</v>
      </c>
      <c r="D2" s="45">
        <v>100</v>
      </c>
      <c r="E2" s="45" t="s">
        <v>53</v>
      </c>
      <c r="F2" s="45" t="s">
        <v>53</v>
      </c>
      <c r="G2" s="45">
        <v>1</v>
      </c>
      <c r="H2" s="45" t="s">
        <v>53</v>
      </c>
      <c r="I2" s="45" t="s">
        <v>53</v>
      </c>
      <c r="J2" s="46">
        <f t="shared" ref="J2:J23" si="0">D2</f>
        <v>100</v>
      </c>
    </row>
    <row r="3" spans="1:11" ht="21" customHeight="1" x14ac:dyDescent="0.15">
      <c r="A3" s="45">
        <v>13301711</v>
      </c>
      <c r="B3" s="45">
        <v>1</v>
      </c>
      <c r="C3" s="45" t="s">
        <v>53</v>
      </c>
      <c r="D3" s="45">
        <v>100</v>
      </c>
      <c r="E3" s="45" t="s">
        <v>53</v>
      </c>
      <c r="F3" s="45" t="s">
        <v>53</v>
      </c>
      <c r="G3" s="45">
        <v>1</v>
      </c>
      <c r="H3" s="45" t="s">
        <v>53</v>
      </c>
      <c r="I3" s="45" t="s">
        <v>53</v>
      </c>
      <c r="J3" s="46">
        <f t="shared" si="0"/>
        <v>100</v>
      </c>
    </row>
    <row r="4" spans="1:11" ht="21" customHeight="1" x14ac:dyDescent="0.15">
      <c r="A4" s="45">
        <v>13301712</v>
      </c>
      <c r="B4" s="45">
        <v>0</v>
      </c>
      <c r="C4" s="45" t="s">
        <v>53</v>
      </c>
      <c r="D4" s="45">
        <v>100</v>
      </c>
      <c r="E4" s="45" t="s">
        <v>53</v>
      </c>
      <c r="F4" s="45" t="s">
        <v>53</v>
      </c>
      <c r="G4" s="45">
        <v>1</v>
      </c>
      <c r="H4" s="45">
        <v>3</v>
      </c>
      <c r="I4" s="45" t="s">
        <v>53</v>
      </c>
      <c r="J4" s="46">
        <f t="shared" si="0"/>
        <v>100</v>
      </c>
    </row>
    <row r="5" spans="1:11" ht="21" customHeight="1" x14ac:dyDescent="0.15">
      <c r="A5" s="105">
        <v>13301721</v>
      </c>
      <c r="B5" s="45">
        <v>1</v>
      </c>
      <c r="C5" s="45" t="s">
        <v>269</v>
      </c>
      <c r="D5" s="45">
        <v>100</v>
      </c>
      <c r="E5" s="45" t="s">
        <v>269</v>
      </c>
      <c r="F5" s="45" t="s">
        <v>269</v>
      </c>
      <c r="G5" s="45">
        <v>1</v>
      </c>
      <c r="H5" s="45" t="s">
        <v>269</v>
      </c>
      <c r="I5" s="45" t="s">
        <v>269</v>
      </c>
      <c r="J5" s="46">
        <f t="shared" si="0"/>
        <v>100</v>
      </c>
    </row>
    <row r="6" spans="1:11" ht="21" customHeight="1" x14ac:dyDescent="0.15">
      <c r="A6" s="105">
        <v>13301722</v>
      </c>
      <c r="B6" s="45">
        <v>0</v>
      </c>
      <c r="C6" s="45">
        <v>100</v>
      </c>
      <c r="D6" s="45">
        <v>100</v>
      </c>
      <c r="E6" s="45" t="s">
        <v>269</v>
      </c>
      <c r="F6" s="45" t="s">
        <v>269</v>
      </c>
      <c r="G6" s="45" t="s">
        <v>269</v>
      </c>
      <c r="H6" s="45">
        <v>1</v>
      </c>
      <c r="I6" s="45" t="s">
        <v>269</v>
      </c>
      <c r="J6" s="46">
        <f t="shared" si="0"/>
        <v>100</v>
      </c>
    </row>
    <row r="7" spans="1:11" ht="21" customHeight="1" x14ac:dyDescent="0.15">
      <c r="A7" s="105">
        <v>13301723</v>
      </c>
      <c r="B7" s="45">
        <v>0</v>
      </c>
      <c r="C7" s="45">
        <v>110</v>
      </c>
      <c r="D7" s="45">
        <v>50</v>
      </c>
      <c r="E7" s="45" t="s">
        <v>269</v>
      </c>
      <c r="F7" s="45" t="s">
        <v>269</v>
      </c>
      <c r="G7" s="45" t="s">
        <v>269</v>
      </c>
      <c r="H7" s="45">
        <v>1</v>
      </c>
      <c r="I7" s="45" t="s">
        <v>269</v>
      </c>
      <c r="J7" s="46">
        <f t="shared" si="0"/>
        <v>50</v>
      </c>
    </row>
    <row r="8" spans="1:11" ht="21" customHeight="1" x14ac:dyDescent="0.15">
      <c r="A8" s="105">
        <v>13301724</v>
      </c>
      <c r="B8" s="45">
        <v>0</v>
      </c>
      <c r="C8" s="45">
        <v>120</v>
      </c>
      <c r="D8" s="45">
        <v>30</v>
      </c>
      <c r="E8" s="45" t="s">
        <v>269</v>
      </c>
      <c r="F8" s="45" t="s">
        <v>269</v>
      </c>
      <c r="G8" s="45" t="s">
        <v>269</v>
      </c>
      <c r="H8" s="45">
        <v>1</v>
      </c>
      <c r="I8" s="45" t="s">
        <v>269</v>
      </c>
      <c r="J8" s="46">
        <f t="shared" si="0"/>
        <v>30</v>
      </c>
    </row>
    <row r="9" spans="1:11" ht="21" customHeight="1" x14ac:dyDescent="0.15">
      <c r="A9" s="105">
        <v>13301725</v>
      </c>
      <c r="B9" s="45">
        <v>0</v>
      </c>
      <c r="C9" s="45">
        <v>130</v>
      </c>
      <c r="D9" s="45">
        <v>100</v>
      </c>
      <c r="E9" s="45" t="s">
        <v>269</v>
      </c>
      <c r="F9" s="45" t="s">
        <v>269</v>
      </c>
      <c r="G9" s="45" t="s">
        <v>269</v>
      </c>
      <c r="H9" s="45">
        <v>2</v>
      </c>
      <c r="I9" s="45" t="s">
        <v>269</v>
      </c>
      <c r="J9" s="46">
        <f t="shared" si="0"/>
        <v>100</v>
      </c>
    </row>
    <row r="10" spans="1:11" ht="21" customHeight="1" x14ac:dyDescent="0.15">
      <c r="A10" s="105">
        <v>13301726</v>
      </c>
      <c r="B10" s="45">
        <v>0</v>
      </c>
      <c r="C10" s="45">
        <v>140</v>
      </c>
      <c r="D10" s="45">
        <v>100</v>
      </c>
      <c r="E10" s="45" t="s">
        <v>269</v>
      </c>
      <c r="F10" s="45" t="s">
        <v>269</v>
      </c>
      <c r="G10" s="45" t="s">
        <v>269</v>
      </c>
      <c r="H10" s="45">
        <v>5</v>
      </c>
      <c r="I10" s="45" t="s">
        <v>269</v>
      </c>
      <c r="J10" s="46">
        <f t="shared" si="0"/>
        <v>100</v>
      </c>
    </row>
    <row r="11" spans="1:11" ht="21" customHeight="1" x14ac:dyDescent="0.15">
      <c r="A11" s="45">
        <v>13301741</v>
      </c>
      <c r="B11" s="45">
        <v>0</v>
      </c>
      <c r="C11" s="45">
        <v>100</v>
      </c>
      <c r="D11" s="45">
        <v>100</v>
      </c>
      <c r="E11" s="45" t="s">
        <v>269</v>
      </c>
      <c r="F11" s="45" t="s">
        <v>269</v>
      </c>
      <c r="G11" s="45" t="s">
        <v>269</v>
      </c>
      <c r="H11" s="45">
        <v>1</v>
      </c>
      <c r="I11" s="45" t="s">
        <v>269</v>
      </c>
      <c r="J11" s="46">
        <f t="shared" si="0"/>
        <v>100</v>
      </c>
    </row>
    <row r="12" spans="1:11" ht="21" customHeight="1" x14ac:dyDescent="0.15">
      <c r="A12" s="45">
        <v>13301742</v>
      </c>
      <c r="B12" s="45">
        <v>0</v>
      </c>
      <c r="C12" s="45">
        <v>110</v>
      </c>
      <c r="D12" s="45">
        <v>100</v>
      </c>
      <c r="E12" s="45" t="s">
        <v>269</v>
      </c>
      <c r="F12" s="45" t="s">
        <v>269</v>
      </c>
      <c r="G12" s="45" t="s">
        <v>269</v>
      </c>
      <c r="H12" s="45">
        <v>2</v>
      </c>
      <c r="I12" s="45" t="s">
        <v>269</v>
      </c>
      <c r="J12" s="46">
        <f t="shared" si="0"/>
        <v>100</v>
      </c>
    </row>
    <row r="13" spans="1:11" ht="21" customHeight="1" x14ac:dyDescent="0.15">
      <c r="A13" s="45">
        <v>13301743</v>
      </c>
      <c r="B13" s="45">
        <v>0</v>
      </c>
      <c r="C13" s="45">
        <v>120</v>
      </c>
      <c r="D13" s="45">
        <v>100</v>
      </c>
      <c r="E13" s="45" t="s">
        <v>269</v>
      </c>
      <c r="F13" s="45" t="s">
        <v>269</v>
      </c>
      <c r="G13" s="45" t="s">
        <v>269</v>
      </c>
      <c r="H13" s="45">
        <v>3</v>
      </c>
      <c r="I13" s="45" t="s">
        <v>269</v>
      </c>
      <c r="J13" s="46">
        <f t="shared" si="0"/>
        <v>100</v>
      </c>
    </row>
    <row r="14" spans="1:11" ht="21" customHeight="1" x14ac:dyDescent="0.15">
      <c r="A14" s="105">
        <v>13301761</v>
      </c>
      <c r="B14" s="45">
        <v>1</v>
      </c>
      <c r="C14" s="45" t="s">
        <v>269</v>
      </c>
      <c r="D14" s="45">
        <v>100</v>
      </c>
      <c r="E14" s="45" t="s">
        <v>269</v>
      </c>
      <c r="F14" s="45" t="s">
        <v>269</v>
      </c>
      <c r="G14" s="45">
        <v>1</v>
      </c>
      <c r="H14" s="45" t="s">
        <v>269</v>
      </c>
      <c r="I14" s="45" t="s">
        <v>269</v>
      </c>
      <c r="J14" s="46">
        <f t="shared" si="0"/>
        <v>100</v>
      </c>
    </row>
    <row r="15" spans="1:11" ht="21" customHeight="1" x14ac:dyDescent="0.15">
      <c r="A15" s="105">
        <v>13301762</v>
      </c>
      <c r="B15" s="45">
        <v>0</v>
      </c>
      <c r="C15" s="45">
        <v>100</v>
      </c>
      <c r="D15" s="45">
        <v>100</v>
      </c>
      <c r="E15" s="45" t="s">
        <v>269</v>
      </c>
      <c r="F15" s="45" t="s">
        <v>269</v>
      </c>
      <c r="G15" s="45" t="s">
        <v>269</v>
      </c>
      <c r="H15" s="45">
        <v>1</v>
      </c>
      <c r="I15" s="45" t="s">
        <v>269</v>
      </c>
      <c r="J15" s="46">
        <f t="shared" si="0"/>
        <v>100</v>
      </c>
    </row>
    <row r="16" spans="1:11" ht="21" customHeight="1" x14ac:dyDescent="0.15">
      <c r="A16" s="105">
        <v>13301763</v>
      </c>
      <c r="B16" s="45">
        <v>0</v>
      </c>
      <c r="C16" s="45">
        <v>110</v>
      </c>
      <c r="D16" s="45">
        <v>100</v>
      </c>
      <c r="E16" s="45" t="s">
        <v>269</v>
      </c>
      <c r="F16" s="45" t="s">
        <v>269</v>
      </c>
      <c r="G16" s="45" t="s">
        <v>269</v>
      </c>
      <c r="H16" s="45">
        <v>2</v>
      </c>
      <c r="I16" s="45" t="s">
        <v>269</v>
      </c>
      <c r="J16" s="46">
        <f t="shared" si="0"/>
        <v>100</v>
      </c>
    </row>
    <row r="17" spans="1:10" ht="21" customHeight="1" x14ac:dyDescent="0.15">
      <c r="A17" s="105">
        <v>13301764</v>
      </c>
      <c r="B17" s="45">
        <v>0</v>
      </c>
      <c r="C17" s="45">
        <v>120</v>
      </c>
      <c r="D17" s="45">
        <v>100</v>
      </c>
      <c r="E17" s="45" t="s">
        <v>269</v>
      </c>
      <c r="F17" s="45" t="s">
        <v>269</v>
      </c>
      <c r="G17" s="45" t="s">
        <v>269</v>
      </c>
      <c r="H17" s="45">
        <v>4</v>
      </c>
      <c r="I17" s="45" t="s">
        <v>269</v>
      </c>
      <c r="J17" s="46">
        <f t="shared" si="0"/>
        <v>100</v>
      </c>
    </row>
    <row r="18" spans="1:10" ht="21" customHeight="1" x14ac:dyDescent="0.15">
      <c r="A18" s="105">
        <v>13301765</v>
      </c>
      <c r="B18" s="45">
        <v>0</v>
      </c>
      <c r="C18" s="45">
        <v>130</v>
      </c>
      <c r="D18" s="45">
        <v>100</v>
      </c>
      <c r="E18" s="45" t="s">
        <v>269</v>
      </c>
      <c r="F18" s="45" t="s">
        <v>269</v>
      </c>
      <c r="G18" s="45" t="s">
        <v>269</v>
      </c>
      <c r="H18" s="45">
        <v>3</v>
      </c>
      <c r="I18" s="45" t="s">
        <v>269</v>
      </c>
      <c r="J18" s="46">
        <f t="shared" si="0"/>
        <v>100</v>
      </c>
    </row>
    <row r="19" spans="1:10" ht="21" customHeight="1" x14ac:dyDescent="0.15">
      <c r="A19" s="105">
        <v>13301766</v>
      </c>
      <c r="B19" s="45">
        <v>0</v>
      </c>
      <c r="C19" s="45">
        <v>150</v>
      </c>
      <c r="D19" s="45">
        <v>100</v>
      </c>
      <c r="E19" s="45" t="s">
        <v>269</v>
      </c>
      <c r="F19" s="45" t="s">
        <v>269</v>
      </c>
      <c r="G19" s="45">
        <v>1</v>
      </c>
      <c r="H19" s="45">
        <v>5</v>
      </c>
      <c r="I19" s="45" t="s">
        <v>269</v>
      </c>
      <c r="J19" s="46">
        <f t="shared" si="0"/>
        <v>100</v>
      </c>
    </row>
    <row r="20" spans="1:10" ht="21" customHeight="1" x14ac:dyDescent="0.15">
      <c r="A20" s="105">
        <v>13301767</v>
      </c>
      <c r="B20" s="45">
        <v>0</v>
      </c>
      <c r="C20" s="45">
        <v>140</v>
      </c>
      <c r="D20" s="45">
        <v>100</v>
      </c>
      <c r="E20" s="45" t="s">
        <v>269</v>
      </c>
      <c r="F20" s="45" t="s">
        <v>269</v>
      </c>
      <c r="G20" s="45" t="s">
        <v>269</v>
      </c>
      <c r="H20" s="45">
        <v>5</v>
      </c>
      <c r="I20" s="45" t="s">
        <v>269</v>
      </c>
      <c r="J20" s="46">
        <f t="shared" si="0"/>
        <v>100</v>
      </c>
    </row>
    <row r="21" spans="1:10" ht="21" customHeight="1" x14ac:dyDescent="0.15">
      <c r="A21" s="45">
        <v>13301781</v>
      </c>
      <c r="B21" s="45">
        <v>1</v>
      </c>
      <c r="C21" s="45" t="s">
        <v>269</v>
      </c>
      <c r="D21" s="45">
        <v>100</v>
      </c>
      <c r="E21" s="45" t="s">
        <v>269</v>
      </c>
      <c r="F21" s="45" t="s">
        <v>269</v>
      </c>
      <c r="G21" s="45">
        <v>1</v>
      </c>
      <c r="H21" s="45" t="s">
        <v>269</v>
      </c>
      <c r="I21" s="45" t="s">
        <v>269</v>
      </c>
      <c r="J21" s="46">
        <f t="shared" si="0"/>
        <v>100</v>
      </c>
    </row>
    <row r="22" spans="1:10" ht="21" customHeight="1" x14ac:dyDescent="0.15">
      <c r="A22" s="45">
        <v>13301782</v>
      </c>
      <c r="B22" s="45">
        <v>0</v>
      </c>
      <c r="C22" s="45" t="s">
        <v>269</v>
      </c>
      <c r="D22" s="45">
        <v>100</v>
      </c>
      <c r="E22" s="45" t="s">
        <v>269</v>
      </c>
      <c r="F22" s="45" t="s">
        <v>269</v>
      </c>
      <c r="G22" s="45" t="s">
        <v>269</v>
      </c>
      <c r="H22" s="45">
        <v>2</v>
      </c>
      <c r="I22" s="45" t="s">
        <v>269</v>
      </c>
      <c r="J22" s="46">
        <f t="shared" si="0"/>
        <v>100</v>
      </c>
    </row>
    <row r="23" spans="1:10" ht="21" customHeight="1" x14ac:dyDescent="0.15">
      <c r="A23" s="45">
        <v>13301783</v>
      </c>
      <c r="B23" s="45">
        <v>0</v>
      </c>
      <c r="C23" s="45">
        <v>100</v>
      </c>
      <c r="D23" s="45">
        <v>100</v>
      </c>
      <c r="E23" s="45" t="s">
        <v>269</v>
      </c>
      <c r="F23" s="45" t="s">
        <v>269</v>
      </c>
      <c r="G23" s="45">
        <v>1</v>
      </c>
      <c r="H23" s="45">
        <v>1</v>
      </c>
      <c r="I23" s="45">
        <v>586</v>
      </c>
      <c r="J23" s="46">
        <f t="shared" si="0"/>
        <v>100</v>
      </c>
    </row>
  </sheetData>
  <autoFilter ref="A1:G1"/>
  <phoneticPr fontId="5"/>
  <conditionalFormatting sqref="K1:K1048576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>
      <selection activeCell="E17" sqref="E1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13301</v>
      </c>
      <c r="B2" s="55">
        <v>11</v>
      </c>
      <c r="C2" s="68" t="str">
        <f t="shared" ref="C2:C9" si="0">A2&amp; "_"&amp;B2</f>
        <v>13301_11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250</v>
      </c>
      <c r="G2" s="55">
        <v>123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</v>
      </c>
      <c r="Q2" s="55" t="s">
        <v>166</v>
      </c>
      <c r="R2" s="55" t="s">
        <v>167</v>
      </c>
    </row>
    <row r="3" spans="1:18" x14ac:dyDescent="0.15">
      <c r="A3" s="55">
        <v>13301</v>
      </c>
      <c r="B3" s="55">
        <v>11</v>
      </c>
      <c r="C3" s="68" t="str">
        <f t="shared" si="0"/>
        <v>13301_11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250</v>
      </c>
      <c r="G3" s="55">
        <v>609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70</v>
      </c>
      <c r="Q3" s="55" t="s">
        <v>166</v>
      </c>
      <c r="R3" s="55" t="s">
        <v>167</v>
      </c>
    </row>
    <row r="4" spans="1:18" x14ac:dyDescent="0.15">
      <c r="A4" s="55">
        <v>13301</v>
      </c>
      <c r="B4" s="55">
        <v>11</v>
      </c>
      <c r="C4" s="68" t="str">
        <f t="shared" si="0"/>
        <v>13301_11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250</v>
      </c>
      <c r="G4" s="55">
        <v>613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190</v>
      </c>
      <c r="Q4" s="55" t="s">
        <v>166</v>
      </c>
      <c r="R4" s="55" t="s">
        <v>167</v>
      </c>
    </row>
    <row r="5" spans="1:18" x14ac:dyDescent="0.15">
      <c r="A5" s="55">
        <v>13301</v>
      </c>
      <c r="B5" s="55">
        <v>11</v>
      </c>
      <c r="C5" s="68" t="str">
        <f t="shared" si="0"/>
        <v>13301_11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250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10</v>
      </c>
      <c r="Q5" s="55" t="s">
        <v>166</v>
      </c>
      <c r="R5" s="55" t="s">
        <v>167</v>
      </c>
    </row>
    <row r="6" spans="1:18" x14ac:dyDescent="0.15">
      <c r="A6" s="55">
        <v>13301</v>
      </c>
      <c r="B6" s="55">
        <v>11</v>
      </c>
      <c r="C6" s="68" t="str">
        <f t="shared" si="0"/>
        <v>13301_11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250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40</v>
      </c>
      <c r="Q6" s="55" t="s">
        <v>166</v>
      </c>
      <c r="R6" s="55" t="s">
        <v>167</v>
      </c>
    </row>
    <row r="7" spans="1:18" x14ac:dyDescent="0.15">
      <c r="A7" s="55">
        <v>13301</v>
      </c>
      <c r="B7" s="55">
        <v>11</v>
      </c>
      <c r="C7" s="68" t="str">
        <f t="shared" si="0"/>
        <v>13301_11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251</v>
      </c>
      <c r="G7" s="55">
        <v>500</v>
      </c>
      <c r="H7" s="55" t="s">
        <v>252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490</v>
      </c>
      <c r="Q7" s="55" t="s">
        <v>166</v>
      </c>
      <c r="R7" s="55" t="s">
        <v>167</v>
      </c>
    </row>
    <row r="8" spans="1:18" x14ac:dyDescent="0.15">
      <c r="A8" s="55">
        <v>13301</v>
      </c>
      <c r="B8" s="55">
        <v>11</v>
      </c>
      <c r="C8" s="68" t="str">
        <f t="shared" si="0"/>
        <v>13301_11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250</v>
      </c>
      <c r="G8" s="55">
        <v>342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20</v>
      </c>
      <c r="Q8" s="55" t="s">
        <v>166</v>
      </c>
      <c r="R8" s="55" t="s">
        <v>167</v>
      </c>
    </row>
    <row r="9" spans="1:18" x14ac:dyDescent="0.15">
      <c r="A9" s="55">
        <v>13301</v>
      </c>
      <c r="B9" s="55">
        <v>11</v>
      </c>
      <c r="C9" s="68" t="str">
        <f t="shared" si="0"/>
        <v>13301_11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5">
        <v>8</v>
      </c>
      <c r="F9" s="55" t="s">
        <v>250</v>
      </c>
      <c r="G9" s="55">
        <v>343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110</v>
      </c>
      <c r="Q9" s="55" t="s">
        <v>166</v>
      </c>
      <c r="R9" s="55" t="s">
        <v>167</v>
      </c>
    </row>
    <row r="10" spans="1:18" x14ac:dyDescent="0.15">
      <c r="A10" s="55">
        <v>13301</v>
      </c>
      <c r="B10" s="55">
        <v>11</v>
      </c>
      <c r="C10" s="68" t="str">
        <f t="shared" ref="C10" si="1">A10&amp; "_"&amp;B10</f>
        <v>13301_11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5">
        <v>9</v>
      </c>
      <c r="F10" s="55" t="s">
        <v>250</v>
      </c>
      <c r="G10" s="55">
        <v>837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50</v>
      </c>
      <c r="Q10" s="55" t="s">
        <v>166</v>
      </c>
      <c r="R10" s="55" t="s">
        <v>167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30" sqref="L30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7" t="s">
        <v>192</v>
      </c>
      <c r="J1" s="76" t="s">
        <v>125</v>
      </c>
      <c r="K1" s="75" t="s">
        <v>183</v>
      </c>
      <c r="L1" s="88" t="s">
        <v>182</v>
      </c>
      <c r="M1" s="77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8"/>
  <sheetViews>
    <sheetView showGridLines="0" workbookViewId="0">
      <pane ySplit="1" topLeftCell="A2" activePane="bottomLeft" state="frozen"/>
      <selection pane="bottomLeft" activeCell="K10" sqref="K10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3" t="s">
        <v>185</v>
      </c>
      <c r="B1" s="70" t="s">
        <v>148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5" t="s">
        <v>191</v>
      </c>
      <c r="J1" s="87" t="s">
        <v>192</v>
      </c>
      <c r="K1" s="76" t="s">
        <v>125</v>
      </c>
      <c r="L1" s="75" t="s">
        <v>183</v>
      </c>
      <c r="M1" s="88" t="s">
        <v>182</v>
      </c>
      <c r="N1" s="77" t="s">
        <v>193</v>
      </c>
    </row>
    <row r="2" spans="1:15" ht="56" x14ac:dyDescent="0.15">
      <c r="A2" s="78" t="s">
        <v>194</v>
      </c>
      <c r="B2" s="79">
        <v>13301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11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11階 コスト30以下限定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>
        <v>1</v>
      </c>
      <c r="I2" s="86">
        <f>ROW()-1</f>
        <v>1</v>
      </c>
      <c r="J2" s="104">
        <v>13301700</v>
      </c>
      <c r="K2" s="81" t="s">
        <v>259</v>
      </c>
      <c r="L2" s="83" t="s">
        <v>195</v>
      </c>
      <c r="M2" s="102" t="s">
        <v>298</v>
      </c>
      <c r="N2" s="55" t="s">
        <v>196</v>
      </c>
      <c r="O2">
        <f>LEN(M2)</f>
        <v>43</v>
      </c>
    </row>
    <row r="3" spans="1:15" ht="56" x14ac:dyDescent="0.15">
      <c r="A3" s="78" t="s">
        <v>194</v>
      </c>
      <c r="B3" s="79">
        <v>13301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11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11階 コスト30以下限定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>
        <v>1</v>
      </c>
      <c r="I3" s="86">
        <f>ROW()-1</f>
        <v>2</v>
      </c>
      <c r="J3" s="104">
        <v>13301701</v>
      </c>
      <c r="K3" s="81" t="s">
        <v>260</v>
      </c>
      <c r="L3" s="83" t="s">
        <v>195</v>
      </c>
      <c r="M3" s="102" t="s">
        <v>261</v>
      </c>
      <c r="N3" s="55" t="s">
        <v>262</v>
      </c>
      <c r="O3">
        <f t="shared" ref="O3:O7" si="0">LEN(M3)</f>
        <v>38</v>
      </c>
    </row>
    <row r="4" spans="1:15" ht="56" x14ac:dyDescent="0.15">
      <c r="A4" s="78" t="s">
        <v>194</v>
      </c>
      <c r="B4" s="79">
        <v>13301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1">
        <v>11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11階 コスト30以下限定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2">
        <v>2</v>
      </c>
      <c r="I4" s="86">
        <f t="shared" ref="I4:I7" si="1">ROW()-1</f>
        <v>3</v>
      </c>
      <c r="J4" s="104">
        <v>13301702</v>
      </c>
      <c r="K4" s="81" t="s">
        <v>259</v>
      </c>
      <c r="L4" s="83" t="s">
        <v>195</v>
      </c>
      <c r="M4" s="102" t="s">
        <v>263</v>
      </c>
      <c r="N4" s="55" t="s">
        <v>196</v>
      </c>
      <c r="O4">
        <f t="shared" si="0"/>
        <v>50</v>
      </c>
    </row>
    <row r="5" spans="1:15" ht="28" x14ac:dyDescent="0.15">
      <c r="A5" s="78" t="s">
        <v>194</v>
      </c>
      <c r="B5" s="79">
        <v>13301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1">
        <v>11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11階 コスト30以下限定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2">
        <v>2</v>
      </c>
      <c r="I5" s="86">
        <f t="shared" si="1"/>
        <v>4</v>
      </c>
      <c r="J5" s="104">
        <v>13301703</v>
      </c>
      <c r="K5" s="81" t="s">
        <v>264</v>
      </c>
      <c r="L5" s="83" t="s">
        <v>195</v>
      </c>
      <c r="M5" s="102" t="s">
        <v>265</v>
      </c>
      <c r="N5" s="55" t="s">
        <v>266</v>
      </c>
      <c r="O5">
        <f t="shared" si="0"/>
        <v>40</v>
      </c>
    </row>
    <row r="6" spans="1:15" ht="56" x14ac:dyDescent="0.15">
      <c r="A6" s="78" t="s">
        <v>194</v>
      </c>
      <c r="B6" s="79">
        <v>13301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1">
        <v>11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11階 コスト30以下限定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2">
        <v>3</v>
      </c>
      <c r="I6" s="86">
        <f t="shared" si="1"/>
        <v>5</v>
      </c>
      <c r="J6" s="104">
        <v>13301704</v>
      </c>
      <c r="K6" s="81" t="s">
        <v>259</v>
      </c>
      <c r="L6" s="83" t="s">
        <v>195</v>
      </c>
      <c r="M6" s="102" t="s">
        <v>267</v>
      </c>
      <c r="N6" s="55" t="s">
        <v>196</v>
      </c>
      <c r="O6">
        <f t="shared" si="0"/>
        <v>47</v>
      </c>
    </row>
    <row r="7" spans="1:15" ht="56" x14ac:dyDescent="0.15">
      <c r="A7" s="78" t="s">
        <v>194</v>
      </c>
      <c r="B7" s="79">
        <v>13301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1">
        <v>11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11階 コスト30以下限定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2">
        <v>3</v>
      </c>
      <c r="I7" s="86">
        <f t="shared" si="1"/>
        <v>6</v>
      </c>
      <c r="J7" s="104">
        <v>13301705</v>
      </c>
      <c r="K7" s="81" t="s">
        <v>259</v>
      </c>
      <c r="L7" s="83" t="s">
        <v>195</v>
      </c>
      <c r="M7" s="102" t="s">
        <v>268</v>
      </c>
      <c r="N7" s="55" t="s">
        <v>196</v>
      </c>
      <c r="O7">
        <f t="shared" si="0"/>
        <v>46</v>
      </c>
    </row>
    <row r="8" spans="1:15" x14ac:dyDescent="0.15">
      <c r="M8" s="103"/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8" sqref="C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208</v>
      </c>
      <c r="B1" s="91" t="s">
        <v>209</v>
      </c>
      <c r="C1" s="74" t="s">
        <v>210</v>
      </c>
      <c r="D1" s="74" t="s">
        <v>33</v>
      </c>
      <c r="E1" s="91" t="s">
        <v>211</v>
      </c>
      <c r="F1" s="74" t="s">
        <v>212</v>
      </c>
      <c r="G1" s="74" t="s">
        <v>33</v>
      </c>
      <c r="H1" s="91" t="s">
        <v>213</v>
      </c>
      <c r="I1" s="91" t="s">
        <v>214</v>
      </c>
      <c r="J1" s="91" t="s">
        <v>215</v>
      </c>
      <c r="K1" s="70" t="s">
        <v>216</v>
      </c>
      <c r="L1" s="70" t="s">
        <v>217</v>
      </c>
      <c r="M1" s="70" t="s">
        <v>154</v>
      </c>
      <c r="N1" s="74" t="s">
        <v>16</v>
      </c>
      <c r="O1" s="70" t="s">
        <v>218</v>
      </c>
      <c r="P1" s="70" t="s">
        <v>57</v>
      </c>
      <c r="Q1" s="70" t="s">
        <v>219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220</v>
      </c>
      <c r="X1" s="70" t="s">
        <v>221</v>
      </c>
    </row>
    <row r="2" spans="1:24" x14ac:dyDescent="0.15">
      <c r="A2" s="92" t="str">
        <f>B2&amp;"_"&amp;E2&amp;"_"&amp;H2&amp;"_"&amp;I2&amp;"_"&amp;J2</f>
        <v>13301_11_singleonly_clear_1</v>
      </c>
      <c r="B2" s="79">
        <v>13301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11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11階 コスト30以下限定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 t="s">
        <v>257</v>
      </c>
      <c r="I2" s="81" t="s">
        <v>222</v>
      </c>
      <c r="J2" s="81">
        <v>1</v>
      </c>
      <c r="K2" s="81">
        <v>510</v>
      </c>
      <c r="L2" s="81" t="s">
        <v>253</v>
      </c>
      <c r="M2" s="81">
        <v>23000</v>
      </c>
      <c r="N2" s="93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1" t="s">
        <v>255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223</v>
      </c>
      <c r="X2" s="95" t="s">
        <v>224</v>
      </c>
    </row>
    <row r="3" spans="1:24" x14ac:dyDescent="0.15">
      <c r="A3" s="92" t="str">
        <f>B3&amp;"_"&amp;E3&amp;"_"&amp;H3&amp;"_"&amp;I3&amp;"_"&amp;J3</f>
        <v>13301_11_singleonly_clear_2</v>
      </c>
      <c r="B3" s="79">
        <v>13301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11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11階 コスト30以下限定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 t="s">
        <v>258</v>
      </c>
      <c r="I3" s="81" t="s">
        <v>222</v>
      </c>
      <c r="J3" s="81">
        <v>2</v>
      </c>
      <c r="K3" s="81">
        <v>490</v>
      </c>
      <c r="L3" s="81" t="s">
        <v>254</v>
      </c>
      <c r="M3" s="81">
        <v>58000</v>
      </c>
      <c r="N3" s="93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1" t="s">
        <v>256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223</v>
      </c>
      <c r="X3" s="95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2017-01-27T08:58:39Z</dcterms:modified>
</cp:coreProperties>
</file>