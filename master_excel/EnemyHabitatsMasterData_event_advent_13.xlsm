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codeName="ThisWorkbook" autoCompressPictures="0"/>
  <bookViews>
    <workbookView xWindow="920" yWindow="0" windowWidth="25120" windowHeight="155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8" l="1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7" i="21"/>
  <c r="I7" i="21"/>
  <c r="J7" i="21"/>
  <c r="G7" i="21"/>
  <c r="F7" i="21"/>
  <c r="D7" i="21"/>
  <c r="C7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J35" i="11"/>
  <c r="O3" i="9"/>
  <c r="N3" i="9"/>
  <c r="M3" i="9"/>
  <c r="L3" i="9"/>
  <c r="K3" i="9"/>
  <c r="J3" i="9"/>
  <c r="I3" i="9"/>
  <c r="H3" i="9"/>
  <c r="G3" i="9"/>
  <c r="E3" i="9"/>
  <c r="D3" i="9"/>
  <c r="A3" i="9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J32" i="11"/>
  <c r="J33" i="11"/>
  <c r="J34" i="11"/>
  <c r="J17" i="11"/>
  <c r="E18" i="9"/>
  <c r="D18" i="9"/>
  <c r="A18" i="9"/>
  <c r="J16" i="11"/>
  <c r="E17" i="9"/>
  <c r="D17" i="9"/>
  <c r="A17" i="9"/>
  <c r="J6" i="11"/>
  <c r="E7" i="9"/>
  <c r="D7" i="9"/>
  <c r="A7" i="9"/>
  <c r="M16" i="10"/>
  <c r="T16" i="10"/>
  <c r="W16" i="10"/>
  <c r="V16" i="10"/>
  <c r="X16" i="10"/>
  <c r="U16" i="10"/>
  <c r="Y16" i="10"/>
  <c r="M27" i="10"/>
  <c r="N27" i="10"/>
  <c r="O27" i="10"/>
  <c r="Q27" i="10"/>
  <c r="P27" i="10"/>
  <c r="R27" i="10"/>
  <c r="S27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7" i="10"/>
  <c r="T17" i="10"/>
  <c r="W17" i="10"/>
  <c r="V17" i="10"/>
  <c r="X17" i="10"/>
  <c r="U17" i="10"/>
  <c r="Y17" i="10"/>
  <c r="M28" i="10"/>
  <c r="N28" i="10"/>
  <c r="Q28" i="10"/>
  <c r="P28" i="10"/>
  <c r="R28" i="10"/>
  <c r="O28" i="10"/>
  <c r="S28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6" i="10"/>
  <c r="T6" i="10"/>
  <c r="W6" i="10"/>
  <c r="V6" i="10"/>
  <c r="X6" i="10"/>
  <c r="U6" i="10"/>
  <c r="Y6" i="10"/>
  <c r="M18" i="10"/>
  <c r="M29" i="10"/>
  <c r="N29" i="10"/>
  <c r="O29" i="10"/>
  <c r="Q29" i="10"/>
  <c r="P29" i="10"/>
  <c r="R29" i="10"/>
  <c r="S29" i="10"/>
  <c r="N18" i="10"/>
  <c r="Q18" i="10"/>
  <c r="P18" i="10"/>
  <c r="R18" i="10"/>
  <c r="O18" i="10"/>
  <c r="S18" i="10"/>
  <c r="N6" i="10"/>
  <c r="Q6" i="10"/>
  <c r="P6" i="10"/>
  <c r="R6" i="10"/>
  <c r="O6" i="10"/>
  <c r="S6" i="10"/>
  <c r="G6" i="10"/>
  <c r="J6" i="10"/>
  <c r="I6" i="10"/>
  <c r="K6" i="10"/>
  <c r="H6" i="10"/>
  <c r="L6" i="10"/>
  <c r="G4" i="9"/>
  <c r="H4" i="9"/>
  <c r="I4" i="9"/>
  <c r="J4" i="9"/>
  <c r="K4" i="9"/>
  <c r="L4" i="9"/>
  <c r="M4" i="9"/>
  <c r="N4" i="9"/>
  <c r="O4" i="9"/>
  <c r="J4" i="11"/>
  <c r="J5" i="11"/>
  <c r="J7" i="11"/>
  <c r="J8" i="11"/>
  <c r="J9" i="11"/>
  <c r="J10" i="11"/>
  <c r="J11" i="11"/>
  <c r="J12" i="11"/>
  <c r="J13" i="11"/>
  <c r="J14" i="11"/>
  <c r="J15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" i="11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A34" i="9"/>
  <c r="D34" i="9"/>
  <c r="E34" i="9"/>
  <c r="A35" i="9"/>
  <c r="D35" i="9"/>
  <c r="E35" i="9"/>
  <c r="A4" i="9"/>
  <c r="D4" i="9"/>
  <c r="E4" i="9"/>
  <c r="A5" i="9"/>
  <c r="D5" i="9"/>
  <c r="E5" i="9"/>
  <c r="A6" i="9"/>
  <c r="D6" i="9"/>
  <c r="E6" i="9"/>
  <c r="A8" i="9"/>
  <c r="D8" i="9"/>
  <c r="E8" i="9"/>
  <c r="A9" i="9"/>
  <c r="D9" i="9"/>
  <c r="E9" i="9"/>
  <c r="A10" i="9"/>
  <c r="D10" i="9"/>
  <c r="E10" i="9"/>
  <c r="T27" i="10"/>
  <c r="W27" i="10"/>
  <c r="V27" i="10"/>
  <c r="X27" i="10"/>
  <c r="U27" i="10"/>
  <c r="Y27" i="10"/>
  <c r="G27" i="10"/>
  <c r="J27" i="10"/>
  <c r="I27" i="10"/>
  <c r="K27" i="10"/>
  <c r="H27" i="10"/>
  <c r="L27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" i="10"/>
  <c r="H3" i="10"/>
  <c r="I3" i="10"/>
  <c r="J3" i="10"/>
  <c r="K3" i="10"/>
  <c r="L3" i="10"/>
  <c r="M3" i="10"/>
  <c r="M14" i="10"/>
  <c r="M26" i="10"/>
  <c r="N26" i="10"/>
  <c r="Q26" i="10"/>
  <c r="P26" i="10"/>
  <c r="R26" i="10"/>
  <c r="O26" i="10"/>
  <c r="S26" i="10"/>
  <c r="N14" i="10"/>
  <c r="Q14" i="10"/>
  <c r="P14" i="10"/>
  <c r="R14" i="10"/>
  <c r="O14" i="10"/>
  <c r="S14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5" i="10"/>
  <c r="N15" i="10"/>
  <c r="Q15" i="10"/>
  <c r="P15" i="10"/>
  <c r="R15" i="10"/>
  <c r="O15" i="10"/>
  <c r="S15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19" i="10"/>
  <c r="N19" i="10"/>
  <c r="Q19" i="10"/>
  <c r="P19" i="10"/>
  <c r="R19" i="10"/>
  <c r="O19" i="10"/>
  <c r="S19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0" i="10"/>
  <c r="N20" i="10"/>
  <c r="Q20" i="10"/>
  <c r="P20" i="10"/>
  <c r="R20" i="10"/>
  <c r="O20" i="10"/>
  <c r="S20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1" i="10"/>
  <c r="N21" i="10"/>
  <c r="Q21" i="10"/>
  <c r="P21" i="10"/>
  <c r="R21" i="10"/>
  <c r="O21" i="10"/>
  <c r="S21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2" i="10"/>
  <c r="N22" i="10"/>
  <c r="Q22" i="10"/>
  <c r="P22" i="10"/>
  <c r="R22" i="10"/>
  <c r="O22" i="10"/>
  <c r="S22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3" i="10"/>
  <c r="N23" i="10"/>
  <c r="Q23" i="10"/>
  <c r="P23" i="10"/>
  <c r="R23" i="10"/>
  <c r="O23" i="10"/>
  <c r="S23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4" i="10"/>
  <c r="N24" i="10"/>
  <c r="Q24" i="10"/>
  <c r="P24" i="10"/>
  <c r="R24" i="10"/>
  <c r="O24" i="10"/>
  <c r="S24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5" i="10"/>
  <c r="N25" i="10"/>
  <c r="Q25" i="10"/>
  <c r="P25" i="10"/>
  <c r="R25" i="10"/>
  <c r="O25" i="10"/>
  <c r="S25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W5" i="7"/>
  <c r="R5" i="7"/>
  <c r="Q5" i="7"/>
  <c r="P5" i="7"/>
  <c r="O5" i="7"/>
  <c r="N5" i="7"/>
  <c r="H5" i="7"/>
  <c r="G2" i="2"/>
  <c r="A2" i="2"/>
  <c r="G3" i="2"/>
  <c r="A3" i="2"/>
  <c r="G4" i="2"/>
  <c r="A4" i="2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E2" i="9"/>
  <c r="V2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B3" i="2"/>
  <c r="D3" i="2"/>
  <c r="E3" i="2"/>
  <c r="H3" i="2"/>
  <c r="B4" i="2"/>
  <c r="D4" i="2"/>
  <c r="E4" i="2"/>
  <c r="H4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<sst xmlns="http://schemas.openxmlformats.org/spreadsheetml/2006/main" count="759" uniqueCount="345">
  <si>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</si>
  <si>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</si>
  <si>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</si>
  <si>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</si>
  <si>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</si>
  <si>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</si>
  <si>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</si>
  <si>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</si>
  <si>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</si>
  <si>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</si>
  <si>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</si>
  <si>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</si>
  <si>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</si>
  <si>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</si>
  <si>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</si>
  <si>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</si>
  <si>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</si>
  <si>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</si>
  <si>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</si>
  <si>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</si>
  <si>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</si>
  <si>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</si>
  <si>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</si>
  <si>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</si>
  <si>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</si>
  <si>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</si>
  <si>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</si>
  <si>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</si>
  <si>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</si>
  <si>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</si>
  <si>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</si>
  <si>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</si>
  <si>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</si>
  <si>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</si>
  <si>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</si>
  <si>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</si>
  <si>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</si>
  <si>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</si>
  <si>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</si>
  <si>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</si>
  <si>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</si>
  <si>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</si>
  <si>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</si>
  <si>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</si>
  <si>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</si>
  <si>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</si>
  <si>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</si>
  <si>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</si>
  <si>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</si>
  <si>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</si>
  <si>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</si>
  <si>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</si>
  <si>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</si>
  <si>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</si>
  <si>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</si>
  <si>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</si>
  <si>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</si>
  <si>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</si>
  <si>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</si>
  <si>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</si>
  <si>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</si>
  <si>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</si>
  <si>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</si>
  <si>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</si>
  <si>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</si>
  <si>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</si>
  <si>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</si>
  <si>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</si>
  <si>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</si>
  <si>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</si>
  <si>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</si>
  <si>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</si>
  <si>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</si>
  <si>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</si>
  <si>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</si>
  <si>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</si>
  <si>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</si>
  <si>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</si>
  <si>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</si>
  <si>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</si>
  <si>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</si>
  <si>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</si>
  <si>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</si>
  <si>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</si>
  <si>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</si>
  <si>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</si>
  <si>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</si>
  <si>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</si>
  <si>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</si>
  <si>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</si>
  <si>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</si>
  <si>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</si>
  <si>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</si>
  <si>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</si>
  <si>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</si>
  <si>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</si>
  <si>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</si>
  <si>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</si>
  <si>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</si>
  <si>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</si>
  <si>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</si>
  <si>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</si>
  <si>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</si>
  <si>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</si>
  <si>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</si>
  <si>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</si>
  <si>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</si>
  <si>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</si>
  <si>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</si>
  <si>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</si>
  <si>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</si>
  <si>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</si>
  <si>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</si>
  <si>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</si>
  <si>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</si>
  <si>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</si>
  <si>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</si>
  <si>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</si>
  <si>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</si>
  <si>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</si>
  <si>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</si>
  <si>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</si>
  <si>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</si>
  <si>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</si>
  <si>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</si>
  <si>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</si>
  <si>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</si>
  <si>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</si>
  <si>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</si>
  <si>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</si>
  <si>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</si>
  <si>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</si>
  <si>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</si>
  <si>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</si>
  <si>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</si>
  <si>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</si>
  <si>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</si>
  <si>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</si>
  <si>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</si>
  <si>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</si>
  <si>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</si>
  <si>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</si>
  <si>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</si>
  <si>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</si>
  <si>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</si>
  <si>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</si>
  <si>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</si>
  <si>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</si>
  <si>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</si>
  <si>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</si>
  <si>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</si>
  <si>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</si>
  <si>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</si>
  <si>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</si>
  <si>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</si>
  <si>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</si>
  <si>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</si>
  <si>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</si>
  <si>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</si>
  <si>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</si>
  <si>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</si>
  <si>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</si>
  <si>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</si>
  <si>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</si>
  <si>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</si>
  <si>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</si>
  <si>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</si>
  <si>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</si>
  <si>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</si>
  <si>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</si>
  <si>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</si>
  <si>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</si>
  <si>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</si>
  <si>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</si>
  <si>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</si>
  <si>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</si>
  <si>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</si>
  <si>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</si>
  <si>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</si>
  <si>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</si>
  <si>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</si>
  <si>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</si>
  <si>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</si>
  <si>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</si>
  <si>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</si>
  <si>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</si>
  <si>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</si>
  <si>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</si>
  <si>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</si>
  <si>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</si>
  <si>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</si>
  <si>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</si>
  <si>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</si>
  <si>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</si>
  <si>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</si>
  <si>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</si>
  <si>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</si>
  <si>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</si>
  <si>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</si>
  <si>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</si>
  <si>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</si>
  <si>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</si>
  <si>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</si>
  <si>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</si>
  <si>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</si>
  <si>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</si>
  <si>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</si>
  <si>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</si>
  <si>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</si>
  <si>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</si>
  <si>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</si>
  <si>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</si>
  <si>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</si>
  <si>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</si>
  <si>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</si>
  <si>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null</t>
  </si>
  <si>
    <t>null</t>
    <phoneticPr fontId="5"/>
  </si>
  <si>
    <t>null</t>
    <phoneticPr fontId="5"/>
  </si>
  <si>
    <t>null</t>
    <phoneticPr fontId="5"/>
  </si>
  <si>
    <t>久保</t>
    <rPh sb="0" eb="2">
      <t>クボ</t>
    </rPh>
    <phoneticPr fontId="5"/>
  </si>
  <si>
    <t>マイ</t>
  </si>
  <si>
    <t>ヨシタカ</t>
  </si>
  <si>
    <t>カーマ1</t>
  </si>
  <si>
    <t>カーマ2</t>
  </si>
  <si>
    <t>カーマ3</t>
  </si>
  <si>
    <t>[effect:heal, target:enemy_green, val:0.08, animation:enemy_heal],[effect:rush, count:1, val:0.8]</t>
    <phoneticPr fontId="5"/>
  </si>
  <si>
    <t>乙姫1</t>
  </si>
  <si>
    <t>乙姫2</t>
  </si>
  <si>
    <t>ウラシマ1</t>
  </si>
  <si>
    <t>ウラシマ2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</si>
  <si>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</si>
  <si>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</si>
  <si>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</si>
  <si>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</si>
  <si>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</si>
  <si>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</si>
  <si>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[effect:change_panel_ratio, turn:8, block_type:red, val:0.1, animation:block_incidence04]    </t>
    <phoneticPr fontId="5"/>
  </si>
  <si>
    <t>[effect:drop_block, block_type:time_bomb, color:block_red, val:8, rate:0.5, turn:5, min_time_count:5, max_time_count:5, animation:time_bomb_influence04]</t>
    <phoneticPr fontId="5"/>
  </si>
  <si>
    <t>[effect:fix_speed, target:enemy_all, turn:2],[effect:change_block, new_block:block_heart, target:block_all, count:10, val:0, no_effect_msg:no_effect_msg_change_block, animation:change_block]</t>
    <phoneticPr fontId="5"/>
  </si>
  <si>
    <t>[effect:damage_anti_tribe, target:unit_all, tribe:human, val1:0.4, val2:0.2]</t>
    <phoneticPr fontId="5"/>
  </si>
  <si>
    <t>[effect:break_attack_fix, val:400, lowest_val:500, count:-1, block:block_heart, target:unit_all]</t>
    <phoneticPr fontId="5"/>
  </si>
  <si>
    <t>[effect:charge, status:attack, val:1.5]</t>
    <phoneticPr fontId="5"/>
  </si>
  <si>
    <t>[effect:freq_turn, target:enemy_all, turn:-1, val:1, animation:enemy_freq_turn]</t>
    <phoneticPr fontId="5"/>
  </si>
  <si>
    <t>[effect:critical, val:1.5]</t>
    <phoneticPr fontId="5"/>
  </si>
  <si>
    <t>[effect:spread, val:0.4]</t>
    <phoneticPr fontId="5"/>
  </si>
  <si>
    <t>[effect:change_block, new_block:block_heart, target:block_yellow, count:8, val:0, no_effect_msg:no_effect_msg_change_block, animation:change_block],[effect:rush, count:3, val:0.5]</t>
    <phoneticPr fontId="5"/>
  </si>
  <si>
    <t>[effect:change_block, new_block:block_heart, target:block_all, count:20, val:0, no_effect_msg:no_effect_msg_change_block, animation:change_block]</t>
    <phoneticPr fontId="5"/>
  </si>
  <si>
    <t>[effect:change_block, new_block:block_heart, target:block_blue, count:-1, val:0, no_effect_msg:no_effect_msg_change_block, animation:change_block]</t>
    <phoneticPr fontId="5"/>
  </si>
  <si>
    <t>[effect:change_block, new_block:block_heart, target:block_blue, count:8, val:0, no_effect_msg:no_effect_msg_change_block, animation:change_block],[effect:rush, count:3, val:0.6]</t>
    <phoneticPr fontId="5"/>
  </si>
  <si>
    <t>[effect:change_block, new_block:block_heart, target:block_blue, count:8, val:0, no_effect_msg:no_effect_msg_change_block, animation:change_block],[effect:rush, count:2, val:0.7]</t>
    <phoneticPr fontId="5"/>
  </si>
  <si>
    <t>[effect:hungup, target:unit_one, turn:1, rate:1, animation:hungup01],[effect:rush, count:1, val:1]</t>
    <phoneticPr fontId="5"/>
  </si>
  <si>
    <t>[effect:degrade_unit, target:unit_all, turn:3, status:attack, val:0.1, calc:mul],[effect:rush, count:1, val:1]</t>
    <phoneticPr fontId="5"/>
  </si>
  <si>
    <t>[effect:degrade_unit, target:unit_all, turn:3, status:attack, val:0.2, calc:mul],[effect:rush, count:1, val:1]</t>
    <phoneticPr fontId="5"/>
  </si>
  <si>
    <t>[effect:degrade_unit, target:unit_all, turn:3, status:attack, val:0.3, calc:mul],[effect:rush, count:1, val:1]</t>
    <phoneticPr fontId="5"/>
  </si>
  <si>
    <t>[effect:dark, target:unit_all, turn:3, animation:enemy_dark],[effect:rush, count:1, val:1]</t>
    <phoneticPr fontId="5"/>
  </si>
  <si>
    <t>null</t>
    <phoneticPr fontId="5"/>
  </si>
  <si>
    <t>null</t>
    <phoneticPr fontId="5"/>
  </si>
  <si>
    <t>[effect:freq_turn, target:myself, turn:-1, val:1, animation:enemy_freq_turn],[effect:rush, count:1, val:1]</t>
    <phoneticPr fontId="5"/>
  </si>
  <si>
    <t>[effect:spread, val:0.3]</t>
    <phoneticPr fontId="5"/>
  </si>
  <si>
    <t>[effect:spread, val:0.4],[effect:change_block, new_block:block_heart, target:block_all, count:15, val:0, no_effect_msg:no_effect_msg_change_block, animation:change_block]</t>
    <phoneticPr fontId="5"/>
  </si>
  <si>
    <t>null</t>
    <phoneticPr fontId="5"/>
  </si>
  <si>
    <t>[effect:break_attack_fix, val:180, lowest_val:800, count:-1, block:block_red, target:unit_all]</t>
    <phoneticPr fontId="5"/>
  </si>
  <si>
    <t>[effect:rush, count:1, val:1],[effect:change_panel_ratio, turn:2, block_type:blue, val:0, animation:block_incidence04]</t>
    <phoneticPr fontId="5"/>
  </si>
  <si>
    <t>[effect:dark, target:unit_all, turn:4, animation:enemy_dark],[effect:rush, count:1, val:1]</t>
    <phoneticPr fontId="5"/>
  </si>
  <si>
    <t>[effect:damage_anti_tribe, target:unit_all, tribe:human, val1:0.8, val2:0.4]</t>
    <phoneticPr fontId="5"/>
  </si>
  <si>
    <t>[effect:change_block, new_block:block_heart, target:block_blue, count:8, val:0, no_effect_msg:no_effect_msg_change_block, animation:change_block],[effect:damage_anti_color, target:unit_all, color:red, val1:0.2, val2:0.1],[effect:damage_anti_color, target:unit_all, color:red, val1:0.2, val2:0.1],[effect:damage_anti_color, target:unit_all, color:red, val1:0.3, val2:0.1]</t>
    <phoneticPr fontId="5"/>
  </si>
  <si>
    <t>[effect:damage_anti_color, target:unit_all, color:red, val1:0.7, val2:0.2]</t>
    <phoneticPr fontId="5"/>
  </si>
  <si>
    <t>[effect:break_attack_fix, val:600, lowest_val:2000, count:-1, block:block_red, target:unit_one]</t>
    <phoneticPr fontId="5"/>
  </si>
  <si>
    <t>5ターンの間 ときどき赤パネルが
時限式ダメージパネルとしてドロップ</t>
    <rPh sb="5" eb="6">
      <t>アイダ</t>
    </rPh>
    <rPh sb="11" eb="12">
      <t>アカ</t>
    </rPh>
    <rPh sb="17" eb="20">
      <t>ジゲンシキ</t>
    </rPh>
    <phoneticPr fontId="5"/>
  </si>
  <si>
    <t>赤属性なんてッ…///</t>
    <rPh sb="0" eb="3">
      <t>アカゾクセイ</t>
    </rPh>
    <phoneticPr fontId="5"/>
  </si>
  <si>
    <t>赤属性のユニットに大ダメージ！</t>
    <rPh sb="0" eb="3">
      <t>アカゾクセイ</t>
    </rPh>
    <rPh sb="9" eb="10">
      <t>ダイ</t>
    </rPh>
    <phoneticPr fontId="5"/>
  </si>
  <si>
    <t>マイを回復</t>
    <rPh sb="3" eb="5">
      <t>カイフク</t>
    </rPh>
    <phoneticPr fontId="5"/>
  </si>
  <si>
    <t>マイちゃん落ち着いて！</t>
    <rPh sb="5" eb="6">
      <t>オ</t>
    </rPh>
    <rPh sb="7" eb="8">
      <t>ツ</t>
    </rPh>
    <phoneticPr fontId="5"/>
  </si>
  <si>
    <t>ja</t>
    <phoneticPr fontId="5"/>
  </si>
  <si>
    <t>キケンな衝動</t>
    <rPh sb="4" eb="6">
      <t>ショウドウ</t>
    </rPh>
    <phoneticPr fontId="5"/>
  </si>
  <si>
    <t>加速する恋情</t>
    <rPh sb="0" eb="2">
      <t>カソク</t>
    </rPh>
    <rPh sb="4" eb="6">
      <t>レンジョウ</t>
    </rPh>
    <phoneticPr fontId="5"/>
  </si>
  <si>
    <t>束縛する慕情</t>
    <rPh sb="0" eb="2">
      <t>ソクバク</t>
    </rPh>
    <rPh sb="4" eb="6">
      <t>bojyou</t>
    </rPh>
    <phoneticPr fontId="5"/>
  </si>
  <si>
    <t>ラブ・クロックアップ</t>
    <phoneticPr fontId="5"/>
  </si>
  <si>
    <t>クラッキング！</t>
    <phoneticPr fontId="5"/>
  </si>
  <si>
    <t>アクセス制限</t>
    <rPh sb="4" eb="6">
      <t>セイゲン</t>
    </rPh>
    <phoneticPr fontId="5"/>
  </si>
  <si>
    <t>玉手箱ミサイル！</t>
    <rPh sb="0" eb="3">
      <t>タマテバコ</t>
    </rPh>
    <phoneticPr fontId="5"/>
  </si>
  <si>
    <t>3ターンの間パネルの色がわからない</t>
    <rPh sb="5" eb="6">
      <t>アイダ</t>
    </rPh>
    <rPh sb="10" eb="11">
      <t>イロ</t>
    </rPh>
    <phoneticPr fontId="5"/>
  </si>
  <si>
    <t>あわわ、大丈夫？？</t>
    <rPh sb="4" eb="7">
      <t>ダイジョウブ</t>
    </rPh>
    <phoneticPr fontId="5"/>
  </si>
  <si>
    <t>マイを追って去っていった…</t>
    <rPh sb="3" eb="4">
      <t>オ</t>
    </rPh>
    <rPh sb="6" eb="7">
      <t>サ</t>
    </rPh>
    <phoneticPr fontId="5"/>
  </si>
  <si>
    <t>ハート・ブレイク！</t>
    <phoneticPr fontId="5"/>
  </si>
  <si>
    <t>全てを焼く愛の炎！</t>
    <rPh sb="0" eb="1">
      <t>スベ</t>
    </rPh>
    <rPh sb="3" eb="4">
      <t>ヤ</t>
    </rPh>
    <rPh sb="5" eb="6">
      <t>アイ</t>
    </rPh>
    <rPh sb="7" eb="8">
      <t>ホノオ</t>
    </rPh>
    <phoneticPr fontId="5"/>
  </si>
  <si>
    <t>青パネルをハートパネルに変換
＋赤属性に大ダメージの連撃！</t>
    <rPh sb="0" eb="1">
      <t>アオ</t>
    </rPh>
    <rPh sb="12" eb="14">
      <t>ヘンカン</t>
    </rPh>
    <rPh sb="16" eb="17">
      <t>アカ</t>
    </rPh>
    <rPh sb="17" eb="19">
      <t>ゾクセイ</t>
    </rPh>
    <rPh sb="20" eb="21">
      <t>ダイ</t>
    </rPh>
    <rPh sb="26" eb="27">
      <t>レンゾク</t>
    </rPh>
    <rPh sb="27" eb="28">
      <t>reンgeki</t>
    </rPh>
    <phoneticPr fontId="5"/>
  </si>
  <si>
    <t>赤パネル破壊攻撃</t>
    <rPh sb="0" eb="1">
      <t>アカ</t>
    </rPh>
    <rPh sb="4" eb="8">
      <t>ハカイコウゲキ</t>
    </rPh>
    <phoneticPr fontId="5"/>
  </si>
  <si>
    <t>僕の手で塗り替えるのさ！</t>
    <rPh sb="0" eb="1">
      <t>ボク</t>
    </rPh>
    <rPh sb="2" eb="3">
      <t>テ</t>
    </rPh>
    <rPh sb="4" eb="5">
      <t>ヌ</t>
    </rPh>
    <rPh sb="6" eb="7">
      <t>カ</t>
    </rPh>
    <phoneticPr fontId="5"/>
  </si>
  <si>
    <t>ラブ・ファイア！</t>
    <phoneticPr fontId="5"/>
  </si>
  <si>
    <t>ラブ・フレイム！</t>
    <phoneticPr fontId="5"/>
  </si>
  <si>
    <t>さらに3ターン攻撃力DOWN</t>
    <rPh sb="7" eb="10">
      <t>コウゲキリョク</t>
    </rPh>
    <phoneticPr fontId="5"/>
  </si>
  <si>
    <t>シークレット・ボム</t>
    <phoneticPr fontId="5"/>
  </si>
  <si>
    <t>素晴らしき愛を君たちに！</t>
    <rPh sb="0" eb="2">
      <t>スバ</t>
    </rPh>
    <rPh sb="5" eb="6">
      <t>アイ</t>
    </rPh>
    <rPh sb="7" eb="8">
      <t>キミ</t>
    </rPh>
    <phoneticPr fontId="5"/>
  </si>
  <si>
    <t>ステータス・クラック V3</t>
    <phoneticPr fontId="5"/>
  </si>
  <si>
    <t>ステータス・クラック V2</t>
    <phoneticPr fontId="5"/>
  </si>
  <si>
    <t>ステータス・クラック V1</t>
    <phoneticPr fontId="5"/>
  </si>
  <si>
    <t>モニター・ハック</t>
    <phoneticPr fontId="5"/>
  </si>
  <si>
    <t>ラブ・カウントダウン</t>
    <phoneticPr fontId="5"/>
  </si>
  <si>
    <t>恋敵キラー</t>
    <rPh sb="0" eb="2">
      <t>コイガタキ</t>
    </rPh>
    <phoneticPr fontId="5"/>
  </si>
  <si>
    <t>ラブ・アロー！</t>
    <phoneticPr fontId="5"/>
  </si>
  <si>
    <t>ラブ・トラップ</t>
    <phoneticPr fontId="5"/>
  </si>
  <si>
    <t>そろそろ本気でいくよ！</t>
    <rPh sb="4" eb="6">
      <t>ホンキ</t>
    </rPh>
    <phoneticPr fontId="5"/>
  </si>
  <si>
    <t>世界を愛で満たすんだ！</t>
    <rPh sb="0" eb="2">
      <t>セカイ</t>
    </rPh>
    <rPh sb="3" eb="4">
      <t>アイ</t>
    </rPh>
    <rPh sb="5" eb="6">
      <t>ミ</t>
    </rPh>
    <phoneticPr fontId="5"/>
  </si>
  <si>
    <t>さあ、受け取ってくれ！</t>
    <rPh sb="3" eb="4">
      <t>ウ</t>
    </rPh>
    <rPh sb="5" eb="6">
      <t>ト</t>
    </rPh>
    <phoneticPr fontId="5"/>
  </si>
  <si>
    <t>咲き誇れ恋の花！</t>
    <rPh sb="0" eb="1">
      <t>サ</t>
    </rPh>
    <rPh sb="2" eb="3">
      <t>ホコ</t>
    </rPh>
    <rPh sb="4" eb="5">
      <t>コイ</t>
    </rPh>
    <rPh sb="6" eb="7">
      <t>ハナ</t>
    </rPh>
    <phoneticPr fontId="5"/>
  </si>
  <si>
    <t>恋は盲目…♪</t>
    <rPh sb="0" eb="1">
      <t>コイ</t>
    </rPh>
    <rPh sb="2" eb="4">
      <t>モウモク</t>
    </rPh>
    <phoneticPr fontId="5"/>
  </si>
  <si>
    <t>フル・ブルーム！</t>
    <phoneticPr fontId="5"/>
  </si>
  <si>
    <t>フラワー・アロー！</t>
    <phoneticPr fontId="5"/>
  </si>
  <si>
    <t>次の攻撃ターンに青パネルを破壊する攻撃！
＋2ターン青パネルがドロップしない</t>
    <rPh sb="0" eb="1">
      <t>ツギ</t>
    </rPh>
    <rPh sb="2" eb="4">
      <t>コウゲキ</t>
    </rPh>
    <rPh sb="8" eb="9">
      <t>アオ</t>
    </rPh>
    <rPh sb="13" eb="15">
      <t>ハカイ</t>
    </rPh>
    <rPh sb="17" eb="19">
      <t>コウゲキ</t>
    </rPh>
    <rPh sb="26" eb="27">
      <t>アオ</t>
    </rPh>
    <phoneticPr fontId="5"/>
  </si>
  <si>
    <t>攻撃頻度UP</t>
    <rPh sb="0" eb="4">
      <t>コウゲキヒンド</t>
    </rPh>
    <phoneticPr fontId="5"/>
  </si>
  <si>
    <t>黄パネルをハートパネルに変換
＋3連続攻撃</t>
    <rPh sb="0" eb="1">
      <t>キイロ</t>
    </rPh>
    <rPh sb="12" eb="14">
      <t>ヘンカン</t>
    </rPh>
    <phoneticPr fontId="5"/>
  </si>
  <si>
    <t>種族ヒューマンに大ダメージ！</t>
    <rPh sb="0" eb="2">
      <t>シュゾク</t>
    </rPh>
    <rPh sb="8" eb="9">
      <t>ダイ</t>
    </rPh>
    <phoneticPr fontId="5"/>
  </si>
  <si>
    <t>敵全員が攻撃頻度UP</t>
    <rPh sb="0" eb="3">
      <t>テキゼンイン</t>
    </rPh>
    <rPh sb="4" eb="8">
      <t>コウゲキヒンド</t>
    </rPh>
    <phoneticPr fontId="5"/>
  </si>
  <si>
    <t>クリティカル！</t>
    <phoneticPr fontId="5"/>
  </si>
  <si>
    <t>8ターンの間 赤パネルの出現率DOWN</t>
    <rPh sb="5" eb="6">
      <t>アイダ</t>
    </rPh>
    <rPh sb="7" eb="8">
      <t>アカ</t>
    </rPh>
    <rPh sb="12" eb="15">
      <t>シュツゲンリツ</t>
    </rPh>
    <phoneticPr fontId="5"/>
  </si>
  <si>
    <t>3ターンの間 攻撃力DOWN</t>
    <rPh sb="5" eb="6">
      <t>アイダ</t>
    </rPh>
    <rPh sb="7" eb="10">
      <t>コウゲキリョク</t>
    </rPh>
    <phoneticPr fontId="5"/>
  </si>
  <si>
    <t>青パネルをハートパネルに変換
＋2連続攻撃</t>
    <rPh sb="0" eb="1">
      <t>アオ</t>
    </rPh>
    <rPh sb="12" eb="14">
      <t>ヘンカン</t>
    </rPh>
    <rPh sb="17" eb="21">
      <t>レンゾクコウゲキ</t>
    </rPh>
    <phoneticPr fontId="5"/>
  </si>
  <si>
    <t>4ターンの間 パネルの色がわからない</t>
    <rPh sb="5" eb="6">
      <t>アイダ</t>
    </rPh>
    <rPh sb="11" eb="12">
      <t>イロ</t>
    </rPh>
    <phoneticPr fontId="5"/>
  </si>
  <si>
    <t>全体攻撃</t>
    <rPh sb="0" eb="4">
      <t>ゼンタイコウゲキ</t>
    </rPh>
    <phoneticPr fontId="5"/>
  </si>
  <si>
    <t>全ての青パネルをハートパネルに変換</t>
    <rPh sb="0" eb="1">
      <t>スベ</t>
    </rPh>
    <rPh sb="3" eb="4">
      <t>アオ</t>
    </rPh>
    <rPh sb="15" eb="17">
      <t>ヘンカン</t>
    </rPh>
    <phoneticPr fontId="5"/>
  </si>
  <si>
    <t>青パネルをハートパネルに変換
＋3連続攻撃</t>
    <rPh sb="0" eb="1">
      <t>アオ</t>
    </rPh>
    <rPh sb="12" eb="14">
      <t>ヘンカン</t>
    </rPh>
    <rPh sb="17" eb="19">
      <t>ニレンゾク</t>
    </rPh>
    <rPh sb="19" eb="21">
      <t>コウゲキ</t>
    </rPh>
    <phoneticPr fontId="5"/>
  </si>
  <si>
    <t>青パネル破壊攻撃</t>
    <rPh sb="0" eb="1">
      <t>アオ</t>
    </rPh>
    <rPh sb="4" eb="6">
      <t>ハカイ</t>
    </rPh>
    <rPh sb="6" eb="8">
      <t>コウゲキ</t>
    </rPh>
    <phoneticPr fontId="5"/>
  </si>
  <si>
    <t>ハートパネル破壊攻撃</t>
    <rPh sb="6" eb="10">
      <t>ハカイコウゲキ</t>
    </rPh>
    <phoneticPr fontId="5"/>
  </si>
  <si>
    <t>次のターンに強力なハートパネル破壊攻撃！</t>
    <rPh sb="0" eb="1">
      <t>ツギ</t>
    </rPh>
    <rPh sb="6" eb="8">
      <t>キョウリョク</t>
    </rPh>
    <rPh sb="15" eb="17">
      <t>ハカイ</t>
    </rPh>
    <rPh sb="17" eb="19">
      <t>コウゲキ</t>
    </rPh>
    <phoneticPr fontId="5"/>
  </si>
  <si>
    <t>マイを先に倒すと　ヨシタカは
彼女を追って戦闘を離脱します</t>
    <phoneticPr fontId="5"/>
  </si>
  <si>
    <t>パネルハッキング！</t>
    <phoneticPr fontId="5"/>
  </si>
  <si>
    <t>溢れる想い</t>
    <rPh sb="0" eb="1">
      <t>アフ</t>
    </rPh>
    <rPh sb="3" eb="5">
      <t>omoi</t>
    </rPh>
    <phoneticPr fontId="5"/>
  </si>
  <si>
    <t>乙姫は2ゲージ目になると
高確率でハートパネルを生成する
スキルを使います</t>
    <rPh sb="0" eb="2">
      <t>オトヒメ</t>
    </rPh>
    <rPh sb="7" eb="8">
      <t>メ</t>
    </rPh>
    <rPh sb="13" eb="16">
      <t>コウカクリツ</t>
    </rPh>
    <rPh sb="24" eb="26">
      <t>セイセイ</t>
    </rPh>
    <rPh sb="33" eb="34">
      <t>ツカ</t>
    </rPh>
    <phoneticPr fontId="5"/>
  </si>
  <si>
    <t>ウラシマは2ゲージ目の終盤で
暗闇スキルを使用します</t>
    <rPh sb="9" eb="10">
      <t>メ</t>
    </rPh>
    <rPh sb="11" eb="13">
      <t>シュウバン</t>
    </rPh>
    <rPh sb="15" eb="17">
      <t>クラヤミ</t>
    </rPh>
    <rPh sb="21" eb="23">
      <t>シヨウ</t>
    </rPh>
    <phoneticPr fontId="5"/>
  </si>
  <si>
    <t>カーマは3ターンごとに
青パネルをハートパネルに変換します
回復と攻撃のタイミングに注意しましょう</t>
    <rPh sb="12" eb="13">
      <t>アオ</t>
    </rPh>
    <rPh sb="24" eb="26">
      <t>ヘンカン</t>
    </rPh>
    <rPh sb="30" eb="32">
      <t>カイフク</t>
    </rPh>
    <rPh sb="33" eb="35">
      <t>コウゲキ</t>
    </rPh>
    <rPh sb="42" eb="44">
      <t>チュウイ</t>
    </rPh>
    <phoneticPr fontId="5"/>
  </si>
  <si>
    <t>ランダムにパネルをハートに変換</t>
    <rPh sb="13" eb="15">
      <t>ヘンカン</t>
    </rPh>
    <phoneticPr fontId="5"/>
  </si>
  <si>
    <t>ランダムにパネルをハートに変換</t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</si>
  <si>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</si>
  <si>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</si>
  <si>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</si>
  <si>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</si>
  <si>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</si>
  <si>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 xml:space="preserve">[effect:break_attack_fix, val:150, lowest_val:2000, count:-1, block:block_blue, target:unit_one]    </t>
    <phoneticPr fontId="5"/>
  </si>
  <si>
    <t>[effect:freq_turn, target:myself, turn:-1, val:1, animation:enemy_freq_turn]</t>
    <phoneticPr fontId="5"/>
  </si>
  <si>
    <t>マイは全体赤キラーを使うので
赤属性のユニットが多いと危険です</t>
    <rPh sb="3" eb="5">
      <t>ゼンタイ</t>
    </rPh>
    <rPh sb="5" eb="6">
      <t>アカ</t>
    </rPh>
    <rPh sb="10" eb="11">
      <t>ツカ</t>
    </rPh>
    <rPh sb="15" eb="18">
      <t>アカゾクセイ</t>
    </rPh>
    <rPh sb="24" eb="25">
      <t>オオ</t>
    </rPh>
    <rPh sb="27" eb="29">
      <t>キケン</t>
    </rPh>
    <phoneticPr fontId="5"/>
  </si>
  <si>
    <t>カーマは2ゲージ目と3ゲージ目で
赤パネル破壊攻撃を頻繁に使います
赤パネルの数に気をつけて戦いましょう</t>
    <rPh sb="8" eb="9">
      <t>メ</t>
    </rPh>
    <rPh sb="14" eb="15">
      <t>メ</t>
    </rPh>
    <rPh sb="17" eb="18">
      <t>アカ</t>
    </rPh>
    <rPh sb="21" eb="25">
      <t>ハカイコウゲキ</t>
    </rPh>
    <rPh sb="26" eb="28">
      <t>ヒンパン</t>
    </rPh>
    <rPh sb="29" eb="30">
      <t>ツカ</t>
    </rPh>
    <rPh sb="34" eb="35">
      <t>アカ</t>
    </rPh>
    <rPh sb="39" eb="40">
      <t>カズ</t>
    </rPh>
    <rPh sb="41" eb="42">
      <t>キ</t>
    </rPh>
    <rPh sb="46" eb="47">
      <t>タタカ</t>
    </rPh>
    <phoneticPr fontId="5"/>
  </si>
  <si>
    <t>単体に1ターンスキルバインド</t>
    <rPh sb="0" eb="2">
      <t>タンタイ</t>
    </rPh>
    <phoneticPr fontId="5"/>
  </si>
  <si>
    <t>次のターン強力な一撃！</t>
    <rPh sb="0" eb="1">
      <t>ツギ</t>
    </rPh>
    <rPh sb="5" eb="7">
      <t>キョウリョク</t>
    </rPh>
    <rPh sb="8" eb="10">
      <t>イチゲキ</t>
    </rPh>
    <phoneticPr fontId="5"/>
  </si>
  <si>
    <t xml:space="preserve">[effect:suicide, val:1, dead_type:escape]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</si>
</sst>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charset val="128"/>
    </font>
    <font>
      <sz val="12"/>
      <color theme="0"/>
      <name val="ＭＳ Ｐゴシック"/>
      <charset val="128"/>
    </font>
    <font>
      <sz val="12"/>
      <name val="ＭＳ Ｐゴシック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</borders>
  <cellStyleXfs count="85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176" fontId="11" fillId="0" borderId="23" xfId="0" applyNumberFormat="1" applyFont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177" fontId="11" fillId="0" borderId="24" xfId="0" applyNumberFormat="1" applyFont="1" applyBorder="1" applyAlignment="1">
      <alignment vertical="center"/>
    </xf>
    <xf numFmtId="177" fontId="11" fillId="0" borderId="25" xfId="0" applyNumberFormat="1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1" fillId="6" borderId="7" xfId="614" applyFont="1" applyFill="1" applyBorder="1" applyAlignment="1">
      <alignment horizontal="left"/>
    </xf>
    <xf numFmtId="0" fontId="52" fillId="7" borderId="0" xfId="614" applyFont="1" applyFill="1" applyAlignment="1">
      <alignment horizontal="center" vertical="center"/>
    </xf>
    <xf numFmtId="0" fontId="51" fillId="3" borderId="7" xfId="614" applyFont="1" applyFill="1" applyBorder="1" applyAlignment="1">
      <alignment horizontal="left"/>
    </xf>
    <xf numFmtId="0" fontId="51" fillId="6" borderId="7" xfId="615" applyFont="1" applyFill="1" applyBorder="1"/>
    <xf numFmtId="0" fontId="53" fillId="0" borderId="7" xfId="0" applyFont="1" applyFill="1" applyBorder="1" applyAlignment="1"/>
    <xf numFmtId="0" fontId="51" fillId="0" borderId="1" xfId="0" applyFont="1" applyFill="1" applyBorder="1" applyAlignment="1">
      <alignment vertical="center"/>
    </xf>
  </cellXfs>
  <cellStyles count="856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無題1" xfId="43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30001</v>
          </cell>
        </row>
        <row r="107">
          <cell r="A107">
            <v>30002</v>
          </cell>
        </row>
        <row r="108">
          <cell r="A108">
            <v>30003</v>
          </cell>
        </row>
        <row r="109">
          <cell r="A109">
            <v>30004</v>
          </cell>
        </row>
        <row r="110">
          <cell r="A110">
            <v>30005</v>
          </cell>
        </row>
        <row r="111">
          <cell r="A111">
            <v>30006</v>
          </cell>
        </row>
        <row r="112">
          <cell r="A112">
            <v>30007</v>
          </cell>
        </row>
        <row r="113">
          <cell r="A113">
            <v>30008</v>
          </cell>
        </row>
        <row r="114">
          <cell r="A114">
            <v>30009</v>
          </cell>
        </row>
        <row r="115">
          <cell r="A115">
            <v>30010</v>
          </cell>
        </row>
        <row r="116">
          <cell r="A116">
            <v>30011</v>
          </cell>
        </row>
        <row r="117">
          <cell r="A117">
            <v>30012</v>
          </cell>
        </row>
        <row r="118">
          <cell r="A118">
            <v>30013</v>
          </cell>
        </row>
        <row r="119">
          <cell r="A119">
            <v>30014</v>
          </cell>
        </row>
        <row r="120">
          <cell r="A120">
            <v>30015</v>
          </cell>
        </row>
        <row r="121">
          <cell r="A121">
            <v>30016</v>
          </cell>
        </row>
        <row r="122">
          <cell r="A122">
            <v>30017</v>
          </cell>
        </row>
        <row r="123">
          <cell r="A123">
            <v>30018</v>
          </cell>
        </row>
        <row r="124">
          <cell r="A124">
            <v>30019</v>
          </cell>
        </row>
        <row r="125">
          <cell r="A125">
            <v>30020</v>
          </cell>
        </row>
        <row r="126">
          <cell r="A126">
            <v>30021</v>
          </cell>
        </row>
        <row r="127">
          <cell r="A127">
            <v>30022</v>
          </cell>
        </row>
        <row r="128">
          <cell r="A128">
            <v>30023</v>
          </cell>
        </row>
        <row r="129">
          <cell r="A129">
            <v>30024</v>
          </cell>
        </row>
        <row r="130">
          <cell r="A130">
            <v>30025</v>
          </cell>
        </row>
        <row r="131">
          <cell r="A131">
            <v>30026</v>
          </cell>
        </row>
        <row r="132">
          <cell r="A132">
            <v>30027</v>
          </cell>
        </row>
        <row r="133">
          <cell r="A133">
            <v>30028</v>
          </cell>
        </row>
        <row r="134">
          <cell r="A134">
            <v>30029</v>
          </cell>
        </row>
        <row r="135">
          <cell r="A135">
            <v>30030</v>
          </cell>
        </row>
        <row r="136">
          <cell r="A136">
            <v>30031</v>
          </cell>
        </row>
        <row r="137">
          <cell r="A137">
            <v>30032</v>
          </cell>
        </row>
        <row r="138">
          <cell r="A138">
            <v>39001</v>
          </cell>
        </row>
        <row r="139">
          <cell r="A139">
            <v>39002</v>
          </cell>
        </row>
        <row r="140">
          <cell r="A140">
            <v>39003</v>
          </cell>
        </row>
        <row r="141">
          <cell r="A141">
            <v>40001</v>
          </cell>
        </row>
        <row r="142">
          <cell r="A142">
            <v>40002</v>
          </cell>
        </row>
        <row r="143">
          <cell r="A143">
            <v>40003</v>
          </cell>
        </row>
        <row r="144">
          <cell r="A144">
            <v>40004</v>
          </cell>
        </row>
        <row r="145">
          <cell r="A145">
            <v>40005</v>
          </cell>
        </row>
        <row r="146">
          <cell r="A146">
            <v>40006</v>
          </cell>
        </row>
        <row r="147">
          <cell r="A147">
            <v>40007</v>
          </cell>
        </row>
        <row r="148">
          <cell r="A148">
            <v>40008</v>
          </cell>
        </row>
        <row r="149">
          <cell r="A149">
            <v>40009</v>
          </cell>
        </row>
        <row r="150">
          <cell r="A150">
            <v>40010</v>
          </cell>
        </row>
        <row r="151">
          <cell r="A151">
            <v>40011</v>
          </cell>
        </row>
        <row r="152">
          <cell r="A152">
            <v>40012</v>
          </cell>
        </row>
        <row r="153">
          <cell r="A153">
            <v>40013</v>
          </cell>
        </row>
        <row r="154">
          <cell r="A154">
            <v>40014</v>
          </cell>
        </row>
        <row r="155">
          <cell r="A155">
            <v>40015</v>
          </cell>
        </row>
        <row r="156">
          <cell r="A156">
            <v>49001</v>
          </cell>
        </row>
        <row r="157">
          <cell r="A157">
            <v>49002</v>
          </cell>
        </row>
        <row r="158">
          <cell r="A158">
            <v>49003</v>
          </cell>
        </row>
        <row r="159">
          <cell r="A159">
            <v>50001</v>
          </cell>
        </row>
        <row r="160">
          <cell r="A160">
            <v>50002</v>
          </cell>
        </row>
        <row r="161">
          <cell r="A161">
            <v>60001</v>
          </cell>
        </row>
        <row r="162">
          <cell r="A162">
            <v>60002</v>
          </cell>
        </row>
        <row r="163">
          <cell r="A163">
            <v>60003</v>
          </cell>
        </row>
        <row r="164">
          <cell r="A164">
            <v>60004</v>
          </cell>
        </row>
        <row r="165">
          <cell r="A165">
            <v>60005</v>
          </cell>
        </row>
        <row r="166">
          <cell r="A166">
            <v>65535</v>
          </cell>
        </row>
        <row r="167">
          <cell r="A167">
            <v>60021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3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ミリオンダックより愛を込めて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200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polygon</v>
          </cell>
          <cell r="T261">
            <v>1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11220_1</v>
          </cell>
          <cell r="B262">
            <v>3</v>
          </cell>
          <cell r="C262">
            <v>11220</v>
          </cell>
          <cell r="D262" t="str">
            <v>ホワイトデー★特別クエスト</v>
          </cell>
          <cell r="E262" t="str">
            <v>2016年ホワイトデークエスト</v>
          </cell>
          <cell r="F262">
            <v>1</v>
          </cell>
          <cell r="G262" t="str">
            <v>ja</v>
          </cell>
          <cell r="H262" t="str">
            <v>【ストーリー】ホワイトデー独騒曲</v>
          </cell>
          <cell r="I262" t="str">
            <v>2016年ホワイトデークエスト</v>
          </cell>
          <cell r="J262">
            <v>350</v>
          </cell>
          <cell r="K262">
            <v>1</v>
          </cell>
          <cell r="L262">
            <v>314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polygon</v>
          </cell>
          <cell r="T262">
            <v>1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once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11221_1</v>
          </cell>
          <cell r="B263">
            <v>3</v>
          </cell>
          <cell r="C263">
            <v>11221</v>
          </cell>
          <cell r="D263" t="str">
            <v>新生活★応援クエスト</v>
          </cell>
          <cell r="E263" t="str">
            <v>2016年卒業クエスト</v>
          </cell>
          <cell r="F263">
            <v>1</v>
          </cell>
          <cell r="G263" t="str">
            <v>ja</v>
          </cell>
          <cell r="H263" t="str">
            <v>【ストーリー】桜舞い散る樹の下で</v>
          </cell>
          <cell r="I263" t="str">
            <v>2016年卒業クエスト</v>
          </cell>
          <cell r="J263">
            <v>794</v>
          </cell>
          <cell r="K263">
            <v>1</v>
          </cell>
          <cell r="L263">
            <v>331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polygon</v>
          </cell>
          <cell r="T263">
            <v>1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once</v>
          </cell>
          <cell r="AC263">
            <v>926</v>
          </cell>
          <cell r="AD263">
            <v>6</v>
          </cell>
          <cell r="AE263" t="str">
            <v>singleonly</v>
          </cell>
        </row>
        <row r="264">
          <cell r="A264" t="str">
            <v>12001_1</v>
          </cell>
          <cell r="B264">
            <v>3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1</v>
          </cell>
          <cell r="G264" t="str">
            <v>ja</v>
          </cell>
          <cell r="H264" t="str">
            <v xml:space="preserve">【初級】メタルダックを捕獲せよ！ </v>
          </cell>
          <cell r="I264" t="str">
            <v>経験値ゲリラ</v>
          </cell>
          <cell r="J264">
            <v>334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12001_2</v>
          </cell>
          <cell r="B265">
            <v>3</v>
          </cell>
          <cell r="C265">
            <v>12001</v>
          </cell>
          <cell r="D265" t="str">
            <v>【緊急！！】 アヒル捕獲作戦</v>
          </cell>
          <cell r="E265" t="str">
            <v>ゲリラクエスト</v>
          </cell>
          <cell r="F265">
            <v>2</v>
          </cell>
          <cell r="G265" t="str">
            <v>ja</v>
          </cell>
          <cell r="H265" t="str">
            <v xml:space="preserve">【上級】メタルダックを捕獲せよ！ </v>
          </cell>
          <cell r="I265" t="str">
            <v>経験値ゲリラ</v>
          </cell>
          <cell r="J265">
            <v>334</v>
          </cell>
          <cell r="K265">
            <v>20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12001_3</v>
          </cell>
          <cell r="B266">
            <v>0</v>
          </cell>
          <cell r="C266">
            <v>12001</v>
          </cell>
          <cell r="D266" t="str">
            <v>【緊急！！】 アヒル捕獲作戦</v>
          </cell>
          <cell r="E266" t="str">
            <v>ゲリラクエスト</v>
          </cell>
          <cell r="F266">
            <v>3</v>
          </cell>
          <cell r="G266" t="str">
            <v>ja</v>
          </cell>
          <cell r="H266" t="str">
            <v>★100DL記念 マルチ専用★_x000D_【上級】メタルダックを捕獲せよ！</v>
          </cell>
          <cell r="I266" t="str">
            <v>経験値ゲリラ</v>
          </cell>
          <cell r="J266">
            <v>334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multionly</v>
          </cell>
        </row>
        <row r="267">
          <cell r="A267" t="str">
            <v>12002_3</v>
          </cell>
          <cell r="B267">
            <v>0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3</v>
          </cell>
          <cell r="G267" t="str">
            <v>ja</v>
          </cell>
          <cell r="H267" t="str">
            <v xml:space="preserve">【初級】メタルダックを捕獲せよ！ </v>
          </cell>
          <cell r="I267" t="str">
            <v>経験値ゲリラ</v>
          </cell>
          <cell r="J267">
            <v>334</v>
          </cell>
          <cell r="K267">
            <v>8</v>
          </cell>
          <cell r="L267">
            <v>140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everyone</v>
          </cell>
        </row>
        <row r="268">
          <cell r="A268" t="str">
            <v>12002_2</v>
          </cell>
          <cell r="B268">
            <v>0</v>
          </cell>
          <cell r="C268">
            <v>12002</v>
          </cell>
          <cell r="D268" t="str">
            <v>【マルチ専用1/2】 アヒル捕獲作戦</v>
          </cell>
          <cell r="E268" t="str">
            <v>ゲリラクエスト</v>
          </cell>
          <cell r="F268">
            <v>2</v>
          </cell>
          <cell r="G268" t="str">
            <v>ja</v>
          </cell>
          <cell r="H268" t="str">
            <v xml:space="preserve">【上級】メタルダックを捕獲せよ！ </v>
          </cell>
          <cell r="I268" t="str">
            <v>経験値ゲリラ</v>
          </cell>
          <cell r="J268">
            <v>334</v>
          </cell>
          <cell r="K268">
            <v>20</v>
          </cell>
          <cell r="L268">
            <v>350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201</v>
          </cell>
          <cell r="AD268">
            <v>6</v>
          </cell>
          <cell r="AE268" t="str">
            <v>everyone</v>
          </cell>
        </row>
        <row r="269">
          <cell r="A269" t="str">
            <v>12002_1</v>
          </cell>
          <cell r="B269">
            <v>3</v>
          </cell>
          <cell r="C269">
            <v>12002</v>
          </cell>
          <cell r="D269" t="str">
            <v>【マルチ専用1/2】 アヒル捕獲作戦</v>
          </cell>
          <cell r="E269" t="str">
            <v>ゲリラクエスト</v>
          </cell>
          <cell r="F269">
            <v>1</v>
          </cell>
          <cell r="G269" t="str">
            <v>ja</v>
          </cell>
          <cell r="H269" t="str">
            <v>【上級】メタルダックを捕獲せよ！</v>
          </cell>
          <cell r="I269" t="str">
            <v>経験値ゲリラ</v>
          </cell>
          <cell r="J269">
            <v>334</v>
          </cell>
          <cell r="K269">
            <v>10</v>
          </cell>
          <cell r="L269">
            <v>350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201</v>
          </cell>
          <cell r="AD269">
            <v>6</v>
          </cell>
          <cell r="AE269" t="str">
            <v>multionly</v>
          </cell>
        </row>
        <row r="270">
          <cell r="A270" t="str">
            <v>12003_1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1</v>
          </cell>
          <cell r="G270" t="str">
            <v>ja</v>
          </cell>
          <cell r="H270" t="str">
            <v>【超級】雷のジェントルを追え！</v>
          </cell>
          <cell r="I270" t="str">
            <v>超級ゲリラ</v>
          </cell>
          <cell r="J270">
            <v>347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12</v>
          </cell>
          <cell r="AD270">
            <v>6</v>
          </cell>
          <cell r="AE270" t="str">
            <v>singleonly</v>
          </cell>
        </row>
        <row r="271">
          <cell r="A271" t="str">
            <v>12003_2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2</v>
          </cell>
          <cell r="G271" t="str">
            <v>ja</v>
          </cell>
          <cell r="H271" t="str">
            <v>【超級】水のジェントルを追え！</v>
          </cell>
          <cell r="I271" t="str">
            <v>超級ゲリラ</v>
          </cell>
          <cell r="J271">
            <v>343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5</v>
          </cell>
          <cell r="AD271">
            <v>6</v>
          </cell>
          <cell r="AE271" t="str">
            <v>singleonly</v>
          </cell>
        </row>
        <row r="272">
          <cell r="A272" t="str">
            <v>12003_3</v>
          </cell>
          <cell r="B272">
            <v>3</v>
          </cell>
          <cell r="C272">
            <v>12003</v>
          </cell>
          <cell r="D272" t="str">
            <v>【超緊急！！】メタルジェントルを追え</v>
          </cell>
          <cell r="E272" t="str">
            <v>ゲリラ【超級】</v>
          </cell>
          <cell r="F272">
            <v>3</v>
          </cell>
          <cell r="G272" t="str">
            <v>ja</v>
          </cell>
          <cell r="H272" t="str">
            <v>【超級】森のジェントルを追え！</v>
          </cell>
          <cell r="I272" t="str">
            <v>超級ゲリラ</v>
          </cell>
          <cell r="J272">
            <v>339</v>
          </cell>
          <cell r="K272">
            <v>40</v>
          </cell>
          <cell r="L272">
            <v>500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7</v>
          </cell>
          <cell r="AD272">
            <v>6</v>
          </cell>
          <cell r="AE272" t="str">
            <v>singleonly</v>
          </cell>
        </row>
        <row r="273">
          <cell r="A273" t="str">
            <v>12003_4</v>
          </cell>
          <cell r="B273">
            <v>3</v>
          </cell>
          <cell r="C273">
            <v>12003</v>
          </cell>
          <cell r="D273" t="str">
            <v>【超緊急！！】メタルジェントルを追え</v>
          </cell>
          <cell r="E273" t="str">
            <v>ゲリラ【超級】</v>
          </cell>
          <cell r="F273">
            <v>4</v>
          </cell>
          <cell r="G273" t="str">
            <v>ja</v>
          </cell>
          <cell r="H273" t="str">
            <v>【超級】炎のジェントルを追え！</v>
          </cell>
          <cell r="I273" t="str">
            <v>超級ゲリラ</v>
          </cell>
          <cell r="J273">
            <v>335</v>
          </cell>
          <cell r="K273">
            <v>40</v>
          </cell>
          <cell r="L273">
            <v>500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</v>
          </cell>
          <cell r="AD273">
            <v>6</v>
          </cell>
          <cell r="AE273" t="str">
            <v>singleonly</v>
          </cell>
        </row>
        <row r="274">
          <cell r="A274" t="str">
            <v>12004_1</v>
          </cell>
          <cell r="B274">
            <v>3</v>
          </cell>
          <cell r="C274">
            <v>12004</v>
          </cell>
          <cell r="D274" t="str">
            <v>メタルフロッグをもとめて</v>
          </cell>
          <cell r="E274" t="str">
            <v>イベントクエスト</v>
          </cell>
          <cell r="F274">
            <v>1</v>
          </cell>
          <cell r="G274" t="str">
            <v>ja</v>
          </cell>
          <cell r="H274" t="str">
            <v>【上級】メタルフロッグをもとめて</v>
          </cell>
          <cell r="I274" t="str">
            <v>経験値イベント</v>
          </cell>
          <cell r="J274">
            <v>351</v>
          </cell>
          <cell r="K274">
            <v>20</v>
          </cell>
          <cell r="L274">
            <v>100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23</v>
          </cell>
          <cell r="AD274">
            <v>6</v>
          </cell>
          <cell r="AE274" t="str">
            <v>everyone</v>
          </cell>
        </row>
        <row r="275">
          <cell r="A275" t="str">
            <v>13001_1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1</v>
          </cell>
          <cell r="G275" t="str">
            <v>ja</v>
          </cell>
          <cell r="H275" t="str">
            <v>チャレンジタワー 1F</v>
          </cell>
          <cell r="I275" t="str">
            <v>試練の塔</v>
          </cell>
          <cell r="J275">
            <v>345</v>
          </cell>
          <cell r="K275">
            <v>3</v>
          </cell>
          <cell r="L275">
            <v>120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345,345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13001_2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2</v>
          </cell>
          <cell r="G276" t="str">
            <v>ja</v>
          </cell>
          <cell r="H276" t="str">
            <v>チャレンジタワー 2F</v>
          </cell>
          <cell r="I276" t="str">
            <v>試練の塔</v>
          </cell>
          <cell r="J276">
            <v>333</v>
          </cell>
          <cell r="K276">
            <v>4</v>
          </cell>
          <cell r="L276">
            <v>176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333,333</v>
          </cell>
          <cell r="U276">
            <v>13001</v>
          </cell>
          <cell r="V276">
            <v>1</v>
          </cell>
          <cell r="W276" t="str">
            <v>チャレンジタワー 1F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13001_3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3</v>
          </cell>
          <cell r="G277" t="str">
            <v>ja</v>
          </cell>
          <cell r="H277" t="str">
            <v>チャレンジタワー 3F</v>
          </cell>
          <cell r="I277" t="str">
            <v>試練の塔</v>
          </cell>
          <cell r="J277">
            <v>337</v>
          </cell>
          <cell r="K277">
            <v>5</v>
          </cell>
          <cell r="L277">
            <v>242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337,337</v>
          </cell>
          <cell r="U277">
            <v>13001</v>
          </cell>
          <cell r="V277">
            <v>2</v>
          </cell>
          <cell r="W277" t="str">
            <v>チャレンジタワー 2F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13001_4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4</v>
          </cell>
          <cell r="G278" t="str">
            <v>ja</v>
          </cell>
          <cell r="H278" t="str">
            <v>チャレンジタワー 4F</v>
          </cell>
          <cell r="I278" t="str">
            <v>試練の塔</v>
          </cell>
          <cell r="J278">
            <v>341</v>
          </cell>
          <cell r="K278">
            <v>7</v>
          </cell>
          <cell r="L278">
            <v>508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341,341</v>
          </cell>
          <cell r="U278">
            <v>13001</v>
          </cell>
          <cell r="V278">
            <v>3</v>
          </cell>
          <cell r="W278" t="str">
            <v>チャレンジタワー 3F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13001_5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5</v>
          </cell>
          <cell r="G279" t="str">
            <v>ja</v>
          </cell>
          <cell r="H279" t="str">
            <v>チャレンジタワー 5F</v>
          </cell>
          <cell r="I279" t="str">
            <v>試練の塔</v>
          </cell>
          <cell r="J279">
            <v>333</v>
          </cell>
          <cell r="K279">
            <v>7</v>
          </cell>
          <cell r="L279">
            <v>280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333,337,341,345</v>
          </cell>
          <cell r="U279">
            <v>13001</v>
          </cell>
          <cell r="V279">
            <v>4</v>
          </cell>
          <cell r="W279" t="str">
            <v>チャレンジタワー 4F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13001_6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6</v>
          </cell>
          <cell r="G280" t="str">
            <v>ja</v>
          </cell>
          <cell r="H280" t="str">
            <v>チャレンジタワー 6F</v>
          </cell>
          <cell r="I280" t="str">
            <v>試練の塔</v>
          </cell>
          <cell r="J280">
            <v>346</v>
          </cell>
          <cell r="K280">
            <v>8</v>
          </cell>
          <cell r="L280">
            <v>474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346,345</v>
          </cell>
          <cell r="U280">
            <v>13001</v>
          </cell>
          <cell r="V280">
            <v>5</v>
          </cell>
          <cell r="W280" t="str">
            <v>チャレンジタワー 5F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13001_7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7</v>
          </cell>
          <cell r="G281" t="str">
            <v>ja</v>
          </cell>
          <cell r="H281" t="str">
            <v>チャレンジタワー 7F</v>
          </cell>
          <cell r="I281" t="str">
            <v>試練の塔</v>
          </cell>
          <cell r="J281">
            <v>342</v>
          </cell>
          <cell r="K281">
            <v>8</v>
          </cell>
          <cell r="L281">
            <v>486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342,341</v>
          </cell>
          <cell r="U281">
            <v>13001</v>
          </cell>
          <cell r="V281">
            <v>6</v>
          </cell>
          <cell r="W281" t="str">
            <v>チャレンジタワー 6F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13001_8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8</v>
          </cell>
          <cell r="G282" t="str">
            <v>ja</v>
          </cell>
          <cell r="H282" t="str">
            <v>チャレンジタワー 8F</v>
          </cell>
          <cell r="I282" t="str">
            <v>試練の塔</v>
          </cell>
          <cell r="J282">
            <v>334</v>
          </cell>
          <cell r="K282">
            <v>10</v>
          </cell>
          <cell r="L282">
            <v>1006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334,333</v>
          </cell>
          <cell r="U282">
            <v>13001</v>
          </cell>
          <cell r="V282">
            <v>7</v>
          </cell>
          <cell r="W282" t="str">
            <v>チャレンジタワー 7F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13001_9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9</v>
          </cell>
          <cell r="G283" t="str">
            <v>ja</v>
          </cell>
          <cell r="H283" t="str">
            <v>チャレンジタワー 9F</v>
          </cell>
          <cell r="I283" t="str">
            <v>試練の塔</v>
          </cell>
          <cell r="J283">
            <v>338</v>
          </cell>
          <cell r="K283">
            <v>10</v>
          </cell>
          <cell r="L283">
            <v>702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337,337,338</v>
          </cell>
          <cell r="U283">
            <v>13001</v>
          </cell>
          <cell r="V283">
            <v>8</v>
          </cell>
          <cell r="W283" t="str">
            <v>チャレンジタワー 8F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13001_10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10</v>
          </cell>
          <cell r="G284" t="str">
            <v>ja</v>
          </cell>
          <cell r="H284" t="str">
            <v>チャレンジタワー 10F</v>
          </cell>
          <cell r="I284" t="str">
            <v>試練の塔</v>
          </cell>
          <cell r="J284">
            <v>346</v>
          </cell>
          <cell r="K284">
            <v>11</v>
          </cell>
          <cell r="L284">
            <v>788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346,333,337,341</v>
          </cell>
          <cell r="U284">
            <v>13001</v>
          </cell>
          <cell r="V284">
            <v>9</v>
          </cell>
          <cell r="W284" t="str">
            <v>チャレンジタワー 9F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13001_11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11</v>
          </cell>
          <cell r="G285" t="str">
            <v>ja</v>
          </cell>
          <cell r="H285" t="str">
            <v>チャレンジタワー 11F</v>
          </cell>
          <cell r="I285" t="str">
            <v>試練の塔</v>
          </cell>
          <cell r="J285">
            <v>346</v>
          </cell>
          <cell r="K285">
            <v>12</v>
          </cell>
          <cell r="L285">
            <v>936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346,346</v>
          </cell>
          <cell r="U285">
            <v>13001</v>
          </cell>
          <cell r="V285">
            <v>10</v>
          </cell>
          <cell r="W285" t="str">
            <v>チャレンジタワー 10F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13001_12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12</v>
          </cell>
          <cell r="G286" t="str">
            <v>ja</v>
          </cell>
          <cell r="H286" t="str">
            <v>チャレンジタワー 12F</v>
          </cell>
          <cell r="I286" t="str">
            <v>試練の塔</v>
          </cell>
          <cell r="J286">
            <v>342</v>
          </cell>
          <cell r="K286">
            <v>13</v>
          </cell>
          <cell r="L286">
            <v>1601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</v>
          </cell>
          <cell r="U286">
            <v>13001</v>
          </cell>
          <cell r="V286">
            <v>11</v>
          </cell>
          <cell r="W286" t="str">
            <v>チャレンジタワー 11F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13001_13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13</v>
          </cell>
          <cell r="G287" t="str">
            <v>ja</v>
          </cell>
          <cell r="H287" t="str">
            <v>チャレンジタワー 13F</v>
          </cell>
          <cell r="I287" t="str">
            <v>試練の塔</v>
          </cell>
          <cell r="J287">
            <v>338</v>
          </cell>
          <cell r="K287">
            <v>14</v>
          </cell>
          <cell r="L287">
            <v>945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338,338</v>
          </cell>
          <cell r="U287">
            <v>13001</v>
          </cell>
          <cell r="V287">
            <v>12</v>
          </cell>
          <cell r="W287" t="str">
            <v>チャレンジタワー 12F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13001_14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14</v>
          </cell>
          <cell r="G288" t="str">
            <v>ja</v>
          </cell>
          <cell r="H288" t="str">
            <v>チャレンジタワー 14F</v>
          </cell>
          <cell r="I288" t="str">
            <v>試練の塔</v>
          </cell>
          <cell r="J288">
            <v>334</v>
          </cell>
          <cell r="K288">
            <v>14</v>
          </cell>
          <cell r="L288">
            <v>1188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334,334</v>
          </cell>
          <cell r="U288">
            <v>13001</v>
          </cell>
          <cell r="V288">
            <v>13</v>
          </cell>
          <cell r="W288" t="str">
            <v>チャレンジタワー 13F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13001_15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15</v>
          </cell>
          <cell r="G289" t="str">
            <v>ja</v>
          </cell>
          <cell r="H289" t="str">
            <v>チャレンジタワー 15F</v>
          </cell>
          <cell r="I289" t="str">
            <v>試練の塔</v>
          </cell>
          <cell r="J289">
            <v>316</v>
          </cell>
          <cell r="K289">
            <v>14</v>
          </cell>
          <cell r="L289">
            <v>1008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316</v>
          </cell>
          <cell r="U289">
            <v>13001</v>
          </cell>
          <cell r="V289">
            <v>14</v>
          </cell>
          <cell r="W289" t="str">
            <v>チャレンジタワー 14F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13001_16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16</v>
          </cell>
          <cell r="G290" t="str">
            <v>ja</v>
          </cell>
          <cell r="H290" t="str">
            <v>チャレンジタワー 16F</v>
          </cell>
          <cell r="I290" t="str">
            <v>試練の塔</v>
          </cell>
          <cell r="J290">
            <v>338</v>
          </cell>
          <cell r="K290">
            <v>16</v>
          </cell>
          <cell r="L290">
            <v>2573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338,338,337</v>
          </cell>
          <cell r="U290">
            <v>13001</v>
          </cell>
          <cell r="V290">
            <v>15</v>
          </cell>
          <cell r="W290" t="str">
            <v>チャレンジタワー 15F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13001_17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17</v>
          </cell>
          <cell r="G291" t="str">
            <v>ja</v>
          </cell>
          <cell r="H291" t="str">
            <v>チャレンジタワー 17F</v>
          </cell>
          <cell r="I291" t="str">
            <v>試練の塔</v>
          </cell>
          <cell r="J291">
            <v>346</v>
          </cell>
          <cell r="K291">
            <v>16</v>
          </cell>
          <cell r="L291">
            <v>1568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346,346,345</v>
          </cell>
          <cell r="U291">
            <v>13001</v>
          </cell>
          <cell r="V291">
            <v>16</v>
          </cell>
          <cell r="W291" t="str">
            <v>チャレンジタワー 16F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13001_18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18</v>
          </cell>
          <cell r="G292" t="str">
            <v>ja</v>
          </cell>
          <cell r="H292" t="str">
            <v>チャレンジタワー 18F</v>
          </cell>
          <cell r="I292" t="str">
            <v>試練の塔</v>
          </cell>
          <cell r="J292">
            <v>334</v>
          </cell>
          <cell r="K292">
            <v>17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334,334,333</v>
          </cell>
          <cell r="U292">
            <v>13001</v>
          </cell>
          <cell r="V292">
            <v>17</v>
          </cell>
          <cell r="W292" t="str">
            <v>チャレンジタワー 17F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13001_19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19</v>
          </cell>
          <cell r="G293" t="str">
            <v>ja</v>
          </cell>
          <cell r="H293" t="str">
            <v>チャレンジタワー 19F</v>
          </cell>
          <cell r="I293" t="str">
            <v>試練の塔</v>
          </cell>
          <cell r="J293">
            <v>342</v>
          </cell>
          <cell r="K293">
            <v>18</v>
          </cell>
          <cell r="L293">
            <v>2108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342,342,341</v>
          </cell>
          <cell r="U293">
            <v>13001</v>
          </cell>
          <cell r="V293">
            <v>18</v>
          </cell>
          <cell r="W293" t="str">
            <v>チャレンジタワー 18F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13001_20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20</v>
          </cell>
          <cell r="G294" t="str">
            <v>ja</v>
          </cell>
          <cell r="H294" t="str">
            <v>チャレンジタワー 20F</v>
          </cell>
          <cell r="I294" t="str">
            <v>試練の塔</v>
          </cell>
          <cell r="J294">
            <v>318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318</v>
          </cell>
          <cell r="U294">
            <v>13001</v>
          </cell>
          <cell r="V294">
            <v>19</v>
          </cell>
          <cell r="W294" t="str">
            <v>チャレンジタワー 19F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13001_21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21</v>
          </cell>
          <cell r="G295" t="str">
            <v>ja</v>
          </cell>
          <cell r="H295" t="str">
            <v>チャレンジタワー 21F</v>
          </cell>
          <cell r="I295" t="str">
            <v>試練の塔</v>
          </cell>
          <cell r="J295" t="str">
            <v>335</v>
          </cell>
          <cell r="K295">
            <v>18</v>
          </cell>
          <cell r="L295">
            <v>1620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334,335,335</v>
          </cell>
          <cell r="U295">
            <v>13001</v>
          </cell>
          <cell r="V295">
            <v>20</v>
          </cell>
          <cell r="W295" t="str">
            <v>チャレンジタワー 20F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13001_22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22</v>
          </cell>
          <cell r="G296" t="str">
            <v>ja</v>
          </cell>
          <cell r="H296" t="str">
            <v>チャレンジタワー 22F</v>
          </cell>
          <cell r="I296" t="str">
            <v>試練の塔</v>
          </cell>
          <cell r="J296" t="str">
            <v>339</v>
          </cell>
          <cell r="K296">
            <v>18</v>
          </cell>
          <cell r="L296">
            <v>1620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338,339,339</v>
          </cell>
          <cell r="U296">
            <v>13001</v>
          </cell>
          <cell r="V296">
            <v>21</v>
          </cell>
          <cell r="W296" t="str">
            <v>チャレンジタワー 21F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13001_23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23</v>
          </cell>
          <cell r="G297" t="str">
            <v>ja</v>
          </cell>
          <cell r="H297" t="str">
            <v>チャレンジタワー 23F</v>
          </cell>
          <cell r="I297" t="str">
            <v>試練の塔</v>
          </cell>
          <cell r="J297" t="str">
            <v>347</v>
          </cell>
          <cell r="K297">
            <v>20</v>
          </cell>
          <cell r="L297">
            <v>1821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346,347,347</v>
          </cell>
          <cell r="U297">
            <v>13001</v>
          </cell>
          <cell r="V297">
            <v>22</v>
          </cell>
          <cell r="W297" t="str">
            <v>チャレンジタワー 22F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13001_24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24</v>
          </cell>
          <cell r="G298" t="str">
            <v>ja</v>
          </cell>
          <cell r="H298" t="str">
            <v>チャレンジタワー 24F</v>
          </cell>
          <cell r="I298" t="str">
            <v>試練の塔</v>
          </cell>
          <cell r="J298" t="str">
            <v>343</v>
          </cell>
          <cell r="K298">
            <v>20</v>
          </cell>
          <cell r="L298">
            <v>2871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342,343,343</v>
          </cell>
          <cell r="U298">
            <v>13001</v>
          </cell>
          <cell r="V298">
            <v>23</v>
          </cell>
          <cell r="W298" t="str">
            <v>チャレンジタワー 23F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13001_25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25</v>
          </cell>
          <cell r="G299" t="str">
            <v>ja</v>
          </cell>
          <cell r="H299" t="str">
            <v>チャレンジタワー 25F</v>
          </cell>
          <cell r="I299" t="str">
            <v>試練の塔</v>
          </cell>
          <cell r="J299" t="str">
            <v>368</v>
          </cell>
          <cell r="K299">
            <v>22</v>
          </cell>
          <cell r="L299">
            <v>3740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368</v>
          </cell>
          <cell r="U299">
            <v>13001</v>
          </cell>
          <cell r="V299">
            <v>24</v>
          </cell>
          <cell r="W299" t="str">
            <v>チャレンジタワー 24F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14001_1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1</v>
          </cell>
          <cell r="G300" t="str">
            <v>ja</v>
          </cell>
          <cell r="H300" t="str">
            <v>【超級】雷ファミリー（ハートなし）</v>
          </cell>
          <cell r="I300" t="str">
            <v>【ロッククエスト】経験値</v>
          </cell>
          <cell r="J300">
            <v>347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12</v>
          </cell>
          <cell r="AD300">
            <v>6</v>
          </cell>
          <cell r="AE300" t="str">
            <v>singleonly</v>
          </cell>
        </row>
        <row r="301">
          <cell r="A301" t="str">
            <v>14001_2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2</v>
          </cell>
          <cell r="G301" t="str">
            <v>ja</v>
          </cell>
          <cell r="H301" t="str">
            <v>【超級】水ファミリー（ハートなし）</v>
          </cell>
          <cell r="I301" t="str">
            <v>【ロッククエスト】経験値</v>
          </cell>
          <cell r="J301">
            <v>343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5</v>
          </cell>
          <cell r="AD301">
            <v>6</v>
          </cell>
          <cell r="AE301" t="str">
            <v>singleonly</v>
          </cell>
        </row>
        <row r="302">
          <cell r="A302" t="str">
            <v>14001_3</v>
          </cell>
          <cell r="B302">
            <v>3</v>
          </cell>
          <cell r="C302">
            <v>14001</v>
          </cell>
          <cell r="D302" t="str">
            <v>【ロック】経験値/ソロ</v>
          </cell>
          <cell r="E302" t="str">
            <v>【ロック】経験値/ソロ</v>
          </cell>
          <cell r="F302">
            <v>3</v>
          </cell>
          <cell r="G302" t="str">
            <v>ja</v>
          </cell>
          <cell r="H302" t="str">
            <v>【超級】森ファミリー（ハートなし）</v>
          </cell>
          <cell r="I302" t="str">
            <v>【ロッククエスト】経験値</v>
          </cell>
          <cell r="J302">
            <v>339</v>
          </cell>
          <cell r="K302">
            <v>1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7</v>
          </cell>
          <cell r="AD302">
            <v>6</v>
          </cell>
          <cell r="AE302" t="str">
            <v>singleonly</v>
          </cell>
        </row>
        <row r="303">
          <cell r="A303" t="str">
            <v>14001_4</v>
          </cell>
          <cell r="B303">
            <v>3</v>
          </cell>
          <cell r="C303">
            <v>14001</v>
          </cell>
          <cell r="D303" t="str">
            <v>【ロック】経験値/ソロ</v>
          </cell>
          <cell r="E303" t="str">
            <v>【ロック】経験値/ソロ</v>
          </cell>
          <cell r="F303">
            <v>4</v>
          </cell>
          <cell r="G303" t="str">
            <v>ja</v>
          </cell>
          <cell r="H303" t="str">
            <v>【超級】炎ファミリー（ハートなし）</v>
          </cell>
          <cell r="I303" t="str">
            <v>【ロッククエスト】経験値</v>
          </cell>
          <cell r="J303">
            <v>335</v>
          </cell>
          <cell r="K303">
            <v>1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10</v>
          </cell>
          <cell r="AD303">
            <v>6</v>
          </cell>
          <cell r="AE303" t="str">
            <v>singleonly</v>
          </cell>
        </row>
        <row r="304">
          <cell r="A304" t="str">
            <v>14002_1</v>
          </cell>
          <cell r="B304">
            <v>3</v>
          </cell>
          <cell r="C304">
            <v>14002</v>
          </cell>
          <cell r="D304" t="str">
            <v>【ロック】ビット/ソロ</v>
          </cell>
          <cell r="E304" t="str">
            <v>【ロック】ビット/ソロ</v>
          </cell>
          <cell r="F304">
            <v>1</v>
          </cell>
          <cell r="G304" t="str">
            <v>ja</v>
          </cell>
          <cell r="H304" t="str">
            <v>【超級】ハイローラー（ハートなし）</v>
          </cell>
          <cell r="I304" t="str">
            <v>【ロッククエスト】ビット</v>
          </cell>
          <cell r="J304">
            <v>119</v>
          </cell>
          <cell r="K304">
            <v>1</v>
          </cell>
          <cell r="L304">
            <v>777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105</v>
          </cell>
          <cell r="AD304">
            <v>6</v>
          </cell>
          <cell r="AE304" t="str">
            <v>singleonly</v>
          </cell>
        </row>
        <row r="305">
          <cell r="A305" t="str">
            <v>14003_1</v>
          </cell>
          <cell r="B305">
            <v>3</v>
          </cell>
          <cell r="C305">
            <v>14003</v>
          </cell>
          <cell r="D305" t="str">
            <v>【ロック】限界突破/ソロ</v>
          </cell>
          <cell r="E305" t="str">
            <v>【ロック】限界突破/ソロ</v>
          </cell>
          <cell r="F305">
            <v>1</v>
          </cell>
          <cell r="G305" t="str">
            <v>ja</v>
          </cell>
          <cell r="H305" t="str">
            <v>【超級】果実の楽園（ハートなし）</v>
          </cell>
          <cell r="I305" t="str">
            <v>【ロッククエスト】限界突破</v>
          </cell>
          <cell r="J305">
            <v>125</v>
          </cell>
          <cell r="K305">
            <v>1</v>
          </cell>
          <cell r="L305">
            <v>860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singleonly</v>
          </cell>
        </row>
        <row r="306">
          <cell r="A306" t="str">
            <v>14004_1</v>
          </cell>
          <cell r="B306">
            <v>1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1</v>
          </cell>
          <cell r="G306" t="str">
            <v>ja</v>
          </cell>
          <cell r="H306" t="str">
            <v>【超級】雷ファミリー（ハートなし）</v>
          </cell>
          <cell r="I306" t="str">
            <v>【ロッククエスト】経験値</v>
          </cell>
          <cell r="J306">
            <v>347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lineonly</v>
          </cell>
        </row>
        <row r="307">
          <cell r="A307" t="str">
            <v>14004_2</v>
          </cell>
          <cell r="B307">
            <v>1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2</v>
          </cell>
          <cell r="G307" t="str">
            <v>ja</v>
          </cell>
          <cell r="H307" t="str">
            <v>【超級】水ファミリー（ハートなし）</v>
          </cell>
          <cell r="I307" t="str">
            <v>【ロッククエスト】経験値</v>
          </cell>
          <cell r="J307">
            <v>343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lineonly</v>
          </cell>
        </row>
        <row r="308">
          <cell r="A308" t="str">
            <v>14004_3</v>
          </cell>
          <cell r="B308">
            <v>1</v>
          </cell>
          <cell r="C308">
            <v>14004</v>
          </cell>
          <cell r="D308" t="str">
            <v>【ロック】経験値/LINEマルチ</v>
          </cell>
          <cell r="E308" t="str">
            <v>【ロック】経験値/LINEマルチ</v>
          </cell>
          <cell r="F308">
            <v>3</v>
          </cell>
          <cell r="G308" t="str">
            <v>ja</v>
          </cell>
          <cell r="H308" t="str">
            <v>【超級】森ファミリー（ハートなし）</v>
          </cell>
          <cell r="I308" t="str">
            <v>【ロッククエスト】経験値</v>
          </cell>
          <cell r="J308">
            <v>339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lineonly</v>
          </cell>
        </row>
        <row r="309">
          <cell r="A309" t="str">
            <v>14004_4</v>
          </cell>
          <cell r="B309">
            <v>1</v>
          </cell>
          <cell r="C309">
            <v>14004</v>
          </cell>
          <cell r="D309" t="str">
            <v>【ロック】経験値/LINEマルチ</v>
          </cell>
          <cell r="E309" t="str">
            <v>【ロック】経験値/LINEマルチ</v>
          </cell>
          <cell r="F309">
            <v>4</v>
          </cell>
          <cell r="G309" t="str">
            <v>ja</v>
          </cell>
          <cell r="H309" t="str">
            <v>【超級】炎ファミリー（ハートなし）</v>
          </cell>
          <cell r="I309" t="str">
            <v>【ロッククエスト】経験値</v>
          </cell>
          <cell r="J309">
            <v>335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lineonly</v>
          </cell>
        </row>
        <row r="310">
          <cell r="A310" t="str">
            <v>14005_1</v>
          </cell>
          <cell r="B310">
            <v>1</v>
          </cell>
          <cell r="C310">
            <v>14005</v>
          </cell>
          <cell r="D310" t="str">
            <v>【ロック】ビット/LINEマルチ</v>
          </cell>
          <cell r="E310" t="str">
            <v>【ロック】ビット/LINEマルチ</v>
          </cell>
          <cell r="F310">
            <v>1</v>
          </cell>
          <cell r="G310" t="str">
            <v>ja</v>
          </cell>
          <cell r="H310" t="str">
            <v>【超級】ハイローラー（ハートなし）</v>
          </cell>
          <cell r="I310" t="str">
            <v>【ロッククエスト】ビット</v>
          </cell>
          <cell r="J310">
            <v>119</v>
          </cell>
          <cell r="K310">
            <v>1</v>
          </cell>
          <cell r="L310">
            <v>777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105</v>
          </cell>
          <cell r="AD310">
            <v>6</v>
          </cell>
          <cell r="AE310" t="str">
            <v>lineonly</v>
          </cell>
        </row>
        <row r="311">
          <cell r="A311" t="str">
            <v>14006_1</v>
          </cell>
          <cell r="B311">
            <v>1</v>
          </cell>
          <cell r="C311">
            <v>14006</v>
          </cell>
          <cell r="D311" t="str">
            <v>【ロック】限界突破/LINEマルチ</v>
          </cell>
          <cell r="E311" t="str">
            <v>【ロック】限界突破/LINEマルチ</v>
          </cell>
          <cell r="F311">
            <v>1</v>
          </cell>
          <cell r="G311" t="str">
            <v>ja</v>
          </cell>
          <cell r="H311" t="str">
            <v>【超級】果実の楽園（ハートなし）</v>
          </cell>
          <cell r="I311" t="str">
            <v>【ロッククエスト】限界突破</v>
          </cell>
          <cell r="J311">
            <v>125</v>
          </cell>
          <cell r="K311">
            <v>1</v>
          </cell>
          <cell r="L311">
            <v>860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lineonly</v>
          </cell>
        </row>
        <row r="312">
          <cell r="A312" t="str">
            <v>15027_1</v>
          </cell>
          <cell r="B312">
            <v>1</v>
          </cell>
          <cell r="C312">
            <v>15027</v>
          </cell>
          <cell r="D312">
            <v>27</v>
          </cell>
          <cell r="E312" t="str">
            <v>黄青DL6</v>
          </cell>
          <cell r="F312">
            <v>1</v>
          </cell>
          <cell r="G312" t="str">
            <v>ja</v>
          </cell>
          <cell r="H312" t="str">
            <v>27--1</v>
          </cell>
          <cell r="I312" t="str">
            <v>27--1</v>
          </cell>
          <cell r="J312" t="str">
            <v>NULL</v>
          </cell>
          <cell r="K312">
            <v>14</v>
          </cell>
          <cell r="L312">
            <v>14640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27</v>
          </cell>
          <cell r="AD312">
            <v>6</v>
          </cell>
          <cell r="AE312" t="str">
            <v>everyone</v>
          </cell>
        </row>
        <row r="313">
          <cell r="A313" t="str">
            <v>15027_2</v>
          </cell>
          <cell r="B313">
            <v>1</v>
          </cell>
          <cell r="C313">
            <v>15027</v>
          </cell>
          <cell r="D313">
            <v>27</v>
          </cell>
          <cell r="E313" t="str">
            <v>黄青DL6</v>
          </cell>
          <cell r="F313">
            <v>2</v>
          </cell>
          <cell r="G313" t="str">
            <v>ja</v>
          </cell>
          <cell r="H313" t="str">
            <v>27--2</v>
          </cell>
          <cell r="I313" t="str">
            <v>27--2</v>
          </cell>
          <cell r="J313" t="str">
            <v>NULL</v>
          </cell>
          <cell r="K313">
            <v>14</v>
          </cell>
          <cell r="L313">
            <v>14760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27</v>
          </cell>
          <cell r="AD313">
            <v>6</v>
          </cell>
          <cell r="AE313" t="str">
            <v>everyone</v>
          </cell>
        </row>
        <row r="314">
          <cell r="A314" t="str">
            <v>15027_3</v>
          </cell>
          <cell r="B314">
            <v>1</v>
          </cell>
          <cell r="C314">
            <v>15027</v>
          </cell>
          <cell r="D314">
            <v>27</v>
          </cell>
          <cell r="E314" t="str">
            <v>黄青DL6</v>
          </cell>
          <cell r="F314">
            <v>3</v>
          </cell>
          <cell r="G314" t="str">
            <v>ja</v>
          </cell>
          <cell r="H314" t="str">
            <v>27--3</v>
          </cell>
          <cell r="I314" t="str">
            <v>27--3</v>
          </cell>
          <cell r="J314" t="str">
            <v>NULL</v>
          </cell>
          <cell r="K314">
            <v>15</v>
          </cell>
          <cell r="L314">
            <v>14880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27</v>
          </cell>
          <cell r="AD314">
            <v>6</v>
          </cell>
          <cell r="AE314" t="str">
            <v>everyone</v>
          </cell>
        </row>
        <row r="315">
          <cell r="A315" t="str">
            <v>15027_4</v>
          </cell>
          <cell r="B315">
            <v>1</v>
          </cell>
          <cell r="C315">
            <v>15027</v>
          </cell>
          <cell r="D315">
            <v>27</v>
          </cell>
          <cell r="E315" t="str">
            <v>黄青DL6</v>
          </cell>
          <cell r="F315">
            <v>4</v>
          </cell>
          <cell r="G315" t="str">
            <v>ja</v>
          </cell>
          <cell r="H315" t="str">
            <v>27--4</v>
          </cell>
          <cell r="I315" t="str">
            <v>27--4</v>
          </cell>
          <cell r="J315">
            <v>125</v>
          </cell>
          <cell r="K315">
            <v>1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once</v>
          </cell>
          <cell r="AC315">
            <v>27</v>
          </cell>
          <cell r="AD315">
            <v>6</v>
          </cell>
          <cell r="AE315" t="str">
            <v>singleonly</v>
          </cell>
        </row>
        <row r="316">
          <cell r="A316" t="str">
            <v>15028_1</v>
          </cell>
          <cell r="B316">
            <v>1</v>
          </cell>
          <cell r="C316">
            <v>15028</v>
          </cell>
          <cell r="D316">
            <v>28</v>
          </cell>
          <cell r="E316" t="str">
            <v>赤緑DL6</v>
          </cell>
          <cell r="F316">
            <v>1</v>
          </cell>
          <cell r="G316" t="str">
            <v>ja</v>
          </cell>
          <cell r="H316" t="str">
            <v>28--1</v>
          </cell>
          <cell r="I316" t="str">
            <v>28--1</v>
          </cell>
          <cell r="J316" t="str">
            <v>NULL</v>
          </cell>
          <cell r="K316">
            <v>14</v>
          </cell>
          <cell r="L316">
            <v>14640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27</v>
          </cell>
          <cell r="AD316">
            <v>6</v>
          </cell>
          <cell r="AE316" t="str">
            <v>everyone</v>
          </cell>
        </row>
        <row r="317">
          <cell r="A317" t="str">
            <v>15028_2</v>
          </cell>
          <cell r="B317">
            <v>1</v>
          </cell>
          <cell r="C317">
            <v>15028</v>
          </cell>
          <cell r="D317">
            <v>28</v>
          </cell>
          <cell r="E317" t="str">
            <v>赤緑DL6</v>
          </cell>
          <cell r="F317">
            <v>2</v>
          </cell>
          <cell r="G317" t="str">
            <v>ja</v>
          </cell>
          <cell r="H317" t="str">
            <v>28--2</v>
          </cell>
          <cell r="I317" t="str">
            <v>28--2</v>
          </cell>
          <cell r="J317" t="str">
            <v>NULL</v>
          </cell>
          <cell r="K317">
            <v>14</v>
          </cell>
          <cell r="L317">
            <v>14760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27</v>
          </cell>
          <cell r="AD317">
            <v>6</v>
          </cell>
          <cell r="AE317" t="str">
            <v>everyone</v>
          </cell>
        </row>
        <row r="318">
          <cell r="A318" t="str">
            <v>15028_3</v>
          </cell>
          <cell r="B318">
            <v>1</v>
          </cell>
          <cell r="C318">
            <v>15028</v>
          </cell>
          <cell r="D318">
            <v>28</v>
          </cell>
          <cell r="E318" t="str">
            <v>赤緑DL6</v>
          </cell>
          <cell r="F318">
            <v>3</v>
          </cell>
          <cell r="G318" t="str">
            <v>ja</v>
          </cell>
          <cell r="H318" t="str">
            <v>28--3</v>
          </cell>
          <cell r="I318" t="str">
            <v>28--3</v>
          </cell>
          <cell r="J318" t="str">
            <v>NULL</v>
          </cell>
          <cell r="K318">
            <v>15</v>
          </cell>
          <cell r="L318">
            <v>14880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27</v>
          </cell>
          <cell r="AD318">
            <v>6</v>
          </cell>
          <cell r="AE318" t="str">
            <v>everyone</v>
          </cell>
        </row>
        <row r="319">
          <cell r="A319" t="str">
            <v>15028_4</v>
          </cell>
          <cell r="B319">
            <v>1</v>
          </cell>
          <cell r="C319">
            <v>15028</v>
          </cell>
          <cell r="D319">
            <v>28</v>
          </cell>
          <cell r="E319" t="str">
            <v>赤緑DL6</v>
          </cell>
          <cell r="F319">
            <v>4</v>
          </cell>
          <cell r="G319" t="str">
            <v>ja</v>
          </cell>
          <cell r="H319" t="str">
            <v>28--4</v>
          </cell>
          <cell r="I319" t="str">
            <v>28--4</v>
          </cell>
          <cell r="J319">
            <v>125</v>
          </cell>
          <cell r="K319">
            <v>1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once</v>
          </cell>
          <cell r="AC319">
            <v>27</v>
          </cell>
          <cell r="AD319">
            <v>6</v>
          </cell>
          <cell r="AE319" t="str">
            <v>singleonly</v>
          </cell>
        </row>
        <row r="320">
          <cell r="A320" t="str">
            <v>15029_1</v>
          </cell>
          <cell r="B320">
            <v>1</v>
          </cell>
          <cell r="C320">
            <v>15029</v>
          </cell>
          <cell r="D320">
            <v>29</v>
          </cell>
          <cell r="E320" t="str">
            <v>緑黄DL6</v>
          </cell>
          <cell r="F320">
            <v>1</v>
          </cell>
          <cell r="G320" t="str">
            <v>ja</v>
          </cell>
          <cell r="H320" t="str">
            <v>29--1</v>
          </cell>
          <cell r="I320" t="str">
            <v>29--1</v>
          </cell>
          <cell r="J320" t="str">
            <v>NULL</v>
          </cell>
          <cell r="K320">
            <v>14</v>
          </cell>
          <cell r="L320">
            <v>14640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27</v>
          </cell>
          <cell r="AD320">
            <v>6</v>
          </cell>
          <cell r="AE320" t="str">
            <v>everyone</v>
          </cell>
        </row>
        <row r="321">
          <cell r="A321" t="str">
            <v>15029_2</v>
          </cell>
          <cell r="B321">
            <v>1</v>
          </cell>
          <cell r="C321">
            <v>15029</v>
          </cell>
          <cell r="D321">
            <v>29</v>
          </cell>
          <cell r="E321" t="str">
            <v>緑黄DL6</v>
          </cell>
          <cell r="F321">
            <v>2</v>
          </cell>
          <cell r="G321" t="str">
            <v>ja</v>
          </cell>
          <cell r="H321" t="str">
            <v>29--2</v>
          </cell>
          <cell r="I321" t="str">
            <v>29--2</v>
          </cell>
          <cell r="J321" t="str">
            <v>NULL</v>
          </cell>
          <cell r="K321">
            <v>14</v>
          </cell>
          <cell r="L321">
            <v>14760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27</v>
          </cell>
          <cell r="AD321">
            <v>6</v>
          </cell>
          <cell r="AE321" t="str">
            <v>everyone</v>
          </cell>
        </row>
        <row r="322">
          <cell r="A322" t="str">
            <v>15029_3</v>
          </cell>
          <cell r="B322">
            <v>1</v>
          </cell>
          <cell r="C322">
            <v>15029</v>
          </cell>
          <cell r="D322">
            <v>29</v>
          </cell>
          <cell r="E322" t="str">
            <v>緑黄DL6</v>
          </cell>
          <cell r="F322">
            <v>3</v>
          </cell>
          <cell r="G322" t="str">
            <v>ja</v>
          </cell>
          <cell r="H322" t="str">
            <v>29--3</v>
          </cell>
          <cell r="I322" t="str">
            <v>29--3</v>
          </cell>
          <cell r="J322" t="str">
            <v>NULL</v>
          </cell>
          <cell r="K322">
            <v>15</v>
          </cell>
          <cell r="L322">
            <v>14880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27</v>
          </cell>
          <cell r="AD322">
            <v>6</v>
          </cell>
          <cell r="AE322" t="str">
            <v>everyone</v>
          </cell>
        </row>
        <row r="323">
          <cell r="A323" t="str">
            <v>15029_4</v>
          </cell>
          <cell r="B323">
            <v>1</v>
          </cell>
          <cell r="C323">
            <v>15029</v>
          </cell>
          <cell r="D323">
            <v>29</v>
          </cell>
          <cell r="E323" t="str">
            <v>緑黄DL6</v>
          </cell>
          <cell r="F323">
            <v>4</v>
          </cell>
          <cell r="G323" t="str">
            <v>ja</v>
          </cell>
          <cell r="H323" t="str">
            <v>29--4</v>
          </cell>
          <cell r="I323" t="str">
            <v>29--4</v>
          </cell>
          <cell r="J323">
            <v>125</v>
          </cell>
          <cell r="K323">
            <v>1</v>
          </cell>
          <cell r="L323">
            <v>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once</v>
          </cell>
          <cell r="AC323">
            <v>27</v>
          </cell>
          <cell r="AD323">
            <v>6</v>
          </cell>
          <cell r="AE323" t="str">
            <v>singleonly</v>
          </cell>
        </row>
        <row r="324">
          <cell r="A324" t="str">
            <v>15030_1</v>
          </cell>
          <cell r="B324">
            <v>1</v>
          </cell>
          <cell r="C324">
            <v>15030</v>
          </cell>
          <cell r="D324">
            <v>30</v>
          </cell>
          <cell r="E324" t="str">
            <v>赤青DL6</v>
          </cell>
          <cell r="F324">
            <v>1</v>
          </cell>
          <cell r="G324" t="str">
            <v>ja</v>
          </cell>
          <cell r="H324" t="str">
            <v>30--1</v>
          </cell>
          <cell r="I324" t="str">
            <v>30--1</v>
          </cell>
          <cell r="J324" t="str">
            <v>NULL</v>
          </cell>
          <cell r="K324">
            <v>14</v>
          </cell>
          <cell r="L324">
            <v>14640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27</v>
          </cell>
          <cell r="AD324">
            <v>6</v>
          </cell>
          <cell r="AE324" t="str">
            <v>everyone</v>
          </cell>
        </row>
        <row r="325">
          <cell r="A325" t="str">
            <v>15030_2</v>
          </cell>
          <cell r="B325">
            <v>1</v>
          </cell>
          <cell r="C325">
            <v>15030</v>
          </cell>
          <cell r="D325">
            <v>30</v>
          </cell>
          <cell r="E325" t="str">
            <v>赤青DL6</v>
          </cell>
          <cell r="F325">
            <v>2</v>
          </cell>
          <cell r="G325" t="str">
            <v>ja</v>
          </cell>
          <cell r="H325" t="str">
            <v>30--2</v>
          </cell>
          <cell r="I325" t="str">
            <v>30--2</v>
          </cell>
          <cell r="J325" t="str">
            <v>NULL</v>
          </cell>
          <cell r="K325">
            <v>14</v>
          </cell>
          <cell r="L325">
            <v>14760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27</v>
          </cell>
          <cell r="AD325">
            <v>6</v>
          </cell>
          <cell r="AE325" t="str">
            <v>everyone</v>
          </cell>
        </row>
        <row r="326">
          <cell r="A326" t="str">
            <v>15030_3</v>
          </cell>
          <cell r="B326">
            <v>1</v>
          </cell>
          <cell r="C326">
            <v>15030</v>
          </cell>
          <cell r="D326">
            <v>30</v>
          </cell>
          <cell r="E326" t="str">
            <v>赤青DL6</v>
          </cell>
          <cell r="F326">
            <v>3</v>
          </cell>
          <cell r="G326" t="str">
            <v>ja</v>
          </cell>
          <cell r="H326" t="str">
            <v>30--3</v>
          </cell>
          <cell r="I326" t="str">
            <v>30--3</v>
          </cell>
          <cell r="J326" t="str">
            <v>NULL</v>
          </cell>
          <cell r="K326">
            <v>15</v>
          </cell>
          <cell r="L326">
            <v>14880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27</v>
          </cell>
          <cell r="AD326">
            <v>6</v>
          </cell>
          <cell r="AE326" t="str">
            <v>everyone</v>
          </cell>
        </row>
        <row r="327">
          <cell r="A327" t="str">
            <v>15030_4</v>
          </cell>
          <cell r="B327">
            <v>1</v>
          </cell>
          <cell r="C327">
            <v>15030</v>
          </cell>
          <cell r="D327">
            <v>30</v>
          </cell>
          <cell r="E327" t="str">
            <v>赤青DL6</v>
          </cell>
          <cell r="F327">
            <v>4</v>
          </cell>
          <cell r="G327" t="str">
            <v>ja</v>
          </cell>
          <cell r="H327" t="str">
            <v>30--4</v>
          </cell>
          <cell r="I327" t="str">
            <v>30--4</v>
          </cell>
          <cell r="J327">
            <v>125</v>
          </cell>
          <cell r="K327">
            <v>1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once</v>
          </cell>
          <cell r="AC327">
            <v>27</v>
          </cell>
          <cell r="AD327">
            <v>6</v>
          </cell>
          <cell r="AE327" t="str">
            <v>singleonly</v>
          </cell>
        </row>
        <row r="328">
          <cell r="A328" t="str">
            <v>15031_1</v>
          </cell>
          <cell r="B328">
            <v>1</v>
          </cell>
          <cell r="C328">
            <v>15031</v>
          </cell>
          <cell r="D328">
            <v>31</v>
          </cell>
          <cell r="E328" t="str">
            <v>混色DL6</v>
          </cell>
          <cell r="F328">
            <v>1</v>
          </cell>
          <cell r="G328" t="str">
            <v>ja</v>
          </cell>
          <cell r="H328" t="str">
            <v>31--1</v>
          </cell>
          <cell r="I328" t="str">
            <v>31--1</v>
          </cell>
          <cell r="J328" t="str">
            <v>NULL</v>
          </cell>
          <cell r="K328">
            <v>14</v>
          </cell>
          <cell r="L328">
            <v>14640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15031_2</v>
          </cell>
          <cell r="B329">
            <v>1</v>
          </cell>
          <cell r="C329">
            <v>15031</v>
          </cell>
          <cell r="D329">
            <v>31</v>
          </cell>
          <cell r="E329" t="str">
            <v>混色DL6</v>
          </cell>
          <cell r="F329">
            <v>2</v>
          </cell>
          <cell r="G329" t="str">
            <v>ja</v>
          </cell>
          <cell r="H329" t="str">
            <v>31--2</v>
          </cell>
          <cell r="I329" t="str">
            <v>31--2</v>
          </cell>
          <cell r="J329" t="str">
            <v>NULL</v>
          </cell>
          <cell r="K329">
            <v>14</v>
          </cell>
          <cell r="L329">
            <v>14760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15031_3</v>
          </cell>
          <cell r="B330">
            <v>1</v>
          </cell>
          <cell r="C330">
            <v>15031</v>
          </cell>
          <cell r="D330">
            <v>31</v>
          </cell>
          <cell r="E330" t="str">
            <v>混色DL6</v>
          </cell>
          <cell r="F330">
            <v>3</v>
          </cell>
          <cell r="G330" t="str">
            <v>ja</v>
          </cell>
          <cell r="H330" t="str">
            <v>31--3</v>
          </cell>
          <cell r="I330" t="str">
            <v>31--3</v>
          </cell>
          <cell r="J330" t="str">
            <v>NULL</v>
          </cell>
          <cell r="K330">
            <v>15</v>
          </cell>
          <cell r="L330">
            <v>14880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15031_4</v>
          </cell>
          <cell r="B331">
            <v>1</v>
          </cell>
          <cell r="C331">
            <v>15031</v>
          </cell>
          <cell r="D331">
            <v>31</v>
          </cell>
          <cell r="E331" t="str">
            <v>混色DL6</v>
          </cell>
          <cell r="F331">
            <v>4</v>
          </cell>
          <cell r="G331" t="str">
            <v>ja</v>
          </cell>
          <cell r="H331" t="str">
            <v>31--4</v>
          </cell>
          <cell r="I331" t="str">
            <v>31--4</v>
          </cell>
          <cell r="J331">
            <v>125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20001_1</v>
          </cell>
          <cell r="B332">
            <v>3</v>
          </cell>
          <cell r="C332">
            <v>20001</v>
          </cell>
          <cell r="D332" t="str">
            <v>紅き執行者</v>
          </cell>
          <cell r="E332" t="str">
            <v>ドロップイベント1-1</v>
          </cell>
          <cell r="F332">
            <v>1</v>
          </cell>
          <cell r="G332" t="str">
            <v>ja</v>
          </cell>
          <cell r="H332" t="str">
            <v xml:space="preserve">【初級】紅き執行者 </v>
          </cell>
          <cell r="I332" t="str">
            <v>初級</v>
          </cell>
          <cell r="J332">
            <v>262</v>
          </cell>
          <cell r="K332">
            <v>8</v>
          </cell>
          <cell r="L332">
            <v>384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14</v>
          </cell>
          <cell r="AD332">
            <v>6</v>
          </cell>
          <cell r="AE332" t="str">
            <v>everyone</v>
          </cell>
        </row>
        <row r="333">
          <cell r="A333" t="str">
            <v>20001_2</v>
          </cell>
          <cell r="B333">
            <v>3</v>
          </cell>
          <cell r="C333">
            <v>20001</v>
          </cell>
          <cell r="D333" t="str">
            <v>紅き執行者</v>
          </cell>
          <cell r="E333" t="str">
            <v>ドロップイベント1-1</v>
          </cell>
          <cell r="F333">
            <v>2</v>
          </cell>
          <cell r="G333" t="str">
            <v>ja</v>
          </cell>
          <cell r="H333" t="str">
            <v>【中級】紅き執行者</v>
          </cell>
          <cell r="I333" t="str">
            <v>中級</v>
          </cell>
          <cell r="J333">
            <v>262</v>
          </cell>
          <cell r="K333">
            <v>15</v>
          </cell>
          <cell r="L333">
            <v>1200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14</v>
          </cell>
          <cell r="AD333">
            <v>6</v>
          </cell>
          <cell r="AE333" t="str">
            <v>everyone</v>
          </cell>
        </row>
        <row r="334">
          <cell r="A334" t="str">
            <v>20001_3</v>
          </cell>
          <cell r="B334">
            <v>3</v>
          </cell>
          <cell r="C334">
            <v>20001</v>
          </cell>
          <cell r="D334" t="str">
            <v>紅き執行者</v>
          </cell>
          <cell r="E334" t="str">
            <v>ドロップイベント1-1</v>
          </cell>
          <cell r="F334">
            <v>3</v>
          </cell>
          <cell r="G334" t="str">
            <v>ja</v>
          </cell>
          <cell r="H334" t="str">
            <v xml:space="preserve">【上級】紅き執行者 </v>
          </cell>
          <cell r="I334" t="str">
            <v>上級</v>
          </cell>
          <cell r="J334">
            <v>263</v>
          </cell>
          <cell r="K334">
            <v>20</v>
          </cell>
          <cell r="L334">
            <v>2000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14</v>
          </cell>
          <cell r="AD334">
            <v>6</v>
          </cell>
          <cell r="AE334" t="str">
            <v>everyone</v>
          </cell>
        </row>
        <row r="335">
          <cell r="A335" t="str">
            <v>20002_1</v>
          </cell>
          <cell r="B335">
            <v>3</v>
          </cell>
          <cell r="C335">
            <v>20002</v>
          </cell>
          <cell r="D335" t="str">
            <v>孤高の一角獣</v>
          </cell>
          <cell r="E335" t="str">
            <v>ドロップイベント1-2</v>
          </cell>
          <cell r="F335">
            <v>1</v>
          </cell>
          <cell r="G335" t="str">
            <v>ja</v>
          </cell>
          <cell r="H335" t="str">
            <v>【初級】孤高の一角獣(ハートなし)</v>
          </cell>
          <cell r="I335" t="str">
            <v>初級</v>
          </cell>
          <cell r="J335">
            <v>264</v>
          </cell>
          <cell r="K335">
            <v>8</v>
          </cell>
          <cell r="L335">
            <v>384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20002_2</v>
          </cell>
          <cell r="B336">
            <v>3</v>
          </cell>
          <cell r="C336">
            <v>20002</v>
          </cell>
          <cell r="D336" t="str">
            <v>孤高の一角獣</v>
          </cell>
          <cell r="E336" t="str">
            <v>ドロップイベント1-2</v>
          </cell>
          <cell r="F336">
            <v>2</v>
          </cell>
          <cell r="G336" t="str">
            <v>ja</v>
          </cell>
          <cell r="H336" t="str">
            <v>【中級】孤高の一角獣(ハートなし)</v>
          </cell>
          <cell r="I336" t="str">
            <v>中級</v>
          </cell>
          <cell r="J336">
            <v>264</v>
          </cell>
          <cell r="K336">
            <v>15</v>
          </cell>
          <cell r="L336">
            <v>1200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20002_3</v>
          </cell>
          <cell r="B337">
            <v>3</v>
          </cell>
          <cell r="C337">
            <v>20002</v>
          </cell>
          <cell r="D337" t="str">
            <v>孤高の一角獣</v>
          </cell>
          <cell r="E337" t="str">
            <v>ドロップイベント1-2</v>
          </cell>
          <cell r="F337">
            <v>3</v>
          </cell>
          <cell r="G337" t="str">
            <v>ja</v>
          </cell>
          <cell r="H337" t="str">
            <v>【上級】孤高の一角獣(ハートなし)</v>
          </cell>
          <cell r="I337" t="str">
            <v>上級</v>
          </cell>
          <cell r="J337">
            <v>265</v>
          </cell>
          <cell r="K337">
            <v>20</v>
          </cell>
          <cell r="L337">
            <v>2000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19</v>
          </cell>
          <cell r="AD337">
            <v>6</v>
          </cell>
          <cell r="AE337" t="str">
            <v>everyone</v>
          </cell>
        </row>
        <row r="338">
          <cell r="A338" t="str">
            <v>20003_1</v>
          </cell>
          <cell r="B338">
            <v>3</v>
          </cell>
          <cell r="C338">
            <v>20003</v>
          </cell>
          <cell r="D338" t="str">
            <v>忍び寄る短剣</v>
          </cell>
          <cell r="E338" t="str">
            <v>ドロップイベント1-3</v>
          </cell>
          <cell r="F338">
            <v>1</v>
          </cell>
          <cell r="G338" t="str">
            <v>ja</v>
          </cell>
          <cell r="H338" t="str">
            <v xml:space="preserve">【初級】忍び寄る短剣 </v>
          </cell>
          <cell r="I338" t="str">
            <v>初級</v>
          </cell>
          <cell r="J338">
            <v>266</v>
          </cell>
          <cell r="K338">
            <v>8</v>
          </cell>
          <cell r="L338">
            <v>384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11</v>
          </cell>
          <cell r="AD338">
            <v>6</v>
          </cell>
          <cell r="AE338" t="str">
            <v>everyone</v>
          </cell>
        </row>
        <row r="339">
          <cell r="A339" t="str">
            <v>20003_2</v>
          </cell>
          <cell r="B339">
            <v>3</v>
          </cell>
          <cell r="C339">
            <v>20003</v>
          </cell>
          <cell r="D339" t="str">
            <v>忍び寄る短剣</v>
          </cell>
          <cell r="E339" t="str">
            <v>ドロップイベント1-3</v>
          </cell>
          <cell r="F339">
            <v>2</v>
          </cell>
          <cell r="G339" t="str">
            <v>ja</v>
          </cell>
          <cell r="H339" t="str">
            <v xml:space="preserve">【中級】忍び寄る短剣 </v>
          </cell>
          <cell r="I339" t="str">
            <v>中級</v>
          </cell>
          <cell r="J339">
            <v>266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11</v>
          </cell>
          <cell r="AD339">
            <v>6</v>
          </cell>
          <cell r="AE339" t="str">
            <v>everyone</v>
          </cell>
        </row>
        <row r="340">
          <cell r="A340" t="str">
            <v>20003_3</v>
          </cell>
          <cell r="B340">
            <v>3</v>
          </cell>
          <cell r="C340">
            <v>20003</v>
          </cell>
          <cell r="D340" t="str">
            <v>忍び寄る短剣</v>
          </cell>
          <cell r="E340" t="str">
            <v>ドロップイベント1-3</v>
          </cell>
          <cell r="F340">
            <v>3</v>
          </cell>
          <cell r="G340" t="str">
            <v>ja</v>
          </cell>
          <cell r="H340" t="str">
            <v xml:space="preserve">【上級】忍び寄る短剣 </v>
          </cell>
          <cell r="I340" t="str">
            <v>上級</v>
          </cell>
          <cell r="J340">
            <v>267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11</v>
          </cell>
          <cell r="AD340">
            <v>6</v>
          </cell>
          <cell r="AE340" t="str">
            <v>everyone</v>
          </cell>
        </row>
        <row r="341">
          <cell r="A341" t="str">
            <v>20004_1</v>
          </cell>
          <cell r="B341">
            <v>3</v>
          </cell>
          <cell r="C341">
            <v>20004</v>
          </cell>
          <cell r="D341" t="str">
            <v>雷雲からの刺客</v>
          </cell>
          <cell r="E341" t="str">
            <v>ドロップイベント1-4</v>
          </cell>
          <cell r="F341">
            <v>1</v>
          </cell>
          <cell r="G341" t="str">
            <v>ja</v>
          </cell>
          <cell r="H341" t="str">
            <v>【初級】雷雲からの刺客(ハートなし)</v>
          </cell>
          <cell r="I341" t="str">
            <v>初級</v>
          </cell>
          <cell r="J341">
            <v>268</v>
          </cell>
          <cell r="K341">
            <v>8</v>
          </cell>
          <cell r="L341">
            <v>384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4</v>
          </cell>
          <cell r="AD341">
            <v>6</v>
          </cell>
          <cell r="AE341" t="str">
            <v>everyone</v>
          </cell>
        </row>
        <row r="342">
          <cell r="A342" t="str">
            <v>20004_2</v>
          </cell>
          <cell r="B342">
            <v>3</v>
          </cell>
          <cell r="C342">
            <v>20004</v>
          </cell>
          <cell r="D342" t="str">
            <v>雷雲からの刺客</v>
          </cell>
          <cell r="E342" t="str">
            <v>ドロップイベント1-4</v>
          </cell>
          <cell r="F342">
            <v>2</v>
          </cell>
          <cell r="G342" t="str">
            <v>ja</v>
          </cell>
          <cell r="H342" t="str">
            <v>【中級】雷雲からの刺客(ハートなし)</v>
          </cell>
          <cell r="I342" t="str">
            <v>中級</v>
          </cell>
          <cell r="J342">
            <v>268</v>
          </cell>
          <cell r="K342">
            <v>15</v>
          </cell>
          <cell r="L342">
            <v>1200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4</v>
          </cell>
          <cell r="AD342">
            <v>6</v>
          </cell>
          <cell r="AE342" t="str">
            <v>everyone</v>
          </cell>
        </row>
        <row r="343">
          <cell r="A343" t="str">
            <v>20004_3</v>
          </cell>
          <cell r="B343">
            <v>3</v>
          </cell>
          <cell r="C343">
            <v>20004</v>
          </cell>
          <cell r="D343" t="str">
            <v>雷雲からの刺客</v>
          </cell>
          <cell r="E343" t="str">
            <v>ドロップイベント1-4</v>
          </cell>
          <cell r="F343">
            <v>3</v>
          </cell>
          <cell r="G343" t="str">
            <v>ja</v>
          </cell>
          <cell r="H343" t="str">
            <v>【上級】雷雲からの刺客(ハートなし)</v>
          </cell>
          <cell r="I343" t="str">
            <v>上級</v>
          </cell>
          <cell r="J343">
            <v>269</v>
          </cell>
          <cell r="K343">
            <v>20</v>
          </cell>
          <cell r="L343">
            <v>2000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4</v>
          </cell>
          <cell r="AD343">
            <v>6</v>
          </cell>
          <cell r="AE343" t="str">
            <v>everyone</v>
          </cell>
        </row>
        <row r="344">
          <cell r="A344" t="str">
            <v>20005_1</v>
          </cell>
          <cell r="B344">
            <v>3</v>
          </cell>
          <cell r="C344">
            <v>20005</v>
          </cell>
          <cell r="D344" t="str">
            <v>ザ・キャノン</v>
          </cell>
          <cell r="E344" t="str">
            <v>ドロップイベント2-2</v>
          </cell>
          <cell r="F344">
            <v>1</v>
          </cell>
          <cell r="G344" t="str">
            <v>ja</v>
          </cell>
          <cell r="H344" t="str">
            <v>【初級】ザ・キャノン(4タップ）</v>
          </cell>
          <cell r="I344" t="str">
            <v>初級</v>
          </cell>
          <cell r="J344">
            <v>286</v>
          </cell>
          <cell r="K344">
            <v>8</v>
          </cell>
          <cell r="L344">
            <v>384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4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14</v>
          </cell>
          <cell r="AD344">
            <v>6</v>
          </cell>
          <cell r="AE344" t="str">
            <v>everyone</v>
          </cell>
        </row>
        <row r="345">
          <cell r="A345" t="str">
            <v>20005_2</v>
          </cell>
          <cell r="B345">
            <v>3</v>
          </cell>
          <cell r="C345">
            <v>20005</v>
          </cell>
          <cell r="D345" t="str">
            <v>ザ・キャノン</v>
          </cell>
          <cell r="E345" t="str">
            <v>ドロップイベント2-2</v>
          </cell>
          <cell r="F345">
            <v>2</v>
          </cell>
          <cell r="G345" t="str">
            <v>ja</v>
          </cell>
          <cell r="H345" t="str">
            <v>【中級】ザ・キャノン(4タップ)</v>
          </cell>
          <cell r="I345" t="str">
            <v>中級</v>
          </cell>
          <cell r="J345">
            <v>286</v>
          </cell>
          <cell r="K345">
            <v>15</v>
          </cell>
          <cell r="L345">
            <v>1200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4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14</v>
          </cell>
          <cell r="AD345">
            <v>6</v>
          </cell>
          <cell r="AE345" t="str">
            <v>everyone</v>
          </cell>
        </row>
        <row r="346">
          <cell r="A346" t="str">
            <v>20005_3</v>
          </cell>
          <cell r="B346">
            <v>3</v>
          </cell>
          <cell r="C346">
            <v>20005</v>
          </cell>
          <cell r="D346" t="str">
            <v>ザ・キャノン</v>
          </cell>
          <cell r="E346" t="str">
            <v>ドロップイベント2-2</v>
          </cell>
          <cell r="F346">
            <v>3</v>
          </cell>
          <cell r="G346" t="str">
            <v>ja</v>
          </cell>
          <cell r="H346" t="str">
            <v>【上級】ザ・キャノン(4タップ)</v>
          </cell>
          <cell r="I346" t="str">
            <v>上級</v>
          </cell>
          <cell r="J346">
            <v>287</v>
          </cell>
          <cell r="K346">
            <v>20</v>
          </cell>
          <cell r="L346">
            <v>2000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4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20006_1</v>
          </cell>
          <cell r="B347">
            <v>3</v>
          </cell>
          <cell r="C347">
            <v>20006</v>
          </cell>
          <cell r="D347" t="str">
            <v>スチール・プレデター</v>
          </cell>
          <cell r="E347" t="str">
            <v>ドロップイベント2-3</v>
          </cell>
          <cell r="F347">
            <v>1</v>
          </cell>
          <cell r="G347" t="str">
            <v>ja</v>
          </cell>
          <cell r="H347" t="str">
            <v>【初級】スチール・プレデター</v>
          </cell>
          <cell r="I347" t="str">
            <v>初級</v>
          </cell>
          <cell r="J347">
            <v>280</v>
          </cell>
          <cell r="K347">
            <v>8</v>
          </cell>
          <cell r="L347">
            <v>384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2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19</v>
          </cell>
          <cell r="AD347">
            <v>6</v>
          </cell>
          <cell r="AE347" t="str">
            <v>everyone</v>
          </cell>
        </row>
        <row r="348">
          <cell r="A348" t="str">
            <v>20006_2</v>
          </cell>
          <cell r="B348">
            <v>3</v>
          </cell>
          <cell r="C348">
            <v>20006</v>
          </cell>
          <cell r="D348" t="str">
            <v>スチール・プレデター</v>
          </cell>
          <cell r="E348" t="str">
            <v>ドロップイベント2-3</v>
          </cell>
          <cell r="F348">
            <v>2</v>
          </cell>
          <cell r="G348" t="str">
            <v>ja</v>
          </cell>
          <cell r="H348" t="str">
            <v>【中級】スチール・プレデター</v>
          </cell>
          <cell r="I348" t="str">
            <v>中級</v>
          </cell>
          <cell r="J348">
            <v>280</v>
          </cell>
          <cell r="K348">
            <v>15</v>
          </cell>
          <cell r="L348">
            <v>1200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2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19</v>
          </cell>
          <cell r="AD348">
            <v>6</v>
          </cell>
          <cell r="AE348" t="str">
            <v>everyone</v>
          </cell>
        </row>
        <row r="349">
          <cell r="A349" t="str">
            <v>20006_3</v>
          </cell>
          <cell r="B349">
            <v>3</v>
          </cell>
          <cell r="C349">
            <v>20006</v>
          </cell>
          <cell r="D349" t="str">
            <v>スチール・プレデター</v>
          </cell>
          <cell r="E349" t="str">
            <v>ドロップイベント2-3</v>
          </cell>
          <cell r="F349">
            <v>3</v>
          </cell>
          <cell r="G349" t="str">
            <v>ja</v>
          </cell>
          <cell r="H349" t="str">
            <v>【上級】スチール・プレデター</v>
          </cell>
          <cell r="I349" t="str">
            <v>上級</v>
          </cell>
          <cell r="J349">
            <v>281</v>
          </cell>
          <cell r="K349">
            <v>20</v>
          </cell>
          <cell r="L349">
            <v>2000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2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19</v>
          </cell>
          <cell r="AD349">
            <v>6</v>
          </cell>
          <cell r="AE349" t="str">
            <v>everyone</v>
          </cell>
        </row>
        <row r="350">
          <cell r="A350" t="str">
            <v>20007_1</v>
          </cell>
          <cell r="B350">
            <v>3</v>
          </cell>
          <cell r="C350">
            <v>20007</v>
          </cell>
          <cell r="D350" t="str">
            <v>女王陛下の処刑龍</v>
          </cell>
          <cell r="E350" t="str">
            <v>ドロップイベント2-1</v>
          </cell>
          <cell r="F350">
            <v>1</v>
          </cell>
          <cell r="G350" t="str">
            <v>ja</v>
          </cell>
          <cell r="H350" t="str">
            <v>【初級】女王陛下の処刑龍(4タップ)</v>
          </cell>
          <cell r="I350" t="str">
            <v>初級</v>
          </cell>
          <cell r="J350">
            <v>282</v>
          </cell>
          <cell r="K350">
            <v>8</v>
          </cell>
          <cell r="L350">
            <v>384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4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20007_2</v>
          </cell>
          <cell r="B351">
            <v>3</v>
          </cell>
          <cell r="C351">
            <v>20007</v>
          </cell>
          <cell r="D351" t="str">
            <v>女王陛下の処刑龍</v>
          </cell>
          <cell r="E351" t="str">
            <v>ドロップイベント2-1</v>
          </cell>
          <cell r="F351">
            <v>2</v>
          </cell>
          <cell r="G351" t="str">
            <v>ja</v>
          </cell>
          <cell r="H351" t="str">
            <v>【中級】女王陛下の処刑龍(4タップ)</v>
          </cell>
          <cell r="I351" t="str">
            <v>中級</v>
          </cell>
          <cell r="J351">
            <v>282</v>
          </cell>
          <cell r="K351">
            <v>15</v>
          </cell>
          <cell r="L351">
            <v>1200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4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20007_3</v>
          </cell>
          <cell r="B352">
            <v>3</v>
          </cell>
          <cell r="C352">
            <v>20007</v>
          </cell>
          <cell r="D352" t="str">
            <v>女王陛下の処刑龍</v>
          </cell>
          <cell r="E352" t="str">
            <v>ドロップイベント2-1</v>
          </cell>
          <cell r="F352">
            <v>3</v>
          </cell>
          <cell r="G352" t="str">
            <v>ja</v>
          </cell>
          <cell r="H352" t="str">
            <v>【上級】女王陛下の処刑龍(4タップ)</v>
          </cell>
          <cell r="I352" t="str">
            <v>上級</v>
          </cell>
          <cell r="J352">
            <v>283</v>
          </cell>
          <cell r="K352">
            <v>20</v>
          </cell>
          <cell r="L352">
            <v>2000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4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17</v>
          </cell>
          <cell r="AD352">
            <v>6</v>
          </cell>
          <cell r="AE352" t="str">
            <v>everyone</v>
          </cell>
        </row>
        <row r="353">
          <cell r="A353" t="str">
            <v>20008_1</v>
          </cell>
          <cell r="B353">
            <v>3</v>
          </cell>
          <cell r="C353">
            <v>20008</v>
          </cell>
          <cell r="D353" t="str">
            <v>天翔ける金轟機龍</v>
          </cell>
          <cell r="E353" t="str">
            <v>ドロップイベント2-4</v>
          </cell>
          <cell r="F353">
            <v>1</v>
          </cell>
          <cell r="G353" t="str">
            <v>ja</v>
          </cell>
          <cell r="H353" t="str">
            <v>【初級】天翔ける金轟機龍</v>
          </cell>
          <cell r="I353" t="str">
            <v>初級</v>
          </cell>
          <cell r="J353">
            <v>284</v>
          </cell>
          <cell r="K353">
            <v>8</v>
          </cell>
          <cell r="L353">
            <v>384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20008_2</v>
          </cell>
          <cell r="B354">
            <v>3</v>
          </cell>
          <cell r="C354">
            <v>20008</v>
          </cell>
          <cell r="D354" t="str">
            <v>天翔ける金轟機龍</v>
          </cell>
          <cell r="E354" t="str">
            <v>ドロップイベント2-4</v>
          </cell>
          <cell r="F354">
            <v>2</v>
          </cell>
          <cell r="G354" t="str">
            <v>ja</v>
          </cell>
          <cell r="H354" t="str">
            <v>【中級】天翔ける金轟機龍</v>
          </cell>
          <cell r="I354" t="str">
            <v>中級</v>
          </cell>
          <cell r="J354">
            <v>284</v>
          </cell>
          <cell r="K354">
            <v>15</v>
          </cell>
          <cell r="L354">
            <v>1200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20008_3</v>
          </cell>
          <cell r="B355">
            <v>3</v>
          </cell>
          <cell r="C355">
            <v>20008</v>
          </cell>
          <cell r="D355" t="str">
            <v>天翔ける金轟機龍</v>
          </cell>
          <cell r="E355" t="str">
            <v>ドロップイベント2-4</v>
          </cell>
          <cell r="F355">
            <v>3</v>
          </cell>
          <cell r="G355" t="str">
            <v>ja</v>
          </cell>
          <cell r="H355" t="str">
            <v>【上級】天翔ける金轟機龍</v>
          </cell>
          <cell r="I355" t="str">
            <v>上級</v>
          </cell>
          <cell r="J355">
            <v>285</v>
          </cell>
          <cell r="K355">
            <v>20</v>
          </cell>
          <cell r="L355">
            <v>2000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20009_1</v>
          </cell>
          <cell r="B356">
            <v>0</v>
          </cell>
          <cell r="C356">
            <v>20009</v>
          </cell>
          <cell r="D356" t="str">
            <v>迫り来る窒息</v>
          </cell>
          <cell r="E356" t="str">
            <v>ドロップイベント3</v>
          </cell>
          <cell r="F356">
            <v>1</v>
          </cell>
          <cell r="G356" t="str">
            <v>ja</v>
          </cell>
          <cell r="H356" t="str">
            <v>【初級】迫り来る窒息</v>
          </cell>
          <cell r="I356" t="str">
            <v>初級</v>
          </cell>
          <cell r="J356" t="str">
            <v>NULL</v>
          </cell>
          <cell r="K356">
            <v>8</v>
          </cell>
          <cell r="L356">
            <v>384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25</v>
          </cell>
          <cell r="AD356">
            <v>5</v>
          </cell>
          <cell r="AE356" t="str">
            <v>everyone</v>
          </cell>
        </row>
        <row r="357">
          <cell r="A357" t="str">
            <v>20009_2</v>
          </cell>
          <cell r="B357">
            <v>3</v>
          </cell>
          <cell r="C357">
            <v>20009</v>
          </cell>
          <cell r="D357" t="str">
            <v>迫り来る窒息</v>
          </cell>
          <cell r="E357" t="str">
            <v>ドロップイベント3</v>
          </cell>
          <cell r="F357">
            <v>2</v>
          </cell>
          <cell r="G357" t="str">
            <v>ja</v>
          </cell>
          <cell r="H357" t="str">
            <v>【中級】迫り来る窒息</v>
          </cell>
          <cell r="I357" t="str">
            <v>中級</v>
          </cell>
          <cell r="J357">
            <v>302</v>
          </cell>
          <cell r="K357">
            <v>15</v>
          </cell>
          <cell r="L357">
            <v>1200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25</v>
          </cell>
          <cell r="AD357">
            <v>5</v>
          </cell>
          <cell r="AE357" t="str">
            <v>everyone</v>
          </cell>
        </row>
        <row r="358">
          <cell r="A358" t="str">
            <v>20009_3</v>
          </cell>
          <cell r="B358">
            <v>3</v>
          </cell>
          <cell r="C358">
            <v>20009</v>
          </cell>
          <cell r="D358" t="str">
            <v>迫り来る窒息</v>
          </cell>
          <cell r="E358" t="str">
            <v>ドロップイベント3</v>
          </cell>
          <cell r="F358">
            <v>3</v>
          </cell>
          <cell r="G358" t="str">
            <v>ja</v>
          </cell>
          <cell r="H358" t="str">
            <v>【上級】迫り来る窒息</v>
          </cell>
          <cell r="I358" t="str">
            <v>上級</v>
          </cell>
          <cell r="J358">
            <v>303</v>
          </cell>
          <cell r="K358">
            <v>20</v>
          </cell>
          <cell r="L358">
            <v>2000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25</v>
          </cell>
          <cell r="AD358">
            <v>5</v>
          </cell>
          <cell r="AE358" t="str">
            <v>everyone</v>
          </cell>
        </row>
        <row r="359">
          <cell r="A359" t="str">
            <v>20010_1</v>
          </cell>
          <cell r="B359">
            <v>3</v>
          </cell>
          <cell r="C359">
            <v>20010</v>
          </cell>
          <cell r="D359" t="str">
            <v>悪夢の一目惚れ</v>
          </cell>
          <cell r="E359" t="str">
            <v>ドロップイベント3</v>
          </cell>
          <cell r="F359">
            <v>1</v>
          </cell>
          <cell r="G359" t="str">
            <v>ja</v>
          </cell>
          <cell r="H359" t="str">
            <v>【初級】悪夢の一目惚れ</v>
          </cell>
          <cell r="I359" t="str">
            <v>初級</v>
          </cell>
          <cell r="J359">
            <v>304</v>
          </cell>
          <cell r="K359">
            <v>8</v>
          </cell>
          <cell r="L359">
            <v>384</v>
          </cell>
          <cell r="M359">
            <v>1</v>
          </cell>
          <cell r="N359">
            <v>1</v>
          </cell>
          <cell r="O359">
            <v>0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2601</v>
          </cell>
          <cell r="AD359">
            <v>6</v>
          </cell>
          <cell r="AE359" t="str">
            <v>everyone</v>
          </cell>
        </row>
        <row r="360">
          <cell r="A360" t="str">
            <v>20010_2</v>
          </cell>
          <cell r="B360">
            <v>3</v>
          </cell>
          <cell r="C360">
            <v>20010</v>
          </cell>
          <cell r="D360" t="str">
            <v>悪夢の一目惚れ</v>
          </cell>
          <cell r="E360" t="str">
            <v>ドロップイベント3</v>
          </cell>
          <cell r="F360">
            <v>2</v>
          </cell>
          <cell r="G360" t="str">
            <v>ja</v>
          </cell>
          <cell r="H360" t="str">
            <v>【中級】悪夢の一目惚れ</v>
          </cell>
          <cell r="I360" t="str">
            <v>中級</v>
          </cell>
          <cell r="J360">
            <v>304</v>
          </cell>
          <cell r="K360">
            <v>15</v>
          </cell>
          <cell r="L360">
            <v>1200</v>
          </cell>
          <cell r="M360">
            <v>1</v>
          </cell>
          <cell r="N360">
            <v>1</v>
          </cell>
          <cell r="O360">
            <v>0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2601</v>
          </cell>
          <cell r="AD360">
            <v>6</v>
          </cell>
          <cell r="AE360" t="str">
            <v>everyone</v>
          </cell>
        </row>
        <row r="361">
          <cell r="A361" t="str">
            <v>20010_3</v>
          </cell>
          <cell r="B361">
            <v>3</v>
          </cell>
          <cell r="C361">
            <v>20010</v>
          </cell>
          <cell r="D361" t="str">
            <v>悪夢の一目惚れ</v>
          </cell>
          <cell r="E361" t="str">
            <v>ドロップイベント3</v>
          </cell>
          <cell r="F361">
            <v>3</v>
          </cell>
          <cell r="G361" t="str">
            <v>ja</v>
          </cell>
          <cell r="H361" t="str">
            <v>【上級】悪夢の一目惚れ</v>
          </cell>
          <cell r="I361" t="str">
            <v>上級</v>
          </cell>
          <cell r="J361">
            <v>305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0</v>
          </cell>
          <cell r="P361">
            <v>1</v>
          </cell>
          <cell r="Q361">
            <v>1</v>
          </cell>
          <cell r="R361">
            <v>3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2601</v>
          </cell>
          <cell r="AD361">
            <v>6</v>
          </cell>
          <cell r="AE361" t="str">
            <v>everyone</v>
          </cell>
        </row>
        <row r="362">
          <cell r="A362" t="str">
            <v>20011_1</v>
          </cell>
          <cell r="B362">
            <v>3</v>
          </cell>
          <cell r="C362">
            <v>20011</v>
          </cell>
          <cell r="D362" t="str">
            <v>すべてが灰になる</v>
          </cell>
          <cell r="E362" t="str">
            <v>ドロップイベント3</v>
          </cell>
          <cell r="F362">
            <v>1</v>
          </cell>
          <cell r="G362" t="str">
            <v>ja</v>
          </cell>
          <cell r="H362" t="str">
            <v>【初級】すべてが灰になる</v>
          </cell>
          <cell r="I362" t="str">
            <v>初級</v>
          </cell>
          <cell r="J362">
            <v>298</v>
          </cell>
          <cell r="K362">
            <v>8</v>
          </cell>
          <cell r="L362">
            <v>384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10</v>
          </cell>
          <cell r="AD362">
            <v>5</v>
          </cell>
          <cell r="AE362" t="str">
            <v>everyone</v>
          </cell>
        </row>
        <row r="363">
          <cell r="A363" t="str">
            <v>20011_2</v>
          </cell>
          <cell r="B363">
            <v>3</v>
          </cell>
          <cell r="C363">
            <v>20011</v>
          </cell>
          <cell r="D363" t="str">
            <v>すべてが灰になる</v>
          </cell>
          <cell r="E363" t="str">
            <v>ドロップイベント3</v>
          </cell>
          <cell r="F363">
            <v>2</v>
          </cell>
          <cell r="G363" t="str">
            <v>ja</v>
          </cell>
          <cell r="H363" t="str">
            <v>【中級】すべてが灰になる</v>
          </cell>
          <cell r="I363" t="str">
            <v>中級</v>
          </cell>
          <cell r="J363">
            <v>298</v>
          </cell>
          <cell r="K363">
            <v>15</v>
          </cell>
          <cell r="L363">
            <v>1200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10</v>
          </cell>
          <cell r="AD363">
            <v>5</v>
          </cell>
          <cell r="AE363" t="str">
            <v>everyone</v>
          </cell>
        </row>
        <row r="364">
          <cell r="A364" t="str">
            <v>20011_3</v>
          </cell>
          <cell r="B364">
            <v>3</v>
          </cell>
          <cell r="C364">
            <v>20011</v>
          </cell>
          <cell r="D364" t="str">
            <v>すべてが灰になる</v>
          </cell>
          <cell r="E364" t="str">
            <v>ドロップイベント3</v>
          </cell>
          <cell r="F364">
            <v>3</v>
          </cell>
          <cell r="G364" t="str">
            <v>ja</v>
          </cell>
          <cell r="H364" t="str">
            <v>【上級】すべてが灰になる</v>
          </cell>
          <cell r="I364" t="str">
            <v>上級</v>
          </cell>
          <cell r="J364">
            <v>299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10</v>
          </cell>
          <cell r="AD364">
            <v>5</v>
          </cell>
          <cell r="AE364" t="str">
            <v>everyone</v>
          </cell>
        </row>
        <row r="365">
          <cell r="A365" t="str">
            <v>20012_1</v>
          </cell>
          <cell r="B365">
            <v>3</v>
          </cell>
          <cell r="C365">
            <v>20012</v>
          </cell>
          <cell r="D365" t="str">
            <v>罪と劇薬</v>
          </cell>
          <cell r="E365" t="str">
            <v>ドロップイベント3</v>
          </cell>
          <cell r="F365">
            <v>1</v>
          </cell>
          <cell r="G365" t="str">
            <v>ja</v>
          </cell>
          <cell r="H365" t="str">
            <v>【初級】罪と劇薬</v>
          </cell>
          <cell r="I365" t="str">
            <v>初級</v>
          </cell>
          <cell r="J365">
            <v>300</v>
          </cell>
          <cell r="K365">
            <v>8</v>
          </cell>
          <cell r="L365">
            <v>384</v>
          </cell>
          <cell r="M365">
            <v>0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20012_2</v>
          </cell>
          <cell r="B366">
            <v>3</v>
          </cell>
          <cell r="C366">
            <v>20012</v>
          </cell>
          <cell r="D366" t="str">
            <v>罪と劇薬</v>
          </cell>
          <cell r="E366" t="str">
            <v>ドロップイベント3</v>
          </cell>
          <cell r="F366">
            <v>2</v>
          </cell>
          <cell r="G366" t="str">
            <v>ja</v>
          </cell>
          <cell r="H366" t="str">
            <v>【中級】罪と劇薬</v>
          </cell>
          <cell r="I366" t="str">
            <v>中級</v>
          </cell>
          <cell r="J366">
            <v>300</v>
          </cell>
          <cell r="K366">
            <v>15</v>
          </cell>
          <cell r="L366">
            <v>1200</v>
          </cell>
          <cell r="M366">
            <v>0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20012_3</v>
          </cell>
          <cell r="B367">
            <v>3</v>
          </cell>
          <cell r="C367">
            <v>20012</v>
          </cell>
          <cell r="D367" t="str">
            <v>罪と劇薬</v>
          </cell>
          <cell r="E367" t="str">
            <v>ドロップイベント3</v>
          </cell>
          <cell r="F367">
            <v>3</v>
          </cell>
          <cell r="G367" t="str">
            <v>ja</v>
          </cell>
          <cell r="H367" t="str">
            <v>【上級】罪と劇薬</v>
          </cell>
          <cell r="I367" t="str">
            <v>上級</v>
          </cell>
          <cell r="J367">
            <v>301</v>
          </cell>
          <cell r="K367">
            <v>20</v>
          </cell>
          <cell r="L367">
            <v>2000</v>
          </cell>
          <cell r="M367">
            <v>0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polygon</v>
          </cell>
          <cell r="T367">
            <v>1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30001_1</v>
          </cell>
          <cell r="B368">
            <v>3</v>
          </cell>
          <cell r="C368">
            <v>30001</v>
          </cell>
          <cell r="D368" t="str">
            <v>ハンター・オブ・ハンター</v>
          </cell>
          <cell r="E368" t="str">
            <v>ドロップイベント1-1（マルチ専用）</v>
          </cell>
          <cell r="F368">
            <v>1</v>
          </cell>
          <cell r="G368" t="str">
            <v>ja</v>
          </cell>
          <cell r="H368" t="str">
            <v xml:space="preserve">【中級】ハンター・オブ・ハンター </v>
          </cell>
          <cell r="I368" t="str">
            <v>中級</v>
          </cell>
          <cell r="J368">
            <v>270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7</v>
          </cell>
          <cell r="AD368">
            <v>6</v>
          </cell>
          <cell r="AE368" t="str">
            <v>everyone</v>
          </cell>
        </row>
        <row r="369">
          <cell r="A369" t="str">
            <v>30001_2</v>
          </cell>
          <cell r="B369">
            <v>3</v>
          </cell>
          <cell r="C369">
            <v>30001</v>
          </cell>
          <cell r="D369" t="str">
            <v>ハンター・オブ・ハンター</v>
          </cell>
          <cell r="E369" t="str">
            <v>ドロップイベント1-1（マルチ専用）</v>
          </cell>
          <cell r="F369">
            <v>2</v>
          </cell>
          <cell r="G369" t="str">
            <v>ja</v>
          </cell>
          <cell r="H369" t="str">
            <v xml:space="preserve">【上級】ハンター・オブ・ハンター </v>
          </cell>
          <cell r="I369" t="str">
            <v>上級</v>
          </cell>
          <cell r="J369">
            <v>270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7</v>
          </cell>
          <cell r="AD369">
            <v>6</v>
          </cell>
          <cell r="AE369" t="str">
            <v>everyone</v>
          </cell>
        </row>
        <row r="370">
          <cell r="A370" t="str">
            <v>30001_3</v>
          </cell>
          <cell r="B370">
            <v>3</v>
          </cell>
          <cell r="C370">
            <v>30001</v>
          </cell>
          <cell r="D370" t="str">
            <v>ハンター・オブ・ハンター</v>
          </cell>
          <cell r="E370" t="str">
            <v>ドロップイベント1-1（マルチ専用）</v>
          </cell>
          <cell r="F370">
            <v>3</v>
          </cell>
          <cell r="G370" t="str">
            <v>ja</v>
          </cell>
          <cell r="H370" t="str">
            <v xml:space="preserve">【超級】ハンター・オブ・ハンター </v>
          </cell>
          <cell r="I370" t="str">
            <v>超級</v>
          </cell>
          <cell r="J370">
            <v>271</v>
          </cell>
          <cell r="K370">
            <v>30</v>
          </cell>
          <cell r="L370">
            <v>3300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7</v>
          </cell>
          <cell r="AD370">
            <v>6</v>
          </cell>
          <cell r="AE370" t="str">
            <v>everyone</v>
          </cell>
        </row>
        <row r="371">
          <cell r="A371" t="str">
            <v>30002_1</v>
          </cell>
          <cell r="B371">
            <v>3</v>
          </cell>
          <cell r="C371">
            <v>30002</v>
          </cell>
          <cell r="D371" t="str">
            <v>トリックスター</v>
          </cell>
          <cell r="E371" t="str">
            <v>ドロップイベント1-2（マルチ専用）</v>
          </cell>
          <cell r="F371">
            <v>1</v>
          </cell>
          <cell r="G371" t="str">
            <v>ja</v>
          </cell>
          <cell r="H371" t="str">
            <v xml:space="preserve">【中級】トリックスター </v>
          </cell>
          <cell r="I371" t="str">
            <v>中級</v>
          </cell>
          <cell r="J371">
            <v>272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17</v>
          </cell>
          <cell r="AD371">
            <v>6</v>
          </cell>
          <cell r="AE371" t="str">
            <v>everyone</v>
          </cell>
        </row>
        <row r="372">
          <cell r="A372" t="str">
            <v>30002_2</v>
          </cell>
          <cell r="B372">
            <v>3</v>
          </cell>
          <cell r="C372">
            <v>30002</v>
          </cell>
          <cell r="D372" t="str">
            <v>トリックスター</v>
          </cell>
          <cell r="E372" t="str">
            <v>ドロップイベント1-2（マルチ専用）</v>
          </cell>
          <cell r="F372">
            <v>2</v>
          </cell>
          <cell r="G372" t="str">
            <v>ja</v>
          </cell>
          <cell r="H372" t="str">
            <v xml:space="preserve">【上級】トリックスター </v>
          </cell>
          <cell r="I372" t="str">
            <v>上級</v>
          </cell>
          <cell r="J372">
            <v>272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17</v>
          </cell>
          <cell r="AD372">
            <v>6</v>
          </cell>
          <cell r="AE372" t="str">
            <v>everyone</v>
          </cell>
        </row>
        <row r="373">
          <cell r="A373" t="str">
            <v>30002_3</v>
          </cell>
          <cell r="B373">
            <v>3</v>
          </cell>
          <cell r="C373">
            <v>30002</v>
          </cell>
          <cell r="D373" t="str">
            <v>トリックスター</v>
          </cell>
          <cell r="E373" t="str">
            <v>ドロップイベント1-2（マルチ専用）</v>
          </cell>
          <cell r="F373">
            <v>3</v>
          </cell>
          <cell r="G373" t="str">
            <v>ja</v>
          </cell>
          <cell r="H373" t="str">
            <v xml:space="preserve">【超級】トリックスター </v>
          </cell>
          <cell r="I373" t="str">
            <v>超級</v>
          </cell>
          <cell r="J373">
            <v>273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30003_1</v>
          </cell>
          <cell r="B374">
            <v>3</v>
          </cell>
          <cell r="C374">
            <v>30003</v>
          </cell>
          <cell r="D374" t="str">
            <v>打ち下ろされる砕棒</v>
          </cell>
          <cell r="E374" t="str">
            <v>ドロップイベント1-3（マルチ専用）</v>
          </cell>
          <cell r="F374">
            <v>1</v>
          </cell>
          <cell r="G374" t="str">
            <v>ja</v>
          </cell>
          <cell r="H374" t="str">
            <v xml:space="preserve">【中級】打ち下ろされる砕棒 </v>
          </cell>
          <cell r="I374" t="str">
            <v>中級</v>
          </cell>
          <cell r="J374">
            <v>274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everyone</v>
          </cell>
        </row>
        <row r="375">
          <cell r="A375" t="str">
            <v>30003_2</v>
          </cell>
          <cell r="B375">
            <v>3</v>
          </cell>
          <cell r="C375">
            <v>30003</v>
          </cell>
          <cell r="D375" t="str">
            <v>打ち下ろされる砕棒</v>
          </cell>
          <cell r="E375" t="str">
            <v>ドロップイベント1-3（マルチ専用）</v>
          </cell>
          <cell r="F375">
            <v>2</v>
          </cell>
          <cell r="G375" t="str">
            <v>ja</v>
          </cell>
          <cell r="H375" t="str">
            <v>【上級】打ち下ろされる砕棒</v>
          </cell>
          <cell r="I375" t="str">
            <v>上級</v>
          </cell>
          <cell r="J375">
            <v>274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20</v>
          </cell>
          <cell r="AD375">
            <v>6</v>
          </cell>
          <cell r="AE375" t="str">
            <v>everyone</v>
          </cell>
        </row>
        <row r="376">
          <cell r="A376" t="str">
            <v>30003_3</v>
          </cell>
          <cell r="B376">
            <v>3</v>
          </cell>
          <cell r="C376">
            <v>30003</v>
          </cell>
          <cell r="D376" t="str">
            <v>打ち下ろされる砕棒</v>
          </cell>
          <cell r="E376" t="str">
            <v>ドロップイベント1-3（マルチ専用）</v>
          </cell>
          <cell r="F376">
            <v>3</v>
          </cell>
          <cell r="G376" t="str">
            <v>ja</v>
          </cell>
          <cell r="H376" t="str">
            <v xml:space="preserve">【超級】打ち下ろされる砕棒 </v>
          </cell>
          <cell r="I376" t="str">
            <v>超級</v>
          </cell>
          <cell r="J376">
            <v>275</v>
          </cell>
          <cell r="K376">
            <v>30</v>
          </cell>
          <cell r="L376">
            <v>3300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20</v>
          </cell>
          <cell r="AD376">
            <v>6</v>
          </cell>
          <cell r="AE376" t="str">
            <v>everyone</v>
          </cell>
        </row>
        <row r="377">
          <cell r="A377" t="str">
            <v>30004_1</v>
          </cell>
          <cell r="B377">
            <v>3</v>
          </cell>
          <cell r="C377">
            <v>30004</v>
          </cell>
          <cell r="D377" t="str">
            <v>危険な仲裁者</v>
          </cell>
          <cell r="E377" t="str">
            <v>ドロップイベント1-4（マルチ専用）</v>
          </cell>
          <cell r="F377">
            <v>1</v>
          </cell>
          <cell r="G377" t="str">
            <v>ja</v>
          </cell>
          <cell r="H377" t="str">
            <v xml:space="preserve">【中級】危険な仲裁者 </v>
          </cell>
          <cell r="I377" t="str">
            <v>中級</v>
          </cell>
          <cell r="J377">
            <v>276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14</v>
          </cell>
          <cell r="AD377">
            <v>6</v>
          </cell>
          <cell r="AE377" t="str">
            <v>everyone</v>
          </cell>
        </row>
        <row r="378">
          <cell r="A378" t="str">
            <v>30004_2</v>
          </cell>
          <cell r="B378">
            <v>3</v>
          </cell>
          <cell r="C378">
            <v>30004</v>
          </cell>
          <cell r="D378" t="str">
            <v>危険な仲裁者</v>
          </cell>
          <cell r="E378" t="str">
            <v>ドロップイベント1-4（マルチ専用）</v>
          </cell>
          <cell r="F378">
            <v>2</v>
          </cell>
          <cell r="G378" t="str">
            <v>ja</v>
          </cell>
          <cell r="H378" t="str">
            <v xml:space="preserve">【上級】危険な仲裁者 </v>
          </cell>
          <cell r="I378" t="str">
            <v>上級</v>
          </cell>
          <cell r="J378">
            <v>276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14</v>
          </cell>
          <cell r="AD378">
            <v>6</v>
          </cell>
          <cell r="AE378" t="str">
            <v>everyone</v>
          </cell>
        </row>
        <row r="379">
          <cell r="A379" t="str">
            <v>30004_3</v>
          </cell>
          <cell r="B379">
            <v>3</v>
          </cell>
          <cell r="C379">
            <v>30004</v>
          </cell>
          <cell r="D379" t="str">
            <v>危険な仲裁者</v>
          </cell>
          <cell r="E379" t="str">
            <v>ドロップイベント1-4（マルチ専用）</v>
          </cell>
          <cell r="F379">
            <v>3</v>
          </cell>
          <cell r="G379" t="str">
            <v>ja</v>
          </cell>
          <cell r="H379" t="str">
            <v xml:space="preserve">【超級】危険な仲裁者 </v>
          </cell>
          <cell r="I379" t="str">
            <v>超級</v>
          </cell>
          <cell r="J379">
            <v>277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14</v>
          </cell>
          <cell r="AD379">
            <v>6</v>
          </cell>
          <cell r="AE379" t="str">
            <v>everyone</v>
          </cell>
        </row>
        <row r="380">
          <cell r="A380" t="str">
            <v>30005_1</v>
          </cell>
          <cell r="B380">
            <v>3</v>
          </cell>
          <cell r="C380">
            <v>30005</v>
          </cell>
          <cell r="D380" t="str">
            <v>ニンゲンにしてあげる☆</v>
          </cell>
          <cell r="E380" t="str">
            <v>ドロップイベント2-1（マルチ専用）</v>
          </cell>
          <cell r="F380">
            <v>1</v>
          </cell>
          <cell r="G380" t="str">
            <v>ja</v>
          </cell>
          <cell r="H380" t="str">
            <v xml:space="preserve">【中級】ニンゲンにしてあげる </v>
          </cell>
          <cell r="I380" t="str">
            <v>中級</v>
          </cell>
          <cell r="J380">
            <v>290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11</v>
          </cell>
          <cell r="AD380">
            <v>6</v>
          </cell>
          <cell r="AE380" t="str">
            <v>everyone</v>
          </cell>
        </row>
        <row r="381">
          <cell r="A381" t="str">
            <v>30005_2</v>
          </cell>
          <cell r="B381">
            <v>3</v>
          </cell>
          <cell r="C381">
            <v>30005</v>
          </cell>
          <cell r="D381" t="str">
            <v>ニンゲンにしてあげる☆</v>
          </cell>
          <cell r="E381" t="str">
            <v>ドロップイベント2-1（マルチ専用）</v>
          </cell>
          <cell r="F381">
            <v>2</v>
          </cell>
          <cell r="G381" t="str">
            <v>ja</v>
          </cell>
          <cell r="H381" t="str">
            <v xml:space="preserve">【上級】ニンゲンにしてあげる </v>
          </cell>
          <cell r="I381" t="str">
            <v>上級</v>
          </cell>
          <cell r="J381">
            <v>290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11</v>
          </cell>
          <cell r="AD381">
            <v>6</v>
          </cell>
          <cell r="AE381" t="str">
            <v>everyone</v>
          </cell>
        </row>
        <row r="382">
          <cell r="A382" t="str">
            <v>30005_3</v>
          </cell>
          <cell r="B382">
            <v>3</v>
          </cell>
          <cell r="C382">
            <v>30005</v>
          </cell>
          <cell r="D382" t="str">
            <v>ニンゲンにしてあげる☆</v>
          </cell>
          <cell r="E382" t="str">
            <v>ドロップイベント2-1（マルチ専用）</v>
          </cell>
          <cell r="F382">
            <v>3</v>
          </cell>
          <cell r="G382" t="str">
            <v>ja</v>
          </cell>
          <cell r="H382" t="str">
            <v>【超級】ニンゲンにしてあげる</v>
          </cell>
          <cell r="I382" t="str">
            <v>超級</v>
          </cell>
          <cell r="J382">
            <v>291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11</v>
          </cell>
          <cell r="AD382">
            <v>6</v>
          </cell>
          <cell r="AE382" t="str">
            <v>everyone</v>
          </cell>
        </row>
        <row r="383">
          <cell r="A383" t="str">
            <v>30006_1</v>
          </cell>
          <cell r="B383">
            <v>3</v>
          </cell>
          <cell r="C383">
            <v>30006</v>
          </cell>
          <cell r="D383" t="str">
            <v>それはお前を食べるためさ</v>
          </cell>
          <cell r="E383" t="str">
            <v>ドロップイベント2-3（マルチ専用）</v>
          </cell>
          <cell r="F383">
            <v>1</v>
          </cell>
          <cell r="G383" t="str">
            <v>ja</v>
          </cell>
          <cell r="H383" t="str">
            <v>【中級】それはお前を食べるためさ</v>
          </cell>
          <cell r="I383" t="str">
            <v>中級</v>
          </cell>
          <cell r="J383">
            <v>294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7</v>
          </cell>
          <cell r="AD383">
            <v>6</v>
          </cell>
          <cell r="AE383" t="str">
            <v>everyone</v>
          </cell>
        </row>
        <row r="384">
          <cell r="A384" t="str">
            <v>30006_2</v>
          </cell>
          <cell r="B384">
            <v>3</v>
          </cell>
          <cell r="C384">
            <v>30006</v>
          </cell>
          <cell r="D384" t="str">
            <v>それはお前を食べるためさ</v>
          </cell>
          <cell r="E384" t="str">
            <v>ドロップイベント2-3（マルチ専用）</v>
          </cell>
          <cell r="F384">
            <v>2</v>
          </cell>
          <cell r="G384" t="str">
            <v>ja</v>
          </cell>
          <cell r="H384" t="str">
            <v>【上級】それはお前を食べるためさ</v>
          </cell>
          <cell r="I384" t="str">
            <v>上級</v>
          </cell>
          <cell r="J384">
            <v>294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7</v>
          </cell>
          <cell r="AD384">
            <v>6</v>
          </cell>
          <cell r="AE384" t="str">
            <v>everyone</v>
          </cell>
        </row>
        <row r="385">
          <cell r="A385" t="str">
            <v>30006_3</v>
          </cell>
          <cell r="B385">
            <v>3</v>
          </cell>
          <cell r="C385">
            <v>30006</v>
          </cell>
          <cell r="D385" t="str">
            <v>それはお前を食べるためさ</v>
          </cell>
          <cell r="E385" t="str">
            <v>ドロップイベント2-3（マルチ専用）</v>
          </cell>
          <cell r="F385">
            <v>3</v>
          </cell>
          <cell r="G385" t="str">
            <v>ja</v>
          </cell>
          <cell r="H385" t="str">
            <v>【超級】それはお前を食べるためさ</v>
          </cell>
          <cell r="I385" t="str">
            <v>超級</v>
          </cell>
          <cell r="J385">
            <v>295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7</v>
          </cell>
          <cell r="AD385">
            <v>6</v>
          </cell>
          <cell r="AE385" t="str">
            <v>everyone</v>
          </cell>
        </row>
        <row r="386">
          <cell r="A386" t="str">
            <v>30007_1</v>
          </cell>
          <cell r="B386">
            <v>3</v>
          </cell>
          <cell r="C386">
            <v>30007</v>
          </cell>
          <cell r="D386" t="str">
            <v>ガラスの靴は私のもの</v>
          </cell>
          <cell r="E386" t="str">
            <v>ドロップイベント2-2（マルチ専用）</v>
          </cell>
          <cell r="F386">
            <v>1</v>
          </cell>
          <cell r="G386" t="str">
            <v>ja</v>
          </cell>
          <cell r="H386" t="str">
            <v xml:space="preserve">【中級】ガラスの靴は私のもの </v>
          </cell>
          <cell r="I386" t="str">
            <v>中級</v>
          </cell>
          <cell r="J386">
            <v>292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</v>
          </cell>
          <cell r="AD386">
            <v>6</v>
          </cell>
          <cell r="AE386" t="str">
            <v>everyone</v>
          </cell>
        </row>
        <row r="387">
          <cell r="A387" t="str">
            <v>30007_2</v>
          </cell>
          <cell r="B387">
            <v>3</v>
          </cell>
          <cell r="C387">
            <v>30007</v>
          </cell>
          <cell r="D387" t="str">
            <v>ガラスの靴は私のもの</v>
          </cell>
          <cell r="E387" t="str">
            <v>ドロップイベント2-2（マルチ専用）</v>
          </cell>
          <cell r="F387">
            <v>2</v>
          </cell>
          <cell r="G387" t="str">
            <v>ja</v>
          </cell>
          <cell r="H387" t="str">
            <v>【上級】ガラスの靴は私のもの</v>
          </cell>
          <cell r="I387" t="str">
            <v>上級</v>
          </cell>
          <cell r="J387">
            <v>292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</v>
          </cell>
          <cell r="AD387">
            <v>6</v>
          </cell>
          <cell r="AE387" t="str">
            <v>everyone</v>
          </cell>
        </row>
        <row r="388">
          <cell r="A388" t="str">
            <v>30007_3</v>
          </cell>
          <cell r="B388">
            <v>3</v>
          </cell>
          <cell r="C388">
            <v>30007</v>
          </cell>
          <cell r="D388" t="str">
            <v>ガラスの靴は私のもの</v>
          </cell>
          <cell r="E388" t="str">
            <v>ドロップイベント2-2（マルチ専用）</v>
          </cell>
          <cell r="F388">
            <v>3</v>
          </cell>
          <cell r="G388" t="str">
            <v>ja</v>
          </cell>
          <cell r="H388" t="str">
            <v xml:space="preserve">【超級】ガラスの靴は私のもの </v>
          </cell>
          <cell r="I388" t="str">
            <v>超級</v>
          </cell>
          <cell r="J388">
            <v>293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</v>
          </cell>
          <cell r="AD388">
            <v>6</v>
          </cell>
          <cell r="AE388" t="str">
            <v>everyone</v>
          </cell>
        </row>
        <row r="389">
          <cell r="A389" t="str">
            <v>30008_1</v>
          </cell>
          <cell r="B389">
            <v>3</v>
          </cell>
          <cell r="C389">
            <v>30008</v>
          </cell>
          <cell r="D389" t="str">
            <v>わたしの嫁を返してもらおう</v>
          </cell>
          <cell r="E389" t="str">
            <v>ドロップイベント2-4（マルチ専用）</v>
          </cell>
          <cell r="F389">
            <v>1</v>
          </cell>
          <cell r="G389" t="str">
            <v>ja</v>
          </cell>
          <cell r="H389" t="str">
            <v>【中級】わたしの嫁を返してもらおう</v>
          </cell>
          <cell r="I389" t="str">
            <v>中級</v>
          </cell>
          <cell r="J389">
            <v>288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22</v>
          </cell>
          <cell r="AD389">
            <v>6</v>
          </cell>
          <cell r="AE389" t="str">
            <v>everyone</v>
          </cell>
        </row>
        <row r="390">
          <cell r="A390" t="str">
            <v>30008_2</v>
          </cell>
          <cell r="B390">
            <v>3</v>
          </cell>
          <cell r="C390">
            <v>30008</v>
          </cell>
          <cell r="D390" t="str">
            <v>わたしの嫁を返してもらおう</v>
          </cell>
          <cell r="E390" t="str">
            <v>ドロップイベント2-4（マルチ専用）</v>
          </cell>
          <cell r="F390">
            <v>2</v>
          </cell>
          <cell r="G390" t="str">
            <v>ja</v>
          </cell>
          <cell r="H390" t="str">
            <v>【上級】わたしの嫁を返してもらおう</v>
          </cell>
          <cell r="I390" t="str">
            <v>上級</v>
          </cell>
          <cell r="J390">
            <v>288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22</v>
          </cell>
          <cell r="AD390">
            <v>6</v>
          </cell>
          <cell r="AE390" t="str">
            <v>everyone</v>
          </cell>
        </row>
        <row r="391">
          <cell r="A391" t="str">
            <v>30008_3</v>
          </cell>
          <cell r="B391">
            <v>3</v>
          </cell>
          <cell r="C391">
            <v>30008</v>
          </cell>
          <cell r="D391" t="str">
            <v>わたしの嫁を返してもらおう</v>
          </cell>
          <cell r="E391" t="str">
            <v>ドロップイベント2-4（マルチ専用）</v>
          </cell>
          <cell r="F391">
            <v>3</v>
          </cell>
          <cell r="G391" t="str">
            <v>ja</v>
          </cell>
          <cell r="H391" t="str">
            <v>【超級】わたしの嫁を返してもらおう</v>
          </cell>
          <cell r="I391" t="str">
            <v>超級</v>
          </cell>
          <cell r="J391">
            <v>289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22</v>
          </cell>
          <cell r="AD391">
            <v>6</v>
          </cell>
          <cell r="AE391" t="str">
            <v>everyone</v>
          </cell>
        </row>
        <row r="392">
          <cell r="A392" t="str">
            <v>30009_3</v>
          </cell>
          <cell r="B392">
            <v>0</v>
          </cell>
          <cell r="C392">
            <v>30009</v>
          </cell>
          <cell r="D392" t="str">
            <v>復活の捕食者</v>
          </cell>
          <cell r="E392" t="str">
            <v>ドロップイベント3（マルチ専用）</v>
          </cell>
          <cell r="F392">
            <v>3</v>
          </cell>
          <cell r="G392" t="str">
            <v>ja</v>
          </cell>
          <cell r="H392" t="str">
            <v>【上級】復活の捕食者</v>
          </cell>
          <cell r="I392" t="str">
            <v>上級</v>
          </cell>
          <cell r="J392">
            <v>312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2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8</v>
          </cell>
          <cell r="AD392">
            <v>6</v>
          </cell>
          <cell r="AE392" t="str">
            <v>everyone</v>
          </cell>
        </row>
        <row r="393">
          <cell r="A393" t="str">
            <v>30009_1</v>
          </cell>
          <cell r="B393">
            <v>3</v>
          </cell>
          <cell r="C393">
            <v>30009</v>
          </cell>
          <cell r="D393" t="str">
            <v>復活の捕食者</v>
          </cell>
          <cell r="E393" t="str">
            <v>ドロップイベント3（マルチ専用）</v>
          </cell>
          <cell r="F393">
            <v>1</v>
          </cell>
          <cell r="G393" t="str">
            <v>ja</v>
          </cell>
          <cell r="H393" t="str">
            <v>【超級】復活の捕食者</v>
          </cell>
          <cell r="I393" t="str">
            <v>超級</v>
          </cell>
          <cell r="J393">
            <v>312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2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8</v>
          </cell>
          <cell r="AD393">
            <v>6</v>
          </cell>
          <cell r="AE393" t="str">
            <v>everyone</v>
          </cell>
        </row>
        <row r="394">
          <cell r="A394" t="str">
            <v>30009_2</v>
          </cell>
          <cell r="B394">
            <v>3</v>
          </cell>
          <cell r="C394">
            <v>30009</v>
          </cell>
          <cell r="D394" t="str">
            <v>復活の捕食者</v>
          </cell>
          <cell r="E394" t="str">
            <v>ドロップイベント3（マルチ専用）</v>
          </cell>
          <cell r="F394">
            <v>2</v>
          </cell>
          <cell r="G394" t="str">
            <v>ja</v>
          </cell>
          <cell r="H394" t="str">
            <v>【超絶級】復活の捕食者</v>
          </cell>
          <cell r="I394" t="str">
            <v>超絶級</v>
          </cell>
          <cell r="J394">
            <v>312</v>
          </cell>
          <cell r="K394">
            <v>35</v>
          </cell>
          <cell r="L394">
            <v>4200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2</v>
          </cell>
          <cell r="S394" t="str">
            <v>polygon</v>
          </cell>
          <cell r="T394">
            <v>1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8</v>
          </cell>
          <cell r="AD394">
            <v>6</v>
          </cell>
          <cell r="AE394" t="str">
            <v>everyone</v>
          </cell>
        </row>
        <row r="395">
          <cell r="A395" t="str">
            <v>30010_1</v>
          </cell>
          <cell r="B395">
            <v>3</v>
          </cell>
          <cell r="C395">
            <v>30010</v>
          </cell>
          <cell r="D395" t="str">
            <v>最大最凶</v>
          </cell>
          <cell r="E395" t="str">
            <v>ドロップイベント3（マルチ専用）</v>
          </cell>
          <cell r="F395">
            <v>1</v>
          </cell>
          <cell r="G395" t="str">
            <v>ja</v>
          </cell>
          <cell r="H395" t="str">
            <v>【上級】最大最凶</v>
          </cell>
          <cell r="I395" t="str">
            <v>上級</v>
          </cell>
          <cell r="J395">
            <v>306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</v>
          </cell>
          <cell r="AD395">
            <v>7</v>
          </cell>
          <cell r="AE395" t="str">
            <v>everyone</v>
          </cell>
        </row>
        <row r="396">
          <cell r="A396" t="str">
            <v>30010_2</v>
          </cell>
          <cell r="B396">
            <v>3</v>
          </cell>
          <cell r="C396">
            <v>30010</v>
          </cell>
          <cell r="D396" t="str">
            <v>最大最凶</v>
          </cell>
          <cell r="E396" t="str">
            <v>ドロップイベント3（マルチ専用）</v>
          </cell>
          <cell r="F396">
            <v>2</v>
          </cell>
          <cell r="G396" t="str">
            <v>ja</v>
          </cell>
          <cell r="H396" t="str">
            <v>【超級】最大最凶</v>
          </cell>
          <cell r="I396" t="str">
            <v>超級</v>
          </cell>
          <cell r="J396">
            <v>306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</v>
          </cell>
          <cell r="AD396">
            <v>7</v>
          </cell>
          <cell r="AE396" t="str">
            <v>everyone</v>
          </cell>
        </row>
        <row r="397">
          <cell r="A397" t="str">
            <v>30010_3</v>
          </cell>
          <cell r="B397">
            <v>3</v>
          </cell>
          <cell r="C397">
            <v>30010</v>
          </cell>
          <cell r="D397" t="str">
            <v>最大最凶</v>
          </cell>
          <cell r="E397" t="str">
            <v>ドロップイベント3（マルチ専用）</v>
          </cell>
          <cell r="F397">
            <v>3</v>
          </cell>
          <cell r="G397" t="str">
            <v>ja</v>
          </cell>
          <cell r="H397" t="str">
            <v>【超絶級】最大最凶</v>
          </cell>
          <cell r="I397" t="str">
            <v>超絶級</v>
          </cell>
          <cell r="J397">
            <v>306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</v>
          </cell>
          <cell r="AD397">
            <v>7</v>
          </cell>
          <cell r="AE397" t="str">
            <v>everyone</v>
          </cell>
        </row>
        <row r="398">
          <cell r="A398" t="str">
            <v>30011_1</v>
          </cell>
          <cell r="B398">
            <v>3</v>
          </cell>
          <cell r="C398">
            <v>30011</v>
          </cell>
          <cell r="D398" t="str">
            <v>気怠い巨読者</v>
          </cell>
          <cell r="E398" t="str">
            <v>ドロップイベント3（マルチ専用）</v>
          </cell>
          <cell r="F398">
            <v>1</v>
          </cell>
          <cell r="G398" t="str">
            <v>ja</v>
          </cell>
          <cell r="H398" t="str">
            <v>【上級】気怠い巨読者</v>
          </cell>
          <cell r="I398" t="str">
            <v>上級</v>
          </cell>
          <cell r="J398">
            <v>308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2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19</v>
          </cell>
          <cell r="AD398">
            <v>6</v>
          </cell>
          <cell r="AE398" t="str">
            <v>everyone</v>
          </cell>
        </row>
        <row r="399">
          <cell r="A399" t="str">
            <v>30011_2</v>
          </cell>
          <cell r="B399">
            <v>3</v>
          </cell>
          <cell r="C399">
            <v>30011</v>
          </cell>
          <cell r="D399" t="str">
            <v>気怠い巨読者</v>
          </cell>
          <cell r="E399" t="str">
            <v>ドロップイベント3（マルチ専用）</v>
          </cell>
          <cell r="F399">
            <v>2</v>
          </cell>
          <cell r="G399" t="str">
            <v>ja</v>
          </cell>
          <cell r="H399" t="str">
            <v>【超級】気怠い巨読者</v>
          </cell>
          <cell r="I399" t="str">
            <v>超級</v>
          </cell>
          <cell r="J399">
            <v>308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2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19</v>
          </cell>
          <cell r="AD399">
            <v>6</v>
          </cell>
          <cell r="AE399" t="str">
            <v>everyone</v>
          </cell>
        </row>
        <row r="400">
          <cell r="A400" t="str">
            <v>30011_3</v>
          </cell>
          <cell r="B400">
            <v>3</v>
          </cell>
          <cell r="C400">
            <v>30011</v>
          </cell>
          <cell r="D400" t="str">
            <v>気怠い巨読者</v>
          </cell>
          <cell r="E400" t="str">
            <v>ドロップイベント3（マルチ専用）</v>
          </cell>
          <cell r="F400">
            <v>3</v>
          </cell>
          <cell r="G400" t="str">
            <v>ja</v>
          </cell>
          <cell r="H400" t="str">
            <v>【超絶級】気怠い巨読者</v>
          </cell>
          <cell r="I400" t="str">
            <v>超絶級</v>
          </cell>
          <cell r="J400">
            <v>309</v>
          </cell>
          <cell r="K400">
            <v>35</v>
          </cell>
          <cell r="L400">
            <v>4200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2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19</v>
          </cell>
          <cell r="AD400">
            <v>6</v>
          </cell>
          <cell r="AE400" t="str">
            <v>everyone</v>
          </cell>
        </row>
        <row r="401">
          <cell r="A401" t="str">
            <v>30012_1</v>
          </cell>
          <cell r="B401">
            <v>3</v>
          </cell>
          <cell r="C401">
            <v>30012</v>
          </cell>
          <cell r="D401" t="str">
            <v>底なしの胃袋</v>
          </cell>
          <cell r="E401" t="str">
            <v>ドロップイベント3（マルチ専用）</v>
          </cell>
          <cell r="F401">
            <v>1</v>
          </cell>
          <cell r="G401" t="str">
            <v>ja</v>
          </cell>
          <cell r="H401" t="str">
            <v>【上級】底なしの胃袋</v>
          </cell>
          <cell r="I401" t="str">
            <v>上級</v>
          </cell>
          <cell r="J401">
            <v>310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0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5</v>
          </cell>
          <cell r="AD401">
            <v>6</v>
          </cell>
          <cell r="AE401" t="str">
            <v>everyone</v>
          </cell>
        </row>
        <row r="402">
          <cell r="A402" t="str">
            <v>30012_2</v>
          </cell>
          <cell r="B402">
            <v>3</v>
          </cell>
          <cell r="C402">
            <v>30012</v>
          </cell>
          <cell r="D402" t="str">
            <v>底なしの胃袋</v>
          </cell>
          <cell r="E402" t="str">
            <v>ドロップイベント3（マルチ専用）</v>
          </cell>
          <cell r="F402">
            <v>2</v>
          </cell>
          <cell r="G402" t="str">
            <v>ja</v>
          </cell>
          <cell r="H402" t="str">
            <v>【超級】底なしの胃袋</v>
          </cell>
          <cell r="I402" t="str">
            <v>超級</v>
          </cell>
          <cell r="J402">
            <v>310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0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5</v>
          </cell>
          <cell r="AD402">
            <v>6</v>
          </cell>
          <cell r="AE402" t="str">
            <v>everyone</v>
          </cell>
        </row>
        <row r="403">
          <cell r="A403" t="str">
            <v>30012_3</v>
          </cell>
          <cell r="B403">
            <v>3</v>
          </cell>
          <cell r="C403">
            <v>30012</v>
          </cell>
          <cell r="D403" t="str">
            <v>底なしの胃袋</v>
          </cell>
          <cell r="E403" t="str">
            <v>ドロップイベント3（マルチ専用）</v>
          </cell>
          <cell r="F403">
            <v>3</v>
          </cell>
          <cell r="G403" t="str">
            <v>ja</v>
          </cell>
          <cell r="H403" t="str">
            <v>【超絶級】底なしの胃袋</v>
          </cell>
          <cell r="I403" t="str">
            <v>超絶級</v>
          </cell>
          <cell r="J403">
            <v>310</v>
          </cell>
          <cell r="K403">
            <v>35</v>
          </cell>
          <cell r="L403">
            <v>4200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0</v>
          </cell>
          <cell r="R403">
            <v>3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5</v>
          </cell>
          <cell r="AD403">
            <v>6</v>
          </cell>
          <cell r="AE403" t="str">
            <v>everyone</v>
          </cell>
        </row>
        <row r="404">
          <cell r="A404" t="str">
            <v>30013_1</v>
          </cell>
          <cell r="B404">
            <v>3</v>
          </cell>
          <cell r="C404">
            <v>30013</v>
          </cell>
          <cell r="D404" t="str">
            <v>決戦・竜宮城</v>
          </cell>
          <cell r="E404" t="str">
            <v>ドロップイベント4（マルチ専用）</v>
          </cell>
          <cell r="F404">
            <v>1</v>
          </cell>
          <cell r="G404" t="str">
            <v>ja</v>
          </cell>
          <cell r="H404" t="str">
            <v>【超級】決戦・竜宮城</v>
          </cell>
          <cell r="I404" t="str">
            <v>超級</v>
          </cell>
          <cell r="J404">
            <v>418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17</v>
          </cell>
          <cell r="AD404">
            <v>6</v>
          </cell>
          <cell r="AE404" t="str">
            <v>everyone</v>
          </cell>
        </row>
        <row r="405">
          <cell r="A405" t="str">
            <v>30013_2</v>
          </cell>
          <cell r="B405">
            <v>3</v>
          </cell>
          <cell r="C405">
            <v>30013</v>
          </cell>
          <cell r="D405" t="str">
            <v>決戦・竜宮城</v>
          </cell>
          <cell r="E405" t="str">
            <v>ドロップイベント4（マルチ専用）</v>
          </cell>
          <cell r="F405">
            <v>2</v>
          </cell>
          <cell r="G405" t="str">
            <v>ja</v>
          </cell>
          <cell r="H405" t="str">
            <v>【超絶級】決戦・竜宮城</v>
          </cell>
          <cell r="I405" t="str">
            <v>超絶級</v>
          </cell>
          <cell r="J405">
            <v>419</v>
          </cell>
          <cell r="K405">
            <v>35</v>
          </cell>
          <cell r="L405">
            <v>4200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17</v>
          </cell>
          <cell r="AD405">
            <v>6</v>
          </cell>
          <cell r="AE405" t="str">
            <v>everyone</v>
          </cell>
        </row>
        <row r="406">
          <cell r="A406" t="str">
            <v>30014_1</v>
          </cell>
          <cell r="B406">
            <v>3</v>
          </cell>
          <cell r="C406">
            <v>30014</v>
          </cell>
          <cell r="D406" t="str">
            <v>親指を突き立てろ！</v>
          </cell>
          <cell r="E406" t="str">
            <v>ドロップイベント4（マルチ専用）</v>
          </cell>
          <cell r="F406">
            <v>1</v>
          </cell>
          <cell r="G406" t="str">
            <v>ja</v>
          </cell>
          <cell r="H406" t="str">
            <v>【超級】親指を突き立てろ！</v>
          </cell>
          <cell r="I406" t="str">
            <v>超級</v>
          </cell>
          <cell r="J406">
            <v>420</v>
          </cell>
          <cell r="K406">
            <v>30</v>
          </cell>
          <cell r="L406">
            <v>3300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23</v>
          </cell>
          <cell r="AD406">
            <v>5</v>
          </cell>
          <cell r="AE406" t="str">
            <v>everyone</v>
          </cell>
        </row>
        <row r="407">
          <cell r="A407" t="str">
            <v>30014_2</v>
          </cell>
          <cell r="B407">
            <v>3</v>
          </cell>
          <cell r="C407">
            <v>30014</v>
          </cell>
          <cell r="D407" t="str">
            <v>親指を突き立てろ！</v>
          </cell>
          <cell r="E407" t="str">
            <v>ドロップイベント4（マルチ専用）</v>
          </cell>
          <cell r="F407">
            <v>2</v>
          </cell>
          <cell r="G407" t="str">
            <v>ja</v>
          </cell>
          <cell r="H407" t="str">
            <v>【超絶級】親指を突き立てろ！</v>
          </cell>
          <cell r="I407" t="str">
            <v>超絶級</v>
          </cell>
          <cell r="J407">
            <v>421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23</v>
          </cell>
          <cell r="AD407">
            <v>5</v>
          </cell>
          <cell r="AE407" t="str">
            <v>everyone</v>
          </cell>
        </row>
        <row r="408">
          <cell r="A408" t="str">
            <v>30015_1</v>
          </cell>
          <cell r="B408">
            <v>3</v>
          </cell>
          <cell r="C408">
            <v>30015</v>
          </cell>
          <cell r="D408" t="str">
            <v>兄妹の大冒険</v>
          </cell>
          <cell r="E408" t="str">
            <v>ドロップイベント4（マルチ専用）</v>
          </cell>
          <cell r="F408">
            <v>1</v>
          </cell>
          <cell r="G408" t="str">
            <v>ja</v>
          </cell>
          <cell r="H408" t="str">
            <v>【超級】兄妹の大冒険</v>
          </cell>
          <cell r="I408" t="str">
            <v>超級</v>
          </cell>
          <cell r="J408">
            <v>422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16</v>
          </cell>
          <cell r="AD408">
            <v>6</v>
          </cell>
          <cell r="AE408" t="str">
            <v>everyone</v>
          </cell>
        </row>
        <row r="409">
          <cell r="A409" t="str">
            <v>30015_2</v>
          </cell>
          <cell r="B409">
            <v>3</v>
          </cell>
          <cell r="C409">
            <v>30015</v>
          </cell>
          <cell r="D409" t="str">
            <v>兄妹の大冒険</v>
          </cell>
          <cell r="E409" t="str">
            <v>ドロップイベント4（マルチ専用）</v>
          </cell>
          <cell r="F409">
            <v>2</v>
          </cell>
          <cell r="G409" t="str">
            <v>ja</v>
          </cell>
          <cell r="H409" t="str">
            <v>【超絶級】兄妹の大冒険</v>
          </cell>
          <cell r="I409" t="str">
            <v>超絶級</v>
          </cell>
          <cell r="J409">
            <v>423</v>
          </cell>
          <cell r="K409">
            <v>35</v>
          </cell>
          <cell r="L409">
            <v>4200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polygon</v>
          </cell>
          <cell r="T409">
            <v>1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16</v>
          </cell>
          <cell r="AD409">
            <v>6</v>
          </cell>
          <cell r="AE409" t="str">
            <v>everyone</v>
          </cell>
        </row>
        <row r="410">
          <cell r="A410" t="str">
            <v>30016_1</v>
          </cell>
          <cell r="B410">
            <v>3</v>
          </cell>
          <cell r="C410">
            <v>30016</v>
          </cell>
          <cell r="D410" t="str">
            <v>私がワニの天敵よ？</v>
          </cell>
          <cell r="E410" t="str">
            <v>ドロップイベント4（マルチ専用）</v>
          </cell>
          <cell r="F410">
            <v>1</v>
          </cell>
          <cell r="G410" t="str">
            <v>ja</v>
          </cell>
          <cell r="H410" t="str">
            <v>【超級】私がワニの天敵よ？</v>
          </cell>
          <cell r="I410" t="str">
            <v>超級</v>
          </cell>
          <cell r="J410">
            <v>424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4</v>
          </cell>
          <cell r="AD410">
            <v>6</v>
          </cell>
          <cell r="AE410" t="str">
            <v>everyone</v>
          </cell>
        </row>
        <row r="411">
          <cell r="A411" t="str">
            <v>30016_2</v>
          </cell>
          <cell r="B411">
            <v>3</v>
          </cell>
          <cell r="C411">
            <v>30016</v>
          </cell>
          <cell r="D411" t="str">
            <v>私がワニの天敵よ？</v>
          </cell>
          <cell r="E411" t="str">
            <v>ドロップイベント4（マルチ専用）</v>
          </cell>
          <cell r="F411">
            <v>2</v>
          </cell>
          <cell r="G411" t="str">
            <v>ja</v>
          </cell>
          <cell r="H411" t="str">
            <v>【超絶級】私がワニの天敵よ？</v>
          </cell>
          <cell r="I411" t="str">
            <v>超絶級</v>
          </cell>
          <cell r="J411">
            <v>425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4</v>
          </cell>
          <cell r="AD411">
            <v>6</v>
          </cell>
          <cell r="AE411" t="str">
            <v>everyone</v>
          </cell>
        </row>
        <row r="412">
          <cell r="A412" t="str">
            <v>30017_1</v>
          </cell>
          <cell r="B412">
            <v>3</v>
          </cell>
          <cell r="C412">
            <v>30017</v>
          </cell>
          <cell r="D412" t="str">
            <v>狩人の挽歌</v>
          </cell>
          <cell r="E412" t="str">
            <v>ドロップイベント5（マルチ専用）</v>
          </cell>
          <cell r="F412">
            <v>1</v>
          </cell>
          <cell r="G412" t="str">
            <v>ja</v>
          </cell>
          <cell r="H412" t="str">
            <v>【超級】狩人の挽歌</v>
          </cell>
          <cell r="I412" t="str">
            <v>超級</v>
          </cell>
          <cell r="J412">
            <v>452</v>
          </cell>
          <cell r="K412">
            <v>30</v>
          </cell>
          <cell r="L412">
            <v>3300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20</v>
          </cell>
          <cell r="AD412">
            <v>6</v>
          </cell>
          <cell r="AE412" t="str">
            <v>multionly</v>
          </cell>
        </row>
        <row r="413">
          <cell r="A413" t="str">
            <v>30017_2</v>
          </cell>
          <cell r="B413">
            <v>3</v>
          </cell>
          <cell r="C413">
            <v>30017</v>
          </cell>
          <cell r="D413" t="str">
            <v>狩人の挽歌</v>
          </cell>
          <cell r="E413" t="str">
            <v>ドロップイベント5（マルチ専用）</v>
          </cell>
          <cell r="F413">
            <v>2</v>
          </cell>
          <cell r="G413" t="str">
            <v>ja</v>
          </cell>
          <cell r="H413" t="str">
            <v>【超絶級】狩人の挽歌</v>
          </cell>
          <cell r="I413" t="str">
            <v>超絶級</v>
          </cell>
          <cell r="J413">
            <v>453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20</v>
          </cell>
          <cell r="AD413">
            <v>6</v>
          </cell>
          <cell r="AE413" t="str">
            <v>multionly</v>
          </cell>
        </row>
        <row r="414">
          <cell r="A414" t="str">
            <v>30018_1</v>
          </cell>
          <cell r="B414">
            <v>3</v>
          </cell>
          <cell r="C414">
            <v>30018</v>
          </cell>
          <cell r="D414" t="str">
            <v>バックストリートファイト</v>
          </cell>
          <cell r="E414" t="str">
            <v>ドロップイベント5（マルチ専用）</v>
          </cell>
          <cell r="F414">
            <v>1</v>
          </cell>
          <cell r="G414" t="str">
            <v>ja</v>
          </cell>
          <cell r="H414" t="str">
            <v>【超級】バックストリートファイト</v>
          </cell>
          <cell r="I414" t="str">
            <v>超級</v>
          </cell>
          <cell r="J414">
            <v>454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0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14</v>
          </cell>
          <cell r="AD414">
            <v>6</v>
          </cell>
          <cell r="AE414" t="str">
            <v>everyone</v>
          </cell>
        </row>
        <row r="415">
          <cell r="A415" t="str">
            <v>30018_2</v>
          </cell>
          <cell r="B415">
            <v>3</v>
          </cell>
          <cell r="C415">
            <v>30018</v>
          </cell>
          <cell r="D415" t="str">
            <v>バックストリートファイト</v>
          </cell>
          <cell r="E415" t="str">
            <v>ドロップイベント5（マルチ専用）</v>
          </cell>
          <cell r="F415">
            <v>2</v>
          </cell>
          <cell r="G415" t="str">
            <v>ja</v>
          </cell>
          <cell r="H415" t="str">
            <v>【超絶級】バックストリートファイト</v>
          </cell>
          <cell r="I415" t="str">
            <v>超絶級</v>
          </cell>
          <cell r="J415">
            <v>455</v>
          </cell>
          <cell r="K415">
            <v>35</v>
          </cell>
          <cell r="L415">
            <v>4200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0</v>
          </cell>
          <cell r="R415">
            <v>3</v>
          </cell>
          <cell r="S415" t="str">
            <v>polygon</v>
          </cell>
          <cell r="T415">
            <v>1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14</v>
          </cell>
          <cell r="AD415">
            <v>6</v>
          </cell>
          <cell r="AE415" t="str">
            <v>everyone</v>
          </cell>
        </row>
        <row r="416">
          <cell r="A416" t="str">
            <v>30019_1</v>
          </cell>
          <cell r="B416">
            <v>3</v>
          </cell>
          <cell r="C416">
            <v>30019</v>
          </cell>
          <cell r="D416" t="str">
            <v>狙撃は終わらない</v>
          </cell>
          <cell r="E416" t="str">
            <v>ドロップイベント5（マルチ専用）</v>
          </cell>
          <cell r="F416">
            <v>1</v>
          </cell>
          <cell r="G416" t="str">
            <v>ja</v>
          </cell>
          <cell r="H416" t="str">
            <v>【超級】狙撃は終わらない</v>
          </cell>
          <cell r="I416" t="str">
            <v>超級</v>
          </cell>
          <cell r="J416">
            <v>456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24</v>
          </cell>
          <cell r="AD416">
            <v>6</v>
          </cell>
          <cell r="AE416" t="str">
            <v>multionly</v>
          </cell>
        </row>
        <row r="417">
          <cell r="A417" t="str">
            <v>30019_2</v>
          </cell>
          <cell r="B417">
            <v>3</v>
          </cell>
          <cell r="C417">
            <v>30019</v>
          </cell>
          <cell r="D417" t="str">
            <v>狙撃は終わらない</v>
          </cell>
          <cell r="E417" t="str">
            <v>ドロップイベント5（マルチ専用）</v>
          </cell>
          <cell r="F417">
            <v>2</v>
          </cell>
          <cell r="G417" t="str">
            <v>ja</v>
          </cell>
          <cell r="H417" t="str">
            <v>【超絶級】狙撃は終わらない</v>
          </cell>
          <cell r="I417" t="str">
            <v>超絶級</v>
          </cell>
          <cell r="J417">
            <v>457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24</v>
          </cell>
          <cell r="AD417">
            <v>6</v>
          </cell>
          <cell r="AE417" t="str">
            <v>multionly</v>
          </cell>
        </row>
        <row r="418">
          <cell r="A418" t="str">
            <v>30020_1</v>
          </cell>
          <cell r="B418">
            <v>3</v>
          </cell>
          <cell r="C418">
            <v>30020</v>
          </cell>
          <cell r="D418" t="str">
            <v>若造よ、身の程を知れ</v>
          </cell>
          <cell r="E418" t="str">
            <v>ドロップイベント5（マルチ専用）</v>
          </cell>
          <cell r="F418">
            <v>1</v>
          </cell>
          <cell r="G418" t="str">
            <v>ja</v>
          </cell>
          <cell r="H418" t="str">
            <v>【超級】若造よ、身の程を知れ</v>
          </cell>
          <cell r="I418" t="str">
            <v>超級</v>
          </cell>
          <cell r="J418">
            <v>458</v>
          </cell>
          <cell r="K418">
            <v>30</v>
          </cell>
          <cell r="L418">
            <v>3300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13</v>
          </cell>
          <cell r="AD418">
            <v>6</v>
          </cell>
          <cell r="AE418" t="str">
            <v>everyone</v>
          </cell>
        </row>
        <row r="419">
          <cell r="A419" t="str">
            <v>30020_2</v>
          </cell>
          <cell r="B419">
            <v>3</v>
          </cell>
          <cell r="C419">
            <v>30020</v>
          </cell>
          <cell r="D419" t="str">
            <v>若造よ、身の程を知れ</v>
          </cell>
          <cell r="E419" t="str">
            <v>ドロップイベント5（マルチ専用）</v>
          </cell>
          <cell r="F419">
            <v>2</v>
          </cell>
          <cell r="G419" t="str">
            <v>ja</v>
          </cell>
          <cell r="H419" t="str">
            <v>【超絶級】若造よ、身の程を知れ</v>
          </cell>
          <cell r="I419" t="str">
            <v>超絶級</v>
          </cell>
          <cell r="J419">
            <v>459</v>
          </cell>
          <cell r="K419">
            <v>35</v>
          </cell>
          <cell r="L419">
            <v>4200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13</v>
          </cell>
          <cell r="AD419">
            <v>6</v>
          </cell>
          <cell r="AE419" t="str">
            <v>everyone</v>
          </cell>
        </row>
        <row r="420">
          <cell r="A420" t="str">
            <v>30021_1</v>
          </cell>
          <cell r="B420">
            <v>3</v>
          </cell>
          <cell r="C420">
            <v>30021</v>
          </cell>
          <cell r="D420" t="str">
            <v>野獣死すべしっ！</v>
          </cell>
          <cell r="E420" t="str">
            <v>ドロップイベント6（マルチ専用）</v>
          </cell>
          <cell r="F420">
            <v>1</v>
          </cell>
          <cell r="G420" t="str">
            <v>ja</v>
          </cell>
          <cell r="H420" t="str">
            <v>【中級】野獣死すべしっ！</v>
          </cell>
          <cell r="I420" t="str">
            <v>中級</v>
          </cell>
          <cell r="J420">
            <v>502</v>
          </cell>
          <cell r="K420">
            <v>15</v>
          </cell>
          <cell r="L420">
            <v>1200</v>
          </cell>
          <cell r="M420">
            <v>1</v>
          </cell>
          <cell r="N420">
            <v>1</v>
          </cell>
          <cell r="O420">
            <v>0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14</v>
          </cell>
          <cell r="AD420">
            <v>6</v>
          </cell>
          <cell r="AE420" t="str">
            <v>everyone</v>
          </cell>
        </row>
        <row r="421">
          <cell r="A421" t="str">
            <v>30021_2</v>
          </cell>
          <cell r="B421">
            <v>3</v>
          </cell>
          <cell r="C421">
            <v>30021</v>
          </cell>
          <cell r="D421" t="str">
            <v>野獣死すべしっ！</v>
          </cell>
          <cell r="E421" t="str">
            <v>ドロップイベント6（マルチ専用）</v>
          </cell>
          <cell r="F421">
            <v>2</v>
          </cell>
          <cell r="G421" t="str">
            <v>ja</v>
          </cell>
          <cell r="H421" t="str">
            <v>【上級】野獣死すべしっ！</v>
          </cell>
          <cell r="I421" t="str">
            <v>上級</v>
          </cell>
          <cell r="J421">
            <v>502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0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14</v>
          </cell>
          <cell r="AD421">
            <v>6</v>
          </cell>
          <cell r="AE421" t="str">
            <v>everyone</v>
          </cell>
        </row>
        <row r="422">
          <cell r="A422" t="str">
            <v>30021_3</v>
          </cell>
          <cell r="B422">
            <v>3</v>
          </cell>
          <cell r="C422">
            <v>30021</v>
          </cell>
          <cell r="D422" t="str">
            <v>野獣死すべしっ！</v>
          </cell>
          <cell r="E422" t="str">
            <v>ドロップイベント6（マルチ専用）</v>
          </cell>
          <cell r="F422">
            <v>3</v>
          </cell>
          <cell r="G422" t="str">
            <v>ja</v>
          </cell>
          <cell r="H422" t="str">
            <v>【超級】野獣死すべしっ！</v>
          </cell>
          <cell r="I422" t="str">
            <v>超級</v>
          </cell>
          <cell r="J422">
            <v>503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0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14</v>
          </cell>
          <cell r="AD422">
            <v>6</v>
          </cell>
          <cell r="AE422" t="str">
            <v>everyone</v>
          </cell>
        </row>
        <row r="423">
          <cell r="A423" t="str">
            <v>30022_1</v>
          </cell>
          <cell r="B423">
            <v>3</v>
          </cell>
          <cell r="C423">
            <v>30022</v>
          </cell>
          <cell r="D423" t="str">
            <v>凶鼠ネコを咬む</v>
          </cell>
          <cell r="E423" t="str">
            <v>ドロップイベント6（マルチ専用）</v>
          </cell>
          <cell r="F423">
            <v>1</v>
          </cell>
          <cell r="G423" t="str">
            <v>ja</v>
          </cell>
          <cell r="H423" t="str">
            <v>【超級】凶鼠ネコを咬む</v>
          </cell>
          <cell r="I423" t="str">
            <v>超級</v>
          </cell>
          <cell r="J423">
            <v>504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6</v>
          </cell>
          <cell r="AD423">
            <v>6</v>
          </cell>
          <cell r="AE423" t="str">
            <v>everyone</v>
          </cell>
        </row>
        <row r="424">
          <cell r="A424" t="str">
            <v>30022_2</v>
          </cell>
          <cell r="B424">
            <v>3</v>
          </cell>
          <cell r="C424">
            <v>30022</v>
          </cell>
          <cell r="D424" t="str">
            <v>凶鼠ネコを咬む</v>
          </cell>
          <cell r="E424" t="str">
            <v>ドロップイベント6（マルチ専用）</v>
          </cell>
          <cell r="F424">
            <v>2</v>
          </cell>
          <cell r="G424" t="str">
            <v>ja</v>
          </cell>
          <cell r="H424" t="str">
            <v>【超絶級】凶鼠ネコを咬む</v>
          </cell>
          <cell r="I424" t="str">
            <v>超絶級</v>
          </cell>
          <cell r="J424">
            <v>505</v>
          </cell>
          <cell r="K424">
            <v>35</v>
          </cell>
          <cell r="L424">
            <v>4200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polygon</v>
          </cell>
          <cell r="T424">
            <v>1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6</v>
          </cell>
          <cell r="AD424">
            <v>6</v>
          </cell>
          <cell r="AE424" t="str">
            <v>everyone</v>
          </cell>
        </row>
        <row r="425">
          <cell r="A425" t="str">
            <v>30023_1</v>
          </cell>
          <cell r="B425">
            <v>3</v>
          </cell>
          <cell r="C425">
            <v>30023</v>
          </cell>
          <cell r="D425" t="str">
            <v>隔離からのエスケイプ</v>
          </cell>
          <cell r="E425" t="str">
            <v>ドロップイベント6（マルチ専用）</v>
          </cell>
          <cell r="F425">
            <v>1</v>
          </cell>
          <cell r="G425" t="str">
            <v>ja</v>
          </cell>
          <cell r="H425" t="str">
            <v>【中級】隔離からのエスケイプ</v>
          </cell>
          <cell r="I425" t="str">
            <v>中級</v>
          </cell>
          <cell r="J425">
            <v>506</v>
          </cell>
          <cell r="K425">
            <v>15</v>
          </cell>
          <cell r="L425">
            <v>1200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25</v>
          </cell>
          <cell r="AD425">
            <v>6</v>
          </cell>
          <cell r="AE425" t="str">
            <v>everyone</v>
          </cell>
        </row>
        <row r="426">
          <cell r="A426" t="str">
            <v>30023_2</v>
          </cell>
          <cell r="B426">
            <v>3</v>
          </cell>
          <cell r="C426">
            <v>30023</v>
          </cell>
          <cell r="D426" t="str">
            <v>隔離からのエスケイプ</v>
          </cell>
          <cell r="E426" t="str">
            <v>ドロップイベント6（マルチ専用）</v>
          </cell>
          <cell r="F426">
            <v>2</v>
          </cell>
          <cell r="G426" t="str">
            <v>ja</v>
          </cell>
          <cell r="H426" t="str">
            <v>【上級】隔離からのエスケイプ</v>
          </cell>
          <cell r="I426" t="str">
            <v>上級</v>
          </cell>
          <cell r="J426">
            <v>506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25</v>
          </cell>
          <cell r="AD426">
            <v>6</v>
          </cell>
          <cell r="AE426" t="str">
            <v>everyone</v>
          </cell>
        </row>
        <row r="427">
          <cell r="A427" t="str">
            <v>30023_3</v>
          </cell>
          <cell r="B427">
            <v>3</v>
          </cell>
          <cell r="C427">
            <v>30023</v>
          </cell>
          <cell r="D427" t="str">
            <v>隔離からのエスケイプ</v>
          </cell>
          <cell r="E427" t="str">
            <v>ドロップイベント6（マルチ専用）</v>
          </cell>
          <cell r="F427">
            <v>3</v>
          </cell>
          <cell r="G427" t="str">
            <v>ja</v>
          </cell>
          <cell r="H427" t="str">
            <v>【超級】隔離からのエスケイプ</v>
          </cell>
          <cell r="I427" t="str">
            <v>超級</v>
          </cell>
          <cell r="J427">
            <v>507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polygon</v>
          </cell>
          <cell r="T427">
            <v>1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25</v>
          </cell>
          <cell r="AD427">
            <v>6</v>
          </cell>
          <cell r="AE427" t="str">
            <v>everyone</v>
          </cell>
        </row>
        <row r="428">
          <cell r="A428" t="str">
            <v>30024_1</v>
          </cell>
          <cell r="B428">
            <v>3</v>
          </cell>
          <cell r="C428">
            <v>30024</v>
          </cell>
          <cell r="D428" t="str">
            <v>雷鎚の選定</v>
          </cell>
          <cell r="E428" t="str">
            <v>ドロップイベント7（マルチ専用）</v>
          </cell>
          <cell r="F428">
            <v>1</v>
          </cell>
          <cell r="G428" t="str">
            <v>ja</v>
          </cell>
          <cell r="H428" t="str">
            <v>【中級】雷鎚の選定</v>
          </cell>
          <cell r="I428" t="str">
            <v>中級</v>
          </cell>
          <cell r="J428">
            <v>583</v>
          </cell>
          <cell r="K428">
            <v>15</v>
          </cell>
          <cell r="L428">
            <v>1200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</v>
          </cell>
          <cell r="AD428">
            <v>6</v>
          </cell>
          <cell r="AE428" t="str">
            <v>multionly</v>
          </cell>
        </row>
        <row r="429">
          <cell r="A429" t="str">
            <v>30024_2</v>
          </cell>
          <cell r="B429">
            <v>3</v>
          </cell>
          <cell r="C429">
            <v>30024</v>
          </cell>
          <cell r="D429" t="str">
            <v>雷鎚の選定</v>
          </cell>
          <cell r="E429" t="str">
            <v>ドロップイベント7（マルチ専用）</v>
          </cell>
          <cell r="F429">
            <v>2</v>
          </cell>
          <cell r="G429" t="str">
            <v>ja</v>
          </cell>
          <cell r="H429" t="str">
            <v>【上級】雷鎚の選定</v>
          </cell>
          <cell r="I429" t="str">
            <v>上級</v>
          </cell>
          <cell r="J429">
            <v>583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</v>
          </cell>
          <cell r="AD429">
            <v>6</v>
          </cell>
          <cell r="AE429" t="str">
            <v>multionly</v>
          </cell>
        </row>
        <row r="430">
          <cell r="A430" t="str">
            <v>30024_3</v>
          </cell>
          <cell r="B430">
            <v>3</v>
          </cell>
          <cell r="C430">
            <v>30024</v>
          </cell>
          <cell r="D430" t="str">
            <v>雷鎚の選定</v>
          </cell>
          <cell r="E430" t="str">
            <v>ドロップイベント7（マルチ専用）</v>
          </cell>
          <cell r="F430">
            <v>3</v>
          </cell>
          <cell r="G430" t="str">
            <v>ja</v>
          </cell>
          <cell r="H430" t="str">
            <v>【超級】雷鎚の選定</v>
          </cell>
          <cell r="I430" t="str">
            <v>超級</v>
          </cell>
          <cell r="J430">
            <v>584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20</v>
          </cell>
          <cell r="AD430">
            <v>6</v>
          </cell>
          <cell r="AE430" t="str">
            <v>multionly</v>
          </cell>
        </row>
        <row r="431">
          <cell r="A431" t="str">
            <v>30025_1</v>
          </cell>
          <cell r="B431">
            <v>3</v>
          </cell>
          <cell r="C431">
            <v>30025</v>
          </cell>
          <cell r="D431" t="str">
            <v>真実の探求者</v>
          </cell>
          <cell r="E431" t="str">
            <v>ドロップイベント7（マルチ専用）</v>
          </cell>
          <cell r="F431">
            <v>1</v>
          </cell>
          <cell r="G431" t="str">
            <v>ja</v>
          </cell>
          <cell r="H431" t="str">
            <v>【中級】真実の探求者</v>
          </cell>
          <cell r="I431" t="str">
            <v>中級</v>
          </cell>
          <cell r="J431">
            <v>579</v>
          </cell>
          <cell r="K431">
            <v>15</v>
          </cell>
          <cell r="L431">
            <v>1200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7</v>
          </cell>
          <cell r="AD431">
            <v>6</v>
          </cell>
          <cell r="AE431" t="str">
            <v>everyone</v>
          </cell>
        </row>
        <row r="432">
          <cell r="A432" t="str">
            <v>30025_2</v>
          </cell>
          <cell r="B432">
            <v>3</v>
          </cell>
          <cell r="C432">
            <v>30025</v>
          </cell>
          <cell r="D432" t="str">
            <v>真実の探求者</v>
          </cell>
          <cell r="E432" t="str">
            <v>ドロップイベント7（マルチ専用）</v>
          </cell>
          <cell r="F432">
            <v>2</v>
          </cell>
          <cell r="G432" t="str">
            <v>ja</v>
          </cell>
          <cell r="H432" t="str">
            <v>【上級】真実の探求者</v>
          </cell>
          <cell r="I432" t="str">
            <v>上級</v>
          </cell>
          <cell r="J432">
            <v>579</v>
          </cell>
          <cell r="K432">
            <v>20</v>
          </cell>
          <cell r="L432">
            <v>2000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everyone</v>
          </cell>
        </row>
        <row r="433">
          <cell r="A433" t="str">
            <v>30025_3</v>
          </cell>
          <cell r="B433">
            <v>3</v>
          </cell>
          <cell r="C433">
            <v>30025</v>
          </cell>
          <cell r="D433" t="str">
            <v>真実の探求者</v>
          </cell>
          <cell r="E433" t="str">
            <v>ドロップイベント7（マルチ専用）</v>
          </cell>
          <cell r="F433">
            <v>3</v>
          </cell>
          <cell r="G433" t="str">
            <v>ja</v>
          </cell>
          <cell r="H433" t="str">
            <v>【超級】真実の探求者</v>
          </cell>
          <cell r="I433" t="str">
            <v>超級</v>
          </cell>
          <cell r="J433">
            <v>580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7</v>
          </cell>
          <cell r="AD433">
            <v>6</v>
          </cell>
          <cell r="AE433" t="str">
            <v>everyone</v>
          </cell>
        </row>
        <row r="434">
          <cell r="A434" t="str">
            <v>30026_1</v>
          </cell>
          <cell r="B434">
            <v>3</v>
          </cell>
          <cell r="C434">
            <v>30026</v>
          </cell>
          <cell r="D434" t="str">
            <v>道を阻む妖精夫婦</v>
          </cell>
          <cell r="E434" t="str">
            <v>ドロップイベント7（マルチ専用）</v>
          </cell>
          <cell r="F434">
            <v>1</v>
          </cell>
          <cell r="G434" t="str">
            <v>ja</v>
          </cell>
          <cell r="H434" t="str">
            <v>【中級】道を阻む妖精夫婦</v>
          </cell>
          <cell r="I434" t="str">
            <v>中級</v>
          </cell>
          <cell r="J434">
            <v>577</v>
          </cell>
          <cell r="K434">
            <v>15</v>
          </cell>
          <cell r="L434">
            <v>1200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21</v>
          </cell>
          <cell r="AD434">
            <v>6</v>
          </cell>
          <cell r="AE434" t="str">
            <v>everyone</v>
          </cell>
        </row>
        <row r="435">
          <cell r="A435" t="str">
            <v>30026_2</v>
          </cell>
          <cell r="B435">
            <v>3</v>
          </cell>
          <cell r="C435">
            <v>30026</v>
          </cell>
          <cell r="D435" t="str">
            <v>道を阻む妖精夫婦</v>
          </cell>
          <cell r="E435" t="str">
            <v>ドロップイベント7（マルチ専用）</v>
          </cell>
          <cell r="F435">
            <v>2</v>
          </cell>
          <cell r="G435" t="str">
            <v>ja</v>
          </cell>
          <cell r="H435" t="str">
            <v>【上級】道を阻む妖精夫婦</v>
          </cell>
          <cell r="I435" t="str">
            <v>上級</v>
          </cell>
          <cell r="J435">
            <v>577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21</v>
          </cell>
          <cell r="AD435">
            <v>6</v>
          </cell>
          <cell r="AE435" t="str">
            <v>everyone</v>
          </cell>
        </row>
        <row r="436">
          <cell r="A436" t="str">
            <v>30026_3</v>
          </cell>
          <cell r="B436">
            <v>3</v>
          </cell>
          <cell r="C436">
            <v>30026</v>
          </cell>
          <cell r="D436" t="str">
            <v>道を阻む妖精夫婦</v>
          </cell>
          <cell r="E436" t="str">
            <v>ドロップイベント7（マルチ専用）</v>
          </cell>
          <cell r="F436">
            <v>3</v>
          </cell>
          <cell r="G436" t="str">
            <v>ja</v>
          </cell>
          <cell r="H436" t="str">
            <v>【超級】道を阻む妖精夫婦</v>
          </cell>
          <cell r="I436" t="str">
            <v>超級</v>
          </cell>
          <cell r="J436">
            <v>578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21</v>
          </cell>
          <cell r="AD436">
            <v>6</v>
          </cell>
          <cell r="AE436" t="str">
            <v>everyone</v>
          </cell>
        </row>
        <row r="437">
          <cell r="A437" t="str">
            <v>30027_1</v>
          </cell>
          <cell r="B437">
            <v>3</v>
          </cell>
          <cell r="C437">
            <v>30027</v>
          </cell>
          <cell r="D437" t="str">
            <v>凍りつくまで愛してあげる</v>
          </cell>
          <cell r="E437" t="str">
            <v>ドロップイベント7（マルチ専用）</v>
          </cell>
          <cell r="F437">
            <v>1</v>
          </cell>
          <cell r="G437" t="str">
            <v>ja</v>
          </cell>
          <cell r="H437" t="str">
            <v>【中級】凍りつくまで愛してあげる</v>
          </cell>
          <cell r="I437" t="str">
            <v>中級</v>
          </cell>
          <cell r="J437">
            <v>646</v>
          </cell>
          <cell r="K437">
            <v>15</v>
          </cell>
          <cell r="L437">
            <v>1200</v>
          </cell>
          <cell r="M437">
            <v>0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9</v>
          </cell>
          <cell r="AD437">
            <v>6</v>
          </cell>
          <cell r="AE437" t="str">
            <v>everyone</v>
          </cell>
        </row>
        <row r="438">
          <cell r="A438" t="str">
            <v>30027_2</v>
          </cell>
          <cell r="B438">
            <v>3</v>
          </cell>
          <cell r="C438">
            <v>30027</v>
          </cell>
          <cell r="D438" t="str">
            <v>凍りつくまで愛してあげる</v>
          </cell>
          <cell r="E438" t="str">
            <v>ドロップイベント7（マルチ専用）</v>
          </cell>
          <cell r="F438">
            <v>2</v>
          </cell>
          <cell r="G438" t="str">
            <v>ja</v>
          </cell>
          <cell r="H438" t="str">
            <v>【上級】凍りつくまで愛してあげる</v>
          </cell>
          <cell r="I438" t="str">
            <v>上級</v>
          </cell>
          <cell r="J438">
            <v>646</v>
          </cell>
          <cell r="K438">
            <v>20</v>
          </cell>
          <cell r="L438">
            <v>2000</v>
          </cell>
          <cell r="M438">
            <v>0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9</v>
          </cell>
          <cell r="AD438">
            <v>6</v>
          </cell>
          <cell r="AE438" t="str">
            <v>everyone</v>
          </cell>
        </row>
        <row r="439">
          <cell r="A439" t="str">
            <v>30027_3</v>
          </cell>
          <cell r="B439">
            <v>3</v>
          </cell>
          <cell r="C439">
            <v>30027</v>
          </cell>
          <cell r="D439" t="str">
            <v>凍りつくまで愛してあげる</v>
          </cell>
          <cell r="E439" t="str">
            <v>ドロップイベント7（マルチ専用）</v>
          </cell>
          <cell r="F439">
            <v>3</v>
          </cell>
          <cell r="G439" t="str">
            <v>ja</v>
          </cell>
          <cell r="H439" t="str">
            <v>【超級】凍りつくまで愛してあげる</v>
          </cell>
          <cell r="I439" t="str">
            <v>超級</v>
          </cell>
          <cell r="J439">
            <v>647</v>
          </cell>
          <cell r="K439">
            <v>30</v>
          </cell>
          <cell r="L439">
            <v>3300</v>
          </cell>
          <cell r="M439">
            <v>0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9</v>
          </cell>
          <cell r="AD439">
            <v>6</v>
          </cell>
          <cell r="AE439" t="str">
            <v>everyone</v>
          </cell>
        </row>
        <row r="440">
          <cell r="A440" t="str">
            <v>30028_1</v>
          </cell>
          <cell r="B440">
            <v>3</v>
          </cell>
          <cell r="C440">
            <v>30028</v>
          </cell>
          <cell r="D440" t="str">
            <v>最悪の刺客</v>
          </cell>
          <cell r="E440" t="str">
            <v>ドロップイベント8（マルチ専用）</v>
          </cell>
          <cell r="F440">
            <v>1</v>
          </cell>
          <cell r="G440" t="str">
            <v>ja</v>
          </cell>
          <cell r="H440" t="str">
            <v>【中級】最悪の刺客</v>
          </cell>
          <cell r="I440" t="str">
            <v>中級</v>
          </cell>
          <cell r="J440">
            <v>650</v>
          </cell>
          <cell r="K440">
            <v>15</v>
          </cell>
          <cell r="L440">
            <v>1200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2601</v>
          </cell>
          <cell r="AD440">
            <v>6</v>
          </cell>
          <cell r="AE440" t="str">
            <v>everyone</v>
          </cell>
        </row>
        <row r="441">
          <cell r="A441" t="str">
            <v>30028_2</v>
          </cell>
          <cell r="B441">
            <v>3</v>
          </cell>
          <cell r="C441">
            <v>30028</v>
          </cell>
          <cell r="D441" t="str">
            <v>最悪の刺客</v>
          </cell>
          <cell r="E441" t="str">
            <v>ドロップイベント8（マルチ専用）</v>
          </cell>
          <cell r="F441">
            <v>2</v>
          </cell>
          <cell r="G441" t="str">
            <v>ja</v>
          </cell>
          <cell r="H441" t="str">
            <v>【上級】最悪の刺客</v>
          </cell>
          <cell r="I441" t="str">
            <v>上級</v>
          </cell>
          <cell r="J441">
            <v>650</v>
          </cell>
          <cell r="K441">
            <v>20</v>
          </cell>
          <cell r="L441">
            <v>2000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2601</v>
          </cell>
          <cell r="AD441">
            <v>6</v>
          </cell>
          <cell r="AE441" t="str">
            <v>everyone</v>
          </cell>
        </row>
        <row r="442">
          <cell r="A442" t="str">
            <v>30028_3</v>
          </cell>
          <cell r="B442">
            <v>3</v>
          </cell>
          <cell r="C442">
            <v>30028</v>
          </cell>
          <cell r="D442" t="str">
            <v>最悪の刺客</v>
          </cell>
          <cell r="E442" t="str">
            <v>ドロップイベント8（マルチ専用）</v>
          </cell>
          <cell r="F442">
            <v>3</v>
          </cell>
          <cell r="G442" t="str">
            <v>ja</v>
          </cell>
          <cell r="H442" t="str">
            <v>【超級】最悪の刺客</v>
          </cell>
          <cell r="I442" t="str">
            <v>超級</v>
          </cell>
          <cell r="J442">
            <v>651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2601</v>
          </cell>
          <cell r="AD442">
            <v>6</v>
          </cell>
          <cell r="AE442" t="str">
            <v>everyone</v>
          </cell>
        </row>
        <row r="443">
          <cell r="A443" t="str">
            <v>30029_1</v>
          </cell>
          <cell r="B443">
            <v>3</v>
          </cell>
          <cell r="C443">
            <v>30029</v>
          </cell>
          <cell r="D443" t="str">
            <v>全ては主のために</v>
          </cell>
          <cell r="E443" t="str">
            <v>ドロップイベント8（マルチ専用）</v>
          </cell>
          <cell r="F443">
            <v>1</v>
          </cell>
          <cell r="G443" t="str">
            <v>ja</v>
          </cell>
          <cell r="H443" t="str">
            <v>【中級】全ては主のために</v>
          </cell>
          <cell r="I443" t="str">
            <v>中級</v>
          </cell>
          <cell r="J443">
            <v>648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5</v>
          </cell>
          <cell r="AD443">
            <v>6</v>
          </cell>
          <cell r="AE443" t="str">
            <v>everyone</v>
          </cell>
        </row>
        <row r="444">
          <cell r="A444" t="str">
            <v>30029_2</v>
          </cell>
          <cell r="B444">
            <v>3</v>
          </cell>
          <cell r="C444">
            <v>30029</v>
          </cell>
          <cell r="D444" t="str">
            <v>全ては主のために</v>
          </cell>
          <cell r="E444" t="str">
            <v>ドロップイベント8（マルチ専用）</v>
          </cell>
          <cell r="F444">
            <v>2</v>
          </cell>
          <cell r="G444" t="str">
            <v>ja</v>
          </cell>
          <cell r="H444" t="str">
            <v>【上級】全ては主のために</v>
          </cell>
          <cell r="I444" t="str">
            <v>上級</v>
          </cell>
          <cell r="J444">
            <v>648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5</v>
          </cell>
          <cell r="AD444">
            <v>6</v>
          </cell>
          <cell r="AE444" t="str">
            <v>everyone</v>
          </cell>
        </row>
        <row r="445">
          <cell r="A445" t="str">
            <v>30029_3</v>
          </cell>
          <cell r="B445">
            <v>3</v>
          </cell>
          <cell r="C445">
            <v>30029</v>
          </cell>
          <cell r="D445" t="str">
            <v>全ては主のために</v>
          </cell>
          <cell r="E445" t="str">
            <v>ドロップイベント8（マルチ専用）</v>
          </cell>
          <cell r="F445">
            <v>3</v>
          </cell>
          <cell r="G445" t="str">
            <v>ja</v>
          </cell>
          <cell r="H445" t="str">
            <v>【超級】全ては主のために</v>
          </cell>
          <cell r="I445" t="str">
            <v>超級</v>
          </cell>
          <cell r="J445">
            <v>648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5</v>
          </cell>
          <cell r="AD445">
            <v>6</v>
          </cell>
          <cell r="AE445" t="str">
            <v>everyone</v>
          </cell>
        </row>
        <row r="446">
          <cell r="A446" t="str">
            <v>30030_1</v>
          </cell>
          <cell r="B446">
            <v>3</v>
          </cell>
          <cell r="C446">
            <v>30030</v>
          </cell>
          <cell r="D446" t="str">
            <v>ここは誰の箱庭じゃ？</v>
          </cell>
          <cell r="E446" t="str">
            <v>ドロップイベント9（マルチ専用）</v>
          </cell>
          <cell r="F446">
            <v>1</v>
          </cell>
          <cell r="G446" t="str">
            <v>ja</v>
          </cell>
          <cell r="H446" t="str">
            <v>【中級】ここは誰の箱庭じゃ？</v>
          </cell>
          <cell r="I446" t="str">
            <v>中級</v>
          </cell>
          <cell r="J446">
            <v>652</v>
          </cell>
          <cell r="K446">
            <v>15</v>
          </cell>
          <cell r="L446">
            <v>1200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8</v>
          </cell>
          <cell r="AD446">
            <v>6</v>
          </cell>
          <cell r="AE446" t="str">
            <v>everyone</v>
          </cell>
        </row>
        <row r="447">
          <cell r="A447" t="str">
            <v>30030_2</v>
          </cell>
          <cell r="B447">
            <v>3</v>
          </cell>
          <cell r="C447">
            <v>30030</v>
          </cell>
          <cell r="D447" t="str">
            <v>ここは誰の箱庭じゃ？</v>
          </cell>
          <cell r="E447" t="str">
            <v>ドロップイベント9（マルチ専用）</v>
          </cell>
          <cell r="F447">
            <v>2</v>
          </cell>
          <cell r="G447" t="str">
            <v>ja</v>
          </cell>
          <cell r="H447" t="str">
            <v>【上級】ここは誰の箱庭じゃ？</v>
          </cell>
          <cell r="I447" t="str">
            <v>上級</v>
          </cell>
          <cell r="J447">
            <v>653</v>
          </cell>
          <cell r="K447">
            <v>20</v>
          </cell>
          <cell r="L447">
            <v>2000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8</v>
          </cell>
          <cell r="AD447">
            <v>6</v>
          </cell>
          <cell r="AE447" t="str">
            <v>everyone</v>
          </cell>
        </row>
        <row r="448">
          <cell r="A448" t="str">
            <v>30030_3</v>
          </cell>
          <cell r="B448">
            <v>3</v>
          </cell>
          <cell r="C448">
            <v>30030</v>
          </cell>
          <cell r="D448" t="str">
            <v>ここは誰の箱庭じゃ？</v>
          </cell>
          <cell r="E448" t="str">
            <v>ドロップイベント9（マルチ専用）</v>
          </cell>
          <cell r="F448">
            <v>3</v>
          </cell>
          <cell r="G448" t="str">
            <v>ja</v>
          </cell>
          <cell r="H448" t="str">
            <v>【超級】ここは誰の箱庭じゃ？</v>
          </cell>
          <cell r="I448" t="str">
            <v>超級</v>
          </cell>
          <cell r="J448">
            <v>653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8</v>
          </cell>
          <cell r="AD448">
            <v>6</v>
          </cell>
          <cell r="AE448" t="str">
            <v>everyone</v>
          </cell>
        </row>
        <row r="449">
          <cell r="A449" t="str">
            <v>30031_1</v>
          </cell>
          <cell r="B449">
            <v>3</v>
          </cell>
          <cell r="C449">
            <v>30031</v>
          </cell>
          <cell r="D449" t="str">
            <v>力への羨望</v>
          </cell>
          <cell r="E449" t="str">
            <v>ドロップイベント10（マルチ専用）</v>
          </cell>
          <cell r="F449">
            <v>1</v>
          </cell>
          <cell r="G449" t="str">
            <v>ja</v>
          </cell>
          <cell r="H449" t="str">
            <v>【中級】力への羨望</v>
          </cell>
          <cell r="I449" t="str">
            <v>中級</v>
          </cell>
          <cell r="J449">
            <v>764</v>
          </cell>
          <cell r="K449">
            <v>15</v>
          </cell>
          <cell r="L449">
            <v>1200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2601</v>
          </cell>
          <cell r="AD449">
            <v>6</v>
          </cell>
          <cell r="AE449" t="str">
            <v>everyone</v>
          </cell>
        </row>
        <row r="450">
          <cell r="A450" t="str">
            <v>30031_2</v>
          </cell>
          <cell r="B450">
            <v>3</v>
          </cell>
          <cell r="C450">
            <v>30031</v>
          </cell>
          <cell r="D450" t="str">
            <v>力への羨望</v>
          </cell>
          <cell r="E450" t="str">
            <v>ドロップイベント10（マルチ専用）</v>
          </cell>
          <cell r="F450">
            <v>2</v>
          </cell>
          <cell r="G450" t="str">
            <v>ja</v>
          </cell>
          <cell r="H450" t="str">
            <v>【上級】力への羨望</v>
          </cell>
          <cell r="I450" t="str">
            <v>上級</v>
          </cell>
          <cell r="J450">
            <v>764</v>
          </cell>
          <cell r="K450">
            <v>20</v>
          </cell>
          <cell r="L450">
            <v>2000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2601</v>
          </cell>
          <cell r="AD450">
            <v>6</v>
          </cell>
          <cell r="AE450" t="str">
            <v>everyone</v>
          </cell>
        </row>
        <row r="451">
          <cell r="A451" t="str">
            <v>30031_3</v>
          </cell>
          <cell r="B451">
            <v>3</v>
          </cell>
          <cell r="C451">
            <v>30031</v>
          </cell>
          <cell r="D451" t="str">
            <v>力への羨望</v>
          </cell>
          <cell r="E451" t="str">
            <v>ドロップイベント10（マルチ専用）</v>
          </cell>
          <cell r="F451">
            <v>3</v>
          </cell>
          <cell r="G451" t="str">
            <v>ja</v>
          </cell>
          <cell r="H451" t="str">
            <v>【超級】力への羨望</v>
          </cell>
          <cell r="I451" t="str">
            <v>超級</v>
          </cell>
          <cell r="J451">
            <v>765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2601</v>
          </cell>
          <cell r="AD451">
            <v>6</v>
          </cell>
          <cell r="AE451" t="str">
            <v>everyone</v>
          </cell>
        </row>
        <row r="452">
          <cell r="A452" t="str">
            <v>30032_1</v>
          </cell>
          <cell r="B452">
            <v>1</v>
          </cell>
          <cell r="C452">
            <v>30032</v>
          </cell>
          <cell r="D452" t="str">
            <v>サラマンダー</v>
          </cell>
          <cell r="E452" t="str">
            <v>円卓2（マルチ専用）</v>
          </cell>
          <cell r="F452">
            <v>1</v>
          </cell>
          <cell r="G452" t="str">
            <v>ja</v>
          </cell>
          <cell r="H452" t="str">
            <v>【中級】サラマンダー</v>
          </cell>
          <cell r="I452" t="str">
            <v>中級</v>
          </cell>
          <cell r="J452">
            <v>1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14</v>
          </cell>
          <cell r="AD452">
            <v>6</v>
          </cell>
          <cell r="AE452" t="str">
            <v>everyone</v>
          </cell>
        </row>
        <row r="453">
          <cell r="A453" t="str">
            <v>30032_2</v>
          </cell>
          <cell r="B453">
            <v>1</v>
          </cell>
          <cell r="C453">
            <v>30032</v>
          </cell>
          <cell r="D453" t="str">
            <v>サラマンダー</v>
          </cell>
          <cell r="E453" t="str">
            <v>円卓2（マルチ専用）</v>
          </cell>
          <cell r="F453">
            <v>2</v>
          </cell>
          <cell r="G453" t="str">
            <v>ja</v>
          </cell>
          <cell r="H453" t="str">
            <v>【上級】サラマンダー</v>
          </cell>
          <cell r="I453" t="str">
            <v>上級</v>
          </cell>
          <cell r="J453">
            <v>1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14</v>
          </cell>
          <cell r="AD453">
            <v>6</v>
          </cell>
          <cell r="AE453" t="str">
            <v>everyone</v>
          </cell>
        </row>
        <row r="454">
          <cell r="A454" t="str">
            <v>30032_3</v>
          </cell>
          <cell r="B454">
            <v>1</v>
          </cell>
          <cell r="C454">
            <v>30032</v>
          </cell>
          <cell r="D454" t="str">
            <v>サラマンダー</v>
          </cell>
          <cell r="E454" t="str">
            <v>円卓2（マルチ専用）</v>
          </cell>
          <cell r="F454">
            <v>3</v>
          </cell>
          <cell r="G454" t="str">
            <v>ja</v>
          </cell>
          <cell r="H454" t="str">
            <v>【超級】サラマンダー</v>
          </cell>
          <cell r="I454" t="str">
            <v>超級</v>
          </cell>
          <cell r="J454">
            <v>1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14</v>
          </cell>
          <cell r="AD454">
            <v>6</v>
          </cell>
          <cell r="AE454" t="str">
            <v>everyone</v>
          </cell>
        </row>
        <row r="455">
          <cell r="A455" t="str">
            <v>39001_1</v>
          </cell>
          <cell r="B455">
            <v>3</v>
          </cell>
          <cell r="C455">
            <v>39001</v>
          </cell>
          <cell r="D455" t="str">
            <v>雪の歌姫</v>
          </cell>
          <cell r="E455" t="str">
            <v>コラボクエスト</v>
          </cell>
          <cell r="F455">
            <v>1</v>
          </cell>
          <cell r="G455" t="str">
            <v>ja</v>
          </cell>
          <cell r="H455" t="str">
            <v>【初級】雪の歌姫</v>
          </cell>
          <cell r="I455" t="str">
            <v>初級</v>
          </cell>
          <cell r="J455">
            <v>525</v>
          </cell>
          <cell r="K455">
            <v>8</v>
          </cell>
          <cell r="L455">
            <v>384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909</v>
          </cell>
          <cell r="AD455">
            <v>6</v>
          </cell>
          <cell r="AE455" t="str">
            <v>everyone</v>
          </cell>
        </row>
        <row r="456">
          <cell r="A456" t="str">
            <v>39001_2</v>
          </cell>
          <cell r="B456">
            <v>3</v>
          </cell>
          <cell r="C456">
            <v>39001</v>
          </cell>
          <cell r="D456" t="str">
            <v>雪の歌姫</v>
          </cell>
          <cell r="E456" t="str">
            <v>コラボクエスト</v>
          </cell>
          <cell r="F456">
            <v>2</v>
          </cell>
          <cell r="G456" t="str">
            <v>ja</v>
          </cell>
          <cell r="H456" t="str">
            <v>【中級】雪の歌姫</v>
          </cell>
          <cell r="I456" t="str">
            <v>中級</v>
          </cell>
          <cell r="J456">
            <v>525</v>
          </cell>
          <cell r="K456">
            <v>15</v>
          </cell>
          <cell r="L456">
            <v>1200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909</v>
          </cell>
          <cell r="AD456">
            <v>6</v>
          </cell>
          <cell r="AE456" t="str">
            <v>everyone</v>
          </cell>
        </row>
        <row r="457">
          <cell r="A457" t="str">
            <v>39001_3</v>
          </cell>
          <cell r="B457">
            <v>3</v>
          </cell>
          <cell r="C457">
            <v>39001</v>
          </cell>
          <cell r="D457" t="str">
            <v>雪の歌姫</v>
          </cell>
          <cell r="E457" t="str">
            <v>コラボクエスト</v>
          </cell>
          <cell r="F457">
            <v>3</v>
          </cell>
          <cell r="G457" t="str">
            <v>ja</v>
          </cell>
          <cell r="H457" t="str">
            <v>【上級】雪の歌姫</v>
          </cell>
          <cell r="I457" t="str">
            <v>上級</v>
          </cell>
          <cell r="J457">
            <v>525</v>
          </cell>
          <cell r="K457">
            <v>20</v>
          </cell>
          <cell r="L457">
            <v>2000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909</v>
          </cell>
          <cell r="AD457">
            <v>6</v>
          </cell>
          <cell r="AE457" t="str">
            <v>everyone</v>
          </cell>
        </row>
        <row r="458">
          <cell r="A458" t="str">
            <v>39001_4</v>
          </cell>
          <cell r="B458">
            <v>3</v>
          </cell>
          <cell r="C458">
            <v>39001</v>
          </cell>
          <cell r="D458" t="str">
            <v>雪の歌姫</v>
          </cell>
          <cell r="E458" t="str">
            <v>コラボクエスト</v>
          </cell>
          <cell r="F458">
            <v>4</v>
          </cell>
          <cell r="G458" t="str">
            <v>ja</v>
          </cell>
          <cell r="H458" t="str">
            <v>【超級】雪の歌姫</v>
          </cell>
          <cell r="I458" t="str">
            <v>超級</v>
          </cell>
          <cell r="J458">
            <v>526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909</v>
          </cell>
          <cell r="AD458">
            <v>6</v>
          </cell>
          <cell r="AE458" t="str">
            <v>everyone</v>
          </cell>
        </row>
        <row r="459">
          <cell r="A459" t="str">
            <v>39001_5</v>
          </cell>
          <cell r="B459">
            <v>3</v>
          </cell>
          <cell r="C459">
            <v>39001</v>
          </cell>
          <cell r="D459" t="str">
            <v>雪の歌姫</v>
          </cell>
          <cell r="E459" t="str">
            <v>コラボクエスト</v>
          </cell>
          <cell r="F459">
            <v>5</v>
          </cell>
          <cell r="G459" t="str">
            <v>ja</v>
          </cell>
          <cell r="H459" t="str">
            <v>【超絶級】雪の歌姫</v>
          </cell>
          <cell r="I459" t="str">
            <v>超絶級</v>
          </cell>
          <cell r="J459">
            <v>526</v>
          </cell>
          <cell r="K459">
            <v>35</v>
          </cell>
          <cell r="L459">
            <v>4200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909</v>
          </cell>
          <cell r="AD459">
            <v>6</v>
          </cell>
          <cell r="AE459" t="str">
            <v>everyone</v>
          </cell>
        </row>
        <row r="460">
          <cell r="A460" t="str">
            <v>39002_1</v>
          </cell>
          <cell r="B460">
            <v>1</v>
          </cell>
          <cell r="C460">
            <v>39002</v>
          </cell>
          <cell r="D460" t="str">
            <v>Y</v>
          </cell>
          <cell r="E460" t="str">
            <v>コラボクエスト</v>
          </cell>
          <cell r="F460">
            <v>1</v>
          </cell>
          <cell r="G460" t="str">
            <v>ja</v>
          </cell>
          <cell r="H460" t="str">
            <v>【初級】デ黄編</v>
          </cell>
          <cell r="I460" t="str">
            <v>初級</v>
          </cell>
          <cell r="J460">
            <v>1</v>
          </cell>
          <cell r="K460">
            <v>8</v>
          </cell>
          <cell r="L460">
            <v>384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39002_2</v>
          </cell>
          <cell r="B461">
            <v>1</v>
          </cell>
          <cell r="C461">
            <v>39002</v>
          </cell>
          <cell r="D461" t="str">
            <v>Y</v>
          </cell>
          <cell r="E461" t="str">
            <v>コラボクエスト</v>
          </cell>
          <cell r="F461">
            <v>2</v>
          </cell>
          <cell r="G461" t="str">
            <v>ja</v>
          </cell>
          <cell r="H461" t="str">
            <v>【中級】デ黄編</v>
          </cell>
          <cell r="I461" t="str">
            <v>中級</v>
          </cell>
          <cell r="J461">
            <v>1</v>
          </cell>
          <cell r="K461">
            <v>15</v>
          </cell>
          <cell r="L461">
            <v>1200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39002_3</v>
          </cell>
          <cell r="B462">
            <v>1</v>
          </cell>
          <cell r="C462">
            <v>39002</v>
          </cell>
          <cell r="D462" t="str">
            <v>Y</v>
          </cell>
          <cell r="E462" t="str">
            <v>コラボクエスト</v>
          </cell>
          <cell r="F462">
            <v>3</v>
          </cell>
          <cell r="G462" t="str">
            <v>ja</v>
          </cell>
          <cell r="H462" t="str">
            <v>【上級】デ黄編</v>
          </cell>
          <cell r="I462" t="str">
            <v>上級</v>
          </cell>
          <cell r="J462">
            <v>1</v>
          </cell>
          <cell r="K462">
            <v>20</v>
          </cell>
          <cell r="L462">
            <v>2000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14</v>
          </cell>
          <cell r="AD462">
            <v>6</v>
          </cell>
          <cell r="AE462" t="str">
            <v>everyone</v>
          </cell>
        </row>
        <row r="463">
          <cell r="A463" t="str">
            <v>39002_4</v>
          </cell>
          <cell r="B463">
            <v>1</v>
          </cell>
          <cell r="C463">
            <v>39002</v>
          </cell>
          <cell r="D463" t="str">
            <v>Y</v>
          </cell>
          <cell r="E463" t="str">
            <v>コラボクエスト</v>
          </cell>
          <cell r="F463">
            <v>4</v>
          </cell>
          <cell r="G463" t="str">
            <v>ja</v>
          </cell>
          <cell r="H463" t="str">
            <v>【超級】デ黄編</v>
          </cell>
          <cell r="I463" t="str">
            <v>超級</v>
          </cell>
          <cell r="J463">
            <v>1</v>
          </cell>
          <cell r="K463">
            <v>30</v>
          </cell>
          <cell r="L463">
            <v>3300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39003_1</v>
          </cell>
          <cell r="B464">
            <v>1</v>
          </cell>
          <cell r="C464">
            <v>39003</v>
          </cell>
          <cell r="D464" t="str">
            <v>B</v>
          </cell>
          <cell r="E464" t="str">
            <v>コラボクエスト</v>
          </cell>
          <cell r="F464">
            <v>1</v>
          </cell>
          <cell r="G464" t="str">
            <v>ja</v>
          </cell>
          <cell r="H464" t="str">
            <v>【初級】デ青編</v>
          </cell>
          <cell r="I464" t="str">
            <v>初級</v>
          </cell>
          <cell r="J464">
            <v>1</v>
          </cell>
          <cell r="K464">
            <v>8</v>
          </cell>
          <cell r="L464">
            <v>384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14</v>
          </cell>
          <cell r="AD464">
            <v>6</v>
          </cell>
          <cell r="AE464" t="str">
            <v>everyone</v>
          </cell>
        </row>
        <row r="465">
          <cell r="A465" t="str">
            <v>39003_2</v>
          </cell>
          <cell r="B465">
            <v>1</v>
          </cell>
          <cell r="C465">
            <v>39003</v>
          </cell>
          <cell r="D465" t="str">
            <v>B</v>
          </cell>
          <cell r="E465" t="str">
            <v>コラボクエスト</v>
          </cell>
          <cell r="F465">
            <v>2</v>
          </cell>
          <cell r="G465" t="str">
            <v>ja</v>
          </cell>
          <cell r="H465" t="str">
            <v>【中級】デ青編</v>
          </cell>
          <cell r="I465" t="str">
            <v>中級</v>
          </cell>
          <cell r="J465">
            <v>1</v>
          </cell>
          <cell r="K465">
            <v>15</v>
          </cell>
          <cell r="L465">
            <v>1200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14</v>
          </cell>
          <cell r="AD465">
            <v>6</v>
          </cell>
          <cell r="AE465" t="str">
            <v>everyone</v>
          </cell>
        </row>
        <row r="466">
          <cell r="A466" t="str">
            <v>39003_3</v>
          </cell>
          <cell r="B466">
            <v>1</v>
          </cell>
          <cell r="C466">
            <v>39003</v>
          </cell>
          <cell r="D466" t="str">
            <v>B</v>
          </cell>
          <cell r="E466" t="str">
            <v>コラボクエスト</v>
          </cell>
          <cell r="F466">
            <v>3</v>
          </cell>
          <cell r="G466" t="str">
            <v>ja</v>
          </cell>
          <cell r="H466" t="str">
            <v>【上級】デ青編</v>
          </cell>
          <cell r="I466" t="str">
            <v>上級</v>
          </cell>
          <cell r="J466">
            <v>1</v>
          </cell>
          <cell r="K466">
            <v>20</v>
          </cell>
          <cell r="L466">
            <v>2000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14</v>
          </cell>
          <cell r="AD466">
            <v>6</v>
          </cell>
          <cell r="AE466" t="str">
            <v>everyone</v>
          </cell>
        </row>
        <row r="467">
          <cell r="A467" t="str">
            <v>39003_4</v>
          </cell>
          <cell r="B467">
            <v>1</v>
          </cell>
          <cell r="C467">
            <v>39003</v>
          </cell>
          <cell r="D467" t="str">
            <v>B</v>
          </cell>
          <cell r="E467" t="str">
            <v>コラボクエスト</v>
          </cell>
          <cell r="F467">
            <v>4</v>
          </cell>
          <cell r="G467" t="str">
            <v>ja</v>
          </cell>
          <cell r="H467" t="str">
            <v>【超級】デ青編</v>
          </cell>
          <cell r="I467" t="str">
            <v>超級</v>
          </cell>
          <cell r="J467">
            <v>1</v>
          </cell>
          <cell r="K467">
            <v>30</v>
          </cell>
          <cell r="L467">
            <v>3300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14</v>
          </cell>
          <cell r="AD467">
            <v>6</v>
          </cell>
          <cell r="AE467" t="str">
            <v>everyone</v>
          </cell>
        </row>
        <row r="468">
          <cell r="A468" t="str">
            <v>40001_1</v>
          </cell>
          <cell r="B468">
            <v>3</v>
          </cell>
          <cell r="C468">
            <v>40001</v>
          </cell>
          <cell r="D468" t="str">
            <v>アマテラス襲来！</v>
          </cell>
          <cell r="E468" t="str">
            <v>降臨1</v>
          </cell>
          <cell r="F468">
            <v>1</v>
          </cell>
          <cell r="G468" t="str">
            <v>ja</v>
          </cell>
          <cell r="H468" t="str">
            <v xml:space="preserve">【ウィザード級】アマテラス襲来 </v>
          </cell>
          <cell r="I468" t="str">
            <v>地獄級</v>
          </cell>
          <cell r="J468">
            <v>278</v>
          </cell>
          <cell r="K468">
            <v>35</v>
          </cell>
          <cell r="L468">
            <v>4200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901</v>
          </cell>
          <cell r="AD468">
            <v>6</v>
          </cell>
          <cell r="AE468" t="str">
            <v>everyone</v>
          </cell>
        </row>
        <row r="469">
          <cell r="A469" t="str">
            <v>40002_1</v>
          </cell>
          <cell r="B469">
            <v>3</v>
          </cell>
          <cell r="C469">
            <v>40002</v>
          </cell>
          <cell r="D469" t="str">
            <v>アザゼル襲来！</v>
          </cell>
          <cell r="E469" t="str">
            <v>降臨2</v>
          </cell>
          <cell r="F469">
            <v>1</v>
          </cell>
          <cell r="G469" t="str">
            <v>ja</v>
          </cell>
          <cell r="H469" t="str">
            <v xml:space="preserve">【超級】アザゼル襲来 </v>
          </cell>
          <cell r="I469" t="str">
            <v>超級</v>
          </cell>
          <cell r="J469">
            <v>296</v>
          </cell>
          <cell r="K469">
            <v>25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902</v>
          </cell>
          <cell r="AD469">
            <v>6</v>
          </cell>
          <cell r="AE469" t="str">
            <v>everyone</v>
          </cell>
        </row>
        <row r="470">
          <cell r="A470" t="str">
            <v>40002_2</v>
          </cell>
          <cell r="B470">
            <v>3</v>
          </cell>
          <cell r="C470">
            <v>40002</v>
          </cell>
          <cell r="D470" t="str">
            <v>アザゼル襲来！</v>
          </cell>
          <cell r="E470" t="str">
            <v>降臨2</v>
          </cell>
          <cell r="F470">
            <v>2</v>
          </cell>
          <cell r="G470" t="str">
            <v>ja</v>
          </cell>
          <cell r="H470" t="str">
            <v>【超絶級】アザゼル襲来</v>
          </cell>
          <cell r="I470" t="str">
            <v>超絶級</v>
          </cell>
          <cell r="J470">
            <v>297</v>
          </cell>
          <cell r="K470">
            <v>30</v>
          </cell>
          <cell r="L470">
            <v>3300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902</v>
          </cell>
          <cell r="AD470">
            <v>6</v>
          </cell>
          <cell r="AE470" t="str">
            <v>everyone</v>
          </cell>
        </row>
        <row r="471">
          <cell r="A471" t="str">
            <v>40002_3</v>
          </cell>
          <cell r="B471">
            <v>3</v>
          </cell>
          <cell r="C471">
            <v>40002</v>
          </cell>
          <cell r="D471" t="str">
            <v>アザゼル襲来！</v>
          </cell>
          <cell r="E471" t="str">
            <v>降臨2</v>
          </cell>
          <cell r="F471">
            <v>3</v>
          </cell>
          <cell r="G471" t="str">
            <v>ja</v>
          </cell>
          <cell r="H471" t="str">
            <v xml:space="preserve">【ウィザード級】アザゼル襲来 </v>
          </cell>
          <cell r="I471" t="str">
            <v>地獄級</v>
          </cell>
          <cell r="J471">
            <v>297</v>
          </cell>
          <cell r="K471">
            <v>35</v>
          </cell>
          <cell r="L471">
            <v>4200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character</v>
          </cell>
          <cell r="T471">
            <v>296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902</v>
          </cell>
          <cell r="AD471">
            <v>6</v>
          </cell>
          <cell r="AE471" t="str">
            <v>everyone</v>
          </cell>
        </row>
        <row r="472">
          <cell r="A472" t="str">
            <v>40003_1</v>
          </cell>
          <cell r="B472">
            <v>3</v>
          </cell>
          <cell r="C472">
            <v>40003</v>
          </cell>
          <cell r="D472" t="str">
            <v>ジャンヌ襲来！</v>
          </cell>
          <cell r="E472" t="str">
            <v>降臨3</v>
          </cell>
          <cell r="F472">
            <v>1</v>
          </cell>
          <cell r="G472" t="str">
            <v>ja</v>
          </cell>
          <cell r="H472" t="str">
            <v xml:space="preserve">【ウィザード級】ジャンヌ襲来 </v>
          </cell>
          <cell r="I472" t="str">
            <v>地獄級</v>
          </cell>
          <cell r="J472">
            <v>315</v>
          </cell>
          <cell r="K472">
            <v>35</v>
          </cell>
          <cell r="L472">
            <v>4200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character</v>
          </cell>
          <cell r="T472">
            <v>314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903</v>
          </cell>
          <cell r="AD472">
            <v>6</v>
          </cell>
          <cell r="AE472" t="str">
            <v>everyone</v>
          </cell>
        </row>
        <row r="473">
          <cell r="A473" t="str">
            <v>40004_1</v>
          </cell>
          <cell r="B473">
            <v>3</v>
          </cell>
          <cell r="C473">
            <v>40004</v>
          </cell>
          <cell r="D473" t="str">
            <v>宮本武蔵襲来！</v>
          </cell>
          <cell r="E473" t="str">
            <v>降臨4</v>
          </cell>
          <cell r="F473">
            <v>1</v>
          </cell>
          <cell r="G473" t="str">
            <v>ja</v>
          </cell>
          <cell r="H473" t="str">
            <v xml:space="preserve">【ウィザード級】宮本武蔵襲来 </v>
          </cell>
          <cell r="I473" t="str">
            <v>地獄級</v>
          </cell>
          <cell r="J473">
            <v>427</v>
          </cell>
          <cell r="K473">
            <v>35</v>
          </cell>
          <cell r="L473">
            <v>4200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character</v>
          </cell>
          <cell r="T473">
            <v>426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904</v>
          </cell>
          <cell r="AD473">
            <v>6</v>
          </cell>
          <cell r="AE473" t="str">
            <v>everyone</v>
          </cell>
        </row>
        <row r="474">
          <cell r="A474" t="str">
            <v>40005_1</v>
          </cell>
          <cell r="B474">
            <v>3</v>
          </cell>
          <cell r="C474">
            <v>40005</v>
          </cell>
          <cell r="D474" t="str">
            <v>オズ襲来！</v>
          </cell>
          <cell r="E474" t="str">
            <v>降臨5</v>
          </cell>
          <cell r="F474">
            <v>1</v>
          </cell>
          <cell r="G474" t="str">
            <v>ja</v>
          </cell>
          <cell r="H474" t="str">
            <v xml:space="preserve">【ウィザード級】オズ襲来 </v>
          </cell>
          <cell r="I474" t="str">
            <v>地獄級</v>
          </cell>
          <cell r="J474">
            <v>461</v>
          </cell>
          <cell r="K474">
            <v>35</v>
          </cell>
          <cell r="L474">
            <v>4200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character</v>
          </cell>
          <cell r="T474">
            <v>460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906</v>
          </cell>
          <cell r="AD474">
            <v>6</v>
          </cell>
          <cell r="AE474" t="str">
            <v>everyone</v>
          </cell>
        </row>
        <row r="475">
          <cell r="A475" t="str">
            <v>40006_1</v>
          </cell>
          <cell r="B475">
            <v>3</v>
          </cell>
          <cell r="C475">
            <v>40006</v>
          </cell>
          <cell r="D475" t="str">
            <v>アーサー襲来！</v>
          </cell>
          <cell r="E475" t="str">
            <v>降臨6</v>
          </cell>
          <cell r="F475">
            <v>1</v>
          </cell>
          <cell r="G475" t="str">
            <v>ja</v>
          </cell>
          <cell r="H475" t="str">
            <v xml:space="preserve">【ウィザード級】アーサー襲来 </v>
          </cell>
          <cell r="I475" t="str">
            <v>地獄級</v>
          </cell>
          <cell r="J475">
            <v>473</v>
          </cell>
          <cell r="K475">
            <v>35</v>
          </cell>
          <cell r="L475">
            <v>4200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character</v>
          </cell>
          <cell r="T475">
            <v>472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907</v>
          </cell>
          <cell r="AD475">
            <v>6</v>
          </cell>
          <cell r="AE475" t="str">
            <v>everyone</v>
          </cell>
        </row>
        <row r="476">
          <cell r="A476" t="str">
            <v>40007_1</v>
          </cell>
          <cell r="B476">
            <v>3</v>
          </cell>
          <cell r="C476">
            <v>40007</v>
          </cell>
          <cell r="D476" t="str">
            <v>グリム襲来！</v>
          </cell>
          <cell r="E476" t="str">
            <v>降臨7</v>
          </cell>
          <cell r="F476">
            <v>1</v>
          </cell>
          <cell r="G476" t="str">
            <v>ja</v>
          </cell>
          <cell r="H476" t="str">
            <v xml:space="preserve">【ウィザード級】グリム襲来 </v>
          </cell>
          <cell r="I476" t="str">
            <v>地獄級</v>
          </cell>
          <cell r="J476">
            <v>491</v>
          </cell>
          <cell r="K476">
            <v>35</v>
          </cell>
          <cell r="L476">
            <v>4200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character</v>
          </cell>
          <cell r="T476">
            <v>490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908</v>
          </cell>
          <cell r="AD476">
            <v>6</v>
          </cell>
          <cell r="AE476" t="str">
            <v>everyone</v>
          </cell>
        </row>
        <row r="477">
          <cell r="A477" t="str">
            <v>40008_1</v>
          </cell>
          <cell r="B477">
            <v>3</v>
          </cell>
          <cell r="C477">
            <v>40008</v>
          </cell>
          <cell r="D477" t="str">
            <v>Gスター襲来！</v>
          </cell>
          <cell r="E477" t="str">
            <v>降臨8</v>
          </cell>
          <cell r="F477">
            <v>1</v>
          </cell>
          <cell r="G477" t="str">
            <v>ja</v>
          </cell>
          <cell r="H477" t="str">
            <v xml:space="preserve">【ウィザード級】Gスター襲来 </v>
          </cell>
          <cell r="I477" t="str">
            <v>地獄級</v>
          </cell>
          <cell r="J477">
            <v>509</v>
          </cell>
          <cell r="K477">
            <v>35</v>
          </cell>
          <cell r="L477">
            <v>4200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character</v>
          </cell>
          <cell r="T477">
            <v>508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2601</v>
          </cell>
          <cell r="AD477">
            <v>6</v>
          </cell>
          <cell r="AE477" t="str">
            <v>everyone</v>
          </cell>
        </row>
        <row r="478">
          <cell r="A478" t="str">
            <v>40009_1</v>
          </cell>
          <cell r="B478">
            <v>3</v>
          </cell>
          <cell r="C478">
            <v>40009</v>
          </cell>
          <cell r="D478" t="str">
            <v>フギンとムニン襲来！</v>
          </cell>
          <cell r="E478" t="str">
            <v>降臨9</v>
          </cell>
          <cell r="F478">
            <v>1</v>
          </cell>
          <cell r="G478" t="str">
            <v>ja</v>
          </cell>
          <cell r="H478" t="str">
            <v xml:space="preserve">【ウィザード級】フギンとムニン襲来 </v>
          </cell>
          <cell r="I478" t="str">
            <v>地獄級</v>
          </cell>
          <cell r="J478">
            <v>582</v>
          </cell>
          <cell r="K478">
            <v>35</v>
          </cell>
          <cell r="L478">
            <v>4200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character</v>
          </cell>
          <cell r="T478">
            <v>581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25</v>
          </cell>
          <cell r="AD478">
            <v>6</v>
          </cell>
          <cell r="AE478" t="str">
            <v>everyone</v>
          </cell>
        </row>
        <row r="479">
          <cell r="A479" t="str">
            <v>40010_1</v>
          </cell>
          <cell r="B479">
            <v>3</v>
          </cell>
          <cell r="C479">
            <v>40010</v>
          </cell>
          <cell r="D479" t="str">
            <v>フレイ襲来！</v>
          </cell>
          <cell r="E479" t="str">
            <v>降臨10</v>
          </cell>
          <cell r="F479">
            <v>1</v>
          </cell>
          <cell r="G479" t="str">
            <v>ja</v>
          </cell>
          <cell r="H479" t="str">
            <v xml:space="preserve">【ウィザード級】フレイ襲来 </v>
          </cell>
          <cell r="I479" t="str">
            <v>地獄級</v>
          </cell>
          <cell r="J479">
            <v>575</v>
          </cell>
          <cell r="K479">
            <v>35</v>
          </cell>
          <cell r="L479">
            <v>4200</v>
          </cell>
          <cell r="M479">
            <v>1</v>
          </cell>
          <cell r="N479">
            <v>1</v>
          </cell>
          <cell r="O479">
            <v>1</v>
          </cell>
          <cell r="P479">
            <v>0</v>
          </cell>
          <cell r="Q479">
            <v>1</v>
          </cell>
          <cell r="R479">
            <v>3</v>
          </cell>
          <cell r="S479" t="str">
            <v>character</v>
          </cell>
          <cell r="T479">
            <v>575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912</v>
          </cell>
          <cell r="AD479">
            <v>6</v>
          </cell>
          <cell r="AE479" t="str">
            <v>everyone</v>
          </cell>
        </row>
        <row r="480">
          <cell r="A480" t="str">
            <v>40011_1</v>
          </cell>
          <cell r="B480">
            <v>3</v>
          </cell>
          <cell r="C480">
            <v>40011</v>
          </cell>
          <cell r="D480" t="str">
            <v>ヨミ襲来！</v>
          </cell>
          <cell r="E480" t="str">
            <v>降臨11</v>
          </cell>
          <cell r="F480">
            <v>1</v>
          </cell>
          <cell r="G480" t="str">
            <v>ja</v>
          </cell>
          <cell r="H480" t="str">
            <v xml:space="preserve">【ウィザード級】ヨミ襲来 </v>
          </cell>
          <cell r="I480" t="str">
            <v>地獄級</v>
          </cell>
          <cell r="J480">
            <v>655</v>
          </cell>
          <cell r="K480">
            <v>35</v>
          </cell>
          <cell r="L480">
            <v>4200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character</v>
          </cell>
          <cell r="T480">
            <v>654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913</v>
          </cell>
          <cell r="AD480">
            <v>6</v>
          </cell>
          <cell r="AE480" t="str">
            <v>everyone</v>
          </cell>
        </row>
        <row r="481">
          <cell r="A481" t="str">
            <v>40012_1</v>
          </cell>
          <cell r="B481">
            <v>3</v>
          </cell>
          <cell r="C481">
            <v>40012</v>
          </cell>
          <cell r="D481" t="str">
            <v>ショウキ襲来！</v>
          </cell>
          <cell r="E481" t="str">
            <v>降臨12</v>
          </cell>
          <cell r="F481">
            <v>1</v>
          </cell>
          <cell r="G481" t="str">
            <v>ja</v>
          </cell>
          <cell r="H481" t="str">
            <v xml:space="preserve">【ウィザード級】ショウキ襲来 </v>
          </cell>
          <cell r="I481" t="str">
            <v>地獄級</v>
          </cell>
          <cell r="J481">
            <v>645</v>
          </cell>
          <cell r="K481">
            <v>35</v>
          </cell>
          <cell r="L481">
            <v>4200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character</v>
          </cell>
          <cell r="T481">
            <v>644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915</v>
          </cell>
          <cell r="AD481">
            <v>6</v>
          </cell>
          <cell r="AE481" t="str">
            <v>everyone</v>
          </cell>
        </row>
        <row r="482">
          <cell r="A482" t="str">
            <v>40013_1</v>
          </cell>
          <cell r="B482">
            <v>3</v>
          </cell>
          <cell r="C482">
            <v>40013</v>
          </cell>
          <cell r="D482" t="str">
            <v>カーマ襲来！</v>
          </cell>
          <cell r="E482" t="str">
            <v>降臨13</v>
          </cell>
          <cell r="F482">
            <v>1</v>
          </cell>
          <cell r="G482" t="str">
            <v>ja</v>
          </cell>
          <cell r="H482" t="str">
            <v xml:space="preserve">【ウィザード級】カーマ襲来 </v>
          </cell>
          <cell r="I482" t="str">
            <v>地獄級</v>
          </cell>
          <cell r="J482">
            <v>643</v>
          </cell>
          <cell r="K482">
            <v>35</v>
          </cell>
          <cell r="L482">
            <v>4200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0</v>
          </cell>
          <cell r="R482">
            <v>3</v>
          </cell>
          <cell r="S482" t="str">
            <v>character</v>
          </cell>
          <cell r="T482">
            <v>642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916</v>
          </cell>
          <cell r="AD482">
            <v>6</v>
          </cell>
          <cell r="AE482" t="str">
            <v>everyone</v>
          </cell>
        </row>
        <row r="483">
          <cell r="A483" t="str">
            <v>40014_1</v>
          </cell>
          <cell r="B483">
            <v>3</v>
          </cell>
          <cell r="C483">
            <v>40014</v>
          </cell>
          <cell r="D483" t="str">
            <v>シヴァ襲来！</v>
          </cell>
          <cell r="E483" t="str">
            <v>降臨14</v>
          </cell>
          <cell r="F483">
            <v>1</v>
          </cell>
          <cell r="G483" t="str">
            <v>ja</v>
          </cell>
          <cell r="H483" t="str">
            <v xml:space="preserve">【ウィザード級】シヴァ襲来 </v>
          </cell>
          <cell r="I483" t="str">
            <v>地獄級</v>
          </cell>
          <cell r="J483">
            <v>657</v>
          </cell>
          <cell r="K483">
            <v>35</v>
          </cell>
          <cell r="L483">
            <v>4200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character</v>
          </cell>
          <cell r="T483">
            <v>656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916</v>
          </cell>
          <cell r="AD483">
            <v>6</v>
          </cell>
          <cell r="AE483" t="str">
            <v>everyone</v>
          </cell>
        </row>
        <row r="484">
          <cell r="A484" t="str">
            <v>40015_1</v>
          </cell>
          <cell r="B484">
            <v>1</v>
          </cell>
          <cell r="C484">
            <v>40015</v>
          </cell>
          <cell r="D484" t="str">
            <v>ガレス襲来！</v>
          </cell>
          <cell r="E484" t="str">
            <v>降臨15</v>
          </cell>
          <cell r="F484">
            <v>1</v>
          </cell>
          <cell r="G484" t="str">
            <v>ja</v>
          </cell>
          <cell r="H484" t="str">
            <v xml:space="preserve">【ウィザード級】ガレス襲来 </v>
          </cell>
          <cell r="I484" t="str">
            <v>地獄級</v>
          </cell>
          <cell r="J484">
            <v>1</v>
          </cell>
          <cell r="K484">
            <v>35</v>
          </cell>
          <cell r="L484">
            <v>4200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character</v>
          </cell>
          <cell r="T484">
            <v>1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1</v>
          </cell>
          <cell r="AD484">
            <v>6</v>
          </cell>
          <cell r="AE484" t="str">
            <v>everyone</v>
          </cell>
        </row>
        <row r="485">
          <cell r="A485" t="str">
            <v>49001_1</v>
          </cell>
          <cell r="B485">
            <v>3</v>
          </cell>
          <cell r="C485">
            <v>49001</v>
          </cell>
          <cell r="D485" t="str">
            <v>熱唱！初音ミクV3</v>
          </cell>
          <cell r="E485" t="str">
            <v>コラボ降臨1</v>
          </cell>
          <cell r="F485">
            <v>1</v>
          </cell>
          <cell r="G485" t="str">
            <v>ja</v>
          </cell>
          <cell r="H485" t="str">
            <v>【ウィザード級】熱唱！初音ミクV3</v>
          </cell>
          <cell r="I485" t="str">
            <v>地獄級</v>
          </cell>
          <cell r="J485">
            <v>528</v>
          </cell>
          <cell r="K485">
            <v>35</v>
          </cell>
          <cell r="L485">
            <v>4200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910</v>
          </cell>
          <cell r="AD485">
            <v>6</v>
          </cell>
          <cell r="AE485" t="str">
            <v>everyone</v>
          </cell>
        </row>
        <row r="486">
          <cell r="A486" t="str">
            <v>49002_1</v>
          </cell>
          <cell r="B486">
            <v>1</v>
          </cell>
          <cell r="C486">
            <v>49002</v>
          </cell>
          <cell r="D486" t="str">
            <v>K襲来</v>
          </cell>
          <cell r="E486" t="str">
            <v>コラボ降臨2</v>
          </cell>
          <cell r="F486">
            <v>1</v>
          </cell>
          <cell r="G486" t="str">
            <v>ja</v>
          </cell>
          <cell r="H486" t="str">
            <v>【ウィザード級】デsono</v>
          </cell>
          <cell r="I486" t="str">
            <v>地獄級</v>
          </cell>
          <cell r="J486">
            <v>1</v>
          </cell>
          <cell r="K486">
            <v>35</v>
          </cell>
          <cell r="L486">
            <v>4200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polygon</v>
          </cell>
          <cell r="T486">
            <v>1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</v>
          </cell>
          <cell r="AD486">
            <v>6</v>
          </cell>
          <cell r="AE486" t="str">
            <v>everyone</v>
          </cell>
        </row>
        <row r="487">
          <cell r="A487" t="str">
            <v>49003_1</v>
          </cell>
          <cell r="B487">
            <v>1</v>
          </cell>
          <cell r="C487">
            <v>49003</v>
          </cell>
          <cell r="D487" t="str">
            <v>H襲来</v>
          </cell>
          <cell r="E487" t="str">
            <v>コラボ降臨3</v>
          </cell>
          <cell r="F487">
            <v>1</v>
          </cell>
          <cell r="G487" t="str">
            <v>ja</v>
          </cell>
          <cell r="H487" t="str">
            <v>【ウィザード級】デiza</v>
          </cell>
          <cell r="I487" t="str">
            <v>地獄級</v>
          </cell>
          <cell r="J487">
            <v>1</v>
          </cell>
          <cell r="K487">
            <v>35</v>
          </cell>
          <cell r="L487">
            <v>4200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polygon</v>
          </cell>
          <cell r="T487">
            <v>1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1</v>
          </cell>
          <cell r="AD487">
            <v>6</v>
          </cell>
          <cell r="AE487" t="str">
            <v>everyone</v>
          </cell>
        </row>
        <row r="488">
          <cell r="A488" t="str">
            <v>50001_1</v>
          </cell>
          <cell r="B488">
            <v>3</v>
          </cell>
          <cell r="C488">
            <v>50001</v>
          </cell>
          <cell r="D488" t="str">
            <v>麒麟襲来！</v>
          </cell>
          <cell r="E488" t="str">
            <v>超降臨1</v>
          </cell>
          <cell r="F488">
            <v>1</v>
          </cell>
          <cell r="G488" t="str">
            <v>ja</v>
          </cell>
          <cell r="H488" t="str">
            <v xml:space="preserve">【超ウィザード級】麒麟襲来 </v>
          </cell>
          <cell r="I488" t="str">
            <v>超地獄級</v>
          </cell>
          <cell r="J488">
            <v>328</v>
          </cell>
          <cell r="K488">
            <v>40</v>
          </cell>
          <cell r="L488">
            <v>5200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character</v>
          </cell>
          <cell r="T488">
            <v>432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905</v>
          </cell>
          <cell r="AD488">
            <v>6</v>
          </cell>
          <cell r="AE488" t="str">
            <v>everyone</v>
          </cell>
        </row>
        <row r="489">
          <cell r="A489" t="str">
            <v>50002_1</v>
          </cell>
          <cell r="B489">
            <v>3</v>
          </cell>
          <cell r="C489">
            <v>50002</v>
          </cell>
          <cell r="D489" t="str">
            <v>オーディン襲来！</v>
          </cell>
          <cell r="E489" t="str">
            <v>超降臨2</v>
          </cell>
          <cell r="F489">
            <v>1</v>
          </cell>
          <cell r="G489" t="str">
            <v>ja</v>
          </cell>
          <cell r="H489" t="str">
            <v xml:space="preserve">【超ウィザード級】オーディン襲来 </v>
          </cell>
          <cell r="I489" t="str">
            <v>超地獄級</v>
          </cell>
          <cell r="J489">
            <v>451</v>
          </cell>
          <cell r="K489">
            <v>40</v>
          </cell>
          <cell r="L489">
            <v>5200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character</v>
          </cell>
          <cell r="T489">
            <v>573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911</v>
          </cell>
          <cell r="AD489">
            <v>6</v>
          </cell>
          <cell r="AE489" t="str">
            <v>everyone</v>
          </cell>
        </row>
        <row r="490">
          <cell r="A490" t="str">
            <v>60001_1</v>
          </cell>
          <cell r="B490">
            <v>3</v>
          </cell>
          <cell r="C490">
            <v>60001</v>
          </cell>
          <cell r="D490" t="str">
            <v>ヘンペルチャレンジ</v>
          </cell>
          <cell r="E490" t="str">
            <v>ランキング1</v>
          </cell>
          <cell r="F490">
            <v>1</v>
          </cell>
          <cell r="G490" t="str">
            <v>ja</v>
          </cell>
          <cell r="H490" t="str">
            <v>[ウィザード] 第一回</v>
          </cell>
          <cell r="I490" t="str">
            <v>ランキング</v>
          </cell>
          <cell r="J490">
            <v>488</v>
          </cell>
          <cell r="K490">
            <v>5</v>
          </cell>
          <cell r="L490">
            <v>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911</v>
          </cell>
          <cell r="AD490">
            <v>6</v>
          </cell>
          <cell r="AE490" t="str">
            <v>singleonly</v>
          </cell>
        </row>
        <row r="491">
          <cell r="A491" t="str">
            <v>60002_1</v>
          </cell>
          <cell r="B491">
            <v>3</v>
          </cell>
          <cell r="C491">
            <v>60002</v>
          </cell>
          <cell r="D491" t="str">
            <v>ヘンペルチャレンジ</v>
          </cell>
          <cell r="E491" t="str">
            <v>ランキング1</v>
          </cell>
          <cell r="F491">
            <v>1</v>
          </cell>
          <cell r="G491" t="str">
            <v>ja</v>
          </cell>
          <cell r="H491" t="str">
            <v>[超級] 第2回　※Wizと難易度は同じ</v>
          </cell>
          <cell r="I491" t="str">
            <v>ランキング</v>
          </cell>
          <cell r="J491">
            <v>488</v>
          </cell>
          <cell r="K491">
            <v>5</v>
          </cell>
          <cell r="L491">
            <v>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911</v>
          </cell>
          <cell r="AD491">
            <v>6</v>
          </cell>
          <cell r="AE491" t="str">
            <v>singleonly</v>
          </cell>
        </row>
        <row r="492">
          <cell r="A492" t="str">
            <v>60002_2</v>
          </cell>
          <cell r="B492">
            <v>3</v>
          </cell>
          <cell r="C492">
            <v>60002</v>
          </cell>
          <cell r="D492" t="str">
            <v>ヘンペルチャレンジ</v>
          </cell>
          <cell r="E492" t="str">
            <v>ランキング1</v>
          </cell>
          <cell r="F492">
            <v>2</v>
          </cell>
          <cell r="G492" t="str">
            <v>ja</v>
          </cell>
          <cell r="H492" t="str">
            <v>[ウィザード] 第2回　※Wizと難易度は同じ</v>
          </cell>
          <cell r="I492" t="str">
            <v>ランキング</v>
          </cell>
          <cell r="J492">
            <v>488</v>
          </cell>
          <cell r="K492">
            <v>5</v>
          </cell>
          <cell r="L492">
            <v>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911</v>
          </cell>
          <cell r="AD492">
            <v>6</v>
          </cell>
          <cell r="AE492" t="str">
            <v>singleonly</v>
          </cell>
        </row>
        <row r="493">
          <cell r="A493" t="str">
            <v>60003_1</v>
          </cell>
          <cell r="B493">
            <v>3</v>
          </cell>
          <cell r="C493">
            <v>60003</v>
          </cell>
          <cell r="D493" t="str">
            <v>ヘンペルチャレンジ</v>
          </cell>
          <cell r="E493" t="str">
            <v>ランキング1</v>
          </cell>
          <cell r="F493">
            <v>1</v>
          </cell>
          <cell r="G493" t="str">
            <v>ja</v>
          </cell>
          <cell r="H493" t="str">
            <v>[中級] 第3回　</v>
          </cell>
          <cell r="I493" t="str">
            <v>ランキング</v>
          </cell>
          <cell r="J493">
            <v>488</v>
          </cell>
          <cell r="K493">
            <v>5</v>
          </cell>
          <cell r="L493">
            <v>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911</v>
          </cell>
          <cell r="AD493">
            <v>6</v>
          </cell>
          <cell r="AE493" t="str">
            <v>singleonly</v>
          </cell>
        </row>
        <row r="494">
          <cell r="A494" t="str">
            <v>60003_2</v>
          </cell>
          <cell r="B494">
            <v>3</v>
          </cell>
          <cell r="C494">
            <v>60003</v>
          </cell>
          <cell r="D494" t="str">
            <v>ヘンペルチャレンジ</v>
          </cell>
          <cell r="E494" t="str">
            <v>ランキング1</v>
          </cell>
          <cell r="F494">
            <v>2</v>
          </cell>
          <cell r="G494" t="str">
            <v>ja</v>
          </cell>
          <cell r="H494" t="str">
            <v>[超級] 第3回　</v>
          </cell>
          <cell r="I494" t="str">
            <v>ランキング</v>
          </cell>
          <cell r="J494">
            <v>488</v>
          </cell>
          <cell r="K494">
            <v>5</v>
          </cell>
          <cell r="L494">
            <v>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>
            <v>60003</v>
          </cell>
          <cell r="V494">
            <v>1</v>
          </cell>
          <cell r="W494" t="str">
            <v>[中級] 第3回　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911</v>
          </cell>
          <cell r="AD494">
            <v>6</v>
          </cell>
          <cell r="AE494" t="str">
            <v>singleonly</v>
          </cell>
        </row>
        <row r="495">
          <cell r="A495" t="str">
            <v>60003_3</v>
          </cell>
          <cell r="B495">
            <v>3</v>
          </cell>
          <cell r="C495">
            <v>60003</v>
          </cell>
          <cell r="D495" t="str">
            <v>ヘンペルチャレンジ</v>
          </cell>
          <cell r="E495" t="str">
            <v>ランキング1</v>
          </cell>
          <cell r="F495">
            <v>3</v>
          </cell>
          <cell r="G495" t="str">
            <v>ja</v>
          </cell>
          <cell r="H495" t="str">
            <v>[ウィザード] 第3回　</v>
          </cell>
          <cell r="I495" t="str">
            <v>ランキング</v>
          </cell>
          <cell r="J495">
            <v>488</v>
          </cell>
          <cell r="K495">
            <v>5</v>
          </cell>
          <cell r="L495">
            <v>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>
            <v>60003</v>
          </cell>
          <cell r="V495">
            <v>2</v>
          </cell>
          <cell r="W495" t="str">
            <v>[超級] 第3回　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911</v>
          </cell>
          <cell r="AD495">
            <v>6</v>
          </cell>
          <cell r="AE495" t="str">
            <v>singleonly</v>
          </cell>
        </row>
        <row r="496">
          <cell r="A496" t="str">
            <v>60004_1</v>
          </cell>
          <cell r="B496">
            <v>3</v>
          </cell>
          <cell r="C496">
            <v>60004</v>
          </cell>
          <cell r="D496" t="str">
            <v>ヘンペルチャレンジ</v>
          </cell>
          <cell r="E496" t="str">
            <v>ランキング1</v>
          </cell>
          <cell r="F496">
            <v>1</v>
          </cell>
          <cell r="G496" t="str">
            <v>ja</v>
          </cell>
          <cell r="H496" t="str">
            <v>[ウィザード] 第4回　</v>
          </cell>
          <cell r="I496" t="str">
            <v>ランキング</v>
          </cell>
          <cell r="J496">
            <v>488</v>
          </cell>
          <cell r="K496">
            <v>5</v>
          </cell>
          <cell r="L496">
            <v>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911</v>
          </cell>
          <cell r="AD496">
            <v>6</v>
          </cell>
          <cell r="AE496" t="str">
            <v>singleonly</v>
          </cell>
        </row>
        <row r="497">
          <cell r="A497" t="str">
            <v>60005_1</v>
          </cell>
          <cell r="B497">
            <v>3</v>
          </cell>
          <cell r="C497">
            <v>60005</v>
          </cell>
          <cell r="D497" t="str">
            <v>オイラーチャレンジ</v>
          </cell>
          <cell r="E497" t="str">
            <v>ランキング1</v>
          </cell>
          <cell r="F497">
            <v>1</v>
          </cell>
          <cell r="G497" t="str">
            <v>ja</v>
          </cell>
          <cell r="H497" t="str">
            <v>[ウィザード] 第5回　</v>
          </cell>
          <cell r="I497" t="str">
            <v>ランキング</v>
          </cell>
          <cell r="J497">
            <v>379</v>
          </cell>
          <cell r="K497">
            <v>5</v>
          </cell>
          <cell r="L497">
            <v>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923</v>
          </cell>
          <cell r="AD497">
            <v>6</v>
          </cell>
          <cell r="AE497" t="str">
            <v>singleonly</v>
          </cell>
        </row>
        <row r="498">
          <cell r="A498" t="str">
            <v>65535_1</v>
          </cell>
          <cell r="B498">
            <v>1</v>
          </cell>
          <cell r="C498">
            <v>65535</v>
          </cell>
          <cell r="D498" t="str">
            <v>検証クエスト</v>
          </cell>
          <cell r="E498" t="str">
            <v>検証</v>
          </cell>
          <cell r="F498">
            <v>1</v>
          </cell>
          <cell r="G498" t="str">
            <v>ja</v>
          </cell>
          <cell r="H498" t="str">
            <v>テンプレート</v>
          </cell>
          <cell r="I498" t="str">
            <v>検証</v>
          </cell>
          <cell r="J498" t="str">
            <v>NULL</v>
          </cell>
          <cell r="K498">
            <v>1</v>
          </cell>
          <cell r="L498">
            <v>1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903</v>
          </cell>
          <cell r="AD498">
            <v>6</v>
          </cell>
          <cell r="AE498" t="str">
            <v>everyone</v>
          </cell>
        </row>
        <row r="499">
          <cell r="A499" t="str">
            <v>65535_2</v>
          </cell>
          <cell r="B499">
            <v>1</v>
          </cell>
          <cell r="C499">
            <v>65535</v>
          </cell>
          <cell r="D499" t="str">
            <v>検証クエスト</v>
          </cell>
          <cell r="E499" t="str">
            <v>検証</v>
          </cell>
          <cell r="F499">
            <v>2</v>
          </cell>
          <cell r="G499" t="str">
            <v>ja</v>
          </cell>
          <cell r="H499" t="str">
            <v>ランクアップクエスト</v>
          </cell>
          <cell r="I499" t="str">
            <v>検証</v>
          </cell>
          <cell r="J499" t="str">
            <v>NULL</v>
          </cell>
          <cell r="K499">
            <v>1</v>
          </cell>
          <cell r="L499">
            <v>65535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903</v>
          </cell>
          <cell r="AD499">
            <v>6</v>
          </cell>
          <cell r="AE499" t="str">
            <v>everyone</v>
          </cell>
        </row>
        <row r="500">
          <cell r="A500" t="str">
            <v>65535_3</v>
          </cell>
          <cell r="B500">
            <v>1</v>
          </cell>
          <cell r="C500">
            <v>65535</v>
          </cell>
          <cell r="D500" t="str">
            <v>検証クエスト</v>
          </cell>
          <cell r="E500" t="str">
            <v>検証</v>
          </cell>
          <cell r="F500">
            <v>3</v>
          </cell>
          <cell r="G500" t="str">
            <v>ja</v>
          </cell>
          <cell r="H500" t="str">
            <v>サンドボックス</v>
          </cell>
          <cell r="I500" t="str">
            <v>検証</v>
          </cell>
          <cell r="J500" t="str">
            <v>NULL</v>
          </cell>
          <cell r="K500">
            <v>1</v>
          </cell>
          <cell r="L500">
            <v>1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105</v>
          </cell>
          <cell r="AD500">
            <v>6</v>
          </cell>
          <cell r="AE500" t="str">
            <v>everyone</v>
          </cell>
        </row>
        <row r="501">
          <cell r="A501" t="str">
            <v>60021_3</v>
          </cell>
          <cell r="B501">
            <v>1</v>
          </cell>
          <cell r="C501">
            <v>60021</v>
          </cell>
          <cell r="D501" t="str">
            <v>【月曜限定】 黄の素材verハンプ検証</v>
          </cell>
          <cell r="E501" t="str">
            <v>検証</v>
          </cell>
          <cell r="F501">
            <v>3</v>
          </cell>
          <cell r="G501" t="str">
            <v>ja</v>
          </cell>
          <cell r="H501" t="str">
            <v>【上級】ハンプティ検証</v>
          </cell>
          <cell r="I501" t="str">
            <v>上級</v>
          </cell>
          <cell r="J501">
            <v>84</v>
          </cell>
          <cell r="K501">
            <v>20</v>
          </cell>
          <cell r="L501">
            <v>860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101</v>
          </cell>
          <cell r="AD501">
            <v>6</v>
          </cell>
          <cell r="AE50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18" sqref="F18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214</v>
      </c>
      <c r="B2" s="57" t="s">
        <v>107</v>
      </c>
      <c r="C2" s="22">
        <v>40013</v>
      </c>
      <c r="D2" s="57" t="s">
        <v>108</v>
      </c>
      <c r="E2" s="56" t="str">
        <f>B2&amp;C2&amp;D2</f>
        <v>floors_40013.tmp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214</v>
      </c>
      <c r="B3" s="57" t="s">
        <v>110</v>
      </c>
      <c r="C3" s="22">
        <v>40013</v>
      </c>
      <c r="D3" s="57" t="s">
        <v>108</v>
      </c>
      <c r="E3" s="56" t="str">
        <f>B3&amp;C3&amp;D3</f>
        <v>enemy_habitats_40013.tmp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>
      <c r="A4" s="61" t="s">
        <v>214</v>
      </c>
      <c r="B4" s="57" t="s">
        <v>112</v>
      </c>
      <c r="C4" s="22">
        <v>40013</v>
      </c>
      <c r="D4" s="57" t="s">
        <v>108</v>
      </c>
      <c r="E4" s="56" t="str">
        <f>B4&amp;C4&amp;D4</f>
        <v>enemy_habitat_S_40013.tmp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214</v>
      </c>
      <c r="B5" s="57" t="s">
        <v>114</v>
      </c>
      <c r="C5" s="22">
        <v>40013</v>
      </c>
      <c r="D5" s="57" t="s">
        <v>108</v>
      </c>
      <c r="E5" s="56" t="str">
        <f>B5&amp;C5&amp;D5</f>
        <v>enemy_skill_sets_40013.tmp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214</v>
      </c>
      <c r="B6" s="57" t="s">
        <v>116</v>
      </c>
      <c r="C6" s="22">
        <v>40013</v>
      </c>
      <c r="D6" s="57" t="s">
        <v>117</v>
      </c>
      <c r="E6" s="56" t="str">
        <f t="shared" ref="E6:E10" si="0">B6&amp;C6&amp;D6</f>
        <v>enemy_skills_tmp_40013.tmp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214</v>
      </c>
      <c r="B7" s="57" t="s">
        <v>118</v>
      </c>
      <c r="C7" s="22">
        <v>40013</v>
      </c>
      <c r="D7" s="57" t="s">
        <v>108</v>
      </c>
      <c r="E7" s="56" t="str">
        <f>B7&amp;C7&amp;D7</f>
        <v>enemy_skills_i18n_40013.tmp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214</v>
      </c>
      <c r="B8" s="57" t="s">
        <v>120</v>
      </c>
      <c r="C8" s="22">
        <v>40013</v>
      </c>
      <c r="D8" s="57" t="s">
        <v>121</v>
      </c>
      <c r="E8" s="56" t="str">
        <f t="shared" si="0"/>
        <v>enemy_skill_triggers_40013.tmp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214</v>
      </c>
      <c r="B9" s="65" t="s">
        <v>178</v>
      </c>
      <c r="C9" s="22">
        <v>40013</v>
      </c>
      <c r="D9" s="65" t="s">
        <v>172</v>
      </c>
      <c r="E9" s="66" t="str">
        <f t="shared" si="0"/>
        <v>stage_bug_bonuses_40013.tmp</v>
      </c>
      <c r="F9" s="65" t="s">
        <v>173</v>
      </c>
      <c r="G9" s="63" t="s">
        <v>151</v>
      </c>
      <c r="H9" s="63" t="s">
        <v>174</v>
      </c>
      <c r="I9" s="63" t="s">
        <v>175</v>
      </c>
      <c r="J9" s="64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</row>
    <row r="10" spans="1:30" s="72" customFormat="1">
      <c r="A10" s="61" t="s">
        <v>214</v>
      </c>
      <c r="B10" s="65" t="s">
        <v>202</v>
      </c>
      <c r="C10" s="22">
        <v>40013</v>
      </c>
      <c r="D10" s="65" t="s">
        <v>181</v>
      </c>
      <c r="E10" s="66" t="str">
        <f t="shared" si="0"/>
        <v>stage_hints_data_c_40013.tmp</v>
      </c>
      <c r="F10" s="65" t="s">
        <v>210</v>
      </c>
      <c r="G10" s="69" t="s">
        <v>182</v>
      </c>
      <c r="H10" s="69" t="s">
        <v>174</v>
      </c>
      <c r="I10" s="70" t="s">
        <v>183</v>
      </c>
      <c r="J10" s="64" t="s">
        <v>184</v>
      </c>
      <c r="K10" s="71" t="s">
        <v>185</v>
      </c>
    </row>
    <row r="11" spans="1:30" s="72" customFormat="1">
      <c r="A11" s="61" t="s">
        <v>214</v>
      </c>
      <c r="B11" s="65" t="s">
        <v>203</v>
      </c>
      <c r="C11" s="22">
        <v>40013</v>
      </c>
      <c r="D11" s="65" t="s">
        <v>172</v>
      </c>
      <c r="E11" s="66" t="str">
        <f t="shared" ref="E11:E12" si="1">B11&amp;C11&amp;D11</f>
        <v>stage_hints_data_f_40013.tmp</v>
      </c>
      <c r="F11" s="65" t="s">
        <v>212</v>
      </c>
      <c r="G11" s="69" t="s">
        <v>182</v>
      </c>
      <c r="H11" s="69" t="s">
        <v>174</v>
      </c>
      <c r="I11" s="70" t="s">
        <v>183</v>
      </c>
      <c r="J11" s="64" t="s">
        <v>184</v>
      </c>
      <c r="K11" s="71" t="s">
        <v>185</v>
      </c>
    </row>
    <row r="12" spans="1:30" s="72" customFormat="1">
      <c r="A12" s="61" t="s">
        <v>214</v>
      </c>
      <c r="B12" s="65" t="s">
        <v>204</v>
      </c>
      <c r="C12" s="22">
        <v>40013</v>
      </c>
      <c r="D12" s="65" t="s">
        <v>172</v>
      </c>
      <c r="E12" s="66" t="str">
        <f t="shared" si="1"/>
        <v>stage_hints_i18n_40013.tmp</v>
      </c>
      <c r="F12" s="65" t="s">
        <v>213</v>
      </c>
      <c r="G12" s="70" t="s">
        <v>205</v>
      </c>
      <c r="H12" s="92" t="s">
        <v>206</v>
      </c>
      <c r="I12" s="69" t="s">
        <v>207</v>
      </c>
      <c r="J12" s="93" t="s">
        <v>208</v>
      </c>
      <c r="K12" s="71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40013_1-1</v>
      </c>
      <c r="B2" s="16" t="str">
        <f>IF(COUNTIF(enemy_habitats!$H:$H,A2),"OK","NG")</f>
        <v>OK</v>
      </c>
      <c r="C2" s="7">
        <v>40013</v>
      </c>
      <c r="D2" s="11" t="str">
        <f ca="1">VLOOKUP($C2,OFFSET([2]quests!$A$1,0,0,COUNTA([2]quests!$A:$A),MATCH(D$1,[2]quests!$1:$1,0)-MATCH($C$1,[2]quests!$1:$1,0)+1),MATCH(D$1,[2]quests!$1:$1,0)-MATCH($C$1,[2]quests!$1:$1,0)+1,FALSE)</f>
        <v>カーマ襲来！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降臨13</v>
      </c>
      <c r="F2" s="21">
        <v>1</v>
      </c>
      <c r="G2" s="23" t="str">
        <f>C2&amp;"_"&amp;F2</f>
        <v>40013_1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【ウィザード級】カーマ襲来 </v>
      </c>
      <c r="I2" s="21">
        <v>1</v>
      </c>
      <c r="J2" s="12">
        <v>40</v>
      </c>
      <c r="K2" s="12">
        <v>40</v>
      </c>
    </row>
    <row r="3" spans="1:11" ht="21" customHeight="1">
      <c r="A3" s="16" t="str">
        <f t="shared" ref="A3:A4" si="0">G3&amp;"-"&amp;I3</f>
        <v>40013_1-2</v>
      </c>
      <c r="B3" s="16" t="str">
        <f>IF(COUNTIF(enemy_habitats!$H:$H,A3),"OK","NG")</f>
        <v>OK</v>
      </c>
      <c r="C3" s="7">
        <v>40013</v>
      </c>
      <c r="D3" s="11" t="str">
        <f ca="1">VLOOKUP($C3,OFFSET([2]quests!$A$1,0,0,COUNTA([2]quests!$A:$A),MATCH(D$1,[2]quests!$1:$1,0)-MATCH($C$1,[2]quests!$1:$1,0)+1),MATCH(D$1,[2]quests!$1:$1,0)-MATCH($C$1,[2]quests!$1:$1,0)+1,FALSE)</f>
        <v>カーマ襲来！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降臨13</v>
      </c>
      <c r="F3" s="21">
        <v>1</v>
      </c>
      <c r="G3" s="23" t="str">
        <f t="shared" ref="G3:G4" si="1">C3&amp;"_"&amp;F3</f>
        <v>40013_1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【ウィザード級】カーマ襲来 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 t="shared" si="0"/>
        <v>40013_1-3</v>
      </c>
      <c r="B4" s="16" t="str">
        <f>IF(COUNTIF(enemy_habitats!$H:$H,A4),"OK","NG")</f>
        <v>OK</v>
      </c>
      <c r="C4" s="7">
        <v>40013</v>
      </c>
      <c r="D4" s="11" t="str">
        <f ca="1">VLOOKUP($C4,OFFSET([2]quests!$A$1,0,0,COUNTA([2]quests!$A:$A),MATCH(D$1,[2]quests!$1:$1,0)-MATCH($C$1,[2]quests!$1:$1,0)+1),MATCH(D$1,[2]quests!$1:$1,0)-MATCH($C$1,[2]quests!$1:$1,0)+1,FALSE)</f>
        <v>カーマ襲来！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降臨13</v>
      </c>
      <c r="F4" s="21">
        <v>1</v>
      </c>
      <c r="G4" s="23" t="str">
        <f t="shared" si="1"/>
        <v>40013_1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【ウィザード級】カーマ襲来 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6"/>
  <sheetViews>
    <sheetView showGridLines="0" zoomScale="75" zoomScaleNormal="75" zoomScalePageLayoutView="75" workbookViewId="0">
      <pane xSplit="17" ySplit="1" topLeftCell="S2" activePane="bottomRight" state="frozen"/>
      <selection pane="topRight" activeCell="N1" sqref="N1"/>
      <selection pane="bottomLeft" activeCell="A2" sqref="A2"/>
      <selection pane="bottomRight" activeCell="L6" sqref="L6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>
      <c r="A2" s="16" t="str">
        <f>B2&amp;"_"&amp;C2&amp;"-"&amp;G2&amp;"/"&amp;L2&amp;"&lt;lv"&amp;R2&amp;"&gt;s"&amp;AA2</f>
        <v>40013_1-1/52&lt;lv60&gt;s2</v>
      </c>
      <c r="B2" s="22">
        <v>40013</v>
      </c>
      <c r="C2" s="21">
        <v>1</v>
      </c>
      <c r="D2" s="2" t="str">
        <f>B2&amp;"_"&amp;C2</f>
        <v>40013_1</v>
      </c>
      <c r="E2" s="4" t="str">
        <f ca="1">VLOOKUP($B2,OFFSET([2]quests!$A$1,0,0,COUNTA([2]quests!$A:$A),MATCH(E$1,[2]quests!$1:$1,0)-MATCH($B$1,[2]quests!$1:$1,0)+1),MATCH(E$1,[2]quests!$1:$1,0)-MATCH($B$1,[2]quests!$1:$1,0)+1,FALSE)</f>
        <v>カーマ襲来！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2" s="21">
        <v>1</v>
      </c>
      <c r="H2" s="15" t="str">
        <f>B2&amp;"_"&amp;C2&amp;"-"&amp;G2</f>
        <v>40013_1-1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 t="s">
        <v>53</v>
      </c>
      <c r="L2" s="20">
        <v>52</v>
      </c>
      <c r="M2" s="17" t="e">
        <f ca="1">VLOOKUP($L2,OFFSET([3]enemies!$A$1,0,0,COUNTA([3]enemies!$A:$A),MATCH(M$1,[3]enemies!$1:$1,0)-MATCH($L$1,[3]enemies!$1:$1,0)+1),MATCH(M$1,[3]enemies!$1:$1,0)-MATCH($L$1,[3]enemies!$1:$1,0)+1,FALSE)</f>
        <v>#VALUE!</v>
      </c>
      <c r="N2" s="17" t="e">
        <f ca="1">VLOOKUP($L2,OFFSET([3]enemies!$A$1,0,0,COUNTA([3]enemies!$A:$A),MATCH(N$1,[3]enemies!$1:$1,0)-MATCH($L$1,[3]enemies!$1:$1,0)+1),MATCH(N$1,[3]enemies!$1:$1,0)-MATCH($L$1,[3]enemies!$1:$1,0)+1,FALSE)</f>
        <v>#VALUE!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e">
        <f ca="1">VLOOKUP($L2,OFFSET([3]enemies!$A$1,0,0,COUNTA([3]enemies!$A:$A),MATCH(P$1,[3]enemies!$1:$1,0)-MATCH($L$1,[3]enemies!$1:$1,0)+1),MATCH(P$1,[3]enemies!$1:$1,0)-MATCH($L$1,[3]enemies!$1:$1,0)+1,FALSE)</f>
        <v>#VALUE!</v>
      </c>
      <c r="Q2" s="17" t="e">
        <f ca="1">VLOOKUP($L2,OFFSET([3]enemies!$A$1,0,0,COUNTA([3]enemies!$A:$A),MATCH(Q$1,[3]enemies!$1:$1,0)-MATCH($L$1,[3]enemies!$1:$1,0)+1),MATCH(Q$1,[3]enemies!$1:$1,0)-MATCH($L$1,[3]enemies!$1:$1,0)+1,FALSE)</f>
        <v>#VALUE!</v>
      </c>
      <c r="R2" s="5">
        <v>60</v>
      </c>
      <c r="S2" s="25">
        <v>1.5</v>
      </c>
      <c r="T2" s="25">
        <v>0.8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赤属性のユニットに大ダメージ！</v>
      </c>
      <c r="W2" s="94">
        <v>40013001</v>
      </c>
      <c r="X2" s="6">
        <v>1</v>
      </c>
      <c r="Y2" s="6">
        <v>100</v>
      </c>
      <c r="Z2" s="6">
        <v>0</v>
      </c>
      <c r="AA2" s="17">
        <v>2</v>
      </c>
      <c r="AB2" s="24">
        <f>L2</f>
        <v>52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翠槍のレジスタンス マイ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ca="1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>
      <c r="A3" s="16" t="str">
        <f>B3&amp;"_"&amp;C3&amp;"-"&amp;G3&amp;"/"&amp;L3&amp;"&lt;lv"&amp;R3&amp;"&gt;s"&amp;AA3</f>
        <v>40013_1-1/50&lt;lv60&gt;s1</v>
      </c>
      <c r="B3" s="22">
        <v>40013</v>
      </c>
      <c r="C3" s="21">
        <v>1</v>
      </c>
      <c r="D3" s="2" t="str">
        <f>B3&amp;"_"&amp;C3</f>
        <v>40013_1</v>
      </c>
      <c r="E3" s="4" t="str">
        <f ca="1">VLOOKUP($B3,OFFSET([2]quests!$A$1,0,0,COUNTA([2]quests!$A:$A),MATCH(E$1,[2]quests!$1:$1,0)-MATCH($B$1,[2]quests!$1:$1,0)+1),MATCH(E$1,[2]quests!$1:$1,0)-MATCH($B$1,[2]quests!$1:$1,0)+1,FALSE)</f>
        <v>カーマ襲来！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3" s="21">
        <v>1</v>
      </c>
      <c r="H3" s="15" t="str">
        <f>B3&amp;"_"&amp;C3&amp;"-"&amp;G3</f>
        <v>40013_1-1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53</v>
      </c>
      <c r="L3" s="20">
        <v>50</v>
      </c>
      <c r="M3" s="17" t="e">
        <f ca="1">VLOOKUP($L3,OFFSET([3]enemies!$A$1,0,0,COUNTA([3]enemies!$A:$A),MATCH(M$1,[3]enemies!$1:$1,0)-MATCH($L$1,[3]enemies!$1:$1,0)+1),MATCH(M$1,[3]enemies!$1:$1,0)-MATCH($L$1,[3]enemies!$1:$1,0)+1,FALSE)</f>
        <v>#VALUE!</v>
      </c>
      <c r="N3" s="17" t="e">
        <f ca="1">VLOOKUP($L3,OFFSET([3]enemies!$A$1,0,0,COUNTA([3]enemies!$A:$A),MATCH(N$1,[3]enemies!$1:$1,0)-MATCH($L$1,[3]enemies!$1:$1,0)+1),MATCH(N$1,[3]enemies!$1:$1,0)-MATCH($L$1,[3]enemies!$1:$1,0)+1,FALSE)</f>
        <v>#VALUE!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e">
        <f ca="1">VLOOKUP($L3,OFFSET([3]enemies!$A$1,0,0,COUNTA([3]enemies!$A:$A),MATCH(P$1,[3]enemies!$1:$1,0)-MATCH($L$1,[3]enemies!$1:$1,0)+1),MATCH(P$1,[3]enemies!$1:$1,0)-MATCH($L$1,[3]enemies!$1:$1,0)+1,FALSE)</f>
        <v>#VALUE!</v>
      </c>
      <c r="Q3" s="17" t="e">
        <f ca="1">VLOOKUP($L3,OFFSET([3]enemies!$A$1,0,0,COUNTA([3]enemies!$A:$A),MATCH(Q$1,[3]enemies!$1:$1,0)-MATCH($L$1,[3]enemies!$1:$1,0)+1),MATCH(Q$1,[3]enemies!$1:$1,0)-MATCH($L$1,[3]enemies!$1:$1,0)+1,FALSE)</f>
        <v>#VALUE!</v>
      </c>
      <c r="R3" s="5">
        <v>60</v>
      </c>
      <c r="S3" s="25">
        <v>1.5</v>
      </c>
      <c r="T3" s="25">
        <v>0.5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マイを追って去っていった…</v>
      </c>
      <c r="W3" s="94">
        <v>40013002</v>
      </c>
      <c r="X3" s="6">
        <v>1</v>
      </c>
      <c r="Y3" s="6">
        <v>100</v>
      </c>
      <c r="Z3" s="6">
        <v>0</v>
      </c>
      <c r="AA3" s="17">
        <v>1</v>
      </c>
      <c r="AB3" s="24">
        <f>L3</f>
        <v>50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炎銃のレジスタンス ヨシタカ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>
      <c r="A4" s="16" t="str">
        <f>B4&amp;"_"&amp;C4&amp;"-"&amp;G4&amp;"/"&amp;L4&amp;"&lt;lv"&amp;R4&amp;"&gt;s"&amp;AA4</f>
        <v>40013_1-2/396&lt;lv60&gt;s2</v>
      </c>
      <c r="B4" s="22">
        <v>40013</v>
      </c>
      <c r="C4" s="21">
        <v>1</v>
      </c>
      <c r="D4" s="2" t="str">
        <f>B4&amp;"_"&amp;C4</f>
        <v>40013_1</v>
      </c>
      <c r="E4" s="4" t="str">
        <f ca="1">VLOOKUP($B4,OFFSET([2]quests!$A$1,0,0,COUNTA([2]quests!$A:$A),MATCH(E$1,[2]quests!$1:$1,0)-MATCH($B$1,[2]quests!$1:$1,0)+1),MATCH(E$1,[2]quests!$1:$1,0)-MATCH($B$1,[2]quests!$1:$1,0)+1,FALSE)</f>
        <v>カーマ襲来！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4" s="21">
        <v>2</v>
      </c>
      <c r="H4" s="15" t="str">
        <f>B4&amp;"_"&amp;C4&amp;"-"&amp;G4</f>
        <v>40013_1-2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396</v>
      </c>
      <c r="M4" s="17" t="e">
        <f ca="1">VLOOKUP($L4,OFFSET([3]enemies!$A$1,0,0,COUNTA([3]enemies!$A:$A),MATCH(M$1,[3]enemies!$1:$1,0)-MATCH($L$1,[3]enemies!$1:$1,0)+1),MATCH(M$1,[3]enemies!$1:$1,0)-MATCH($L$1,[3]enemies!$1:$1,0)+1,FALSE)</f>
        <v>#VALUE!</v>
      </c>
      <c r="N4" s="17" t="e">
        <f ca="1">VLOOKUP($L4,OFFSET([3]enemies!$A$1,0,0,COUNTA([3]enemies!$A:$A),MATCH(N$1,[3]enemies!$1:$1,0)-MATCH($L$1,[3]enemies!$1:$1,0)+1),MATCH(N$1,[3]enemies!$1:$1,0)-MATCH($L$1,[3]enemies!$1:$1,0)+1,FALSE)</f>
        <v>#VALUE!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e">
        <f ca="1">VLOOKUP($L4,OFFSET([3]enemies!$A$1,0,0,COUNTA([3]enemies!$A:$A),MATCH(P$1,[3]enemies!$1:$1,0)-MATCH($L$1,[3]enemies!$1:$1,0)+1),MATCH(P$1,[3]enemies!$1:$1,0)-MATCH($L$1,[3]enemies!$1:$1,0)+1,FALSE)</f>
        <v>#VALUE!</v>
      </c>
      <c r="Q4" s="17" t="e">
        <f ca="1">VLOOKUP($L4,OFFSET([3]enemies!$A$1,0,0,COUNTA([3]enemies!$A:$A),MATCH(Q$1,[3]enemies!$1:$1,0)-MATCH($L$1,[3]enemies!$1:$1,0)+1),MATCH(Q$1,[3]enemies!$1:$1,0)-MATCH($L$1,[3]enemies!$1:$1,0)+1,FALSE)</f>
        <v>#VALUE!</v>
      </c>
      <c r="R4" s="5">
        <v>60</v>
      </c>
      <c r="S4" s="25">
        <v>1</v>
      </c>
      <c r="T4" s="25">
        <v>0.6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5ターンの間 ときどき赤パネルが_x000D_時限式ダメージパネルとしてドロップ</v>
      </c>
      <c r="W4" s="94">
        <v>40013003</v>
      </c>
      <c r="X4" s="6">
        <v>1</v>
      </c>
      <c r="Y4" s="6">
        <v>100</v>
      </c>
      <c r="Z4" s="6">
        <v>0</v>
      </c>
      <c r="AA4" s="17">
        <v>2</v>
      </c>
      <c r="AB4" s="24">
        <f>L4</f>
        <v>396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竜宮の水雷 乙姫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ca="1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>
      <c r="A5" s="16" t="str">
        <f>B5&amp;"_"&amp;C5&amp;"-"&amp;G5&amp;"/"&amp;L5&amp;"&lt;lv"&amp;R5&amp;"&gt;s"&amp;AA5</f>
        <v>40013_1-2/418&lt;lv60&gt;s2</v>
      </c>
      <c r="B5" s="22">
        <v>40013</v>
      </c>
      <c r="C5" s="21">
        <v>1</v>
      </c>
      <c r="D5" s="2" t="str">
        <f>B5&amp;"_"&amp;C5</f>
        <v>40013_1</v>
      </c>
      <c r="E5" s="4" t="str">
        <f ca="1">VLOOKUP($B5,OFFSET([2]quests!$A$1,0,0,COUNTA([2]quests!$A:$A),MATCH(E$1,[2]quests!$1:$1,0)-MATCH($B$1,[2]quests!$1:$1,0)+1),MATCH(E$1,[2]quests!$1:$1,0)-MATCH($B$1,[2]quests!$1:$1,0)+1,FALSE)</f>
        <v>カーマ襲来！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5" s="21">
        <v>2</v>
      </c>
      <c r="H5" s="15" t="str">
        <f>B5&amp;"_"&amp;C5&amp;"-"&amp;G5</f>
        <v>40013_1-2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418</v>
      </c>
      <c r="M5" s="17" t="e">
        <f ca="1">VLOOKUP($L5,OFFSET([3]enemies!$A$1,0,0,COUNTA([3]enemies!$A:$A),MATCH(M$1,[3]enemies!$1:$1,0)-MATCH($L$1,[3]enemies!$1:$1,0)+1),MATCH(M$1,[3]enemies!$1:$1,0)-MATCH($L$1,[3]enemies!$1:$1,0)+1,FALSE)</f>
        <v>#VALUE!</v>
      </c>
      <c r="N5" s="17" t="e">
        <f ca="1">VLOOKUP($L5,OFFSET([3]enemies!$A$1,0,0,COUNTA([3]enemies!$A:$A),MATCH(N$1,[3]enemies!$1:$1,0)-MATCH($L$1,[3]enemies!$1:$1,0)+1),MATCH(N$1,[3]enemies!$1:$1,0)-MATCH($L$1,[3]enemies!$1:$1,0)+1,FALSE)</f>
        <v>#VALUE!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e">
        <f ca="1">VLOOKUP($L5,OFFSET([3]enemies!$A$1,0,0,COUNTA([3]enemies!$A:$A),MATCH(P$1,[3]enemies!$1:$1,0)-MATCH($L$1,[3]enemies!$1:$1,0)+1),MATCH(P$1,[3]enemies!$1:$1,0)-MATCH($L$1,[3]enemies!$1:$1,0)+1,FALSE)</f>
        <v>#VALUE!</v>
      </c>
      <c r="Q5" s="17" t="e">
        <f ca="1">VLOOKUP($L5,OFFSET([3]enemies!$A$1,0,0,COUNTA([3]enemies!$A:$A),MATCH(Q$1,[3]enemies!$1:$1,0)-MATCH($L$1,[3]enemies!$1:$1,0)+1),MATCH(Q$1,[3]enemies!$1:$1,0)-MATCH($L$1,[3]enemies!$1:$1,0)+1,FALSE)</f>
        <v>#VALUE!</v>
      </c>
      <c r="R5" s="5">
        <v>60</v>
      </c>
      <c r="S5" s="25">
        <v>1</v>
      </c>
      <c r="T5" s="25">
        <v>0.7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ランダムにパネルをハートに変換</v>
      </c>
      <c r="W5" s="94">
        <v>40013005</v>
      </c>
      <c r="X5" s="6">
        <v>1</v>
      </c>
      <c r="Y5" s="6">
        <v>100</v>
      </c>
      <c r="Z5" s="6">
        <v>0</v>
      </c>
      <c r="AA5" s="17">
        <v>2</v>
      </c>
      <c r="AB5" s="24">
        <f>L5</f>
        <v>418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ウラシマ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ca="1">AD5</f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>
      <c r="A6" s="16" t="str">
        <f>B6&amp;"_"&amp;C6&amp;"-"&amp;G6&amp;"/"&amp;L6&amp;"&lt;lv"&amp;R6&amp;"&gt;s"&amp;AA6</f>
        <v>40013_1-3/642&lt;lv60&gt;s2</v>
      </c>
      <c r="B6" s="22">
        <v>40013</v>
      </c>
      <c r="C6" s="21">
        <v>1</v>
      </c>
      <c r="D6" s="2" t="str">
        <f>B6&amp;"_"&amp;C6</f>
        <v>40013_1</v>
      </c>
      <c r="E6" s="4" t="str">
        <f ca="1">VLOOKUP($B6,OFFSET([2]quests!$A$1,0,0,COUNTA([2]quests!$A:$A),MATCH(E$1,[2]quests!$1:$1,0)-MATCH($B$1,[2]quests!$1:$1,0)+1),MATCH(E$1,[2]quests!$1:$1,0)-MATCH($B$1,[2]quests!$1:$1,0)+1,FALSE)</f>
        <v>カーマ襲来！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6" s="21">
        <v>3</v>
      </c>
      <c r="H6" s="15" t="str">
        <f>B6&amp;"_"&amp;C6&amp;"-"&amp;G6</f>
        <v>40013_1-3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642</v>
      </c>
      <c r="M6" s="17" t="e">
        <f ca="1">VLOOKUP($L6,OFFSET([3]enemies!$A$1,0,0,COUNTA([3]enemies!$A:$A),MATCH(M$1,[3]enemies!$1:$1,0)-MATCH($L$1,[3]enemies!$1:$1,0)+1),MATCH(M$1,[3]enemies!$1:$1,0)-MATCH($L$1,[3]enemies!$1:$1,0)+1,FALSE)</f>
        <v>#VALUE!</v>
      </c>
      <c r="N6" s="17" t="e">
        <f ca="1">VLOOKUP($L6,OFFSET([3]enemies!$A$1,0,0,COUNTA([3]enemies!$A:$A),MATCH(N$1,[3]enemies!$1:$1,0)-MATCH($L$1,[3]enemies!$1:$1,0)+1),MATCH(N$1,[3]enemies!$1:$1,0)-MATCH($L$1,[3]enemies!$1:$1,0)+1,FALSE)</f>
        <v>#VALUE!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e">
        <f ca="1">VLOOKUP($L6,OFFSET([3]enemies!$A$1,0,0,COUNTA([3]enemies!$A:$A),MATCH(P$1,[3]enemies!$1:$1,0)-MATCH($L$1,[3]enemies!$1:$1,0)+1),MATCH(P$1,[3]enemies!$1:$1,0)-MATCH($L$1,[3]enemies!$1:$1,0)+1,FALSE)</f>
        <v>#VALUE!</v>
      </c>
      <c r="Q6" s="17" t="e">
        <f ca="1">VLOOKUP($L6,OFFSET([3]enemies!$A$1,0,0,COUNTA([3]enemies!$A:$A),MATCH(Q$1,[3]enemies!$1:$1,0)-MATCH($L$1,[3]enemies!$1:$1,0)+1),MATCH(Q$1,[3]enemies!$1:$1,0)-MATCH($L$1,[3]enemies!$1:$1,0)+1,FALSE)</f>
        <v>#VALUE!</v>
      </c>
      <c r="R6" s="5">
        <v>60</v>
      </c>
      <c r="S6" s="25">
        <v>3.2</v>
      </c>
      <c r="T6" s="25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ランダムにパネルをハートに変換</v>
      </c>
      <c r="W6" s="94">
        <v>40013007</v>
      </c>
      <c r="X6" s="6">
        <v>1</v>
      </c>
      <c r="Y6" s="6">
        <v>100</v>
      </c>
      <c r="Z6" s="6">
        <v>0</v>
      </c>
      <c r="AA6" s="17">
        <v>2</v>
      </c>
      <c r="AB6" s="24">
        <f>L6</f>
        <v>642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カーマ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6" s="7">
        <v>1</v>
      </c>
      <c r="AG6" s="24">
        <f ca="1">AD6</f>
        <v>4</v>
      </c>
      <c r="AH6" s="8">
        <v>30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M14" sqref="M14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40013_1-2/396&lt;lv60&gt;sq1st2</v>
      </c>
      <c r="B2" s="22">
        <v>40013</v>
      </c>
      <c r="C2" s="21">
        <v>1</v>
      </c>
      <c r="D2" s="2" t="str">
        <f>B2&amp;"_"&amp;C2</f>
        <v>40013_1</v>
      </c>
      <c r="E2" s="4" t="str">
        <f ca="1">VLOOKUP($B2,OFFSET([2]quests!$A$1,0,0,COUNTA([2]quests!$A:$A),MATCH(E$1,[2]quests!$1:$1,0)-MATCH($B$1,[2]quests!$1:$1,0)+1),MATCH(E$1,[2]quests!$1:$1,0)-MATCH($B$1,[2]quests!$1:$1,0)+1,FALSE)</f>
        <v>カーマ襲来！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2" s="21">
        <v>2</v>
      </c>
      <c r="H2" s="15" t="str">
        <f>B2&amp;"_"&amp;C2&amp;"-"&amp;G2</f>
        <v>40013_1-2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396</v>
      </c>
      <c r="N2" s="17" t="e">
        <f ca="1">VLOOKUP($M2,OFFSET([3]enemies!$A$1,0,0,COUNTA([3]enemies!$A:$A),MATCH(N$1,[3]enemies!$1:$1,0)-MATCH($M$1,[3]enemies!$1:$1,0)+1),MATCH(N$1,[3]enemies!$1:$1,0)-MATCH($M$1,[3]enemies!$1:$1,0)+1,FALSE)</f>
        <v>#VALUE!</v>
      </c>
      <c r="O2" s="17" t="e">
        <f ca="1">VLOOKUP($M2,OFFSET([3]enemies!$A$1,0,0,COUNTA([3]enemies!$A:$A),MATCH(O$1,[3]enemies!$1:$1,0)-MATCH($M$1,[3]enemies!$1:$1,0)+1),MATCH(O$1,[3]enemies!$1:$1,0)-MATCH($M$1,[3]enemies!$1:$1,0)+1,FALSE)</f>
        <v>#VALUE!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e">
        <f ca="1">VLOOKUP($M2,OFFSET([3]enemies!$A$1,0,0,COUNTA([3]enemies!$A:$A),MATCH(Q$1,[3]enemies!$1:$1,0)-MATCH($M$1,[3]enemies!$1:$1,0)+1),MATCH(Q$1,[3]enemies!$1:$1,0)-MATCH($M$1,[3]enemies!$1:$1,0)+1,FALSE)</f>
        <v>#VALUE!</v>
      </c>
      <c r="R2" s="17" t="e">
        <f ca="1">VLOOKUP($M2,OFFSET([3]enemies!$A$1,0,0,COUNTA([3]enemies!$A:$A),MATCH(R$1,[3]enemies!$1:$1,0)-MATCH($M$1,[3]enemies!$1:$1,0)+1),MATCH(R$1,[3]enemies!$1:$1,0)-MATCH($M$1,[3]enemies!$1:$1,0)+1,FALSE)</f>
        <v>#VALUE!</v>
      </c>
      <c r="S2" s="5">
        <v>60</v>
      </c>
      <c r="T2" s="25">
        <v>1.2</v>
      </c>
      <c r="U2" s="25">
        <v>0.6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94">
        <v>40013004</v>
      </c>
      <c r="Y2" s="68">
        <v>2</v>
      </c>
    </row>
    <row r="3" spans="1:25" ht="21" customHeight="1">
      <c r="A3" s="16" t="str">
        <f>B3&amp;"_"&amp;C3&amp;"-"&amp;G3&amp;"/"&amp;M3&amp;"&lt;lv"&amp;S3&amp;"&gt;sq"&amp;K3&amp;"st"&amp;L3</f>
        <v>40013_1-2/418&lt;lv60&gt;sq2st2</v>
      </c>
      <c r="B3" s="22">
        <v>40013</v>
      </c>
      <c r="C3" s="21">
        <v>1</v>
      </c>
      <c r="D3" s="2" t="str">
        <f>B3&amp;"_"&amp;C3</f>
        <v>40013_1</v>
      </c>
      <c r="E3" s="4" t="str">
        <f ca="1">VLOOKUP($B3,OFFSET([2]quests!$A$1,0,0,COUNTA([2]quests!$A:$A),MATCH(E$1,[2]quests!$1:$1,0)-MATCH($B$1,[2]quests!$1:$1,0)+1),MATCH(E$1,[2]quests!$1:$1,0)-MATCH($B$1,[2]quests!$1:$1,0)+1,FALSE)</f>
        <v>カーマ襲来！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3" s="21">
        <v>2</v>
      </c>
      <c r="H3" s="15" t="str">
        <f>B3&amp;"_"&amp;C3&amp;"-"&amp;G3</f>
        <v>40013_1-2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418</v>
      </c>
      <c r="N3" s="17" t="e">
        <f ca="1">VLOOKUP($M3,OFFSET([3]enemies!$A$1,0,0,COUNTA([3]enemies!$A:$A),MATCH(N$1,[3]enemies!$1:$1,0)-MATCH($M$1,[3]enemies!$1:$1,0)+1),MATCH(N$1,[3]enemies!$1:$1,0)-MATCH($M$1,[3]enemies!$1:$1,0)+1,FALSE)</f>
        <v>#VALUE!</v>
      </c>
      <c r="O3" s="17" t="e">
        <f ca="1">VLOOKUP($M3,OFFSET([3]enemies!$A$1,0,0,COUNTA([3]enemies!$A:$A),MATCH(O$1,[3]enemies!$1:$1,0)-MATCH($M$1,[3]enemies!$1:$1,0)+1),MATCH(O$1,[3]enemies!$1:$1,0)-MATCH($M$1,[3]enemies!$1:$1,0)+1,FALSE)</f>
        <v>#VALUE!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e">
        <f ca="1">VLOOKUP($M3,OFFSET([3]enemies!$A$1,0,0,COUNTA([3]enemies!$A:$A),MATCH(Q$1,[3]enemies!$1:$1,0)-MATCH($M$1,[3]enemies!$1:$1,0)+1),MATCH(Q$1,[3]enemies!$1:$1,0)-MATCH($M$1,[3]enemies!$1:$1,0)+1,FALSE)</f>
        <v>#VALUE!</v>
      </c>
      <c r="R3" s="17" t="e">
        <f ca="1">VLOOKUP($M3,OFFSET([3]enemies!$A$1,0,0,COUNTA([3]enemies!$A:$A),MATCH(R$1,[3]enemies!$1:$1,0)-MATCH($M$1,[3]enemies!$1:$1,0)+1),MATCH(R$1,[3]enemies!$1:$1,0)-MATCH($M$1,[3]enemies!$1:$1,0)+1,FALSE)</f>
        <v>#VALUE!</v>
      </c>
      <c r="S3" s="5">
        <v>60</v>
      </c>
      <c r="T3" s="25">
        <v>1.2</v>
      </c>
      <c r="U3" s="25">
        <v>0.8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94">
        <v>40013006</v>
      </c>
      <c r="Y3" s="68">
        <v>2</v>
      </c>
    </row>
    <row r="4" spans="1:25" ht="21" customHeight="1">
      <c r="A4" s="16" t="str">
        <f>B4&amp;"_"&amp;C4&amp;"-"&amp;G4&amp;"/"&amp;M4&amp;"&lt;lv"&amp;S4&amp;"&gt;sq"&amp;K4&amp;"st"&amp;L4</f>
        <v>40013_1-3/642&lt;lv60&gt;sq3st2</v>
      </c>
      <c r="B4" s="22">
        <v>40013</v>
      </c>
      <c r="C4" s="21">
        <v>1</v>
      </c>
      <c r="D4" s="2" t="str">
        <f>B4&amp;"_"&amp;C4</f>
        <v>40013_1</v>
      </c>
      <c r="E4" s="4" t="str">
        <f ca="1">VLOOKUP($B4,OFFSET([2]quests!$A$1,0,0,COUNTA([2]quests!$A:$A),MATCH(E$1,[2]quests!$1:$1,0)-MATCH($B$1,[2]quests!$1:$1,0)+1),MATCH(E$1,[2]quests!$1:$1,0)-MATCH($B$1,[2]quests!$1:$1,0)+1,FALSE)</f>
        <v>カーマ襲来！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4" s="21">
        <v>3</v>
      </c>
      <c r="H4" s="15" t="str">
        <f>B4&amp;"_"&amp;C4&amp;"-"&amp;G4</f>
        <v>40013_1-3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642</v>
      </c>
      <c r="N4" s="17" t="e">
        <f ca="1">VLOOKUP($M4,OFFSET([3]enemies!$A$1,0,0,COUNTA([3]enemies!$A:$A),MATCH(N$1,[3]enemies!$1:$1,0)-MATCH($M$1,[3]enemies!$1:$1,0)+1),MATCH(N$1,[3]enemies!$1:$1,0)-MATCH($M$1,[3]enemies!$1:$1,0)+1,FALSE)</f>
        <v>#VALUE!</v>
      </c>
      <c r="O4" s="17" t="e">
        <f ca="1">VLOOKUP($M4,OFFSET([3]enemies!$A$1,0,0,COUNTA([3]enemies!$A:$A),MATCH(O$1,[3]enemies!$1:$1,0)-MATCH($M$1,[3]enemies!$1:$1,0)+1),MATCH(O$1,[3]enemies!$1:$1,0)-MATCH($M$1,[3]enemies!$1:$1,0)+1,FALSE)</f>
        <v>#VALUE!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e">
        <f ca="1">VLOOKUP($M4,OFFSET([3]enemies!$A$1,0,0,COUNTA([3]enemies!$A:$A),MATCH(Q$1,[3]enemies!$1:$1,0)-MATCH($M$1,[3]enemies!$1:$1,0)+1),MATCH(Q$1,[3]enemies!$1:$1,0)-MATCH($M$1,[3]enemies!$1:$1,0)+1,FALSE)</f>
        <v>#VALUE!</v>
      </c>
      <c r="R4" s="17" t="e">
        <f ca="1">VLOOKUP($M4,OFFSET([3]enemies!$A$1,0,0,COUNTA([3]enemies!$A:$A),MATCH(R$1,[3]enemies!$1:$1,0)-MATCH($M$1,[3]enemies!$1:$1,0)+1),MATCH(R$1,[3]enemies!$1:$1,0)-MATCH($M$1,[3]enemies!$1:$1,0)+1,FALSE)</f>
        <v>#VALUE!</v>
      </c>
      <c r="S4" s="5">
        <v>60</v>
      </c>
      <c r="T4" s="25">
        <v>3.2</v>
      </c>
      <c r="U4" s="25">
        <v>0.8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94">
        <v>40013008</v>
      </c>
      <c r="Y4" s="68">
        <v>2</v>
      </c>
    </row>
    <row r="5" spans="1:25" ht="21" customHeight="1">
      <c r="A5" s="16" t="str">
        <f>B5&amp;"_"&amp;C5&amp;"-"&amp;G5&amp;"/"&amp;M5&amp;"&lt;lv"&amp;S5&amp;"&gt;sq"&amp;K5&amp;"st"&amp;L5</f>
        <v>40013_1-3/643&lt;lv60&gt;sq3st3</v>
      </c>
      <c r="B5" s="22">
        <v>40013</v>
      </c>
      <c r="C5" s="21">
        <v>1</v>
      </c>
      <c r="D5" s="2" t="str">
        <f>B5&amp;"_"&amp;C5</f>
        <v>40013_1</v>
      </c>
      <c r="E5" s="4" t="str">
        <f ca="1">VLOOKUP($B5,OFFSET([2]quests!$A$1,0,0,COUNTA([2]quests!$A:$A),MATCH(E$1,[2]quests!$1:$1,0)-MATCH($B$1,[2]quests!$1:$1,0)+1),MATCH(E$1,[2]quests!$1:$1,0)-MATCH($B$1,[2]quests!$1:$1,0)+1,FALSE)</f>
        <v>カーマ襲来！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【ウィザード級】カーマ襲来 </v>
      </c>
      <c r="G5" s="21">
        <v>3</v>
      </c>
      <c r="H5" s="15" t="str">
        <f>B5&amp;"_"&amp;C5&amp;"-"&amp;G5</f>
        <v>40013_1-3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643</v>
      </c>
      <c r="N5" s="17" t="e">
        <f ca="1">VLOOKUP($M5,OFFSET([3]enemies!$A$1,0,0,COUNTA([3]enemies!$A:$A),MATCH(N$1,[3]enemies!$1:$1,0)-MATCH($M$1,[3]enemies!$1:$1,0)+1),MATCH(N$1,[3]enemies!$1:$1,0)-MATCH($M$1,[3]enemies!$1:$1,0)+1,FALSE)</f>
        <v>#VALUE!</v>
      </c>
      <c r="O5" s="17" t="e">
        <f ca="1">VLOOKUP($M5,OFFSET([3]enemies!$A$1,0,0,COUNTA([3]enemies!$A:$A),MATCH(O$1,[3]enemies!$1:$1,0)-MATCH($M$1,[3]enemies!$1:$1,0)+1),MATCH(O$1,[3]enemies!$1:$1,0)-MATCH($M$1,[3]enemies!$1:$1,0)+1,FALSE)</f>
        <v>#VALUE!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e">
        <f ca="1">VLOOKUP($M5,OFFSET([3]enemies!$A$1,0,0,COUNTA([3]enemies!$A:$A),MATCH(Q$1,[3]enemies!$1:$1,0)-MATCH($M$1,[3]enemies!$1:$1,0)+1),MATCH(Q$1,[3]enemies!$1:$1,0)-MATCH($M$1,[3]enemies!$1:$1,0)+1,FALSE)</f>
        <v>#VALUE!</v>
      </c>
      <c r="R5" s="17" t="e">
        <f ca="1">VLOOKUP($M5,OFFSET([3]enemies!$A$1,0,0,COUNTA([3]enemies!$A:$A),MATCH(R$1,[3]enemies!$1:$1,0)-MATCH($M$1,[3]enemies!$1:$1,0)+1),MATCH(R$1,[3]enemies!$1:$1,0)-MATCH($M$1,[3]enemies!$1:$1,0)+1,FALSE)</f>
        <v>#VALUE!</v>
      </c>
      <c r="S5" s="5">
        <v>60</v>
      </c>
      <c r="T5" s="99">
        <v>3.2</v>
      </c>
      <c r="U5" s="100">
        <v>0.5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94">
        <v>40013009</v>
      </c>
      <c r="Y5" s="6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5"/>
  <sheetViews>
    <sheetView showGridLines="0" zoomScale="110" zoomScaleNormal="110" zoomScalePageLayoutView="110" workbookViewId="0">
      <pane xSplit="5" ySplit="1" topLeftCell="F5" activePane="bottomRight" state="frozen"/>
      <selection pane="topRight"/>
      <selection pane="bottomLeft"/>
      <selection pane="bottomRight" activeCell="D37" sqref="D37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:A3" si="0">B2&amp;"_"&amp;C2</f>
        <v>40013001_40013001</v>
      </c>
      <c r="B2" s="22">
        <v>40013001</v>
      </c>
      <c r="C2" s="22">
        <v>40013001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赤属性なんてッ…///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赤属性のユニットに大ダメージ！</v>
      </c>
      <c r="F2" s="7">
        <v>40013001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" s="47" t="s">
        <v>219</v>
      </c>
      <c r="Q2" s="97">
        <v>42439</v>
      </c>
      <c r="R2" s="47" t="s">
        <v>220</v>
      </c>
    </row>
    <row r="3" spans="1:18" ht="21" customHeight="1">
      <c r="A3" s="39" t="str">
        <f t="shared" si="0"/>
        <v>40013002_40013034</v>
      </c>
      <c r="B3" s="22">
        <v>40013002</v>
      </c>
      <c r="C3" s="22">
        <v>40013034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あわわ、大丈夫？？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マイを追って去っていった…</v>
      </c>
      <c r="F3" s="7">
        <v>40013034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52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 t="s">
        <v>219</v>
      </c>
      <c r="Q3" s="97">
        <v>42439</v>
      </c>
      <c r="R3" s="47" t="s">
        <v>221</v>
      </c>
    </row>
    <row r="4" spans="1:18" ht="21" customHeight="1">
      <c r="A4" s="39" t="str">
        <f t="shared" ref="A4:A10" si="1">B4&amp;"_"&amp;C4</f>
        <v>40013002_40013002</v>
      </c>
      <c r="B4" s="22">
        <v>40013002</v>
      </c>
      <c r="C4" s="22">
        <v>40013002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マイちゃん落ち着いて！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マイを回復</v>
      </c>
      <c r="F4" s="7">
        <v>40013002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 t="s">
        <v>219</v>
      </c>
      <c r="Q4" s="97">
        <v>42439</v>
      </c>
      <c r="R4" s="47" t="s">
        <v>221</v>
      </c>
    </row>
    <row r="5" spans="1:18" ht="21" customHeight="1">
      <c r="A5" s="39" t="str">
        <f t="shared" si="1"/>
        <v>40013003_40013003</v>
      </c>
      <c r="B5" s="22">
        <v>40013003</v>
      </c>
      <c r="C5" s="22">
        <v>40013003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ラブ・カウントダウン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5ターンの間 ときどき赤パネルが_x000D_時限式ダメージパネルとしてドロップ</v>
      </c>
      <c r="F5" s="7">
        <v>40013003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 t="s">
        <v>219</v>
      </c>
      <c r="Q5" s="97">
        <v>42439</v>
      </c>
      <c r="R5" s="47" t="s">
        <v>226</v>
      </c>
    </row>
    <row r="6" spans="1:18" ht="21" customHeight="1">
      <c r="A6" s="39" t="str">
        <f t="shared" si="1"/>
        <v>40013003_40013004</v>
      </c>
      <c r="B6" s="22">
        <v>40013003</v>
      </c>
      <c r="C6" s="22">
        <v>40013004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束縛する慕情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単体に1ターンスキルバインド</v>
      </c>
      <c r="F6" s="7">
        <v>40013004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" s="47" t="s">
        <v>219</v>
      </c>
      <c r="Q6" s="97">
        <v>42439</v>
      </c>
      <c r="R6" s="47" t="s">
        <v>226</v>
      </c>
    </row>
    <row r="7" spans="1:18" ht="21" customHeight="1">
      <c r="A7" s="39" t="str">
        <f t="shared" ref="A7" si="2">B7&amp;"_"&amp;C7</f>
        <v>40013003_40013005</v>
      </c>
      <c r="B7" s="22">
        <v>40013003</v>
      </c>
      <c r="C7" s="22">
        <v>40013005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キケンな衝動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次の攻撃ターンに青パネルを破壊する攻撃！_x000D_＋2ターン青パネルがドロップしない</v>
      </c>
      <c r="F7" s="7">
        <v>40013005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 t="s">
        <v>219</v>
      </c>
      <c r="Q7" s="97">
        <v>42439</v>
      </c>
      <c r="R7" s="47" t="s">
        <v>226</v>
      </c>
    </row>
    <row r="8" spans="1:18" ht="21" customHeight="1">
      <c r="A8" s="39" t="str">
        <f t="shared" si="1"/>
        <v>40013003_40013006</v>
      </c>
      <c r="B8" s="22">
        <v>40013003</v>
      </c>
      <c r="C8" s="22">
        <v>40013006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玉手箱ミサイル！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青パネル破壊攻撃</v>
      </c>
      <c r="F8" s="7">
        <v>40013006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 t="s">
        <v>219</v>
      </c>
      <c r="Q8" s="97">
        <v>42439</v>
      </c>
      <c r="R8" s="47" t="s">
        <v>226</v>
      </c>
    </row>
    <row r="9" spans="1:18" ht="21" customHeight="1">
      <c r="A9" s="39" t="str">
        <f t="shared" si="1"/>
        <v>40013004_40013007</v>
      </c>
      <c r="B9" s="22">
        <v>40013004</v>
      </c>
      <c r="C9" s="22">
        <v>40013007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加速する恋情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9" s="7">
        <v>40013007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 t="s">
        <v>219</v>
      </c>
      <c r="Q9" s="97">
        <v>42439</v>
      </c>
      <c r="R9" s="47" t="s">
        <v>227</v>
      </c>
    </row>
    <row r="10" spans="1:18" ht="21" customHeight="1">
      <c r="A10" s="39" t="str">
        <f t="shared" si="1"/>
        <v>40013004_40013008</v>
      </c>
      <c r="B10" s="22">
        <v>40013004</v>
      </c>
      <c r="C10" s="22">
        <v>40013008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溢れる想い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黄パネルをハートパネルに変換_x000D_＋3連続攻撃</v>
      </c>
      <c r="F10" s="7">
        <v>40013008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0" s="47" t="s">
        <v>219</v>
      </c>
      <c r="Q10" s="97">
        <v>42439</v>
      </c>
      <c r="R10" s="47" t="s">
        <v>227</v>
      </c>
    </row>
    <row r="11" spans="1:18" ht="21" customHeight="1">
      <c r="A11" s="39" t="str">
        <f t="shared" ref="A11:A35" si="3">B11&amp;"_"&amp;C11</f>
        <v>40013004_40013009</v>
      </c>
      <c r="B11" s="22">
        <v>40013004</v>
      </c>
      <c r="C11" s="22">
        <v>40013009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シークレット・ボム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次のターン強力な一撃！</v>
      </c>
      <c r="F11" s="7">
        <v>40013009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 t="s">
        <v>219</v>
      </c>
      <c r="Q11" s="97">
        <v>42439</v>
      </c>
      <c r="R11" s="47" t="s">
        <v>227</v>
      </c>
    </row>
    <row r="12" spans="1:18" ht="21" customHeight="1">
      <c r="A12" s="39" t="str">
        <f t="shared" si="3"/>
        <v>40013005_40013010</v>
      </c>
      <c r="B12" s="22">
        <v>40013005</v>
      </c>
      <c r="C12" s="22">
        <v>40013010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パネルハッキング！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ランダムにパネルをハートに変換</v>
      </c>
      <c r="F12" s="7">
        <v>40013010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 t="s">
        <v>219</v>
      </c>
      <c r="Q12" s="97">
        <v>42439</v>
      </c>
      <c r="R12" s="47" t="s">
        <v>228</v>
      </c>
    </row>
    <row r="13" spans="1:18" ht="21" customHeight="1">
      <c r="A13" s="39" t="str">
        <f t="shared" si="3"/>
        <v>40013005_40013011</v>
      </c>
      <c r="B13" s="22">
        <v>40013005</v>
      </c>
      <c r="C13" s="22">
        <v>40013011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ラブ・クロックアップ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敵全員が攻撃頻度UP</v>
      </c>
      <c r="F13" s="7">
        <v>40013011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 t="s">
        <v>219</v>
      </c>
      <c r="Q13" s="97">
        <v>42439</v>
      </c>
      <c r="R13" s="47" t="s">
        <v>228</v>
      </c>
    </row>
    <row r="14" spans="1:18" ht="21" customHeight="1">
      <c r="A14" s="39" t="str">
        <f t="shared" si="3"/>
        <v>40013005_40013012</v>
      </c>
      <c r="B14" s="22">
        <v>40013005</v>
      </c>
      <c r="C14" s="22">
        <v>40013012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恋敵キラー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</v>
      </c>
      <c r="F14" s="7">
        <v>40013012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4" s="47" t="s">
        <v>219</v>
      </c>
      <c r="Q14" s="97">
        <v>42439</v>
      </c>
      <c r="R14" s="47" t="s">
        <v>228</v>
      </c>
    </row>
    <row r="15" spans="1:18" ht="21" customHeight="1">
      <c r="A15" s="39" t="str">
        <f t="shared" si="3"/>
        <v>40013005_40013013</v>
      </c>
      <c r="B15" s="22">
        <v>40013005</v>
      </c>
      <c r="C15" s="22">
        <v>40013013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クラッキング！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7">
        <v>40013013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15" s="47" t="s">
        <v>219</v>
      </c>
      <c r="Q15" s="97">
        <v>42439</v>
      </c>
      <c r="R15" s="47" t="s">
        <v>228</v>
      </c>
    </row>
    <row r="16" spans="1:18" ht="21" customHeight="1">
      <c r="A16" s="39" t="str">
        <f t="shared" si="3"/>
        <v>40013006_40013014</v>
      </c>
      <c r="B16" s="22">
        <v>40013006</v>
      </c>
      <c r="C16" s="22">
        <v>40013014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アクセス制限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8ターンの間 赤パネルの出現率DOWN</v>
      </c>
      <c r="F16" s="7">
        <v>40013014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 t="s">
        <v>219</v>
      </c>
      <c r="Q16" s="97">
        <v>42439</v>
      </c>
      <c r="R16" s="47" t="s">
        <v>229</v>
      </c>
    </row>
    <row r="17" spans="1:18" ht="21" customHeight="1">
      <c r="A17" s="39" t="str">
        <f t="shared" ref="A17:A18" si="4">B17&amp;"_"&amp;C17</f>
        <v>40013006_40013015</v>
      </c>
      <c r="B17" s="22">
        <v>40013006</v>
      </c>
      <c r="C17" s="22">
        <v>40013015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ステータス・クラック V1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3ターンの間 攻撃力DOWN</v>
      </c>
      <c r="F17" s="7">
        <v>40013015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 t="s">
        <v>219</v>
      </c>
      <c r="Q17" s="97">
        <v>42439</v>
      </c>
      <c r="R17" s="47" t="s">
        <v>229</v>
      </c>
    </row>
    <row r="18" spans="1:18" ht="21" customHeight="1">
      <c r="A18" s="39" t="str">
        <f t="shared" si="4"/>
        <v>40013006_40013016</v>
      </c>
      <c r="B18" s="22">
        <v>40013006</v>
      </c>
      <c r="C18" s="22">
        <v>40013016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ステータス・クラック V2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さらに3ターン攻撃力DOWN</v>
      </c>
      <c r="F18" s="7">
        <v>40013016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 t="s">
        <v>219</v>
      </c>
      <c r="Q18" s="97">
        <v>42439</v>
      </c>
      <c r="R18" s="47" t="s">
        <v>229</v>
      </c>
    </row>
    <row r="19" spans="1:18" ht="21" customHeight="1">
      <c r="A19" s="39" t="str">
        <f t="shared" si="3"/>
        <v>40013006_40013017</v>
      </c>
      <c r="B19" s="22">
        <v>40013006</v>
      </c>
      <c r="C19" s="22">
        <v>40013017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ステータス・クラック V3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さらに3ターン攻撃力DOWN</v>
      </c>
      <c r="F19" s="7">
        <v>40013017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 t="s">
        <v>219</v>
      </c>
      <c r="Q19" s="97">
        <v>42439</v>
      </c>
      <c r="R19" s="47" t="s">
        <v>229</v>
      </c>
    </row>
    <row r="20" spans="1:18" ht="21" customHeight="1">
      <c r="A20" s="39" t="str">
        <f t="shared" si="3"/>
        <v>40013006_40013018</v>
      </c>
      <c r="B20" s="22">
        <v>40013006</v>
      </c>
      <c r="C20" s="22">
        <v>40013018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モニター・ハック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3ターンの間パネルの色がわからない</v>
      </c>
      <c r="F20" s="7">
        <v>40013018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 t="s">
        <v>219</v>
      </c>
      <c r="Q20" s="97">
        <v>42439</v>
      </c>
      <c r="R20" s="47" t="s">
        <v>229</v>
      </c>
    </row>
    <row r="21" spans="1:18" ht="21" customHeight="1">
      <c r="A21" s="39" t="str">
        <f t="shared" si="3"/>
        <v>40013007_40013019</v>
      </c>
      <c r="B21" s="22">
        <v>40013007</v>
      </c>
      <c r="C21" s="22">
        <v>40013019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素晴らしき愛を君たちに！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ランダムにパネルをハートに変換</v>
      </c>
      <c r="F21" s="7">
        <v>40013019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 t="s">
        <v>219</v>
      </c>
      <c r="Q21" s="97">
        <v>42439</v>
      </c>
      <c r="R21" s="47" t="s">
        <v>222</v>
      </c>
    </row>
    <row r="22" spans="1:18" ht="21" customHeight="1">
      <c r="A22" s="39" t="str">
        <f t="shared" si="3"/>
        <v>40013007_40013020</v>
      </c>
      <c r="B22" s="22">
        <v>40013007</v>
      </c>
      <c r="C22" s="22">
        <v>40013020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咲き誇れ恋の花！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青パネルをハートパネルに変換_x000D_＋2連続攻撃</v>
      </c>
      <c r="F22" s="7">
        <v>40013020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 t="s">
        <v>219</v>
      </c>
      <c r="Q22" s="97">
        <v>42439</v>
      </c>
      <c r="R22" s="47" t="s">
        <v>222</v>
      </c>
    </row>
    <row r="23" spans="1:18" ht="21" customHeight="1">
      <c r="A23" s="39" t="str">
        <f t="shared" si="3"/>
        <v>40013007_40013021</v>
      </c>
      <c r="B23" s="22">
        <v>40013007</v>
      </c>
      <c r="C23" s="22">
        <v>40013021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ラブ・アロー！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</v>
      </c>
      <c r="F23" s="7">
        <v>40013021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3" s="47" t="s">
        <v>219</v>
      </c>
      <c r="Q23" s="97">
        <v>42439</v>
      </c>
      <c r="R23" s="47" t="s">
        <v>222</v>
      </c>
    </row>
    <row r="24" spans="1:18" ht="21" customHeight="1">
      <c r="A24" s="39" t="str">
        <f t="shared" si="3"/>
        <v>40013007_40013022</v>
      </c>
      <c r="B24" s="22">
        <v>40013007</v>
      </c>
      <c r="C24" s="22">
        <v>40013022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恋は盲目…♪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4ターンの間 パネルの色がわからない</v>
      </c>
      <c r="F24" s="7">
        <v>40013022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 t="s">
        <v>219</v>
      </c>
      <c r="Q24" s="97">
        <v>42439</v>
      </c>
      <c r="R24" s="47" t="s">
        <v>222</v>
      </c>
    </row>
    <row r="25" spans="1:18" ht="21" customHeight="1">
      <c r="A25" s="39" t="str">
        <f t="shared" si="3"/>
        <v>40013007_40013023</v>
      </c>
      <c r="B25" s="22">
        <v>40013007</v>
      </c>
      <c r="C25" s="22">
        <v>40013023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フラワー・アロー！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7">
        <v>40013023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 t="s">
        <v>219</v>
      </c>
      <c r="Q25" s="97">
        <v>42439</v>
      </c>
      <c r="R25" s="47" t="s">
        <v>222</v>
      </c>
    </row>
    <row r="26" spans="1:18" ht="21" customHeight="1">
      <c r="A26" s="39" t="str">
        <f t="shared" si="3"/>
        <v>40013008_40013024</v>
      </c>
      <c r="B26" s="22">
        <v>40013008</v>
      </c>
      <c r="C26" s="22">
        <v>40013024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世界を愛で満たすんだ！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全ての青パネルをハートパネルに変換</v>
      </c>
      <c r="F26" s="7">
        <v>40013024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 t="s">
        <v>219</v>
      </c>
      <c r="Q26" s="97">
        <v>42439</v>
      </c>
      <c r="R26" s="47" t="s">
        <v>223</v>
      </c>
    </row>
    <row r="27" spans="1:18" ht="21" customHeight="1">
      <c r="A27" s="39" t="str">
        <f t="shared" si="3"/>
        <v>40013008_40013025</v>
      </c>
      <c r="B27" s="22">
        <v>40013008</v>
      </c>
      <c r="C27" s="22">
        <v>40013025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さあ、受け取ってくれ！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青パネルをハートパネルに変換_x000D_＋3連続攻撃</v>
      </c>
      <c r="F27" s="7">
        <v>40013025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 t="s">
        <v>219</v>
      </c>
      <c r="Q27" s="97">
        <v>42439</v>
      </c>
      <c r="R27" s="47" t="s">
        <v>223</v>
      </c>
    </row>
    <row r="28" spans="1:18" ht="21" customHeight="1">
      <c r="A28" s="39" t="str">
        <f t="shared" si="3"/>
        <v>40013008_40013026</v>
      </c>
      <c r="B28" s="22">
        <v>40013008</v>
      </c>
      <c r="C28" s="22">
        <v>40013026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そろそろ本気でいくよ！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28" s="7">
        <v>40013026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 t="s">
        <v>219</v>
      </c>
      <c r="Q28" s="97">
        <v>42439</v>
      </c>
      <c r="R28" s="47" t="s">
        <v>223</v>
      </c>
    </row>
    <row r="29" spans="1:18" ht="21" customHeight="1">
      <c r="A29" s="39" t="str">
        <f t="shared" si="3"/>
        <v>40013008_40013027</v>
      </c>
      <c r="B29" s="22">
        <v>40013008</v>
      </c>
      <c r="C29" s="22">
        <v>40013027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ラブ・フレイム！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29" s="7">
        <v>40013027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9" s="47" t="s">
        <v>219</v>
      </c>
      <c r="Q29" s="97">
        <v>42439</v>
      </c>
      <c r="R29" s="47" t="s">
        <v>223</v>
      </c>
    </row>
    <row r="30" spans="1:18" ht="21" customHeight="1">
      <c r="A30" s="39" t="str">
        <f t="shared" si="3"/>
        <v>40013008_40013028</v>
      </c>
      <c r="B30" s="22">
        <v>40013008</v>
      </c>
      <c r="C30" s="22">
        <v>40013028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フル・ブルーム！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0" s="7">
        <v>40013028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 t="s">
        <v>219</v>
      </c>
      <c r="Q30" s="97">
        <v>42439</v>
      </c>
      <c r="R30" s="47" t="s">
        <v>223</v>
      </c>
    </row>
    <row r="31" spans="1:18" ht="21" customHeight="1">
      <c r="A31" s="39" t="str">
        <f t="shared" si="3"/>
        <v>40013009_40013029</v>
      </c>
      <c r="B31" s="22">
        <v>40013009</v>
      </c>
      <c r="C31" s="22">
        <v>40013029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僕の手で塗り替えるのさ！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全ての青パネルをハートパネルに変換</v>
      </c>
      <c r="F31" s="7">
        <v>40013029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 t="s">
        <v>219</v>
      </c>
      <c r="Q31" s="97">
        <v>42439</v>
      </c>
      <c r="R31" s="47" t="s">
        <v>224</v>
      </c>
    </row>
    <row r="32" spans="1:18" ht="21" customHeight="1">
      <c r="A32" s="39" t="str">
        <f t="shared" si="3"/>
        <v>40013009_40013030</v>
      </c>
      <c r="B32" s="22">
        <v>40013009</v>
      </c>
      <c r="C32" s="22">
        <v>40013030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全てを焼く愛の炎！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青パネルをハートパネルに変換_x000D_＋赤属性に大ダメージの連撃！</v>
      </c>
      <c r="F32" s="7">
        <v>40013030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 t="s">
        <v>219</v>
      </c>
      <c r="Q32" s="97">
        <v>42439</v>
      </c>
      <c r="R32" s="47" t="s">
        <v>224</v>
      </c>
    </row>
    <row r="33" spans="1:18" ht="21" customHeight="1">
      <c r="A33" s="39" t="str">
        <f t="shared" si="3"/>
        <v>40013009_40013031</v>
      </c>
      <c r="B33" s="22">
        <v>40013009</v>
      </c>
      <c r="C33" s="22">
        <v>40013031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ラブ・ファイア！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33" s="7">
        <v>40013031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3" s="47" t="s">
        <v>219</v>
      </c>
      <c r="Q33" s="97">
        <v>42439</v>
      </c>
      <c r="R33" s="47" t="s">
        <v>224</v>
      </c>
    </row>
    <row r="34" spans="1:18" ht="21" customHeight="1">
      <c r="A34" s="39" t="str">
        <f t="shared" si="3"/>
        <v>40013009_40013032</v>
      </c>
      <c r="B34" s="22">
        <v>40013009</v>
      </c>
      <c r="C34" s="22">
        <v>40013032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ラブ・トラップ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次のターンに強力なハートパネル破壊攻撃！</v>
      </c>
      <c r="F34" s="7">
        <v>40013032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 t="s">
        <v>219</v>
      </c>
      <c r="Q34" s="97">
        <v>42439</v>
      </c>
      <c r="R34" s="47" t="s">
        <v>224</v>
      </c>
    </row>
    <row r="35" spans="1:18" ht="21" customHeight="1">
      <c r="A35" s="39" t="str">
        <f t="shared" si="3"/>
        <v>40013009_40013033</v>
      </c>
      <c r="B35" s="22">
        <v>40013009</v>
      </c>
      <c r="C35" s="22">
        <v>40013033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ハート・ブレイク！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ハートパネル破壊攻撃</v>
      </c>
      <c r="F35" s="7">
        <v>40013033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 t="s">
        <v>219</v>
      </c>
      <c r="Q35" s="97">
        <v>42439</v>
      </c>
      <c r="R35" s="47" t="s">
        <v>224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5"/>
  <sheetViews>
    <sheetView showGridLines="0" tabSelected="1" zoomScale="125" zoomScaleNormal="125" zoomScalePageLayoutView="125" workbookViewId="0">
      <pane ySplit="1" topLeftCell="A22" activePane="bottomLeft" state="frozenSplit"/>
      <selection pane="bottomLeft" activeCell="B35" sqref="B35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22">
        <v>40013001</v>
      </c>
      <c r="B2" s="47" t="s">
        <v>266</v>
      </c>
      <c r="C2" s="50">
        <v>3</v>
      </c>
      <c r="D2" s="50" t="s">
        <v>128</v>
      </c>
      <c r="E2" s="51" t="s">
        <v>269</v>
      </c>
      <c r="F2" s="51" t="s">
        <v>270</v>
      </c>
      <c r="G2" s="62" t="str">
        <f>IFERROR(LEFT(B2,FIND("],",B2)),B2)</f>
        <v>[effect:damage_anti_color, target:unit_all, color:red, val1:0.7, val2:0.2]</v>
      </c>
      <c r="H2" s="62">
        <f>FIND("effect:",G2)+7</f>
        <v>9</v>
      </c>
      <c r="I2" s="62">
        <f>IFERROR(FIND(",",G2),LEN(G2))</f>
        <v>26</v>
      </c>
      <c r="J2" s="62">
        <f>FIND("target:",G2)+7</f>
        <v>35</v>
      </c>
      <c r="K2" s="62">
        <f>FIND(",",G2,I2+1)</f>
        <v>43</v>
      </c>
      <c r="L2" s="62" t="str">
        <f>IFERROR(VLOOKUP(MID(G2,J2,K2-J2),[6]skilldef!$C:$D,2,FALSE),"-") &amp; " / " &amp; IFERROR(VLOOKUP(MID(G2,H2,I2-H2),[6]skilldef!$A:$B,2,FALSE),"-")</f>
        <v>味方全体に / 属性キラー</v>
      </c>
      <c r="M2" s="62" t="str">
        <f>IFERROR(RIGHT(B2,LEN(B2)-FIND("],",B2)-1),"none")</f>
        <v>none</v>
      </c>
      <c r="N2" s="48" t="str">
        <f>IFERROR(LEFT(M2,FIND("],",M2)+S13),M2)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22">
        <v>40013002</v>
      </c>
      <c r="B3" s="47" t="s">
        <v>225</v>
      </c>
      <c r="C3" s="50">
        <v>3</v>
      </c>
      <c r="D3" s="50" t="s">
        <v>128</v>
      </c>
      <c r="E3" s="51" t="s">
        <v>272</v>
      </c>
      <c r="F3" s="51" t="s">
        <v>271</v>
      </c>
      <c r="G3" s="62" t="str">
        <f t="shared" ref="G3:G28" si="0">IFERROR(LEFT(B3,FIND("],",B3)),B3)</f>
        <v>[effect:heal, target:enemy_green, val:0.08, animation:enemy_heal]</v>
      </c>
      <c r="H3" s="62">
        <f t="shared" ref="H3:H34" si="1">FIND("effect:",G3)+7</f>
        <v>9</v>
      </c>
      <c r="I3" s="62">
        <f t="shared" ref="I3:I28" si="2">IFERROR(FIND(",",G3),LEN(G3))</f>
        <v>13</v>
      </c>
      <c r="J3" s="62">
        <f t="shared" ref="J3:J28" si="3">FIND("target:",G3)+7</f>
        <v>22</v>
      </c>
      <c r="K3" s="62">
        <f t="shared" ref="K3:K28" si="4">FIND(",",G3,I3+1)</f>
        <v>33</v>
      </c>
      <c r="L3" s="62" t="str">
        <f>IFERROR(VLOOKUP(MID(G3,J3,K3-J3),[6]skilldef!$C:$D,2,FALSE),"-") &amp; " / " &amp; IFERROR(VLOOKUP(MID(G3,H3,I3-H3),[6]skilldef!$A:$B,2,FALSE),"-")</f>
        <v>緑の敵に / 回復</v>
      </c>
      <c r="M3" s="62" t="str">
        <f t="shared" ref="M3:M28" si="5">IFERROR(RIGHT(B3,LEN(B3)-FIND("],",B3)-1),"none")</f>
        <v>[effect:rush, count:1, val:0.8]</v>
      </c>
      <c r="N3" s="48" t="str">
        <f>IFERROR(LEFT(M3,FIND("],",M3)+S14),M3)</f>
        <v>[effect:rush, count:1, val:0.8]</v>
      </c>
      <c r="O3" s="62">
        <f t="shared" ref="O3:O34" si="6">FIND("effect:",N3)+7</f>
        <v>9</v>
      </c>
      <c r="P3" s="62">
        <f t="shared" ref="P3:P28" si="7">IFERROR(FIND(",",N3),LEN(N3))</f>
        <v>13</v>
      </c>
      <c r="Q3" s="62" t="e">
        <f t="shared" ref="Q3:Q28" si="8">FIND("target:",N3)+7</f>
        <v>#VALUE!</v>
      </c>
      <c r="R3" s="62">
        <f t="shared" ref="R3:R28" si="9">FIND(",",N3,P3+1)</f>
        <v>22</v>
      </c>
      <c r="S3" s="62" t="str">
        <f>IFERROR(VLOOKUP(MID(N3,Q3,R3-Q3),[6]skilldef!$C:$D,2,FALSE),"-") &amp; " / " &amp; IFERROR(VLOOKUP(MID(N3,O3,P3-O3),[6]skilldef!$A:$B,2,FALSE),"-")</f>
        <v>- / 連続攻撃</v>
      </c>
      <c r="T3" s="48" t="str">
        <f t="shared" ref="T3:T28" si="10">IFERROR(RIGHT(M3,LEN(M3)-FIND("],",M3)-1),"none")</f>
        <v>none</v>
      </c>
      <c r="U3" s="62" t="e">
        <f t="shared" ref="U3:U34" si="11">FIND("effect:",T3)+7</f>
        <v>#VALUE!</v>
      </c>
      <c r="V3" s="62">
        <f t="shared" ref="V3:V28" si="12">IFERROR(FIND(",",T3),LEN(T3))</f>
        <v>4</v>
      </c>
      <c r="W3" s="62" t="e">
        <f t="shared" ref="W3:W28" si="13">FIND("target:",T3)+7</f>
        <v>#VALUE!</v>
      </c>
      <c r="X3" s="62" t="e">
        <f t="shared" ref="X3:X28" si="14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22">
        <v>40013003</v>
      </c>
      <c r="B4" s="47" t="s">
        <v>237</v>
      </c>
      <c r="C4" s="50">
        <v>3</v>
      </c>
      <c r="D4" s="50" t="s">
        <v>128</v>
      </c>
      <c r="E4" s="51" t="s">
        <v>298</v>
      </c>
      <c r="F4" s="51" t="s">
        <v>268</v>
      </c>
      <c r="G4" s="62" t="str">
        <f t="shared" si="0"/>
        <v>[effect:drop_block, block_type:time_bomb, color:block_red, val:8, rate:0.5, turn:5, min_time_count:5, max_time_count:5, animation:time_bomb_influence04]</v>
      </c>
      <c r="H4" s="62">
        <f t="shared" si="1"/>
        <v>9</v>
      </c>
      <c r="I4" s="62">
        <f t="shared" si="2"/>
        <v>19</v>
      </c>
      <c r="J4" s="62" t="e">
        <f t="shared" si="3"/>
        <v>#VALUE!</v>
      </c>
      <c r="K4" s="62">
        <f t="shared" si="4"/>
        <v>41</v>
      </c>
      <c r="L4" s="62" t="str">
        <f>IFERROR(VLOOKUP(MID(G4,J4,K4-J4),[6]skilldef!$C:$D,2,FALSE),"-") &amp; " / " &amp; IFERROR(VLOOKUP(MID(G4,H4,I4-H4),[6]skilldef!$A:$B,2,FALSE),"-")</f>
        <v>- / 特定ブロックの割合ドロップ</v>
      </c>
      <c r="M4" s="62" t="str">
        <f t="shared" si="5"/>
        <v>none</v>
      </c>
      <c r="N4" s="48" t="str">
        <f>IFERROR(LEFT(M4,FIND("],",M4)+S15),M4)</f>
        <v>none</v>
      </c>
      <c r="O4" s="62" t="e">
        <f t="shared" si="6"/>
        <v>#VALUE!</v>
      </c>
      <c r="P4" s="62">
        <f t="shared" si="7"/>
        <v>4</v>
      </c>
      <c r="Q4" s="62" t="e">
        <f t="shared" si="8"/>
        <v>#VALUE!</v>
      </c>
      <c r="R4" s="62" t="e">
        <f t="shared" si="9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2" t="e">
        <f t="shared" si="11"/>
        <v>#VALUE!</v>
      </c>
      <c r="V4" s="62">
        <f t="shared" si="12"/>
        <v>4</v>
      </c>
      <c r="W4" s="62" t="e">
        <f t="shared" si="13"/>
        <v>#VALUE!</v>
      </c>
      <c r="X4" s="62" t="e">
        <f t="shared" si="14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22">
        <v>40013004</v>
      </c>
      <c r="B5" s="47" t="s">
        <v>250</v>
      </c>
      <c r="C5" s="50">
        <v>3</v>
      </c>
      <c r="D5" s="50" t="s">
        <v>128</v>
      </c>
      <c r="E5" s="51" t="s">
        <v>276</v>
      </c>
      <c r="F5" s="51" t="s">
        <v>342</v>
      </c>
      <c r="G5" s="62" t="str">
        <f t="shared" si="0"/>
        <v>[effect:hungup, target:unit_one, turn:1, rate:1, animation:hungup01]</v>
      </c>
      <c r="H5" s="62">
        <f t="shared" si="1"/>
        <v>9</v>
      </c>
      <c r="I5" s="62">
        <f t="shared" si="2"/>
        <v>15</v>
      </c>
      <c r="J5" s="62">
        <f t="shared" si="3"/>
        <v>24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味方単体に / ハングアップ</v>
      </c>
      <c r="M5" s="62" t="str">
        <f t="shared" si="5"/>
        <v>[effect:rush, count:1, val:1]</v>
      </c>
      <c r="N5" s="48" t="str">
        <f>IFERROR(LEFT(M5,FIND("],",M5)+S18),M5)</f>
        <v>[effect:rush, count:1, val:1]</v>
      </c>
      <c r="O5" s="62">
        <f t="shared" si="6"/>
        <v>9</v>
      </c>
      <c r="P5" s="62">
        <f t="shared" si="7"/>
        <v>13</v>
      </c>
      <c r="Q5" s="62" t="e">
        <f t="shared" si="8"/>
        <v>#VALUE!</v>
      </c>
      <c r="R5" s="62">
        <f t="shared" si="9"/>
        <v>22</v>
      </c>
      <c r="S5" s="62" t="str">
        <f>IFERROR(VLOOKUP(MID(N5,Q5,R5-Q5),[6]skilldef!$C:$D,2,FALSE),"-") &amp; " / " &amp; IFERROR(VLOOKUP(MID(N5,O5,P5-O5),[6]skilldef!$A:$B,2,FALSE),"-")</f>
        <v>- / 連続攻撃</v>
      </c>
      <c r="T5" s="48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22">
        <v>40013005</v>
      </c>
      <c r="B6" s="47" t="s">
        <v>262</v>
      </c>
      <c r="C6" s="50">
        <v>3</v>
      </c>
      <c r="D6" s="50" t="s">
        <v>273</v>
      </c>
      <c r="E6" s="51" t="s">
        <v>274</v>
      </c>
      <c r="F6" s="51" t="s">
        <v>309</v>
      </c>
      <c r="G6" s="62" t="str">
        <f t="shared" ref="G6" si="15">IFERROR(LEFT(B6,FIND("],",B6)),B6)</f>
        <v>[effect:rush, count:1, val:1]</v>
      </c>
      <c r="H6" s="62">
        <f t="shared" ref="H6" si="16">FIND("effect:",G6)+7</f>
        <v>9</v>
      </c>
      <c r="I6" s="62">
        <f t="shared" ref="I6" si="17">IFERROR(FIND(",",G6),LEN(G6))</f>
        <v>13</v>
      </c>
      <c r="J6" s="62" t="e">
        <f t="shared" ref="J6" si="18">FIND("target:",G6)+7</f>
        <v>#VALUE!</v>
      </c>
      <c r="K6" s="62">
        <f t="shared" ref="K6" si="19">FIND(",",G6,I6+1)</f>
        <v>22</v>
      </c>
      <c r="L6" s="62" t="str">
        <f>IFERROR(VLOOKUP(MID(G6,J6,K6-J6),[6]skilldef!$C:$D,2,FALSE),"-") &amp; " / " &amp; IFERROR(VLOOKUP(MID(G6,H6,I6-H6),[6]skilldef!$A:$B,2,FALSE),"-")</f>
        <v>- / 連続攻撃</v>
      </c>
      <c r="M6" s="62" t="str">
        <f t="shared" ref="M6" si="20">IFERROR(RIGHT(B6,LEN(B6)-FIND("],",B6)-1),"none")</f>
        <v>[effect:change_panel_ratio, turn:2, block_type:blue, val:0, animation:block_incidence04]</v>
      </c>
      <c r="N6" s="48" t="str">
        <f t="shared" ref="N6" si="21">IFERROR(LEFT(M6,FIND("],",M6)+S18),M6)</f>
        <v>[effect:change_panel_ratio, turn:2, block_type:blue, val:0, animation:block_incidence04]</v>
      </c>
      <c r="O6" s="62">
        <f t="shared" ref="O6" si="22">FIND("effect:",N6)+7</f>
        <v>9</v>
      </c>
      <c r="P6" s="62">
        <f t="shared" ref="P6" si="23">IFERROR(FIND(",",N6),LEN(N6))</f>
        <v>27</v>
      </c>
      <c r="Q6" s="62" t="e">
        <f t="shared" ref="Q6" si="24">FIND("target:",N6)+7</f>
        <v>#VALUE!</v>
      </c>
      <c r="R6" s="62">
        <f t="shared" ref="R6" si="25">FIND(",",N6,P6+1)</f>
        <v>35</v>
      </c>
      <c r="S6" s="62" t="str">
        <f>IFERROR(VLOOKUP(MID(N6,Q6,R6-Q6),[6]skilldef!$C:$D,2,FALSE),"-") &amp; " / " &amp; IFERROR(VLOOKUP(MID(N6,O6,P6-O6),[6]skilldef!$A:$B,2,FALSE),"-")</f>
        <v>- / -</v>
      </c>
      <c r="T6" s="48" t="str">
        <f t="shared" ref="T6" si="26">IFERROR(RIGHT(M6,LEN(M6)-FIND("],",M6)-1),"none")</f>
        <v>none</v>
      </c>
      <c r="U6" s="62" t="e">
        <f t="shared" ref="U6" si="27">FIND("effect:",T6)+7</f>
        <v>#VALUE!</v>
      </c>
      <c r="V6" s="62">
        <f t="shared" ref="V6" si="28">IFERROR(FIND(",",T6),LEN(T6))</f>
        <v>4</v>
      </c>
      <c r="W6" s="62" t="e">
        <f t="shared" ref="W6" si="29">FIND("target:",T6)+7</f>
        <v>#VALUE!</v>
      </c>
      <c r="X6" s="62" t="e">
        <f t="shared" ref="X6" si="30">FIND(",",T6,V6+1)</f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22">
        <v>40013006</v>
      </c>
      <c r="B7" s="47" t="s">
        <v>338</v>
      </c>
      <c r="C7" s="50">
        <v>3</v>
      </c>
      <c r="D7" s="50" t="s">
        <v>128</v>
      </c>
      <c r="E7" s="51" t="s">
        <v>280</v>
      </c>
      <c r="F7" s="51" t="s">
        <v>322</v>
      </c>
      <c r="G7" s="62" t="str">
        <f t="shared" si="0"/>
        <v xml:space="preserve">[effect:break_attack_fix, val:150, lowest_val:2000, count:-1, block:block_blue, target:unit_one]    </v>
      </c>
      <c r="H7" s="62">
        <f t="shared" si="1"/>
        <v>9</v>
      </c>
      <c r="I7" s="62">
        <f t="shared" si="2"/>
        <v>25</v>
      </c>
      <c r="J7" s="62">
        <f t="shared" si="3"/>
        <v>88</v>
      </c>
      <c r="K7" s="62">
        <f t="shared" si="4"/>
        <v>34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none</v>
      </c>
      <c r="N7" s="48" t="str">
        <f t="shared" ref="N7:N14" si="31">IFERROR(LEFT(M7,FIND("],",M7)+S19),M7)</f>
        <v>none</v>
      </c>
      <c r="O7" s="62" t="e">
        <f t="shared" si="6"/>
        <v>#VALUE!</v>
      </c>
      <c r="P7" s="62">
        <f t="shared" si="7"/>
        <v>4</v>
      </c>
      <c r="Q7" s="62" t="e">
        <f t="shared" si="8"/>
        <v>#VALUE!</v>
      </c>
      <c r="R7" s="62" t="e">
        <f t="shared" si="9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22">
        <v>40013007</v>
      </c>
      <c r="B8" s="47" t="s">
        <v>339</v>
      </c>
      <c r="C8" s="50">
        <v>3</v>
      </c>
      <c r="D8" s="50" t="s">
        <v>128</v>
      </c>
      <c r="E8" s="51" t="s">
        <v>275</v>
      </c>
      <c r="F8" s="51" t="s">
        <v>310</v>
      </c>
      <c r="G8" s="62" t="str">
        <f t="shared" si="0"/>
        <v>[effect:freq_turn, target:myself, turn:-1, val:1, animation:enemy_freq_turn]</v>
      </c>
      <c r="H8" s="62">
        <f t="shared" si="1"/>
        <v>9</v>
      </c>
      <c r="I8" s="62">
        <f t="shared" si="2"/>
        <v>18</v>
      </c>
      <c r="J8" s="62">
        <f t="shared" si="3"/>
        <v>27</v>
      </c>
      <c r="K8" s="62">
        <f t="shared" si="4"/>
        <v>33</v>
      </c>
      <c r="L8" s="62" t="str">
        <f>IFERROR(VLOOKUP(MID(G8,J8,K8-J8),[6]skilldef!$C:$D,2,FALSE),"-") &amp; " / " &amp; IFERROR(VLOOKUP(MID(G8,H8,I8-H8),[6]skilldef!$A:$B,2,FALSE),"-")</f>
        <v>自分自身に / 攻撃頻度がUP</v>
      </c>
      <c r="M8" s="62" t="str">
        <f t="shared" si="5"/>
        <v>none</v>
      </c>
      <c r="N8" s="48" t="str">
        <f t="shared" si="31"/>
        <v>none</v>
      </c>
      <c r="O8" s="62" t="e">
        <f t="shared" si="6"/>
        <v>#VALUE!</v>
      </c>
      <c r="P8" s="62">
        <f t="shared" si="7"/>
        <v>4</v>
      </c>
      <c r="Q8" s="62" t="e">
        <f t="shared" si="8"/>
        <v>#VALUE!</v>
      </c>
      <c r="R8" s="62" t="e">
        <f t="shared" si="9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22">
        <v>40013008</v>
      </c>
      <c r="B9" s="47" t="s">
        <v>245</v>
      </c>
      <c r="C9" s="50">
        <v>3</v>
      </c>
      <c r="D9" s="50" t="s">
        <v>128</v>
      </c>
      <c r="E9" s="51" t="s">
        <v>327</v>
      </c>
      <c r="F9" s="51" t="s">
        <v>311</v>
      </c>
      <c r="G9" s="62" t="str">
        <f t="shared" si="0"/>
        <v>[effect:change_block, new_block:block_heart, target:block_yellow, count:8, val:0, no_effect_msg:no_effect_msg_change_block, animation:change_block]</v>
      </c>
      <c r="H9" s="62">
        <f t="shared" si="1"/>
        <v>9</v>
      </c>
      <c r="I9" s="62">
        <f t="shared" si="2"/>
        <v>21</v>
      </c>
      <c r="J9" s="62">
        <f t="shared" si="3"/>
        <v>53</v>
      </c>
      <c r="K9" s="62">
        <f t="shared" si="4"/>
        <v>44</v>
      </c>
      <c r="L9" s="62" t="str">
        <f>IFERROR(VLOOKUP(MID(G9,J9,K9-J9),[6]skilldef!$C:$D,2,FALSE),"-") &amp; " / " &amp; IFERROR(VLOOKUP(MID(G9,H9,I9-H9),[6]skilldef!$A:$B,2,FALSE),"-")</f>
        <v>- / ブロック変換</v>
      </c>
      <c r="M9" s="62" t="str">
        <f t="shared" si="5"/>
        <v>[effect:rush, count:3, val:0.5]</v>
      </c>
      <c r="N9" s="48" t="str">
        <f t="shared" si="31"/>
        <v>[effect:rush, count:3, val:0.5]</v>
      </c>
      <c r="O9" s="62">
        <f t="shared" si="6"/>
        <v>9</v>
      </c>
      <c r="P9" s="62">
        <f t="shared" si="7"/>
        <v>13</v>
      </c>
      <c r="Q9" s="62" t="e">
        <f t="shared" si="8"/>
        <v>#VALUE!</v>
      </c>
      <c r="R9" s="62">
        <f t="shared" si="9"/>
        <v>22</v>
      </c>
      <c r="S9" s="62" t="str">
        <f>IFERROR(VLOOKUP(MID(N9,Q9,R9-Q9),[6]skilldef!$C:$D,2,FALSE),"-") &amp; " / " &amp; IFERROR(VLOOKUP(MID(N9,O9,P9-O9),[6]skilldef!$A:$B,2,FALSE),"-")</f>
        <v>- / 連続攻撃</v>
      </c>
      <c r="T9" s="48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22">
        <v>40013009</v>
      </c>
      <c r="B10" s="47" t="s">
        <v>241</v>
      </c>
      <c r="C10" s="50">
        <v>3</v>
      </c>
      <c r="D10" s="50" t="s">
        <v>128</v>
      </c>
      <c r="E10" s="51" t="s">
        <v>292</v>
      </c>
      <c r="F10" s="51" t="s">
        <v>343</v>
      </c>
      <c r="G10" s="62" t="str">
        <f t="shared" si="0"/>
        <v>[effect:charge, status:attack, val:1.5]</v>
      </c>
      <c r="H10" s="62">
        <f t="shared" si="1"/>
        <v>9</v>
      </c>
      <c r="I10" s="62">
        <f t="shared" si="2"/>
        <v>15</v>
      </c>
      <c r="J10" s="62" t="e">
        <f t="shared" si="3"/>
        <v>#VALUE!</v>
      </c>
      <c r="K10" s="62">
        <f t="shared" si="4"/>
        <v>30</v>
      </c>
      <c r="L10" s="62" t="str">
        <f>IFERROR(VLOOKUP(MID(G10,J10,K10-J10),[6]skilldef!$C:$D,2,FALSE),"-") &amp; " / " &amp; IFERROR(VLOOKUP(MID(G10,H10,I10-H10),[6]skilldef!$A:$B,2,FALSE),"-")</f>
        <v>- / 溜め</v>
      </c>
      <c r="M10" s="62" t="str">
        <f t="shared" si="5"/>
        <v>none</v>
      </c>
      <c r="N10" s="48" t="str">
        <f t="shared" si="31"/>
        <v>none</v>
      </c>
      <c r="O10" s="62" t="e">
        <f t="shared" si="6"/>
        <v>#VALUE!</v>
      </c>
      <c r="P10" s="62">
        <f t="shared" si="7"/>
        <v>4</v>
      </c>
      <c r="Q10" s="62" t="e">
        <f t="shared" si="8"/>
        <v>#VALUE!</v>
      </c>
      <c r="R10" s="62" t="e">
        <f t="shared" si="9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2" t="e">
        <f t="shared" si="11"/>
        <v>#VALUE!</v>
      </c>
      <c r="V10" s="62">
        <f t="shared" si="12"/>
        <v>4</v>
      </c>
      <c r="W10" s="62" t="e">
        <f t="shared" si="13"/>
        <v>#VALUE!</v>
      </c>
      <c r="X10" s="62" t="e">
        <f t="shared" si="14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22">
        <v>40013010</v>
      </c>
      <c r="B11" s="47" t="s">
        <v>238</v>
      </c>
      <c r="C11" s="50">
        <v>3</v>
      </c>
      <c r="D11" s="50" t="s">
        <v>128</v>
      </c>
      <c r="E11" s="51" t="s">
        <v>326</v>
      </c>
      <c r="F11" s="51" t="s">
        <v>331</v>
      </c>
      <c r="G11" s="62" t="str">
        <f t="shared" si="0"/>
        <v>[effect:fix_speed, target:enemy_all, turn:2]</v>
      </c>
      <c r="H11" s="62">
        <f t="shared" si="1"/>
        <v>9</v>
      </c>
      <c r="I11" s="62">
        <f t="shared" si="2"/>
        <v>18</v>
      </c>
      <c r="J11" s="62">
        <f t="shared" si="3"/>
        <v>27</v>
      </c>
      <c r="K11" s="62">
        <f t="shared" si="4"/>
        <v>36</v>
      </c>
      <c r="L11" s="62" t="str">
        <f>IFERROR(VLOOKUP(MID(G11,J11,K11-J11),[6]skilldef!$C:$D,2,FALSE),"-") &amp; " / " &amp; IFERROR(VLOOKUP(MID(G11,H11,I11-H11),[6]skilldef!$A:$B,2,FALSE),"-")</f>
        <v>敵全体に / 行動値設定</v>
      </c>
      <c r="M11" s="62" t="str">
        <f t="shared" si="5"/>
        <v>[effect:change_block, new_block:block_heart, target:block_all, count:10, val:0, no_effect_msg:no_effect_msg_change_block, animation:change_block]</v>
      </c>
      <c r="N11" s="48" t="str">
        <f t="shared" si="31"/>
        <v>[effect:change_block, new_block:block_heart, target:block_all, count:10, val:0, no_effect_msg:no_effect_msg_change_block, animation:change_block]</v>
      </c>
      <c r="O11" s="62">
        <f t="shared" si="6"/>
        <v>9</v>
      </c>
      <c r="P11" s="62">
        <f t="shared" si="7"/>
        <v>21</v>
      </c>
      <c r="Q11" s="62">
        <f t="shared" si="8"/>
        <v>53</v>
      </c>
      <c r="R11" s="62">
        <f t="shared" si="9"/>
        <v>44</v>
      </c>
      <c r="S11" s="62" t="str">
        <f>IFERROR(VLOOKUP(MID(N11,Q11,R11-Q11),[6]skilldef!$C:$D,2,FALSE),"-") &amp; " / " &amp; IFERROR(VLOOKUP(MID(N11,O11,P11-O11),[6]skilldef!$A:$B,2,FALSE),"-")</f>
        <v>- / ブロック変換</v>
      </c>
      <c r="T11" s="48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>
      <c r="A12" s="22">
        <v>40013011</v>
      </c>
      <c r="B12" s="47" t="s">
        <v>242</v>
      </c>
      <c r="C12" s="50">
        <v>3</v>
      </c>
      <c r="D12" s="50" t="s">
        <v>128</v>
      </c>
      <c r="E12" s="51" t="s">
        <v>277</v>
      </c>
      <c r="F12" s="51" t="s">
        <v>313</v>
      </c>
      <c r="G12" s="62" t="str">
        <f t="shared" si="0"/>
        <v>[effect:freq_turn, target:enemy_all, turn:-1, val:1, animation:enemy_freq_turn]</v>
      </c>
      <c r="H12" s="62">
        <f t="shared" si="1"/>
        <v>9</v>
      </c>
      <c r="I12" s="62">
        <f t="shared" si="2"/>
        <v>18</v>
      </c>
      <c r="J12" s="62">
        <f t="shared" si="3"/>
        <v>27</v>
      </c>
      <c r="K12" s="62">
        <f t="shared" si="4"/>
        <v>36</v>
      </c>
      <c r="L12" s="62" t="str">
        <f>IFERROR(VLOOKUP(MID(G12,J12,K12-J12),[6]skilldef!$C:$D,2,FALSE),"-") &amp; " / " &amp; IFERROR(VLOOKUP(MID(G12,H12,I12-H12),[6]skilldef!$A:$B,2,FALSE),"-")</f>
        <v>敵全体に / 攻撃頻度がUP</v>
      </c>
      <c r="M12" s="62" t="str">
        <f t="shared" si="5"/>
        <v>none</v>
      </c>
      <c r="N12" s="48" t="str">
        <f t="shared" si="31"/>
        <v>none</v>
      </c>
      <c r="O12" s="62" t="e">
        <f t="shared" si="6"/>
        <v>#VALUE!</v>
      </c>
      <c r="P12" s="62">
        <f t="shared" si="7"/>
        <v>4</v>
      </c>
      <c r="Q12" s="62" t="e">
        <f t="shared" si="8"/>
        <v>#VALUE!</v>
      </c>
      <c r="R12" s="62" t="e">
        <f t="shared" si="9"/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22">
        <v>40013012</v>
      </c>
      <c r="B13" s="47" t="s">
        <v>239</v>
      </c>
      <c r="C13" s="50">
        <v>3</v>
      </c>
      <c r="D13" s="50" t="s">
        <v>128</v>
      </c>
      <c r="E13" s="51" t="s">
        <v>299</v>
      </c>
      <c r="F13" s="51" t="s">
        <v>312</v>
      </c>
      <c r="G13" s="62" t="str">
        <f t="shared" si="0"/>
        <v>[effect:damage_anti_tribe, target:unit_all, tribe:human, val1:0.4, val2:0.2]</v>
      </c>
      <c r="H13" s="62">
        <f t="shared" si="1"/>
        <v>9</v>
      </c>
      <c r="I13" s="62">
        <f t="shared" si="2"/>
        <v>26</v>
      </c>
      <c r="J13" s="62">
        <f t="shared" si="3"/>
        <v>35</v>
      </c>
      <c r="K13" s="62">
        <f t="shared" si="4"/>
        <v>43</v>
      </c>
      <c r="L13" s="62" t="str">
        <f>IFERROR(VLOOKUP(MID(G13,J13,K13-J13),[6]skilldef!$C:$D,2,FALSE),"-") &amp; " / " &amp; IFERROR(VLOOKUP(MID(G13,H13,I13-H13),[6]skilldef!$A:$B,2,FALSE),"-")</f>
        <v>味方全体に / 種族キラー</v>
      </c>
      <c r="M13" s="62" t="str">
        <f t="shared" si="5"/>
        <v>none</v>
      </c>
      <c r="N13" s="48" t="str">
        <f t="shared" si="31"/>
        <v>none</v>
      </c>
      <c r="O13" s="62" t="e">
        <f t="shared" si="6"/>
        <v>#VALUE!</v>
      </c>
      <c r="P13" s="62">
        <f t="shared" si="7"/>
        <v>4</v>
      </c>
      <c r="Q13" s="62" t="e">
        <f t="shared" si="8"/>
        <v>#VALUE!</v>
      </c>
      <c r="R13" s="62" t="e">
        <f t="shared" si="9"/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2" t="e">
        <f t="shared" si="11"/>
        <v>#VALUE!</v>
      </c>
      <c r="V13" s="62">
        <f t="shared" si="12"/>
        <v>4</v>
      </c>
      <c r="W13" s="62" t="e">
        <f t="shared" si="13"/>
        <v>#VALUE!</v>
      </c>
      <c r="X13" s="62" t="e">
        <f t="shared" si="14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22">
        <v>40013013</v>
      </c>
      <c r="B14" s="47" t="s">
        <v>243</v>
      </c>
      <c r="C14" s="50">
        <v>3</v>
      </c>
      <c r="D14" s="50" t="s">
        <v>128</v>
      </c>
      <c r="E14" s="51" t="s">
        <v>278</v>
      </c>
      <c r="F14" s="51" t="s">
        <v>314</v>
      </c>
      <c r="G14" s="62" t="str">
        <f t="shared" si="0"/>
        <v>[effect:critical, val:1.5]</v>
      </c>
      <c r="H14" s="62">
        <f t="shared" si="1"/>
        <v>9</v>
      </c>
      <c r="I14" s="62">
        <f t="shared" si="2"/>
        <v>17</v>
      </c>
      <c r="J14" s="62" t="e">
        <f t="shared" si="3"/>
        <v>#VALUE!</v>
      </c>
      <c r="K14" s="62" t="e">
        <f t="shared" si="4"/>
        <v>#VALUE!</v>
      </c>
      <c r="L14" s="62" t="str">
        <f>IFERROR(VLOOKUP(MID(G14,J14,K14-J14),[6]skilldef!$C:$D,2,FALSE),"-") &amp; " / " &amp; IFERROR(VLOOKUP(MID(G14,H14,I14-H14),[6]skilldef!$A:$B,2,FALSE),"-")</f>
        <v>- / 大攻撃</v>
      </c>
      <c r="M14" s="62" t="str">
        <f t="shared" si="5"/>
        <v>none</v>
      </c>
      <c r="N14" s="48" t="str">
        <f t="shared" si="31"/>
        <v>none</v>
      </c>
      <c r="O14" s="62" t="e">
        <f t="shared" si="6"/>
        <v>#VALUE!</v>
      </c>
      <c r="P14" s="62">
        <f t="shared" si="7"/>
        <v>4</v>
      </c>
      <c r="Q14" s="62" t="e">
        <f t="shared" si="8"/>
        <v>#VALUE!</v>
      </c>
      <c r="R14" s="62" t="e">
        <f t="shared" si="9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22">
        <v>40013014</v>
      </c>
      <c r="B15" s="47" t="s">
        <v>236</v>
      </c>
      <c r="C15" s="50">
        <v>3</v>
      </c>
      <c r="D15" s="50" t="s">
        <v>128</v>
      </c>
      <c r="E15" s="51" t="s">
        <v>279</v>
      </c>
      <c r="F15" s="51" t="s">
        <v>315</v>
      </c>
      <c r="G15" s="62" t="str">
        <f t="shared" si="0"/>
        <v xml:space="preserve">[effect:change_panel_ratio, turn:8, block_type:red, val:0.1, animation:block_incidence04]    </v>
      </c>
      <c r="H15" s="62">
        <f t="shared" si="1"/>
        <v>9</v>
      </c>
      <c r="I15" s="62">
        <f t="shared" si="2"/>
        <v>27</v>
      </c>
      <c r="J15" s="62" t="e">
        <f t="shared" si="3"/>
        <v>#VALUE!</v>
      </c>
      <c r="K15" s="62">
        <f t="shared" si="4"/>
        <v>35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none</v>
      </c>
      <c r="N15" s="48" t="str">
        <f>IFERROR(LEFT(M15,FIND("],",M15)+S28),M15)</f>
        <v>none</v>
      </c>
      <c r="O15" s="62" t="e">
        <f t="shared" si="6"/>
        <v>#VALUE!</v>
      </c>
      <c r="P15" s="62">
        <f t="shared" si="7"/>
        <v>4</v>
      </c>
      <c r="Q15" s="62" t="e">
        <f t="shared" si="8"/>
        <v>#VALUE!</v>
      </c>
      <c r="R15" s="62" t="e">
        <f t="shared" si="9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22">
        <v>40013015</v>
      </c>
      <c r="B16" s="47" t="s">
        <v>251</v>
      </c>
      <c r="C16" s="50">
        <v>3</v>
      </c>
      <c r="D16" s="50" t="s">
        <v>128</v>
      </c>
      <c r="E16" s="51" t="s">
        <v>296</v>
      </c>
      <c r="F16" s="51" t="s">
        <v>316</v>
      </c>
      <c r="G16" s="62" t="str">
        <f t="shared" si="0"/>
        <v>[effect:degrade_unit, target:unit_all, turn:3, status:attack, val:0.1, calc:mul]</v>
      </c>
      <c r="H16" s="62">
        <f t="shared" si="1"/>
        <v>9</v>
      </c>
      <c r="I16" s="62">
        <f t="shared" si="2"/>
        <v>21</v>
      </c>
      <c r="J16" s="62">
        <f t="shared" si="3"/>
        <v>30</v>
      </c>
      <c r="K16" s="62">
        <f t="shared" si="4"/>
        <v>38</v>
      </c>
      <c r="L16" s="62" t="str">
        <f>IFERROR(VLOOKUP(MID(G16,J16,K16-J16),[6]skilldef!$C:$D,2,FALSE),"-") &amp; " / " &amp; IFERROR(VLOOKUP(MID(G16,H16,I16-H16),[6]skilldef!$A:$B,2,FALSE),"-")</f>
        <v>味方全体に / ステータスDOWN</v>
      </c>
      <c r="M16" s="62" t="str">
        <f t="shared" si="5"/>
        <v>[effect:rush, count:1, val:1]</v>
      </c>
      <c r="N16" s="48" t="str">
        <f t="shared" ref="N16" si="32">IFERROR(LEFT(M16,FIND("],",M16)+S27),M16)</f>
        <v>[effect:rush, count:1, val:1]</v>
      </c>
      <c r="O16" s="62">
        <f t="shared" si="6"/>
        <v>9</v>
      </c>
      <c r="P16" s="62">
        <f t="shared" si="7"/>
        <v>13</v>
      </c>
      <c r="Q16" s="62" t="e">
        <f t="shared" si="8"/>
        <v>#VALUE!</v>
      </c>
      <c r="R16" s="62">
        <f t="shared" si="9"/>
        <v>22</v>
      </c>
      <c r="S16" s="62" t="str">
        <f>IFERROR(VLOOKUP(MID(N16,Q16,R16-Q16),[6]skilldef!$C:$D,2,FALSE),"-") &amp; " / " &amp; IFERROR(VLOOKUP(MID(N16,O16,P16-O16),[6]skilldef!$A:$B,2,FALSE),"-")</f>
        <v>- / 連続攻撃</v>
      </c>
      <c r="T16" s="48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22">
        <v>40013016</v>
      </c>
      <c r="B17" s="47" t="s">
        <v>252</v>
      </c>
      <c r="C17" s="50">
        <v>3</v>
      </c>
      <c r="D17" s="50" t="s">
        <v>128</v>
      </c>
      <c r="E17" s="51" t="s">
        <v>295</v>
      </c>
      <c r="F17" s="51" t="s">
        <v>291</v>
      </c>
      <c r="G17" s="62" t="str">
        <f t="shared" ref="G17" si="33">IFERROR(LEFT(B17,FIND("],",B17)),B17)</f>
        <v>[effect:degrade_unit, target:unit_all, turn:3, status:attack, val:0.2, calc:mul]</v>
      </c>
      <c r="H17" s="62">
        <f t="shared" ref="H17" si="34">FIND("effect:",G17)+7</f>
        <v>9</v>
      </c>
      <c r="I17" s="62">
        <f t="shared" ref="I17" si="35">IFERROR(FIND(",",G17),LEN(G17))</f>
        <v>21</v>
      </c>
      <c r="J17" s="62">
        <f t="shared" ref="J17" si="36">FIND("target:",G17)+7</f>
        <v>30</v>
      </c>
      <c r="K17" s="62">
        <f t="shared" ref="K17" si="37">FIND(",",G17,I17+1)</f>
        <v>38</v>
      </c>
      <c r="L17" s="62" t="str">
        <f>IFERROR(VLOOKUP(MID(G17,J17,K17-J17),[6]skilldef!$C:$D,2,FALSE),"-") &amp; " / " &amp; IFERROR(VLOOKUP(MID(G17,H17,I17-H17),[6]skilldef!$A:$B,2,FALSE),"-")</f>
        <v>味方全体に / ステータスDOWN</v>
      </c>
      <c r="M17" s="62" t="str">
        <f t="shared" ref="M17" si="38">IFERROR(RIGHT(B17,LEN(B17)-FIND("],",B17)-1),"none")</f>
        <v>[effect:rush, count:1, val:1]</v>
      </c>
      <c r="N17" s="48" t="str">
        <f t="shared" ref="N17" si="39">IFERROR(LEFT(M17,FIND("],",M17)+S28),M17)</f>
        <v>[effect:rush, count:1, val:1]</v>
      </c>
      <c r="O17" s="62">
        <f t="shared" ref="O17" si="40">FIND("effect:",N17)+7</f>
        <v>9</v>
      </c>
      <c r="P17" s="62">
        <f t="shared" ref="P17" si="41">IFERROR(FIND(",",N17),LEN(N17))</f>
        <v>13</v>
      </c>
      <c r="Q17" s="62" t="e">
        <f t="shared" ref="Q17" si="42">FIND("target:",N17)+7</f>
        <v>#VALUE!</v>
      </c>
      <c r="R17" s="62">
        <f t="shared" ref="R17" si="43">FIND(",",N17,P17+1)</f>
        <v>22</v>
      </c>
      <c r="S17" s="62" t="str">
        <f>IFERROR(VLOOKUP(MID(N17,Q17,R17-Q17),[6]skilldef!$C:$D,2,FALSE),"-") &amp; " / " &amp; IFERROR(VLOOKUP(MID(N17,O17,P17-O17),[6]skilldef!$A:$B,2,FALSE),"-")</f>
        <v>- / 連続攻撃</v>
      </c>
      <c r="T17" s="48" t="str">
        <f t="shared" ref="T17" si="44">IFERROR(RIGHT(M17,LEN(M17)-FIND("],",M17)-1),"none")</f>
        <v>none</v>
      </c>
      <c r="U17" s="62" t="e">
        <f t="shared" ref="U17" si="45">FIND("effect:",T17)+7</f>
        <v>#VALUE!</v>
      </c>
      <c r="V17" s="62">
        <f t="shared" ref="V17" si="46">IFERROR(FIND(",",T17),LEN(T17))</f>
        <v>4</v>
      </c>
      <c r="W17" s="62" t="e">
        <f t="shared" ref="W17" si="47">FIND("target:",T17)+7</f>
        <v>#VALUE!</v>
      </c>
      <c r="X17" s="62" t="e">
        <f t="shared" ref="X17" si="48">FIND(",",T17,V17+1)</f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22">
        <v>40013017</v>
      </c>
      <c r="B18" s="47" t="s">
        <v>253</v>
      </c>
      <c r="C18" s="50">
        <v>3</v>
      </c>
      <c r="D18" s="50" t="s">
        <v>128</v>
      </c>
      <c r="E18" s="51" t="s">
        <v>294</v>
      </c>
      <c r="F18" s="51" t="s">
        <v>291</v>
      </c>
      <c r="G18" s="62" t="str">
        <f t="shared" si="0"/>
        <v>[effect:degrade_unit, target:unit_all, turn:3, status:attack, val:0.3, calc:mul]</v>
      </c>
      <c r="H18" s="62">
        <f t="shared" si="1"/>
        <v>9</v>
      </c>
      <c r="I18" s="62">
        <f t="shared" si="2"/>
        <v>21</v>
      </c>
      <c r="J18" s="62">
        <f t="shared" si="3"/>
        <v>30</v>
      </c>
      <c r="K18" s="62">
        <f t="shared" si="4"/>
        <v>38</v>
      </c>
      <c r="L18" s="62" t="str">
        <f>IFERROR(VLOOKUP(MID(G18,J18,K18-J18),[6]skilldef!$C:$D,2,FALSE),"-") &amp; " / " &amp; IFERROR(VLOOKUP(MID(G18,H18,I18-H18),[6]skilldef!$A:$B,2,FALSE),"-")</f>
        <v>味方全体に / ステータスDOWN</v>
      </c>
      <c r="M18" s="62" t="str">
        <f t="shared" si="5"/>
        <v>[effect:rush, count:1, val:1]</v>
      </c>
      <c r="N18" s="48" t="str">
        <f t="shared" ref="N18:N23" si="49">IFERROR(LEFT(M18,FIND("],",M18)+S29),M18)</f>
        <v>[effect:rush, count:1, val:1]</v>
      </c>
      <c r="O18" s="62">
        <f t="shared" si="6"/>
        <v>9</v>
      </c>
      <c r="P18" s="62">
        <f t="shared" si="7"/>
        <v>13</v>
      </c>
      <c r="Q18" s="62" t="e">
        <f t="shared" si="8"/>
        <v>#VALUE!</v>
      </c>
      <c r="R18" s="62">
        <f t="shared" si="9"/>
        <v>22</v>
      </c>
      <c r="S18" s="62" t="str">
        <f>IFERROR(VLOOKUP(MID(N18,Q18,R18-Q18),[6]skilldef!$C:$D,2,FALSE),"-") &amp; " / " &amp; IFERROR(VLOOKUP(MID(N18,O18,P18-O18),[6]skilldef!$A:$B,2,FALSE),"-")</f>
        <v>- / 連続攻撃</v>
      </c>
      <c r="T18" s="48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22">
        <v>40013018</v>
      </c>
      <c r="B19" s="47" t="s">
        <v>254</v>
      </c>
      <c r="C19" s="50">
        <v>3</v>
      </c>
      <c r="D19" s="50" t="s">
        <v>128</v>
      </c>
      <c r="E19" s="51" t="s">
        <v>297</v>
      </c>
      <c r="F19" s="51" t="s">
        <v>281</v>
      </c>
      <c r="G19" s="62" t="str">
        <f t="shared" si="0"/>
        <v>[effect:dark, target:unit_all, turn:3, animation:enemy_dark]</v>
      </c>
      <c r="H19" s="62">
        <f t="shared" si="1"/>
        <v>9</v>
      </c>
      <c r="I19" s="62">
        <f t="shared" si="2"/>
        <v>13</v>
      </c>
      <c r="J19" s="62">
        <f t="shared" si="3"/>
        <v>22</v>
      </c>
      <c r="K19" s="62">
        <f t="shared" si="4"/>
        <v>30</v>
      </c>
      <c r="L19" s="62" t="str">
        <f>IFERROR(VLOOKUP(MID(G19,J19,K19-J19),[6]skilldef!$C:$D,2,FALSE),"-") &amp; " / " &amp; IFERROR(VLOOKUP(MID(G19,H19,I19-H19),[6]skilldef!$A:$B,2,FALSE),"-")</f>
        <v>味方全体に / 暗黒</v>
      </c>
      <c r="M19" s="62" t="str">
        <f t="shared" si="5"/>
        <v>[effect:rush, count:1, val:1]</v>
      </c>
      <c r="N19" s="48" t="str">
        <f t="shared" si="49"/>
        <v>[effect:rush, count:1, val:1]</v>
      </c>
      <c r="O19" s="62">
        <f t="shared" si="6"/>
        <v>9</v>
      </c>
      <c r="P19" s="62">
        <f t="shared" si="7"/>
        <v>13</v>
      </c>
      <c r="Q19" s="62" t="e">
        <f t="shared" si="8"/>
        <v>#VALUE!</v>
      </c>
      <c r="R19" s="62">
        <f t="shared" si="9"/>
        <v>22</v>
      </c>
      <c r="S19" s="62" t="str">
        <f>IFERROR(VLOOKUP(MID(N19,Q19,R19-Q19),[6]skilldef!$C:$D,2,FALSE),"-") &amp; " / " &amp; IFERROR(VLOOKUP(MID(N19,O19,P19-O19),[6]skilldef!$A:$B,2,FALSE),"-")</f>
        <v>- / 連続攻撃</v>
      </c>
      <c r="T19" s="48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22">
        <v>40013019</v>
      </c>
      <c r="B20" s="47" t="s">
        <v>246</v>
      </c>
      <c r="C20" s="50">
        <v>3</v>
      </c>
      <c r="D20" s="50" t="s">
        <v>128</v>
      </c>
      <c r="E20" s="51" t="s">
        <v>293</v>
      </c>
      <c r="F20" s="51" t="s">
        <v>332</v>
      </c>
      <c r="G20" s="62" t="str">
        <f t="shared" si="0"/>
        <v>[effect:change_block, new_block:block_heart, target:block_all, count:20, val:0, no_effect_msg:no_effect_msg_change_block, animation:change_block]</v>
      </c>
      <c r="H20" s="62">
        <f t="shared" si="1"/>
        <v>9</v>
      </c>
      <c r="I20" s="62">
        <f t="shared" si="2"/>
        <v>21</v>
      </c>
      <c r="J20" s="62">
        <f t="shared" si="3"/>
        <v>53</v>
      </c>
      <c r="K20" s="62">
        <f t="shared" si="4"/>
        <v>44</v>
      </c>
      <c r="L20" s="62" t="str">
        <f>IFERROR(VLOOKUP(MID(G20,J20,K20-J20),[6]skilldef!$C:$D,2,FALSE),"-") &amp; " / " &amp; IFERROR(VLOOKUP(MID(G20,H20,I20-H20),[6]skilldef!$A:$B,2,FALSE),"-")</f>
        <v>- / ブロック変換</v>
      </c>
      <c r="M20" s="62" t="str">
        <f t="shared" si="5"/>
        <v>none</v>
      </c>
      <c r="N20" s="48" t="str">
        <f t="shared" si="49"/>
        <v>none</v>
      </c>
      <c r="O20" s="62" t="e">
        <f t="shared" si="6"/>
        <v>#VALUE!</v>
      </c>
      <c r="P20" s="62">
        <f t="shared" si="7"/>
        <v>4</v>
      </c>
      <c r="Q20" s="62" t="e">
        <f t="shared" si="8"/>
        <v>#VALUE!</v>
      </c>
      <c r="R20" s="62" t="e">
        <f t="shared" si="9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22">
        <v>40013020</v>
      </c>
      <c r="B21" s="47" t="s">
        <v>249</v>
      </c>
      <c r="C21" s="50">
        <v>3</v>
      </c>
      <c r="D21" s="50" t="s">
        <v>128</v>
      </c>
      <c r="E21" s="51" t="s">
        <v>305</v>
      </c>
      <c r="F21" s="51" t="s">
        <v>317</v>
      </c>
      <c r="G21" s="62" t="str">
        <f t="shared" si="0"/>
        <v>[effect:change_block, new_block:block_heart, target:block_blue, count:8, val:0, no_effect_msg:no_effect_msg_change_block, animation:change_block]</v>
      </c>
      <c r="H21" s="62">
        <f t="shared" si="1"/>
        <v>9</v>
      </c>
      <c r="I21" s="62">
        <f t="shared" si="2"/>
        <v>21</v>
      </c>
      <c r="J21" s="62">
        <f t="shared" si="3"/>
        <v>53</v>
      </c>
      <c r="K21" s="62">
        <f t="shared" si="4"/>
        <v>44</v>
      </c>
      <c r="L21" s="62" t="str">
        <f>IFERROR(VLOOKUP(MID(G21,J21,K21-J21),[6]skilldef!$C:$D,2,FALSE),"-") &amp; " / " &amp; IFERROR(VLOOKUP(MID(G21,H21,I21-H21),[6]skilldef!$A:$B,2,FALSE),"-")</f>
        <v>- / ブロック変換</v>
      </c>
      <c r="M21" s="62" t="str">
        <f t="shared" si="5"/>
        <v>[effect:rush, count:2, val:0.7]</v>
      </c>
      <c r="N21" s="48" t="str">
        <f t="shared" si="49"/>
        <v>[effect:rush, count:2, val:0.7]</v>
      </c>
      <c r="O21" s="62">
        <f t="shared" si="6"/>
        <v>9</v>
      </c>
      <c r="P21" s="62">
        <f t="shared" si="7"/>
        <v>13</v>
      </c>
      <c r="Q21" s="62" t="e">
        <f t="shared" si="8"/>
        <v>#VALUE!</v>
      </c>
      <c r="R21" s="62">
        <f t="shared" si="9"/>
        <v>22</v>
      </c>
      <c r="S21" s="62" t="str">
        <f>IFERROR(VLOOKUP(MID(N21,Q21,R21-Q21),[6]skilldef!$C:$D,2,FALSE),"-") &amp; " / " &amp; IFERROR(VLOOKUP(MID(N21,O21,P21-O21),[6]skilldef!$A:$B,2,FALSE),"-")</f>
        <v>- / 連続攻撃</v>
      </c>
      <c r="T21" s="48" t="str">
        <f t="shared" si="10"/>
        <v>none</v>
      </c>
      <c r="U21" s="62" t="e">
        <f t="shared" si="11"/>
        <v>#VALUE!</v>
      </c>
      <c r="V21" s="62">
        <f t="shared" si="12"/>
        <v>4</v>
      </c>
      <c r="W21" s="62" t="e">
        <f t="shared" si="13"/>
        <v>#VALUE!</v>
      </c>
      <c r="X21" s="62" t="e">
        <f t="shared" si="14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22">
        <v>40013021</v>
      </c>
      <c r="B22" s="47" t="s">
        <v>264</v>
      </c>
      <c r="C22" s="50">
        <v>3</v>
      </c>
      <c r="D22" s="50" t="s">
        <v>128</v>
      </c>
      <c r="E22" s="51" t="s">
        <v>300</v>
      </c>
      <c r="F22" s="51" t="s">
        <v>312</v>
      </c>
      <c r="G22" s="62" t="str">
        <f t="shared" si="0"/>
        <v>[effect:damage_anti_tribe, target:unit_all, tribe:human, val1:0.8, val2:0.4]</v>
      </c>
      <c r="H22" s="62">
        <f t="shared" si="1"/>
        <v>9</v>
      </c>
      <c r="I22" s="62">
        <f t="shared" si="2"/>
        <v>26</v>
      </c>
      <c r="J22" s="62">
        <f t="shared" si="3"/>
        <v>35</v>
      </c>
      <c r="K22" s="62">
        <f t="shared" si="4"/>
        <v>43</v>
      </c>
      <c r="L22" s="62" t="str">
        <f>IFERROR(VLOOKUP(MID(G22,J22,K22-J22),[6]skilldef!$C:$D,2,FALSE),"-") &amp; " / " &amp; IFERROR(VLOOKUP(MID(G22,H22,I22-H22),[6]skilldef!$A:$B,2,FALSE),"-")</f>
        <v>味方全体に / 種族キラー</v>
      </c>
      <c r="M22" s="62" t="str">
        <f t="shared" si="5"/>
        <v>none</v>
      </c>
      <c r="N22" s="48" t="str">
        <f t="shared" si="49"/>
        <v>none</v>
      </c>
      <c r="O22" s="62" t="e">
        <f t="shared" si="6"/>
        <v>#VALUE!</v>
      </c>
      <c r="P22" s="62">
        <f t="shared" si="7"/>
        <v>4</v>
      </c>
      <c r="Q22" s="62" t="e">
        <f t="shared" si="8"/>
        <v>#VALUE!</v>
      </c>
      <c r="R22" s="62" t="e">
        <f t="shared" si="9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2" t="e">
        <f t="shared" si="11"/>
        <v>#VALUE!</v>
      </c>
      <c r="V22" s="62">
        <f t="shared" si="12"/>
        <v>4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22">
        <v>40013022</v>
      </c>
      <c r="B23" s="47" t="s">
        <v>263</v>
      </c>
      <c r="C23" s="50">
        <v>3</v>
      </c>
      <c r="D23" s="50" t="s">
        <v>128</v>
      </c>
      <c r="E23" s="51" t="s">
        <v>306</v>
      </c>
      <c r="F23" s="51" t="s">
        <v>318</v>
      </c>
      <c r="G23" s="62" t="str">
        <f t="shared" si="0"/>
        <v>[effect:dark, target:unit_all, turn:4, animation:enemy_dark]</v>
      </c>
      <c r="H23" s="62">
        <f t="shared" si="1"/>
        <v>9</v>
      </c>
      <c r="I23" s="62">
        <f t="shared" si="2"/>
        <v>13</v>
      </c>
      <c r="J23" s="62">
        <f t="shared" si="3"/>
        <v>22</v>
      </c>
      <c r="K23" s="62">
        <f t="shared" si="4"/>
        <v>30</v>
      </c>
      <c r="L23" s="62" t="str">
        <f>IFERROR(VLOOKUP(MID(G23,J23,K23-J23),[6]skilldef!$C:$D,2,FALSE),"-") &amp; " / " &amp; IFERROR(VLOOKUP(MID(G23,H23,I23-H23),[6]skilldef!$A:$B,2,FALSE),"-")</f>
        <v>味方全体に / 暗黒</v>
      </c>
      <c r="M23" s="62" t="str">
        <f t="shared" si="5"/>
        <v>[effect:rush, count:1, val:1]</v>
      </c>
      <c r="N23" s="48" t="str">
        <f t="shared" si="49"/>
        <v>[effect:rush, count:1, val:1]</v>
      </c>
      <c r="O23" s="62">
        <f t="shared" si="6"/>
        <v>9</v>
      </c>
      <c r="P23" s="62">
        <f t="shared" si="7"/>
        <v>13</v>
      </c>
      <c r="Q23" s="62" t="e">
        <f t="shared" si="8"/>
        <v>#VALUE!</v>
      </c>
      <c r="R23" s="62">
        <f t="shared" si="9"/>
        <v>22</v>
      </c>
      <c r="S23" s="62" t="str">
        <f>IFERROR(VLOOKUP(MID(N23,Q23,R23-Q23),[6]skilldef!$C:$D,2,FALSE),"-") &amp; " / " &amp; IFERROR(VLOOKUP(MID(N23,O23,P23-O23),[6]skilldef!$A:$B,2,FALSE),"-")</f>
        <v>- / 連続攻撃</v>
      </c>
      <c r="T23" s="48" t="str">
        <f t="shared" si="10"/>
        <v>none</v>
      </c>
      <c r="U23" s="62" t="e">
        <f t="shared" si="11"/>
        <v>#VALUE!</v>
      </c>
      <c r="V23" s="62">
        <f t="shared" si="12"/>
        <v>4</v>
      </c>
      <c r="W23" s="62" t="e">
        <f t="shared" si="13"/>
        <v>#VALUE!</v>
      </c>
      <c r="X23" s="62" t="e">
        <f t="shared" si="14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22">
        <v>40013023</v>
      </c>
      <c r="B24" s="47" t="s">
        <v>258</v>
      </c>
      <c r="C24" s="50">
        <v>3</v>
      </c>
      <c r="D24" s="50" t="s">
        <v>128</v>
      </c>
      <c r="E24" s="51" t="s">
        <v>308</v>
      </c>
      <c r="F24" s="51" t="s">
        <v>319</v>
      </c>
      <c r="G24" s="62" t="str">
        <f t="shared" si="0"/>
        <v>[effect:spread, val:0.3]</v>
      </c>
      <c r="H24" s="62">
        <f t="shared" si="1"/>
        <v>9</v>
      </c>
      <c r="I24" s="62">
        <f t="shared" si="2"/>
        <v>15</v>
      </c>
      <c r="J24" s="62" t="e">
        <f t="shared" si="3"/>
        <v>#VALUE!</v>
      </c>
      <c r="K24" s="62" t="e">
        <f t="shared" si="4"/>
        <v>#VALUE!</v>
      </c>
      <c r="L24" s="62" t="str">
        <f>IFERROR(VLOOKUP(MID(G24,J24,K24-J24),[6]skilldef!$C:$D,2,FALSE),"-") &amp; " / " &amp; IFERROR(VLOOKUP(MID(G24,H24,I24-H24),[6]skilldef!$A:$B,2,FALSE),"-")</f>
        <v>- / 全体攻撃</v>
      </c>
      <c r="M24" s="62" t="str">
        <f t="shared" si="5"/>
        <v>none</v>
      </c>
      <c r="N24" s="48" t="str">
        <f>IFERROR(LEFT(M24,FIND("],",M24)+#REF!),M24)</f>
        <v>none</v>
      </c>
      <c r="O24" s="62" t="e">
        <f t="shared" si="6"/>
        <v>#VALUE!</v>
      </c>
      <c r="P24" s="62">
        <f t="shared" si="7"/>
        <v>4</v>
      </c>
      <c r="Q24" s="62" t="e">
        <f t="shared" si="8"/>
        <v>#VALUE!</v>
      </c>
      <c r="R24" s="62" t="e">
        <f t="shared" si="9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2" t="e">
        <f t="shared" si="11"/>
        <v>#VALUE!</v>
      </c>
      <c r="V24" s="62">
        <f t="shared" si="12"/>
        <v>4</v>
      </c>
      <c r="W24" s="62" t="e">
        <f t="shared" si="13"/>
        <v>#VALUE!</v>
      </c>
      <c r="X24" s="62" t="e">
        <f t="shared" si="14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22">
        <v>40013024</v>
      </c>
      <c r="B25" s="47" t="s">
        <v>247</v>
      </c>
      <c r="C25" s="50">
        <v>3</v>
      </c>
      <c r="D25" s="50" t="s">
        <v>128</v>
      </c>
      <c r="E25" s="51" t="s">
        <v>303</v>
      </c>
      <c r="F25" s="51" t="s">
        <v>320</v>
      </c>
      <c r="G25" s="62" t="str">
        <f t="shared" si="0"/>
        <v>[effect:change_block, new_block:block_heart, target:block_blue, count:-1, val:0, no_effect_msg:no_effect_msg_change_block, animation:change_block]</v>
      </c>
      <c r="H25" s="62">
        <f t="shared" si="1"/>
        <v>9</v>
      </c>
      <c r="I25" s="62">
        <f t="shared" si="2"/>
        <v>21</v>
      </c>
      <c r="J25" s="62">
        <f t="shared" si="3"/>
        <v>53</v>
      </c>
      <c r="K25" s="62">
        <f t="shared" si="4"/>
        <v>44</v>
      </c>
      <c r="L25" s="62" t="str">
        <f>IFERROR(VLOOKUP(MID(G25,J25,K25-J25),[6]skilldef!$C:$D,2,FALSE),"-") &amp; " / " &amp; IFERROR(VLOOKUP(MID(G25,H25,I25-H25),[6]skilldef!$A:$B,2,FALSE),"-")</f>
        <v>- / ブロック変換</v>
      </c>
      <c r="M25" s="62" t="str">
        <f t="shared" si="5"/>
        <v>none</v>
      </c>
      <c r="N25" s="48" t="str">
        <f>IFERROR(LEFT(M25,FIND("],",M25)+S35),M25)</f>
        <v>none</v>
      </c>
      <c r="O25" s="62" t="e">
        <f t="shared" si="6"/>
        <v>#VALUE!</v>
      </c>
      <c r="P25" s="62">
        <f t="shared" si="7"/>
        <v>4</v>
      </c>
      <c r="Q25" s="62" t="e">
        <f t="shared" si="8"/>
        <v>#VALUE!</v>
      </c>
      <c r="R25" s="62" t="e">
        <f t="shared" si="9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2" t="e">
        <f t="shared" si="11"/>
        <v>#VALUE!</v>
      </c>
      <c r="V25" s="62">
        <f t="shared" si="12"/>
        <v>4</v>
      </c>
      <c r="W25" s="62" t="e">
        <f t="shared" si="13"/>
        <v>#VALUE!</v>
      </c>
      <c r="X25" s="62" t="e">
        <f t="shared" si="14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>
      <c r="A26" s="22">
        <v>40013025</v>
      </c>
      <c r="B26" s="47" t="s">
        <v>248</v>
      </c>
      <c r="C26" s="50">
        <v>3</v>
      </c>
      <c r="D26" s="50" t="s">
        <v>128</v>
      </c>
      <c r="E26" s="51" t="s">
        <v>304</v>
      </c>
      <c r="F26" s="51" t="s">
        <v>321</v>
      </c>
      <c r="G26" s="62" t="str">
        <f t="shared" si="0"/>
        <v>[effect:change_block, new_block:block_heart, target:block_blue, count:8, val:0, no_effect_msg:no_effect_msg_change_block, animation:change_block]</v>
      </c>
      <c r="H26" s="62">
        <f t="shared" si="1"/>
        <v>9</v>
      </c>
      <c r="I26" s="62">
        <f t="shared" si="2"/>
        <v>21</v>
      </c>
      <c r="J26" s="62">
        <f t="shared" si="3"/>
        <v>53</v>
      </c>
      <c r="K26" s="62">
        <f t="shared" si="4"/>
        <v>44</v>
      </c>
      <c r="L26" s="62" t="str">
        <f>IFERROR(VLOOKUP(MID(G26,J26,K26-J26),[6]skilldef!$C:$D,2,FALSE),"-") &amp; " / " &amp; IFERROR(VLOOKUP(MID(G26,H26,I26-H26),[6]skilldef!$A:$B,2,FALSE),"-")</f>
        <v>- / ブロック変換</v>
      </c>
      <c r="M26" s="62" t="str">
        <f t="shared" si="5"/>
        <v>[effect:rush, count:3, val:0.6]</v>
      </c>
      <c r="N26" s="48" t="str">
        <f>IFERROR(LEFT(M26,FIND("],",M26)+S36),M26)</f>
        <v>[effect:rush, count:3, val:0.6]</v>
      </c>
      <c r="O26" s="62">
        <f t="shared" si="6"/>
        <v>9</v>
      </c>
      <c r="P26" s="62">
        <f t="shared" si="7"/>
        <v>13</v>
      </c>
      <c r="Q26" s="62" t="e">
        <f t="shared" si="8"/>
        <v>#VALUE!</v>
      </c>
      <c r="R26" s="62">
        <f t="shared" si="9"/>
        <v>22</v>
      </c>
      <c r="S26" s="62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22">
        <v>40013026</v>
      </c>
      <c r="B27" s="47" t="s">
        <v>257</v>
      </c>
      <c r="C27" s="50">
        <v>3</v>
      </c>
      <c r="D27" s="50" t="s">
        <v>128</v>
      </c>
      <c r="E27" s="51" t="s">
        <v>302</v>
      </c>
      <c r="F27" s="51" t="s">
        <v>310</v>
      </c>
      <c r="G27" s="62" t="str">
        <f t="shared" ref="G27" si="50">IFERROR(LEFT(B27,FIND("],",B27)),B27)</f>
        <v>[effect:freq_turn, target:myself, turn:-1, val:1, animation:enemy_freq_turn]</v>
      </c>
      <c r="H27" s="62">
        <f t="shared" si="1"/>
        <v>9</v>
      </c>
      <c r="I27" s="62">
        <f t="shared" ref="I27" si="51">IFERROR(FIND(",",G27),LEN(G27))</f>
        <v>18</v>
      </c>
      <c r="J27" s="62">
        <f t="shared" ref="J27" si="52">FIND("target:",G27)+7</f>
        <v>27</v>
      </c>
      <c r="K27" s="62">
        <f t="shared" ref="K27" si="53">FIND(",",G27,I27+1)</f>
        <v>33</v>
      </c>
      <c r="L27" s="62" t="str">
        <f>IFERROR(VLOOKUP(MID(G27,J27,K27-J27),[6]skilldef!$C:$D,2,FALSE),"-") &amp; " / " &amp; IFERROR(VLOOKUP(MID(G27,H27,I27-H27),[6]skilldef!$A:$B,2,FALSE),"-")</f>
        <v>自分自身に / 攻撃頻度がUP</v>
      </c>
      <c r="M27" s="62" t="str">
        <f t="shared" ref="M27" si="54">IFERROR(RIGHT(B27,LEN(B27)-FIND("],",B27)-1),"none")</f>
        <v>[effect:rush, count:1, val:1]</v>
      </c>
      <c r="N27" s="48" t="str">
        <f t="shared" ref="N27:N34" si="55">IFERROR(LEFT(M27,FIND("],",M27)+S36),M27)</f>
        <v>[effect:rush, count:1, val:1]</v>
      </c>
      <c r="O27" s="62">
        <f t="shared" si="6"/>
        <v>9</v>
      </c>
      <c r="P27" s="62">
        <f t="shared" ref="P27" si="56">IFERROR(FIND(",",N27),LEN(N27))</f>
        <v>13</v>
      </c>
      <c r="Q27" s="62" t="e">
        <f t="shared" ref="Q27" si="57">FIND("target:",N27)+7</f>
        <v>#VALUE!</v>
      </c>
      <c r="R27" s="62">
        <f t="shared" ref="R27" si="58">FIND(",",N27,P27+1)</f>
        <v>22</v>
      </c>
      <c r="S27" s="62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ref="T27" si="59">IFERROR(RIGHT(M27,LEN(M27)-FIND("],",M27)-1),"none")</f>
        <v>none</v>
      </c>
      <c r="U27" s="62" t="e">
        <f t="shared" si="11"/>
        <v>#VALUE!</v>
      </c>
      <c r="V27" s="62">
        <f t="shared" ref="V27" si="60">IFERROR(FIND(",",T27),LEN(T27))</f>
        <v>4</v>
      </c>
      <c r="W27" s="62" t="e">
        <f t="shared" ref="W27" si="61">FIND("target:",T27)+7</f>
        <v>#VALUE!</v>
      </c>
      <c r="X27" s="62" t="e">
        <f t="shared" ref="X27" si="62">FIND(",",T27,V27+1)</f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>
      <c r="A28" s="22">
        <v>40013027</v>
      </c>
      <c r="B28" s="47" t="s">
        <v>267</v>
      </c>
      <c r="C28" s="50">
        <v>3</v>
      </c>
      <c r="D28" s="50" t="s">
        <v>128</v>
      </c>
      <c r="E28" s="51" t="s">
        <v>290</v>
      </c>
      <c r="F28" s="51" t="s">
        <v>287</v>
      </c>
      <c r="G28" s="62" t="str">
        <f t="shared" si="0"/>
        <v>[effect:break_attack_fix, val:600, lowest_val:2000, count:-1, block:block_red, target:unit_one]</v>
      </c>
      <c r="H28" s="62">
        <f t="shared" si="1"/>
        <v>9</v>
      </c>
      <c r="I28" s="62">
        <f t="shared" si="2"/>
        <v>25</v>
      </c>
      <c r="J28" s="62">
        <f t="shared" si="3"/>
        <v>87</v>
      </c>
      <c r="K28" s="62">
        <f t="shared" si="4"/>
        <v>34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none</v>
      </c>
      <c r="N28" s="48" t="str">
        <f t="shared" si="55"/>
        <v>none</v>
      </c>
      <c r="O28" s="62" t="e">
        <f t="shared" si="6"/>
        <v>#VALUE!</v>
      </c>
      <c r="P28" s="62">
        <f t="shared" si="7"/>
        <v>4</v>
      </c>
      <c r="Q28" s="62" t="e">
        <f t="shared" si="8"/>
        <v>#VALUE!</v>
      </c>
      <c r="R28" s="62" t="e">
        <f t="shared" si="9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2" t="e">
        <f t="shared" si="11"/>
        <v>#VALUE!</v>
      </c>
      <c r="V28" s="62">
        <f t="shared" si="12"/>
        <v>4</v>
      </c>
      <c r="W28" s="62" t="e">
        <f t="shared" si="13"/>
        <v>#VALUE!</v>
      </c>
      <c r="X28" s="62" t="e">
        <f t="shared" si="14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>
      <c r="A29" s="22">
        <v>40013028</v>
      </c>
      <c r="B29" s="47" t="s">
        <v>244</v>
      </c>
      <c r="C29" s="50">
        <v>3</v>
      </c>
      <c r="D29" s="50" t="s">
        <v>128</v>
      </c>
      <c r="E29" s="51" t="s">
        <v>307</v>
      </c>
      <c r="F29" s="51" t="s">
        <v>319</v>
      </c>
      <c r="G29" s="62" t="str">
        <f t="shared" ref="G29:G34" si="63">IFERROR(LEFT(B29,FIND("],",B29)),B29)</f>
        <v>[effect:spread, val:0.4]</v>
      </c>
      <c r="H29" s="62">
        <f t="shared" si="1"/>
        <v>9</v>
      </c>
      <c r="I29" s="62">
        <f t="shared" ref="I29:I34" si="64">IFERROR(FIND(",",G29),LEN(G29))</f>
        <v>15</v>
      </c>
      <c r="J29" s="62" t="e">
        <f t="shared" ref="J29:J34" si="65">FIND("target:",G29)+7</f>
        <v>#VALUE!</v>
      </c>
      <c r="K29" s="62" t="e">
        <f t="shared" ref="K29:K34" si="66">FIND(",",G29,I29+1)</f>
        <v>#VALUE!</v>
      </c>
      <c r="L29" s="62" t="str">
        <f>IFERROR(VLOOKUP(MID(G29,J29,K29-J29),[6]skilldef!$C:$D,2,FALSE),"-") &amp; " / " &amp; IFERROR(VLOOKUP(MID(G29,H29,I29-H29),[6]skilldef!$A:$B,2,FALSE),"-")</f>
        <v>- / 全体攻撃</v>
      </c>
      <c r="M29" s="62" t="str">
        <f t="shared" ref="M29:M34" si="67">IFERROR(RIGHT(B29,LEN(B29)-FIND("],",B29)-1),"none")</f>
        <v>none</v>
      </c>
      <c r="N29" s="48" t="str">
        <f t="shared" si="55"/>
        <v>none</v>
      </c>
      <c r="O29" s="62" t="e">
        <f t="shared" si="6"/>
        <v>#VALUE!</v>
      </c>
      <c r="P29" s="62">
        <f t="shared" ref="P29:P34" si="68">IFERROR(FIND(",",N29),LEN(N29))</f>
        <v>4</v>
      </c>
      <c r="Q29" s="62" t="e">
        <f t="shared" ref="Q29:Q34" si="69">FIND("target:",N29)+7</f>
        <v>#VALUE!</v>
      </c>
      <c r="R29" s="62" t="e">
        <f t="shared" ref="R29:R34" si="70">FIND(",",N29,P29+1)</f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8" t="str">
        <f t="shared" ref="T29:T34" si="71">IFERROR(RIGHT(M29,LEN(M29)-FIND("],",M29)-1),"none")</f>
        <v>none</v>
      </c>
      <c r="U29" s="62" t="e">
        <f t="shared" si="11"/>
        <v>#VALUE!</v>
      </c>
      <c r="V29" s="62">
        <f t="shared" ref="V29:V34" si="72">IFERROR(FIND(",",T29),LEN(T29))</f>
        <v>4</v>
      </c>
      <c r="W29" s="62" t="e">
        <f t="shared" ref="W29:W34" si="73">FIND("target:",T29)+7</f>
        <v>#VALUE!</v>
      </c>
      <c r="X29" s="62" t="e">
        <f t="shared" ref="X29:X34" si="74">FIND(",",T29,V29+1)</f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>
      <c r="A30" s="22">
        <v>40013029</v>
      </c>
      <c r="B30" s="47" t="s">
        <v>247</v>
      </c>
      <c r="C30" s="50">
        <v>3</v>
      </c>
      <c r="D30" s="50" t="s">
        <v>128</v>
      </c>
      <c r="E30" s="51" t="s">
        <v>288</v>
      </c>
      <c r="F30" s="51" t="s">
        <v>320</v>
      </c>
      <c r="G30" s="62" t="str">
        <f t="shared" si="63"/>
        <v>[effect:change_block, new_block:block_heart, target:block_blue, count:-1, val:0, no_effect_msg:no_effect_msg_change_block, animation:change_block]</v>
      </c>
      <c r="H30" s="62">
        <f t="shared" si="1"/>
        <v>9</v>
      </c>
      <c r="I30" s="62">
        <f t="shared" si="64"/>
        <v>21</v>
      </c>
      <c r="J30" s="62">
        <f t="shared" si="65"/>
        <v>53</v>
      </c>
      <c r="K30" s="62">
        <f t="shared" si="66"/>
        <v>44</v>
      </c>
      <c r="L30" s="62" t="str">
        <f>IFERROR(VLOOKUP(MID(G30,J30,K30-J30),[6]skilldef!$C:$D,2,FALSE),"-") &amp; " / " &amp; IFERROR(VLOOKUP(MID(G30,H30,I30-H30),[6]skilldef!$A:$B,2,FALSE),"-")</f>
        <v>- / ブロック変換</v>
      </c>
      <c r="M30" s="62" t="str">
        <f t="shared" si="67"/>
        <v>none</v>
      </c>
      <c r="N30" s="48" t="str">
        <f t="shared" si="55"/>
        <v>none</v>
      </c>
      <c r="O30" s="62" t="e">
        <f t="shared" si="6"/>
        <v>#VALUE!</v>
      </c>
      <c r="P30" s="62">
        <f t="shared" si="68"/>
        <v>4</v>
      </c>
      <c r="Q30" s="62" t="e">
        <f t="shared" si="69"/>
        <v>#VALUE!</v>
      </c>
      <c r="R30" s="62" t="e">
        <f t="shared" si="7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8" t="str">
        <f t="shared" si="71"/>
        <v>none</v>
      </c>
      <c r="U30" s="62" t="e">
        <f t="shared" si="11"/>
        <v>#VALUE!</v>
      </c>
      <c r="V30" s="62">
        <f t="shared" si="72"/>
        <v>4</v>
      </c>
      <c r="W30" s="62" t="e">
        <f t="shared" si="73"/>
        <v>#VALUE!</v>
      </c>
      <c r="X30" s="62" t="e">
        <f t="shared" si="74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>
      <c r="A31" s="22">
        <v>40013030</v>
      </c>
      <c r="B31" s="47" t="s">
        <v>265</v>
      </c>
      <c r="C31" s="50">
        <v>3</v>
      </c>
      <c r="D31" s="50" t="s">
        <v>128</v>
      </c>
      <c r="E31" s="51" t="s">
        <v>285</v>
      </c>
      <c r="F31" s="51" t="s">
        <v>286</v>
      </c>
      <c r="G31" s="62" t="str">
        <f t="shared" si="63"/>
        <v>[effect:change_block, new_block:block_heart, target:block_blue, count:8, val:0, no_effect_msg:no_effect_msg_change_block, animation:change_block]</v>
      </c>
      <c r="H31" s="62">
        <f t="shared" si="1"/>
        <v>9</v>
      </c>
      <c r="I31" s="62">
        <f t="shared" si="64"/>
        <v>21</v>
      </c>
      <c r="J31" s="62">
        <f t="shared" si="65"/>
        <v>53</v>
      </c>
      <c r="K31" s="62">
        <f t="shared" si="66"/>
        <v>44</v>
      </c>
      <c r="L31" s="62" t="str">
        <f>IFERROR(VLOOKUP(MID(G31,J31,K31-J31),[6]skilldef!$C:$D,2,FALSE),"-") &amp; " / " &amp; IFERROR(VLOOKUP(MID(G31,H31,I31-H31),[6]skilldef!$A:$B,2,FALSE),"-")</f>
        <v>- / ブロック変換</v>
      </c>
      <c r="M31" s="62" t="str">
        <f t="shared" si="67"/>
        <v>[effect:damage_anti_color, target:unit_all, color:red, val1:0.2, val2:0.1],[effect:damage_anti_color, target:unit_all, color:red, val1:0.2, val2:0.1],[effect:damage_anti_color, target:unit_all, color:red, val1:0.3, val2:0.1]</v>
      </c>
      <c r="N31" s="48" t="str">
        <f t="shared" si="55"/>
        <v>[effect:damage_anti_color, target:unit_all, color:red, val1:0.2, val2:0.1]</v>
      </c>
      <c r="O31" s="62">
        <f t="shared" si="6"/>
        <v>9</v>
      </c>
      <c r="P31" s="62">
        <f t="shared" si="68"/>
        <v>26</v>
      </c>
      <c r="Q31" s="62">
        <f t="shared" si="69"/>
        <v>35</v>
      </c>
      <c r="R31" s="62">
        <f t="shared" si="70"/>
        <v>43</v>
      </c>
      <c r="S31" s="62" t="str">
        <f>IFERROR(VLOOKUP(MID(N31,Q31,R31-Q31),[6]skilldef!$C:$D,2,FALSE),"-") &amp; " / " &amp; IFERROR(VLOOKUP(MID(N31,O31,P31-O31),[6]skilldef!$A:$B,2,FALSE),"-")</f>
        <v>味方全体に / 属性キラー</v>
      </c>
      <c r="T31" s="48" t="str">
        <f t="shared" si="71"/>
        <v>[effect:damage_anti_color, target:unit_all, color:red, val1:0.2, val2:0.1],[effect:damage_anti_color, target:unit_all, color:red, val1:0.3, val2:0.1]</v>
      </c>
      <c r="U31" s="62">
        <f t="shared" si="11"/>
        <v>9</v>
      </c>
      <c r="V31" s="62">
        <f t="shared" si="72"/>
        <v>26</v>
      </c>
      <c r="W31" s="62">
        <f t="shared" si="73"/>
        <v>35</v>
      </c>
      <c r="X31" s="62">
        <f t="shared" si="74"/>
        <v>43</v>
      </c>
      <c r="Y31" s="62" t="str">
        <f>IFERROR(VLOOKUP(MID(T31,W31,X31-W31),[6]skilldef!$C:$D,2,FALSE),"-") &amp; " / " &amp; IFERROR(VLOOKUP(MID(T31,U31,V31-U31),[6]skilldef!$A:$B,2,FALSE),"-")</f>
        <v>味方全体に / 属性キラー</v>
      </c>
      <c r="Z31" s="50"/>
      <c r="AA31" s="52"/>
      <c r="AB31" s="50"/>
    </row>
    <row r="32" spans="1:28" ht="21" customHeight="1">
      <c r="A32" s="22">
        <v>40013031</v>
      </c>
      <c r="B32" s="47" t="s">
        <v>261</v>
      </c>
      <c r="C32" s="50">
        <v>3</v>
      </c>
      <c r="D32" s="50" t="s">
        <v>128</v>
      </c>
      <c r="E32" s="51" t="s">
        <v>289</v>
      </c>
      <c r="F32" s="51" t="s">
        <v>287</v>
      </c>
      <c r="G32" s="62" t="str">
        <f t="shared" si="63"/>
        <v>[effect:break_attack_fix, val:180, lowest_val:800, count:-1, block:block_red, target:unit_all]</v>
      </c>
      <c r="H32" s="62">
        <f t="shared" si="1"/>
        <v>9</v>
      </c>
      <c r="I32" s="62">
        <f t="shared" si="64"/>
        <v>25</v>
      </c>
      <c r="J32" s="62">
        <f t="shared" si="65"/>
        <v>86</v>
      </c>
      <c r="K32" s="62">
        <f t="shared" si="66"/>
        <v>34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67"/>
        <v>none</v>
      </c>
      <c r="N32" s="48" t="str">
        <f t="shared" si="55"/>
        <v>none</v>
      </c>
      <c r="O32" s="62" t="e">
        <f t="shared" si="6"/>
        <v>#VALUE!</v>
      </c>
      <c r="P32" s="62">
        <f t="shared" si="68"/>
        <v>4</v>
      </c>
      <c r="Q32" s="62" t="e">
        <f t="shared" si="69"/>
        <v>#VALUE!</v>
      </c>
      <c r="R32" s="62" t="e">
        <f t="shared" si="70"/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8" t="str">
        <f t="shared" si="71"/>
        <v>none</v>
      </c>
      <c r="U32" s="62" t="e">
        <f t="shared" si="11"/>
        <v>#VALUE!</v>
      </c>
      <c r="V32" s="62">
        <f t="shared" si="72"/>
        <v>4</v>
      </c>
      <c r="W32" s="62" t="e">
        <f t="shared" si="73"/>
        <v>#VALUE!</v>
      </c>
      <c r="X32" s="62" t="e">
        <f t="shared" si="74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>
      <c r="A33" s="22">
        <v>40013032</v>
      </c>
      <c r="B33" s="98" t="s">
        <v>259</v>
      </c>
      <c r="C33" s="50">
        <v>3</v>
      </c>
      <c r="D33" s="50" t="s">
        <v>128</v>
      </c>
      <c r="E33" s="51" t="s">
        <v>301</v>
      </c>
      <c r="F33" s="51" t="s">
        <v>324</v>
      </c>
      <c r="G33" s="62" t="str">
        <f t="shared" si="63"/>
        <v>[effect:spread, val:0.4]</v>
      </c>
      <c r="H33" s="62">
        <f t="shared" si="1"/>
        <v>9</v>
      </c>
      <c r="I33" s="62">
        <f t="shared" si="64"/>
        <v>15</v>
      </c>
      <c r="J33" s="62" t="e">
        <f t="shared" si="65"/>
        <v>#VALUE!</v>
      </c>
      <c r="K33" s="62" t="e">
        <f t="shared" si="66"/>
        <v>#VALUE!</v>
      </c>
      <c r="L33" s="62" t="str">
        <f>IFERROR(VLOOKUP(MID(G33,J33,K33-J33),[6]skilldef!$C:$D,2,FALSE),"-") &amp; " / " &amp; IFERROR(VLOOKUP(MID(G33,H33,I33-H33),[6]skilldef!$A:$B,2,FALSE),"-")</f>
        <v>- / 全体攻撃</v>
      </c>
      <c r="M33" s="62" t="str">
        <f t="shared" si="67"/>
        <v>[effect:change_block, new_block:block_heart, target:block_all, count:15, val:0, no_effect_msg:no_effect_msg_change_block, animation:change_block]</v>
      </c>
      <c r="N33" s="48" t="str">
        <f t="shared" si="55"/>
        <v>[effect:change_block, new_block:block_heart, target:block_all, count:15, val:0, no_effect_msg:no_effect_msg_change_block, animation:change_block]</v>
      </c>
      <c r="O33" s="62">
        <f t="shared" si="6"/>
        <v>9</v>
      </c>
      <c r="P33" s="62">
        <f t="shared" si="68"/>
        <v>21</v>
      </c>
      <c r="Q33" s="62">
        <f t="shared" si="69"/>
        <v>53</v>
      </c>
      <c r="R33" s="62">
        <f t="shared" si="70"/>
        <v>44</v>
      </c>
      <c r="S33" s="62" t="str">
        <f>IFERROR(VLOOKUP(MID(N33,Q33,R33-Q33),[6]skilldef!$C:$D,2,FALSE),"-") &amp; " / " &amp; IFERROR(VLOOKUP(MID(N33,O33,P33-O33),[6]skilldef!$A:$B,2,FALSE),"-")</f>
        <v>- / ブロック変換</v>
      </c>
      <c r="T33" s="48" t="str">
        <f t="shared" si="71"/>
        <v>none</v>
      </c>
      <c r="U33" s="62" t="e">
        <f t="shared" si="11"/>
        <v>#VALUE!</v>
      </c>
      <c r="V33" s="62">
        <f t="shared" si="72"/>
        <v>4</v>
      </c>
      <c r="W33" s="62" t="e">
        <f t="shared" si="73"/>
        <v>#VALUE!</v>
      </c>
      <c r="X33" s="62" t="e">
        <f t="shared" si="74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>
      <c r="A34" s="22">
        <v>40013033</v>
      </c>
      <c r="B34" s="47" t="s">
        <v>240</v>
      </c>
      <c r="C34" s="50">
        <v>3</v>
      </c>
      <c r="D34" s="50" t="s">
        <v>128</v>
      </c>
      <c r="E34" s="51" t="s">
        <v>284</v>
      </c>
      <c r="F34" s="51" t="s">
        <v>323</v>
      </c>
      <c r="G34" s="62" t="str">
        <f t="shared" si="63"/>
        <v>[effect:break_attack_fix, val:400, lowest_val:500, count:-1, block:block_heart, target:unit_all]</v>
      </c>
      <c r="H34" s="62">
        <f t="shared" si="1"/>
        <v>9</v>
      </c>
      <c r="I34" s="62">
        <f t="shared" si="64"/>
        <v>25</v>
      </c>
      <c r="J34" s="62">
        <f t="shared" si="65"/>
        <v>88</v>
      </c>
      <c r="K34" s="62">
        <f t="shared" si="66"/>
        <v>34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67"/>
        <v>none</v>
      </c>
      <c r="N34" s="48" t="str">
        <f t="shared" si="55"/>
        <v>none</v>
      </c>
      <c r="O34" s="62" t="e">
        <f t="shared" si="6"/>
        <v>#VALUE!</v>
      </c>
      <c r="P34" s="62">
        <f t="shared" si="68"/>
        <v>4</v>
      </c>
      <c r="Q34" s="62" t="e">
        <f t="shared" si="69"/>
        <v>#VALUE!</v>
      </c>
      <c r="R34" s="62" t="e">
        <f t="shared" si="70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si="71"/>
        <v>none</v>
      </c>
      <c r="U34" s="62" t="e">
        <f t="shared" si="11"/>
        <v>#VALUE!</v>
      </c>
      <c r="V34" s="62">
        <f t="shared" si="72"/>
        <v>4</v>
      </c>
      <c r="W34" s="62" t="e">
        <f t="shared" si="73"/>
        <v>#VALUE!</v>
      </c>
      <c r="X34" s="62" t="e">
        <f t="shared" si="74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>
      <c r="A35" s="22">
        <v>40013034</v>
      </c>
      <c r="B35" s="47" t="s">
        <v>344</v>
      </c>
      <c r="C35" s="50">
        <v>3</v>
      </c>
      <c r="D35" s="50" t="s">
        <v>128</v>
      </c>
      <c r="E35" s="51" t="s">
        <v>282</v>
      </c>
      <c r="F35" s="51" t="s">
        <v>283</v>
      </c>
      <c r="G35" s="62" t="str">
        <f t="shared" ref="G35" si="75">IFERROR(LEFT(B35,FIND("],",B35)),B35)</f>
        <v xml:space="preserve">[effect:suicide, val:1, dead_type:escape]    </v>
      </c>
      <c r="H35" s="62">
        <f t="shared" ref="H35" si="76">FIND("effect:",G35)+7</f>
        <v>9</v>
      </c>
      <c r="I35" s="62">
        <f t="shared" ref="I35" si="77">IFERROR(FIND(",",G35),LEN(G35))</f>
        <v>16</v>
      </c>
      <c r="J35" s="62" t="e">
        <f t="shared" ref="J35" si="78">FIND("target:",G35)+7</f>
        <v>#VALUE!</v>
      </c>
      <c r="K35" s="62">
        <f t="shared" ref="K35" si="79">FIND(",",G35,I35+1)</f>
        <v>23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ref="M35" si="80">IFERROR(RIGHT(B35,LEN(B35)-FIND("],",B35)-1),"none")</f>
        <v>none</v>
      </c>
      <c r="N35" s="48" t="str">
        <f t="shared" ref="N35" si="81">IFERROR(LEFT(M35,FIND("],",M35)+S44),M35)</f>
        <v>none</v>
      </c>
      <c r="O35" s="62" t="e">
        <f t="shared" ref="O35" si="82">FIND("effect:",N35)+7</f>
        <v>#VALUE!</v>
      </c>
      <c r="P35" s="62">
        <f t="shared" ref="P35" si="83">IFERROR(FIND(",",N35),LEN(N35))</f>
        <v>4</v>
      </c>
      <c r="Q35" s="62" t="e">
        <f t="shared" ref="Q35" si="84">FIND("target:",N35)+7</f>
        <v>#VALUE!</v>
      </c>
      <c r="R35" s="62" t="e">
        <f t="shared" ref="R35" si="85">FIND(",",N35,P35+1)</f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8" t="str">
        <f t="shared" ref="T35" si="86">IFERROR(RIGHT(M35,LEN(M35)-FIND("],",M35)-1),"none")</f>
        <v>none</v>
      </c>
      <c r="U35" s="62" t="e">
        <f t="shared" ref="U35" si="87">FIND("effect:",T35)+7</f>
        <v>#VALUE!</v>
      </c>
      <c r="V35" s="62">
        <f t="shared" ref="V35" si="88">IFERROR(FIND(",",T35),LEN(T35))</f>
        <v>4</v>
      </c>
      <c r="W35" s="62" t="e">
        <f t="shared" ref="W35" si="89">FIND("target:",T35)+7</f>
        <v>#VALUE!</v>
      </c>
      <c r="X35" s="62" t="e">
        <f t="shared" ref="X35" si="90">FIND(",",T35,V35+1)</f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5"/>
  <sheetViews>
    <sheetView showGridLines="0" zoomScale="125" zoomScaleNormal="125" zoomScalePageLayoutView="125" workbookViewId="0">
      <pane ySplit="1" topLeftCell="A9" activePane="bottomLeft" state="frozenSplit"/>
      <selection pane="bottomLeft" activeCell="G38" sqref="G38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7">
        <v>40013001</v>
      </c>
      <c r="B2" s="47">
        <v>0</v>
      </c>
      <c r="C2" s="47" t="s">
        <v>89</v>
      </c>
      <c r="D2" s="47">
        <v>70</v>
      </c>
      <c r="E2" s="47" t="s">
        <v>216</v>
      </c>
      <c r="F2" s="47" t="s">
        <v>90</v>
      </c>
      <c r="G2" s="47" t="s">
        <v>217</v>
      </c>
      <c r="H2" s="47" t="s">
        <v>90</v>
      </c>
      <c r="I2" s="47" t="s">
        <v>90</v>
      </c>
      <c r="J2" s="48">
        <f t="shared" ref="J2:J34" si="0">D2</f>
        <v>70</v>
      </c>
    </row>
    <row r="3" spans="1:11" ht="21" customHeight="1">
      <c r="A3" s="7">
        <v>40013002</v>
      </c>
      <c r="B3" s="47">
        <v>0</v>
      </c>
      <c r="C3" s="47" t="s">
        <v>218</v>
      </c>
      <c r="D3" s="47">
        <v>100</v>
      </c>
      <c r="E3" s="47" t="s">
        <v>217</v>
      </c>
      <c r="F3" s="47" t="s">
        <v>218</v>
      </c>
      <c r="G3" s="47" t="s">
        <v>218</v>
      </c>
      <c r="H3" s="47" t="s">
        <v>217</v>
      </c>
      <c r="I3" s="47" t="s">
        <v>218</v>
      </c>
      <c r="J3" s="48">
        <f t="shared" si="0"/>
        <v>100</v>
      </c>
    </row>
    <row r="4" spans="1:11" ht="21" customHeight="1">
      <c r="A4" s="7">
        <v>40013003</v>
      </c>
      <c r="B4" s="47">
        <v>1</v>
      </c>
      <c r="C4" s="47">
        <v>10</v>
      </c>
      <c r="D4" s="47">
        <v>100</v>
      </c>
      <c r="E4" s="47" t="s">
        <v>230</v>
      </c>
      <c r="F4" s="47" t="s">
        <v>230</v>
      </c>
      <c r="G4" s="47">
        <v>1</v>
      </c>
      <c r="H4" s="47" t="s">
        <v>230</v>
      </c>
      <c r="I4" s="47" t="s">
        <v>230</v>
      </c>
      <c r="J4" s="48">
        <f t="shared" si="0"/>
        <v>100</v>
      </c>
    </row>
    <row r="5" spans="1:11" ht="21" customHeight="1">
      <c r="A5" s="7">
        <v>40013004</v>
      </c>
      <c r="B5" s="47">
        <v>0</v>
      </c>
      <c r="C5" s="47" t="s">
        <v>231</v>
      </c>
      <c r="D5" s="47">
        <v>65</v>
      </c>
      <c r="E5" s="47" t="s">
        <v>230</v>
      </c>
      <c r="F5" s="47" t="s">
        <v>232</v>
      </c>
      <c r="G5" s="47">
        <v>4</v>
      </c>
      <c r="H5" s="47" t="s">
        <v>231</v>
      </c>
      <c r="I5" s="47" t="s">
        <v>230</v>
      </c>
      <c r="J5" s="48">
        <f t="shared" si="0"/>
        <v>65</v>
      </c>
    </row>
    <row r="6" spans="1:11" ht="21" customHeight="1">
      <c r="A6" s="7">
        <v>40013005</v>
      </c>
      <c r="B6" s="47">
        <v>0</v>
      </c>
      <c r="C6" s="47">
        <v>5</v>
      </c>
      <c r="D6" s="47">
        <v>100</v>
      </c>
      <c r="E6" s="47">
        <v>50</v>
      </c>
      <c r="F6" s="47" t="s">
        <v>233</v>
      </c>
      <c r="G6" s="47">
        <v>1</v>
      </c>
      <c r="H6" s="47" t="s">
        <v>230</v>
      </c>
      <c r="I6" s="47" t="s">
        <v>230</v>
      </c>
      <c r="J6" s="48">
        <f t="shared" si="0"/>
        <v>100</v>
      </c>
    </row>
    <row r="7" spans="1:11" ht="21" customHeight="1">
      <c r="A7" s="7">
        <v>40013006</v>
      </c>
      <c r="B7" s="47">
        <v>0</v>
      </c>
      <c r="C7" s="47">
        <v>3</v>
      </c>
      <c r="D7" s="47">
        <v>100</v>
      </c>
      <c r="E7" s="47">
        <v>50</v>
      </c>
      <c r="F7" s="47" t="s">
        <v>230</v>
      </c>
      <c r="G7" s="47">
        <v>1</v>
      </c>
      <c r="H7" s="47" t="s">
        <v>230</v>
      </c>
      <c r="I7" s="47" t="s">
        <v>230</v>
      </c>
      <c r="J7" s="48">
        <f t="shared" si="0"/>
        <v>100</v>
      </c>
    </row>
    <row r="8" spans="1:11" ht="21" customHeight="1">
      <c r="A8" s="7">
        <v>40013007</v>
      </c>
      <c r="B8" s="47">
        <v>1</v>
      </c>
      <c r="C8" s="47">
        <v>10</v>
      </c>
      <c r="D8" s="47">
        <v>100</v>
      </c>
      <c r="E8" s="47" t="s">
        <v>230</v>
      </c>
      <c r="F8" s="47" t="s">
        <v>230</v>
      </c>
      <c r="G8" s="47">
        <v>1</v>
      </c>
      <c r="H8" s="47" t="s">
        <v>230</v>
      </c>
      <c r="I8" s="47" t="s">
        <v>230</v>
      </c>
      <c r="J8" s="48">
        <f t="shared" si="0"/>
        <v>100</v>
      </c>
    </row>
    <row r="9" spans="1:11" ht="21" customHeight="1">
      <c r="A9" s="7">
        <v>40013008</v>
      </c>
      <c r="B9" s="47">
        <v>0</v>
      </c>
      <c r="C9" s="47" t="s">
        <v>231</v>
      </c>
      <c r="D9" s="47">
        <v>80</v>
      </c>
      <c r="E9" s="47" t="s">
        <v>230</v>
      </c>
      <c r="F9" s="47" t="s">
        <v>232</v>
      </c>
      <c r="G9" s="47" t="s">
        <v>230</v>
      </c>
      <c r="H9" s="47" t="s">
        <v>231</v>
      </c>
      <c r="I9" s="47" t="s">
        <v>230</v>
      </c>
      <c r="J9" s="48">
        <f t="shared" si="0"/>
        <v>80</v>
      </c>
    </row>
    <row r="10" spans="1:11" ht="21" customHeight="1">
      <c r="A10" s="7">
        <v>40013009</v>
      </c>
      <c r="B10" s="47">
        <v>0</v>
      </c>
      <c r="C10" s="47">
        <v>5</v>
      </c>
      <c r="D10" s="47">
        <v>100</v>
      </c>
      <c r="E10" s="47">
        <v>30</v>
      </c>
      <c r="F10" s="47" t="s">
        <v>230</v>
      </c>
      <c r="G10" s="47">
        <v>1</v>
      </c>
      <c r="H10" s="47">
        <v>1</v>
      </c>
      <c r="I10" s="47" t="s">
        <v>230</v>
      </c>
      <c r="J10" s="48">
        <f t="shared" si="0"/>
        <v>100</v>
      </c>
    </row>
    <row r="11" spans="1:11" ht="21" customHeight="1">
      <c r="A11" s="7">
        <v>40013010</v>
      </c>
      <c r="B11" s="47">
        <v>1</v>
      </c>
      <c r="C11" s="47">
        <v>10</v>
      </c>
      <c r="D11" s="47">
        <v>100</v>
      </c>
      <c r="E11" s="47" t="s">
        <v>230</v>
      </c>
      <c r="F11" s="47" t="s">
        <v>230</v>
      </c>
      <c r="G11" s="47">
        <v>1</v>
      </c>
      <c r="H11" s="47" t="s">
        <v>230</v>
      </c>
      <c r="I11" s="47" t="s">
        <v>230</v>
      </c>
      <c r="J11" s="48">
        <f t="shared" si="0"/>
        <v>100</v>
      </c>
    </row>
    <row r="12" spans="1:11" ht="21" customHeight="1">
      <c r="A12" s="7">
        <v>40013011</v>
      </c>
      <c r="B12" s="47">
        <v>0</v>
      </c>
      <c r="C12" s="47">
        <v>5</v>
      </c>
      <c r="D12" s="47">
        <v>100</v>
      </c>
      <c r="E12" s="47">
        <v>50</v>
      </c>
      <c r="F12" s="47" t="s">
        <v>233</v>
      </c>
      <c r="G12" s="47">
        <v>1</v>
      </c>
      <c r="H12" s="47">
        <v>1</v>
      </c>
      <c r="I12" s="47" t="s">
        <v>230</v>
      </c>
      <c r="J12" s="48">
        <f t="shared" si="0"/>
        <v>100</v>
      </c>
    </row>
    <row r="13" spans="1:11" ht="21" customHeight="1">
      <c r="A13" s="7">
        <v>40013012</v>
      </c>
      <c r="B13" s="47">
        <v>0</v>
      </c>
      <c r="C13" s="47">
        <v>4</v>
      </c>
      <c r="D13" s="47">
        <v>75</v>
      </c>
      <c r="E13" s="47" t="s">
        <v>230</v>
      </c>
      <c r="F13" s="47" t="s">
        <v>232</v>
      </c>
      <c r="G13" s="47" t="s">
        <v>230</v>
      </c>
      <c r="H13" s="47" t="s">
        <v>231</v>
      </c>
      <c r="I13" s="47" t="s">
        <v>230</v>
      </c>
      <c r="J13" s="48">
        <f t="shared" si="0"/>
        <v>75</v>
      </c>
    </row>
    <row r="14" spans="1:11" ht="21" customHeight="1">
      <c r="A14" s="7">
        <v>40013013</v>
      </c>
      <c r="B14" s="95">
        <v>0</v>
      </c>
      <c r="C14" s="96">
        <v>3</v>
      </c>
      <c r="D14" s="96">
        <v>95</v>
      </c>
      <c r="E14" s="96" t="s">
        <v>215</v>
      </c>
      <c r="F14" s="96" t="s">
        <v>215</v>
      </c>
      <c r="G14" s="96">
        <v>4</v>
      </c>
      <c r="H14" s="96" t="s">
        <v>215</v>
      </c>
      <c r="I14" s="96" t="s">
        <v>215</v>
      </c>
      <c r="J14" s="48">
        <f t="shared" si="0"/>
        <v>95</v>
      </c>
    </row>
    <row r="15" spans="1:11" ht="21" customHeight="1">
      <c r="A15" s="7">
        <v>40013014</v>
      </c>
      <c r="B15" s="47">
        <v>1</v>
      </c>
      <c r="C15" s="47">
        <v>10</v>
      </c>
      <c r="D15" s="47">
        <v>100</v>
      </c>
      <c r="E15" s="47" t="s">
        <v>230</v>
      </c>
      <c r="F15" s="47" t="s">
        <v>230</v>
      </c>
      <c r="G15" s="47">
        <v>1</v>
      </c>
      <c r="H15" s="47" t="s">
        <v>230</v>
      </c>
      <c r="I15" s="47" t="s">
        <v>230</v>
      </c>
      <c r="J15" s="48">
        <f t="shared" si="0"/>
        <v>100</v>
      </c>
    </row>
    <row r="16" spans="1:11" ht="21" customHeight="1">
      <c r="A16" s="7">
        <v>40013015</v>
      </c>
      <c r="B16" s="47">
        <v>0</v>
      </c>
      <c r="C16" s="47">
        <v>5</v>
      </c>
      <c r="D16" s="47">
        <v>100</v>
      </c>
      <c r="E16" s="47" t="s">
        <v>234</v>
      </c>
      <c r="F16" s="47" t="s">
        <v>230</v>
      </c>
      <c r="G16" s="47">
        <v>1</v>
      </c>
      <c r="H16" s="47">
        <v>3</v>
      </c>
      <c r="I16" s="47" t="s">
        <v>230</v>
      </c>
      <c r="J16" s="48">
        <f t="shared" si="0"/>
        <v>100</v>
      </c>
    </row>
    <row r="17" spans="1:10" ht="21" customHeight="1">
      <c r="A17" s="7">
        <v>40013016</v>
      </c>
      <c r="B17" s="47">
        <v>0</v>
      </c>
      <c r="C17" s="47">
        <v>4</v>
      </c>
      <c r="D17" s="47">
        <v>100</v>
      </c>
      <c r="E17" s="47" t="s">
        <v>230</v>
      </c>
      <c r="F17" s="47" t="s">
        <v>230</v>
      </c>
      <c r="G17" s="47">
        <v>1</v>
      </c>
      <c r="H17" s="47">
        <v>6</v>
      </c>
      <c r="I17" s="47" t="s">
        <v>230</v>
      </c>
      <c r="J17" s="48">
        <f t="shared" si="0"/>
        <v>100</v>
      </c>
    </row>
    <row r="18" spans="1:10" ht="21" customHeight="1">
      <c r="A18" s="7">
        <v>40013017</v>
      </c>
      <c r="B18" s="47">
        <v>0</v>
      </c>
      <c r="C18" s="47">
        <v>3</v>
      </c>
      <c r="D18" s="47">
        <v>100</v>
      </c>
      <c r="E18" s="47" t="s">
        <v>230</v>
      </c>
      <c r="F18" s="47" t="s">
        <v>230</v>
      </c>
      <c r="G18" s="47">
        <v>1</v>
      </c>
      <c r="H18" s="47">
        <v>9</v>
      </c>
      <c r="I18" s="47" t="s">
        <v>235</v>
      </c>
      <c r="J18" s="48">
        <f t="shared" si="0"/>
        <v>100</v>
      </c>
    </row>
    <row r="19" spans="1:10" ht="21" customHeight="1">
      <c r="A19" s="7">
        <v>40013018</v>
      </c>
      <c r="B19" s="47">
        <v>0</v>
      </c>
      <c r="C19" s="47">
        <v>9</v>
      </c>
      <c r="D19" s="47">
        <v>100</v>
      </c>
      <c r="E19" s="47">
        <v>50</v>
      </c>
      <c r="F19" s="47" t="s">
        <v>230</v>
      </c>
      <c r="G19" s="47">
        <v>1</v>
      </c>
      <c r="H19" s="47">
        <v>1</v>
      </c>
      <c r="I19" s="47" t="s">
        <v>230</v>
      </c>
      <c r="J19" s="48">
        <f t="shared" si="0"/>
        <v>100</v>
      </c>
    </row>
    <row r="20" spans="1:10" ht="21" customHeight="1">
      <c r="A20" s="7">
        <v>40013019</v>
      </c>
      <c r="B20" s="47">
        <v>1</v>
      </c>
      <c r="C20" s="47">
        <v>100</v>
      </c>
      <c r="D20" s="47">
        <v>100</v>
      </c>
      <c r="E20" s="47" t="s">
        <v>215</v>
      </c>
      <c r="F20" s="47" t="s">
        <v>215</v>
      </c>
      <c r="G20" s="47">
        <v>1</v>
      </c>
      <c r="H20" s="47" t="s">
        <v>256</v>
      </c>
      <c r="I20" s="47" t="s">
        <v>215</v>
      </c>
      <c r="J20" s="48">
        <f t="shared" si="0"/>
        <v>100</v>
      </c>
    </row>
    <row r="21" spans="1:10" ht="21" customHeight="1">
      <c r="A21" s="7">
        <v>40013020</v>
      </c>
      <c r="B21" s="47">
        <v>0</v>
      </c>
      <c r="C21" s="47">
        <v>50</v>
      </c>
      <c r="D21" s="47">
        <v>100</v>
      </c>
      <c r="E21" s="47" t="s">
        <v>215</v>
      </c>
      <c r="F21" s="47" t="s">
        <v>215</v>
      </c>
      <c r="G21" s="47" t="s">
        <v>215</v>
      </c>
      <c r="H21" s="47">
        <v>3</v>
      </c>
      <c r="I21" s="47" t="s">
        <v>215</v>
      </c>
      <c r="J21" s="48">
        <f t="shared" si="0"/>
        <v>100</v>
      </c>
    </row>
    <row r="22" spans="1:10" ht="21" customHeight="1">
      <c r="A22" s="7">
        <v>40013021</v>
      </c>
      <c r="B22" s="47">
        <v>0</v>
      </c>
      <c r="C22" s="47">
        <v>30</v>
      </c>
      <c r="D22" s="47">
        <v>70</v>
      </c>
      <c r="E22" s="47" t="s">
        <v>215</v>
      </c>
      <c r="F22" s="47" t="s">
        <v>215</v>
      </c>
      <c r="G22" s="47" t="s">
        <v>215</v>
      </c>
      <c r="H22" s="47" t="s">
        <v>215</v>
      </c>
      <c r="I22" s="47" t="s">
        <v>215</v>
      </c>
      <c r="J22" s="48">
        <f t="shared" si="0"/>
        <v>70</v>
      </c>
    </row>
    <row r="23" spans="1:10" ht="21" customHeight="1">
      <c r="A23" s="7">
        <v>40013022</v>
      </c>
      <c r="B23" s="47">
        <v>0</v>
      </c>
      <c r="C23" s="47">
        <v>90</v>
      </c>
      <c r="D23" s="47">
        <v>100</v>
      </c>
      <c r="E23" s="47">
        <v>50</v>
      </c>
      <c r="F23" s="47" t="s">
        <v>215</v>
      </c>
      <c r="G23" s="47">
        <v>1</v>
      </c>
      <c r="H23" s="47">
        <v>1</v>
      </c>
      <c r="I23" s="47" t="s">
        <v>215</v>
      </c>
      <c r="J23" s="48">
        <f t="shared" si="0"/>
        <v>100</v>
      </c>
    </row>
    <row r="24" spans="1:10" ht="21" customHeight="1">
      <c r="A24" s="7">
        <v>40013023</v>
      </c>
      <c r="B24" s="47">
        <v>0</v>
      </c>
      <c r="C24" s="47" t="s">
        <v>215</v>
      </c>
      <c r="D24" s="47">
        <v>100</v>
      </c>
      <c r="E24" s="47" t="s">
        <v>215</v>
      </c>
      <c r="F24" s="47" t="s">
        <v>215</v>
      </c>
      <c r="G24" s="47" t="s">
        <v>215</v>
      </c>
      <c r="H24" s="47" t="s">
        <v>215</v>
      </c>
      <c r="I24" s="47" t="s">
        <v>215</v>
      </c>
      <c r="J24" s="48">
        <f t="shared" si="0"/>
        <v>100</v>
      </c>
    </row>
    <row r="25" spans="1:10" ht="21" customHeight="1">
      <c r="A25" s="7">
        <v>40013024</v>
      </c>
      <c r="B25" s="47">
        <v>1</v>
      </c>
      <c r="C25" s="47">
        <v>100</v>
      </c>
      <c r="D25" s="47">
        <v>100</v>
      </c>
      <c r="E25" s="47" t="s">
        <v>215</v>
      </c>
      <c r="F25" s="47" t="s">
        <v>215</v>
      </c>
      <c r="G25" s="47">
        <v>1</v>
      </c>
      <c r="H25" s="47" t="s">
        <v>215</v>
      </c>
      <c r="I25" s="47" t="s">
        <v>215</v>
      </c>
      <c r="J25" s="48">
        <f t="shared" si="0"/>
        <v>100</v>
      </c>
    </row>
    <row r="26" spans="1:10" ht="21" customHeight="1">
      <c r="A26" s="7">
        <v>40013025</v>
      </c>
      <c r="B26" s="47">
        <v>0</v>
      </c>
      <c r="C26" s="47">
        <v>50</v>
      </c>
      <c r="D26" s="47">
        <v>100</v>
      </c>
      <c r="E26" s="47" t="s">
        <v>215</v>
      </c>
      <c r="F26" s="47" t="s">
        <v>215</v>
      </c>
      <c r="G26" s="47" t="s">
        <v>215</v>
      </c>
      <c r="H26" s="47">
        <v>3</v>
      </c>
      <c r="I26" s="47" t="s">
        <v>215</v>
      </c>
      <c r="J26" s="48">
        <f t="shared" si="0"/>
        <v>100</v>
      </c>
    </row>
    <row r="27" spans="1:10" ht="21" customHeight="1">
      <c r="A27" s="7">
        <v>40013026</v>
      </c>
      <c r="B27" s="47">
        <v>0</v>
      </c>
      <c r="C27" s="47">
        <v>90</v>
      </c>
      <c r="D27" s="47">
        <v>100</v>
      </c>
      <c r="E27" s="47">
        <v>50</v>
      </c>
      <c r="F27" s="47" t="s">
        <v>215</v>
      </c>
      <c r="G27" s="47">
        <v>1</v>
      </c>
      <c r="H27" s="47">
        <v>1</v>
      </c>
      <c r="I27" s="47" t="s">
        <v>215</v>
      </c>
      <c r="J27" s="48">
        <f t="shared" si="0"/>
        <v>100</v>
      </c>
    </row>
    <row r="28" spans="1:10" ht="21" customHeight="1">
      <c r="A28" s="7">
        <v>40013027</v>
      </c>
      <c r="B28" s="47">
        <v>0</v>
      </c>
      <c r="C28" s="47">
        <v>30</v>
      </c>
      <c r="D28" s="47">
        <v>70</v>
      </c>
      <c r="E28" s="47" t="s">
        <v>215</v>
      </c>
      <c r="F28" s="47" t="s">
        <v>215</v>
      </c>
      <c r="G28" s="47" t="s">
        <v>215</v>
      </c>
      <c r="H28" s="47" t="s">
        <v>215</v>
      </c>
      <c r="I28" s="47" t="s">
        <v>215</v>
      </c>
      <c r="J28" s="48">
        <f t="shared" si="0"/>
        <v>70</v>
      </c>
    </row>
    <row r="29" spans="1:10" ht="21" customHeight="1">
      <c r="A29" s="7">
        <v>40013028</v>
      </c>
      <c r="B29" s="47">
        <v>0</v>
      </c>
      <c r="C29" s="47" t="s">
        <v>215</v>
      </c>
      <c r="D29" s="47">
        <v>100</v>
      </c>
      <c r="E29" s="47" t="s">
        <v>215</v>
      </c>
      <c r="F29" s="47" t="s">
        <v>215</v>
      </c>
      <c r="G29" s="47" t="s">
        <v>215</v>
      </c>
      <c r="H29" s="47" t="s">
        <v>215</v>
      </c>
      <c r="I29" s="47" t="s">
        <v>215</v>
      </c>
      <c r="J29" s="48">
        <f t="shared" si="0"/>
        <v>100</v>
      </c>
    </row>
    <row r="30" spans="1:10" ht="21" customHeight="1">
      <c r="A30" s="7">
        <v>40013029</v>
      </c>
      <c r="B30" s="47">
        <v>1</v>
      </c>
      <c r="C30" s="47">
        <v>100</v>
      </c>
      <c r="D30" s="47">
        <v>100</v>
      </c>
      <c r="E30" s="47" t="s">
        <v>215</v>
      </c>
      <c r="F30" s="47" t="s">
        <v>215</v>
      </c>
      <c r="G30" s="47">
        <v>1</v>
      </c>
      <c r="H30" s="47" t="s">
        <v>215</v>
      </c>
      <c r="I30" s="47" t="s">
        <v>215</v>
      </c>
      <c r="J30" s="48">
        <f t="shared" si="0"/>
        <v>100</v>
      </c>
    </row>
    <row r="31" spans="1:10" ht="21" customHeight="1">
      <c r="A31" s="7">
        <v>40013030</v>
      </c>
      <c r="B31" s="47">
        <v>0</v>
      </c>
      <c r="C31" s="47">
        <v>50</v>
      </c>
      <c r="D31" s="47">
        <v>100</v>
      </c>
      <c r="E31" s="47" t="s">
        <v>215</v>
      </c>
      <c r="F31" s="47" t="s">
        <v>215</v>
      </c>
      <c r="G31" s="47" t="s">
        <v>215</v>
      </c>
      <c r="H31" s="47">
        <v>3</v>
      </c>
      <c r="I31" s="47" t="s">
        <v>215</v>
      </c>
      <c r="J31" s="48">
        <f t="shared" si="0"/>
        <v>100</v>
      </c>
    </row>
    <row r="32" spans="1:10" ht="21" customHeight="1">
      <c r="A32" s="7">
        <v>40013031</v>
      </c>
      <c r="B32" s="47">
        <v>0</v>
      </c>
      <c r="C32" s="47">
        <v>30</v>
      </c>
      <c r="D32" s="47">
        <v>70</v>
      </c>
      <c r="E32" s="47" t="s">
        <v>215</v>
      </c>
      <c r="F32" s="47" t="s">
        <v>215</v>
      </c>
      <c r="G32" s="47" t="s">
        <v>260</v>
      </c>
      <c r="H32" s="47" t="s">
        <v>215</v>
      </c>
      <c r="I32" s="47" t="s">
        <v>215</v>
      </c>
      <c r="J32" s="48">
        <f t="shared" si="0"/>
        <v>70</v>
      </c>
    </row>
    <row r="33" spans="1:10" ht="21" customHeight="1">
      <c r="A33" s="7">
        <v>40013032</v>
      </c>
      <c r="B33" s="47">
        <v>0</v>
      </c>
      <c r="C33" s="47">
        <v>90</v>
      </c>
      <c r="D33" s="47">
        <v>100</v>
      </c>
      <c r="E33" s="47">
        <v>50</v>
      </c>
      <c r="F33" s="47" t="s">
        <v>215</v>
      </c>
      <c r="G33" s="47">
        <v>1</v>
      </c>
      <c r="H33" s="47">
        <v>1</v>
      </c>
      <c r="I33" s="47" t="s">
        <v>215</v>
      </c>
      <c r="J33" s="48">
        <f t="shared" si="0"/>
        <v>100</v>
      </c>
    </row>
    <row r="34" spans="1:10" ht="21" customHeight="1">
      <c r="A34" s="7">
        <v>40013033</v>
      </c>
      <c r="B34" s="47">
        <v>0</v>
      </c>
      <c r="C34" s="47">
        <v>80</v>
      </c>
      <c r="D34" s="47">
        <v>100</v>
      </c>
      <c r="E34" s="47">
        <v>50</v>
      </c>
      <c r="F34" s="47" t="s">
        <v>215</v>
      </c>
      <c r="G34" s="47">
        <v>1</v>
      </c>
      <c r="H34" s="47">
        <v>1</v>
      </c>
      <c r="I34" s="47" t="s">
        <v>215</v>
      </c>
      <c r="J34" s="48">
        <f t="shared" si="0"/>
        <v>100</v>
      </c>
    </row>
    <row r="35" spans="1:10" ht="21" customHeight="1">
      <c r="A35" s="7">
        <v>40013034</v>
      </c>
      <c r="B35" s="47">
        <v>0</v>
      </c>
      <c r="C35" s="47">
        <v>100</v>
      </c>
      <c r="D35" s="47">
        <v>100</v>
      </c>
      <c r="E35" s="47" t="s">
        <v>255</v>
      </c>
      <c r="F35" s="47" t="s">
        <v>215</v>
      </c>
      <c r="G35" s="47">
        <v>1</v>
      </c>
      <c r="H35" s="47">
        <v>1</v>
      </c>
      <c r="I35" s="20">
        <v>52</v>
      </c>
      <c r="J35" s="48">
        <f t="shared" ref="J35" si="1">D35</f>
        <v>100</v>
      </c>
    </row>
  </sheetData>
  <autoFilter ref="A1:G1"/>
  <phoneticPr fontId="5"/>
  <conditionalFormatting sqref="K1:K34 K36:K1048576">
    <cfRule type="duplicateValues" dxfId="1" priority="2"/>
  </conditionalFormatting>
  <conditionalFormatting sqref="K3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I29" sqref="I29"/>
    </sheetView>
  </sheetViews>
  <sheetFormatPr baseColWidth="12" defaultRowHeight="18" x14ac:dyDescent="0"/>
  <cols>
    <col min="17" max="18" width="19" bestFit="1" customWidth="1"/>
  </cols>
  <sheetData>
    <row r="1" spans="1:18">
      <c r="A1" s="102" t="s">
        <v>151</v>
      </c>
      <c r="B1" s="102" t="s">
        <v>152</v>
      </c>
      <c r="C1" s="103" t="s">
        <v>153</v>
      </c>
      <c r="D1" s="104" t="s">
        <v>154</v>
      </c>
      <c r="E1" s="105" t="s">
        <v>155</v>
      </c>
      <c r="F1" s="102" t="s">
        <v>156</v>
      </c>
      <c r="G1" s="102" t="s">
        <v>157</v>
      </c>
      <c r="H1" s="102" t="s">
        <v>158</v>
      </c>
      <c r="I1" s="102" t="s">
        <v>159</v>
      </c>
      <c r="J1" s="102" t="s">
        <v>160</v>
      </c>
      <c r="K1" s="102" t="s">
        <v>161</v>
      </c>
      <c r="L1" s="102" t="s">
        <v>162</v>
      </c>
      <c r="M1" s="102" t="s">
        <v>163</v>
      </c>
      <c r="N1" s="102" t="s">
        <v>164</v>
      </c>
      <c r="O1" s="102" t="s">
        <v>165</v>
      </c>
      <c r="P1" s="102" t="s">
        <v>166</v>
      </c>
      <c r="Q1" s="102" t="s">
        <v>167</v>
      </c>
      <c r="R1" s="102" t="s">
        <v>168</v>
      </c>
    </row>
    <row r="2" spans="1:18">
      <c r="A2" s="106">
        <v>40013</v>
      </c>
      <c r="B2" s="106">
        <v>1</v>
      </c>
      <c r="C2" s="106" t="str">
        <f t="shared" ref="C2:C11" si="0">A2&amp; "_"&amp;B2</f>
        <v>40013_1</v>
      </c>
      <c r="D2" s="106" t="str">
        <f>VLOOKUP(C2,[2]stages!$A:$AE,31,FALSE)</f>
        <v>everyone</v>
      </c>
      <c r="E2" s="106">
        <v>1</v>
      </c>
      <c r="F2" s="106" t="s">
        <v>169</v>
      </c>
      <c r="G2" s="106">
        <v>40000</v>
      </c>
      <c r="H2" s="106" t="s">
        <v>333</v>
      </c>
      <c r="I2" s="106">
        <v>1</v>
      </c>
      <c r="J2" s="106">
        <v>1</v>
      </c>
      <c r="K2" s="106">
        <v>0</v>
      </c>
      <c r="L2" s="106">
        <v>0</v>
      </c>
      <c r="M2" s="106">
        <v>0</v>
      </c>
      <c r="N2" s="106">
        <v>0</v>
      </c>
      <c r="O2" s="106">
        <v>1</v>
      </c>
      <c r="P2" s="106">
        <v>150</v>
      </c>
      <c r="Q2" s="106" t="s">
        <v>170</v>
      </c>
      <c r="R2" s="106" t="s">
        <v>171</v>
      </c>
    </row>
    <row r="3" spans="1:18">
      <c r="A3" s="106">
        <v>40013</v>
      </c>
      <c r="B3" s="106">
        <v>1</v>
      </c>
      <c r="C3" s="106" t="str">
        <f t="shared" si="0"/>
        <v>40013_1</v>
      </c>
      <c r="D3" s="106" t="str">
        <f>VLOOKUP(C3,[2]stages!$A:$AE,31,FALSE)</f>
        <v>everyone</v>
      </c>
      <c r="E3" s="106">
        <v>2</v>
      </c>
      <c r="F3" s="106" t="s">
        <v>334</v>
      </c>
      <c r="G3" s="106">
        <v>30</v>
      </c>
      <c r="H3" s="106" t="s">
        <v>335</v>
      </c>
      <c r="I3" s="106">
        <v>1</v>
      </c>
      <c r="J3" s="106">
        <v>1</v>
      </c>
      <c r="K3" s="106">
        <v>0</v>
      </c>
      <c r="L3" s="106">
        <v>0</v>
      </c>
      <c r="M3" s="106">
        <v>0</v>
      </c>
      <c r="N3" s="106">
        <v>0</v>
      </c>
      <c r="O3" s="106">
        <v>1</v>
      </c>
      <c r="P3" s="106">
        <v>150</v>
      </c>
      <c r="Q3" s="106" t="s">
        <v>170</v>
      </c>
      <c r="R3" s="106" t="s">
        <v>171</v>
      </c>
    </row>
    <row r="4" spans="1:18">
      <c r="A4" s="106">
        <v>40013</v>
      </c>
      <c r="B4" s="106">
        <v>1</v>
      </c>
      <c r="C4" s="106" t="str">
        <f t="shared" si="0"/>
        <v>40013_1</v>
      </c>
      <c r="D4" s="106" t="str">
        <f>VLOOKUP(C4,[2]stages!$A:$AE,31,FALSE)</f>
        <v>everyone</v>
      </c>
      <c r="E4" s="106">
        <v>3</v>
      </c>
      <c r="F4" s="106" t="s">
        <v>336</v>
      </c>
      <c r="G4" s="106">
        <v>333</v>
      </c>
      <c r="H4" s="106">
        <v>1</v>
      </c>
      <c r="I4" s="106">
        <v>1</v>
      </c>
      <c r="J4" s="106">
        <v>1</v>
      </c>
      <c r="K4" s="106">
        <v>0</v>
      </c>
      <c r="L4" s="106">
        <v>0</v>
      </c>
      <c r="M4" s="106">
        <v>0</v>
      </c>
      <c r="N4" s="106">
        <v>0</v>
      </c>
      <c r="O4" s="106">
        <v>1</v>
      </c>
      <c r="P4" s="106">
        <v>28</v>
      </c>
      <c r="Q4" s="106" t="s">
        <v>170</v>
      </c>
      <c r="R4" s="106" t="s">
        <v>171</v>
      </c>
    </row>
    <row r="5" spans="1:18">
      <c r="A5" s="106">
        <v>40013</v>
      </c>
      <c r="B5" s="106">
        <v>1</v>
      </c>
      <c r="C5" s="106" t="str">
        <f t="shared" si="0"/>
        <v>40013_1</v>
      </c>
      <c r="D5" s="106" t="str">
        <f>VLOOKUP(C5,[2]stages!$A:$AE,31,FALSE)</f>
        <v>everyone</v>
      </c>
      <c r="E5" s="106">
        <v>4</v>
      </c>
      <c r="F5" s="106" t="s">
        <v>337</v>
      </c>
      <c r="G5" s="106">
        <v>334</v>
      </c>
      <c r="H5" s="106">
        <v>1</v>
      </c>
      <c r="I5" s="106">
        <v>1</v>
      </c>
      <c r="J5" s="106">
        <v>1</v>
      </c>
      <c r="K5" s="106">
        <v>0</v>
      </c>
      <c r="L5" s="106">
        <v>0</v>
      </c>
      <c r="M5" s="106">
        <v>0</v>
      </c>
      <c r="N5" s="106">
        <v>0</v>
      </c>
      <c r="O5" s="106">
        <v>1</v>
      </c>
      <c r="P5" s="106">
        <v>112</v>
      </c>
      <c r="Q5" s="106" t="s">
        <v>170</v>
      </c>
      <c r="R5" s="106" t="s">
        <v>171</v>
      </c>
    </row>
    <row r="6" spans="1:18">
      <c r="A6" s="106">
        <v>40013</v>
      </c>
      <c r="B6" s="106">
        <v>1</v>
      </c>
      <c r="C6" s="106" t="str">
        <f t="shared" si="0"/>
        <v>40013_1</v>
      </c>
      <c r="D6" s="106" t="str">
        <f>VLOOKUP(C6,[2]stages!$A:$AE,31,FALSE)</f>
        <v>everyone</v>
      </c>
      <c r="E6" s="106">
        <v>5</v>
      </c>
      <c r="F6" s="106" t="s">
        <v>337</v>
      </c>
      <c r="G6" s="106">
        <v>121</v>
      </c>
      <c r="H6" s="106">
        <v>1</v>
      </c>
      <c r="I6" s="106">
        <v>1</v>
      </c>
      <c r="J6" s="106">
        <v>1</v>
      </c>
      <c r="K6" s="106">
        <v>0</v>
      </c>
      <c r="L6" s="106">
        <v>0</v>
      </c>
      <c r="M6" s="106">
        <v>0</v>
      </c>
      <c r="N6" s="106">
        <v>0</v>
      </c>
      <c r="O6" s="106">
        <v>1</v>
      </c>
      <c r="P6" s="106">
        <v>50</v>
      </c>
      <c r="Q6" s="106" t="s">
        <v>170</v>
      </c>
      <c r="R6" s="106" t="s">
        <v>171</v>
      </c>
    </row>
    <row r="7" spans="1:18">
      <c r="A7" s="106">
        <v>40013</v>
      </c>
      <c r="B7" s="106">
        <v>1</v>
      </c>
      <c r="C7" s="106" t="str">
        <f t="shared" si="0"/>
        <v>40013_1</v>
      </c>
      <c r="D7" s="106" t="str">
        <f>VLOOKUP(C7,[2]stages!$A:$AE,31,FALSE)</f>
        <v>everyone</v>
      </c>
      <c r="E7" s="106">
        <v>6</v>
      </c>
      <c r="F7" s="106" t="s">
        <v>337</v>
      </c>
      <c r="G7" s="106">
        <v>122</v>
      </c>
      <c r="H7" s="106">
        <v>1</v>
      </c>
      <c r="I7" s="106">
        <v>1</v>
      </c>
      <c r="J7" s="106">
        <v>1</v>
      </c>
      <c r="K7" s="106">
        <v>0</v>
      </c>
      <c r="L7" s="106">
        <v>0</v>
      </c>
      <c r="M7" s="106">
        <v>0</v>
      </c>
      <c r="N7" s="106">
        <v>0</v>
      </c>
      <c r="O7" s="106">
        <v>1</v>
      </c>
      <c r="P7" s="106">
        <v>50</v>
      </c>
      <c r="Q7" s="106" t="s">
        <v>170</v>
      </c>
      <c r="R7" s="106" t="s">
        <v>171</v>
      </c>
    </row>
    <row r="8" spans="1:18">
      <c r="A8" s="106">
        <v>40013</v>
      </c>
      <c r="B8" s="106">
        <v>1</v>
      </c>
      <c r="C8" s="106" t="str">
        <f t="shared" si="0"/>
        <v>40013_1</v>
      </c>
      <c r="D8" s="106" t="str">
        <f>VLOOKUP(C8,[2]stages!$A:$AE,31,FALSE)</f>
        <v>everyone</v>
      </c>
      <c r="E8" s="106">
        <v>7</v>
      </c>
      <c r="F8" s="106" t="s">
        <v>336</v>
      </c>
      <c r="G8" s="106">
        <v>123</v>
      </c>
      <c r="H8" s="106">
        <v>1</v>
      </c>
      <c r="I8" s="106">
        <v>1</v>
      </c>
      <c r="J8" s="106">
        <v>1</v>
      </c>
      <c r="K8" s="106">
        <v>0</v>
      </c>
      <c r="L8" s="106">
        <v>0</v>
      </c>
      <c r="M8" s="106">
        <v>0</v>
      </c>
      <c r="N8" s="106">
        <v>0</v>
      </c>
      <c r="O8" s="106">
        <v>1</v>
      </c>
      <c r="P8" s="106">
        <v>50</v>
      </c>
      <c r="Q8" s="106" t="s">
        <v>170</v>
      </c>
      <c r="R8" s="106" t="s">
        <v>171</v>
      </c>
    </row>
    <row r="9" spans="1:18">
      <c r="A9" s="106">
        <v>40013</v>
      </c>
      <c r="B9" s="106">
        <v>1</v>
      </c>
      <c r="C9" s="106" t="str">
        <f t="shared" si="0"/>
        <v>40013_1</v>
      </c>
      <c r="D9" s="106" t="str">
        <f>VLOOKUP(C9,[2]stages!$A:$AE,31,FALSE)</f>
        <v>everyone</v>
      </c>
      <c r="E9" s="106">
        <v>8</v>
      </c>
      <c r="F9" s="106" t="s">
        <v>336</v>
      </c>
      <c r="G9" s="106">
        <v>125</v>
      </c>
      <c r="H9" s="106">
        <v>1</v>
      </c>
      <c r="I9" s="106">
        <v>1</v>
      </c>
      <c r="J9" s="106">
        <v>1</v>
      </c>
      <c r="K9" s="106">
        <v>0</v>
      </c>
      <c r="L9" s="106">
        <v>0</v>
      </c>
      <c r="M9" s="106">
        <v>0</v>
      </c>
      <c r="N9" s="106">
        <v>0</v>
      </c>
      <c r="O9" s="106">
        <v>1</v>
      </c>
      <c r="P9" s="106">
        <v>10</v>
      </c>
      <c r="Q9" s="106" t="s">
        <v>170</v>
      </c>
      <c r="R9" s="106" t="s">
        <v>171</v>
      </c>
    </row>
    <row r="10" spans="1:18">
      <c r="A10" s="106">
        <v>40013</v>
      </c>
      <c r="B10" s="106">
        <v>1</v>
      </c>
      <c r="C10" s="106" t="str">
        <f t="shared" si="0"/>
        <v>40013_1</v>
      </c>
      <c r="D10" s="106" t="str">
        <f>VLOOKUP(C10,[2]stages!$A:$AE,31,FALSE)</f>
        <v>everyone</v>
      </c>
      <c r="E10" s="106">
        <v>9</v>
      </c>
      <c r="F10" s="106" t="s">
        <v>336</v>
      </c>
      <c r="G10" s="107">
        <v>642</v>
      </c>
      <c r="H10" s="106">
        <v>1</v>
      </c>
      <c r="I10" s="106">
        <v>1</v>
      </c>
      <c r="J10" s="106">
        <v>1</v>
      </c>
      <c r="K10" s="106">
        <v>0</v>
      </c>
      <c r="L10" s="106">
        <v>0</v>
      </c>
      <c r="M10" s="106">
        <v>0</v>
      </c>
      <c r="N10" s="106">
        <v>0</v>
      </c>
      <c r="O10" s="106">
        <v>1</v>
      </c>
      <c r="P10" s="106">
        <v>250</v>
      </c>
      <c r="Q10" s="106" t="s">
        <v>170</v>
      </c>
      <c r="R10" s="106" t="s">
        <v>171</v>
      </c>
    </row>
    <row r="11" spans="1:18">
      <c r="A11" s="106">
        <v>40013</v>
      </c>
      <c r="B11" s="106">
        <v>1</v>
      </c>
      <c r="C11" s="106" t="str">
        <f t="shared" si="0"/>
        <v>40013_1</v>
      </c>
      <c r="D11" s="106" t="str">
        <f>VLOOKUP(C11,[2]stages!$A:$AE,31,FALSE)</f>
        <v>everyone</v>
      </c>
      <c r="E11" s="106">
        <v>10</v>
      </c>
      <c r="F11" s="106" t="s">
        <v>336</v>
      </c>
      <c r="G11" s="106">
        <v>348</v>
      </c>
      <c r="H11" s="106">
        <v>1</v>
      </c>
      <c r="I11" s="106">
        <v>1</v>
      </c>
      <c r="J11" s="106">
        <v>1</v>
      </c>
      <c r="K11" s="106">
        <v>0</v>
      </c>
      <c r="L11" s="106">
        <v>0</v>
      </c>
      <c r="M11" s="106">
        <v>0</v>
      </c>
      <c r="N11" s="106">
        <v>0</v>
      </c>
      <c r="O11" s="106">
        <v>1</v>
      </c>
      <c r="P11" s="106">
        <v>150</v>
      </c>
      <c r="Q11" s="106" t="s">
        <v>170</v>
      </c>
      <c r="R11" s="106" t="s">
        <v>171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H22" sqref="H22"/>
    </sheetView>
  </sheetViews>
  <sheetFormatPr baseColWidth="12" defaultColWidth="13" defaultRowHeight="18" outlineLevelCol="1" x14ac:dyDescent="0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3" t="s">
        <v>188</v>
      </c>
      <c r="B1" s="69" t="s">
        <v>189</v>
      </c>
      <c r="C1" s="74" t="s">
        <v>190</v>
      </c>
      <c r="D1" s="74" t="s">
        <v>33</v>
      </c>
      <c r="E1" s="69" t="s">
        <v>191</v>
      </c>
      <c r="F1" s="74" t="s">
        <v>192</v>
      </c>
      <c r="G1" s="74" t="s">
        <v>33</v>
      </c>
      <c r="H1" s="69" t="s">
        <v>193</v>
      </c>
      <c r="I1" s="88" t="s">
        <v>195</v>
      </c>
      <c r="J1" s="76" t="s">
        <v>127</v>
      </c>
      <c r="K1" s="75" t="s">
        <v>187</v>
      </c>
      <c r="L1" s="89" t="s">
        <v>186</v>
      </c>
      <c r="M1" s="77" t="s">
        <v>196</v>
      </c>
    </row>
    <row r="2" spans="1:13">
      <c r="A2" s="78" t="s">
        <v>201</v>
      </c>
      <c r="B2" s="79">
        <f>floors!$C$2</f>
        <v>40013</v>
      </c>
      <c r="C2" s="80" t="str">
        <f ca="1">VLOOKUP($B2,OFFSET([2]quests!$A$1,0,0,COUNTA([2]quests!$A:$A),MATCH(C$1,[2]quests!$1:$1,0)-MATCH($B$1,[2]quests!$1:$1,0)+1),MATCH(C$1,[2]quests!$1:$1,0)-MATCH($B$1,[2]quests!$1:$1,0)+1,FALSE)</f>
        <v>カーマ襲来！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降臨13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降臨13</v>
      </c>
      <c r="H2" s="82">
        <v>0</v>
      </c>
      <c r="I2">
        <v>12</v>
      </c>
      <c r="J2" s="81" t="s">
        <v>198</v>
      </c>
      <c r="K2" s="90" t="str">
        <f>VLOOKUP(I2,[7]stage_hints!$A:$C,3,FALSE)</f>
        <v>ユニットのお気に入り登録</v>
      </c>
      <c r="L2" s="91" t="str">
        <f>VLOOKUP(I2,[7]stage_hints!$A:$D,4,FALSE)</f>
        <v>大事なユニットを誤って消さないように_x000D_フォルダから「お気に入り登録」しましょう</v>
      </c>
      <c r="M2" s="57" t="s">
        <v>211</v>
      </c>
    </row>
    <row r="3" spans="1:13">
      <c r="A3" s="78" t="s">
        <v>201</v>
      </c>
      <c r="B3" s="79">
        <f>floors!$C$2</f>
        <v>40013</v>
      </c>
      <c r="C3" s="80" t="str">
        <f ca="1">VLOOKUP($B3,OFFSET([2]quests!$A$1,0,0,COUNTA([2]quests!$A:$A),MATCH(C$1,[2]quests!$1:$1,0)-MATCH($B$1,[2]quests!$1:$1,0)+1),MATCH(C$1,[2]quests!$1:$1,0)-MATCH($B$1,[2]quests!$1:$1,0)+1,FALSE)</f>
        <v>カーマ襲来！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降臨13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降臨13</v>
      </c>
      <c r="H3" s="82">
        <v>0</v>
      </c>
      <c r="I3">
        <v>17</v>
      </c>
      <c r="J3" s="81" t="s">
        <v>198</v>
      </c>
      <c r="K3" s="90" t="str">
        <f>VLOOKUP(I3,[7]stage_hints!$A:$C,3,FALSE)</f>
        <v>リンクガチャ</v>
      </c>
      <c r="L3" s="91" t="str">
        <f>VLOOKUP(I3,[7]stage_hints!$A:$D,4,FALSE)</f>
        <v>無料のリンクガチャを回して_x000D_経験値素材や売却素材を獲得しましょう</v>
      </c>
      <c r="M3" s="57" t="s">
        <v>211</v>
      </c>
    </row>
    <row r="4" spans="1:13">
      <c r="A4" s="78" t="s">
        <v>201</v>
      </c>
      <c r="B4" s="79">
        <f>floors!$C$2</f>
        <v>40013</v>
      </c>
      <c r="C4" s="80" t="str">
        <f ca="1">VLOOKUP($B4,OFFSET([2]quests!$A$1,0,0,COUNTA([2]quests!$A:$A),MATCH(C$1,[2]quests!$1:$1,0)-MATCH($B$1,[2]quests!$1:$1,0)+1),MATCH(C$1,[2]quests!$1:$1,0)-MATCH($B$1,[2]quests!$1:$1,0)+1,FALSE)</f>
        <v>カーマ襲来！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降臨13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降臨13</v>
      </c>
      <c r="H4" s="82">
        <v>0</v>
      </c>
      <c r="I4">
        <v>19</v>
      </c>
      <c r="J4" s="81" t="s">
        <v>198</v>
      </c>
      <c r="K4" s="90" t="str">
        <f>VLOOKUP(I4,[7]stage_hints!$A:$C,3,FALSE)</f>
        <v>ソロ専用チャレンジタワー</v>
      </c>
      <c r="L4" s="91" t="str">
        <f>VLOOKUP(I4,[7]stage_hints!$A:$D,4,FALSE)</f>
        <v>ソロ専用の「チャレンジタワー」では_x000D_各フロアごとにクリア報酬がもらえます</v>
      </c>
      <c r="M4" s="57" t="s">
        <v>211</v>
      </c>
    </row>
    <row r="5" spans="1:13">
      <c r="A5" s="78" t="s">
        <v>201</v>
      </c>
      <c r="B5" s="79">
        <f>floors!$C$2</f>
        <v>40013</v>
      </c>
      <c r="C5" s="80" t="str">
        <f ca="1">VLOOKUP($B5,OFFSET([2]quests!$A$1,0,0,COUNTA([2]quests!$A:$A),MATCH(C$1,[2]quests!$1:$1,0)-MATCH($B$1,[2]quests!$1:$1,0)+1),MATCH(C$1,[2]quests!$1:$1,0)-MATCH($B$1,[2]quests!$1:$1,0)+1,FALSE)</f>
        <v>カーマ襲来！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降臨13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降臨13</v>
      </c>
      <c r="H5" s="82">
        <v>0</v>
      </c>
      <c r="I5">
        <v>21</v>
      </c>
      <c r="J5" s="81" t="s">
        <v>198</v>
      </c>
      <c r="K5" s="90" t="str">
        <f>VLOOKUP(I5,[7]stage_hints!$A:$C,3,FALSE)</f>
        <v>スキルを有効に</v>
      </c>
      <c r="L5" s="91" t="str">
        <f>VLOOKUP(I5,[7]stage_hints!$A:$D,4,FALSE)</f>
        <v>ターン経過でユニットのスキルが使えます_x000D_強力スキルでバトルを有利に進めましょう</v>
      </c>
      <c r="M5" s="57" t="s">
        <v>211</v>
      </c>
    </row>
    <row r="6" spans="1:13">
      <c r="A6" s="78" t="s">
        <v>201</v>
      </c>
      <c r="B6" s="79">
        <f>floors!$C$2</f>
        <v>40013</v>
      </c>
      <c r="C6" s="80" t="str">
        <f ca="1">VLOOKUP($B6,OFFSET([2]quests!$A$1,0,0,COUNTA([2]quests!$A:$A),MATCH(C$1,[2]quests!$1:$1,0)-MATCH($B$1,[2]quests!$1:$1,0)+1),MATCH(C$1,[2]quests!$1:$1,0)-MATCH($B$1,[2]quests!$1:$1,0)+1,FALSE)</f>
        <v>カーマ襲来！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降臨13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降臨13</v>
      </c>
      <c r="H6" s="82">
        <v>0</v>
      </c>
      <c r="I6">
        <v>29</v>
      </c>
      <c r="J6" s="81" t="s">
        <v>198</v>
      </c>
      <c r="K6" s="90" t="str">
        <f>VLOOKUP(I6,[7]stage_hints!$A:$C,3,FALSE)</f>
        <v>「バグ」のメリット</v>
      </c>
      <c r="L6" s="91" t="str">
        <f>VLOOKUP(I6,[7]stage_hints!$A:$D,4,FALSE)</f>
        <v>ユニットの「バグ」を増やすと_x000D_報酬をもらえる確率がアップします</v>
      </c>
      <c r="M6" s="57" t="s">
        <v>211</v>
      </c>
    </row>
    <row r="7" spans="1:13">
      <c r="A7" s="78" t="s">
        <v>201</v>
      </c>
      <c r="B7" s="79">
        <f>floors!$C$2</f>
        <v>40013</v>
      </c>
      <c r="C7" s="80" t="str">
        <f ca="1">VLOOKUP($B7,OFFSET([2]quests!$A$1,0,0,COUNTA([2]quests!$A:$A),MATCH(C$1,[2]quests!$1:$1,0)-MATCH($B$1,[2]quests!$1:$1,0)+1),MATCH(C$1,[2]quests!$1:$1,0)-MATCH($B$1,[2]quests!$1:$1,0)+1,FALSE)</f>
        <v>カーマ襲来！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降臨13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降臨13</v>
      </c>
      <c r="H7" s="82">
        <v>0</v>
      </c>
      <c r="I7">
        <v>30</v>
      </c>
      <c r="J7" s="81" t="s">
        <v>198</v>
      </c>
      <c r="K7" s="90" t="str">
        <f>VLOOKUP(I7,[7]stage_hints!$A:$C,3,FALSE)</f>
        <v>「バグ」の増やし方</v>
      </c>
      <c r="L7" s="91" t="str">
        <f>VLOOKUP(I7,[7]stage_hints!$A:$D,4,FALSE)</f>
        <v>同じユニット同士を強化で合成すると_x000D_「バグ」を増やすことができます</v>
      </c>
      <c r="M7" s="57" t="s">
        <v>211</v>
      </c>
    </row>
    <row r="8" spans="1:13">
      <c r="A8" s="78" t="s">
        <v>201</v>
      </c>
      <c r="B8" s="79">
        <f>floors!$C$2</f>
        <v>40013</v>
      </c>
      <c r="C8" s="80" t="str">
        <f ca="1">VLOOKUP($B8,OFFSET([2]quests!$A$1,0,0,COUNTA([2]quests!$A:$A),MATCH(C$1,[2]quests!$1:$1,0)-MATCH($B$1,[2]quests!$1:$1,0)+1),MATCH(C$1,[2]quests!$1:$1,0)-MATCH($B$1,[2]quests!$1:$1,0)+1,FALSE)</f>
        <v>カーマ襲来！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降臨13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降臨13</v>
      </c>
      <c r="H8" s="82">
        <v>0</v>
      </c>
      <c r="I8">
        <v>32</v>
      </c>
      <c r="J8" s="81" t="s">
        <v>198</v>
      </c>
      <c r="K8" s="90" t="str">
        <f>VLOOKUP(I8,[7]stage_hints!$A:$C,3,FALSE)</f>
        <v>敵の連続攻撃には</v>
      </c>
      <c r="L8" s="91" t="str">
        <f>VLOOKUP(I8,[7]stage_hints!$A:$D,4,FALSE)</f>
        <v>カウンタースキルを持つユニットがいれば_x000D_ダメージ回数分の反撃ができます</v>
      </c>
      <c r="M8" s="57" t="s">
        <v>211</v>
      </c>
    </row>
    <row r="9" spans="1:13">
      <c r="A9" s="78" t="s">
        <v>201</v>
      </c>
      <c r="B9" s="79">
        <f>floors!$C$2</f>
        <v>40013</v>
      </c>
      <c r="C9" s="80" t="str">
        <f ca="1">VLOOKUP($B9,OFFSET([2]quests!$A$1,0,0,COUNTA([2]quests!$A:$A),MATCH(C$1,[2]quests!$1:$1,0)-MATCH($B$1,[2]quests!$1:$1,0)+1),MATCH(C$1,[2]quests!$1:$1,0)-MATCH($B$1,[2]quests!$1:$1,0)+1,FALSE)</f>
        <v>カーマ襲来！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降臨13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降臨13</v>
      </c>
      <c r="H9" s="82">
        <v>0</v>
      </c>
      <c r="I9">
        <v>33</v>
      </c>
      <c r="J9" s="81" t="s">
        <v>198</v>
      </c>
      <c r="K9" s="90" t="str">
        <f>VLOOKUP(I9,[7]stage_hints!$A:$C,3,FALSE)</f>
        <v>敵のカウンター攻撃には</v>
      </c>
      <c r="L9" s="91" t="str">
        <f>VLOOKUP(I9,[7]stage_hints!$A:$D,4,FALSE)</f>
        <v>カウンターブレイクスキルを持っていれば_x000D_敵のカウンターを解除して攻撃ができます</v>
      </c>
      <c r="M9" s="57" t="s">
        <v>211</v>
      </c>
    </row>
    <row r="10" spans="1:13">
      <c r="A10" s="78" t="s">
        <v>201</v>
      </c>
      <c r="B10" s="79">
        <f>floors!$C$2</f>
        <v>40013</v>
      </c>
      <c r="C10" s="80" t="str">
        <f ca="1">VLOOKUP($B10,OFFSET([2]quests!$A$1,0,0,COUNTA([2]quests!$A:$A),MATCH(C$1,[2]quests!$1:$1,0)-MATCH($B$1,[2]quests!$1:$1,0)+1),MATCH(C$1,[2]quests!$1:$1,0)-MATCH($B$1,[2]quests!$1:$1,0)+1,FALSE)</f>
        <v>カーマ襲来！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降臨13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降臨13</v>
      </c>
      <c r="H10" s="82">
        <v>0</v>
      </c>
      <c r="I10">
        <v>34</v>
      </c>
      <c r="J10" s="81" t="s">
        <v>198</v>
      </c>
      <c r="K10" s="90" t="str">
        <f>VLOOKUP(I10,[7]stage_hints!$A:$C,3,FALSE)</f>
        <v>ステータスをスキルで下げられたら</v>
      </c>
      <c r="L10" s="91" t="str">
        <f>VLOOKUP(I10,[7]stage_hints!$A:$D,4,FALSE)</f>
        <v>ステータスダウンのスキルを受けたら_x000D_ステータスアップスキルで上書きしましょう</v>
      </c>
      <c r="M10" s="57" t="s">
        <v>211</v>
      </c>
    </row>
    <row r="11" spans="1:13">
      <c r="A11" s="78" t="s">
        <v>201</v>
      </c>
      <c r="B11" s="79">
        <f>floors!$C$2</f>
        <v>40013</v>
      </c>
      <c r="C11" s="80" t="str">
        <f ca="1">VLOOKUP($B11,OFFSET([2]quests!$A$1,0,0,COUNTA([2]quests!$A:$A),MATCH(C$1,[2]quests!$1:$1,0)-MATCH($B$1,[2]quests!$1:$1,0)+1),MATCH(C$1,[2]quests!$1:$1,0)-MATCH($B$1,[2]quests!$1:$1,0)+1,FALSE)</f>
        <v>カーマ襲来！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降臨13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降臨13</v>
      </c>
      <c r="H11" s="82">
        <v>0</v>
      </c>
      <c r="I11">
        <v>35</v>
      </c>
      <c r="J11" s="81" t="s">
        <v>198</v>
      </c>
      <c r="K11" s="90" t="str">
        <f>VLOOKUP(I11,[7]stage_hints!$A:$C,3,FALSE)</f>
        <v>敵のステータスがスキルで上がったら</v>
      </c>
      <c r="L11" s="91" t="str">
        <f>VLOOKUP(I11,[7]stage_hints!$A:$D,4,FALSE)</f>
        <v>敵のステータスがスキルでアップしたときは_x000D_ステータスダウンスキルで上書きしましょう</v>
      </c>
      <c r="M11" s="57" t="s">
        <v>211</v>
      </c>
    </row>
    <row r="12" spans="1:13">
      <c r="A12" s="78" t="s">
        <v>201</v>
      </c>
      <c r="B12" s="79">
        <f>floors!$C$2</f>
        <v>40013</v>
      </c>
      <c r="C12" s="80" t="str">
        <f ca="1">VLOOKUP($B12,OFFSET([2]quests!$A$1,0,0,COUNTA([2]quests!$A:$A),MATCH(C$1,[2]quests!$1:$1,0)-MATCH($B$1,[2]quests!$1:$1,0)+1),MATCH(C$1,[2]quests!$1:$1,0)-MATCH($B$1,[2]quests!$1:$1,0)+1,FALSE)</f>
        <v>カーマ襲来！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降臨13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降臨13</v>
      </c>
      <c r="H12" s="82">
        <v>0</v>
      </c>
      <c r="I12">
        <v>36</v>
      </c>
      <c r="J12" s="81" t="s">
        <v>198</v>
      </c>
      <c r="K12" s="90" t="str">
        <f>VLOOKUP(I12,[7]stage_hints!$A:$C,3,FALSE)</f>
        <v>チャレンジタワーのボス</v>
      </c>
      <c r="L12" s="91" t="str">
        <f>VLOOKUP(I12,[7]stage_hints!$A:$D,4,FALSE)</f>
        <v>チャレンジタワーでのみ登場するボスは_x000D_一定確率で獲得することができます</v>
      </c>
      <c r="M12" s="57" t="s">
        <v>211</v>
      </c>
    </row>
    <row r="13" spans="1:13">
      <c r="A13" s="78" t="s">
        <v>201</v>
      </c>
      <c r="B13" s="79">
        <f>floors!$C$2</f>
        <v>40013</v>
      </c>
      <c r="C13" s="80" t="str">
        <f ca="1">VLOOKUP($B13,OFFSET([2]quests!$A$1,0,0,COUNTA([2]quests!$A:$A),MATCH(C$1,[2]quests!$1:$1,0)-MATCH($B$1,[2]quests!$1:$1,0)+1),MATCH(C$1,[2]quests!$1:$1,0)-MATCH($B$1,[2]quests!$1:$1,0)+1,FALSE)</f>
        <v>カーマ襲来！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降臨13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降臨13</v>
      </c>
      <c r="H13" s="82">
        <v>0</v>
      </c>
      <c r="I13">
        <v>37</v>
      </c>
      <c r="J13" s="81" t="s">
        <v>198</v>
      </c>
      <c r="K13" s="90" t="str">
        <f>VLOOKUP(I13,[7]stage_hints!$A:$C,3,FALSE)</f>
        <v>限界突破値の引き継ぎ</v>
      </c>
      <c r="L13" s="91" t="str">
        <f>VLOOKUP(I13,[7]stage_hints!$A:$D,4,FALSE)</f>
        <v>同じユニットを強化で合成すると_x000D_限界突破値を引き継げます（覚醒前後も可）</v>
      </c>
      <c r="M13" s="57" t="s">
        <v>211</v>
      </c>
    </row>
    <row r="14" spans="1:13">
      <c r="A14" s="78" t="s">
        <v>201</v>
      </c>
      <c r="B14" s="79">
        <f>floors!$C$2</f>
        <v>40013</v>
      </c>
      <c r="C14" s="80" t="str">
        <f ca="1">VLOOKUP($B14,OFFSET([2]quests!$A$1,0,0,COUNTA([2]quests!$A:$A),MATCH(C$1,[2]quests!$1:$1,0)-MATCH($B$1,[2]quests!$1:$1,0)+1),MATCH(C$1,[2]quests!$1:$1,0)-MATCH($B$1,[2]quests!$1:$1,0)+1,FALSE)</f>
        <v>カーマ襲来！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降臨13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降臨13</v>
      </c>
      <c r="H14" s="82">
        <v>0</v>
      </c>
      <c r="I14">
        <v>39</v>
      </c>
      <c r="J14" s="81" t="s">
        <v>198</v>
      </c>
      <c r="K14" s="90" t="str">
        <f>VLOOKUP(I14,[7]stage_hints!$A:$C,3,FALSE)</f>
        <v>システム適合者を確認</v>
      </c>
      <c r="L14" s="91" t="str">
        <f>VLOOKUP(I14,[7]stage_hints!$A:$D,4,FALSE)</f>
        <v>ALICEが「アナタ」を呼んでいます</v>
      </c>
      <c r="M14" s="57" t="s">
        <v>211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7"/>
  <sheetViews>
    <sheetView showGridLines="0" zoomScale="125" zoomScaleNormal="125" zoomScalePageLayoutView="125" workbookViewId="0">
      <pane ySplit="1" topLeftCell="A2" activePane="bottomLeft" state="frozen"/>
      <selection pane="bottomLeft" activeCell="L16" sqref="L16"/>
    </sheetView>
  </sheetViews>
  <sheetFormatPr baseColWidth="12" defaultColWidth="13" defaultRowHeight="18" outlineLevelCol="1" x14ac:dyDescent="0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3" t="s">
        <v>188</v>
      </c>
      <c r="B1" s="69" t="s">
        <v>151</v>
      </c>
      <c r="C1" s="74" t="s">
        <v>190</v>
      </c>
      <c r="D1" s="74" t="s">
        <v>33</v>
      </c>
      <c r="E1" s="69" t="s">
        <v>191</v>
      </c>
      <c r="F1" s="74" t="s">
        <v>18</v>
      </c>
      <c r="G1" s="74" t="s">
        <v>33</v>
      </c>
      <c r="H1" s="69" t="s">
        <v>193</v>
      </c>
      <c r="I1" s="86" t="s">
        <v>194</v>
      </c>
      <c r="J1" s="88" t="s">
        <v>195</v>
      </c>
      <c r="K1" s="76" t="s">
        <v>127</v>
      </c>
      <c r="L1" s="75" t="s">
        <v>187</v>
      </c>
      <c r="M1" s="89" t="s">
        <v>186</v>
      </c>
      <c r="N1" s="77" t="s">
        <v>196</v>
      </c>
    </row>
    <row r="2" spans="1:14" ht="29">
      <c r="A2" s="78" t="s">
        <v>197</v>
      </c>
      <c r="B2" s="79">
        <f>floors!$C$2</f>
        <v>40013</v>
      </c>
      <c r="C2" s="80" t="str">
        <f ca="1">VLOOKUP($B2,OFFSET([2]quests!$A$1,0,0,COUNTA([2]quests!$A:$A),MATCH(C$1,[2]quests!$1:$1,0)-MATCH($B$1,[2]quests!$1:$1,0)+1),MATCH(C$1,[2]quests!$1:$1,0)-MATCH($B$1,[2]quests!$1:$1,0)+1,FALSE)</f>
        <v>カーマ襲来！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降臨13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降臨13</v>
      </c>
      <c r="H2" s="82">
        <v>1</v>
      </c>
      <c r="I2" s="87">
        <f>ROW()-1</f>
        <v>1</v>
      </c>
      <c r="J2" s="83" t="str">
        <f>B2&amp;TEXT(I2,"00")</f>
        <v>4001301</v>
      </c>
      <c r="K2" s="81" t="s">
        <v>198</v>
      </c>
      <c r="L2" s="84" t="s">
        <v>199</v>
      </c>
      <c r="M2" s="101" t="s">
        <v>325</v>
      </c>
      <c r="N2" s="57" t="s">
        <v>200</v>
      </c>
    </row>
    <row r="3" spans="1:14" ht="29">
      <c r="A3" s="78" t="s">
        <v>197</v>
      </c>
      <c r="B3" s="79">
        <f>floors!$C$2</f>
        <v>40013</v>
      </c>
      <c r="C3" s="80" t="str">
        <f ca="1">VLOOKUP($B3,OFFSET([2]quests!$A$1,0,0,COUNTA([2]quests!$A:$A),MATCH(C$1,[2]quests!$1:$1,0)-MATCH($B$1,[2]quests!$1:$1,0)+1),MATCH(C$1,[2]quests!$1:$1,0)-MATCH($B$1,[2]quests!$1:$1,0)+1,FALSE)</f>
        <v>カーマ襲来！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降臨13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降臨13</v>
      </c>
      <c r="H3" s="82">
        <v>1</v>
      </c>
      <c r="I3" s="87">
        <f t="shared" ref="I3:I7" si="0">ROW()-1</f>
        <v>2</v>
      </c>
      <c r="J3" s="83" t="str">
        <f t="shared" ref="J3:J6" si="1">B3&amp;TEXT(I3,"00")</f>
        <v>4001302</v>
      </c>
      <c r="K3" s="81" t="s">
        <v>128</v>
      </c>
      <c r="L3" s="84" t="s">
        <v>199</v>
      </c>
      <c r="M3" s="101" t="s">
        <v>340</v>
      </c>
      <c r="N3" s="57" t="s">
        <v>200</v>
      </c>
    </row>
    <row r="4" spans="1:14" ht="42">
      <c r="A4" s="78" t="s">
        <v>197</v>
      </c>
      <c r="B4" s="79">
        <f>floors!$C$2</f>
        <v>40013</v>
      </c>
      <c r="C4" s="80" t="str">
        <f ca="1">VLOOKUP($B4,OFFSET([2]quests!$A$1,0,0,COUNTA([2]quests!$A:$A),MATCH(C$1,[2]quests!$1:$1,0)-MATCH($B$1,[2]quests!$1:$1,0)+1),MATCH(C$1,[2]quests!$1:$1,0)-MATCH($B$1,[2]quests!$1:$1,0)+1,FALSE)</f>
        <v>カーマ襲来！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降臨13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降臨13</v>
      </c>
      <c r="H4" s="82">
        <v>2</v>
      </c>
      <c r="I4" s="87">
        <f t="shared" si="0"/>
        <v>3</v>
      </c>
      <c r="J4" s="83" t="str">
        <f t="shared" si="1"/>
        <v>4001303</v>
      </c>
      <c r="K4" s="81" t="s">
        <v>128</v>
      </c>
      <c r="L4" s="84" t="s">
        <v>199</v>
      </c>
      <c r="M4" s="101" t="s">
        <v>328</v>
      </c>
      <c r="N4" s="57" t="s">
        <v>200</v>
      </c>
    </row>
    <row r="5" spans="1:14" ht="29">
      <c r="A5" s="78" t="s">
        <v>197</v>
      </c>
      <c r="B5" s="79">
        <f>floors!$C$2</f>
        <v>40013</v>
      </c>
      <c r="C5" s="80" t="str">
        <f ca="1">VLOOKUP($B5,OFFSET([2]quests!$A$1,0,0,COUNTA([2]quests!$A:$A),MATCH(C$1,[2]quests!$1:$1,0)-MATCH($B$1,[2]quests!$1:$1,0)+1),MATCH(C$1,[2]quests!$1:$1,0)-MATCH($B$1,[2]quests!$1:$1,0)+1,FALSE)</f>
        <v>カーマ襲来！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降臨13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降臨13</v>
      </c>
      <c r="H5" s="82">
        <v>2</v>
      </c>
      <c r="I5" s="87">
        <f t="shared" si="0"/>
        <v>4</v>
      </c>
      <c r="J5" s="83" t="str">
        <f t="shared" si="1"/>
        <v>4001304</v>
      </c>
      <c r="K5" s="81" t="s">
        <v>128</v>
      </c>
      <c r="L5" s="84" t="s">
        <v>199</v>
      </c>
      <c r="M5" s="101" t="s">
        <v>329</v>
      </c>
      <c r="N5" s="57" t="s">
        <v>200</v>
      </c>
    </row>
    <row r="6" spans="1:14" ht="42">
      <c r="A6" s="78" t="s">
        <v>197</v>
      </c>
      <c r="B6" s="79">
        <f>floors!$C$2</f>
        <v>40013</v>
      </c>
      <c r="C6" s="80" t="str">
        <f ca="1">VLOOKUP($B6,OFFSET([2]quests!$A$1,0,0,COUNTA([2]quests!$A:$A),MATCH(C$1,[2]quests!$1:$1,0)-MATCH($B$1,[2]quests!$1:$1,0)+1),MATCH(C$1,[2]quests!$1:$1,0)-MATCH($B$1,[2]quests!$1:$1,0)+1,FALSE)</f>
        <v>カーマ襲来！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降臨13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降臨13</v>
      </c>
      <c r="H6" s="82">
        <v>3</v>
      </c>
      <c r="I6" s="87">
        <f t="shared" si="0"/>
        <v>5</v>
      </c>
      <c r="J6" s="83" t="str">
        <f t="shared" si="1"/>
        <v>4001305</v>
      </c>
      <c r="K6" s="81" t="s">
        <v>128</v>
      </c>
      <c r="L6" s="84" t="s">
        <v>199</v>
      </c>
      <c r="M6" s="101" t="s">
        <v>341</v>
      </c>
      <c r="N6" s="57" t="s">
        <v>200</v>
      </c>
    </row>
    <row r="7" spans="1:14" ht="42">
      <c r="A7" s="78" t="s">
        <v>197</v>
      </c>
      <c r="B7" s="79">
        <f>floors!$C$2</f>
        <v>40013</v>
      </c>
      <c r="C7" s="80" t="str">
        <f ca="1">VLOOKUP($B7,OFFSET([2]quests!$A$1,0,0,COUNTA([2]quests!$A:$A),MATCH(C$1,[2]quests!$1:$1,0)-MATCH($B$1,[2]quests!$1:$1,0)+1),MATCH(C$1,[2]quests!$1:$1,0)-MATCH($B$1,[2]quests!$1:$1,0)+1,FALSE)</f>
        <v>カーマ襲来！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降臨13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【ウィザード級】カーマ襲来 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降臨13</v>
      </c>
      <c r="H7" s="82">
        <v>3</v>
      </c>
      <c r="I7" s="87">
        <f t="shared" si="0"/>
        <v>6</v>
      </c>
      <c r="J7" s="83" t="str">
        <f t="shared" ref="J7" si="2">B7&amp;TEXT(I7,"00")</f>
        <v>4001306</v>
      </c>
      <c r="K7" s="81" t="s">
        <v>128</v>
      </c>
      <c r="L7" s="84" t="s">
        <v>199</v>
      </c>
      <c r="M7" s="101" t="s">
        <v>330</v>
      </c>
      <c r="N7" s="57" t="s">
        <v>200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>ワンダープラネット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吉澤 曜祐</dc:creator>
  <cp:lastModifiedBy>takigawa Mio</cp:lastModifiedBy>
  <dcterms:created xsi:type="dcterms:W3CDTF">2015-03-12T08:14:35Z</dcterms:created>
  <dcterms:modified xsi:type="dcterms:W3CDTF">2016-03-31T11:03:59Z</dcterms:modified>
</cp:coreProperties>
</file>