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32010" sheetId="157" r:id="rId4"/>
    <sheet name="tables_432010" sheetId="158" r:id="rId5"/>
    <sheet name="input_432100" sheetId="153" r:id="rId6"/>
    <sheet name="tables_432100" sheetId="154" r:id="rId7"/>
    <sheet name="tables_settle_432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tables_432010!$A$1:$V$294</definedName>
    <definedName name="_xlnm._FilterDatabase" localSheetId="6" hidden="1">tables_432100!$A$1:$V$294</definedName>
    <definedName name="_xlnm._FilterDatabase" localSheetId="7" hidden="1">tables_settle_432105!$A$1:$V$4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O138" i="154"/>
  <c r="O2" i="154"/>
  <c r="O3" i="154"/>
  <c r="O10" i="154"/>
  <c r="O11" i="154"/>
  <c r="O18" i="154"/>
  <c r="O19" i="154"/>
  <c r="O26" i="154"/>
  <c r="O27" i="154"/>
  <c r="O34" i="154"/>
  <c r="O35" i="154"/>
  <c r="O42" i="154"/>
  <c r="O43" i="154"/>
  <c r="O44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8" i="154"/>
  <c r="O279" i="154"/>
  <c r="O284" i="154"/>
  <c r="O290" i="154"/>
  <c r="O295" i="154"/>
  <c r="O300" i="154"/>
  <c r="O301" i="154"/>
  <c r="O305" i="154"/>
  <c r="O306" i="154"/>
  <c r="O314" i="154"/>
  <c r="O315" i="154"/>
  <c r="O323" i="154"/>
  <c r="O324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F49" i="153"/>
  <c r="G3" i="154"/>
  <c r="G4" i="154"/>
  <c r="G5" i="154"/>
  <c r="G6" i="154"/>
  <c r="G7" i="154"/>
  <c r="G8" i="154"/>
  <c r="G9" i="154"/>
  <c r="G10" i="154"/>
  <c r="G11" i="154"/>
  <c r="G12" i="154"/>
  <c r="G13" i="154"/>
  <c r="G14" i="154"/>
  <c r="G15" i="154"/>
  <c r="G16" i="154"/>
  <c r="G17" i="154"/>
  <c r="G18" i="154"/>
  <c r="G19" i="154"/>
  <c r="G20" i="154"/>
  <c r="G21" i="154"/>
  <c r="G22" i="154"/>
  <c r="G23" i="154"/>
  <c r="G24" i="154"/>
  <c r="G25" i="154"/>
  <c r="G26" i="154"/>
  <c r="G27" i="154"/>
  <c r="G28" i="154"/>
  <c r="G29" i="154"/>
  <c r="G30" i="154"/>
  <c r="G31" i="154"/>
  <c r="G32" i="154"/>
  <c r="G33" i="154"/>
  <c r="G34" i="154"/>
  <c r="G35" i="154"/>
  <c r="G36" i="154"/>
  <c r="G37" i="154"/>
  <c r="G38" i="154"/>
  <c r="G39" i="154"/>
  <c r="G40" i="154"/>
  <c r="G41" i="154"/>
  <c r="G42" i="154"/>
  <c r="G43" i="154"/>
  <c r="G44" i="154"/>
  <c r="G45" i="154"/>
  <c r="G46" i="154"/>
  <c r="G47" i="154"/>
  <c r="G48" i="154"/>
  <c r="G49" i="154"/>
  <c r="G50" i="154"/>
  <c r="G51" i="154"/>
  <c r="G52" i="154"/>
  <c r="G53" i="154"/>
  <c r="G54" i="154"/>
  <c r="G55" i="154"/>
  <c r="G56" i="154"/>
  <c r="G57" i="154"/>
  <c r="G58" i="154"/>
  <c r="G59" i="154"/>
  <c r="G60" i="154"/>
  <c r="G61" i="154"/>
  <c r="G62" i="154"/>
  <c r="G63" i="154"/>
  <c r="G64" i="154"/>
  <c r="G65" i="154"/>
  <c r="G66" i="154"/>
  <c r="G67" i="154"/>
  <c r="G68" i="154"/>
  <c r="G69" i="154"/>
  <c r="G70" i="154"/>
  <c r="G71" i="154"/>
  <c r="G72" i="154"/>
  <c r="G73" i="154"/>
  <c r="G74" i="154"/>
  <c r="G75" i="154"/>
  <c r="G76" i="154"/>
  <c r="G77" i="154"/>
  <c r="G78" i="154"/>
  <c r="G79" i="154"/>
  <c r="G80" i="154"/>
  <c r="G81" i="154"/>
  <c r="G82" i="154"/>
  <c r="G83" i="154"/>
  <c r="G84" i="154"/>
  <c r="G85" i="154"/>
  <c r="G86" i="154"/>
  <c r="G87" i="154"/>
  <c r="G88" i="154"/>
  <c r="G89" i="154"/>
  <c r="G90" i="154"/>
  <c r="G91" i="154"/>
  <c r="G92" i="154"/>
  <c r="G93" i="154"/>
  <c r="G94" i="154"/>
  <c r="G95" i="154"/>
  <c r="G96" i="154"/>
  <c r="G97" i="154"/>
  <c r="G98" i="154"/>
  <c r="G99" i="154"/>
  <c r="G100" i="154"/>
  <c r="G101" i="154"/>
  <c r="G102" i="154"/>
  <c r="G103" i="154"/>
  <c r="G104" i="154"/>
  <c r="G105" i="154"/>
  <c r="G106" i="154"/>
  <c r="G107" i="154"/>
  <c r="G108" i="154"/>
  <c r="G109" i="154"/>
  <c r="G110" i="154"/>
  <c r="G111" i="154"/>
  <c r="G112" i="154"/>
  <c r="G113" i="154"/>
  <c r="G114" i="154"/>
  <c r="G115" i="154"/>
  <c r="G116" i="154"/>
  <c r="G117" i="154"/>
  <c r="G118" i="154"/>
  <c r="G119" i="154"/>
  <c r="G120" i="154"/>
  <c r="G121" i="154"/>
  <c r="G122" i="154"/>
  <c r="G123" i="154"/>
  <c r="G124" i="154"/>
  <c r="G125" i="154"/>
  <c r="G126" i="154"/>
  <c r="G127" i="154"/>
  <c r="G128" i="154"/>
  <c r="G129" i="154"/>
  <c r="G130" i="154"/>
  <c r="G131" i="154"/>
  <c r="G132" i="154"/>
  <c r="G133" i="154"/>
  <c r="G134" i="154"/>
  <c r="G135" i="154"/>
  <c r="G136" i="154"/>
  <c r="G137" i="154"/>
  <c r="G138" i="154"/>
  <c r="G139" i="154"/>
  <c r="G140" i="154"/>
  <c r="G141" i="154"/>
  <c r="G142" i="154"/>
  <c r="G143" i="154"/>
  <c r="G144" i="154"/>
  <c r="G145" i="154"/>
  <c r="G146" i="154"/>
  <c r="G147" i="154"/>
  <c r="G148" i="154"/>
  <c r="G149" i="154"/>
  <c r="G150" i="154"/>
  <c r="G151" i="154"/>
  <c r="G152" i="154"/>
  <c r="G153" i="154"/>
  <c r="G154" i="154"/>
  <c r="G155" i="154"/>
  <c r="G156" i="154"/>
  <c r="G157" i="154"/>
  <c r="G158" i="154"/>
  <c r="G159" i="154"/>
  <c r="G160" i="154"/>
  <c r="G161" i="154"/>
  <c r="G162" i="154"/>
  <c r="G163" i="154"/>
  <c r="G164" i="154"/>
  <c r="G165" i="154"/>
  <c r="G166" i="154"/>
  <c r="G167" i="154"/>
  <c r="G168" i="154"/>
  <c r="G169" i="154"/>
  <c r="G170" i="154"/>
  <c r="G171" i="154"/>
  <c r="G172" i="154"/>
  <c r="G173" i="154"/>
  <c r="G174" i="154"/>
  <c r="G175" i="154"/>
  <c r="G176" i="154"/>
  <c r="G177" i="154"/>
  <c r="G178" i="154"/>
  <c r="G179" i="154"/>
  <c r="G180" i="154"/>
  <c r="G181" i="154"/>
  <c r="G182" i="154"/>
  <c r="G183" i="154"/>
  <c r="G184" i="154"/>
  <c r="G185" i="154"/>
  <c r="G186" i="154"/>
  <c r="G187" i="154"/>
  <c r="G188" i="154"/>
  <c r="G189" i="154"/>
  <c r="G190" i="154"/>
  <c r="G191" i="154"/>
  <c r="G192" i="154"/>
  <c r="G193" i="154"/>
  <c r="G194" i="154"/>
  <c r="G195" i="154"/>
  <c r="G196" i="154"/>
  <c r="G197" i="154"/>
  <c r="G198" i="154"/>
  <c r="G199" i="154"/>
  <c r="G200" i="154"/>
  <c r="G201" i="154"/>
  <c r="G202" i="154"/>
  <c r="G203" i="154"/>
  <c r="G204" i="154"/>
  <c r="G205" i="154"/>
  <c r="G206" i="154"/>
  <c r="G207" i="154"/>
  <c r="G208" i="154"/>
  <c r="G209" i="154"/>
  <c r="G210" i="154"/>
  <c r="G211" i="154"/>
  <c r="G212" i="154"/>
  <c r="G213" i="154"/>
  <c r="G214" i="154"/>
  <c r="G215" i="154"/>
  <c r="G216" i="154"/>
  <c r="G217" i="154"/>
  <c r="G218" i="154"/>
  <c r="G219" i="154"/>
  <c r="G220" i="154"/>
  <c r="G221" i="154"/>
  <c r="G222" i="154"/>
  <c r="G223" i="154"/>
  <c r="G224" i="154"/>
  <c r="G225" i="154"/>
  <c r="G226" i="154"/>
  <c r="G227" i="154"/>
  <c r="G228" i="154"/>
  <c r="G229" i="154"/>
  <c r="G230" i="154"/>
  <c r="G231" i="154"/>
  <c r="G232" i="154"/>
  <c r="G233" i="154"/>
  <c r="G234" i="154"/>
  <c r="G235" i="154"/>
  <c r="G236" i="154"/>
  <c r="G237" i="154"/>
  <c r="G238" i="154"/>
  <c r="G239" i="154"/>
  <c r="G240" i="154"/>
  <c r="G241" i="154"/>
  <c r="G242" i="154"/>
  <c r="G243" i="154"/>
  <c r="G244" i="154"/>
  <c r="G245" i="154"/>
  <c r="G246" i="154"/>
  <c r="G247" i="154"/>
  <c r="G248" i="154"/>
  <c r="G249" i="154"/>
  <c r="G250" i="154"/>
  <c r="G251" i="154"/>
  <c r="G252" i="154"/>
  <c r="G253" i="154"/>
  <c r="G254" i="154"/>
  <c r="G255" i="154"/>
  <c r="G256" i="154"/>
  <c r="G257" i="154"/>
  <c r="G258" i="154"/>
  <c r="G259" i="154"/>
  <c r="G260" i="154"/>
  <c r="G261" i="154"/>
  <c r="G262" i="154"/>
  <c r="G263" i="154"/>
  <c r="G264" i="154"/>
  <c r="G265" i="154"/>
  <c r="G266" i="154"/>
  <c r="G267" i="154"/>
  <c r="G268" i="154"/>
  <c r="G269" i="154"/>
  <c r="G270" i="154"/>
  <c r="G271" i="154"/>
  <c r="G272" i="154"/>
  <c r="G273" i="154"/>
  <c r="G274" i="154"/>
  <c r="G275" i="154"/>
  <c r="G276" i="154"/>
  <c r="G277" i="154"/>
  <c r="G278" i="154"/>
  <c r="G279" i="154"/>
  <c r="G280" i="154"/>
  <c r="G281" i="154"/>
  <c r="G282" i="154"/>
  <c r="G283" i="154"/>
  <c r="G284" i="154"/>
  <c r="G285" i="154"/>
  <c r="G286" i="154"/>
  <c r="G287" i="154"/>
  <c r="G288" i="154"/>
  <c r="G289" i="154"/>
  <c r="G290" i="154"/>
  <c r="G291" i="154"/>
  <c r="G292" i="154"/>
  <c r="G293" i="154"/>
  <c r="G294" i="154"/>
  <c r="G295" i="154"/>
  <c r="G296" i="154"/>
  <c r="G297" i="154"/>
  <c r="G298" i="154"/>
  <c r="G299" i="154"/>
  <c r="G300" i="154"/>
  <c r="G301" i="154"/>
  <c r="G302" i="154"/>
  <c r="G303" i="154"/>
  <c r="G304" i="154"/>
  <c r="G305" i="154"/>
  <c r="G306" i="154"/>
  <c r="G307" i="154"/>
  <c r="G308" i="154"/>
  <c r="G309" i="154"/>
  <c r="G310" i="154"/>
  <c r="G311" i="154"/>
  <c r="G312" i="154"/>
  <c r="G313" i="154"/>
  <c r="G314" i="154"/>
  <c r="G315" i="154"/>
  <c r="G316" i="154"/>
  <c r="G317" i="154"/>
  <c r="G318" i="154"/>
  <c r="G319" i="154"/>
  <c r="G320" i="154"/>
  <c r="G321" i="154"/>
  <c r="G322" i="154"/>
  <c r="G323" i="154"/>
  <c r="G324" i="154"/>
  <c r="G2" i="154"/>
  <c r="C2" i="154"/>
  <c r="C3" i="154"/>
  <c r="C4" i="154"/>
  <c r="C5" i="154"/>
  <c r="C6" i="154"/>
  <c r="C7" i="154"/>
  <c r="C8" i="154"/>
  <c r="C9" i="154"/>
  <c r="C10" i="154"/>
  <c r="C11" i="154"/>
  <c r="C12" i="154"/>
  <c r="C13" i="154"/>
  <c r="C14" i="154"/>
  <c r="C15" i="154"/>
  <c r="C16" i="154"/>
  <c r="C17" i="154"/>
  <c r="C18" i="154"/>
  <c r="C19" i="154"/>
  <c r="C20" i="154"/>
  <c r="C21" i="154"/>
  <c r="C22" i="154"/>
  <c r="C23" i="154"/>
  <c r="C24" i="154"/>
  <c r="C25" i="154"/>
  <c r="C26" i="154"/>
  <c r="C27" i="154"/>
  <c r="C28" i="154"/>
  <c r="C29" i="154"/>
  <c r="C30" i="154"/>
  <c r="C31" i="154"/>
  <c r="C32" i="154"/>
  <c r="C33" i="154"/>
  <c r="C34" i="154"/>
  <c r="C35" i="154"/>
  <c r="C36" i="154"/>
  <c r="C37" i="154"/>
  <c r="C38" i="154"/>
  <c r="C39" i="154"/>
  <c r="C40" i="154"/>
  <c r="C41" i="154"/>
  <c r="C42" i="154"/>
  <c r="C43" i="154"/>
  <c r="C44" i="154"/>
  <c r="C45" i="154"/>
  <c r="C46" i="154"/>
  <c r="C47" i="154"/>
  <c r="C48" i="154"/>
  <c r="C49" i="154"/>
  <c r="C50" i="154"/>
  <c r="C51" i="154"/>
  <c r="C52" i="154"/>
  <c r="C53" i="154"/>
  <c r="C54" i="154"/>
  <c r="C55" i="154"/>
  <c r="C56" i="154"/>
  <c r="C57" i="154"/>
  <c r="C58" i="154"/>
  <c r="C59" i="154"/>
  <c r="C60" i="154"/>
  <c r="C61" i="154"/>
  <c r="C62" i="154"/>
  <c r="C63" i="154"/>
  <c r="C64" i="154"/>
  <c r="C65" i="154"/>
  <c r="C66" i="154"/>
  <c r="C67" i="154"/>
  <c r="C68" i="154"/>
  <c r="C69" i="154"/>
  <c r="C70" i="154"/>
  <c r="C71" i="154"/>
  <c r="C72" i="154"/>
  <c r="C73" i="154"/>
  <c r="C74" i="154"/>
  <c r="C75" i="154"/>
  <c r="C76" i="154"/>
  <c r="C77" i="154"/>
  <c r="C78" i="154"/>
  <c r="C79" i="154"/>
  <c r="C80" i="154"/>
  <c r="C81" i="154"/>
  <c r="C82" i="154"/>
  <c r="C83" i="154"/>
  <c r="C84" i="154"/>
  <c r="C85" i="154"/>
  <c r="C86" i="154"/>
  <c r="C87" i="154"/>
  <c r="C88" i="154"/>
  <c r="C89" i="154"/>
  <c r="C90" i="154"/>
  <c r="C91" i="154"/>
  <c r="C92" i="154"/>
  <c r="C93" i="154"/>
  <c r="C94" i="154"/>
  <c r="C95" i="154"/>
  <c r="C96" i="154"/>
  <c r="C97" i="154"/>
  <c r="C98" i="154"/>
  <c r="C99" i="154"/>
  <c r="C100" i="154"/>
  <c r="C101" i="154"/>
  <c r="C102" i="154"/>
  <c r="C103" i="154"/>
  <c r="C104" i="154"/>
  <c r="C105" i="154"/>
  <c r="C106" i="154"/>
  <c r="C107" i="154"/>
  <c r="C108" i="154"/>
  <c r="C109" i="154"/>
  <c r="C110" i="154"/>
  <c r="C111" i="154"/>
  <c r="C112" i="154"/>
  <c r="C113" i="154"/>
  <c r="C114" i="154"/>
  <c r="C115" i="154"/>
  <c r="C116" i="154"/>
  <c r="C117" i="154"/>
  <c r="C118" i="154"/>
  <c r="C119" i="154"/>
  <c r="C120" i="154"/>
  <c r="C121" i="154"/>
  <c r="C122" i="154"/>
  <c r="C123" i="154"/>
  <c r="C124" i="154"/>
  <c r="C125" i="154"/>
  <c r="C126" i="154"/>
  <c r="C127" i="154"/>
  <c r="C128" i="154"/>
  <c r="C129" i="154"/>
  <c r="C130" i="154"/>
  <c r="C131" i="154"/>
  <c r="C132" i="154"/>
  <c r="C133" i="154"/>
  <c r="C134" i="154"/>
  <c r="C135" i="154"/>
  <c r="C136" i="154"/>
  <c r="C137" i="154"/>
  <c r="C138" i="154"/>
  <c r="C139" i="154"/>
  <c r="C140" i="154"/>
  <c r="C141" i="154"/>
  <c r="C142" i="154"/>
  <c r="C143" i="154"/>
  <c r="C144" i="154"/>
  <c r="C145" i="154"/>
  <c r="C146" i="154"/>
  <c r="C147" i="154"/>
  <c r="C148" i="154"/>
  <c r="C149" i="154"/>
  <c r="C150" i="154"/>
  <c r="C151" i="154"/>
  <c r="C152" i="154"/>
  <c r="C153" i="154"/>
  <c r="C154" i="154"/>
  <c r="C155" i="154"/>
  <c r="C156" i="154"/>
  <c r="C157" i="154"/>
  <c r="C158" i="154"/>
  <c r="C159" i="154"/>
  <c r="C160" i="154"/>
  <c r="C161" i="154"/>
  <c r="C162" i="154"/>
  <c r="C163" i="154"/>
  <c r="C164" i="154"/>
  <c r="C165" i="154"/>
  <c r="C166" i="154"/>
  <c r="C167" i="154"/>
  <c r="C168" i="154"/>
  <c r="C169" i="154"/>
  <c r="C170" i="154"/>
  <c r="C171" i="154"/>
  <c r="C172" i="154"/>
  <c r="C173" i="154"/>
  <c r="C174" i="154"/>
  <c r="C175" i="154"/>
  <c r="C176" i="154"/>
  <c r="C177" i="154"/>
  <c r="C178" i="154"/>
  <c r="C179" i="154"/>
  <c r="C180" i="154"/>
  <c r="C181" i="154"/>
  <c r="C182" i="154"/>
  <c r="C183" i="154"/>
  <c r="C184" i="154"/>
  <c r="C185" i="154"/>
  <c r="C186" i="154"/>
  <c r="C187" i="154"/>
  <c r="C188" i="154"/>
  <c r="C189" i="154"/>
  <c r="C190" i="154"/>
  <c r="C191" i="154"/>
  <c r="C192" i="154"/>
  <c r="C193" i="154"/>
  <c r="C194" i="154"/>
  <c r="C195" i="154"/>
  <c r="C196" i="154"/>
  <c r="C197" i="154"/>
  <c r="C198" i="154"/>
  <c r="C199" i="154"/>
  <c r="C200" i="154"/>
  <c r="C201" i="154"/>
  <c r="C202" i="154"/>
  <c r="C203" i="154"/>
  <c r="C204" i="154"/>
  <c r="C205" i="154"/>
  <c r="C206" i="154"/>
  <c r="C207" i="154"/>
  <c r="C208" i="154"/>
  <c r="C209" i="154"/>
  <c r="C210" i="154"/>
  <c r="C211" i="154"/>
  <c r="C212" i="154"/>
  <c r="C213" i="154"/>
  <c r="C214" i="154"/>
  <c r="C215" i="154"/>
  <c r="C216" i="154"/>
  <c r="C217" i="154"/>
  <c r="C218" i="154"/>
  <c r="C219" i="154"/>
  <c r="C220" i="154"/>
  <c r="C221" i="154"/>
  <c r="C222" i="154"/>
  <c r="C223" i="154"/>
  <c r="C224" i="154"/>
  <c r="C225" i="154"/>
  <c r="C226" i="154"/>
  <c r="C227" i="154"/>
  <c r="C228" i="154"/>
  <c r="C229" i="154"/>
  <c r="C230" i="154"/>
  <c r="C231" i="154"/>
  <c r="C232" i="154"/>
  <c r="C233" i="154"/>
  <c r="C234" i="154"/>
  <c r="C235" i="154"/>
  <c r="C236" i="154"/>
  <c r="C237" i="154"/>
  <c r="C238" i="154"/>
  <c r="C239" i="154"/>
  <c r="C240" i="154"/>
  <c r="C241" i="154"/>
  <c r="C242" i="154"/>
  <c r="C243" i="154"/>
  <c r="C244" i="154"/>
  <c r="C245" i="154"/>
  <c r="C246" i="154"/>
  <c r="C247" i="154"/>
  <c r="C248" i="154"/>
  <c r="C249" i="154"/>
  <c r="C250" i="154"/>
  <c r="C251" i="154"/>
  <c r="C252" i="154"/>
  <c r="C253" i="154"/>
  <c r="C254" i="154"/>
  <c r="C255" i="154"/>
  <c r="C256" i="154"/>
  <c r="C257" i="154"/>
  <c r="C258" i="154"/>
  <c r="C259" i="154"/>
  <c r="C260" i="154"/>
  <c r="C261" i="154"/>
  <c r="C262" i="154"/>
  <c r="C263" i="154"/>
  <c r="C264" i="154"/>
  <c r="C265" i="154"/>
  <c r="C266" i="154"/>
  <c r="C267" i="154"/>
  <c r="C268" i="154"/>
  <c r="C269" i="154"/>
  <c r="C270" i="154"/>
  <c r="C271" i="154"/>
  <c r="C272" i="154"/>
  <c r="C273" i="154"/>
  <c r="C274" i="154"/>
  <c r="C275" i="154"/>
  <c r="C276" i="154"/>
  <c r="C277" i="154"/>
  <c r="C278" i="154"/>
  <c r="C279" i="154"/>
  <c r="C280" i="154"/>
  <c r="C281" i="154"/>
  <c r="C282" i="154"/>
  <c r="C283" i="154"/>
  <c r="C284" i="154"/>
  <c r="C285" i="154"/>
  <c r="C286" i="154"/>
  <c r="C287" i="154"/>
  <c r="C288" i="154"/>
  <c r="C289" i="154"/>
  <c r="C290" i="154"/>
  <c r="C291" i="154"/>
  <c r="C292" i="154"/>
  <c r="C293" i="154"/>
  <c r="C294" i="154"/>
  <c r="C295" i="154"/>
  <c r="C296" i="154"/>
  <c r="C297" i="154"/>
  <c r="C298" i="154"/>
  <c r="C299" i="154"/>
  <c r="C300" i="154"/>
  <c r="C301" i="154"/>
  <c r="C302" i="154"/>
  <c r="C303" i="154"/>
  <c r="C304" i="154"/>
  <c r="C305" i="154"/>
  <c r="C306" i="154"/>
  <c r="C307" i="154"/>
  <c r="C308" i="154"/>
  <c r="C309" i="154"/>
  <c r="C310" i="154"/>
  <c r="C311" i="154"/>
  <c r="C312" i="154"/>
  <c r="C313" i="154"/>
  <c r="C314" i="154"/>
  <c r="C315" i="154"/>
  <c r="C316" i="154"/>
  <c r="C317" i="154"/>
  <c r="C318" i="154"/>
  <c r="C319" i="154"/>
  <c r="C320" i="154"/>
  <c r="C321" i="154"/>
  <c r="C322" i="154"/>
  <c r="C323" i="154"/>
  <c r="C324" i="154"/>
  <c r="F5" i="153"/>
  <c r="F6" i="153"/>
  <c r="A3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E6" i="153"/>
  <c r="B23" i="153"/>
  <c r="G23" i="153"/>
  <c r="H23" i="153"/>
  <c r="E22" i="153"/>
  <c r="B22" i="153"/>
  <c r="G22" i="153"/>
  <c r="H22" i="153"/>
  <c r="E5" i="153"/>
  <c r="E29" i="153"/>
  <c r="B29" i="153"/>
  <c r="G29" i="153"/>
  <c r="H29" i="153"/>
  <c r="R3" i="153"/>
  <c r="E26" i="153"/>
  <c r="B26" i="153"/>
  <c r="E28" i="153"/>
  <c r="B28" i="153"/>
  <c r="B21" i="153"/>
  <c r="G21" i="153"/>
  <c r="E21" i="153"/>
  <c r="H21" i="153"/>
  <c r="E20" i="153"/>
  <c r="B20" i="153"/>
  <c r="G20" i="153"/>
  <c r="H20" i="153"/>
  <c r="E19" i="153"/>
  <c r="B19" i="153"/>
  <c r="G19" i="153"/>
  <c r="H19" i="153"/>
  <c r="G28" i="153"/>
  <c r="H28" i="153"/>
  <c r="E27" i="153"/>
  <c r="B27" i="153"/>
  <c r="G27" i="153"/>
  <c r="H27" i="153"/>
  <c r="R5" i="153"/>
  <c r="R4" i="153"/>
  <c r="G26" i="153"/>
  <c r="H26" i="153"/>
  <c r="E25" i="153"/>
  <c r="B25" i="153"/>
  <c r="G25" i="153"/>
  <c r="H25" i="153"/>
  <c r="E24" i="153"/>
  <c r="B24" i="153"/>
  <c r="G24" i="153"/>
  <c r="H24" i="153"/>
  <c r="E18" i="153"/>
  <c r="B17" i="153"/>
  <c r="B18" i="153"/>
  <c r="G18" i="153"/>
  <c r="H18" i="153"/>
  <c r="G17" i="153"/>
  <c r="E17" i="153"/>
  <c r="H17" i="153"/>
  <c r="A2" i="157"/>
  <c r="O138" i="158"/>
  <c r="O2" i="158"/>
  <c r="O3" i="158"/>
  <c r="O10" i="158"/>
  <c r="O11" i="158"/>
  <c r="O18" i="158"/>
  <c r="O19" i="158"/>
  <c r="O26" i="158"/>
  <c r="O27" i="158"/>
  <c r="O34" i="158"/>
  <c r="O35" i="158"/>
  <c r="O42" i="158"/>
  <c r="O43" i="158"/>
  <c r="O44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8" i="158"/>
  <c r="O279" i="158"/>
  <c r="O284" i="158"/>
  <c r="O290" i="158"/>
  <c r="O295" i="158"/>
  <c r="O300" i="158"/>
  <c r="O301" i="158"/>
  <c r="O305" i="158"/>
  <c r="O306" i="158"/>
  <c r="O314" i="158"/>
  <c r="O315" i="158"/>
  <c r="O323" i="158"/>
  <c r="O324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F49" i="157"/>
  <c r="B20" i="157"/>
  <c r="B18" i="157"/>
  <c r="B19" i="157"/>
  <c r="B17" i="157"/>
  <c r="G18" i="157"/>
  <c r="H18" i="157"/>
  <c r="G17" i="157"/>
  <c r="H17" i="157"/>
  <c r="G19" i="157"/>
  <c r="H19" i="157"/>
  <c r="G20" i="157"/>
  <c r="H20" i="157"/>
  <c r="F41" i="157"/>
  <c r="G41" i="157"/>
  <c r="F40" i="157"/>
  <c r="F6" i="157"/>
  <c r="E6" i="157"/>
  <c r="E18" i="157"/>
  <c r="E19" i="157"/>
  <c r="E24" i="157"/>
  <c r="B24" i="157"/>
  <c r="G3" i="158"/>
  <c r="G4" i="158"/>
  <c r="G5" i="158"/>
  <c r="G6" i="158"/>
  <c r="G7" i="158"/>
  <c r="G8" i="158"/>
  <c r="G9" i="158"/>
  <c r="G10" i="158"/>
  <c r="G11" i="158"/>
  <c r="G12" i="158"/>
  <c r="G13" i="158"/>
  <c r="G14" i="158"/>
  <c r="G15" i="158"/>
  <c r="G16" i="158"/>
  <c r="G17" i="158"/>
  <c r="G18" i="158"/>
  <c r="G19" i="158"/>
  <c r="G20" i="158"/>
  <c r="G21" i="158"/>
  <c r="G22" i="158"/>
  <c r="G23" i="158"/>
  <c r="G24" i="158"/>
  <c r="G25" i="158"/>
  <c r="G26" i="158"/>
  <c r="G27" i="158"/>
  <c r="G28" i="158"/>
  <c r="G29" i="158"/>
  <c r="G30" i="158"/>
  <c r="G31" i="158"/>
  <c r="G32" i="158"/>
  <c r="G33" i="158"/>
  <c r="G34" i="158"/>
  <c r="G35" i="158"/>
  <c r="G36" i="158"/>
  <c r="G37" i="158"/>
  <c r="G38" i="158"/>
  <c r="G39" i="158"/>
  <c r="G40" i="158"/>
  <c r="G41" i="158"/>
  <c r="G42" i="158"/>
  <c r="G43" i="158"/>
  <c r="G44" i="158"/>
  <c r="G45" i="158"/>
  <c r="G46" i="158"/>
  <c r="G47" i="158"/>
  <c r="G48" i="158"/>
  <c r="G49" i="158"/>
  <c r="G50" i="158"/>
  <c r="G51" i="158"/>
  <c r="G52" i="158"/>
  <c r="G53" i="158"/>
  <c r="G54" i="158"/>
  <c r="G55" i="158"/>
  <c r="G56" i="158"/>
  <c r="G57" i="158"/>
  <c r="G58" i="158"/>
  <c r="G59" i="158"/>
  <c r="G60" i="158"/>
  <c r="G61" i="158"/>
  <c r="G62" i="158"/>
  <c r="G63" i="158"/>
  <c r="G64" i="158"/>
  <c r="G65" i="158"/>
  <c r="G66" i="158"/>
  <c r="G67" i="158"/>
  <c r="G68" i="158"/>
  <c r="G69" i="158"/>
  <c r="G70" i="158"/>
  <c r="G71" i="158"/>
  <c r="G72" i="158"/>
  <c r="G73" i="158"/>
  <c r="G74" i="158"/>
  <c r="G75" i="158"/>
  <c r="G76" i="158"/>
  <c r="G77" i="158"/>
  <c r="G78" i="158"/>
  <c r="G79" i="158"/>
  <c r="G80" i="158"/>
  <c r="G81" i="158"/>
  <c r="G82" i="158"/>
  <c r="G83" i="158"/>
  <c r="G84" i="158"/>
  <c r="G85" i="158"/>
  <c r="G86" i="158"/>
  <c r="G87" i="158"/>
  <c r="G88" i="158"/>
  <c r="G89" i="158"/>
  <c r="G90" i="158"/>
  <c r="G91" i="158"/>
  <c r="G92" i="158"/>
  <c r="G93" i="158"/>
  <c r="G94" i="158"/>
  <c r="G95" i="158"/>
  <c r="G96" i="158"/>
  <c r="G97" i="158"/>
  <c r="G98" i="158"/>
  <c r="G99" i="158"/>
  <c r="G100" i="158"/>
  <c r="G101" i="158"/>
  <c r="G102" i="158"/>
  <c r="G103" i="158"/>
  <c r="G104" i="158"/>
  <c r="G105" i="158"/>
  <c r="G106" i="158"/>
  <c r="G107" i="158"/>
  <c r="G108" i="158"/>
  <c r="G109" i="158"/>
  <c r="G110" i="158"/>
  <c r="G111" i="158"/>
  <c r="G112" i="158"/>
  <c r="G113" i="158"/>
  <c r="G114" i="158"/>
  <c r="G115" i="158"/>
  <c r="G116" i="158"/>
  <c r="G117" i="158"/>
  <c r="G118" i="158"/>
  <c r="G119" i="158"/>
  <c r="G120" i="158"/>
  <c r="G121" i="158"/>
  <c r="G122" i="158"/>
  <c r="G123" i="158"/>
  <c r="G124" i="158"/>
  <c r="G125" i="158"/>
  <c r="G126" i="158"/>
  <c r="G127" i="158"/>
  <c r="G128" i="158"/>
  <c r="G129" i="158"/>
  <c r="G130" i="158"/>
  <c r="G131" i="158"/>
  <c r="G132" i="158"/>
  <c r="G133" i="158"/>
  <c r="G134" i="158"/>
  <c r="G135" i="158"/>
  <c r="G136" i="158"/>
  <c r="G137" i="158"/>
  <c r="G138" i="158"/>
  <c r="G139" i="158"/>
  <c r="G140" i="158"/>
  <c r="G141" i="158"/>
  <c r="G142" i="158"/>
  <c r="G143" i="158"/>
  <c r="G144" i="158"/>
  <c r="G145" i="158"/>
  <c r="G146" i="158"/>
  <c r="G147" i="158"/>
  <c r="G148" i="158"/>
  <c r="G149" i="158"/>
  <c r="G150" i="158"/>
  <c r="G151" i="158"/>
  <c r="G152" i="158"/>
  <c r="G153" i="158"/>
  <c r="G154" i="158"/>
  <c r="G155" i="158"/>
  <c r="G156" i="158"/>
  <c r="G157" i="158"/>
  <c r="G158" i="158"/>
  <c r="G159" i="158"/>
  <c r="G160" i="158"/>
  <c r="G161" i="158"/>
  <c r="G162" i="158"/>
  <c r="G163" i="158"/>
  <c r="G164" i="158"/>
  <c r="G165" i="158"/>
  <c r="G166" i="158"/>
  <c r="G167" i="158"/>
  <c r="G168" i="158"/>
  <c r="G169" i="158"/>
  <c r="G170" i="158"/>
  <c r="G171" i="158"/>
  <c r="G172" i="158"/>
  <c r="G173" i="158"/>
  <c r="G174" i="158"/>
  <c r="G175" i="158"/>
  <c r="G176" i="158"/>
  <c r="G177" i="158"/>
  <c r="G178" i="158"/>
  <c r="G179" i="158"/>
  <c r="G180" i="158"/>
  <c r="G181" i="158"/>
  <c r="G182" i="158"/>
  <c r="G183" i="158"/>
  <c r="G184" i="158"/>
  <c r="G185" i="158"/>
  <c r="G186" i="158"/>
  <c r="G187" i="158"/>
  <c r="G188" i="158"/>
  <c r="G189" i="158"/>
  <c r="G190" i="158"/>
  <c r="G191" i="158"/>
  <c r="G192" i="158"/>
  <c r="G193" i="158"/>
  <c r="G194" i="158"/>
  <c r="G195" i="158"/>
  <c r="G196" i="158"/>
  <c r="G197" i="158"/>
  <c r="G198" i="158"/>
  <c r="G199" i="158"/>
  <c r="G200" i="158"/>
  <c r="G201" i="158"/>
  <c r="G202" i="158"/>
  <c r="G203" i="158"/>
  <c r="G204" i="158"/>
  <c r="G205" i="158"/>
  <c r="G206" i="158"/>
  <c r="G207" i="158"/>
  <c r="G208" i="158"/>
  <c r="G209" i="158"/>
  <c r="G210" i="158"/>
  <c r="G211" i="158"/>
  <c r="G212" i="158"/>
  <c r="G213" i="158"/>
  <c r="G214" i="158"/>
  <c r="G215" i="158"/>
  <c r="G216" i="158"/>
  <c r="G217" i="158"/>
  <c r="G218" i="158"/>
  <c r="G219" i="158"/>
  <c r="G220" i="158"/>
  <c r="G221" i="158"/>
  <c r="G222" i="158"/>
  <c r="G223" i="158"/>
  <c r="G224" i="158"/>
  <c r="G225" i="158"/>
  <c r="G226" i="158"/>
  <c r="G227" i="158"/>
  <c r="G228" i="158"/>
  <c r="G229" i="158"/>
  <c r="G230" i="158"/>
  <c r="G231" i="158"/>
  <c r="G232" i="158"/>
  <c r="G233" i="158"/>
  <c r="G234" i="158"/>
  <c r="G235" i="158"/>
  <c r="G236" i="158"/>
  <c r="G237" i="158"/>
  <c r="G238" i="158"/>
  <c r="G239" i="158"/>
  <c r="G240" i="158"/>
  <c r="G241" i="158"/>
  <c r="G242" i="158"/>
  <c r="G243" i="158"/>
  <c r="G244" i="158"/>
  <c r="G245" i="158"/>
  <c r="G246" i="158"/>
  <c r="G247" i="158"/>
  <c r="G248" i="158"/>
  <c r="G249" i="158"/>
  <c r="G250" i="158"/>
  <c r="G251" i="158"/>
  <c r="G252" i="158"/>
  <c r="G253" i="158"/>
  <c r="G254" i="158"/>
  <c r="G255" i="158"/>
  <c r="G256" i="158"/>
  <c r="G257" i="158"/>
  <c r="G258" i="158"/>
  <c r="G259" i="158"/>
  <c r="G260" i="158"/>
  <c r="G261" i="158"/>
  <c r="G262" i="158"/>
  <c r="G263" i="158"/>
  <c r="G264" i="158"/>
  <c r="G265" i="158"/>
  <c r="G266" i="158"/>
  <c r="G267" i="158"/>
  <c r="G268" i="158"/>
  <c r="G269" i="158"/>
  <c r="G270" i="158"/>
  <c r="G271" i="158"/>
  <c r="G272" i="158"/>
  <c r="G273" i="158"/>
  <c r="G274" i="158"/>
  <c r="G275" i="158"/>
  <c r="G276" i="158"/>
  <c r="G277" i="158"/>
  <c r="G278" i="158"/>
  <c r="G279" i="158"/>
  <c r="G280" i="158"/>
  <c r="G281" i="158"/>
  <c r="G282" i="158"/>
  <c r="G283" i="158"/>
  <c r="G284" i="158"/>
  <c r="G285" i="158"/>
  <c r="G286" i="158"/>
  <c r="G287" i="158"/>
  <c r="G288" i="158"/>
  <c r="G289" i="158"/>
  <c r="G290" i="158"/>
  <c r="G291" i="158"/>
  <c r="G292" i="158"/>
  <c r="G293" i="158"/>
  <c r="G294" i="158"/>
  <c r="G295" i="158"/>
  <c r="G296" i="158"/>
  <c r="G297" i="158"/>
  <c r="G298" i="158"/>
  <c r="G299" i="158"/>
  <c r="G300" i="158"/>
  <c r="G301" i="158"/>
  <c r="G302" i="158"/>
  <c r="G303" i="158"/>
  <c r="G304" i="158"/>
  <c r="G305" i="158"/>
  <c r="G306" i="158"/>
  <c r="G307" i="158"/>
  <c r="G308" i="158"/>
  <c r="G309" i="158"/>
  <c r="G310" i="158"/>
  <c r="G311" i="158"/>
  <c r="G312" i="158"/>
  <c r="G313" i="158"/>
  <c r="G314" i="158"/>
  <c r="G315" i="158"/>
  <c r="G316" i="158"/>
  <c r="G317" i="158"/>
  <c r="G318" i="158"/>
  <c r="G319" i="158"/>
  <c r="G320" i="158"/>
  <c r="G321" i="158"/>
  <c r="G322" i="158"/>
  <c r="G323" i="158"/>
  <c r="G324" i="158"/>
  <c r="G2" i="158"/>
  <c r="C4" i="103"/>
  <c r="E4" i="103"/>
  <c r="I2" i="159"/>
  <c r="D2" i="159"/>
  <c r="J2" i="159"/>
  <c r="E2" i="159"/>
  <c r="F2" i="159"/>
  <c r="C2" i="159"/>
  <c r="I3" i="159"/>
  <c r="D3" i="159"/>
  <c r="J3" i="159"/>
  <c r="E3" i="159"/>
  <c r="F3" i="159"/>
  <c r="C3" i="159"/>
  <c r="I4" i="159"/>
  <c r="D4" i="159"/>
  <c r="J4" i="159"/>
  <c r="E4" i="159"/>
  <c r="F4" i="159"/>
  <c r="C4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M5" i="153"/>
  <c r="M4" i="153"/>
  <c r="M3" i="153"/>
  <c r="I44" i="158"/>
  <c r="D44" i="158"/>
  <c r="J44" i="158"/>
  <c r="E44" i="158"/>
  <c r="C44" i="158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F5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G26" i="157"/>
  <c r="H26" i="157"/>
  <c r="E23" i="157"/>
  <c r="B23" i="157"/>
  <c r="E5" i="157"/>
  <c r="E28" i="157"/>
  <c r="B28" i="157"/>
  <c r="E29" i="157"/>
  <c r="B29" i="157"/>
  <c r="B21" i="157"/>
  <c r="G21" i="157"/>
  <c r="E21" i="157"/>
  <c r="H21" i="157"/>
  <c r="E17" i="157"/>
  <c r="G24" i="157"/>
  <c r="H24" i="157"/>
  <c r="E25" i="157"/>
  <c r="B25" i="157"/>
  <c r="G25" i="157"/>
  <c r="H25" i="157"/>
  <c r="E20" i="157"/>
  <c r="E27" i="157"/>
  <c r="B27" i="157"/>
  <c r="G27" i="157"/>
  <c r="H27" i="157"/>
  <c r="G28" i="157"/>
  <c r="H28" i="157"/>
  <c r="R4" i="157"/>
  <c r="R5" i="157"/>
  <c r="E22" i="157"/>
  <c r="B22" i="157"/>
  <c r="G22" i="157"/>
  <c r="H22" i="157"/>
  <c r="G23" i="157"/>
  <c r="H23" i="157"/>
  <c r="G29" i="157"/>
  <c r="H29" i="157"/>
  <c r="R3" i="157"/>
  <c r="F42" i="157"/>
  <c r="G42" i="157"/>
  <c r="M5" i="157"/>
  <c r="M4" i="157"/>
  <c r="B30" i="153"/>
  <c r="I2" i="154"/>
  <c r="D2" i="154"/>
  <c r="J2" i="154"/>
  <c r="E2" i="154"/>
  <c r="I3" i="154"/>
  <c r="D3" i="154"/>
  <c r="J3" i="154"/>
  <c r="E3" i="154"/>
  <c r="I4" i="154"/>
  <c r="D4" i="154"/>
  <c r="J4" i="154"/>
  <c r="E4" i="154"/>
  <c r="I5" i="154"/>
  <c r="D5" i="154"/>
  <c r="J5" i="154"/>
  <c r="E5" i="154"/>
  <c r="I6" i="154"/>
  <c r="D6" i="154"/>
  <c r="J6" i="154"/>
  <c r="E6" i="154"/>
  <c r="I7" i="154"/>
  <c r="D7" i="154"/>
  <c r="J7" i="154"/>
  <c r="E7" i="154"/>
  <c r="I8" i="154"/>
  <c r="D8" i="154"/>
  <c r="J8" i="154"/>
  <c r="E8" i="154"/>
  <c r="I9" i="154"/>
  <c r="D9" i="154"/>
  <c r="J9" i="154"/>
  <c r="E9" i="154"/>
  <c r="I10" i="154"/>
  <c r="D10" i="154"/>
  <c r="J10" i="154"/>
  <c r="E10" i="154"/>
  <c r="I11" i="154"/>
  <c r="D11" i="154"/>
  <c r="J11" i="154"/>
  <c r="E11" i="154"/>
  <c r="I12" i="154"/>
  <c r="D12" i="154"/>
  <c r="J12" i="154"/>
  <c r="E12" i="154"/>
  <c r="I13" i="154"/>
  <c r="D13" i="154"/>
  <c r="J13" i="154"/>
  <c r="E13" i="154"/>
  <c r="I14" i="154"/>
  <c r="D14" i="154"/>
  <c r="J14" i="154"/>
  <c r="E14" i="154"/>
  <c r="I15" i="154"/>
  <c r="D15" i="154"/>
  <c r="J15" i="154"/>
  <c r="E15" i="154"/>
  <c r="I16" i="154"/>
  <c r="D16" i="154"/>
  <c r="J16" i="154"/>
  <c r="E16" i="154"/>
  <c r="I17" i="154"/>
  <c r="D17" i="154"/>
  <c r="J17" i="154"/>
  <c r="E17" i="154"/>
  <c r="I18" i="154"/>
  <c r="D18" i="154"/>
  <c r="J18" i="154"/>
  <c r="E18" i="154"/>
  <c r="I19" i="154"/>
  <c r="D19" i="154"/>
  <c r="J19" i="154"/>
  <c r="E19" i="154"/>
  <c r="I20" i="154"/>
  <c r="D20" i="154"/>
  <c r="J20" i="154"/>
  <c r="E20" i="154"/>
  <c r="I21" i="154"/>
  <c r="D21" i="154"/>
  <c r="J21" i="154"/>
  <c r="E21" i="154"/>
  <c r="I22" i="154"/>
  <c r="D22" i="154"/>
  <c r="J22" i="154"/>
  <c r="E22" i="154"/>
  <c r="I23" i="154"/>
  <c r="D23" i="154"/>
  <c r="J23" i="154"/>
  <c r="E23" i="154"/>
  <c r="I24" i="154"/>
  <c r="D24" i="154"/>
  <c r="J24" i="154"/>
  <c r="E24" i="154"/>
  <c r="I25" i="154"/>
  <c r="D25" i="154"/>
  <c r="J25" i="154"/>
  <c r="E25" i="154"/>
  <c r="I26" i="154"/>
  <c r="D26" i="154"/>
  <c r="J26" i="154"/>
  <c r="E26" i="154"/>
  <c r="I27" i="154"/>
  <c r="D27" i="154"/>
  <c r="J27" i="154"/>
  <c r="E27" i="154"/>
  <c r="I28" i="154"/>
  <c r="D28" i="154"/>
  <c r="J28" i="154"/>
  <c r="E28" i="154"/>
  <c r="I29" i="154"/>
  <c r="D29" i="154"/>
  <c r="J29" i="154"/>
  <c r="E29" i="154"/>
  <c r="I30" i="154"/>
  <c r="D30" i="154"/>
  <c r="J30" i="154"/>
  <c r="E30" i="154"/>
  <c r="I31" i="154"/>
  <c r="D31" i="154"/>
  <c r="J31" i="154"/>
  <c r="E31" i="154"/>
  <c r="I32" i="154"/>
  <c r="D32" i="154"/>
  <c r="J32" i="154"/>
  <c r="E32" i="154"/>
  <c r="I33" i="154"/>
  <c r="D33" i="154"/>
  <c r="J33" i="154"/>
  <c r="E33" i="154"/>
  <c r="I34" i="154"/>
  <c r="D34" i="154"/>
  <c r="J34" i="154"/>
  <c r="E34" i="154"/>
  <c r="I35" i="154"/>
  <c r="D35" i="154"/>
  <c r="J35" i="154"/>
  <c r="E35" i="154"/>
  <c r="I36" i="154"/>
  <c r="D36" i="154"/>
  <c r="J36" i="154"/>
  <c r="E36" i="154"/>
  <c r="I37" i="154"/>
  <c r="D37" i="154"/>
  <c r="J37" i="154"/>
  <c r="E37" i="154"/>
  <c r="I38" i="154"/>
  <c r="D38" i="154"/>
  <c r="J38" i="154"/>
  <c r="E38" i="154"/>
  <c r="I39" i="154"/>
  <c r="D39" i="154"/>
  <c r="J39" i="154"/>
  <c r="E39" i="154"/>
  <c r="I40" i="154"/>
  <c r="D40" i="154"/>
  <c r="J40" i="154"/>
  <c r="E40" i="154"/>
  <c r="I41" i="154"/>
  <c r="D41" i="154"/>
  <c r="J41" i="154"/>
  <c r="E41" i="154"/>
  <c r="I42" i="154"/>
  <c r="D42" i="154"/>
  <c r="J42" i="154"/>
  <c r="E42" i="154"/>
  <c r="I43" i="154"/>
  <c r="D43" i="154"/>
  <c r="J43" i="154"/>
  <c r="E43" i="154"/>
  <c r="I44" i="154"/>
  <c r="D44" i="154"/>
  <c r="J44" i="154"/>
  <c r="E44" i="154"/>
  <c r="I45" i="154"/>
  <c r="D45" i="154"/>
  <c r="J45" i="154"/>
  <c r="E45" i="154"/>
  <c r="I46" i="154"/>
  <c r="D46" i="154"/>
  <c r="J46" i="154"/>
  <c r="E46" i="154"/>
  <c r="I47" i="154"/>
  <c r="D47" i="154"/>
  <c r="J47" i="154"/>
  <c r="E47" i="154"/>
  <c r="I48" i="154"/>
  <c r="D48" i="154"/>
  <c r="J48" i="154"/>
  <c r="E48" i="154"/>
  <c r="I49" i="154"/>
  <c r="D49" i="154"/>
  <c r="J49" i="154"/>
  <c r="E49" i="154"/>
  <c r="I50" i="154"/>
  <c r="D50" i="154"/>
  <c r="J50" i="154"/>
  <c r="E50" i="154"/>
  <c r="I51" i="154"/>
  <c r="D51" i="154"/>
  <c r="J51" i="154"/>
  <c r="E51" i="154"/>
  <c r="I52" i="154"/>
  <c r="D52" i="154"/>
  <c r="J52" i="154"/>
  <c r="E52" i="154"/>
  <c r="I53" i="154"/>
  <c r="D53" i="154"/>
  <c r="J53" i="154"/>
  <c r="E53" i="154"/>
  <c r="I54" i="154"/>
  <c r="D54" i="154"/>
  <c r="J54" i="154"/>
  <c r="E54" i="154"/>
  <c r="I55" i="154"/>
  <c r="D55" i="154"/>
  <c r="J55" i="154"/>
  <c r="E55" i="154"/>
  <c r="I56" i="154"/>
  <c r="D56" i="154"/>
  <c r="J56" i="154"/>
  <c r="E56" i="154"/>
  <c r="I57" i="154"/>
  <c r="D57" i="154"/>
  <c r="J57" i="154"/>
  <c r="E57" i="154"/>
  <c r="I58" i="154"/>
  <c r="D58" i="154"/>
  <c r="J58" i="154"/>
  <c r="E58" i="154"/>
  <c r="I59" i="154"/>
  <c r="D59" i="154"/>
  <c r="J59" i="154"/>
  <c r="E59" i="154"/>
  <c r="I60" i="154"/>
  <c r="D60" i="154"/>
  <c r="J60" i="154"/>
  <c r="E60" i="154"/>
  <c r="I61" i="154"/>
  <c r="D61" i="154"/>
  <c r="J61" i="154"/>
  <c r="E61" i="154"/>
  <c r="I62" i="154"/>
  <c r="D62" i="154"/>
  <c r="J62" i="154"/>
  <c r="E62" i="154"/>
  <c r="I63" i="154"/>
  <c r="D63" i="154"/>
  <c r="J63" i="154"/>
  <c r="E63" i="154"/>
  <c r="I64" i="154"/>
  <c r="D64" i="154"/>
  <c r="J64" i="154"/>
  <c r="E64" i="154"/>
  <c r="I65" i="154"/>
  <c r="D65" i="154"/>
  <c r="J65" i="154"/>
  <c r="E65" i="154"/>
  <c r="I66" i="154"/>
  <c r="D66" i="154"/>
  <c r="J66" i="154"/>
  <c r="E66" i="154"/>
  <c r="I67" i="154"/>
  <c r="D67" i="154"/>
  <c r="J67" i="154"/>
  <c r="E67" i="154"/>
  <c r="I68" i="154"/>
  <c r="D68" i="154"/>
  <c r="J68" i="154"/>
  <c r="E68" i="154"/>
  <c r="I69" i="154"/>
  <c r="D69" i="154"/>
  <c r="J69" i="154"/>
  <c r="E69" i="154"/>
  <c r="I70" i="154"/>
  <c r="D70" i="154"/>
  <c r="J70" i="154"/>
  <c r="E70" i="154"/>
  <c r="I71" i="154"/>
  <c r="D71" i="154"/>
  <c r="J71" i="154"/>
  <c r="E71" i="154"/>
  <c r="I72" i="154"/>
  <c r="D72" i="154"/>
  <c r="J72" i="154"/>
  <c r="E72" i="154"/>
  <c r="I73" i="154"/>
  <c r="D73" i="154"/>
  <c r="J73" i="154"/>
  <c r="E73" i="154"/>
  <c r="I74" i="154"/>
  <c r="D74" i="154"/>
  <c r="J74" i="154"/>
  <c r="E74" i="154"/>
  <c r="I75" i="154"/>
  <c r="D75" i="154"/>
  <c r="J75" i="154"/>
  <c r="E75" i="154"/>
  <c r="I76" i="154"/>
  <c r="D76" i="154"/>
  <c r="J76" i="154"/>
  <c r="E76" i="154"/>
  <c r="I77" i="154"/>
  <c r="D77" i="154"/>
  <c r="J77" i="154"/>
  <c r="E77" i="154"/>
  <c r="I78" i="154"/>
  <c r="D78" i="154"/>
  <c r="J78" i="154"/>
  <c r="E78" i="154"/>
  <c r="I79" i="154"/>
  <c r="D79" i="154"/>
  <c r="J79" i="154"/>
  <c r="E79" i="154"/>
  <c r="I80" i="154"/>
  <c r="D80" i="154"/>
  <c r="J80" i="154"/>
  <c r="E80" i="154"/>
  <c r="I81" i="154"/>
  <c r="D81" i="154"/>
  <c r="J81" i="154"/>
  <c r="E81" i="154"/>
  <c r="I82" i="154"/>
  <c r="D82" i="154"/>
  <c r="J82" i="154"/>
  <c r="E82" i="154"/>
  <c r="I83" i="154"/>
  <c r="D83" i="154"/>
  <c r="J83" i="154"/>
  <c r="E83" i="154"/>
  <c r="I84" i="154"/>
  <c r="D84" i="154"/>
  <c r="J84" i="154"/>
  <c r="E84" i="154"/>
  <c r="I85" i="154"/>
  <c r="D85" i="154"/>
  <c r="J85" i="154"/>
  <c r="E85" i="154"/>
  <c r="I86" i="154"/>
  <c r="D86" i="154"/>
  <c r="J86" i="154"/>
  <c r="E86" i="154"/>
  <c r="I87" i="154"/>
  <c r="D87" i="154"/>
  <c r="J87" i="154"/>
  <c r="E87" i="154"/>
  <c r="I88" i="154"/>
  <c r="D88" i="154"/>
  <c r="J88" i="154"/>
  <c r="E88" i="154"/>
  <c r="I89" i="154"/>
  <c r="D89" i="154"/>
  <c r="J89" i="154"/>
  <c r="E89" i="154"/>
  <c r="I90" i="154"/>
  <c r="D90" i="154"/>
  <c r="J90" i="154"/>
  <c r="E90" i="154"/>
  <c r="I91" i="154"/>
  <c r="D91" i="154"/>
  <c r="J91" i="154"/>
  <c r="E91" i="154"/>
  <c r="I92" i="154"/>
  <c r="D92" i="154"/>
  <c r="J92" i="154"/>
  <c r="E92" i="154"/>
  <c r="I93" i="154"/>
  <c r="D93" i="154"/>
  <c r="J93" i="154"/>
  <c r="E93" i="154"/>
  <c r="I94" i="154"/>
  <c r="D94" i="154"/>
  <c r="J94" i="154"/>
  <c r="E94" i="154"/>
  <c r="I95" i="154"/>
  <c r="D95" i="154"/>
  <c r="J95" i="154"/>
  <c r="E95" i="154"/>
  <c r="I96" i="154"/>
  <c r="D96" i="154"/>
  <c r="J96" i="154"/>
  <c r="E96" i="154"/>
  <c r="I97" i="154"/>
  <c r="D97" i="154"/>
  <c r="J97" i="154"/>
  <c r="E97" i="154"/>
  <c r="I98" i="154"/>
  <c r="D98" i="154"/>
  <c r="J98" i="154"/>
  <c r="E98" i="154"/>
  <c r="I99" i="154"/>
  <c r="D99" i="154"/>
  <c r="J99" i="154"/>
  <c r="E99" i="154"/>
  <c r="I100" i="154"/>
  <c r="D100" i="154"/>
  <c r="J100" i="154"/>
  <c r="E100" i="154"/>
  <c r="I101" i="154"/>
  <c r="D101" i="154"/>
  <c r="J101" i="154"/>
  <c r="E101" i="154"/>
  <c r="I102" i="154"/>
  <c r="D102" i="154"/>
  <c r="J102" i="154"/>
  <c r="E102" i="154"/>
  <c r="I103" i="154"/>
  <c r="D103" i="154"/>
  <c r="J103" i="154"/>
  <c r="E103" i="154"/>
  <c r="I104" i="154"/>
  <c r="D104" i="154"/>
  <c r="J104" i="154"/>
  <c r="E104" i="154"/>
  <c r="I105" i="154"/>
  <c r="D105" i="154"/>
  <c r="J105" i="154"/>
  <c r="E105" i="154"/>
  <c r="I106" i="154"/>
  <c r="D106" i="154"/>
  <c r="J106" i="154"/>
  <c r="E106" i="154"/>
  <c r="I107" i="154"/>
  <c r="D107" i="154"/>
  <c r="J107" i="154"/>
  <c r="E107" i="154"/>
  <c r="I108" i="154"/>
  <c r="D108" i="154"/>
  <c r="J108" i="154"/>
  <c r="E108" i="154"/>
  <c r="I109" i="154"/>
  <c r="D109" i="154"/>
  <c r="J109" i="154"/>
  <c r="E109" i="154"/>
  <c r="I110" i="154"/>
  <c r="D110" i="154"/>
  <c r="J110" i="154"/>
  <c r="E110" i="154"/>
  <c r="I111" i="154"/>
  <c r="D111" i="154"/>
  <c r="J111" i="154"/>
  <c r="E111" i="154"/>
  <c r="I112" i="154"/>
  <c r="D112" i="154"/>
  <c r="J112" i="154"/>
  <c r="E112" i="154"/>
  <c r="I113" i="154"/>
  <c r="D113" i="154"/>
  <c r="J113" i="154"/>
  <c r="E113" i="154"/>
  <c r="I114" i="154"/>
  <c r="D114" i="154"/>
  <c r="J114" i="154"/>
  <c r="E114" i="154"/>
  <c r="I115" i="154"/>
  <c r="D115" i="154"/>
  <c r="J115" i="154"/>
  <c r="E115" i="154"/>
  <c r="I116" i="154"/>
  <c r="D116" i="154"/>
  <c r="J116" i="154"/>
  <c r="E116" i="154"/>
  <c r="I117" i="154"/>
  <c r="D117" i="154"/>
  <c r="J117" i="154"/>
  <c r="E117" i="154"/>
  <c r="I118" i="154"/>
  <c r="D118" i="154"/>
  <c r="J118" i="154"/>
  <c r="E118" i="154"/>
  <c r="I119" i="154"/>
  <c r="D119" i="154"/>
  <c r="J119" i="154"/>
  <c r="E119" i="154"/>
  <c r="I120" i="154"/>
  <c r="D120" i="154"/>
  <c r="J120" i="154"/>
  <c r="E120" i="154"/>
  <c r="I121" i="154"/>
  <c r="D121" i="154"/>
  <c r="J121" i="154"/>
  <c r="E121" i="154"/>
  <c r="I122" i="154"/>
  <c r="D122" i="154"/>
  <c r="J122" i="154"/>
  <c r="E122" i="154"/>
  <c r="I123" i="154"/>
  <c r="D123" i="154"/>
  <c r="J123" i="154"/>
  <c r="E123" i="154"/>
  <c r="I124" i="154"/>
  <c r="D124" i="154"/>
  <c r="J124" i="154"/>
  <c r="E124" i="154"/>
  <c r="I125" i="154"/>
  <c r="D125" i="154"/>
  <c r="J125" i="154"/>
  <c r="E125" i="154"/>
  <c r="I126" i="154"/>
  <c r="D126" i="154"/>
  <c r="J126" i="154"/>
  <c r="E126" i="154"/>
  <c r="I127" i="154"/>
  <c r="D127" i="154"/>
  <c r="J127" i="154"/>
  <c r="E127" i="154"/>
  <c r="I128" i="154"/>
  <c r="D128" i="154"/>
  <c r="J128" i="154"/>
  <c r="E128" i="154"/>
  <c r="I129" i="154"/>
  <c r="D129" i="154"/>
  <c r="J129" i="154"/>
  <c r="E129" i="154"/>
  <c r="I130" i="154"/>
  <c r="D130" i="154"/>
  <c r="J130" i="154"/>
  <c r="E130" i="154"/>
  <c r="I131" i="154"/>
  <c r="D131" i="154"/>
  <c r="J131" i="154"/>
  <c r="E131" i="154"/>
  <c r="I132" i="154"/>
  <c r="D132" i="154"/>
  <c r="J132" i="154"/>
  <c r="E132" i="154"/>
  <c r="I133" i="154"/>
  <c r="D133" i="154"/>
  <c r="J133" i="154"/>
  <c r="E133" i="154"/>
  <c r="I134" i="154"/>
  <c r="D134" i="154"/>
  <c r="J134" i="154"/>
  <c r="E134" i="154"/>
  <c r="I135" i="154"/>
  <c r="D135" i="154"/>
  <c r="J135" i="154"/>
  <c r="E135" i="154"/>
  <c r="I136" i="154"/>
  <c r="D136" i="154"/>
  <c r="J136" i="154"/>
  <c r="E136" i="154"/>
  <c r="I137" i="154"/>
  <c r="D137" i="154"/>
  <c r="J137" i="154"/>
  <c r="E137" i="154"/>
  <c r="I138" i="154"/>
  <c r="D138" i="154"/>
  <c r="J138" i="154"/>
  <c r="E138" i="154"/>
  <c r="I139" i="154"/>
  <c r="D139" i="154"/>
  <c r="J139" i="154"/>
  <c r="E139" i="154"/>
  <c r="I140" i="154"/>
  <c r="D140" i="154"/>
  <c r="J140" i="154"/>
  <c r="E140" i="154"/>
  <c r="I141" i="154"/>
  <c r="D141" i="154"/>
  <c r="J141" i="154"/>
  <c r="E141" i="154"/>
  <c r="I142" i="154"/>
  <c r="D142" i="154"/>
  <c r="J142" i="154"/>
  <c r="E142" i="154"/>
  <c r="I143" i="154"/>
  <c r="D143" i="154"/>
  <c r="J143" i="154"/>
  <c r="E143" i="154"/>
  <c r="I144" i="154"/>
  <c r="D144" i="154"/>
  <c r="J144" i="154"/>
  <c r="E144" i="154"/>
  <c r="I145" i="154"/>
  <c r="D145" i="154"/>
  <c r="J145" i="154"/>
  <c r="E145" i="154"/>
  <c r="I146" i="154"/>
  <c r="D146" i="154"/>
  <c r="J146" i="154"/>
  <c r="E146" i="154"/>
  <c r="I147" i="154"/>
  <c r="D147" i="154"/>
  <c r="J147" i="154"/>
  <c r="E147" i="154"/>
  <c r="I148" i="154"/>
  <c r="D148" i="154"/>
  <c r="J148" i="154"/>
  <c r="E148" i="154"/>
  <c r="I149" i="154"/>
  <c r="D149" i="154"/>
  <c r="J149" i="154"/>
  <c r="E149" i="154"/>
  <c r="I150" i="154"/>
  <c r="D150" i="154"/>
  <c r="J150" i="154"/>
  <c r="E150" i="154"/>
  <c r="I151" i="154"/>
  <c r="D151" i="154"/>
  <c r="J151" i="154"/>
  <c r="E151" i="154"/>
  <c r="I152" i="154"/>
  <c r="D152" i="154"/>
  <c r="J152" i="154"/>
  <c r="E152" i="154"/>
  <c r="I153" i="154"/>
  <c r="D153" i="154"/>
  <c r="J153" i="154"/>
  <c r="E153" i="154"/>
  <c r="I154" i="154"/>
  <c r="D154" i="154"/>
  <c r="J154" i="154"/>
  <c r="E154" i="154"/>
  <c r="I155" i="154"/>
  <c r="D155" i="154"/>
  <c r="J155" i="154"/>
  <c r="E155" i="154"/>
  <c r="I156" i="154"/>
  <c r="D156" i="154"/>
  <c r="J156" i="154"/>
  <c r="E156" i="154"/>
  <c r="I157" i="154"/>
  <c r="D157" i="154"/>
  <c r="J157" i="154"/>
  <c r="E157" i="154"/>
  <c r="I158" i="154"/>
  <c r="D158" i="154"/>
  <c r="J158" i="154"/>
  <c r="E158" i="154"/>
  <c r="I159" i="154"/>
  <c r="D159" i="154"/>
  <c r="J159" i="154"/>
  <c r="E159" i="154"/>
  <c r="I160" i="154"/>
  <c r="D160" i="154"/>
  <c r="J160" i="154"/>
  <c r="E160" i="154"/>
  <c r="I161" i="154"/>
  <c r="D161" i="154"/>
  <c r="J161" i="154"/>
  <c r="E161" i="154"/>
  <c r="I162" i="154"/>
  <c r="D162" i="154"/>
  <c r="J162" i="154"/>
  <c r="E162" i="154"/>
  <c r="I163" i="154"/>
  <c r="D163" i="154"/>
  <c r="J163" i="154"/>
  <c r="E163" i="154"/>
  <c r="I164" i="154"/>
  <c r="D164" i="154"/>
  <c r="J164" i="154"/>
  <c r="E164" i="154"/>
  <c r="I165" i="154"/>
  <c r="D165" i="154"/>
  <c r="J165" i="154"/>
  <c r="E165" i="154"/>
  <c r="I166" i="154"/>
  <c r="D166" i="154"/>
  <c r="J166" i="154"/>
  <c r="E166" i="154"/>
  <c r="I167" i="154"/>
  <c r="D167" i="154"/>
  <c r="J167" i="154"/>
  <c r="E167" i="154"/>
  <c r="I168" i="154"/>
  <c r="D168" i="154"/>
  <c r="J168" i="154"/>
  <c r="E168" i="154"/>
  <c r="I169" i="154"/>
  <c r="D169" i="154"/>
  <c r="J169" i="154"/>
  <c r="E169" i="154"/>
  <c r="I170" i="154"/>
  <c r="D170" i="154"/>
  <c r="J170" i="154"/>
  <c r="E170" i="154"/>
  <c r="I171" i="154"/>
  <c r="D171" i="154"/>
  <c r="J171" i="154"/>
  <c r="E171" i="154"/>
  <c r="I172" i="154"/>
  <c r="D172" i="154"/>
  <c r="J172" i="154"/>
  <c r="E172" i="154"/>
  <c r="I173" i="154"/>
  <c r="D173" i="154"/>
  <c r="J173" i="154"/>
  <c r="E173" i="154"/>
  <c r="I174" i="154"/>
  <c r="D174" i="154"/>
  <c r="J174" i="154"/>
  <c r="E174" i="154"/>
  <c r="I175" i="154"/>
  <c r="D175" i="154"/>
  <c r="J175" i="154"/>
  <c r="E175" i="154"/>
  <c r="I176" i="154"/>
  <c r="D176" i="154"/>
  <c r="J176" i="154"/>
  <c r="E176" i="154"/>
  <c r="I177" i="154"/>
  <c r="D177" i="154"/>
  <c r="J177" i="154"/>
  <c r="E177" i="154"/>
  <c r="I178" i="154"/>
  <c r="D178" i="154"/>
  <c r="J178" i="154"/>
  <c r="E178" i="154"/>
  <c r="I179" i="154"/>
  <c r="D179" i="154"/>
  <c r="J179" i="154"/>
  <c r="E179" i="154"/>
  <c r="I180" i="154"/>
  <c r="D180" i="154"/>
  <c r="J180" i="154"/>
  <c r="E180" i="154"/>
  <c r="I181" i="154"/>
  <c r="D181" i="154"/>
  <c r="J181" i="154"/>
  <c r="E181" i="154"/>
  <c r="I182" i="154"/>
  <c r="D182" i="154"/>
  <c r="J182" i="154"/>
  <c r="E182" i="154"/>
  <c r="I183" i="154"/>
  <c r="D183" i="154"/>
  <c r="J183" i="154"/>
  <c r="E183" i="154"/>
  <c r="I184" i="154"/>
  <c r="D184" i="154"/>
  <c r="J184" i="154"/>
  <c r="E184" i="154"/>
  <c r="I185" i="154"/>
  <c r="D185" i="154"/>
  <c r="J185" i="154"/>
  <c r="E185" i="154"/>
  <c r="I186" i="154"/>
  <c r="D186" i="154"/>
  <c r="J186" i="154"/>
  <c r="E186" i="154"/>
  <c r="I187" i="154"/>
  <c r="D187" i="154"/>
  <c r="J187" i="154"/>
  <c r="E187" i="154"/>
  <c r="I188" i="154"/>
  <c r="D188" i="154"/>
  <c r="J188" i="154"/>
  <c r="E188" i="154"/>
  <c r="I189" i="154"/>
  <c r="D189" i="154"/>
  <c r="J189" i="154"/>
  <c r="E189" i="154"/>
  <c r="I190" i="154"/>
  <c r="D190" i="154"/>
  <c r="J190" i="154"/>
  <c r="E190" i="154"/>
  <c r="I191" i="154"/>
  <c r="D191" i="154"/>
  <c r="J191" i="154"/>
  <c r="E191" i="154"/>
  <c r="I192" i="154"/>
  <c r="D192" i="154"/>
  <c r="J192" i="154"/>
  <c r="E192" i="154"/>
  <c r="I193" i="154"/>
  <c r="D193" i="154"/>
  <c r="J193" i="154"/>
  <c r="E193" i="154"/>
  <c r="I194" i="154"/>
  <c r="D194" i="154"/>
  <c r="J194" i="154"/>
  <c r="E194" i="154"/>
  <c r="I195" i="154"/>
  <c r="D195" i="154"/>
  <c r="J195" i="154"/>
  <c r="E195" i="154"/>
  <c r="I196" i="154"/>
  <c r="D196" i="154"/>
  <c r="J196" i="154"/>
  <c r="E196" i="154"/>
  <c r="I197" i="154"/>
  <c r="D197" i="154"/>
  <c r="J197" i="154"/>
  <c r="E197" i="154"/>
  <c r="I198" i="154"/>
  <c r="D198" i="154"/>
  <c r="J198" i="154"/>
  <c r="E198" i="154"/>
  <c r="I199" i="154"/>
  <c r="D199" i="154"/>
  <c r="J199" i="154"/>
  <c r="E199" i="154"/>
  <c r="I200" i="154"/>
  <c r="D200" i="154"/>
  <c r="J200" i="154"/>
  <c r="E200" i="154"/>
  <c r="I201" i="154"/>
  <c r="D201" i="154"/>
  <c r="J201" i="154"/>
  <c r="E201" i="154"/>
  <c r="I202" i="154"/>
  <c r="D202" i="154"/>
  <c r="J202" i="154"/>
  <c r="E202" i="154"/>
  <c r="I203" i="154"/>
  <c r="D203" i="154"/>
  <c r="J203" i="154"/>
  <c r="E203" i="154"/>
  <c r="I204" i="154"/>
  <c r="D204" i="154"/>
  <c r="J204" i="154"/>
  <c r="E204" i="154"/>
  <c r="I205" i="154"/>
  <c r="D205" i="154"/>
  <c r="J205" i="154"/>
  <c r="E205" i="154"/>
  <c r="I206" i="154"/>
  <c r="D206" i="154"/>
  <c r="J206" i="154"/>
  <c r="E206" i="154"/>
  <c r="I207" i="154"/>
  <c r="D207" i="154"/>
  <c r="J207" i="154"/>
  <c r="E207" i="154"/>
  <c r="I208" i="154"/>
  <c r="D208" i="154"/>
  <c r="J208" i="154"/>
  <c r="E208" i="154"/>
  <c r="I209" i="154"/>
  <c r="D209" i="154"/>
  <c r="J209" i="154"/>
  <c r="E209" i="154"/>
  <c r="I210" i="154"/>
  <c r="D210" i="154"/>
  <c r="J210" i="154"/>
  <c r="E210" i="154"/>
  <c r="I211" i="154"/>
  <c r="D211" i="154"/>
  <c r="J211" i="154"/>
  <c r="E211" i="154"/>
  <c r="I212" i="154"/>
  <c r="D212" i="154"/>
  <c r="J212" i="154"/>
  <c r="E212" i="154"/>
  <c r="I213" i="154"/>
  <c r="D213" i="154"/>
  <c r="J213" i="154"/>
  <c r="E213" i="154"/>
  <c r="I214" i="154"/>
  <c r="D214" i="154"/>
  <c r="J214" i="154"/>
  <c r="E214" i="154"/>
  <c r="I215" i="154"/>
  <c r="D215" i="154"/>
  <c r="J215" i="154"/>
  <c r="E215" i="154"/>
  <c r="I216" i="154"/>
  <c r="D216" i="154"/>
  <c r="J216" i="154"/>
  <c r="E216" i="154"/>
  <c r="I217" i="154"/>
  <c r="D217" i="154"/>
  <c r="J217" i="154"/>
  <c r="E217" i="154"/>
  <c r="I218" i="154"/>
  <c r="D218" i="154"/>
  <c r="J218" i="154"/>
  <c r="E218" i="154"/>
  <c r="I219" i="154"/>
  <c r="D219" i="154"/>
  <c r="J219" i="154"/>
  <c r="E219" i="154"/>
  <c r="I220" i="154"/>
  <c r="D220" i="154"/>
  <c r="J220" i="154"/>
  <c r="E220" i="154"/>
  <c r="I221" i="154"/>
  <c r="D221" i="154"/>
  <c r="J221" i="154"/>
  <c r="E221" i="154"/>
  <c r="I222" i="154"/>
  <c r="D222" i="154"/>
  <c r="J222" i="154"/>
  <c r="E222" i="154"/>
  <c r="I223" i="154"/>
  <c r="D223" i="154"/>
  <c r="J223" i="154"/>
  <c r="E223" i="154"/>
  <c r="I224" i="154"/>
  <c r="D224" i="154"/>
  <c r="J224" i="154"/>
  <c r="E224" i="154"/>
  <c r="I225" i="154"/>
  <c r="D225" i="154"/>
  <c r="J225" i="154"/>
  <c r="E225" i="154"/>
  <c r="I226" i="154"/>
  <c r="D226" i="154"/>
  <c r="J226" i="154"/>
  <c r="E226" i="154"/>
  <c r="I227" i="154"/>
  <c r="D227" i="154"/>
  <c r="J227" i="154"/>
  <c r="E227" i="154"/>
  <c r="I228" i="154"/>
  <c r="D228" i="154"/>
  <c r="J228" i="154"/>
  <c r="E228" i="154"/>
  <c r="I229" i="154"/>
  <c r="D229" i="154"/>
  <c r="J229" i="154"/>
  <c r="E229" i="154"/>
  <c r="I230" i="154"/>
  <c r="D230" i="154"/>
  <c r="J230" i="154"/>
  <c r="E230" i="154"/>
  <c r="I231" i="154"/>
  <c r="D231" i="154"/>
  <c r="J231" i="154"/>
  <c r="E231" i="154"/>
  <c r="I232" i="154"/>
  <c r="D232" i="154"/>
  <c r="J232" i="154"/>
  <c r="E232" i="154"/>
  <c r="I233" i="154"/>
  <c r="D233" i="154"/>
  <c r="J233" i="154"/>
  <c r="E233" i="154"/>
  <c r="I234" i="154"/>
  <c r="D234" i="154"/>
  <c r="J234" i="154"/>
  <c r="E234" i="154"/>
  <c r="I235" i="154"/>
  <c r="D235" i="154"/>
  <c r="J235" i="154"/>
  <c r="E235" i="154"/>
  <c r="I236" i="154"/>
  <c r="D236" i="154"/>
  <c r="J236" i="154"/>
  <c r="E236" i="154"/>
  <c r="I237" i="154"/>
  <c r="D237" i="154"/>
  <c r="J237" i="154"/>
  <c r="E237" i="154"/>
  <c r="I238" i="154"/>
  <c r="D238" i="154"/>
  <c r="J238" i="154"/>
  <c r="E238" i="154"/>
  <c r="I239" i="154"/>
  <c r="D239" i="154"/>
  <c r="J239" i="154"/>
  <c r="E239" i="154"/>
  <c r="I240" i="154"/>
  <c r="D240" i="154"/>
  <c r="J240" i="154"/>
  <c r="E240" i="154"/>
  <c r="I241" i="154"/>
  <c r="D241" i="154"/>
  <c r="J241" i="154"/>
  <c r="E241" i="154"/>
  <c r="I242" i="154"/>
  <c r="D242" i="154"/>
  <c r="J242" i="154"/>
  <c r="E242" i="154"/>
  <c r="I243" i="154"/>
  <c r="D243" i="154"/>
  <c r="J243" i="154"/>
  <c r="E243" i="154"/>
  <c r="I244" i="154"/>
  <c r="D244" i="154"/>
  <c r="J244" i="154"/>
  <c r="E244" i="154"/>
  <c r="I245" i="154"/>
  <c r="D245" i="154"/>
  <c r="J245" i="154"/>
  <c r="E245" i="154"/>
  <c r="I246" i="154"/>
  <c r="D246" i="154"/>
  <c r="J246" i="154"/>
  <c r="E246" i="154"/>
  <c r="I247" i="154"/>
  <c r="D247" i="154"/>
  <c r="J247" i="154"/>
  <c r="E247" i="154"/>
  <c r="I248" i="154"/>
  <c r="D248" i="154"/>
  <c r="J248" i="154"/>
  <c r="E248" i="154"/>
  <c r="I249" i="154"/>
  <c r="D249" i="154"/>
  <c r="J249" i="154"/>
  <c r="E249" i="154"/>
  <c r="I250" i="154"/>
  <c r="D250" i="154"/>
  <c r="J250" i="154"/>
  <c r="E250" i="154"/>
  <c r="I251" i="154"/>
  <c r="D251" i="154"/>
  <c r="J251" i="154"/>
  <c r="E251" i="154"/>
  <c r="I252" i="154"/>
  <c r="D252" i="154"/>
  <c r="J252" i="154"/>
  <c r="E252" i="154"/>
  <c r="I253" i="154"/>
  <c r="D253" i="154"/>
  <c r="J253" i="154"/>
  <c r="E253" i="154"/>
  <c r="I254" i="154"/>
  <c r="D254" i="154"/>
  <c r="J254" i="154"/>
  <c r="E254" i="154"/>
  <c r="I255" i="154"/>
  <c r="D255" i="154"/>
  <c r="J255" i="154"/>
  <c r="E255" i="154"/>
  <c r="I256" i="154"/>
  <c r="D256" i="154"/>
  <c r="J256" i="154"/>
  <c r="E256" i="154"/>
  <c r="I257" i="154"/>
  <c r="D257" i="154"/>
  <c r="J257" i="154"/>
  <c r="E257" i="154"/>
  <c r="I258" i="154"/>
  <c r="D258" i="154"/>
  <c r="J258" i="154"/>
  <c r="E258" i="154"/>
  <c r="I259" i="154"/>
  <c r="D259" i="154"/>
  <c r="J259" i="154"/>
  <c r="E259" i="154"/>
  <c r="I260" i="154"/>
  <c r="D260" i="154"/>
  <c r="J260" i="154"/>
  <c r="E260" i="154"/>
  <c r="I261" i="154"/>
  <c r="D261" i="154"/>
  <c r="J261" i="154"/>
  <c r="E261" i="154"/>
  <c r="I262" i="154"/>
  <c r="D262" i="154"/>
  <c r="J262" i="154"/>
  <c r="E262" i="154"/>
  <c r="I263" i="154"/>
  <c r="D263" i="154"/>
  <c r="J263" i="154"/>
  <c r="E263" i="154"/>
  <c r="I264" i="154"/>
  <c r="D264" i="154"/>
  <c r="J264" i="154"/>
  <c r="E264" i="154"/>
  <c r="I265" i="154"/>
  <c r="D265" i="154"/>
  <c r="J265" i="154"/>
  <c r="E265" i="154"/>
  <c r="I266" i="154"/>
  <c r="D266" i="154"/>
  <c r="J266" i="154"/>
  <c r="E266" i="154"/>
  <c r="I267" i="154"/>
  <c r="D267" i="154"/>
  <c r="J267" i="154"/>
  <c r="E267" i="154"/>
  <c r="I268" i="154"/>
  <c r="D268" i="154"/>
  <c r="J268" i="154"/>
  <c r="E268" i="154"/>
  <c r="I269" i="154"/>
  <c r="D269" i="154"/>
  <c r="J269" i="154"/>
  <c r="E269" i="154"/>
  <c r="I270" i="154"/>
  <c r="D270" i="154"/>
  <c r="J270" i="154"/>
  <c r="E270" i="154"/>
  <c r="I271" i="154"/>
  <c r="D271" i="154"/>
  <c r="J271" i="154"/>
  <c r="E271" i="154"/>
  <c r="I272" i="154"/>
  <c r="D272" i="154"/>
  <c r="J272" i="154"/>
  <c r="E272" i="154"/>
  <c r="I273" i="154"/>
  <c r="D273" i="154"/>
  <c r="J273" i="154"/>
  <c r="E273" i="154"/>
  <c r="I274" i="154"/>
  <c r="D274" i="154"/>
  <c r="J274" i="154"/>
  <c r="E274" i="154"/>
  <c r="I275" i="154"/>
  <c r="D275" i="154"/>
  <c r="J275" i="154"/>
  <c r="E275" i="154"/>
  <c r="I276" i="154"/>
  <c r="D276" i="154"/>
  <c r="J276" i="154"/>
  <c r="E276" i="154"/>
  <c r="I277" i="154"/>
  <c r="D277" i="154"/>
  <c r="J277" i="154"/>
  <c r="E277" i="154"/>
  <c r="I278" i="154"/>
  <c r="D278" i="154"/>
  <c r="J278" i="154"/>
  <c r="E278" i="154"/>
  <c r="I279" i="154"/>
  <c r="D279" i="154"/>
  <c r="J279" i="154"/>
  <c r="E279" i="154"/>
  <c r="I280" i="154"/>
  <c r="D280" i="154"/>
  <c r="J280" i="154"/>
  <c r="E280" i="154"/>
  <c r="I281" i="154"/>
  <c r="D281" i="154"/>
  <c r="J281" i="154"/>
  <c r="E281" i="154"/>
  <c r="I282" i="154"/>
  <c r="D282" i="154"/>
  <c r="J282" i="154"/>
  <c r="E282" i="154"/>
  <c r="I283" i="154"/>
  <c r="D283" i="154"/>
  <c r="J283" i="154"/>
  <c r="E283" i="154"/>
  <c r="I284" i="154"/>
  <c r="D284" i="154"/>
  <c r="J284" i="154"/>
  <c r="E284" i="154"/>
  <c r="I285" i="154"/>
  <c r="D285" i="154"/>
  <c r="J285" i="154"/>
  <c r="E285" i="154"/>
  <c r="I286" i="154"/>
  <c r="D286" i="154"/>
  <c r="J286" i="154"/>
  <c r="E286" i="154"/>
  <c r="I287" i="154"/>
  <c r="D287" i="154"/>
  <c r="J287" i="154"/>
  <c r="E287" i="154"/>
  <c r="I288" i="154"/>
  <c r="D288" i="154"/>
  <c r="J288" i="154"/>
  <c r="E288" i="154"/>
  <c r="I289" i="154"/>
  <c r="D289" i="154"/>
  <c r="J289" i="154"/>
  <c r="E289" i="154"/>
  <c r="I290" i="154"/>
  <c r="D290" i="154"/>
  <c r="J290" i="154"/>
  <c r="E290" i="154"/>
  <c r="I291" i="154"/>
  <c r="D291" i="154"/>
  <c r="J291" i="154"/>
  <c r="E291" i="154"/>
  <c r="I292" i="154"/>
  <c r="D292" i="154"/>
  <c r="J292" i="154"/>
  <c r="E292" i="154"/>
  <c r="I293" i="154"/>
  <c r="D293" i="154"/>
  <c r="J293" i="154"/>
  <c r="E293" i="154"/>
  <c r="I294" i="154"/>
  <c r="D294" i="154"/>
  <c r="J294" i="154"/>
  <c r="E294" i="154"/>
  <c r="I295" i="154"/>
  <c r="D295" i="154"/>
  <c r="J295" i="154"/>
  <c r="E295" i="154"/>
  <c r="I296" i="154"/>
  <c r="D296" i="154"/>
  <c r="J296" i="154"/>
  <c r="E296" i="154"/>
  <c r="I297" i="154"/>
  <c r="D297" i="154"/>
  <c r="J297" i="154"/>
  <c r="E297" i="154"/>
  <c r="I298" i="154"/>
  <c r="D298" i="154"/>
  <c r="J298" i="154"/>
  <c r="E298" i="154"/>
  <c r="I299" i="154"/>
  <c r="D299" i="154"/>
  <c r="J299" i="154"/>
  <c r="E299" i="154"/>
  <c r="I300" i="154"/>
  <c r="D300" i="154"/>
  <c r="J300" i="154"/>
  <c r="E300" i="154"/>
  <c r="I301" i="154"/>
  <c r="D301" i="154"/>
  <c r="J301" i="154"/>
  <c r="E301" i="154"/>
  <c r="I302" i="154"/>
  <c r="D302" i="154"/>
  <c r="J302" i="154"/>
  <c r="E302" i="154"/>
  <c r="I303" i="154"/>
  <c r="D303" i="154"/>
  <c r="J303" i="154"/>
  <c r="E303" i="154"/>
  <c r="I304" i="154"/>
  <c r="D304" i="154"/>
  <c r="J304" i="154"/>
  <c r="E304" i="154"/>
  <c r="I305" i="154"/>
  <c r="D305" i="154"/>
  <c r="J305" i="154"/>
  <c r="E305" i="154"/>
  <c r="I306" i="154"/>
  <c r="D306" i="154"/>
  <c r="J306" i="154"/>
  <c r="E306" i="154"/>
  <c r="I307" i="154"/>
  <c r="D307" i="154"/>
  <c r="J307" i="154"/>
  <c r="E307" i="154"/>
  <c r="I308" i="154"/>
  <c r="D308" i="154"/>
  <c r="J308" i="154"/>
  <c r="E308" i="154"/>
  <c r="I309" i="154"/>
  <c r="D309" i="154"/>
  <c r="J309" i="154"/>
  <c r="E309" i="154"/>
  <c r="I310" i="154"/>
  <c r="D310" i="154"/>
  <c r="J310" i="154"/>
  <c r="E310" i="154"/>
  <c r="I311" i="154"/>
  <c r="D311" i="154"/>
  <c r="J311" i="154"/>
  <c r="E311" i="154"/>
  <c r="I312" i="154"/>
  <c r="D312" i="154"/>
  <c r="J312" i="154"/>
  <c r="E312" i="154"/>
  <c r="I313" i="154"/>
  <c r="D313" i="154"/>
  <c r="J313" i="154"/>
  <c r="E313" i="154"/>
  <c r="I314" i="154"/>
  <c r="D314" i="154"/>
  <c r="J314" i="154"/>
  <c r="E314" i="154"/>
  <c r="I315" i="154"/>
  <c r="D315" i="154"/>
  <c r="J315" i="154"/>
  <c r="E315" i="154"/>
  <c r="I316" i="154"/>
  <c r="D316" i="154"/>
  <c r="J316" i="154"/>
  <c r="E316" i="154"/>
  <c r="I317" i="154"/>
  <c r="D317" i="154"/>
  <c r="J317" i="154"/>
  <c r="E317" i="154"/>
  <c r="I318" i="154"/>
  <c r="D318" i="154"/>
  <c r="J318" i="154"/>
  <c r="E318" i="154"/>
  <c r="I319" i="154"/>
  <c r="D319" i="154"/>
  <c r="J319" i="154"/>
  <c r="E319" i="154"/>
  <c r="I320" i="154"/>
  <c r="D320" i="154"/>
  <c r="J320" i="154"/>
  <c r="E320" i="154"/>
  <c r="I321" i="154"/>
  <c r="D321" i="154"/>
  <c r="J321" i="154"/>
  <c r="E321" i="154"/>
  <c r="I322" i="154"/>
  <c r="D322" i="154"/>
  <c r="J322" i="154"/>
  <c r="E322" i="154"/>
  <c r="I323" i="154"/>
  <c r="D323" i="154"/>
  <c r="J323" i="154"/>
  <c r="E323" i="154"/>
  <c r="I324" i="154"/>
  <c r="D324" i="154"/>
  <c r="J324" i="154"/>
  <c r="E324" i="154"/>
  <c r="M9" i="153"/>
  <c r="M8" i="153"/>
  <c r="M7" i="153"/>
  <c r="M6" i="153"/>
  <c r="R6" i="157"/>
  <c r="R7" i="157"/>
  <c r="R8" i="157"/>
  <c r="R9" i="157"/>
  <c r="F320" i="154"/>
  <c r="H320" i="154"/>
  <c r="K320" i="154"/>
  <c r="L320" i="154"/>
  <c r="M320" i="154"/>
  <c r="N320" i="154"/>
  <c r="F321" i="154"/>
  <c r="F322" i="154"/>
  <c r="F323" i="154"/>
  <c r="F324" i="154"/>
  <c r="R6" i="153"/>
  <c r="R7" i="153"/>
  <c r="R8" i="153"/>
  <c r="R9" i="153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F320" i="158"/>
  <c r="H320" i="158"/>
  <c r="K320" i="158"/>
  <c r="L320" i="158"/>
  <c r="M320" i="158"/>
  <c r="N320" i="158"/>
  <c r="F321" i="158"/>
  <c r="F322" i="158"/>
  <c r="F323" i="158"/>
  <c r="F324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F315" i="154"/>
  <c r="H315" i="154"/>
  <c r="K315" i="154"/>
  <c r="L315" i="154"/>
  <c r="M315" i="154"/>
  <c r="N315" i="154"/>
  <c r="F316" i="154"/>
  <c r="F317" i="154"/>
  <c r="F318" i="154"/>
  <c r="F319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F315" i="158"/>
  <c r="H315" i="158"/>
  <c r="K315" i="158"/>
  <c r="L315" i="158"/>
  <c r="M315" i="158"/>
  <c r="N315" i="158"/>
  <c r="F316" i="158"/>
  <c r="F317" i="158"/>
  <c r="F318" i="158"/>
  <c r="F319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F310" i="154"/>
  <c r="H310" i="154"/>
  <c r="K310" i="154"/>
  <c r="L310" i="154"/>
  <c r="M310" i="154"/>
  <c r="N310" i="154"/>
  <c r="F311" i="154"/>
  <c r="F312" i="154"/>
  <c r="F313" i="154"/>
  <c r="F314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F310" i="158"/>
  <c r="H310" i="158"/>
  <c r="K310" i="158"/>
  <c r="L310" i="158"/>
  <c r="M310" i="158"/>
  <c r="N310" i="158"/>
  <c r="F311" i="158"/>
  <c r="F312" i="158"/>
  <c r="F313" i="158"/>
  <c r="F314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F300" i="154"/>
  <c r="H300" i="154"/>
  <c r="K300" i="154"/>
  <c r="L300" i="154"/>
  <c r="M300" i="154"/>
  <c r="N300" i="154"/>
  <c r="F301" i="154"/>
  <c r="F302" i="154"/>
  <c r="F303" i="154"/>
  <c r="F304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10" i="153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V4" i="157"/>
  <c r="P4" i="157"/>
  <c r="O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<sst xmlns="http://schemas.openxmlformats.org/spreadsheetml/2006/main" count="550" uniqueCount="271">
  <si>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</si>
  <si>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</si>
  <si>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</si>
  <si>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</si>
  <si>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</si>
  <si>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</si>
  <si>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</si>
  <si>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</si>
  <si>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</si>
  <si>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</si>
  <si>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</si>
  <si>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</si>
  <si>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</si>
  <si>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</si>
  <si>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</si>
  <si>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</si>
  <si>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</si>
  <si>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</si>
  <si>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</si>
  <si>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</si>
  <si>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</si>
  <si>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</si>
  <si>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</si>
  <si>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</si>
  <si>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</si>
  <si>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</si>
  <si>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</si>
  <si>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</si>
  <si>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</si>
  <si>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</si>
  <si>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</si>
  <si>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</si>
  <si>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</si>
  <si>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</si>
  <si>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</si>
  <si>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</si>
  <si>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</si>
  <si>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</si>
  <si>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</si>
  <si>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</si>
  <si>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</si>
  <si>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</si>
  <si>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</si>
  <si>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</si>
  <si>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</si>
  <si>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</si>
  <si>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</si>
  <si>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</si>
  <si>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</si>
  <si>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</si>
  <si>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</si>
  <si>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</si>
  <si>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</si>
  <si>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</si>
  <si>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</si>
  <si>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</si>
  <si>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</si>
  <si>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</si>
  <si>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</si>
  <si>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</si>
  <si>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</si>
  <si>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</si>
  <si>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</si>
  <si>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</si>
  <si>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</si>
  <si>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</si>
  <si>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</si>
  <si>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</si>
  <si>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</si>
  <si>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</si>
  <si>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</si>
  <si>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</si>
  <si>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</si>
  <si>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</si>
  <si>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</si>
  <si>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</si>
  <si>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</si>
  <si>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</si>
  <si>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</si>
  <si>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</si>
  <si>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</si>
  <si>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</si>
  <si>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</si>
  <si>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</si>
  <si>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</si>
  <si>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</si>
  <si>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</si>
  <si>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</si>
  <si>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</si>
  <si>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</si>
  <si>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</si>
  <si>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</si>
  <si>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</si>
  <si>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</si>
  <si>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</si>
  <si>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</si>
  <si>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</si>
  <si>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</si>
  <si>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</si>
  <si>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</si>
  <si>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</si>
  <si>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</si>
  <si>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</si>
  <si>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</si>
  <si>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</si>
  <si>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</si>
  <si>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</si>
  <si>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</si>
  <si>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</si>
  <si>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</si>
  <si>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</si>
  <si>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</si>
  <si>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</si>
  <si>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</si>
  <si>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</si>
  <si>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</si>
  <si>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</si>
  <si>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</si>
  <si>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</si>
  <si>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</si>
  <si>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</si>
  <si>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</si>
  <si>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</si>
  <si>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</si>
  <si>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</si>
  <si>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</si>
  <si>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</si>
  <si>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</si>
  <si>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</si>
  <si>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</si>
  <si>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</si>
  <si>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</si>
  <si>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</si>
  <si>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</si>
  <si>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</si>
  <si>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</si>
  <si>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</si>
  <si>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</si>
  <si>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</si>
  <si>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</si>
  <si>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</si>
  <si>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</si>
  <si>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</si>
  <si>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</si>
  <si>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</si>
  <si>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</si>
  <si>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</si>
  <si>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</si>
  <si>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</si>
  <si>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</si>
  <si>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</si>
  <si>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</si>
  <si>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</si>
  <si>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</si>
  <si>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</si>
  <si>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</si>
  <si>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</si>
  <si>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</si>
  <si>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</si>
  <si>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</si>
  <si>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</si>
  <si>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</si>
  <si>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</si>
  <si>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</si>
  <si>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</si>
  <si>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</si>
  <si>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</si>
  <si>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</si>
  <si>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</si>
  <si>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</si>
  <si>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</si>
  <si>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</si>
  <si>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</si>
  <si>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</si>
  <si>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</si>
  <si>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</si>
  <si>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</si>
  <si>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</si>
  <si>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</si>
  <si>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</si>
  <si>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</si>
  <si>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</si>
  <si>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</si>
  <si>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</si>
  <si>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</si>
  <si>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</si>
  <si>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</si>
  <si>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</si>
  <si>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</si>
  <si>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</si>
  <si>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</si>
  <si>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</si>
  <si>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</si>
  <si>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</si>
  <si>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</si>
  <si>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</si>
  <si>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</si>
  <si>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</si>
  <si>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</si>
  <si>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</si>
  <si>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</si>
  <si>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</si>
  <si>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</si>
  <si>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</si>
  <si>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</si>
  <si>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</si>
  <si>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</si>
  <si>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</si>
  <si>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</si>
  <si>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</si>
  <si>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</si>
  <si>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</si>
  <si>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</si>
  <si>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</si>
  <si>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</si>
  <si>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</si>
  <si>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</si>
  <si>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</si>
  <si>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</si>
  <si>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</si>
  <si>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</si>
  <si>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</si>
  <si>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</si>
  <si>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</si>
  <si>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</si>
  <si>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</si>
  <si>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</si>
  <si>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</si>
  <si>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</si>
  <si>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</si>
  <si>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</si>
  <si>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</si>
  <si>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</si>
  <si>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</si>
  <si>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</si>
  <si>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</si>
  <si>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</si>
  <si>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</si>
  <si>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</si>
  <si>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</si>
  <si>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</si>
  <si>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</si>
  <si>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</si>
  <si>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</si>
  <si>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</si>
  <si>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</si>
  <si>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</si>
  <si>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</si>
  <si>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tables_432100</t>
    <phoneticPr fontId="21"/>
  </si>
  <si>
    <t>tables_432010</t>
    <phoneticPr fontId="21"/>
  </si>
  <si>
    <t>old</t>
    <phoneticPr fontId="21"/>
  </si>
  <si>
    <t>gacha_settle_tables_</t>
    <phoneticPr fontId="21"/>
  </si>
  <si>
    <t>.tmp</t>
    <phoneticPr fontId="54"/>
  </si>
  <si>
    <t>tables_settle_432105</t>
    <phoneticPr fontId="21"/>
  </si>
  <si>
    <t>PremiumW3</t>
    <phoneticPr fontId="21"/>
  </si>
  <si>
    <t>PremiumW3color</t>
  </si>
  <si>
    <t>PremiumW4color</t>
  </si>
  <si>
    <t>Premium3color</t>
  </si>
  <si>
    <t>Premium4color</t>
  </si>
  <si>
    <t>Premium5color</t>
  </si>
  <si>
    <t>Premium4R3lesscolor</t>
  </si>
  <si>
    <t>Premium5R3lesscolor</t>
  </si>
  <si>
    <t>Premium3R6releasecolor</t>
  </si>
  <si>
    <t>Premium4R6releasecolor</t>
  </si>
  <si>
    <t>Premium5R6releasecolor</t>
  </si>
  <si>
    <t>PremiumSS4color</t>
  </si>
  <si>
    <t>PremiumSS5color</t>
  </si>
  <si>
    <t>PremiumSS5R5onlycolor</t>
  </si>
  <si>
    <t>PremiumSSS4R3lesscolor</t>
  </si>
  <si>
    <t>PremiumSSS5R3lesscolor</t>
  </si>
  <si>
    <t>PremiumSSw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</si>
</sst>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</v>
          </cell>
          <cell r="K1160" t="str">
            <v>attack</v>
          </cell>
          <cell r="L1160" t="str">
            <v>攻撃タイプ</v>
          </cell>
          <cell r="M1160" t="str">
            <v>god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</v>
          </cell>
          <cell r="K1161" t="str">
            <v>attack</v>
          </cell>
          <cell r="L1161" t="str">
            <v>攻撃タイプ</v>
          </cell>
          <cell r="M1161" t="str">
            <v>god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ポチ_ハロウィン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L1188" t="str">
            <v>攻撃タイプ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ジョー_ハロウィン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ジェリー_ハロウィン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エレキポッド_ハロウィン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オリジナル_ウィザード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オリジナル_ウィザード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ランスロット_ハロウィン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オリジナル_ガチャあたり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オリジナル_ガチャあたり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ラプンツェル_ハロウィン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バフォメット_ハロウィン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balance</v>
          </cell>
          <cell r="L1198" t="str">
            <v>バランスタイプ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ピノキオ_ハロウィン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attack</v>
          </cell>
          <cell r="L1199" t="str">
            <v>攻撃タイプ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ケルベロス_ハロウィン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L1219" t="str">
            <v>攻撃タイプ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L1220" t="str">
            <v>攻撃タイプ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L1221" t="str">
            <v>攻撃タイプ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L1222" t="str">
            <v>攻撃タイプ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L1223" t="str">
            <v>攻撃タイプ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L1224" t="str">
            <v>攻撃タイプ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L1231" t="str">
            <v>攻撃タイプ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L1232" t="str">
            <v>攻撃タイプ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6001</v>
          </cell>
          <cell r="B1296" t="str">
            <v>ja</v>
          </cell>
          <cell r="C1296" t="str">
            <v>ジェリー</v>
          </cell>
          <cell r="D1296" t="str">
            <v>ノーマルクエスト</v>
          </cell>
          <cell r="E1296" t="str">
            <v>QoH</v>
          </cell>
          <cell r="F1296" t="str">
            <v>世界観</v>
          </cell>
          <cell r="G1296" t="str">
            <v>不明</v>
          </cell>
          <cell r="H1296" t="str">
            <v>red</v>
          </cell>
          <cell r="I1296">
            <v>1</v>
          </cell>
          <cell r="J1296" t="str">
            <v>Drop1T</v>
          </cell>
          <cell r="K1296" t="str">
            <v>ra</v>
          </cell>
          <cell r="L1296" t="str">
            <v>ラグランジュチャレンジ</v>
          </cell>
          <cell r="M1296" t="str">
            <v>unknown</v>
          </cell>
        </row>
        <row r="1297">
          <cell r="A1297">
            <v>6002</v>
          </cell>
          <cell r="B1297" t="str">
            <v>ja</v>
          </cell>
          <cell r="C1297" t="str">
            <v>ヨシタカ</v>
          </cell>
          <cell r="D1297" t="str">
            <v>ノーマルクエスト</v>
          </cell>
          <cell r="E1297" t="str">
            <v>アバター</v>
          </cell>
          <cell r="F1297" t="str">
            <v>世界観</v>
          </cell>
          <cell r="G1297" t="str">
            <v>男性</v>
          </cell>
          <cell r="H1297" t="str">
            <v>red</v>
          </cell>
          <cell r="I1297">
            <v>2</v>
          </cell>
          <cell r="J1297" t="str">
            <v>Drop1N</v>
          </cell>
          <cell r="K1297" t="str">
            <v>ra</v>
          </cell>
          <cell r="L1297" t="str">
            <v>ラグランジュチャレンジ</v>
          </cell>
          <cell r="M1297" t="str">
            <v>human</v>
          </cell>
        </row>
        <row r="1298">
          <cell r="A1298">
            <v>6003</v>
          </cell>
          <cell r="B1298" t="str">
            <v>ja</v>
          </cell>
          <cell r="C1298" t="str">
            <v>朱雀</v>
          </cell>
          <cell r="D1298" t="str">
            <v>リンクガチャ:4神</v>
          </cell>
          <cell r="E1298" t="str">
            <v>守護神</v>
          </cell>
          <cell r="F1298" t="str">
            <v>格好いい</v>
          </cell>
          <cell r="G1298" t="str">
            <v>不明</v>
          </cell>
          <cell r="H1298" t="str">
            <v>red</v>
          </cell>
          <cell r="I1298">
            <v>3</v>
          </cell>
          <cell r="J1298" t="str">
            <v>Drop2N</v>
          </cell>
          <cell r="K1298" t="str">
            <v>ra</v>
          </cell>
          <cell r="L1298" t="str">
            <v>ラグランジュチャレンジ</v>
          </cell>
          <cell r="M1298" t="str">
            <v>animal</v>
          </cell>
        </row>
        <row r="1299">
          <cell r="A1299">
            <v>6004</v>
          </cell>
          <cell r="B1299" t="str">
            <v>ja</v>
          </cell>
          <cell r="C1299" t="str">
            <v>ブレット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不明</v>
          </cell>
          <cell r="H1299" t="str">
            <v>red</v>
          </cell>
          <cell r="I1299">
            <v>1</v>
          </cell>
          <cell r="J1299" t="str">
            <v>Drop1W</v>
          </cell>
          <cell r="K1299" t="str">
            <v>ra</v>
          </cell>
          <cell r="L1299" t="str">
            <v>ラグランジュチャレンジ</v>
          </cell>
          <cell r="M1299" t="str">
            <v>animal</v>
          </cell>
        </row>
        <row r="1300">
          <cell r="A1300">
            <v>6005</v>
          </cell>
          <cell r="B1300" t="str">
            <v>ja</v>
          </cell>
          <cell r="C1300" t="str">
            <v>孤神 テティス</v>
          </cell>
          <cell r="D1300" t="str">
            <v>初期ガチャ</v>
          </cell>
          <cell r="E1300" t="str">
            <v>管理者</v>
          </cell>
          <cell r="F1300" t="str">
            <v>美しい</v>
          </cell>
          <cell r="G1300" t="str">
            <v>女性</v>
          </cell>
          <cell r="H1300" t="str">
            <v>blue</v>
          </cell>
          <cell r="I1300">
            <v>4</v>
          </cell>
          <cell r="J1300" t="str">
            <v>PremiumN</v>
          </cell>
          <cell r="K1300" t="str">
            <v>ra</v>
          </cell>
          <cell r="L1300" t="str">
            <v>ラグランジュチャレンジ</v>
          </cell>
          <cell r="M1300" t="str">
            <v>god</v>
          </cell>
        </row>
        <row r="1301">
          <cell r="A1301">
            <v>6006</v>
          </cell>
          <cell r="B1301" t="str">
            <v>ja</v>
          </cell>
          <cell r="C1301" t="str">
            <v>海底の孤高神 テティス</v>
          </cell>
          <cell r="D1301" t="str">
            <v>初期ガチャ</v>
          </cell>
          <cell r="E1301" t="str">
            <v>管理者</v>
          </cell>
          <cell r="F1301" t="str">
            <v>美しい</v>
          </cell>
          <cell r="G1301" t="str">
            <v>女性</v>
          </cell>
          <cell r="H1301" t="str">
            <v>blue</v>
          </cell>
          <cell r="I1301">
            <v>5</v>
          </cell>
          <cell r="J1301" t="str">
            <v>PremiumN</v>
          </cell>
          <cell r="K1301" t="str">
            <v>ra</v>
          </cell>
          <cell r="L1301" t="str">
            <v>ラグランジュチャレンジ</v>
          </cell>
          <cell r="M1301" t="str">
            <v>god</v>
          </cell>
        </row>
        <row r="1302">
          <cell r="A1302">
            <v>6007</v>
          </cell>
          <cell r="B1302" t="str">
            <v>ja</v>
          </cell>
          <cell r="C1302" t="str">
            <v>番犬 ケルベロス</v>
          </cell>
          <cell r="D1302" t="str">
            <v>初期ガチャ</v>
          </cell>
          <cell r="E1302" t="str">
            <v>破界者</v>
          </cell>
          <cell r="F1302" t="str">
            <v>可愛い</v>
          </cell>
          <cell r="G1302" t="str">
            <v>女性</v>
          </cell>
          <cell r="H1302" t="str">
            <v>red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6008</v>
          </cell>
          <cell r="B1303" t="str">
            <v>ja</v>
          </cell>
          <cell r="C1303" t="str">
            <v>焔神 プロメテウス</v>
          </cell>
          <cell r="D1303" t="str">
            <v>初期ガチャ</v>
          </cell>
          <cell r="E1303" t="str">
            <v>管理者</v>
          </cell>
          <cell r="F1303" t="str">
            <v>格好いい</v>
          </cell>
          <cell r="G1303" t="str">
            <v>男性</v>
          </cell>
          <cell r="H1303" t="str">
            <v>red</v>
          </cell>
          <cell r="I1303">
            <v>4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6009</v>
          </cell>
          <cell r="B1304" t="str">
            <v>ja</v>
          </cell>
          <cell r="C1304" t="str">
            <v>超越自我 ラグランジュ</v>
          </cell>
          <cell r="D1304" t="str">
            <v>ガチャ:フィーバーフェス02</v>
          </cell>
          <cell r="E1304" t="str">
            <v>執行者</v>
          </cell>
          <cell r="F1304" t="str">
            <v>格好いい</v>
          </cell>
          <cell r="G1304" t="str">
            <v>女性</v>
          </cell>
          <cell r="H1304" t="str">
            <v>red</v>
          </cell>
          <cell r="I1304">
            <v>5</v>
          </cell>
          <cell r="J1304" t="str">
            <v>PremiumSSS</v>
          </cell>
          <cell r="K1304" t="str">
            <v>ra</v>
          </cell>
          <cell r="L1304" t="str">
            <v>ラグランジュチャレンジ</v>
          </cell>
          <cell r="M1304" t="str">
            <v>human</v>
          </cell>
        </row>
        <row r="1305">
          <cell r="A1305">
            <v>6010</v>
          </cell>
          <cell r="B1305" t="str">
            <v>ja</v>
          </cell>
          <cell r="C1305" t="str">
            <v>超越凌駕 ラグランジュ</v>
          </cell>
          <cell r="D1305" t="str">
            <v>ガチャ:フィーバーフェス02</v>
          </cell>
          <cell r="E1305" t="str">
            <v>執行者</v>
          </cell>
          <cell r="F1305" t="str">
            <v>格好いい</v>
          </cell>
          <cell r="G1305" t="str">
            <v>女性</v>
          </cell>
          <cell r="H1305" t="str">
            <v>red</v>
          </cell>
          <cell r="I1305">
            <v>6</v>
          </cell>
          <cell r="J1305" t="str">
            <v>PremiumSSS</v>
          </cell>
          <cell r="K1305" t="str">
            <v>ra</v>
          </cell>
          <cell r="L1305" t="str">
            <v>ラグランジュチャレンジ</v>
          </cell>
          <cell r="M1305" t="str">
            <v>human</v>
          </cell>
        </row>
        <row r="1306">
          <cell r="A1306">
            <v>6011</v>
          </cell>
          <cell r="B1306" t="str">
            <v>ja</v>
          </cell>
          <cell r="C1306" t="str">
            <v>パトドッグリーダー ポチ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男性</v>
          </cell>
          <cell r="H1306" t="str">
            <v>blue</v>
          </cell>
          <cell r="I1306">
            <v>2</v>
          </cell>
          <cell r="J1306" t="str">
            <v>Drop1T</v>
          </cell>
          <cell r="K1306" t="str">
            <v>ra002</v>
          </cell>
          <cell r="L1306" t="str">
            <v>ユークリッドチャレンジ</v>
          </cell>
          <cell r="M1306" t="str">
            <v>unknown</v>
          </cell>
        </row>
        <row r="1307">
          <cell r="A1307">
            <v>6012</v>
          </cell>
          <cell r="B1307" t="str">
            <v>ja</v>
          </cell>
          <cell r="C1307" t="str">
            <v>ミミ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男性</v>
          </cell>
          <cell r="H1307" t="str">
            <v>yellow</v>
          </cell>
          <cell r="I1307">
            <v>1</v>
          </cell>
          <cell r="J1307" t="str">
            <v>Drop1W</v>
          </cell>
          <cell r="K1307" t="str">
            <v>ra002</v>
          </cell>
          <cell r="L1307" t="str">
            <v>ユークリッドチャレンジ</v>
          </cell>
          <cell r="M1307" t="str">
            <v>animal</v>
          </cell>
        </row>
        <row r="1308">
          <cell r="A1308">
            <v>6013</v>
          </cell>
          <cell r="B1308" t="str">
            <v>ja</v>
          </cell>
          <cell r="C1308" t="str">
            <v>護衛機人 スケアクロウ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Drop1N</v>
          </cell>
          <cell r="K1308" t="str">
            <v>ra002</v>
          </cell>
          <cell r="L1308" t="str">
            <v>ユークリッドチャレンジ</v>
          </cell>
          <cell r="M1308" t="str">
            <v>machine</v>
          </cell>
        </row>
        <row r="1309">
          <cell r="A1309">
            <v>6014</v>
          </cell>
          <cell r="B1309" t="str">
            <v>ja</v>
          </cell>
          <cell r="C1309" t="str">
            <v>月下の人狼 ローレンス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blue</v>
          </cell>
          <cell r="I1309">
            <v>4</v>
          </cell>
          <cell r="J1309" t="str">
            <v>PremiumW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6015</v>
          </cell>
          <cell r="B1310" t="str">
            <v>ja</v>
          </cell>
          <cell r="C1310" t="str">
            <v>フレイヤ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4</v>
          </cell>
          <cell r="J1310" t="str">
            <v>PremiumSS</v>
          </cell>
          <cell r="K1310" t="str">
            <v>ra002</v>
          </cell>
          <cell r="L1310" t="str">
            <v>ユークリッドチャレンジ</v>
          </cell>
          <cell r="M1310" t="str">
            <v>animal</v>
          </cell>
        </row>
        <row r="1311">
          <cell r="A1311">
            <v>6016</v>
          </cell>
          <cell r="B1311" t="str">
            <v>ja</v>
          </cell>
          <cell r="C1311" t="str">
            <v>根原論理 ユークリッド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5</v>
          </cell>
          <cell r="J1311" t="str">
            <v>PremiumSSS</v>
          </cell>
          <cell r="K1311" t="str">
            <v>ra002</v>
          </cell>
          <cell r="L1311" t="str">
            <v>ユークリッドチャレンジ</v>
          </cell>
          <cell r="M1311" t="str">
            <v>human</v>
          </cell>
        </row>
        <row r="1312">
          <cell r="A1312">
            <v>6017</v>
          </cell>
          <cell r="B1312" t="str">
            <v>ja</v>
          </cell>
          <cell r="C1312" t="str">
            <v>不朽の極論 ユークリッド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6</v>
          </cell>
          <cell r="J1312" t="str">
            <v>PremiumSSS</v>
          </cell>
          <cell r="K1312" t="str">
            <v>ra002</v>
          </cell>
          <cell r="L1312" t="str">
            <v>ユークリッドチャレンジ</v>
          </cell>
          <cell r="M1312" t="str">
            <v>human</v>
          </cell>
        </row>
        <row r="1313">
          <cell r="A1313">
            <v>6018</v>
          </cell>
          <cell r="B1313" t="str">
            <v>ja</v>
          </cell>
          <cell r="C1313" t="str">
            <v>ハヅル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red</v>
          </cell>
          <cell r="I1313">
            <v>4</v>
          </cell>
          <cell r="J1313" t="str">
            <v>PremiumSS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6019</v>
          </cell>
          <cell r="B1314" t="str">
            <v>ja</v>
          </cell>
          <cell r="C1314" t="str">
            <v>天織羽鶴 ハヅル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red</v>
          </cell>
          <cell r="I1314">
            <v>5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6020</v>
          </cell>
          <cell r="B1315" t="str">
            <v>ja</v>
          </cell>
          <cell r="C1315" t="str">
            <v>ミズチ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PremiumS</v>
          </cell>
          <cell r="K1315" t="str">
            <v>ra002</v>
          </cell>
          <cell r="L1315" t="str">
            <v>ユークリッドチャレンジ</v>
          </cell>
          <cell r="M1315" t="str">
            <v>dragon</v>
          </cell>
        </row>
        <row r="1316">
          <cell r="A1316">
            <v>8001</v>
          </cell>
          <cell r="B1316" t="str">
            <v>ja</v>
          </cell>
          <cell r="C1316" t="str">
            <v>媽祖</v>
          </cell>
          <cell r="D1316" t="str">
            <v>イベント:ミクコラボ01</v>
          </cell>
          <cell r="E1316" t="str">
            <v>執行者</v>
          </cell>
          <cell r="F1316" t="str">
            <v>格好いい</v>
          </cell>
          <cell r="G1316" t="str">
            <v>女性</v>
          </cell>
          <cell r="H1316" t="str">
            <v>yellow</v>
          </cell>
          <cell r="I1316">
            <v>5</v>
          </cell>
          <cell r="J1316" t="str">
            <v>PremiumSS</v>
          </cell>
          <cell r="K1316" t="str">
            <v>attack</v>
          </cell>
          <cell r="L1316" t="str">
            <v>攻撃タイプ</v>
          </cell>
          <cell r="M1316" t="str">
            <v>god</v>
          </cell>
        </row>
        <row r="1317">
          <cell r="A1317">
            <v>8002</v>
          </cell>
          <cell r="B1317" t="str">
            <v>ja</v>
          </cell>
          <cell r="C1317" t="str">
            <v>天后 媽祖</v>
          </cell>
          <cell r="D1317" t="str">
            <v>イベント:ミクコラボ01</v>
          </cell>
          <cell r="E1317" t="str">
            <v>執行者</v>
          </cell>
          <cell r="F1317" t="str">
            <v>格好いい</v>
          </cell>
          <cell r="G1317" t="str">
            <v>女性</v>
          </cell>
          <cell r="H1317" t="str">
            <v>yellow</v>
          </cell>
          <cell r="I1317">
            <v>6</v>
          </cell>
          <cell r="J1317" t="str">
            <v>PremiumSS</v>
          </cell>
          <cell r="K1317" t="str">
            <v>attack</v>
          </cell>
          <cell r="L1317" t="str">
            <v>攻撃タイプ</v>
          </cell>
          <cell r="M1317" t="str">
            <v>god</v>
          </cell>
        </row>
        <row r="1318">
          <cell r="A1318">
            <v>8003</v>
          </cell>
          <cell r="B1318" t="str">
            <v>ja</v>
          </cell>
          <cell r="C1318" t="str">
            <v>蛟龍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不明</v>
          </cell>
          <cell r="H1318" t="str">
            <v>blue</v>
          </cell>
          <cell r="I1318">
            <v>5</v>
          </cell>
          <cell r="J1318" t="str">
            <v>DropWizS</v>
          </cell>
          <cell r="K1318" t="str">
            <v>hp</v>
          </cell>
          <cell r="L1318" t="str">
            <v>体力タイプ</v>
          </cell>
          <cell r="M1318" t="str">
            <v>dragon</v>
          </cell>
        </row>
        <row r="1319">
          <cell r="A1319">
            <v>8004</v>
          </cell>
          <cell r="B1319" t="str">
            <v>ja</v>
          </cell>
          <cell r="C1319" t="str">
            <v>深海蛟龍怪‧晏公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不明</v>
          </cell>
          <cell r="H1319" t="str">
            <v>blue</v>
          </cell>
          <cell r="I1319">
            <v>6</v>
          </cell>
          <cell r="J1319" t="str">
            <v>DropWizS</v>
          </cell>
          <cell r="K1319" t="str">
            <v>hp</v>
          </cell>
          <cell r="L1319" t="str">
            <v>体力タイプ</v>
          </cell>
          <cell r="M1319" t="str">
            <v>dragon</v>
          </cell>
        </row>
        <row r="1320">
          <cell r="A1320">
            <v>8005</v>
          </cell>
          <cell r="B1320" t="str">
            <v>ja</v>
          </cell>
          <cell r="C1320" t="str">
            <v>三蔵法師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PremiumSS</v>
          </cell>
          <cell r="K1320" t="str">
            <v>balance</v>
          </cell>
          <cell r="L1320" t="str">
            <v>バランスタイプ</v>
          </cell>
          <cell r="M1320" t="str">
            <v>human</v>
          </cell>
        </row>
        <row r="1321">
          <cell r="A1321">
            <v>8006</v>
          </cell>
          <cell r="B1321" t="str">
            <v>ja</v>
          </cell>
          <cell r="C1321" t="str">
            <v>三蔵法師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human</v>
          </cell>
        </row>
        <row r="1322">
          <cell r="A1322">
            <v>8007</v>
          </cell>
          <cell r="B1322" t="str">
            <v>ja</v>
          </cell>
          <cell r="C1322" t="str">
            <v>孫悟空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red</v>
          </cell>
          <cell r="I1322">
            <v>5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animal</v>
          </cell>
        </row>
        <row r="1323">
          <cell r="A1323">
            <v>8008</v>
          </cell>
          <cell r="B1323" t="str">
            <v>ja</v>
          </cell>
          <cell r="C1323" t="str">
            <v>孫悟空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red</v>
          </cell>
          <cell r="I1323">
            <v>6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animal</v>
          </cell>
        </row>
        <row r="1324">
          <cell r="A1324">
            <v>8009</v>
          </cell>
          <cell r="B1324" t="str">
            <v>ja</v>
          </cell>
          <cell r="C1324" t="str">
            <v>西王娘娘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green</v>
          </cell>
          <cell r="I1324">
            <v>5</v>
          </cell>
          <cell r="J1324" t="str">
            <v>PremiumSS</v>
          </cell>
          <cell r="K1324" t="str">
            <v>attack</v>
          </cell>
          <cell r="L1324" t="str">
            <v>攻撃タイプ</v>
          </cell>
          <cell r="M1324" t="str">
            <v>god</v>
          </cell>
        </row>
        <row r="1325">
          <cell r="A1325">
            <v>8010</v>
          </cell>
          <cell r="B1325" t="str">
            <v>ja</v>
          </cell>
          <cell r="C1325" t="str">
            <v>西王娘娘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green</v>
          </cell>
          <cell r="I1325">
            <v>6</v>
          </cell>
          <cell r="J1325" t="str">
            <v>PremiumSS</v>
          </cell>
          <cell r="K1325" t="str">
            <v>attack</v>
          </cell>
          <cell r="L1325" t="str">
            <v>攻撃タイプ</v>
          </cell>
          <cell r="M1325" t="str">
            <v>god</v>
          </cell>
        </row>
        <row r="1326">
          <cell r="A1326">
            <v>8011</v>
          </cell>
          <cell r="B1326" t="str">
            <v>ja</v>
          </cell>
          <cell r="C1326" t="str">
            <v>月下老人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女性</v>
          </cell>
          <cell r="H1326" t="str">
            <v>yellow</v>
          </cell>
          <cell r="I1326">
            <v>5</v>
          </cell>
          <cell r="J1326" t="str">
            <v>DropWizS</v>
          </cell>
          <cell r="K1326" t="str">
            <v>balance</v>
          </cell>
          <cell r="L1326" t="str">
            <v>バランスタイプ</v>
          </cell>
          <cell r="M1326" t="str">
            <v>god</v>
          </cell>
        </row>
        <row r="1327">
          <cell r="A1327">
            <v>8012</v>
          </cell>
          <cell r="B1327" t="str">
            <v>ja</v>
          </cell>
          <cell r="C1327" t="str">
            <v>良緣祈福 月下老人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女性</v>
          </cell>
          <cell r="H1327" t="str">
            <v>yellow</v>
          </cell>
          <cell r="I1327">
            <v>6</v>
          </cell>
          <cell r="J1327" t="str">
            <v>DropWizS</v>
          </cell>
          <cell r="K1327" t="str">
            <v>balance</v>
          </cell>
          <cell r="L1327" t="str">
            <v>バランスタイプ</v>
          </cell>
          <cell r="M1327" t="str">
            <v>god</v>
          </cell>
        </row>
        <row r="1328">
          <cell r="A1328">
            <v>8013</v>
          </cell>
          <cell r="B1328" t="str">
            <v>ja</v>
          </cell>
          <cell r="C1328" t="str">
            <v>初音ミクV3</v>
          </cell>
          <cell r="D1328" t="str">
            <v>初音ミクV3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4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unknown</v>
          </cell>
        </row>
        <row r="1329">
          <cell r="A1329">
            <v>8014</v>
          </cell>
          <cell r="B1329" t="str">
            <v>ja</v>
          </cell>
          <cell r="C1329" t="str">
            <v>初音ミクV3</v>
          </cell>
          <cell r="D1329" t="str">
            <v>初音ミクV3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5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unknown</v>
          </cell>
        </row>
        <row r="1330">
          <cell r="A1330">
            <v>8015</v>
          </cell>
          <cell r="B1330" t="str">
            <v>ja</v>
          </cell>
          <cell r="C1330" t="str">
            <v>初音ミク・アペンド</v>
          </cell>
          <cell r="D1330" t="str">
            <v>初音ミク・アペンド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green</v>
          </cell>
          <cell r="I1330">
            <v>4</v>
          </cell>
          <cell r="J1330" t="str">
            <v>PremiumSSS</v>
          </cell>
          <cell r="K1330" t="str">
            <v>technical</v>
          </cell>
          <cell r="L1330" t="str">
            <v>テクニカルタイプ</v>
          </cell>
          <cell r="M1330" t="str">
            <v>unknown</v>
          </cell>
        </row>
        <row r="1331">
          <cell r="A1331">
            <v>8016</v>
          </cell>
          <cell r="B1331" t="str">
            <v>ja</v>
          </cell>
          <cell r="C1331" t="str">
            <v>初音ミク・アペンド</v>
          </cell>
          <cell r="D1331" t="str">
            <v>初音ミク・アペンド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green</v>
          </cell>
          <cell r="I1331">
            <v>5</v>
          </cell>
          <cell r="J1331" t="str">
            <v>PremiumSSS</v>
          </cell>
          <cell r="K1331" t="str">
            <v>technical</v>
          </cell>
          <cell r="L1331" t="str">
            <v>テクニカルタイプ</v>
          </cell>
          <cell r="M1331" t="str">
            <v>unknown</v>
          </cell>
        </row>
        <row r="1332">
          <cell r="A1332">
            <v>8017</v>
          </cell>
          <cell r="B1332" t="str">
            <v>ja</v>
          </cell>
          <cell r="C1332" t="str">
            <v>初音ミク</v>
          </cell>
          <cell r="D1332" t="str">
            <v>初音ミク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8018</v>
          </cell>
          <cell r="B1333" t="str">
            <v>ja</v>
          </cell>
          <cell r="C1333" t="str">
            <v>初音ミク</v>
          </cell>
          <cell r="D1333" t="str">
            <v>初音ミク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8019</v>
          </cell>
          <cell r="B1334" t="str">
            <v>ja</v>
          </cell>
          <cell r="C1334" t="str">
            <v>鏡音リン</v>
          </cell>
          <cell r="D1334" t="str">
            <v>鏡音リン</v>
          </cell>
          <cell r="E1334" t="str">
            <v>執行者</v>
          </cell>
          <cell r="F1334" t="str">
            <v>格好いい</v>
          </cell>
          <cell r="G1334" t="str">
            <v>男性</v>
          </cell>
          <cell r="H1334" t="str">
            <v>yellow</v>
          </cell>
          <cell r="I1334">
            <v>4</v>
          </cell>
          <cell r="J1334" t="str">
            <v>PremiumSS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8020</v>
          </cell>
          <cell r="B1335" t="str">
            <v>ja</v>
          </cell>
          <cell r="C1335" t="str">
            <v>鏡音リン</v>
          </cell>
          <cell r="D1335" t="str">
            <v>鏡音リン</v>
          </cell>
          <cell r="E1335" t="str">
            <v>執行者</v>
          </cell>
          <cell r="F1335" t="str">
            <v>格好いい</v>
          </cell>
          <cell r="G1335" t="str">
            <v>男性</v>
          </cell>
          <cell r="H1335" t="str">
            <v>yellow</v>
          </cell>
          <cell r="I1335">
            <v>5</v>
          </cell>
          <cell r="J1335" t="str">
            <v>PremiumSS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8021</v>
          </cell>
          <cell r="B1336" t="str">
            <v>ja</v>
          </cell>
          <cell r="C1336" t="str">
            <v>鏡音レン</v>
          </cell>
          <cell r="D1336" t="str">
            <v>鏡音レン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heal</v>
          </cell>
          <cell r="L1336" t="str">
            <v>回復タイプ</v>
          </cell>
          <cell r="M1336" t="str">
            <v>unknown</v>
          </cell>
        </row>
        <row r="1337">
          <cell r="A1337">
            <v>8022</v>
          </cell>
          <cell r="B1337" t="str">
            <v>ja</v>
          </cell>
          <cell r="C1337" t="str">
            <v>鏡音レン</v>
          </cell>
          <cell r="D1337" t="str">
            <v>鏡音レン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heal</v>
          </cell>
          <cell r="L1337" t="str">
            <v>回復タイプ</v>
          </cell>
          <cell r="M1337" t="str">
            <v>unknown</v>
          </cell>
        </row>
        <row r="1338">
          <cell r="A1338">
            <v>8023</v>
          </cell>
          <cell r="B1338" t="str">
            <v>ja</v>
          </cell>
          <cell r="C1338" t="str">
            <v>巡音ルカ</v>
          </cell>
          <cell r="D1338" t="str">
            <v>巡音ルカ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red</v>
          </cell>
          <cell r="I1338">
            <v>3</v>
          </cell>
          <cell r="J1338" t="str">
            <v>PremiumS</v>
          </cell>
          <cell r="K1338" t="str">
            <v>attack</v>
          </cell>
          <cell r="L1338" t="str">
            <v>攻撃タイプ</v>
          </cell>
          <cell r="M1338" t="str">
            <v>unknown</v>
          </cell>
        </row>
        <row r="1339">
          <cell r="A1339">
            <v>8024</v>
          </cell>
          <cell r="B1339" t="str">
            <v>ja</v>
          </cell>
          <cell r="C1339" t="str">
            <v>巡音ルカ</v>
          </cell>
          <cell r="D1339" t="str">
            <v>巡音ルカ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red</v>
          </cell>
          <cell r="I1339">
            <v>4</v>
          </cell>
          <cell r="J1339" t="str">
            <v>PremiumS</v>
          </cell>
          <cell r="K1339" t="str">
            <v>attack</v>
          </cell>
          <cell r="L1339" t="str">
            <v>攻撃タイプ</v>
          </cell>
          <cell r="M1339" t="str">
            <v>unknown</v>
          </cell>
        </row>
        <row r="1340">
          <cell r="A1340">
            <v>8025</v>
          </cell>
          <cell r="B1340" t="str">
            <v>ja</v>
          </cell>
          <cell r="C1340" t="str">
            <v>MEIKO</v>
          </cell>
          <cell r="D1340" t="str">
            <v>MEIKO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hp</v>
          </cell>
          <cell r="L1340" t="str">
            <v>体力タイプ</v>
          </cell>
          <cell r="M1340" t="str">
            <v>unknown</v>
          </cell>
        </row>
        <row r="1341">
          <cell r="A1341">
            <v>8026</v>
          </cell>
          <cell r="B1341" t="str">
            <v>ja</v>
          </cell>
          <cell r="C1341" t="str">
            <v>MEIKO</v>
          </cell>
          <cell r="D1341" t="str">
            <v>MEIKO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hp</v>
          </cell>
          <cell r="L1341" t="str">
            <v>体力タイプ</v>
          </cell>
          <cell r="M1341" t="str">
            <v>unknown</v>
          </cell>
        </row>
        <row r="1342">
          <cell r="A1342">
            <v>8027</v>
          </cell>
          <cell r="B1342" t="str">
            <v>ja</v>
          </cell>
          <cell r="C1342" t="str">
            <v>KAITO</v>
          </cell>
          <cell r="D1342" t="str">
            <v>KAITO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blue</v>
          </cell>
          <cell r="I1342">
            <v>3</v>
          </cell>
          <cell r="J1342" t="str">
            <v>PremiumS</v>
          </cell>
          <cell r="K1342" t="str">
            <v>technical</v>
          </cell>
          <cell r="L1342" t="str">
            <v>テクニカルタイプ</v>
          </cell>
          <cell r="M1342" t="str">
            <v>unknown</v>
          </cell>
        </row>
        <row r="1343">
          <cell r="A1343">
            <v>8028</v>
          </cell>
          <cell r="B1343" t="str">
            <v>ja</v>
          </cell>
          <cell r="C1343" t="str">
            <v>KAITO</v>
          </cell>
          <cell r="D1343" t="str">
            <v>KAITO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blue</v>
          </cell>
          <cell r="I1343">
            <v>4</v>
          </cell>
          <cell r="J1343" t="str">
            <v>PremiumS</v>
          </cell>
          <cell r="K1343" t="str">
            <v>technical</v>
          </cell>
          <cell r="L1343" t="str">
            <v>テクニカルタイプ</v>
          </cell>
          <cell r="M1343" t="str">
            <v>unknown</v>
          </cell>
        </row>
        <row r="1344">
          <cell r="A1344">
            <v>8029</v>
          </cell>
          <cell r="B1344" t="str">
            <v>ja</v>
          </cell>
          <cell r="C1344" t="str">
            <v>Expoミク</v>
          </cell>
          <cell r="D1344" t="str">
            <v>Expoミク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4</v>
          </cell>
          <cell r="J1344" t="str">
            <v>Drop2N</v>
          </cell>
          <cell r="K1344" t="str">
            <v>heal</v>
          </cell>
          <cell r="L1344" t="str">
            <v>回復タイプ</v>
          </cell>
          <cell r="M1344" t="str">
            <v>unknown</v>
          </cell>
        </row>
        <row r="1345">
          <cell r="A1345">
            <v>8030</v>
          </cell>
          <cell r="B1345" t="str">
            <v>ja</v>
          </cell>
          <cell r="C1345" t="str">
            <v>Expoミク</v>
          </cell>
          <cell r="D1345" t="str">
            <v>Expoミク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Drop2N</v>
          </cell>
          <cell r="K1345" t="str">
            <v>heal</v>
          </cell>
          <cell r="L1345" t="str">
            <v>回復タイプ</v>
          </cell>
          <cell r="M1345" t="str">
            <v>unknown</v>
          </cell>
        </row>
        <row r="1346">
          <cell r="A1346">
            <v>8031</v>
          </cell>
          <cell r="B1346" t="str">
            <v>ja</v>
          </cell>
          <cell r="C1346" t="str">
            <v>閻羅王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red</v>
          </cell>
          <cell r="I1346">
            <v>5</v>
          </cell>
          <cell r="J1346" t="str">
            <v>PremiumSS</v>
          </cell>
          <cell r="K1346" t="str">
            <v>balance</v>
          </cell>
          <cell r="L1346" t="str">
            <v>バランスタイプ</v>
          </cell>
          <cell r="M1346" t="str">
            <v>god</v>
          </cell>
        </row>
        <row r="1347">
          <cell r="A1347">
            <v>8032</v>
          </cell>
          <cell r="B1347" t="str">
            <v>ja</v>
          </cell>
          <cell r="C1347" t="str">
            <v>十殿閻羅王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red</v>
          </cell>
          <cell r="I1347">
            <v>6</v>
          </cell>
          <cell r="J1347" t="str">
            <v>PremiumSS</v>
          </cell>
          <cell r="K1347" t="str">
            <v>balance</v>
          </cell>
          <cell r="L1347" t="str">
            <v>バランスタイプ</v>
          </cell>
          <cell r="M1347" t="str">
            <v>god</v>
          </cell>
        </row>
        <row r="1348">
          <cell r="A1348">
            <v>8033</v>
          </cell>
          <cell r="B1348" t="str">
            <v>ja</v>
          </cell>
          <cell r="C1348" t="str">
            <v>牛頭馬面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green</v>
          </cell>
          <cell r="I1348">
            <v>5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god</v>
          </cell>
        </row>
        <row r="1349">
          <cell r="A1349">
            <v>8034</v>
          </cell>
          <cell r="B1349" t="str">
            <v>ja</v>
          </cell>
          <cell r="C1349" t="str">
            <v>牛頭馬面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green</v>
          </cell>
          <cell r="I1349">
            <v>6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god</v>
          </cell>
        </row>
        <row r="1350">
          <cell r="A1350">
            <v>8035</v>
          </cell>
          <cell r="B1350" t="str">
            <v>ja</v>
          </cell>
          <cell r="C1350" t="str">
            <v>嫦娥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8036</v>
          </cell>
          <cell r="B1351" t="str">
            <v>ja</v>
          </cell>
          <cell r="C1351" t="str">
            <v>嫦娥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8037</v>
          </cell>
          <cell r="B1352" t="str">
            <v>ja</v>
          </cell>
          <cell r="C1352" t="str">
            <v>后羿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8038</v>
          </cell>
          <cell r="B1353" t="str">
            <v>ja</v>
          </cell>
          <cell r="C1353" t="str">
            <v>后羿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8039</v>
          </cell>
          <cell r="B1354" t="str">
            <v>ja</v>
          </cell>
          <cell r="C1354" t="str">
            <v>何仙姑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8040</v>
          </cell>
          <cell r="B1355" t="str">
            <v>ja</v>
          </cell>
          <cell r="C1355" t="str">
            <v>何仙姑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8041</v>
          </cell>
          <cell r="B1356" t="str">
            <v>ja</v>
          </cell>
          <cell r="C1356" t="str">
            <v>藍采和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8042</v>
          </cell>
          <cell r="B1357" t="str">
            <v>ja</v>
          </cell>
          <cell r="C1357" t="str">
            <v>藍采和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8043</v>
          </cell>
          <cell r="B1358" t="str">
            <v>ja</v>
          </cell>
          <cell r="C1358" t="str">
            <v>サンリオキャラ大集合+アザゼル</v>
          </cell>
          <cell r="D1358" t="str">
            <v>サンリオキャラ大集合+アザゼル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green</v>
          </cell>
          <cell r="I1358">
            <v>5</v>
          </cell>
          <cell r="J1358" t="str">
            <v>DropWizS</v>
          </cell>
          <cell r="K1358" t="str">
            <v>technical</v>
          </cell>
          <cell r="L1358" t="str">
            <v>テクニカルタイプ</v>
          </cell>
          <cell r="M1358" t="str">
            <v>ss</v>
          </cell>
        </row>
        <row r="1359">
          <cell r="A1359">
            <v>8044</v>
          </cell>
          <cell r="B1359" t="str">
            <v>ja</v>
          </cell>
          <cell r="C1359" t="str">
            <v>サンリオキャラ大集合+アザゼル</v>
          </cell>
          <cell r="D1359" t="str">
            <v>サンリオキャラ大集合+アザゼル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green</v>
          </cell>
          <cell r="I1359">
            <v>6</v>
          </cell>
          <cell r="J1359" t="str">
            <v>DropWizS</v>
          </cell>
          <cell r="K1359" t="str">
            <v>technical</v>
          </cell>
          <cell r="L1359" t="str">
            <v>テクニカルタイプ</v>
          </cell>
          <cell r="M1359" t="str">
            <v>ss</v>
          </cell>
        </row>
        <row r="1360">
          <cell r="A1360">
            <v>8045</v>
          </cell>
          <cell r="B1360" t="str">
            <v>ja</v>
          </cell>
          <cell r="C1360" t="str">
            <v>ニムダ_サンリオキャラ混じり</v>
          </cell>
          <cell r="D1360" t="str">
            <v>ニムダ_サンリオキャラ混じり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yellow</v>
          </cell>
          <cell r="I1360">
            <v>4</v>
          </cell>
          <cell r="J1360" t="str">
            <v>Drop2N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8046</v>
          </cell>
          <cell r="B1361" t="str">
            <v>ja</v>
          </cell>
          <cell r="C1361" t="str">
            <v>ニムダ_サンリオキャラ混じり</v>
          </cell>
          <cell r="D1361" t="str">
            <v>ニムダ_サンリオキャラ混じり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yellow</v>
          </cell>
          <cell r="I1361">
            <v>5</v>
          </cell>
          <cell r="J1361" t="str">
            <v>Drop2N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8047</v>
          </cell>
          <cell r="B1362" t="str">
            <v>ja</v>
          </cell>
          <cell r="C1362" t="str">
            <v>ハローキティ</v>
          </cell>
          <cell r="D1362" t="str">
            <v>ハローキティ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red</v>
          </cell>
          <cell r="I1362">
            <v>4</v>
          </cell>
          <cell r="J1362" t="str">
            <v>Drop2N</v>
          </cell>
          <cell r="K1362" t="str">
            <v>balance</v>
          </cell>
          <cell r="L1362" t="str">
            <v>バランスタイプ</v>
          </cell>
          <cell r="M1362" t="str">
            <v>ss</v>
          </cell>
        </row>
        <row r="1363">
          <cell r="A1363">
            <v>8048</v>
          </cell>
          <cell r="B1363" t="str">
            <v>ja</v>
          </cell>
          <cell r="C1363" t="str">
            <v>ハローキティ</v>
          </cell>
          <cell r="D1363" t="str">
            <v>ハローキティ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red</v>
          </cell>
          <cell r="I1363">
            <v>5</v>
          </cell>
          <cell r="J1363" t="str">
            <v>Drop2N</v>
          </cell>
          <cell r="K1363" t="str">
            <v>balance</v>
          </cell>
          <cell r="L1363" t="str">
            <v>バランスタイプ</v>
          </cell>
          <cell r="M1363" t="str">
            <v>ss</v>
          </cell>
        </row>
        <row r="1364">
          <cell r="A1364">
            <v>8049</v>
          </cell>
          <cell r="B1364" t="str">
            <v>ja</v>
          </cell>
          <cell r="C1364" t="str">
            <v>KIRIMIちゃん</v>
          </cell>
          <cell r="D1364" t="str">
            <v>KIRIMIちゃん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hp</v>
          </cell>
          <cell r="L1364" t="str">
            <v>体力タイプ</v>
          </cell>
          <cell r="M1364" t="str">
            <v>ss</v>
          </cell>
        </row>
        <row r="1365">
          <cell r="A1365">
            <v>8050</v>
          </cell>
          <cell r="B1365" t="str">
            <v>ja</v>
          </cell>
          <cell r="C1365" t="str">
            <v>KIRIMIちゃん</v>
          </cell>
          <cell r="D1365" t="str">
            <v>KIRIMIちゃん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hp</v>
          </cell>
          <cell r="L1365" t="str">
            <v>体力タイプ</v>
          </cell>
          <cell r="M1365" t="str">
            <v>ss</v>
          </cell>
        </row>
        <row r="1366">
          <cell r="A1366">
            <v>8051</v>
          </cell>
          <cell r="B1366" t="str">
            <v>ja</v>
          </cell>
          <cell r="C1366" t="str">
            <v>ハローキティのリボン</v>
          </cell>
          <cell r="D1366" t="str">
            <v>ハローキティのリボン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5</v>
          </cell>
          <cell r="J1366" t="str">
            <v>Drop2N</v>
          </cell>
          <cell r="K1366" t="str">
            <v>evolution</v>
          </cell>
          <cell r="L1366" t="str">
            <v>覚醒素材タイプ</v>
          </cell>
          <cell r="M1366" t="str">
            <v>ss</v>
          </cell>
        </row>
        <row r="1367">
          <cell r="A1367">
            <v>8052</v>
          </cell>
          <cell r="B1367" t="str">
            <v>ja</v>
          </cell>
          <cell r="C1367" t="str">
            <v>ママの作ったアップルパイ</v>
          </cell>
          <cell r="D1367" t="str">
            <v>ママの作ったアップルパイ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4</v>
          </cell>
          <cell r="J1367" t="str">
            <v>Drop2N</v>
          </cell>
          <cell r="K1367" t="str">
            <v>evolution</v>
          </cell>
          <cell r="L1367" t="str">
            <v>覚醒素材タイプ</v>
          </cell>
          <cell r="M1367" t="str">
            <v>ss</v>
          </cell>
        </row>
        <row r="1368">
          <cell r="A1368">
            <v>8053</v>
          </cell>
          <cell r="B1368" t="str">
            <v>ja</v>
          </cell>
          <cell r="C1368" t="str">
            <v>D.R.T.H__キティコスプレ</v>
          </cell>
          <cell r="D1368" t="str">
            <v>D.R.T.H__キティコスプレ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PremiumSS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8054</v>
          </cell>
          <cell r="B1369" t="str">
            <v>ja</v>
          </cell>
          <cell r="C1369" t="str">
            <v>D.R.T.H__キティコスプレ</v>
          </cell>
          <cell r="D1369" t="str">
            <v>D.R.T.H__キティコスプレ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6</v>
          </cell>
          <cell r="J1369" t="str">
            <v>PremiumSS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8055</v>
          </cell>
          <cell r="B1370" t="str">
            <v>ja</v>
          </cell>
          <cell r="C1370" t="str">
            <v>マイメロディ</v>
          </cell>
          <cell r="D1370" t="str">
            <v>マイメロディ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PremiumS</v>
          </cell>
          <cell r="K1370" t="str">
            <v>attack</v>
          </cell>
          <cell r="L1370" t="str">
            <v>攻撃タイプ</v>
          </cell>
          <cell r="M1370" t="str">
            <v>ss</v>
          </cell>
        </row>
        <row r="1371">
          <cell r="A1371">
            <v>8056</v>
          </cell>
          <cell r="B1371" t="str">
            <v>ja</v>
          </cell>
          <cell r="C1371" t="str">
            <v>マイメロディ</v>
          </cell>
          <cell r="D1371" t="str">
            <v>マイメロディ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PremiumS</v>
          </cell>
          <cell r="K1371" t="str">
            <v>attack</v>
          </cell>
          <cell r="L1371" t="str">
            <v>攻撃タイプ</v>
          </cell>
          <cell r="M1371" t="str">
            <v>ss</v>
          </cell>
        </row>
        <row r="1372">
          <cell r="A1372">
            <v>8057</v>
          </cell>
          <cell r="B1372" t="str">
            <v>ja</v>
          </cell>
          <cell r="C1372" t="str">
            <v>ニーベルゲン_シナモロールコスプレ</v>
          </cell>
          <cell r="D1372" t="str">
            <v>ニーベルゲン_シナモロールコスプレ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green</v>
          </cell>
          <cell r="I1372">
            <v>4</v>
          </cell>
          <cell r="J1372" t="str">
            <v>PremiumS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8058</v>
          </cell>
          <cell r="B1373" t="str">
            <v>ja</v>
          </cell>
          <cell r="C1373" t="str">
            <v>ニーベルゲン_シナモロールコスプレ</v>
          </cell>
          <cell r="D1373" t="str">
            <v>ニーベルゲン_シナモロールコスプレ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green</v>
          </cell>
          <cell r="I1373">
            <v>5</v>
          </cell>
          <cell r="J1373" t="str">
            <v>PremiumS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8059</v>
          </cell>
          <cell r="B1374" t="str">
            <v>ja</v>
          </cell>
          <cell r="C1374" t="str">
            <v>カカシ_マイメロディコスプレ</v>
          </cell>
          <cell r="D1374" t="str">
            <v>カカシ_マイメロディコスプレ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technical</v>
          </cell>
          <cell r="L1374" t="str">
            <v>テクニカルタイプ</v>
          </cell>
          <cell r="M1374" t="str">
            <v>ss</v>
          </cell>
        </row>
        <row r="1375">
          <cell r="A1375">
            <v>8060</v>
          </cell>
          <cell r="B1375" t="str">
            <v>ja</v>
          </cell>
          <cell r="C1375" t="str">
            <v>カカシ_マイメロディコスプレ</v>
          </cell>
          <cell r="D1375" t="str">
            <v>カカシ_マイメロディコスプレ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technical</v>
          </cell>
          <cell r="L1375" t="str">
            <v>テクニカルタイプ</v>
          </cell>
          <cell r="M1375" t="str">
            <v>ss</v>
          </cell>
        </row>
        <row r="1376">
          <cell r="A1376">
            <v>8061</v>
          </cell>
          <cell r="B1376" t="str">
            <v>ja</v>
          </cell>
          <cell r="C1376" t="str">
            <v>ケロケロけろっぴ</v>
          </cell>
          <cell r="D1376" t="str">
            <v>ケロケロけろっぴ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3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8062</v>
          </cell>
          <cell r="B1377" t="str">
            <v>ja</v>
          </cell>
          <cell r="C1377" t="str">
            <v>ケロケロけろっぴ</v>
          </cell>
          <cell r="D1377" t="str">
            <v>ケロケロけろっぴ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4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8063</v>
          </cell>
          <cell r="B1378" t="str">
            <v>ja</v>
          </cell>
          <cell r="C1378" t="str">
            <v>モルドレッド_ポムポムプリンコスプレ</v>
          </cell>
          <cell r="D1378" t="str">
            <v>モルドレッド_ポムポムプリンコスプレ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blue</v>
          </cell>
          <cell r="I1378">
            <v>5</v>
          </cell>
          <cell r="J1378" t="str">
            <v>PremiumSS</v>
          </cell>
          <cell r="K1378" t="str">
            <v>heal</v>
          </cell>
          <cell r="L1378" t="str">
            <v>回復タイプ</v>
          </cell>
          <cell r="M1378" t="str">
            <v>ss</v>
          </cell>
        </row>
        <row r="1379">
          <cell r="A1379">
            <v>8064</v>
          </cell>
          <cell r="B1379" t="str">
            <v>ja</v>
          </cell>
          <cell r="C1379" t="str">
            <v>モルドレッド_ポムポムプリンコスプレ</v>
          </cell>
          <cell r="D1379" t="str">
            <v>モルドレッド_ポムポムプリンコスプレ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blue</v>
          </cell>
          <cell r="I1379">
            <v>6</v>
          </cell>
          <cell r="J1379" t="str">
            <v>PremiumSS</v>
          </cell>
          <cell r="K1379" t="str">
            <v>heal</v>
          </cell>
          <cell r="L1379" t="str">
            <v>回復タイプ</v>
          </cell>
          <cell r="M1379" t="str">
            <v>ss</v>
          </cell>
        </row>
        <row r="1380">
          <cell r="A1380">
            <v>8065</v>
          </cell>
          <cell r="B1380" t="str">
            <v>ja</v>
          </cell>
          <cell r="C1380" t="str">
            <v>クロミ</v>
          </cell>
          <cell r="D1380" t="str">
            <v>クロミ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3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8066</v>
          </cell>
          <cell r="B1381" t="str">
            <v>ja</v>
          </cell>
          <cell r="C1381" t="str">
            <v>クロミ</v>
          </cell>
          <cell r="D1381" t="str">
            <v>クロミ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4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8067</v>
          </cell>
          <cell r="B1382" t="str">
            <v>ja</v>
          </cell>
          <cell r="C1382" t="str">
            <v>バッドばつ丸</v>
          </cell>
          <cell r="D1382" t="str">
            <v>バッドばつ丸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attack</v>
          </cell>
          <cell r="L1382" t="str">
            <v>攻撃タイプ</v>
          </cell>
          <cell r="M1382" t="str">
            <v>ss</v>
          </cell>
        </row>
        <row r="1383">
          <cell r="A1383">
            <v>8068</v>
          </cell>
          <cell r="B1383" t="str">
            <v>ja</v>
          </cell>
          <cell r="C1383" t="str">
            <v>バッドばつ丸</v>
          </cell>
          <cell r="D1383" t="str">
            <v>バッドばつ丸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attack</v>
          </cell>
          <cell r="L1383" t="str">
            <v>攻撃タイプ</v>
          </cell>
          <cell r="M1383" t="str">
            <v>ss</v>
          </cell>
        </row>
        <row r="1384">
          <cell r="A1384">
            <v>8069</v>
          </cell>
          <cell r="B1384" t="str">
            <v>ja</v>
          </cell>
          <cell r="C1384" t="str">
            <v>シナモロール</v>
          </cell>
          <cell r="D1384" t="str">
            <v>シナモロール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yellow</v>
          </cell>
          <cell r="I1384">
            <v>4</v>
          </cell>
          <cell r="J1384" t="str">
            <v>PremiumS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8070</v>
          </cell>
          <cell r="B1385" t="str">
            <v>ja</v>
          </cell>
          <cell r="C1385" t="str">
            <v>シナモロール</v>
          </cell>
          <cell r="D1385" t="str">
            <v>シナモロール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yellow</v>
          </cell>
          <cell r="I1385">
            <v>5</v>
          </cell>
          <cell r="J1385" t="str">
            <v>PremiumS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8071</v>
          </cell>
          <cell r="B1386" t="str">
            <v>ja</v>
          </cell>
          <cell r="C1386" t="str">
            <v>ポムポムプリン</v>
          </cell>
          <cell r="D1386" t="str">
            <v>ポムポムプリン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3</v>
          </cell>
          <cell r="J1386" t="str">
            <v>PremiumS</v>
          </cell>
          <cell r="K1386" t="str">
            <v>hp</v>
          </cell>
          <cell r="L1386" t="str">
            <v>体力タイプ</v>
          </cell>
          <cell r="M1386" t="str">
            <v>ss</v>
          </cell>
        </row>
        <row r="1387">
          <cell r="A1387">
            <v>8072</v>
          </cell>
          <cell r="B1387" t="str">
            <v>ja</v>
          </cell>
          <cell r="C1387" t="str">
            <v>ポムポムプリン</v>
          </cell>
          <cell r="D1387" t="str">
            <v>ポムポムプリン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4</v>
          </cell>
          <cell r="J1387" t="str">
            <v>PremiumS</v>
          </cell>
          <cell r="K1387" t="str">
            <v>hp</v>
          </cell>
          <cell r="L1387" t="str">
            <v>体力タイプ</v>
          </cell>
          <cell r="M1387" t="str">
            <v>ss</v>
          </cell>
        </row>
        <row r="1388">
          <cell r="A1388">
            <v>8077</v>
          </cell>
          <cell r="B1388" t="str">
            <v>ja</v>
          </cell>
          <cell r="C1388" t="str">
            <v>鄭成功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5</v>
          </cell>
          <cell r="J1388" t="str">
            <v>PremiumSS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8078</v>
          </cell>
          <cell r="B1389" t="str">
            <v>ja</v>
          </cell>
          <cell r="C1389" t="str">
            <v>レア６鄭成功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6</v>
          </cell>
          <cell r="J1389" t="str">
            <v>PremiumSS</v>
          </cell>
          <cell r="K1389" t="str">
            <v>attack</v>
          </cell>
          <cell r="L1389" t="str">
            <v>攻撃タイプ</v>
          </cell>
          <cell r="M1389" t="str">
            <v>human</v>
          </cell>
        </row>
        <row r="1390">
          <cell r="A1390">
            <v>8079</v>
          </cell>
          <cell r="B1390" t="str">
            <v>ja</v>
          </cell>
          <cell r="C1390" t="str">
            <v>赤鬼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5</v>
          </cell>
          <cell r="J1390" t="str">
            <v>DropWizS</v>
          </cell>
          <cell r="K1390" t="str">
            <v>hp</v>
          </cell>
          <cell r="L1390" t="str">
            <v>体力タイプ</v>
          </cell>
          <cell r="M1390" t="str">
            <v>dragon</v>
          </cell>
        </row>
        <row r="1391">
          <cell r="A1391">
            <v>8080</v>
          </cell>
          <cell r="B1391" t="str">
            <v>ja</v>
          </cell>
          <cell r="C1391" t="str">
            <v>レア６赤鬼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red</v>
          </cell>
          <cell r="I1391">
            <v>6</v>
          </cell>
          <cell r="J1391" t="str">
            <v>DropWizS</v>
          </cell>
          <cell r="K1391" t="str">
            <v>hp</v>
          </cell>
          <cell r="L1391" t="str">
            <v>体力タイプ</v>
          </cell>
          <cell r="M139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B4" sqref="B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432100</v>
      </c>
      <c r="D2" s="19" t="s">
        <v>45</v>
      </c>
      <c r="E2" s="17" t="str">
        <f t="shared" ref="E2" si="1">B2&amp;C2&amp;D2</f>
        <v>gacha_select_tables_432100.tmp</v>
      </c>
      <c r="F2" s="96" t="s">
        <v>248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432010</v>
      </c>
      <c r="D3" s="19" t="s">
        <v>45</v>
      </c>
      <c r="E3" s="17" t="str">
        <f t="shared" ref="E3:E10" si="3">B3&amp;C3&amp;D3</f>
        <v>gacha_select_tables_432010.tmp</v>
      </c>
      <c r="F3" s="96" t="s">
        <v>249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250</v>
      </c>
      <c r="B4" s="98" t="s">
        <v>251</v>
      </c>
      <c r="C4" s="99" t="str">
        <f t="shared" si="2"/>
        <v>432105</v>
      </c>
      <c r="D4" s="19" t="s">
        <v>252</v>
      </c>
      <c r="E4" s="17" t="str">
        <f t="shared" si="3"/>
        <v>gacha_settle_tables_432105.tmp</v>
      </c>
      <c r="F4" s="99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F37" sqref="F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1100</v>
      </c>
      <c r="M3" s="37" t="str">
        <f>VLOOKUP(L3,[1]characters!$A:$C,3,FALSE)</f>
        <v>北斎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VLOOKUP(L3,tables_432010!B:C,2,FALSE)</f>
        <v>PremiumSS5R5onlycolor</v>
      </c>
      <c r="R3" s="62">
        <f t="shared" ref="R3:R20" si="1">N3*A$36</f>
        <v>110400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474</v>
      </c>
      <c r="M4" s="37" t="str">
        <f>VLOOKUP(L4,[1]characters!$A:$C,3,FALSE)</f>
        <v>キング・ドライグ</v>
      </c>
      <c r="N4" s="63">
        <v>1.9E-2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VLOOKUP(L4,tables_432010!B:C,2,FALSE)</f>
        <v>PremiumSS4color</v>
      </c>
      <c r="R4" s="62">
        <f t="shared" si="1"/>
        <v>104880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8.333333333333335E-4</v>
      </c>
      <c r="F5">
        <f>(COUNTIF(tables_432010!C:C,input_432010!A28)+COUNTIF(tables_432010!C:C,input_432010!A29))</f>
        <v>14</v>
      </c>
      <c r="H5" s="84">
        <v>0.04</v>
      </c>
      <c r="I5" s="31">
        <v>2</v>
      </c>
      <c r="L5" s="94">
        <v>475</v>
      </c>
      <c r="M5" s="37" t="str">
        <f>VLOOKUP(L5,[1]characters!$A:$C,3,FALSE)</f>
        <v>緋王 キング・ドライグ</v>
      </c>
      <c r="N5" s="63">
        <v>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VLOOKUP(L5,tables_432010!B:C,2,FALSE)</f>
        <v>PremiumSS5color</v>
      </c>
      <c r="R5" s="62">
        <f t="shared" si="1"/>
        <v>5520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4.1304347826086954E-2</v>
      </c>
      <c r="F6">
        <f>(COUNTIF(tables_432010!C:C,input_432010!A25)+COUNTIF(tables_432010!C:C,input_432010!A18)+COUNTIF(tables_432010!C:C,input_432010!A20)+COUNTIF(tables_432010!C:C,input_432010!A22))</f>
        <v>23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VLOOKUP(L6,tables_432010!B:C,2,FALSE)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255</v>
      </c>
      <c r="B17" s="82">
        <f>B$5-B19-B24</f>
        <v>0.23152173913043478</v>
      </c>
      <c r="C17" s="85">
        <f t="shared" ref="C17:C31" si="2">SUMIF(Q:Q,A17,N:N)</f>
        <v>0</v>
      </c>
      <c r="D17" s="74">
        <f t="shared" ref="D17:D32" si="3">B17-C17</f>
        <v>0.23152173913043478</v>
      </c>
      <c r="E17">
        <f>COUNTIF(tables_432010!C:C,input_432010!A17)-COUNTIF(Q:Q,A17)</f>
        <v>5</v>
      </c>
      <c r="F17" s="43">
        <f>IFERROR(B17/E17,0)</f>
        <v>4.6304347826086958E-2</v>
      </c>
      <c r="G17">
        <f t="shared" ref="G17:G31" si="4">A$36*B17</f>
        <v>1278000</v>
      </c>
      <c r="H17">
        <f t="shared" ref="H17:H31" si="5">IFERROR(ROUND(G17/E17,5),0)</f>
        <v>255600</v>
      </c>
      <c r="I17">
        <f t="shared" ref="I17:I31" si="6">MOD(H17,1)</f>
        <v>0</v>
      </c>
      <c r="J17">
        <f t="shared" ref="J17:J31" si="7">IFERROR(1/I17,1)</f>
        <v>1</v>
      </c>
      <c r="K17" s="33" t="s">
        <v>254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256</v>
      </c>
      <c r="B18" s="56">
        <f>E$6*E18-B17+E34+0.02</f>
        <v>7.6322463768115738E-3</v>
      </c>
      <c r="C18" s="85">
        <f t="shared" si="2"/>
        <v>0</v>
      </c>
      <c r="D18" s="74">
        <f t="shared" si="3"/>
        <v>7.6322463768115738E-3</v>
      </c>
      <c r="E18">
        <f>COUNTIF(tables_432010!C:C,input_432010!A18)-COUNTIF(Q:Q,A18)</f>
        <v>5</v>
      </c>
      <c r="F18" s="43">
        <f>IFERROR(B18/E18,0)</f>
        <v>1.5264492753623148E-3</v>
      </c>
      <c r="G18">
        <f t="shared" si="4"/>
        <v>42129.999999999891</v>
      </c>
      <c r="H18">
        <f t="shared" si="5"/>
        <v>8426</v>
      </c>
      <c r="I18">
        <f t="shared" si="6"/>
        <v>0</v>
      </c>
      <c r="J18">
        <f t="shared" si="7"/>
        <v>1</v>
      </c>
      <c r="K18" s="33" t="s">
        <v>191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257</v>
      </c>
      <c r="B19" s="56">
        <f>E$6*E19*B$5</f>
        <v>0.24782608695652172</v>
      </c>
      <c r="C19" s="85">
        <f t="shared" si="2"/>
        <v>0</v>
      </c>
      <c r="D19" s="74">
        <f t="shared" si="3"/>
        <v>0.24782608695652172</v>
      </c>
      <c r="E19">
        <f>COUNTIF(tables_432010!C:C,input_432010!A19)-COUNTIF(Q:Q,A19)</f>
        <v>12</v>
      </c>
      <c r="F19" s="43">
        <f t="shared" ref="F19:F31" si="8">IFERROR(B19/E19,0)</f>
        <v>2.0652173913043477E-2</v>
      </c>
      <c r="G19">
        <f t="shared" si="4"/>
        <v>1368000</v>
      </c>
      <c r="H19">
        <f t="shared" si="5"/>
        <v>114000</v>
      </c>
      <c r="I19">
        <f t="shared" si="6"/>
        <v>0</v>
      </c>
      <c r="J19">
        <f t="shared" si="7"/>
        <v>1</v>
      </c>
      <c r="K19" s="33" t="s">
        <v>97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258</v>
      </c>
      <c r="B20" s="95">
        <f>E$6*E20*B$6-0.02</f>
        <v>0.20304347826086958</v>
      </c>
      <c r="C20" s="85">
        <f t="shared" si="2"/>
        <v>0</v>
      </c>
      <c r="D20" s="74">
        <f t="shared" si="3"/>
        <v>0.20304347826086958</v>
      </c>
      <c r="E20">
        <f>COUNTIF(tables_432010!C:C,input_432010!A20)-COUNTIF(Q:Q,A20)</f>
        <v>12</v>
      </c>
      <c r="F20" s="43">
        <f t="shared" si="8"/>
        <v>1.6920289855072466E-2</v>
      </c>
      <c r="G20">
        <f t="shared" si="4"/>
        <v>1120800</v>
      </c>
      <c r="H20">
        <f t="shared" si="5"/>
        <v>93400</v>
      </c>
      <c r="I20">
        <f t="shared" si="6"/>
        <v>0</v>
      </c>
      <c r="J20">
        <f t="shared" si="7"/>
        <v>1</v>
      </c>
      <c r="K20" s="33" t="s">
        <v>98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259</v>
      </c>
      <c r="B21" s="56">
        <f>B7-B23-B26-B28-B29-E35</f>
        <v>1.2150362316842626E-2</v>
      </c>
      <c r="C21" s="85">
        <f t="shared" si="2"/>
        <v>0</v>
      </c>
      <c r="D21" s="74">
        <f t="shared" si="3"/>
        <v>1.2150362316842626E-2</v>
      </c>
      <c r="E21">
        <f>COUNTIF(tables_432010!C:C,input_432010!A21)-COUNTIF(Q:Q,A21)</f>
        <v>12</v>
      </c>
      <c r="F21" s="43">
        <f t="shared" si="8"/>
        <v>1.0125301930702189E-3</v>
      </c>
      <c r="G21">
        <f t="shared" si="4"/>
        <v>67069.999988971293</v>
      </c>
      <c r="H21">
        <f t="shared" si="5"/>
        <v>5589.1666699999996</v>
      </c>
      <c r="I21">
        <f t="shared" si="6"/>
        <v>0.16666999999961263</v>
      </c>
      <c r="J21">
        <f t="shared" si="7"/>
        <v>5.9998800024138967</v>
      </c>
      <c r="K21" s="33" t="s">
        <v>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260</v>
      </c>
      <c r="B22" s="75">
        <f>E$6*E22-B23</f>
        <v>0.19619565217391302</v>
      </c>
      <c r="C22" s="85">
        <f t="shared" si="2"/>
        <v>0</v>
      </c>
      <c r="D22" s="74">
        <f t="shared" si="3"/>
        <v>0.19619565217391302</v>
      </c>
      <c r="E22">
        <f>COUNTIF(tables_432010!C:C,input_432010!A22)-COUNTIF(Q:Q,A22)</f>
        <v>5</v>
      </c>
      <c r="F22" s="43">
        <f t="shared" si="8"/>
        <v>3.9239130434782603E-2</v>
      </c>
      <c r="G22">
        <f t="shared" si="4"/>
        <v>1082999.9999999998</v>
      </c>
      <c r="H22">
        <f t="shared" si="5"/>
        <v>216600</v>
      </c>
      <c r="I22">
        <f t="shared" si="6"/>
        <v>0</v>
      </c>
      <c r="J22">
        <f t="shared" si="7"/>
        <v>1</v>
      </c>
      <c r="K22" s="33" t="s">
        <v>196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261</v>
      </c>
      <c r="B23" s="70">
        <f>E23*E6*B7</f>
        <v>1.0326086956521738E-2</v>
      </c>
      <c r="C23" s="85">
        <f t="shared" si="2"/>
        <v>0</v>
      </c>
      <c r="D23" s="74">
        <f t="shared" si="3"/>
        <v>1.0326086956521738E-2</v>
      </c>
      <c r="E23">
        <f>COUNTIF(tables_432010!C:C,input_432010!A23)-COUNTIF(Q:Q,A23)</f>
        <v>5</v>
      </c>
      <c r="F23" s="43">
        <f t="shared" si="8"/>
        <v>2.0652173913043477E-3</v>
      </c>
      <c r="G23">
        <f t="shared" si="4"/>
        <v>57000</v>
      </c>
      <c r="H23">
        <f t="shared" si="5"/>
        <v>11400</v>
      </c>
      <c r="I23">
        <f t="shared" si="6"/>
        <v>0</v>
      </c>
      <c r="J23">
        <f t="shared" si="7"/>
        <v>1</v>
      </c>
      <c r="K23" s="33" t="s">
        <v>197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262</v>
      </c>
      <c r="B24" s="56">
        <f>E$6*E24*B$5</f>
        <v>2.0652173913043477E-2</v>
      </c>
      <c r="C24" s="85">
        <f t="shared" si="2"/>
        <v>0</v>
      </c>
      <c r="D24" s="74">
        <f t="shared" si="3"/>
        <v>2.0652173913043477E-2</v>
      </c>
      <c r="E24">
        <f>COUNTIF(tables_432010!C:C,input_432010!A24)-COUNTIF(Q:Q,A24)</f>
        <v>1</v>
      </c>
      <c r="F24" s="43">
        <f t="shared" si="8"/>
        <v>2.0652173913043477E-2</v>
      </c>
      <c r="G24">
        <f t="shared" si="4"/>
        <v>114000</v>
      </c>
      <c r="H24">
        <f t="shared" si="5"/>
        <v>114000</v>
      </c>
      <c r="I24">
        <f t="shared" si="6"/>
        <v>0</v>
      </c>
      <c r="J24">
        <f t="shared" si="7"/>
        <v>1</v>
      </c>
      <c r="K24" s="33" t="s">
        <v>193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263</v>
      </c>
      <c r="B25" s="56">
        <f>E$6*B$6*E25</f>
        <v>1.8586956521739129E-2</v>
      </c>
      <c r="C25" s="85">
        <f t="shared" si="2"/>
        <v>0</v>
      </c>
      <c r="D25" s="74">
        <f t="shared" si="3"/>
        <v>1.8586956521739129E-2</v>
      </c>
      <c r="E25">
        <f>COUNTIF(tables_432010!C:C,input_432010!A25)-COUNTIF(Q:Q,A25)</f>
        <v>1</v>
      </c>
      <c r="F25" s="43">
        <f t="shared" si="8"/>
        <v>1.8586956521739129E-2</v>
      </c>
      <c r="G25">
        <f t="shared" si="4"/>
        <v>102600</v>
      </c>
      <c r="H25">
        <f t="shared" si="5"/>
        <v>102600</v>
      </c>
      <c r="I25">
        <f t="shared" si="6"/>
        <v>0</v>
      </c>
      <c r="J25">
        <f t="shared" si="7"/>
        <v>1</v>
      </c>
      <c r="K25" s="33" t="s">
        <v>194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264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COUNTIF(tables_432010!C:C,input_432010!A26)-COUNTIF(Q:Q,A26)</f>
        <v>1</v>
      </c>
      <c r="F26" s="43">
        <f t="shared" si="8"/>
        <v>2.0652173913043477E-3</v>
      </c>
      <c r="G26">
        <f t="shared" si="4"/>
        <v>11400</v>
      </c>
      <c r="H26">
        <f t="shared" si="5"/>
        <v>11400</v>
      </c>
      <c r="I26">
        <f t="shared" si="6"/>
        <v>0</v>
      </c>
      <c r="J26">
        <f t="shared" si="7"/>
        <v>1</v>
      </c>
      <c r="K26" s="33" t="s">
        <v>195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265</v>
      </c>
      <c r="B27" s="56">
        <f>E$5*E27*(B$5+B$6)</f>
        <v>5.5416666666666678E-3</v>
      </c>
      <c r="C27" s="85">
        <f t="shared" si="2"/>
        <v>1.9E-2</v>
      </c>
      <c r="D27" s="74">
        <f t="shared" si="3"/>
        <v>-1.3458333333333333E-2</v>
      </c>
      <c r="E27">
        <f>COUNTIF(tables_432010!C:C,input_432010!A27)-COUNTIF(Q:Q,A27)</f>
        <v>7</v>
      </c>
      <c r="F27" s="43">
        <f>IFERROR(B27/E27,0)</f>
        <v>7.9166666666666686E-4</v>
      </c>
      <c r="G27">
        <f t="shared" si="4"/>
        <v>30590.000000000007</v>
      </c>
      <c r="H27">
        <f t="shared" si="5"/>
        <v>4370</v>
      </c>
      <c r="I27">
        <f t="shared" si="6"/>
        <v>0</v>
      </c>
      <c r="J27">
        <f t="shared" si="7"/>
        <v>1</v>
      </c>
      <c r="K27" s="33" t="s">
        <v>106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266</v>
      </c>
      <c r="B28" s="56">
        <f>E$5*E28*B$7</f>
        <v>2.9166666666666675E-4</v>
      </c>
      <c r="C28" s="85">
        <f t="shared" si="2"/>
        <v>1E-3</v>
      </c>
      <c r="D28" s="74">
        <f t="shared" si="3"/>
        <v>-7.0833333333333328E-4</v>
      </c>
      <c r="E28">
        <f>COUNTIF(tables_432010!C:C,input_432010!A28)-COUNTIF(Q:Q,A28)</f>
        <v>7</v>
      </c>
      <c r="F28" s="43">
        <f t="shared" si="8"/>
        <v>4.1666666666666679E-5</v>
      </c>
      <c r="G28">
        <f t="shared" si="4"/>
        <v>1610.0000000000005</v>
      </c>
      <c r="H28">
        <f t="shared" si="5"/>
        <v>230</v>
      </c>
      <c r="I28">
        <f t="shared" si="6"/>
        <v>0</v>
      </c>
      <c r="J28">
        <f t="shared" si="7"/>
        <v>1</v>
      </c>
      <c r="K28" s="33" t="s">
        <v>107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267</v>
      </c>
      <c r="B29" s="56">
        <f>E$5*E29</f>
        <v>4.1666666666666675E-3</v>
      </c>
      <c r="C29" s="85">
        <f t="shared" si="2"/>
        <v>0.02</v>
      </c>
      <c r="D29" s="74">
        <f t="shared" si="3"/>
        <v>-1.5833333333333331E-2</v>
      </c>
      <c r="E29">
        <f>COUNTIF(tables_432010!C:C,input_432010!A29)-COUNTIF(Q:Q,A29)</f>
        <v>5</v>
      </c>
      <c r="F29" s="43">
        <f t="shared" si="8"/>
        <v>8.333333333333335E-4</v>
      </c>
      <c r="G29">
        <f t="shared" si="4"/>
        <v>23000.000000000004</v>
      </c>
      <c r="H29">
        <f t="shared" si="5"/>
        <v>4600</v>
      </c>
      <c r="I29">
        <f t="shared" si="6"/>
        <v>0</v>
      </c>
      <c r="J29">
        <f t="shared" si="7"/>
        <v>1</v>
      </c>
      <c r="K29" s="33" t="s">
        <v>199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268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COUNTIF(tables_432010!C:C,input_432010!A30)-COUNTIF(Q:Q,A30)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K30" s="33" t="s">
        <v>239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269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COUNTIF(tables_432010!C:C,input_432010!A31)-COUNTIF(Q:Q,A31)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K31" s="33" t="s">
        <v>240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0.95999999999800201</v>
      </c>
      <c r="C32" s="41">
        <f>SUM(C19:C31)</f>
        <v>0.04</v>
      </c>
      <c r="D32" s="42">
        <f t="shared" si="3"/>
        <v>0.91999999999800197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1.2632246376811596E-2</v>
      </c>
    </row>
    <row r="35" spans="1:7" x14ac:dyDescent="0.15">
      <c r="A35" t="s">
        <v>73</v>
      </c>
      <c r="E35">
        <v>2.1000000001997962E-2</v>
      </c>
    </row>
    <row r="36" spans="1:7" x14ac:dyDescent="0.15">
      <c r="A36" s="31">
        <f>LCM(F5-I5,F6-I6)*1000*2*2*5</f>
        <v>5520000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SUMIF(tables_432010!C:C,input_432010!A40,tables_432010!O:O)</f>
        <v>0</v>
      </c>
      <c r="C40" s="54" t="e">
        <f t="shared" ref="C40:C46" ca="1" si="9">B40/B$47</f>
        <v>#DIV/0!</v>
      </c>
      <c r="E40">
        <v>3</v>
      </c>
      <c r="F40">
        <f ca="1">SUMIF(tables_432010!J:J,input_432010!E40,tables_432010!O:O)</f>
        <v>2760000</v>
      </c>
      <c r="G40">
        <f ca="1">F40/A36</f>
        <v>0.5</v>
      </c>
    </row>
    <row r="41" spans="1:7" x14ac:dyDescent="0.15">
      <c r="A41" s="33" t="s">
        <v>104</v>
      </c>
      <c r="B41">
        <f ca="1">SUMIF(tables_432010!C:C,input_432010!A41,tables_432010!O:O)</f>
        <v>0</v>
      </c>
      <c r="C41" s="54" t="e">
        <f t="shared" ca="1" si="9"/>
        <v>#DIV/0!</v>
      </c>
      <c r="E41">
        <v>4</v>
      </c>
      <c r="F41">
        <f ca="1">SUMIF(tables_432010!J:J,input_432010!E41,tables_432010!O:O)</f>
        <v>2484000</v>
      </c>
      <c r="G41">
        <f ca="1">F41/A36</f>
        <v>0.45</v>
      </c>
    </row>
    <row r="42" spans="1:7" x14ac:dyDescent="0.15">
      <c r="A42" s="33" t="s">
        <v>106</v>
      </c>
      <c r="B42">
        <f ca="1">SUMIF(tables_432010!C:C,input_432010!A42,tables_432010!O:O)</f>
        <v>0</v>
      </c>
      <c r="C42" s="54" t="e">
        <f t="shared" ca="1" si="9"/>
        <v>#DIV/0!</v>
      </c>
      <c r="E42">
        <v>5</v>
      </c>
      <c r="F42">
        <f ca="1">SUMIF(tables_432010!J:J,input_432010!E42,tables_432010!O:O)</f>
        <v>276000.00004000001</v>
      </c>
      <c r="G42">
        <f ca="1">F42/A36</f>
        <v>5.000000000724638E-2</v>
      </c>
    </row>
    <row r="43" spans="1:7" x14ac:dyDescent="0.15">
      <c r="A43" s="33" t="s">
        <v>109</v>
      </c>
      <c r="B43">
        <f>SUMIF(tables_432010!C:C,input_432010!A43,tables_432010!O:O)</f>
        <v>0</v>
      </c>
      <c r="C43" s="54" t="e">
        <f t="shared" ca="1" si="9"/>
        <v>#DIV/0!</v>
      </c>
      <c r="F43" s="55"/>
    </row>
    <row r="44" spans="1:7" x14ac:dyDescent="0.15">
      <c r="A44" s="33" t="s">
        <v>105</v>
      </c>
      <c r="B44">
        <f ca="1">SUMIF(tables_432010!C:C,input_432010!A44,tables_432010!O:O)</f>
        <v>0</v>
      </c>
      <c r="C44" s="54" t="e">
        <f t="shared" ca="1" si="9"/>
        <v>#DIV/0!</v>
      </c>
      <c r="E44" t="s">
        <v>54</v>
      </c>
      <c r="F44" s="55"/>
    </row>
    <row r="45" spans="1:7" x14ac:dyDescent="0.15">
      <c r="A45" s="33" t="s">
        <v>107</v>
      </c>
      <c r="B45">
        <f ca="1">SUMIF(tables_432010!C:C,input_432010!A45,tables_432010!O:O)</f>
        <v>0</v>
      </c>
      <c r="C45" s="54" t="e">
        <f t="shared" ca="1" si="9"/>
        <v>#DIV/0!</v>
      </c>
      <c r="E45" t="s">
        <v>204</v>
      </c>
      <c r="F45" s="55">
        <f ca="1">SUMIF(tables_432010!I:I,input_432010!E45,tables_432010!P:P)</f>
        <v>0.23915398550551328</v>
      </c>
    </row>
    <row r="46" spans="1:7" x14ac:dyDescent="0.15">
      <c r="A46" s="33" t="s">
        <v>108</v>
      </c>
      <c r="B46">
        <f>SUMIF(tables_432010!C:C,input_432010!A46,tables_432010!O:O)</f>
        <v>0</v>
      </c>
      <c r="C46" s="54" t="e">
        <f t="shared" ca="1" si="9"/>
        <v>#DIV/0!</v>
      </c>
      <c r="E46" t="s">
        <v>205</v>
      </c>
      <c r="F46" s="55">
        <f ca="1">SUMIF(tables_432010!I:I,input_432010!E46,tables_432010!P:P)</f>
        <v>0.19564432367249521</v>
      </c>
    </row>
    <row r="47" spans="1:7" x14ac:dyDescent="0.15">
      <c r="A47" s="39" t="s">
        <v>59</v>
      </c>
      <c r="B47">
        <f ca="1">SUM(B40:B46)</f>
        <v>0</v>
      </c>
      <c r="C47" s="55" t="e">
        <f ca="1">SUM(C40:C46)</f>
        <v>#DIV/0!</v>
      </c>
      <c r="E47" t="s">
        <v>206</v>
      </c>
      <c r="F47" s="55">
        <f ca="1">SUMIF(tables_432010!I:I,input_432010!E47,tables_432010!P:P)</f>
        <v>0.51520169082235334</v>
      </c>
    </row>
    <row r="48" spans="1:7" x14ac:dyDescent="0.15">
      <c r="E48" t="s">
        <v>207</v>
      </c>
      <c r="F48" s="55">
        <f ca="1">SUMIF(tables_432010!I:I,input_432010!E48,tables_432010!P:P)</f>
        <v>4.9166666666310366E-2</v>
      </c>
    </row>
    <row r="49" spans="5:6" x14ac:dyDescent="0.15">
      <c r="E49" t="s">
        <v>270</v>
      </c>
      <c r="F49" s="55">
        <f ca="1">SUMIF(tables_432010!I:I,input_432010!E49,tables_432010!P:P)</f>
        <v>8.3333333332729438E-4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O324" sqref="O2:O32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input_432010!A$2</f>
        <v>432010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IFERROR(VLOOKUP(B2,input_432010!L:R,7,FALSE),VLOOKUP(tables_432010!C2,input_432010!A:H,8,FALSE))</f>
        <v>255600</v>
      </c>
      <c r="P2" s="46">
        <f t="shared" ref="P2:P65" ca="1" si="1">O2/SUM(O:O)</f>
        <v>4.63043478257514E-2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input_432010!A$2</f>
        <v>432010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IFERROR(VLOOKUP(B3,input_432010!L:R,7,FALSE),VLOOKUP(tables_432010!C3,input_432010!A:H,8,FALSE))</f>
        <v>8426</v>
      </c>
      <c r="P3" s="46">
        <f t="shared" ca="1" si="1"/>
        <v>1.526449275351257E-3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input_432010!A$2</f>
        <v>432010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input_432010!A$2</f>
        <v>432010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input_432010!A$2</f>
        <v>432010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input_432010!A$2</f>
        <v>432010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input_432010!A$2</f>
        <v>432010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input_432010!A$2</f>
        <v>432010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input_432010!A$2</f>
        <v>432010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IFERROR(VLOOKUP(B10,input_432010!L:R,7,FALSE),VLOOKUP(tables_432010!C10,input_432010!A:H,8,FALSE))</f>
        <v>255600</v>
      </c>
      <c r="P10" s="46">
        <f t="shared" ca="1" si="1"/>
        <v>4.63043478257514E-2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input_432010!A$2</f>
        <v>432010</v>
      </c>
      <c r="B11" s="6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IFERROR(VLOOKUP(B11,input_432010!L:R,7,FALSE),VLOOKUP(tables_432010!C11,input_432010!A:H,8,FALSE))</f>
        <v>8426</v>
      </c>
      <c r="P11" s="46">
        <f t="shared" ca="1" si="1"/>
        <v>1.526449275351257E-3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input_432010!A$2</f>
        <v>432010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input_432010!A$2</f>
        <v>432010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input_432010!A$2</f>
        <v>432010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input_432010!A$2</f>
        <v>432010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input_432010!A$2</f>
        <v>432010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input_432010!A$2</f>
        <v>432010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input_432010!A$2</f>
        <v>432010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IFERROR(VLOOKUP(B18,input_432010!L:R,7,FALSE),VLOOKUP(tables_432010!C18,input_432010!A:H,8,FALSE))</f>
        <v>255600</v>
      </c>
      <c r="P18" s="46">
        <f t="shared" ca="1" si="1"/>
        <v>4.63043478257514E-2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input_432010!A$2</f>
        <v>432010</v>
      </c>
      <c r="B19" s="6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IFERROR(VLOOKUP(B19,input_432010!L:R,7,FALSE),VLOOKUP(tables_432010!C19,input_432010!A:H,8,FALSE))</f>
        <v>8426</v>
      </c>
      <c r="P19" s="46">
        <f t="shared" ca="1" si="1"/>
        <v>1.526449275351257E-3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input_432010!A$2</f>
        <v>432010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input_432010!A$2</f>
        <v>432010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input_432010!A$2</f>
        <v>432010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input_432010!A$2</f>
        <v>432010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input_432010!A$2</f>
        <v>432010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input_432010!A$2</f>
        <v>432010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input_432010!A$2</f>
        <v>432010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IFERROR(VLOOKUP(B26,input_432010!L:R,7,FALSE),VLOOKUP(tables_432010!C26,input_432010!A:H,8,FALSE))</f>
        <v>255600</v>
      </c>
      <c r="P26" s="46">
        <f t="shared" ca="1" si="1"/>
        <v>4.63043478257514E-2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input_432010!A$2</f>
        <v>432010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IFERROR(VLOOKUP(B27,input_432010!L:R,7,FALSE),VLOOKUP(tables_432010!C27,input_432010!A:H,8,FALSE))</f>
        <v>8426</v>
      </c>
      <c r="P27" s="46">
        <f t="shared" ca="1" si="1"/>
        <v>1.526449275351257E-3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input_432010!A$2</f>
        <v>432010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input_432010!A$2</f>
        <v>432010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input_432010!A$2</f>
        <v>432010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input_432010!A$2</f>
        <v>432010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input_432010!A$2</f>
        <v>432010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input_432010!A$2</f>
        <v>432010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input_432010!A$2</f>
        <v>432010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IFERROR(VLOOKUP(B34,input_432010!L:R,7,FALSE),VLOOKUP(tables_432010!C34,input_432010!A:H,8,FALSE))</f>
        <v>255600</v>
      </c>
      <c r="P34" s="46">
        <f t="shared" ca="1" si="1"/>
        <v>4.63043478257514E-2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input_432010!A$2</f>
        <v>432010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IFERROR(VLOOKUP(B35,input_432010!L:R,7,FALSE),VLOOKUP(tables_432010!C35,input_432010!A:H,8,FALSE))</f>
        <v>8426</v>
      </c>
      <c r="P35" s="46">
        <f t="shared" ca="1" si="1"/>
        <v>1.526449275351257E-3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input_432010!A$2</f>
        <v>432010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input_432010!A$2</f>
        <v>432010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input_432010!A$2</f>
        <v>432010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input_432010!A$2</f>
        <v>432010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input_432010!A$2</f>
        <v>432010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input_432010!A$2</f>
        <v>432010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input_432010!A$2</f>
        <v>432010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IFERROR(VLOOKUP(B42,input_432010!L:R,7,FALSE),VLOOKUP(tables_432010!C42,input_432010!A:H,8,FALSE))</f>
        <v>114000</v>
      </c>
      <c r="P42" s="46">
        <f t="shared" ca="1" si="1"/>
        <v>2.0652173912893815E-2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input_432010!A$2</f>
        <v>432010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IFERROR(VLOOKUP(B43,input_432010!L:R,7,FALSE),VLOOKUP(tables_432010!C43,input_432010!A:H,8,FALSE))</f>
        <v>102600</v>
      </c>
      <c r="P43" s="46">
        <f t="shared" ca="1" si="1"/>
        <v>1.8586956521604435E-2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input_432010!A$2</f>
        <v>432010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IFERROR(VLOOKUP(B44,input_432010!L:R,7,FALSE),VLOOKUP(tables_432010!C44,input_432010!A:H,8,FALSE))</f>
        <v>11400</v>
      </c>
      <c r="P44" s="46">
        <f t="shared" ca="1" si="1"/>
        <v>2.0652173912893818E-3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input_432010!A$2</f>
        <v>432010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input_432010!A$2</f>
        <v>432010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input_432010!A$2</f>
        <v>432010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input_432010!A$2</f>
        <v>432010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input_432010!A$2</f>
        <v>432010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input_432010!A$2</f>
        <v>432010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input_432010!A$2</f>
        <v>432010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IFERROR(VLOOKUP(B51,input_432010!L:R,7,FALSE),VLOOKUP(tables_432010!C51,input_432010!A:H,8,FALSE))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input_432010!A$2</f>
        <v>432010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IFERROR(VLOOKUP(B52,input_432010!L:R,7,FALSE),VLOOKUP(tables_432010!C52,input_432010!A:H,8,FALSE))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input_432010!A$2</f>
        <v>432010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IFERROR(VLOOKUP(B53,input_432010!L:R,7,FALSE),VLOOKUP(tables_432010!C53,input_432010!A:H,8,FALSE))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input_432010!A$2</f>
        <v>432010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IFERROR(VLOOKUP(B54,input_432010!L:R,7,FALSE),VLOOKUP(tables_432010!C54,input_432010!A:H,8,FALSE))</f>
        <v>114000</v>
      </c>
      <c r="P54" s="46">
        <f t="shared" ca="1" si="1"/>
        <v>2.0652173912893815E-2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input_432010!A$2</f>
        <v>432010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IFERROR(VLOOKUP(B55,input_432010!L:R,7,FALSE),VLOOKUP(tables_432010!C55,input_432010!A:H,8,FALSE))</f>
        <v>93400</v>
      </c>
      <c r="P55" s="46">
        <f t="shared" ca="1" si="1"/>
        <v>1.6920289854949845E-2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input_432010!A$2</f>
        <v>432010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IFERROR(VLOOKUP(B56,input_432010!L:R,7,FALSE),VLOOKUP(tables_432010!C56,input_432010!A:H,8,FALSE))</f>
        <v>5589.1666699999996</v>
      </c>
      <c r="P56" s="46">
        <f t="shared" ca="1" si="1"/>
        <v>1.012530193833242E-3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input_432010!A$2</f>
        <v>432010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IFERROR(VLOOKUP(B57,input_432010!L:R,7,FALSE),VLOOKUP(tables_432010!C57,input_432010!A:H,8,FALSE))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input_432010!A$2</f>
        <v>432010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IFERROR(VLOOKUP(B58,input_432010!L:R,7,FALSE),VLOOKUP(tables_432010!C58,input_432010!A:H,8,FALSE))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input_432010!A$2</f>
        <v>432010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IFERROR(VLOOKUP(B59,input_432010!L:R,7,FALSE),VLOOKUP(tables_432010!C59,input_432010!A:H,8,FALSE))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input_432010!A$2</f>
        <v>432010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IFERROR(VLOOKUP(B60,input_432010!L:R,7,FALSE),VLOOKUP(tables_432010!C60,input_432010!A:H,8,FALSE))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input_432010!A$2</f>
        <v>432010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IFERROR(VLOOKUP(B61,input_432010!L:R,7,FALSE),VLOOKUP(tables_432010!C61,input_432010!A:H,8,FALSE))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input_432010!A$2</f>
        <v>432010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IFERROR(VLOOKUP(B62,input_432010!L:R,7,FALSE),VLOOKUP(tables_432010!C62,input_432010!A:H,8,FALSE))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input_432010!A$2</f>
        <v>432010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IFERROR(VLOOKUP(B63,input_432010!L:R,7,FALSE),VLOOKUP(tables_432010!C63,input_432010!A:H,8,FALSE))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input_432010!A$2</f>
        <v>432010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IFERROR(VLOOKUP(B64,input_432010!L:R,7,FALSE),VLOOKUP(tables_432010!C64,input_432010!A:H,8,FALSE))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input_432010!A$2</f>
        <v>432010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IFERROR(VLOOKUP(B65,input_432010!L:R,7,FALSE),VLOOKUP(tables_432010!C65,input_432010!A:H,8,FALSE))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input_432010!A$2</f>
        <v>432010</v>
      </c>
      <c r="B66" s="6">
        <v>190</v>
      </c>
      <c r="C66" s="7" t="str">
        <f t="shared" ref="C66:C129" si="4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IFERROR(VLOOKUP(B66,input_432010!L:R,7,FALSE),VLOOKUP(tables_432010!C66,input_432010!A:H,8,FALSE))</f>
        <v>114000</v>
      </c>
      <c r="P66" s="46">
        <f t="shared" ref="P66:P129" ca="1" si="5">O66/SUM(O:O)</f>
        <v>2.0652173912893815E-2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input_432010!A$2</f>
        <v>432010</v>
      </c>
      <c r="B67" s="6">
        <v>191</v>
      </c>
      <c r="C67" s="7" t="str">
        <f t="shared" si="4"/>
        <v>Premium4color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IFERROR(VLOOKUP(B67,input_432010!L:R,7,FALSE),VLOOKUP(tables_432010!C67,input_432010!A:H,8,FALSE))</f>
        <v>93400</v>
      </c>
      <c r="P67" s="46">
        <f t="shared" ca="1" si="5"/>
        <v>1.6920289854949845E-2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input_432010!A$2</f>
        <v>432010</v>
      </c>
      <c r="B68" s="6">
        <v>192</v>
      </c>
      <c r="C68" s="7" t="str">
        <f t="shared" si="4"/>
        <v>Premium5color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IFERROR(VLOOKUP(B68,input_432010!L:R,7,FALSE),VLOOKUP(tables_432010!C68,input_432010!A:H,8,FALSE))</f>
        <v>5589.1666699999996</v>
      </c>
      <c r="P68" s="46">
        <f t="shared" ca="1" si="5"/>
        <v>1.012530193833242E-3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input_432010!A$2</f>
        <v>432010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IFERROR(VLOOKUP(B69,input_432010!L:R,7,FALSE),VLOOKUP(tables_432010!C69,input_432010!A:H,8,FALSE))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input_432010!A$2</f>
        <v>432010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IFERROR(VLOOKUP(B70,input_432010!L:R,7,FALSE),VLOOKUP(tables_432010!C70,input_432010!A:H,8,FALSE))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input_432010!A$2</f>
        <v>432010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IFERROR(VLOOKUP(B71,input_432010!L:R,7,FALSE),VLOOKUP(tables_432010!C71,input_432010!A:H,8,FALSE))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input_432010!A$2</f>
        <v>432010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IFERROR(VLOOKUP(B72,input_432010!L:R,7,FALSE),VLOOKUP(tables_432010!C72,input_432010!A:H,8,FALSE))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input_432010!A$2</f>
        <v>432010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IFERROR(VLOOKUP(B73,input_432010!L:R,7,FALSE),VLOOKUP(tables_432010!C73,input_432010!A:H,8,FALSE))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input_432010!A$2</f>
        <v>432010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IFERROR(VLOOKUP(B74,input_432010!L:R,7,FALSE),VLOOKUP(tables_432010!C74,input_432010!A:H,8,FALSE))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input_432010!A$2</f>
        <v>432010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IFERROR(VLOOKUP(B75,input_432010!L:R,7,FALSE),VLOOKUP(tables_432010!C75,input_432010!A:H,8,FALSE))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input_432010!A$2</f>
        <v>432010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IFERROR(VLOOKUP(B76,input_432010!L:R,7,FALSE),VLOOKUP(tables_432010!C76,input_432010!A:H,8,FALSE))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input_432010!A$2</f>
        <v>432010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IFERROR(VLOOKUP(B77,input_432010!L:R,7,FALSE),VLOOKUP(tables_432010!C77,input_432010!A:H,8,FALSE))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input_432010!A$2</f>
        <v>432010</v>
      </c>
      <c r="B78" s="5">
        <v>202</v>
      </c>
      <c r="C78" s="7" t="str">
        <f t="shared" si="4"/>
        <v>Premium3color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IFERROR(VLOOKUP(B78,input_432010!L:R,7,FALSE),VLOOKUP(tables_432010!C78,input_432010!A:H,8,FALSE))</f>
        <v>114000</v>
      </c>
      <c r="P78" s="46">
        <f t="shared" ca="1" si="5"/>
        <v>2.0652173912893815E-2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input_432010!A$2</f>
        <v>432010</v>
      </c>
      <c r="B79" s="5">
        <v>203</v>
      </c>
      <c r="C79" s="7" t="str">
        <f t="shared" si="4"/>
        <v>Premium4color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IFERROR(VLOOKUP(B79,input_432010!L:R,7,FALSE),VLOOKUP(tables_432010!C79,input_432010!A:H,8,FALSE))</f>
        <v>93400</v>
      </c>
      <c r="P79" s="46">
        <f t="shared" ca="1" si="5"/>
        <v>1.6920289854949845E-2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input_432010!A$2</f>
        <v>432010</v>
      </c>
      <c r="B80" s="5">
        <v>204</v>
      </c>
      <c r="C80" s="7" t="str">
        <f t="shared" si="4"/>
        <v>Premium5color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IFERROR(VLOOKUP(B80,input_432010!L:R,7,FALSE),VLOOKUP(tables_432010!C80,input_432010!A:H,8,FALSE))</f>
        <v>5589.1666699999996</v>
      </c>
      <c r="P80" s="46">
        <f t="shared" ca="1" si="5"/>
        <v>1.012530193833242E-3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input_432010!A$2</f>
        <v>432010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IFERROR(VLOOKUP(B81,input_432010!L:R,7,FALSE),VLOOKUP(tables_432010!C81,input_432010!A:H,8,FALSE))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input_432010!A$2</f>
        <v>432010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IFERROR(VLOOKUP(B82,input_432010!L:R,7,FALSE),VLOOKUP(tables_432010!C82,input_432010!A:H,8,FALSE))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input_432010!A$2</f>
        <v>432010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IFERROR(VLOOKUP(B83,input_432010!L:R,7,FALSE),VLOOKUP(tables_432010!C83,input_432010!A:H,8,FALSE))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input_432010!A$2</f>
        <v>432010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IFERROR(VLOOKUP(B84,input_432010!L:R,7,FALSE),VLOOKUP(tables_432010!C84,input_432010!A:H,8,FALSE))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input_432010!A$2</f>
        <v>432010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IFERROR(VLOOKUP(B85,input_432010!L:R,7,FALSE),VLOOKUP(tables_432010!C85,input_432010!A:H,8,FALSE))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input_432010!A$2</f>
        <v>432010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IFERROR(VLOOKUP(B86,input_432010!L:R,7,FALSE),VLOOKUP(tables_432010!C86,input_432010!A:H,8,FALSE))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input_432010!A$2</f>
        <v>432010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IFERROR(VLOOKUP(B87,input_432010!L:R,7,FALSE),VLOOKUP(tables_432010!C87,input_432010!A:H,8,FALSE))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input_432010!A$2</f>
        <v>432010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IFERROR(VLOOKUP(B88,input_432010!L:R,7,FALSE),VLOOKUP(tables_432010!C88,input_432010!A:H,8,FALSE))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input_432010!A$2</f>
        <v>432010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IFERROR(VLOOKUP(B89,input_432010!L:R,7,FALSE),VLOOKUP(tables_432010!C89,input_432010!A:H,8,FALSE))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input_432010!A$2</f>
        <v>432010</v>
      </c>
      <c r="B90" s="5">
        <v>214</v>
      </c>
      <c r="C90" s="7" t="str">
        <f t="shared" si="4"/>
        <v>Premium3color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IFERROR(VLOOKUP(B90,input_432010!L:R,7,FALSE),VLOOKUP(tables_432010!C90,input_432010!A:H,8,FALSE))</f>
        <v>114000</v>
      </c>
      <c r="P90" s="46">
        <f t="shared" ca="1" si="5"/>
        <v>2.0652173912893815E-2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input_432010!A$2</f>
        <v>432010</v>
      </c>
      <c r="B91" s="5">
        <v>215</v>
      </c>
      <c r="C91" s="7" t="str">
        <f t="shared" si="4"/>
        <v>Premium4color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IFERROR(VLOOKUP(B91,input_432010!L:R,7,FALSE),VLOOKUP(tables_432010!C91,input_432010!A:H,8,FALSE))</f>
        <v>93400</v>
      </c>
      <c r="P91" s="46">
        <f t="shared" ca="1" si="5"/>
        <v>1.6920289854949845E-2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input_432010!A$2</f>
        <v>432010</v>
      </c>
      <c r="B92" s="5">
        <v>216</v>
      </c>
      <c r="C92" s="7" t="str">
        <f t="shared" si="4"/>
        <v>Premium5color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IFERROR(VLOOKUP(B92,input_432010!L:R,7,FALSE),VLOOKUP(tables_432010!C92,input_432010!A:H,8,FALSE))</f>
        <v>5589.1666699999996</v>
      </c>
      <c r="P92" s="46">
        <f t="shared" ca="1" si="5"/>
        <v>1.012530193833242E-3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input_432010!A$2</f>
        <v>432010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IFERROR(VLOOKUP(B93,input_432010!L:R,7,FALSE),VLOOKUP(tables_432010!C93,input_432010!A:H,8,FALSE))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input_432010!A$2</f>
        <v>432010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IFERROR(VLOOKUP(B94,input_432010!L:R,7,FALSE),VLOOKUP(tables_432010!C94,input_432010!A:H,8,FALSE))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input_432010!A$2</f>
        <v>432010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IFERROR(VLOOKUP(B95,input_432010!L:R,7,FALSE),VLOOKUP(tables_432010!C95,input_432010!A:H,8,FALSE))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input_432010!A$2</f>
        <v>432010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IFERROR(VLOOKUP(B96,input_432010!L:R,7,FALSE),VLOOKUP(tables_432010!C96,input_432010!A:H,8,FALSE))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input_432010!A$2</f>
        <v>432010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IFERROR(VLOOKUP(B97,input_432010!L:R,7,FALSE),VLOOKUP(tables_432010!C97,input_432010!A:H,8,FALSE))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input_432010!A$2</f>
        <v>432010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IFERROR(VLOOKUP(B98,input_432010!L:R,7,FALSE),VLOOKUP(tables_432010!C98,input_432010!A:H,8,FALSE))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input_432010!A$2</f>
        <v>432010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IFERROR(VLOOKUP(B99,input_432010!L:R,7,FALSE),VLOOKUP(tables_432010!C99,input_432010!A:H,8,FALSE))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input_432010!A$2</f>
        <v>432010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IFERROR(VLOOKUP(B100,input_432010!L:R,7,FALSE),VLOOKUP(tables_432010!C100,input_432010!A:H,8,FALSE))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input_432010!A$2</f>
        <v>432010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IFERROR(VLOOKUP(B101,input_432010!L:R,7,FALSE),VLOOKUP(tables_432010!C101,input_432010!A:H,8,FALSE))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input_432010!A$2</f>
        <v>432010</v>
      </c>
      <c r="B102" s="5">
        <v>226</v>
      </c>
      <c r="C102" s="7" t="str">
        <f t="shared" si="4"/>
        <v>Premium3color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IFERROR(VLOOKUP(B102,input_432010!L:R,7,FALSE),VLOOKUP(tables_432010!C102,input_432010!A:H,8,FALSE))</f>
        <v>114000</v>
      </c>
      <c r="P102" s="46">
        <f t="shared" ca="1" si="5"/>
        <v>2.0652173912893815E-2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input_432010!A$2</f>
        <v>432010</v>
      </c>
      <c r="B103" s="5">
        <v>227</v>
      </c>
      <c r="C103" s="7" t="str">
        <f t="shared" si="4"/>
        <v>Premium4color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IFERROR(VLOOKUP(B103,input_432010!L:R,7,FALSE),VLOOKUP(tables_432010!C103,input_432010!A:H,8,FALSE))</f>
        <v>93400</v>
      </c>
      <c r="P103" s="46">
        <f t="shared" ca="1" si="5"/>
        <v>1.6920289854949845E-2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input_432010!A$2</f>
        <v>432010</v>
      </c>
      <c r="B104" s="5">
        <v>228</v>
      </c>
      <c r="C104" s="7" t="str">
        <f t="shared" si="4"/>
        <v>Premium5color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IFERROR(VLOOKUP(B104,input_432010!L:R,7,FALSE),VLOOKUP(tables_432010!C104,input_432010!A:H,8,FALSE))</f>
        <v>5589.1666699999996</v>
      </c>
      <c r="P104" s="46">
        <f t="shared" ca="1" si="5"/>
        <v>1.012530193833242E-3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input_432010!A$2</f>
        <v>432010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IFERROR(VLOOKUP(B105,input_432010!L:R,7,FALSE),VLOOKUP(tables_432010!C105,input_432010!A:H,8,FALSE))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input_432010!A$2</f>
        <v>432010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IFERROR(VLOOKUP(B106,input_432010!L:R,7,FALSE),VLOOKUP(tables_432010!C106,input_432010!A:H,8,FALSE))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input_432010!A$2</f>
        <v>432010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IFERROR(VLOOKUP(B107,input_432010!L:R,7,FALSE),VLOOKUP(tables_432010!C107,input_432010!A:H,8,FALSE))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input_432010!A$2</f>
        <v>432010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IFERROR(VLOOKUP(B108,input_432010!L:R,7,FALSE),VLOOKUP(tables_432010!C108,input_432010!A:H,8,FALSE))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input_432010!A$2</f>
        <v>432010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IFERROR(VLOOKUP(B109,input_432010!L:R,7,FALSE),VLOOKUP(tables_432010!C109,input_432010!A:H,8,FALSE))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input_432010!A$2</f>
        <v>432010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IFERROR(VLOOKUP(B110,input_432010!L:R,7,FALSE),VLOOKUP(tables_432010!C110,input_432010!A:H,8,FALSE))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input_432010!A$2</f>
        <v>432010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input_432010!A$2</f>
        <v>432010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input_432010!A$2</f>
        <v>432010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input_432010!A$2</f>
        <v>432010</v>
      </c>
      <c r="B114" s="5">
        <v>238</v>
      </c>
      <c r="C114" s="7" t="str">
        <f t="shared" si="4"/>
        <v>Premium3color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IFERROR(VLOOKUP(B114,input_432010!L:R,7,FALSE),VLOOKUP(tables_432010!C114,input_432010!A:H,8,FALSE))</f>
        <v>114000</v>
      </c>
      <c r="P114" s="46">
        <f t="shared" ca="1" si="5"/>
        <v>2.0652173912893815E-2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input_432010!A$2</f>
        <v>432010</v>
      </c>
      <c r="B115" s="5">
        <v>239</v>
      </c>
      <c r="C115" s="7" t="str">
        <f t="shared" si="4"/>
        <v>Premium4color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IFERROR(VLOOKUP(B115,input_432010!L:R,7,FALSE),VLOOKUP(tables_432010!C115,input_432010!A:H,8,FALSE))</f>
        <v>93400</v>
      </c>
      <c r="P115" s="46">
        <f t="shared" ca="1" si="5"/>
        <v>1.6920289854949845E-2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input_432010!A$2</f>
        <v>432010</v>
      </c>
      <c r="B116" s="5">
        <v>240</v>
      </c>
      <c r="C116" s="7" t="str">
        <f t="shared" si="4"/>
        <v>Premium5color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IFERROR(VLOOKUP(B116,input_432010!L:R,7,FALSE),VLOOKUP(tables_432010!C116,input_432010!A:H,8,FALSE))</f>
        <v>5589.1666699999996</v>
      </c>
      <c r="P116" s="46">
        <f t="shared" ca="1" si="5"/>
        <v>1.012530193833242E-3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input_432010!A$2</f>
        <v>432010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IFERROR(VLOOKUP(B117,input_432010!L:R,7,FALSE),VLOOKUP(tables_432010!C117,input_432010!A:H,8,FALSE))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input_432010!A$2</f>
        <v>432010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IFERROR(VLOOKUP(B118,input_432010!L:R,7,FALSE),VLOOKUP(tables_432010!C118,input_432010!A:H,8,FALSE))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input_432010!A$2</f>
        <v>432010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IFERROR(VLOOKUP(B119,input_432010!L:R,7,FALSE),VLOOKUP(tables_432010!C119,input_432010!A:H,8,FALSE))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input_432010!A$2</f>
        <v>432010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IFERROR(VLOOKUP(B120,input_432010!L:R,7,FALSE),VLOOKUP(tables_432010!C120,input_432010!A:H,8,FALSE))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input_432010!A$2</f>
        <v>432010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IFERROR(VLOOKUP(B121,input_432010!L:R,7,FALSE),VLOOKUP(tables_432010!C121,input_432010!A:H,8,FALSE))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input_432010!A$2</f>
        <v>432010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IFERROR(VLOOKUP(B122,input_432010!L:R,7,FALSE),VLOOKUP(tables_432010!C122,input_432010!A:H,8,FALSE))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input_432010!A$2</f>
        <v>432010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IFERROR(VLOOKUP(B123,input_432010!L:R,7,FALSE),VLOOKUP(tables_432010!C123,input_432010!A:H,8,FALSE))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input_432010!A$2</f>
        <v>432010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IFERROR(VLOOKUP(B124,input_432010!L:R,7,FALSE),VLOOKUP(tables_432010!C124,input_432010!A:H,8,FALSE))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input_432010!A$2</f>
        <v>432010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IFERROR(VLOOKUP(B125,input_432010!L:R,7,FALSE),VLOOKUP(tables_432010!C125,input_432010!A:H,8,FALSE))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input_432010!A$2</f>
        <v>432010</v>
      </c>
      <c r="B126" s="6">
        <v>250</v>
      </c>
      <c r="C126" s="7" t="str">
        <f t="shared" si="4"/>
        <v>Premium3color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IFERROR(VLOOKUP(B126,input_432010!L:R,7,FALSE),VLOOKUP(tables_432010!C126,input_432010!A:H,8,FALSE))</f>
        <v>114000</v>
      </c>
      <c r="P126" s="46">
        <f t="shared" ca="1" si="5"/>
        <v>2.0652173912893815E-2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input_432010!A$2</f>
        <v>432010</v>
      </c>
      <c r="B127" s="6">
        <v>251</v>
      </c>
      <c r="C127" s="7" t="str">
        <f t="shared" si="4"/>
        <v>Premium4color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IFERROR(VLOOKUP(B127,input_432010!L:R,7,FALSE),VLOOKUP(tables_432010!C127,input_432010!A:H,8,FALSE))</f>
        <v>93400</v>
      </c>
      <c r="P127" s="46">
        <f t="shared" ca="1" si="5"/>
        <v>1.6920289854949845E-2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input_432010!A$2</f>
        <v>432010</v>
      </c>
      <c r="B128" s="6">
        <v>252</v>
      </c>
      <c r="C128" s="7" t="str">
        <f t="shared" si="4"/>
        <v>Premium5color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IFERROR(VLOOKUP(B128,input_432010!L:R,7,FALSE),VLOOKUP(tables_432010!C128,input_432010!A:H,8,FALSE))</f>
        <v>5589.1666699999996</v>
      </c>
      <c r="P128" s="46">
        <f t="shared" ca="1" si="5"/>
        <v>1.012530193833242E-3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input_432010!A$2</f>
        <v>432010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IFERROR(VLOOKUP(B129,input_432010!L:R,7,FALSE),VLOOKUP(tables_432010!C129,input_432010!A:H,8,FALSE))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input_432010!A$2</f>
        <v>432010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IFERROR(VLOOKUP(B130,input_432010!L:R,7,FALSE),VLOOKUP(tables_432010!C130,input_432010!A:H,8,FALSE))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input_432010!A$2</f>
        <v>432010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IFERROR(VLOOKUP(B131,input_432010!L:R,7,FALSE),VLOOKUP(tables_432010!C131,input_432010!A:H,8,FALSE))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input_432010!A$2</f>
        <v>432010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IFERROR(VLOOKUP(B132,input_432010!L:R,7,FALSE),VLOOKUP(tables_432010!C132,input_432010!A:H,8,FALSE))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input_432010!A$2</f>
        <v>432010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IFERROR(VLOOKUP(B133,input_432010!L:R,7,FALSE),VLOOKUP(tables_432010!C133,input_432010!A:H,8,FALSE))</f>
        <v>0</v>
      </c>
      <c r="P133" s="46">
        <f t="shared" ca="1" si="9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input_432010!A$2</f>
        <v>432010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IFERROR(VLOOKUP(B134,input_432010!L:R,7,FALSE),VLOOKUP(tables_432010!C134,input_432010!A:H,8,FALSE))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input_432010!A$2</f>
        <v>432010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IFERROR(VLOOKUP(B135,input_432010!L:R,7,FALSE),VLOOKUP(tables_432010!C135,input_432010!A:H,8,FALSE))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input_432010!A$2</f>
        <v>432010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IFERROR(VLOOKUP(B136,input_432010!L:R,7,FALSE),VLOOKUP(tables_432010!C136,input_432010!A:H,8,FALSE))</f>
        <v>0</v>
      </c>
      <c r="P136" s="46">
        <f t="shared" ca="1" si="9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input_432010!A$2</f>
        <v>432010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IFERROR(VLOOKUP(B137,input_432010!L:R,7,FALSE),VLOOKUP(tables_432010!C137,input_432010!A:H,8,FALSE))</f>
        <v>0</v>
      </c>
      <c r="P137" s="46">
        <f t="shared" ca="1" si="9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input_432010!A$2</f>
        <v>432010</v>
      </c>
      <c r="B138" s="6">
        <v>320</v>
      </c>
      <c r="C138" s="7" t="str">
        <f t="shared" si="8"/>
        <v>PremiumSS4color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IFERROR(VLOOKUP(B138,input_432010!L:R,7,FALSE),VLOOKUP(tables_432010!C138,input_432010!A:H,8,FALSE))</f>
        <v>4370</v>
      </c>
      <c r="P138" s="46">
        <f t="shared" ca="1" si="9"/>
        <v>7.9166666666092959E-4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input_432010!A$2</f>
        <v>432010</v>
      </c>
      <c r="B139" s="6">
        <v>321</v>
      </c>
      <c r="C139" s="7" t="str">
        <f t="shared" si="8"/>
        <v>PremiumSS5color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IFERROR(VLOOKUP(B139,input_432010!L:R,7,FALSE),VLOOKUP(tables_432010!C139,input_432010!A:H,8,FALSE))</f>
        <v>230</v>
      </c>
      <c r="P139" s="46">
        <f t="shared" ca="1" si="9"/>
        <v>4.1666666666364715E-5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input_432010!A$2</f>
        <v>432010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IFERROR(VLOOKUP(B140,input_432010!L:R,7,FALSE),VLOOKUP(tables_432010!C140,input_432010!A:H,8,FALSE))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input_432010!A$2</f>
        <v>432010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IFERROR(VLOOKUP(B141,input_432010!L:R,7,FALSE),VLOOKUP(tables_432010!C141,input_432010!A:H,8,FALSE))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input_432010!A$2</f>
        <v>432010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IFERROR(VLOOKUP(B142,input_432010!L:R,7,FALSE),VLOOKUP(tables_432010!C142,input_432010!A:H,8,FALSE))</f>
        <v>0</v>
      </c>
      <c r="P142" s="46">
        <f t="shared" ca="1" si="9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input_432010!A$2</f>
        <v>432010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IFERROR(VLOOKUP(B143,input_432010!L:R,7,FALSE),VLOOKUP(tables_432010!C143,input_432010!A:H,8,FALSE))</f>
        <v>0</v>
      </c>
      <c r="P143" s="46">
        <f t="shared" ca="1" si="9"/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input_432010!A$2</f>
        <v>432010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IFERROR(VLOOKUP(B144,input_432010!L:R,7,FALSE),VLOOKUP(tables_432010!C144,input_432010!A:H,8,FALSE))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input_432010!A$2</f>
        <v>432010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IFERROR(VLOOKUP(B145,input_432010!L:R,7,FALSE),VLOOKUP(tables_432010!C145,input_432010!A:H,8,FALSE))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input_432010!A$2</f>
        <v>432010</v>
      </c>
      <c r="B146" s="6">
        <v>380</v>
      </c>
      <c r="C146" s="7" t="str">
        <f t="shared" si="8"/>
        <v>Premium3color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IFERROR(VLOOKUP(B146,input_432010!L:R,7,FALSE),VLOOKUP(tables_432010!C146,input_432010!A:H,8,FALSE))</f>
        <v>114000</v>
      </c>
      <c r="P146" s="46">
        <f t="shared" ca="1" si="9"/>
        <v>2.0652173912893815E-2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input_432010!A$2</f>
        <v>432010</v>
      </c>
      <c r="B147" s="6">
        <v>381</v>
      </c>
      <c r="C147" s="7" t="str">
        <f t="shared" si="8"/>
        <v>Premium4color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IFERROR(VLOOKUP(B147,input_432010!L:R,7,FALSE),VLOOKUP(tables_432010!C147,input_432010!A:H,8,FALSE))</f>
        <v>93400</v>
      </c>
      <c r="P147" s="46">
        <f t="shared" ca="1" si="9"/>
        <v>1.6920289854949845E-2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input_432010!A$2</f>
        <v>432010</v>
      </c>
      <c r="B148" s="6">
        <v>382</v>
      </c>
      <c r="C148" s="7" t="str">
        <f t="shared" si="8"/>
        <v>Premium5color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IFERROR(VLOOKUP(B148,input_432010!L:R,7,FALSE),VLOOKUP(tables_432010!C148,input_432010!A:H,8,FALSE))</f>
        <v>5589.1666699999996</v>
      </c>
      <c r="P148" s="46">
        <f t="shared" ca="1" si="9"/>
        <v>1.012530193833242E-3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input_432010!A$2</f>
        <v>432010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IFERROR(VLOOKUP(B149,input_432010!L:R,7,FALSE),VLOOKUP(tables_432010!C149,input_432010!A:H,8,FALSE))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input_432010!A$2</f>
        <v>432010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IFERROR(VLOOKUP(B150,input_432010!L:R,7,FALSE),VLOOKUP(tables_432010!C150,input_432010!A:H,8,FALSE))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input_432010!A$2</f>
        <v>432010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IFERROR(VLOOKUP(B151,input_432010!L:R,7,FALSE),VLOOKUP(tables_432010!C151,input_432010!A:H,8,FALSE))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input_432010!A$2</f>
        <v>432010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IFERROR(VLOOKUP(B152,input_432010!L:R,7,FALSE),VLOOKUP(tables_432010!C152,input_432010!A:H,8,FALSE))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input_432010!A$2</f>
        <v>432010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IFERROR(VLOOKUP(B153,input_432010!L:R,7,FALSE),VLOOKUP(tables_432010!C153,input_432010!A:H,8,FALSE))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input_432010!A$2</f>
        <v>432010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IFERROR(VLOOKUP(B154,input_432010!L:R,7,FALSE),VLOOKUP(tables_432010!C154,input_432010!A:H,8,FALSE))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input_432010!A$2</f>
        <v>432010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IFERROR(VLOOKUP(B155,input_432010!L:R,7,FALSE),VLOOKUP(tables_432010!C155,input_432010!A:H,8,FALSE))</f>
        <v>0</v>
      </c>
      <c r="P155" s="46">
        <f t="shared" ca="1" si="9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input_432010!A$2</f>
        <v>432010</v>
      </c>
      <c r="B156" s="6">
        <v>390</v>
      </c>
      <c r="C156" s="7" t="str">
        <f t="shared" si="8"/>
        <v>PremiumSS4color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IFERROR(VLOOKUP(B156,input_432010!L:R,7,FALSE),VLOOKUP(tables_432010!C156,input_432010!A:H,8,FALSE))</f>
        <v>4370</v>
      </c>
      <c r="P156" s="46">
        <f t="shared" ca="1" si="9"/>
        <v>7.9166666666092959E-4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input_432010!A$2</f>
        <v>432010</v>
      </c>
      <c r="B157" s="6">
        <v>391</v>
      </c>
      <c r="C157" s="7" t="str">
        <f t="shared" si="8"/>
        <v>PremiumSS5color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IFERROR(VLOOKUP(B157,input_432010!L:R,7,FALSE),VLOOKUP(tables_432010!C157,input_432010!A:H,8,FALSE))</f>
        <v>230</v>
      </c>
      <c r="P157" s="46">
        <f t="shared" ca="1" si="9"/>
        <v>4.1666666666364715E-5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input_432010!A$2</f>
        <v>432010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IFERROR(VLOOKUP(B158,input_432010!L:R,7,FALSE),VLOOKUP(tables_432010!C158,input_432010!A:H,8,FALSE))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input_432010!A$2</f>
        <v>432010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IFERROR(VLOOKUP(B159,input_432010!L:R,7,FALSE),VLOOKUP(tables_432010!C159,input_432010!A:H,8,FALSE))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input_432010!A$2</f>
        <v>432010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IFERROR(VLOOKUP(B160,input_432010!L:R,7,FALSE),VLOOKUP(tables_432010!C160,input_432010!A:H,8,FALSE))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input_432010!A$2</f>
        <v>432010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IFERROR(VLOOKUP(B161,input_432010!L:R,7,FALSE),VLOOKUP(tables_432010!C161,input_432010!A:H,8,FALSE))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input_432010!A$2</f>
        <v>432010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IFERROR(VLOOKUP(B162,input_432010!L:R,7,FALSE),VLOOKUP(tables_432010!C162,input_432010!A:H,8,FALSE))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input_432010!A$2</f>
        <v>432010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IFERROR(VLOOKUP(B163,input_432010!L:R,7,FALSE),VLOOKUP(tables_432010!C163,input_432010!A:H,8,FALSE))</f>
        <v>0</v>
      </c>
      <c r="P163" s="46">
        <f t="shared" ca="1" si="9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input_432010!A$2</f>
        <v>432010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IFERROR(VLOOKUP(B164,input_432010!L:R,7,FALSE),VLOOKUP(tables_432010!C164,input_432010!A:H,8,FALSE))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input_432010!A$2</f>
        <v>432010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IFERROR(VLOOKUP(B165,input_432010!L:R,7,FALSE),VLOOKUP(tables_432010!C165,input_432010!A:H,8,FALSE))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input_432010!A$2</f>
        <v>432010</v>
      </c>
      <c r="B166" s="6">
        <v>400</v>
      </c>
      <c r="C166" s="7" t="str">
        <f t="shared" si="8"/>
        <v>Premium3color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IFERROR(VLOOKUP(B166,input_432010!L:R,7,FALSE),VLOOKUP(tables_432010!C166,input_432010!A:H,8,FALSE))</f>
        <v>114000</v>
      </c>
      <c r="P166" s="46">
        <f t="shared" ca="1" si="9"/>
        <v>2.0652173912893815E-2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input_432010!A$2</f>
        <v>432010</v>
      </c>
      <c r="B167" s="6">
        <v>401</v>
      </c>
      <c r="C167" s="7" t="str">
        <f t="shared" si="8"/>
        <v>Premium4color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IFERROR(VLOOKUP(B167,input_432010!L:R,7,FALSE),VLOOKUP(tables_432010!C167,input_432010!A:H,8,FALSE))</f>
        <v>93400</v>
      </c>
      <c r="P167" s="46">
        <f t="shared" ca="1" si="9"/>
        <v>1.6920289854949845E-2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input_432010!A$2</f>
        <v>432010</v>
      </c>
      <c r="B168" s="6">
        <v>402</v>
      </c>
      <c r="C168" s="7" t="str">
        <f t="shared" si="8"/>
        <v>Premium5color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IFERROR(VLOOKUP(B168,input_432010!L:R,7,FALSE),VLOOKUP(tables_432010!C168,input_432010!A:H,8,FALSE))</f>
        <v>5589.1666699999996</v>
      </c>
      <c r="P168" s="46">
        <f t="shared" ca="1" si="9"/>
        <v>1.012530193833242E-3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input_432010!A$2</f>
        <v>432010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IFERROR(VLOOKUP(B169,input_432010!L:R,7,FALSE),VLOOKUP(tables_432010!C169,input_432010!A:H,8,FALSE))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input_432010!A$2</f>
        <v>432010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IFERROR(VLOOKUP(B170,input_432010!L:R,7,FALSE),VLOOKUP(tables_432010!C170,input_432010!A:H,8,FALSE))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input_432010!A$2</f>
        <v>432010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IFERROR(VLOOKUP(B171,input_432010!L:R,7,FALSE),VLOOKUP(tables_432010!C171,input_432010!A:H,8,FALSE))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input_432010!A$2</f>
        <v>432010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IFERROR(VLOOKUP(B172,input_432010!L:R,7,FALSE),VLOOKUP(tables_432010!C172,input_432010!A:H,8,FALSE))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input_432010!A$2</f>
        <v>432010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IFERROR(VLOOKUP(B173,input_432010!L:R,7,FALSE),VLOOKUP(tables_432010!C173,input_432010!A:H,8,FALSE))</f>
        <v>0</v>
      </c>
      <c r="P173" s="46">
        <f t="shared" ca="1" si="9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input_432010!A$2</f>
        <v>432010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IFERROR(VLOOKUP(B174,input_432010!L:R,7,FALSE),VLOOKUP(tables_432010!C174,input_432010!A:H,8,FALSE))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input_432010!A$2</f>
        <v>432010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IFERROR(VLOOKUP(B175,input_432010!L:R,7,FALSE),VLOOKUP(tables_432010!C175,input_432010!A:H,8,FALSE))</f>
        <v>0</v>
      </c>
      <c r="P175" s="46">
        <f t="shared" ca="1" si="9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input_432010!A$2</f>
        <v>432010</v>
      </c>
      <c r="B176" s="6">
        <v>434</v>
      </c>
      <c r="C176" s="7" t="str">
        <f t="shared" si="8"/>
        <v>PremiumSS4color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IFERROR(VLOOKUP(B176,input_432010!L:R,7,FALSE),VLOOKUP(tables_432010!C176,input_432010!A:H,8,FALSE))</f>
        <v>4370</v>
      </c>
      <c r="P176" s="46">
        <f t="shared" ca="1" si="9"/>
        <v>7.9166666666092959E-4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input_432010!A$2</f>
        <v>432010</v>
      </c>
      <c r="B177" s="6">
        <v>435</v>
      </c>
      <c r="C177" s="7" t="str">
        <f t="shared" si="8"/>
        <v>PremiumSS5color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IFERROR(VLOOKUP(B177,input_432010!L:R,7,FALSE),VLOOKUP(tables_432010!C177,input_432010!A:H,8,FALSE))</f>
        <v>230</v>
      </c>
      <c r="P177" s="46">
        <f t="shared" ca="1" si="9"/>
        <v>4.1666666666364715E-5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input_432010!A$2</f>
        <v>432010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IFERROR(VLOOKUP(B178,input_432010!L:R,7,FALSE),VLOOKUP(tables_432010!C178,input_432010!A:H,8,FALSE))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input_432010!A$2</f>
        <v>432010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IFERROR(VLOOKUP(B179,input_432010!L:R,7,FALSE),VLOOKUP(tables_432010!C179,input_432010!A:H,8,FALSE))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input_432010!A$2</f>
        <v>432010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IFERROR(VLOOKUP(B180,input_432010!L:R,7,FALSE),VLOOKUP(tables_432010!C180,input_432010!A:H,8,FALSE))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input_432010!A$2</f>
        <v>432010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IFERROR(VLOOKUP(B181,input_432010!L:R,7,FALSE),VLOOKUP(tables_432010!C181,input_432010!A:H,8,FALSE))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input_432010!A$2</f>
        <v>432010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IFERROR(VLOOKUP(B182,input_432010!L:R,7,FALSE),VLOOKUP(tables_432010!C182,input_432010!A:H,8,FALSE))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input_432010!A$2</f>
        <v>432010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IFERROR(VLOOKUP(B183,input_432010!L:R,7,FALSE),VLOOKUP(tables_432010!C183,input_432010!A:H,8,FALSE))</f>
        <v>0</v>
      </c>
      <c r="P183" s="46">
        <f t="shared" ca="1" si="9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input_432010!A$2</f>
        <v>432010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IFERROR(VLOOKUP(B184,input_432010!L:R,7,FALSE),VLOOKUP(tables_432010!C184,input_432010!A:H,8,FALSE))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input_432010!A$2</f>
        <v>432010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IFERROR(VLOOKUP(B185,input_432010!L:R,7,FALSE),VLOOKUP(tables_432010!C185,input_432010!A:H,8,FALSE))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input_432010!A$2</f>
        <v>432010</v>
      </c>
      <c r="B186" s="8">
        <v>462</v>
      </c>
      <c r="C186" s="7" t="str">
        <f t="shared" si="8"/>
        <v>Premium3color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IFERROR(VLOOKUP(B186,input_432010!L:R,7,FALSE),VLOOKUP(tables_432010!C186,input_432010!A:H,8,FALSE))</f>
        <v>114000</v>
      </c>
      <c r="P186" s="46">
        <f t="shared" ca="1" si="9"/>
        <v>2.0652173912893815E-2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input_432010!A$2</f>
        <v>432010</v>
      </c>
      <c r="B187" s="8">
        <v>463</v>
      </c>
      <c r="C187" s="7" t="str">
        <f t="shared" si="8"/>
        <v>Premium4color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IFERROR(VLOOKUP(B187,input_432010!L:R,7,FALSE),VLOOKUP(tables_432010!C187,input_432010!A:H,8,FALSE))</f>
        <v>93400</v>
      </c>
      <c r="P187" s="46">
        <f t="shared" ca="1" si="9"/>
        <v>1.6920289854949845E-2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input_432010!A$2</f>
        <v>432010</v>
      </c>
      <c r="B188" s="8">
        <v>464</v>
      </c>
      <c r="C188" s="7" t="str">
        <f t="shared" si="8"/>
        <v>Premium5color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IFERROR(VLOOKUP(B188,input_432010!L:R,7,FALSE),VLOOKUP(tables_432010!C188,input_432010!A:H,8,FALSE))</f>
        <v>5589.1666699999996</v>
      </c>
      <c r="P188" s="46">
        <f t="shared" ca="1" si="9"/>
        <v>1.012530193833242E-3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input_432010!A$2</f>
        <v>432010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IFERROR(VLOOKUP(B189,input_432010!L:R,7,FALSE),VLOOKUP(tables_432010!C189,input_432010!A:H,8,FALSE))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input_432010!A$2</f>
        <v>432010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IFERROR(VLOOKUP(B190,input_432010!L:R,7,FALSE),VLOOKUP(tables_432010!C190,input_432010!A:H,8,FALSE))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input_432010!A$2</f>
        <v>432010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IFERROR(VLOOKUP(B191,input_432010!L:R,7,FALSE),VLOOKUP(tables_432010!C191,input_432010!A:H,8,FALSE))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input_432010!A$2</f>
        <v>432010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IFERROR(VLOOKUP(B192,input_432010!L:R,7,FALSE),VLOOKUP(tables_432010!C192,input_432010!A:H,8,FALSE))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input_432010!A$2</f>
        <v>432010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IFERROR(VLOOKUP(B193,input_432010!L:R,7,FALSE),VLOOKUP(tables_432010!C193,input_432010!A:H,8,FALSE))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input_432010!A$2</f>
        <v>432010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IFERROR(VLOOKUP(B194,input_432010!L:R,7,FALSE),VLOOKUP(tables_432010!C194,input_432010!A:H,8,FALSE))</f>
        <v>0</v>
      </c>
      <c r="P194" s="46">
        <f t="shared" ref="P194:P257" ca="1" si="13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input_432010!A$2</f>
        <v>432010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IFERROR(VLOOKUP(B195,input_432010!L:R,7,FALSE),VLOOKUP(tables_432010!C195,input_432010!A:H,8,FALSE))</f>
        <v>0</v>
      </c>
      <c r="P195" s="46">
        <f t="shared" ca="1" si="13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input_432010!A$2</f>
        <v>432010</v>
      </c>
      <c r="B196" s="6">
        <v>474</v>
      </c>
      <c r="C196" s="7" t="str">
        <f t="shared" si="12"/>
        <v>PremiumSS4color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IFERROR(VLOOKUP(B196,input_432010!L:R,7,FALSE),VLOOKUP(tables_432010!C196,input_432010!A:H,8,FALSE))</f>
        <v>104880</v>
      </c>
      <c r="P196" s="46">
        <f t="shared" ca="1" si="13"/>
        <v>1.8999999999862311E-2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input_432010!A$2</f>
        <v>432010</v>
      </c>
      <c r="B197" s="6">
        <v>475</v>
      </c>
      <c r="C197" s="7" t="str">
        <f t="shared" si="12"/>
        <v>PremiumSS5color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IFERROR(VLOOKUP(B197,input_432010!L:R,7,FALSE),VLOOKUP(tables_432010!C197,input_432010!A:H,8,FALSE))</f>
        <v>5520</v>
      </c>
      <c r="P197" s="46">
        <f t="shared" ca="1" si="13"/>
        <v>9.9999999999275321E-4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input_432010!A$2</f>
        <v>432010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IFERROR(VLOOKUP(B198,input_432010!L:R,7,FALSE),VLOOKUP(tables_432010!C198,input_432010!A:H,8,FALSE))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input_432010!A$2</f>
        <v>432010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IFERROR(VLOOKUP(B199,input_432010!L:R,7,FALSE),VLOOKUP(tables_432010!C199,input_432010!A:H,8,FALSE))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input_432010!A$2</f>
        <v>432010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IFERROR(VLOOKUP(B200,input_432010!L:R,7,FALSE),VLOOKUP(tables_432010!C200,input_432010!A:H,8,FALSE))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input_432010!A$2</f>
        <v>432010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IFERROR(VLOOKUP(B201,input_432010!L:R,7,FALSE),VLOOKUP(tables_432010!C201,input_432010!A:H,8,FALSE))</f>
        <v>0</v>
      </c>
      <c r="P201" s="46">
        <f t="shared" ca="1" si="13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input_432010!A$2</f>
        <v>432010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IFERROR(VLOOKUP(B202,input_432010!L:R,7,FALSE),VLOOKUP(tables_432010!C202,input_432010!A:H,8,FALSE))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input_432010!A$2</f>
        <v>432010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IFERROR(VLOOKUP(B203,input_432010!L:R,7,FALSE),VLOOKUP(tables_432010!C203,input_432010!A:H,8,FALSE))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input_432010!A$2</f>
        <v>432010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IFERROR(VLOOKUP(B204,input_432010!L:R,7,FALSE),VLOOKUP(tables_432010!C204,input_432010!A:H,8,FALSE))</f>
        <v>0</v>
      </c>
      <c r="P204" s="46">
        <f t="shared" ca="1" si="13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input_432010!A$2</f>
        <v>432010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IFERROR(VLOOKUP(B205,input_432010!L:R,7,FALSE),VLOOKUP(tables_432010!C205,input_432010!A:H,8,FALSE))</f>
        <v>0</v>
      </c>
      <c r="P205" s="46">
        <f t="shared" ca="1" si="13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input_432010!A$2</f>
        <v>432010</v>
      </c>
      <c r="B206" s="6">
        <v>492</v>
      </c>
      <c r="C206" s="7" t="str">
        <f t="shared" si="12"/>
        <v>PremiumSS4color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IFERROR(VLOOKUP(B206,input_432010!L:R,7,FALSE),VLOOKUP(tables_432010!C206,input_432010!A:H,8,FALSE))</f>
        <v>4370</v>
      </c>
      <c r="P206" s="46">
        <f t="shared" ca="1" si="13"/>
        <v>7.9166666666092959E-4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input_432010!A$2</f>
        <v>432010</v>
      </c>
      <c r="B207" s="6">
        <v>493</v>
      </c>
      <c r="C207" s="7" t="str">
        <f t="shared" si="12"/>
        <v>PremiumSS5color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IFERROR(VLOOKUP(B207,input_432010!L:R,7,FALSE),VLOOKUP(tables_432010!C207,input_432010!A:H,8,FALSE))</f>
        <v>230</v>
      </c>
      <c r="P207" s="46">
        <f t="shared" ca="1" si="13"/>
        <v>4.1666666666364715E-5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input_432010!A$2</f>
        <v>432010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IFERROR(VLOOKUP(B208,input_432010!L:R,7,FALSE),VLOOKUP(tables_432010!C208,input_432010!A:H,8,FALSE))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input_432010!A$2</f>
        <v>432010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IFERROR(VLOOKUP(B209,input_432010!L:R,7,FALSE),VLOOKUP(tables_432010!C209,input_432010!A:H,8,FALSE))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input_432010!A$2</f>
        <v>432010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IFERROR(VLOOKUP(B210,input_432010!L:R,7,FALSE),VLOOKUP(tables_432010!C210,input_432010!A:H,8,FALSE))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input_432010!A$2</f>
        <v>432010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IFERROR(VLOOKUP(B211,input_432010!L:R,7,FALSE),VLOOKUP(tables_432010!C211,input_432010!A:H,8,FALSE))</f>
        <v>0</v>
      </c>
      <c r="P211" s="46">
        <f t="shared" ca="1" si="13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input_432010!A$2</f>
        <v>432010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IFERROR(VLOOKUP(B212,input_432010!L:R,7,FALSE),VLOOKUP(tables_432010!C212,input_432010!A:H,8,FALSE))</f>
        <v>0</v>
      </c>
      <c r="P212" s="46">
        <f t="shared" ca="1" si="13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input_432010!A$2</f>
        <v>432010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IFERROR(VLOOKUP(B213,input_432010!L:R,7,FALSE),VLOOKUP(tables_432010!C213,input_432010!A:H,8,FALSE))</f>
        <v>0</v>
      </c>
      <c r="P213" s="46">
        <f t="shared" ca="1" si="13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input_432010!A$2</f>
        <v>432010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IFERROR(VLOOKUP(B214,input_432010!L:R,7,FALSE),VLOOKUP(tables_432010!C214,input_432010!A:H,8,FALSE))</f>
        <v>0</v>
      </c>
      <c r="P214" s="46">
        <f t="shared" ca="1" si="13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input_432010!A$2</f>
        <v>432010</v>
      </c>
      <c r="B215" s="6">
        <v>586</v>
      </c>
      <c r="C215" s="7" t="str">
        <f t="shared" si="12"/>
        <v>PremiumSS4color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IFERROR(VLOOKUP(B215,input_432010!L:R,7,FALSE),VLOOKUP(tables_432010!C215,input_432010!A:H,8,FALSE))</f>
        <v>4370</v>
      </c>
      <c r="P215" s="46">
        <f t="shared" ca="1" si="13"/>
        <v>7.9166666666092959E-4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input_432010!A$2</f>
        <v>432010</v>
      </c>
      <c r="B216" s="6">
        <v>587</v>
      </c>
      <c r="C216" s="7" t="str">
        <f t="shared" si="12"/>
        <v>PremiumSS5color</v>
      </c>
      <c r="D216" s="7" t="str">
        <f t="shared" si="14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IFERROR(VLOOKUP(B216,input_432010!L:R,7,FALSE),VLOOKUP(tables_432010!C216,input_432010!A:H,8,FALSE))</f>
        <v>230</v>
      </c>
      <c r="P216" s="46">
        <f t="shared" ca="1" si="13"/>
        <v>4.1666666666364715E-5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input_432010!A$2</f>
        <v>432010</v>
      </c>
      <c r="B217" s="6">
        <v>588</v>
      </c>
      <c r="C217" s="7" t="str">
        <f t="shared" si="12"/>
        <v>Premium3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IFERROR(VLOOKUP(B217,input_432010!L:R,7,FALSE),VLOOKUP(tables_432010!C217,input_432010!A:H,8,FALSE))</f>
        <v>0</v>
      </c>
      <c r="P217" s="46">
        <f t="shared" ca="1" si="13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input_432010!A$2</f>
        <v>432010</v>
      </c>
      <c r="B218" s="6">
        <v>589</v>
      </c>
      <c r="C218" s="7" t="str">
        <f t="shared" si="12"/>
        <v>Premium4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IFERROR(VLOOKUP(B218,input_432010!L:R,7,FALSE),VLOOKUP(tables_432010!C218,input_432010!A:H,8,FALSE))</f>
        <v>0</v>
      </c>
      <c r="P218" s="46">
        <f t="shared" ca="1" si="13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input_432010!A$2</f>
        <v>432010</v>
      </c>
      <c r="B219" s="6">
        <v>590</v>
      </c>
      <c r="C219" s="7" t="str">
        <f t="shared" si="12"/>
        <v>Premium5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IFERROR(VLOOKUP(B219,input_432010!L:R,7,FALSE),VLOOKUP(tables_432010!C219,input_432010!A:H,8,FALSE))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input_432010!A$2</f>
        <v>432010</v>
      </c>
      <c r="B220" s="6">
        <v>591</v>
      </c>
      <c r="C220" s="7" t="str">
        <f t="shared" si="12"/>
        <v>Premium3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IFERROR(VLOOKUP(B220,input_432010!L:R,7,FALSE),VLOOKUP(tables_432010!C220,input_432010!A:H,8,FALSE))</f>
        <v>0</v>
      </c>
      <c r="P220" s="46">
        <f t="shared" ca="1" si="13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input_432010!A$2</f>
        <v>432010</v>
      </c>
      <c r="B221" s="6">
        <v>592</v>
      </c>
      <c r="C221" s="7" t="str">
        <f t="shared" si="12"/>
        <v>Premium4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IFERROR(VLOOKUP(B221,input_432010!L:R,7,FALSE),VLOOKUP(tables_432010!C221,input_432010!A:H,8,FALSE))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input_432010!A$2</f>
        <v>432010</v>
      </c>
      <c r="B222" s="6">
        <v>593</v>
      </c>
      <c r="C222" s="7" t="str">
        <f t="shared" si="12"/>
        <v>Premium5</v>
      </c>
      <c r="D222" s="7" t="str">
        <f t="shared" si="14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IFERROR(VLOOKUP(B222,input_432010!L:R,7,FALSE),VLOOKUP(tables_432010!C222,input_432010!A:H,8,FALSE))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input_432010!A$2</f>
        <v>432010</v>
      </c>
      <c r="B223" s="6">
        <v>594</v>
      </c>
      <c r="C223" s="7" t="str">
        <f t="shared" si="12"/>
        <v>PremiumSS4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IFERROR(VLOOKUP(B223,input_432010!L:R,7,FALSE),VLOOKUP(tables_432010!C223,input_432010!A:H,8,FALSE))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input_432010!A$2</f>
        <v>432010</v>
      </c>
      <c r="B224" s="6">
        <v>595</v>
      </c>
      <c r="C224" s="7" t="str">
        <f t="shared" si="12"/>
        <v>PremiumSS5</v>
      </c>
      <c r="D224" s="7" t="str">
        <f t="shared" si="14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IFERROR(VLOOKUP(B224,input_432010!L:R,7,FALSE),VLOOKUP(tables_432010!C224,input_432010!A:H,8,FALSE))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input_432010!A$2</f>
        <v>432010</v>
      </c>
      <c r="B225" s="6">
        <v>596</v>
      </c>
      <c r="C225" s="7" t="str">
        <f t="shared" si="12"/>
        <v>Premium3color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IFERROR(VLOOKUP(B225,input_432010!L:R,7,FALSE),VLOOKUP(tables_432010!C225,input_432010!A:H,8,FALSE))</f>
        <v>114000</v>
      </c>
      <c r="P225" s="46">
        <f t="shared" ca="1" si="13"/>
        <v>2.0652173912893815E-2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input_432010!A$2</f>
        <v>432010</v>
      </c>
      <c r="B226" s="6">
        <v>597</v>
      </c>
      <c r="C226" s="7" t="str">
        <f t="shared" si="12"/>
        <v>Premium4color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IFERROR(VLOOKUP(B226,input_432010!L:R,7,FALSE),VLOOKUP(tables_432010!C226,input_432010!A:H,8,FALSE))</f>
        <v>93400</v>
      </c>
      <c r="P226" s="46">
        <f t="shared" ca="1" si="13"/>
        <v>1.6920289854949845E-2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input_432010!A$2</f>
        <v>432010</v>
      </c>
      <c r="B227" s="6">
        <v>598</v>
      </c>
      <c r="C227" s="7" t="str">
        <f t="shared" si="12"/>
        <v>Premium5color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IFERROR(VLOOKUP(B227,input_432010!L:R,7,FALSE),VLOOKUP(tables_432010!C227,input_432010!A:H,8,FALSE))</f>
        <v>5589.1666699999996</v>
      </c>
      <c r="P227" s="46">
        <f t="shared" ca="1" si="13"/>
        <v>1.012530193833242E-3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input_432010!A$2</f>
        <v>432010</v>
      </c>
      <c r="B228" s="6">
        <v>599</v>
      </c>
      <c r="C228" s="7" t="str">
        <f t="shared" si="12"/>
        <v>Premium3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IFERROR(VLOOKUP(B228,input_432010!L:R,7,FALSE),VLOOKUP(tables_432010!C228,input_432010!A:H,8,FALSE))</f>
        <v>0</v>
      </c>
      <c r="P228" s="46">
        <f t="shared" ca="1" si="13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input_432010!A$2</f>
        <v>432010</v>
      </c>
      <c r="B229" s="6">
        <v>600</v>
      </c>
      <c r="C229" s="7" t="str">
        <f t="shared" si="12"/>
        <v>Premium4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IFERROR(VLOOKUP(B229,input_432010!L:R,7,FALSE),VLOOKUP(tables_432010!C229,input_432010!A:H,8,FALSE))</f>
        <v>0</v>
      </c>
      <c r="P229" s="46">
        <f t="shared" ca="1" si="13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input_432010!A$2</f>
        <v>432010</v>
      </c>
      <c r="B230" s="6">
        <v>601</v>
      </c>
      <c r="C230" s="7" t="str">
        <f t="shared" si="12"/>
        <v>Premium5</v>
      </c>
      <c r="D230" s="7" t="str">
        <f t="shared" si="14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IFERROR(VLOOKUP(B230,input_432010!L:R,7,FALSE),VLOOKUP(tables_432010!C230,input_432010!A:H,8,FALSE))</f>
        <v>0</v>
      </c>
      <c r="P230" s="46">
        <f t="shared" ca="1" si="13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input_432010!A$2</f>
        <v>432010</v>
      </c>
      <c r="B231" s="6">
        <v>602</v>
      </c>
      <c r="C231" s="7" t="str">
        <f t="shared" si="12"/>
        <v>PremiumSS4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IFERROR(VLOOKUP(B231,input_432010!L:R,7,FALSE),VLOOKUP(tables_432010!C231,input_432010!A:H,8,FALSE))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input_432010!A$2</f>
        <v>432010</v>
      </c>
      <c r="B232" s="6">
        <v>603</v>
      </c>
      <c r="C232" s="7" t="str">
        <f t="shared" si="12"/>
        <v>PremiumSS5</v>
      </c>
      <c r="D232" s="7" t="str">
        <f t="shared" si="14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IFERROR(VLOOKUP(B232,input_432010!L:R,7,FALSE),VLOOKUP(tables_432010!C232,input_432010!A:H,8,FALSE))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input_432010!A$2</f>
        <v>432010</v>
      </c>
      <c r="B233" s="6">
        <v>604</v>
      </c>
      <c r="C233" s="7" t="str">
        <f t="shared" si="12"/>
        <v>Premium3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IFERROR(VLOOKUP(B233,input_432010!L:R,7,FALSE),VLOOKUP(tables_432010!C233,input_432010!A:H,8,FALSE))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input_432010!A$2</f>
        <v>432010</v>
      </c>
      <c r="B234" s="6">
        <v>605</v>
      </c>
      <c r="C234" s="7" t="str">
        <f t="shared" si="12"/>
        <v>Premium4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IFERROR(VLOOKUP(B234,input_432010!L:R,7,FALSE),VLOOKUP(tables_432010!C234,input_432010!A:H,8,FALSE))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input_432010!A$2</f>
        <v>432010</v>
      </c>
      <c r="B235" s="6">
        <v>606</v>
      </c>
      <c r="C235" s="7" t="str">
        <f t="shared" si="12"/>
        <v>Premium5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IFERROR(VLOOKUP(B235,input_432010!L:R,7,FALSE),VLOOKUP(tables_432010!C235,input_432010!A:H,8,FALSE))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input_432010!A$2</f>
        <v>432010</v>
      </c>
      <c r="B236" s="6">
        <v>658</v>
      </c>
      <c r="C236" s="7" t="str">
        <f t="shared" si="12"/>
        <v>PremiumSS4color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IFERROR(VLOOKUP(B236,input_432010!L:R,7,FALSE),VLOOKUP(tables_432010!C236,input_432010!A:H,8,FALSE))</f>
        <v>4370</v>
      </c>
      <c r="P236" s="46">
        <f t="shared" ca="1" si="13"/>
        <v>7.9166666666092959E-4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input_432010!A$2</f>
        <v>432010</v>
      </c>
      <c r="B237" s="6">
        <v>659</v>
      </c>
      <c r="C237" s="7" t="str">
        <f t="shared" si="12"/>
        <v>PremiumSS5color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IFERROR(VLOOKUP(B237,input_432010!L:R,7,FALSE),VLOOKUP(tables_432010!C237,input_432010!A:H,8,FALSE))</f>
        <v>230</v>
      </c>
      <c r="P237" s="46">
        <f t="shared" ca="1" si="13"/>
        <v>4.1666666666364715E-5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input_432010!A$2</f>
        <v>432010</v>
      </c>
      <c r="B238" s="6">
        <v>660</v>
      </c>
      <c r="C238" s="7" t="str">
        <f t="shared" si="12"/>
        <v>PremiumSS4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IFERROR(VLOOKUP(B238,input_432010!L:R,7,FALSE),VLOOKUP(tables_432010!C238,input_432010!A:H,8,FALSE))</f>
        <v>0</v>
      </c>
      <c r="P238" s="46">
        <f t="shared" ca="1" si="13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input_432010!A$2</f>
        <v>432010</v>
      </c>
      <c r="B239" s="6">
        <v>661</v>
      </c>
      <c r="C239" s="7" t="str">
        <f t="shared" si="12"/>
        <v>PremiumSS5</v>
      </c>
      <c r="D239" s="7" t="str">
        <f t="shared" si="14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IFERROR(VLOOKUP(B239,input_432010!L:R,7,FALSE),VLOOKUP(tables_432010!C239,input_432010!A:H,8,FALSE))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input_432010!A$2</f>
        <v>432010</v>
      </c>
      <c r="B240" s="6">
        <v>662</v>
      </c>
      <c r="C240" s="7" t="str">
        <f t="shared" si="12"/>
        <v>Premium3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IFERROR(VLOOKUP(B240,input_432010!L:R,7,FALSE),VLOOKUP(tables_432010!C240,input_432010!A:H,8,FALSE))</f>
        <v>0</v>
      </c>
      <c r="P240" s="46">
        <f t="shared" ca="1" si="13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input_432010!A$2</f>
        <v>432010</v>
      </c>
      <c r="B241" s="6">
        <v>663</v>
      </c>
      <c r="C241" s="7" t="str">
        <f t="shared" si="12"/>
        <v>Premium4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IFERROR(VLOOKUP(B241,input_432010!L:R,7,FALSE),VLOOKUP(tables_432010!C241,input_432010!A:H,8,FALSE))</f>
        <v>0</v>
      </c>
      <c r="P241" s="46">
        <f t="shared" ca="1" si="13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input_432010!A$2</f>
        <v>432010</v>
      </c>
      <c r="B242" s="6">
        <v>664</v>
      </c>
      <c r="C242" s="7" t="str">
        <f t="shared" si="12"/>
        <v>Premium5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IFERROR(VLOOKUP(B242,input_432010!L:R,7,FALSE),VLOOKUP(tables_432010!C242,input_432010!A:H,8,FALSE))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input_432010!A$2</f>
        <v>432010</v>
      </c>
      <c r="B243" s="6">
        <v>665</v>
      </c>
      <c r="C243" s="7" t="str">
        <f t="shared" si="12"/>
        <v>Premium3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IFERROR(VLOOKUP(B243,input_432010!L:R,7,FALSE),VLOOKUP(tables_432010!C243,input_432010!A:H,8,FALSE))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input_432010!A$2</f>
        <v>432010</v>
      </c>
      <c r="B244" s="6">
        <v>666</v>
      </c>
      <c r="C244" s="7" t="str">
        <f t="shared" si="12"/>
        <v>Premium4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IFERROR(VLOOKUP(B244,input_432010!L:R,7,FALSE),VLOOKUP(tables_432010!C244,input_432010!A:H,8,FALSE))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input_432010!A$2</f>
        <v>432010</v>
      </c>
      <c r="B245" s="6">
        <v>667</v>
      </c>
      <c r="C245" s="7" t="str">
        <f t="shared" si="12"/>
        <v>Premium5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IFERROR(VLOOKUP(B245,input_432010!L:R,7,FALSE),VLOOKUP(tables_432010!C245,input_432010!A:H,8,FALSE))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input_432010!A$2</f>
        <v>432010</v>
      </c>
      <c r="B246" s="60">
        <v>668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IFERROR(VLOOKUP(B246,input_432010!L:R,7,FALSE),VLOOKUP(tables_432010!C246,input_432010!A:H,8,FALSE))</f>
        <v>114000</v>
      </c>
      <c r="P246" s="46">
        <f t="shared" ca="1" si="13"/>
        <v>2.0652173912893815E-2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input_432010!A$2</f>
        <v>432010</v>
      </c>
      <c r="B247" s="60">
        <v>669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IFERROR(VLOOKUP(B247,input_432010!L:R,7,FALSE),VLOOKUP(tables_432010!C247,input_432010!A:H,8,FALSE))</f>
        <v>93400</v>
      </c>
      <c r="P247" s="46">
        <f t="shared" ca="1" si="13"/>
        <v>1.6920289854949845E-2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input_432010!A$2</f>
        <v>432010</v>
      </c>
      <c r="B248" s="60">
        <v>670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IFERROR(VLOOKUP(B248,input_432010!L:R,7,FALSE),VLOOKUP(tables_432010!C248,input_432010!A:H,8,FALSE))</f>
        <v>5589.1666699999996</v>
      </c>
      <c r="P248" s="46">
        <f t="shared" ca="1" si="13"/>
        <v>1.012530193833242E-3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input_432010!A$2</f>
        <v>432010</v>
      </c>
      <c r="B249" s="60">
        <v>671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IFERROR(VLOOKUP(B249,input_432010!L:R,7,FALSE),VLOOKUP(tables_432010!C249,input_432010!A:H,8,FALSE))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input_432010!A$2</f>
        <v>432010</v>
      </c>
      <c r="B250" s="60">
        <v>672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IFERROR(VLOOKUP(B250,input_432010!L:R,7,FALSE),VLOOKUP(tables_432010!C250,input_432010!A:H,8,FALSE))</f>
        <v>0</v>
      </c>
      <c r="P250" s="46">
        <f t="shared" ca="1" si="13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input_432010!A$2</f>
        <v>432010</v>
      </c>
      <c r="B251" s="60">
        <v>673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IFERROR(VLOOKUP(B251,input_432010!L:R,7,FALSE),VLOOKUP(tables_432010!C251,input_432010!A:H,8,FALSE))</f>
        <v>0</v>
      </c>
      <c r="P251" s="46">
        <f t="shared" ca="1" si="13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input_432010!A$2</f>
        <v>432010</v>
      </c>
      <c r="B252" s="60">
        <v>674</v>
      </c>
      <c r="C252" s="7" t="str">
        <f t="shared" si="12"/>
        <v>PremiumSS4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IFERROR(VLOOKUP(B252,input_432010!L:R,7,FALSE),VLOOKUP(tables_432010!C252,input_432010!A:H,8,FALSE))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input_432010!A$2</f>
        <v>432010</v>
      </c>
      <c r="B253" s="60">
        <v>675</v>
      </c>
      <c r="C253" s="7" t="str">
        <f t="shared" si="12"/>
        <v>PremiumSS5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IFERROR(VLOOKUP(B253,input_432010!L:R,7,FALSE),VLOOKUP(tables_432010!C253,input_432010!A:H,8,FALSE))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input_432010!A$2</f>
        <v>432010</v>
      </c>
      <c r="B254" s="60">
        <v>676</v>
      </c>
      <c r="C254" s="7" t="str">
        <f t="shared" si="12"/>
        <v>PremiumSS4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IFERROR(VLOOKUP(B254,input_432010!L:R,7,FALSE),VLOOKUP(tables_432010!C254,input_432010!A:H,8,FALSE))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input_432010!A$2</f>
        <v>432010</v>
      </c>
      <c r="B255" s="60">
        <v>677</v>
      </c>
      <c r="C255" s="7" t="str">
        <f t="shared" si="12"/>
        <v>PremiumSS5</v>
      </c>
      <c r="D255" s="7" t="str">
        <f t="shared" si="14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IFERROR(VLOOKUP(B255,input_432010!L:R,7,FALSE),VLOOKUP(tables_432010!C255,input_432010!A:H,8,FALSE))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input_432010!A$2</f>
        <v>432010</v>
      </c>
      <c r="B256" s="60">
        <v>728</v>
      </c>
      <c r="C256" s="7" t="str">
        <f t="shared" si="12"/>
        <v>Premium4R3lesscolor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IFERROR(VLOOKUP(B256,input_432010!L:R,7,FALSE),VLOOKUP(tables_432010!C256,input_432010!A:H,8,FALSE))</f>
        <v>216600</v>
      </c>
      <c r="P256" s="46">
        <f t="shared" ca="1" si="13"/>
        <v>3.9239130434498254E-2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input_432010!A$2</f>
        <v>432010</v>
      </c>
      <c r="B257" s="60">
        <v>729</v>
      </c>
      <c r="C257" s="7" t="str">
        <f t="shared" si="12"/>
        <v>Premium5R3lesscolor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IFERROR(VLOOKUP(B257,input_432010!L:R,7,FALSE),VLOOKUP(tables_432010!C257,input_432010!A:H,8,FALSE))</f>
        <v>11400</v>
      </c>
      <c r="P257" s="46">
        <f t="shared" ca="1" si="13"/>
        <v>2.0652173912893818E-3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input_432010!A$2</f>
        <v>432010</v>
      </c>
      <c r="B258" s="60">
        <v>730</v>
      </c>
      <c r="C258" s="7" t="str">
        <f t="shared" ref="C258:C284" si="16">D258&amp;J258&amp;E258&amp;F258&amp;G258</f>
        <v>Premium4R3less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v>0</v>
      </c>
      <c r="P258" s="46">
        <f t="shared" ref="P258:P294" ca="1" si="17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input_432010!A$2</f>
        <v>432010</v>
      </c>
      <c r="B259" s="60">
        <v>731</v>
      </c>
      <c r="C259" s="7" t="str">
        <f t="shared" si="16"/>
        <v>Premium5R3less</v>
      </c>
      <c r="D259" s="7" t="str">
        <f t="shared" ref="D259:D309" si="18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 t="str">
        <f t="shared" ref="G259:G322" si="19">IF(K259="red","color","")</f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v>0</v>
      </c>
      <c r="P259" s="46">
        <f t="shared" ca="1" si="17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input_432010!A$2</f>
        <v>432010</v>
      </c>
      <c r="B260" s="60">
        <v>732</v>
      </c>
      <c r="C260" s="7" t="str">
        <f t="shared" si="16"/>
        <v>PremiumSS5R5only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v>0</v>
      </c>
      <c r="P260" s="46">
        <f t="shared" ca="1" si="17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input_432010!A$2</f>
        <v>432010</v>
      </c>
      <c r="B261" s="60">
        <v>734</v>
      </c>
      <c r="C261" s="7" t="str">
        <f t="shared" si="16"/>
        <v>PremiumSS5R5only</v>
      </c>
      <c r="D261" s="7" t="str">
        <f t="shared" si="18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v>0</v>
      </c>
      <c r="P261" s="46">
        <f t="shared" ca="1" si="17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input_432010!A$2</f>
        <v>432010</v>
      </c>
      <c r="B262" s="60">
        <v>770</v>
      </c>
      <c r="C262" s="7" t="str">
        <f t="shared" si="16"/>
        <v>PremiumSS4color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IFERROR(VLOOKUP(B262,input_432010!L:R,7,FALSE),VLOOKUP(tables_432010!C262,input_432010!A:H,8,FALSE))</f>
        <v>4370</v>
      </c>
      <c r="P262" s="46">
        <f t="shared" ca="1" si="17"/>
        <v>7.9166666666092959E-4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input_432010!A$2</f>
        <v>432010</v>
      </c>
      <c r="B263" s="60">
        <v>771</v>
      </c>
      <c r="C263" s="7" t="str">
        <f t="shared" si="16"/>
        <v>PremiumSS5color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>color</v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IFERROR(VLOOKUP(B263,input_432010!L:R,7,FALSE),VLOOKUP(tables_432010!C263,input_432010!A:H,8,FALSE))</f>
        <v>230</v>
      </c>
      <c r="P263" s="46">
        <f t="shared" ca="1" si="17"/>
        <v>4.1666666666364715E-5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input_432010!A$2</f>
        <v>432010</v>
      </c>
      <c r="B264" s="60">
        <v>772</v>
      </c>
      <c r="C264" s="7" t="str">
        <f t="shared" si="16"/>
        <v>PremiumSS4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IFERROR(VLOOKUP(B264,input_432010!L:R,7,FALSE),VLOOKUP(tables_432010!C264,input_432010!A:H,8,FALSE))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input_432010!A$2</f>
        <v>432010</v>
      </c>
      <c r="B265" s="60">
        <v>773</v>
      </c>
      <c r="C265" s="7" t="str">
        <f t="shared" si="16"/>
        <v>PremiumSS5</v>
      </c>
      <c r="D265" s="7" t="str">
        <f t="shared" si="18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IFERROR(VLOOKUP(B265,input_432010!L:R,7,FALSE),VLOOKUP(tables_432010!C265,input_432010!A:H,8,FALSE))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input_432010!A$2</f>
        <v>432010</v>
      </c>
      <c r="B266" s="60">
        <v>774</v>
      </c>
      <c r="C266" s="7" t="str">
        <f t="shared" si="16"/>
        <v>Premium3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IFERROR(VLOOKUP(B266,input_432010!L:R,7,FALSE),VLOOKUP(tables_432010!C266,input_432010!A:H,8,FALSE))</f>
        <v>0</v>
      </c>
      <c r="P266" s="46">
        <f t="shared" ca="1" si="17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input_432010!A$2</f>
        <v>432010</v>
      </c>
      <c r="B267" s="60">
        <v>775</v>
      </c>
      <c r="C267" s="7" t="str">
        <f t="shared" si="16"/>
        <v>Premium4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IFERROR(VLOOKUP(B267,input_432010!L:R,7,FALSE),VLOOKUP(tables_432010!C267,input_432010!A:H,8,FALSE))</f>
        <v>0</v>
      </c>
      <c r="P267" s="46">
        <f t="shared" ca="1" si="17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input_432010!A$2</f>
        <v>432010</v>
      </c>
      <c r="B268" s="60">
        <v>776</v>
      </c>
      <c r="C268" s="7" t="str">
        <f t="shared" si="16"/>
        <v>Premium5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IFERROR(VLOOKUP(B268,input_432010!L:R,7,FALSE),VLOOKUP(tables_432010!C268,input_432010!A:H,8,FALSE))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input_432010!A$2</f>
        <v>432010</v>
      </c>
      <c r="B269" s="60">
        <v>777</v>
      </c>
      <c r="C269" s="7" t="str">
        <f t="shared" si="16"/>
        <v>Premium3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IFERROR(VLOOKUP(B269,input_432010!L:R,7,FALSE),VLOOKUP(tables_432010!C269,input_432010!A:H,8,FALSE))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input_432010!A$2</f>
        <v>432010</v>
      </c>
      <c r="B270" s="60">
        <v>778</v>
      </c>
      <c r="C270" s="7" t="str">
        <f t="shared" si="16"/>
        <v>Premium4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IFERROR(VLOOKUP(B270,input_432010!L:R,7,FALSE),VLOOKUP(tables_432010!C270,input_432010!A:H,8,FALSE))</f>
        <v>0</v>
      </c>
      <c r="P270" s="46">
        <f t="shared" ca="1" si="17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input_432010!A$2</f>
        <v>432010</v>
      </c>
      <c r="B271" s="60">
        <v>779</v>
      </c>
      <c r="C271" s="7" t="str">
        <f t="shared" si="16"/>
        <v>Premium5</v>
      </c>
      <c r="D271" s="7" t="str">
        <f t="shared" si="18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IFERROR(VLOOKUP(B271,input_432010!L:R,7,FALSE),VLOOKUP(tables_432010!C271,input_432010!A:H,8,FALSE))</f>
        <v>0</v>
      </c>
      <c r="P271" s="46">
        <f t="shared" ca="1" si="17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input_432010!A$2</f>
        <v>432010</v>
      </c>
      <c r="B272" s="81">
        <v>848</v>
      </c>
      <c r="C272" s="7" t="str">
        <f t="shared" si="16"/>
        <v>PremiumSS5R5onlycolor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>color</v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IFERROR(VLOOKUP(B272,input_432010!L:R,7,FALSE),VLOOKUP(tables_432010!C272,input_432010!A:H,8,FALSE))</f>
        <v>4600</v>
      </c>
      <c r="P272" s="46">
        <f t="shared" ca="1" si="17"/>
        <v>8.3333333332729438E-4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input_432010!A$2</f>
        <v>432010</v>
      </c>
      <c r="B273" s="81">
        <v>850</v>
      </c>
      <c r="C273" s="7" t="str">
        <f t="shared" si="16"/>
        <v>PremiumSS5R5only</v>
      </c>
      <c r="D273" s="7" t="str">
        <f t="shared" si="18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v>0</v>
      </c>
      <c r="P273" s="46">
        <f t="shared" ca="1" si="17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input_432010!A$2</f>
        <v>432010</v>
      </c>
      <c r="B274" s="81">
        <v>852</v>
      </c>
      <c r="C274" s="7" t="str">
        <f t="shared" si="16"/>
        <v>Premium4R3less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input_432010!A$2</f>
        <v>432010</v>
      </c>
      <c r="B275" s="81">
        <v>853</v>
      </c>
      <c r="C275" s="7" t="str">
        <f t="shared" si="16"/>
        <v>Premium5R3less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input_432010!A$2</f>
        <v>432010</v>
      </c>
      <c r="B276" s="81">
        <v>854</v>
      </c>
      <c r="C276" s="7" t="str">
        <f t="shared" si="16"/>
        <v>Premium4R3less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input_432010!A$2</f>
        <v>432010</v>
      </c>
      <c r="B277" s="81">
        <v>855</v>
      </c>
      <c r="C277" s="7" t="str">
        <f t="shared" si="16"/>
        <v>Premium5R3less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input_432010!A$2</f>
        <v>432010</v>
      </c>
      <c r="B278" s="81">
        <v>862</v>
      </c>
      <c r="C278" s="7" t="str">
        <f t="shared" si="16"/>
        <v>Premium4R3lesscolor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IFERROR(VLOOKUP(B278,input_432010!L:R,7,FALSE),VLOOKUP(tables_432010!C278,input_432010!A:H,8,FALSE))</f>
        <v>216600</v>
      </c>
      <c r="P278" s="46">
        <f t="shared" ca="1" si="17"/>
        <v>3.9239130434498254E-2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input_432010!A$2</f>
        <v>432010</v>
      </c>
      <c r="B279" s="81">
        <v>863</v>
      </c>
      <c r="C279" s="7" t="str">
        <f t="shared" si="16"/>
        <v>Premium5R3lesscolor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IFERROR(VLOOKUP(B279,input_432010!L:R,7,FALSE),VLOOKUP(tables_432010!C279,input_432010!A:H,8,FALSE))</f>
        <v>11400</v>
      </c>
      <c r="P279" s="46">
        <f t="shared" ca="1" si="17"/>
        <v>2.0652173912893818E-3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input_432010!A$2</f>
        <v>432010</v>
      </c>
      <c r="B280" s="81">
        <v>864</v>
      </c>
      <c r="C280" s="7" t="str">
        <f t="shared" si="16"/>
        <v>Premium4R3less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v>0</v>
      </c>
      <c r="P280" s="46">
        <f t="shared" ca="1" si="17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input_432010!A$2</f>
        <v>432010</v>
      </c>
      <c r="B281" s="81">
        <v>865</v>
      </c>
      <c r="C281" s="7" t="str">
        <f t="shared" si="16"/>
        <v>Premium5R3less</v>
      </c>
      <c r="D281" s="7" t="str">
        <f t="shared" si="18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input_432010!A$2</f>
        <v>432010</v>
      </c>
      <c r="B282" s="81">
        <v>866</v>
      </c>
      <c r="C282" s="7" t="str">
        <f t="shared" si="16"/>
        <v>PremiumSS5R5only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v>0</v>
      </c>
      <c r="P282" s="46">
        <f t="shared" ca="1" si="17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input_432010!A$2</f>
        <v>432010</v>
      </c>
      <c r="B283" s="81">
        <v>868</v>
      </c>
      <c r="C283" s="7" t="str">
        <f t="shared" si="16"/>
        <v>PremiumSS5R5only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v>0</v>
      </c>
      <c r="P283" s="46">
        <f t="shared" ca="1" si="17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input_432010!A$2</f>
        <v>432010</v>
      </c>
      <c r="B284" s="5">
        <v>742</v>
      </c>
      <c r="C284" s="7" t="str">
        <f t="shared" si="16"/>
        <v>PremiumSS5R5onlycolor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>color</v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IFERROR(VLOOKUP(B284,input_432010!L:R,7,FALSE),VLOOKUP(tables_432010!C284,input_432010!A:H,8,FALSE))</f>
        <v>4600</v>
      </c>
      <c r="P284" s="46">
        <f t="shared" ca="1" si="17"/>
        <v>8.3333333332729438E-4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input_432010!A$2</f>
        <v>432010</v>
      </c>
      <c r="B285" s="5">
        <v>744</v>
      </c>
      <c r="C285" s="7" t="str">
        <f t="shared" ref="C285:C289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input_432010!A$2</f>
        <v>432010</v>
      </c>
      <c r="B286" s="5">
        <v>746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v>0</v>
      </c>
      <c r="P286" s="46">
        <f t="shared" ca="1" si="17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input_432010!A$2</f>
        <v>432010</v>
      </c>
      <c r="B287" s="5">
        <v>747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v>0</v>
      </c>
      <c r="P287" s="46">
        <f t="shared" ca="1" si="17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input_432010!A$2</f>
        <v>432010</v>
      </c>
      <c r="B288" s="5">
        <v>748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v>0</v>
      </c>
      <c r="P288" s="46">
        <f t="shared" ca="1" si="17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input_432010!A$2</f>
        <v>432010</v>
      </c>
      <c r="B289" s="5">
        <v>749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v>0</v>
      </c>
      <c r="P289" s="46">
        <f t="shared" ca="1" si="17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input_432010!A$2</f>
        <v>432010</v>
      </c>
      <c r="B290" s="5">
        <v>937</v>
      </c>
      <c r="C290" s="7" t="str">
        <f t="shared" ref="C290:C294" si="21">D290&amp;J290&amp;E290&amp;F290&amp;G290</f>
        <v>PremiumSS5R5onlycolor</v>
      </c>
      <c r="D290" s="7" t="str">
        <f t="shared" si="18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 t="str">
        <f t="shared" si="19"/>
        <v>color</v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IFERROR(VLOOKUP(B290,input_432010!L:R,7,FALSE),VLOOKUP(tables_432010!C290,input_432010!A:H,8,FALSE))</f>
        <v>4600</v>
      </c>
      <c r="P290" s="46">
        <f t="shared" ca="1" si="17"/>
        <v>8.3333333332729438E-4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input_432010!A$2</f>
        <v>432010</v>
      </c>
      <c r="B291" s="5">
        <v>939</v>
      </c>
      <c r="C291" s="7" t="str">
        <f t="shared" si="21"/>
        <v>Premium4R3less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input_432010!A$2</f>
        <v>432010</v>
      </c>
      <c r="B292" s="5">
        <v>940</v>
      </c>
      <c r="C292" s="7" t="str">
        <f t="shared" si="21"/>
        <v>Premium5R3less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input_432010!A$2</f>
        <v>432010</v>
      </c>
      <c r="B293" s="5">
        <v>941</v>
      </c>
      <c r="C293" s="7" t="str">
        <f t="shared" si="21"/>
        <v>PremiumSS5R5only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input_432010!A$2</f>
        <v>432010</v>
      </c>
      <c r="B294" s="5">
        <v>943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v>0</v>
      </c>
      <c r="P294" s="46">
        <f t="shared" ca="1" si="17"/>
        <v>0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input_432010!A$2</f>
        <v>432010</v>
      </c>
      <c r="B295" s="5">
        <v>1012</v>
      </c>
      <c r="C295" s="7" t="str">
        <f t="shared" ref="C295:C299" si="22">D295&amp;J295&amp;E295&amp;F295&amp;G295</f>
        <v>PremiumSS5R5onlycolor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>color</v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IFERROR(VLOOKUP(B295,input_432010!L:R,7,FALSE),VLOOKUP(tables_432010!C295,input_432010!A:H,8,FALSE))</f>
        <v>4600</v>
      </c>
      <c r="P295" s="46">
        <f t="shared" ref="P295:P299" ca="1" si="23">O295/SUM(O:O)</f>
        <v>8.3333333332729438E-4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input_432010!A$2</f>
        <v>432010</v>
      </c>
      <c r="B296" s="5">
        <v>1014</v>
      </c>
      <c r="C296" s="7" t="str">
        <f t="shared" si="22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v>0</v>
      </c>
      <c r="P296" s="46">
        <f t="shared" ca="1" si="23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input_432010!A$2</f>
        <v>432010</v>
      </c>
      <c r="B297" s="5">
        <v>1016</v>
      </c>
      <c r="C297" s="7" t="str">
        <f t="shared" si="22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v>0</v>
      </c>
      <c r="P297" s="46">
        <f t="shared" ca="1" si="2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input_432010!A$2</f>
        <v>432010</v>
      </c>
      <c r="B298" s="5">
        <v>1017</v>
      </c>
      <c r="C298" s="7" t="str">
        <f t="shared" si="22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v>0</v>
      </c>
      <c r="P298" s="46">
        <f t="shared" ca="1" si="23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input_432010!A$2</f>
        <v>432010</v>
      </c>
      <c r="B299" s="5">
        <v>1018</v>
      </c>
      <c r="C299" s="7" t="str">
        <f t="shared" si="22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v>0</v>
      </c>
      <c r="P299" s="46">
        <f t="shared" ca="1" si="23"/>
        <v>0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input_432010!A$2</f>
        <v>432010</v>
      </c>
      <c r="B300" s="5">
        <v>1026</v>
      </c>
      <c r="C300" s="7" t="str">
        <f t="shared" ref="C300:C304" si="24">D300&amp;J300&amp;E300&amp;F300&amp;G300</f>
        <v>Premium4R3lesscolor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IFERROR(VLOOKUP(B300,input_432010!L:R,7,FALSE),VLOOKUP(tables_432010!C300,input_432010!A:H,8,FALSE))</f>
        <v>216600</v>
      </c>
      <c r="P300" s="46">
        <f t="shared" ref="P300:P304" ca="1" si="25">O300/SUM(O:O)</f>
        <v>3.9239130434498254E-2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input_432010!A$2</f>
        <v>432010</v>
      </c>
      <c r="B301" s="5">
        <v>1027</v>
      </c>
      <c r="C301" s="7" t="str">
        <f t="shared" si="24"/>
        <v>Premium5R3lesscolor</v>
      </c>
      <c r="D301" s="7" t="str">
        <f t="shared" si="18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 t="str">
        <f t="shared" si="19"/>
        <v>color</v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IFERROR(VLOOKUP(B301,input_432010!L:R,7,FALSE),VLOOKUP(tables_432010!C301,input_432010!A:H,8,FALSE))</f>
        <v>11400</v>
      </c>
      <c r="P301" s="46">
        <f t="shared" ca="1" si="25"/>
        <v>2.0652173912893818E-3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input_432010!A$2</f>
        <v>432010</v>
      </c>
      <c r="B302" s="5">
        <v>1028</v>
      </c>
      <c r="C302" s="7" t="str">
        <f t="shared" si="24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v>0</v>
      </c>
      <c r="P302" s="46">
        <f t="shared" ca="1" si="25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input_432010!A$2</f>
        <v>432010</v>
      </c>
      <c r="B303" s="5">
        <v>1031</v>
      </c>
      <c r="C303" s="7" t="str">
        <f t="shared" si="24"/>
        <v>PremiumSS5R5only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v>0</v>
      </c>
      <c r="P303" s="46">
        <f t="shared" ca="1" si="25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input_432010!A$2</f>
        <v>432010</v>
      </c>
      <c r="B304" s="5">
        <v>1033</v>
      </c>
      <c r="C304" s="7" t="str">
        <f t="shared" si="24"/>
        <v>PremiumSS5R5only</v>
      </c>
      <c r="D304" s="7" t="str">
        <f t="shared" si="18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v>0</v>
      </c>
      <c r="P304" s="46">
        <f t="shared" ca="1" si="25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input_432010!A$2</f>
        <v>432010</v>
      </c>
      <c r="B305" s="5">
        <v>1067</v>
      </c>
      <c r="C305" s="7" t="str">
        <f t="shared" ref="C305:C309" si="26">D305&amp;J305&amp;E305&amp;F305&amp;G305</f>
        <v>Premium4R3lesscolor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IFERROR(VLOOKUP(B305,input_432010!L:R,7,FALSE),VLOOKUP(tables_432010!C305,input_432010!A:H,8,FALSE))</f>
        <v>216600</v>
      </c>
      <c r="P305" s="46">
        <f t="shared" ref="P305:P309" ca="1" si="27">O305/SUM(O:O)</f>
        <v>3.9239130434498254E-2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input_432010!A$2</f>
        <v>432010</v>
      </c>
      <c r="B306" s="5">
        <v>1068</v>
      </c>
      <c r="C306" s="7" t="str">
        <f t="shared" si="26"/>
        <v>Premium5R3lesscolor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>color</v>
      </c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IFERROR(VLOOKUP(B306,input_432010!L:R,7,FALSE),VLOOKUP(tables_432010!C306,input_432010!A:H,8,FALSE))</f>
        <v>11400</v>
      </c>
      <c r="P306" s="46">
        <f t="shared" ca="1" si="27"/>
        <v>2.0652173912893818E-3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input_432010!A$2</f>
        <v>432010</v>
      </c>
      <c r="B307" s="5">
        <v>1069</v>
      </c>
      <c r="C307" s="7" t="str">
        <f t="shared" si="26"/>
        <v>PremiumSS5R5only</v>
      </c>
      <c r="D307" s="7" t="str">
        <f t="shared" si="18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v>0</v>
      </c>
      <c r="P307" s="46">
        <f t="shared" ca="1" si="27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input_432010!A$2</f>
        <v>432010</v>
      </c>
      <c r="B308" s="5">
        <v>1072</v>
      </c>
      <c r="C308" s="7" t="str">
        <f t="shared" si="2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v>0</v>
      </c>
      <c r="P308" s="46">
        <f t="shared" ca="1" si="27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input_432010!A$2</f>
        <v>432010</v>
      </c>
      <c r="B309" s="5">
        <v>1074</v>
      </c>
      <c r="C309" s="7" t="str">
        <f t="shared" si="2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v>0</v>
      </c>
      <c r="P309" s="46">
        <f t="shared" ca="1" si="27"/>
        <v>0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input_432010!A$2</f>
        <v>432010</v>
      </c>
      <c r="B310" s="5">
        <v>1104</v>
      </c>
      <c r="C310" s="7" t="str">
        <f t="shared" ref="C310:C314" si="28">D310&amp;J310&amp;E310&amp;F310&amp;G310</f>
        <v>Premium4R3less</v>
      </c>
      <c r="D310" s="7" t="str">
        <f t="shared" ref="D310:D314" si="29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v>0</v>
      </c>
      <c r="P310" s="46">
        <f t="shared" ref="P310:P314" ca="1" si="30">O310/SUM(O:O)</f>
        <v>0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input_432010!A$2</f>
        <v>432010</v>
      </c>
      <c r="B311" s="5">
        <v>1105</v>
      </c>
      <c r="C311" s="7" t="str">
        <f t="shared" si="28"/>
        <v>Premium5R3less</v>
      </c>
      <c r="D311" s="7" t="str">
        <f t="shared" si="2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v>0</v>
      </c>
      <c r="P311" s="46">
        <f t="shared" ca="1" si="30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input_432010!A$2</f>
        <v>432010</v>
      </c>
      <c r="B312" s="5">
        <v>1106</v>
      </c>
      <c r="C312" s="7" t="str">
        <f t="shared" si="28"/>
        <v>PremiumSS5R5only</v>
      </c>
      <c r="D312" s="7" t="str">
        <f t="shared" si="29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v>0</v>
      </c>
      <c r="P312" s="46">
        <f t="shared" ca="1" si="30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input_432010!A$2</f>
        <v>432010</v>
      </c>
      <c r="B313" s="5">
        <v>1102</v>
      </c>
      <c r="C313" s="7" t="str">
        <f t="shared" si="28"/>
        <v>PremiumSS5R5only</v>
      </c>
      <c r="D313" s="7" t="str">
        <f t="shared" si="2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v>0</v>
      </c>
      <c r="P313" s="46">
        <f t="shared" ca="1" si="30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input_432010!A$2</f>
        <v>432010</v>
      </c>
      <c r="B314" s="5">
        <v>1100</v>
      </c>
      <c r="C314" s="7" t="str">
        <f t="shared" si="28"/>
        <v>PremiumSS5R5onlycolor</v>
      </c>
      <c r="D314" s="7" t="str">
        <f t="shared" si="2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>IFERROR(VLOOKUP(B314,input_432010!L:R,7,FALSE),VLOOKUP(tables_432010!C314,input_432010!A:H,8,FALSE))</f>
        <v>110400</v>
      </c>
      <c r="P314" s="46">
        <f t="shared" ca="1" si="30"/>
        <v>1.9999999999855064E-2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input_432010!A$2</f>
        <v>432010</v>
      </c>
      <c r="B315" s="5">
        <v>1137</v>
      </c>
      <c r="C315" s="7" t="str">
        <f t="shared" ref="C315:C319" si="31">D315&amp;J315&amp;E315&amp;F315&amp;G315</f>
        <v>PremiumSS5R5onlycolor</v>
      </c>
      <c r="D315" s="7" t="str">
        <f t="shared" ref="D315:D319" si="32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>color</v>
      </c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IFERROR(VLOOKUP(B315,input_432010!L:R,7,FALSE),VLOOKUP(tables_432010!C315,input_432010!A:H,8,FALSE))</f>
        <v>4600</v>
      </c>
      <c r="P315" s="46">
        <f t="shared" ref="P315:P319" ca="1" si="33">O315/SUM(O:O)</f>
        <v>8.3333333332729438E-4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input_432010!A$2</f>
        <v>432010</v>
      </c>
      <c r="B316" s="5">
        <v>1139</v>
      </c>
      <c r="C316" s="7" t="str">
        <f t="shared" si="31"/>
        <v>PremiumSS5R5only</v>
      </c>
      <c r="D316" s="7" t="str">
        <f t="shared" si="32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v>0</v>
      </c>
      <c r="P316" s="46">
        <f t="shared" ca="1" si="33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input_432010!A$2</f>
        <v>432010</v>
      </c>
      <c r="B317" s="5">
        <v>1141</v>
      </c>
      <c r="C317" s="7" t="str">
        <f t="shared" si="31"/>
        <v>PremiumSS5R5only</v>
      </c>
      <c r="D317" s="7" t="str">
        <f t="shared" si="32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v>0</v>
      </c>
      <c r="P317" s="46">
        <f t="shared" ca="1" si="33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input_432010!A$2</f>
        <v>432010</v>
      </c>
      <c r="B318" s="5">
        <v>1143</v>
      </c>
      <c r="C318" s="7" t="str">
        <f t="shared" si="31"/>
        <v>Premium4R3less</v>
      </c>
      <c r="D318" s="7" t="str">
        <f t="shared" si="32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v>0</v>
      </c>
      <c r="P318" s="46">
        <f t="shared" ca="1" si="3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input_432010!A$2</f>
        <v>432010</v>
      </c>
      <c r="B319" s="5">
        <v>1144</v>
      </c>
      <c r="C319" s="7" t="str">
        <f t="shared" si="31"/>
        <v>Premium5R3less</v>
      </c>
      <c r="D319" s="7" t="str">
        <f t="shared" si="32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v>0</v>
      </c>
      <c r="P319" s="46">
        <f t="shared" ca="1" si="33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input_432010!A$2</f>
        <v>432010</v>
      </c>
      <c r="B320" s="5">
        <v>1153</v>
      </c>
      <c r="C320" s="7" t="str">
        <f t="shared" ref="C320:C324" si="34">D320&amp;J320&amp;E320&amp;F320&amp;G320</f>
        <v>PremiumSS5R5only</v>
      </c>
      <c r="D320" s="7" t="str">
        <f t="shared" ref="D320:D324" si="35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ラクシュミー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v>0</v>
      </c>
      <c r="P320" s="46">
        <f t="shared" ref="P320:P324" ca="1" si="36">O320/SUM(O:O)</f>
        <v>0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input_432010!A$2</f>
        <v>432010</v>
      </c>
      <c r="B321" s="5">
        <v>1155</v>
      </c>
      <c r="C321" s="7" t="str">
        <f t="shared" si="34"/>
        <v>PremiumSS5R5only</v>
      </c>
      <c r="D321" s="7" t="str">
        <f t="shared" si="35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v>0</v>
      </c>
      <c r="P321" s="46">
        <f t="shared" ca="1" si="36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input_432010!A$2</f>
        <v>432010</v>
      </c>
      <c r="B322" s="5">
        <v>1157</v>
      </c>
      <c r="C322" s="7" t="str">
        <f t="shared" si="34"/>
        <v>PremiumSS5R5only</v>
      </c>
      <c r="D322" s="7" t="str">
        <f t="shared" si="35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v>0</v>
      </c>
      <c r="P322" s="46">
        <f t="shared" ca="1" si="36"/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input_432010!A$2</f>
        <v>432010</v>
      </c>
      <c r="B323" s="5">
        <v>1151</v>
      </c>
      <c r="C323" s="7" t="str">
        <f t="shared" si="34"/>
        <v>Premium4R3lesscolor</v>
      </c>
      <c r="D323" s="7" t="str">
        <f t="shared" si="35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 t="str">
        <f t="shared" ref="G323:G324" si="37">IF(K323="red","color","")</f>
        <v>color</v>
      </c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IFERROR(VLOOKUP(B323,input_432010!L:R,7,FALSE),VLOOKUP(tables_432010!C323,input_432010!A:H,8,FALSE))</f>
        <v>216600</v>
      </c>
      <c r="P323" s="46">
        <f t="shared" ca="1" si="36"/>
        <v>3.9239130434498254E-2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input_432010!A$2</f>
        <v>432010</v>
      </c>
      <c r="B324" s="5">
        <v>1152</v>
      </c>
      <c r="C324" s="7" t="str">
        <f t="shared" si="34"/>
        <v>Premium5R3lesscolor</v>
      </c>
      <c r="D324" s="7" t="str">
        <f t="shared" si="35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7"/>
        <v>color</v>
      </c>
      <c r="H324" s="7" t="str">
        <f>VLOOKUP(B324,[1]characters!$A:$C,3,FALSE)</f>
        <v>衆知の富益神 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IFERROR(VLOOKUP(B324,input_432010!L:R,7,FALSE),VLOOKUP(tables_432010!C324,input_432010!A:H,8,FALSE))</f>
        <v>11400</v>
      </c>
      <c r="P324" s="46">
        <f t="shared" ca="1" si="36"/>
        <v>2.0652173912893818E-3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H46" sqref="H4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1100</v>
      </c>
      <c r="M3" s="37" t="str">
        <f>VLOOKUP(L3,[1]characters!$A:$C,3,FALSE)</f>
        <v>北斎</v>
      </c>
      <c r="N3" s="63">
        <v>0.02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VLOOKUP(L3,tables_432100!B:C,2,FALSE)</f>
        <v>PremiumSS5R5onlycolor</v>
      </c>
      <c r="R3" s="62">
        <f t="shared" ref="R3:R20" si="1">N3*A$36</f>
        <v>110400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474</v>
      </c>
      <c r="M4" s="37" t="str">
        <f>VLOOKUP(L4,[1]characters!$A:$C,3,FALSE)</f>
        <v>キング・ドライグ</v>
      </c>
      <c r="N4" s="63">
        <v>1.9E-2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VLOOKUP(L4,tables_432100!B:C,2,FALSE)</f>
        <v>PremiumSS4color</v>
      </c>
      <c r="R4" s="62">
        <f t="shared" si="1"/>
        <v>104880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8.333333333333335E-4</v>
      </c>
      <c r="F5">
        <f>(COUNTIF(tables_432100!C:C,input_432100!A28)+COUNTIF(tables_432100!C:C,input_432100!A29))</f>
        <v>14</v>
      </c>
      <c r="H5" s="84">
        <v>0.04</v>
      </c>
      <c r="I5" s="31">
        <v>2</v>
      </c>
      <c r="L5" s="94">
        <v>475</v>
      </c>
      <c r="M5" s="37" t="str">
        <f>VLOOKUP(L5,[1]characters!$A:$C,3,FALSE)</f>
        <v>緋王 キング・ドライグ</v>
      </c>
      <c r="N5" s="63">
        <v>1E-3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VLOOKUP(L5,tables_432100!B:C,2,FALSE)</f>
        <v>PremiumSS5color</v>
      </c>
      <c r="R5" s="62">
        <f t="shared" si="1"/>
        <v>5520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4.1304347826086954E-2</v>
      </c>
      <c r="F6">
        <f>(COUNTIF(tables_432100!C:C,input_432100!A25)+COUNTIF(tables_432100!C:C,input_432100!A18)+COUNTIF(tables_432100!C:C,input_432100!A20)+COUNTIF(tables_432100!C:C,input_432100!A22))</f>
        <v>23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VLOOKUP(L6,tables_432100!B:C,2,FALSE)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VLOOKUP(L7,tables_432100!B:C,2,FALSE)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255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COUNTIF(tables_432100!C:C,input_432100!A17)-COUNTIF(Q:Q,A17)</f>
        <v>5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256</v>
      </c>
      <c r="B18" s="56">
        <f>E$6*E18-B17</f>
        <v>0.20652173913043476</v>
      </c>
      <c r="C18" s="85">
        <f t="shared" si="2"/>
        <v>0</v>
      </c>
      <c r="D18" s="74">
        <f t="shared" si="3"/>
        <v>0.20652173913043476</v>
      </c>
      <c r="E18">
        <f>COUNTIF(tables_432100!C:C,input_432100!A18)-COUNTIF(Q:Q,A18)</f>
        <v>5</v>
      </c>
      <c r="F18" s="43">
        <f>IFERROR(B18/E18,0)</f>
        <v>4.1304347826086954E-2</v>
      </c>
      <c r="G18">
        <f t="shared" si="4"/>
        <v>1139999.9999999998</v>
      </c>
      <c r="H18">
        <f t="shared" si="5"/>
        <v>228000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COUNTIF(tables_432100!C:C,input_432100!A19)-COUNTIF(Q:Q,A19)</f>
        <v>12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258</v>
      </c>
      <c r="B20" s="95">
        <f>E$6*E20*B$6+E34</f>
        <v>0.48350181159420286</v>
      </c>
      <c r="C20" s="85">
        <f t="shared" si="2"/>
        <v>0</v>
      </c>
      <c r="D20" s="74">
        <f t="shared" si="3"/>
        <v>0.48350181159420286</v>
      </c>
      <c r="E20">
        <f>COUNTIF(tables_432100!C:C,input_432100!A20)-COUNTIF(Q:Q,A20)</f>
        <v>12</v>
      </c>
      <c r="F20" s="43">
        <f t="shared" si="8"/>
        <v>4.0291817632850238E-2</v>
      </c>
      <c r="G20">
        <f t="shared" si="4"/>
        <v>2668930</v>
      </c>
      <c r="H20">
        <f t="shared" si="5"/>
        <v>222410.83332999999</v>
      </c>
      <c r="I20">
        <f t="shared" si="6"/>
        <v>0.83332999999402091</v>
      </c>
      <c r="J20">
        <f t="shared" si="7"/>
        <v>1.2000048000278101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259</v>
      </c>
      <c r="B21" s="56">
        <f>B7-B23-B26-B28-B29-E35</f>
        <v>1.2150362316842626E-2</v>
      </c>
      <c r="C21" s="85">
        <f t="shared" si="2"/>
        <v>0</v>
      </c>
      <c r="D21" s="74">
        <f t="shared" si="3"/>
        <v>1.2150362316842626E-2</v>
      </c>
      <c r="E21">
        <f>COUNTIF(tables_432100!C:C,input_432100!A21)-COUNTIF(Q:Q,A21)</f>
        <v>12</v>
      </c>
      <c r="F21" s="43">
        <f t="shared" si="8"/>
        <v>1.0125301930702189E-3</v>
      </c>
      <c r="G21">
        <f t="shared" si="4"/>
        <v>67069.999988971293</v>
      </c>
      <c r="H21">
        <f t="shared" si="5"/>
        <v>5589.1666699999996</v>
      </c>
      <c r="I21">
        <f t="shared" si="6"/>
        <v>0.16666999999961263</v>
      </c>
      <c r="J21">
        <f t="shared" si="7"/>
        <v>5.9998800024138967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260</v>
      </c>
      <c r="B22" s="75">
        <f>E$6*E22-B23</f>
        <v>0.19619565217391302</v>
      </c>
      <c r="C22" s="85">
        <f t="shared" si="2"/>
        <v>0</v>
      </c>
      <c r="D22" s="74">
        <f t="shared" si="3"/>
        <v>0.19619565217391302</v>
      </c>
      <c r="E22">
        <f>COUNTIF(tables_432100!C:C,input_432100!A22)-COUNTIF(Q:Q,A22)</f>
        <v>5</v>
      </c>
      <c r="F22" s="43">
        <f t="shared" si="8"/>
        <v>3.9239130434782603E-2</v>
      </c>
      <c r="G22">
        <f t="shared" si="4"/>
        <v>1082999.9999999998</v>
      </c>
      <c r="H22">
        <f t="shared" si="5"/>
        <v>216600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261</v>
      </c>
      <c r="B23" s="70">
        <f>E23*E6*B7</f>
        <v>1.0326086956521738E-2</v>
      </c>
      <c r="C23" s="85">
        <f t="shared" si="2"/>
        <v>0</v>
      </c>
      <c r="D23" s="74">
        <f t="shared" si="3"/>
        <v>1.0326086956521738E-2</v>
      </c>
      <c r="E23">
        <f>COUNTIF(tables_432100!C:C,input_432100!A23)-COUNTIF(Q:Q,A23)</f>
        <v>5</v>
      </c>
      <c r="F23" s="43">
        <f t="shared" si="8"/>
        <v>2.0652173913043477E-3</v>
      </c>
      <c r="G23">
        <f t="shared" si="4"/>
        <v>57000</v>
      </c>
      <c r="H23">
        <f t="shared" si="5"/>
        <v>11400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262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COUNTIF(tables_432100!C:C,input_432100!A24)-COUNTIF(Q:Q,A24)</f>
        <v>1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263</v>
      </c>
      <c r="B25" s="56">
        <f>E$6*B$6*E25</f>
        <v>3.9239130434782603E-2</v>
      </c>
      <c r="C25" s="85">
        <f t="shared" si="2"/>
        <v>0</v>
      </c>
      <c r="D25" s="74">
        <f t="shared" si="3"/>
        <v>3.9239130434782603E-2</v>
      </c>
      <c r="E25">
        <f>COUNTIF(tables_432100!C:C,input_432100!A25)-COUNTIF(Q:Q,A25)</f>
        <v>1</v>
      </c>
      <c r="F25" s="43">
        <f t="shared" si="8"/>
        <v>3.9239130434782603E-2</v>
      </c>
      <c r="G25">
        <f t="shared" si="4"/>
        <v>216599.99999999997</v>
      </c>
      <c r="H25">
        <f t="shared" si="5"/>
        <v>216600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264</v>
      </c>
      <c r="B26" s="56">
        <f>E$6*B$7*E26</f>
        <v>2.0652173913043477E-3</v>
      </c>
      <c r="C26" s="85">
        <f t="shared" si="2"/>
        <v>0</v>
      </c>
      <c r="D26" s="74">
        <f t="shared" si="3"/>
        <v>2.0652173913043477E-3</v>
      </c>
      <c r="E26">
        <f>COUNTIF(tables_432100!C:C,input_432100!A26)-COUNTIF(Q:Q,A26)</f>
        <v>1</v>
      </c>
      <c r="F26" s="43">
        <f t="shared" si="8"/>
        <v>2.0652173913043477E-3</v>
      </c>
      <c r="G26">
        <f t="shared" si="4"/>
        <v>11400</v>
      </c>
      <c r="H26">
        <f t="shared" si="5"/>
        <v>11400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265</v>
      </c>
      <c r="B27" s="56">
        <f>E$5*E27*(B$5+B$6)</f>
        <v>5.5416666666666678E-3</v>
      </c>
      <c r="C27" s="85">
        <f t="shared" si="2"/>
        <v>1.9E-2</v>
      </c>
      <c r="D27" s="74">
        <f t="shared" si="3"/>
        <v>-1.3458333333333333E-2</v>
      </c>
      <c r="E27">
        <f>COUNTIF(tables_432100!C:C,input_432100!A27)-COUNTIF(Q:Q,A27)</f>
        <v>7</v>
      </c>
      <c r="F27" s="43">
        <f>IFERROR(B27/E27,0)</f>
        <v>7.9166666666666686E-4</v>
      </c>
      <c r="G27">
        <f t="shared" si="4"/>
        <v>30590.000000000007</v>
      </c>
      <c r="H27">
        <f t="shared" si="5"/>
        <v>4370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266</v>
      </c>
      <c r="B28" s="56">
        <f>E$5*E28*B$7</f>
        <v>2.9166666666666675E-4</v>
      </c>
      <c r="C28" s="85">
        <f t="shared" si="2"/>
        <v>1E-3</v>
      </c>
      <c r="D28" s="74">
        <f t="shared" si="3"/>
        <v>-7.0833333333333328E-4</v>
      </c>
      <c r="E28">
        <f>COUNTIF(tables_432100!C:C,input_432100!A28)-COUNTIF(Q:Q,A28)</f>
        <v>7</v>
      </c>
      <c r="F28" s="43">
        <f t="shared" si="8"/>
        <v>4.1666666666666679E-5</v>
      </c>
      <c r="G28">
        <f t="shared" si="4"/>
        <v>1610.0000000000005</v>
      </c>
      <c r="H28">
        <f t="shared" si="5"/>
        <v>230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267</v>
      </c>
      <c r="B29" s="56">
        <f>E$5*E29</f>
        <v>4.1666666666666675E-3</v>
      </c>
      <c r="C29" s="85">
        <f t="shared" si="2"/>
        <v>0.02</v>
      </c>
      <c r="D29" s="74">
        <f t="shared" si="3"/>
        <v>-1.5833333333333331E-2</v>
      </c>
      <c r="E29">
        <f>COUNTIF(tables_432100!C:C,input_432100!A29)-COUNTIF(Q:Q,A29)</f>
        <v>5</v>
      </c>
      <c r="F29" s="43">
        <f t="shared" si="8"/>
        <v>8.333333333333335E-4</v>
      </c>
      <c r="G29">
        <f t="shared" si="4"/>
        <v>23000.000000000004</v>
      </c>
      <c r="H29">
        <f t="shared" si="5"/>
        <v>4600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268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COUNTIF(tables_432100!C:C,input_432100!A30)-COUNTIF(Q:Q,A30)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269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COUNTIF(tables_432100!C:C,input_432100!A31)-COUNTIF(Q:Q,A31)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0.9599999999980019</v>
      </c>
      <c r="C32" s="41">
        <f>SUM(C19:C31)</f>
        <v>0.04</v>
      </c>
      <c r="D32" s="42">
        <f t="shared" si="3"/>
        <v>0.91999999999800186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1.2632246376811596E-2</v>
      </c>
    </row>
    <row r="35" spans="1:7" x14ac:dyDescent="0.15">
      <c r="A35" t="s">
        <v>73</v>
      </c>
      <c r="E35">
        <v>2.1000000001997962E-2</v>
      </c>
    </row>
    <row r="36" spans="1:7" x14ac:dyDescent="0.15">
      <c r="A36" s="31">
        <f>LCM(F5-I5,F6-I6)*1000*2*2*5</f>
        <v>5520000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SUMIF(tables_432100!C:C,input_432100!A40,tables_432100!O:O)</f>
        <v>0</v>
      </c>
      <c r="C40" s="54" t="e">
        <f t="shared" ref="C40:C46" ca="1" si="9">B40/B$47</f>
        <v>#DIV/0!</v>
      </c>
      <c r="E40">
        <v>3</v>
      </c>
      <c r="F40">
        <f ca="1">SUMIF(tables_432100!J:J,input_432100!E40,tables_432100!O:O)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SUMIF(tables_432100!C:C,input_432100!A41,tables_432100!O:O)</f>
        <v>0</v>
      </c>
      <c r="C41" s="54" t="e">
        <f t="shared" ca="1" si="9"/>
        <v>#DIV/0!</v>
      </c>
      <c r="E41">
        <v>4</v>
      </c>
      <c r="F41">
        <f ca="1">SUMIF(tables_432100!J:J,input_432100!E41,tables_432100!O:O)</f>
        <v>5243999.9999599988</v>
      </c>
      <c r="G41">
        <f ca="1">F41/A36</f>
        <v>0.94999999999275342</v>
      </c>
    </row>
    <row r="42" spans="1:7" x14ac:dyDescent="0.15">
      <c r="A42" s="33" t="s">
        <v>106</v>
      </c>
      <c r="B42">
        <f ca="1">SUMIF(tables_432100!C:C,input_432100!A42,tables_432100!O:O)</f>
        <v>0</v>
      </c>
      <c r="C42" s="54" t="e">
        <f t="shared" ca="1" si="9"/>
        <v>#DIV/0!</v>
      </c>
      <c r="E42">
        <v>5</v>
      </c>
      <c r="F42">
        <f ca="1">SUMIF(tables_432100!J:J,input_432100!E42,tables_432100!O:O)</f>
        <v>276000.00004000001</v>
      </c>
      <c r="G42">
        <f ca="1">F42/A36</f>
        <v>5.000000000724638E-2</v>
      </c>
    </row>
    <row r="43" spans="1:7" x14ac:dyDescent="0.15">
      <c r="A43" s="33" t="s">
        <v>109</v>
      </c>
      <c r="B43">
        <f>SUMIF(tables_432100!C:C,input_432100!A43,tables_432100!O:O)</f>
        <v>0</v>
      </c>
      <c r="C43" s="54" t="e">
        <f t="shared" ca="1" si="9"/>
        <v>#DIV/0!</v>
      </c>
      <c r="F43" s="55"/>
    </row>
    <row r="44" spans="1:7" x14ac:dyDescent="0.15">
      <c r="A44" s="33" t="s">
        <v>105</v>
      </c>
      <c r="B44">
        <f ca="1">SUMIF(tables_432100!C:C,input_432100!A44,tables_432100!O:O)</f>
        <v>0</v>
      </c>
      <c r="C44" s="54" t="e">
        <f t="shared" ca="1" si="9"/>
        <v>#DIV/0!</v>
      </c>
      <c r="E44" t="s">
        <v>54</v>
      </c>
      <c r="F44" s="55"/>
    </row>
    <row r="45" spans="1:7" x14ac:dyDescent="0.15">
      <c r="A45" s="33" t="s">
        <v>107</v>
      </c>
      <c r="B45">
        <f ca="1">SUMIF(tables_432100!C:C,input_432100!A45,tables_432100!O:O)</f>
        <v>0</v>
      </c>
      <c r="C45" s="54" t="e">
        <f t="shared" ca="1" si="9"/>
        <v>#DIV/0!</v>
      </c>
      <c r="E45" t="s">
        <v>204</v>
      </c>
      <c r="F45" s="55">
        <f ca="1">SUMIF(tables_432100!I:I,input_432100!E45,tables_432100!P:P)</f>
        <v>0.20652173913043476</v>
      </c>
    </row>
    <row r="46" spans="1:7" x14ac:dyDescent="0.15">
      <c r="A46" s="33" t="s">
        <v>108</v>
      </c>
      <c r="B46">
        <f>SUMIF(tables_432100!C:C,input_432100!A46,tables_432100!O:O)</f>
        <v>0</v>
      </c>
      <c r="C46" s="54" t="e">
        <f t="shared" ca="1" si="9"/>
        <v>#DIV/0!</v>
      </c>
      <c r="E46" t="s">
        <v>205</v>
      </c>
      <c r="F46" s="55">
        <f ca="1">SUMIF(tables_432100!I:I,input_432100!E46,tables_432100!P:P)</f>
        <v>0.20652173913043476</v>
      </c>
    </row>
    <row r="47" spans="1:7" x14ac:dyDescent="0.15">
      <c r="A47" s="39" t="s">
        <v>59</v>
      </c>
      <c r="B47">
        <f ca="1">SUM(B40:B46)</f>
        <v>0</v>
      </c>
      <c r="C47" s="55" t="e">
        <f ca="1">SUM(C40:C46)</f>
        <v>#DIV/0!</v>
      </c>
      <c r="E47" t="s">
        <v>206</v>
      </c>
      <c r="F47" s="55">
        <f ca="1">SUMIF(tables_432100!I:I,input_432100!E47,tables_432100!P:P)</f>
        <v>0.53695652173913033</v>
      </c>
    </row>
    <row r="48" spans="1:7" x14ac:dyDescent="0.15">
      <c r="E48" t="s">
        <v>207</v>
      </c>
      <c r="F48" s="55">
        <f ca="1">SUMIF(tables_432100!I:I,input_432100!E48,tables_432100!P:P)</f>
        <v>4.916666666666665E-2</v>
      </c>
    </row>
    <row r="49" spans="5:6" x14ac:dyDescent="0.15">
      <c r="E49" t="s">
        <v>270</v>
      </c>
      <c r="F49" s="55">
        <f ca="1">SUMIF(tables_432100!I:I,input_432100!E49,tables_432100!P:P)</f>
        <v>8.3333333333333339E-4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24"/>
  <sheetViews>
    <sheetView showGridLines="0" zoomScale="75" zoomScaleNormal="75" zoomScalePageLayoutView="75" workbookViewId="0">
      <pane ySplit="1" topLeftCell="A11" activePane="bottomLeft" state="frozen"/>
      <selection activeCell="D34" sqref="D34"/>
      <selection pane="bottomLeft" activeCell="O59" sqref="O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input_432100!A$2</f>
        <v>432100</v>
      </c>
      <c r="B2" s="6">
        <v>126</v>
      </c>
      <c r="C2" s="7" t="str">
        <f t="shared" ref="C2:C65" si="0">D2&amp;J2&amp;E2&amp;F2&amp;G2</f>
        <v>PremiumW3color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IF(K2="red","color","")</f>
        <v>color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IFERROR(VLOOKUP(B2,input_432100!L:R,7,FALSE),VLOOKUP(tables_432100!C2,input_432100!A:H,8,FALSE))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input_432100!A$2</f>
        <v>432100</v>
      </c>
      <c r="B3" s="6">
        <v>127</v>
      </c>
      <c r="C3" s="7" t="str">
        <f t="shared" si="0"/>
        <v>PremiumW4color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IF(K3="red","color","")</f>
        <v>color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IFERROR(VLOOKUP(B3,input_432100!L:R,7,FALSE),VLOOKUP(tables_432100!C3,input_432100!A:H,8,FALSE))</f>
        <v>228000</v>
      </c>
      <c r="P3" s="46">
        <f t="shared" ca="1" si="1"/>
        <v>4.1304347826086954E-2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input_432100!A$2</f>
        <v>432100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input_432100!A$2</f>
        <v>432100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input_432100!A$2</f>
        <v>432100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input_432100!A$2</f>
        <v>432100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input_432100!A$2</f>
        <v>432100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input_432100!A$2</f>
        <v>432100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input_432100!A$2</f>
        <v>432100</v>
      </c>
      <c r="B10" s="6">
        <v>134</v>
      </c>
      <c r="C10" s="7" t="str">
        <f t="shared" si="0"/>
        <v>PremiumW3color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>color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IFERROR(VLOOKUP(B10,input_432100!L:R,7,FALSE),VLOOKUP(tables_432100!C10,input_432100!A:H,8,FALSE))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input_432100!A$2</f>
        <v>432100</v>
      </c>
      <c r="B11" s="6">
        <v>135</v>
      </c>
      <c r="C11" s="7" t="str">
        <f t="shared" si="0"/>
        <v>PremiumW4color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>color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IFERROR(VLOOKUP(B11,input_432100!L:R,7,FALSE),VLOOKUP(tables_432100!C11,input_432100!A:H,8,FALSE))</f>
        <v>228000</v>
      </c>
      <c r="P11" s="46">
        <f t="shared" ca="1" si="1"/>
        <v>4.1304347826086954E-2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input_432100!A$2</f>
        <v>432100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input_432100!A$2</f>
        <v>432100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input_432100!A$2</f>
        <v>432100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input_432100!A$2</f>
        <v>432100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input_432100!A$2</f>
        <v>432100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input_432100!A$2</f>
        <v>432100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input_432100!A$2</f>
        <v>432100</v>
      </c>
      <c r="B18" s="6">
        <v>142</v>
      </c>
      <c r="C18" s="7" t="str">
        <f t="shared" si="0"/>
        <v>PremiumW3color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>color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IFERROR(VLOOKUP(B18,input_432100!L:R,7,FALSE),VLOOKUP(tables_432100!C18,input_432100!A:H,8,FALSE))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input_432100!A$2</f>
        <v>432100</v>
      </c>
      <c r="B19" s="6">
        <v>143</v>
      </c>
      <c r="C19" s="7" t="str">
        <f t="shared" si="0"/>
        <v>PremiumW4color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>color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IFERROR(VLOOKUP(B19,input_432100!L:R,7,FALSE),VLOOKUP(tables_432100!C19,input_432100!A:H,8,FALSE))</f>
        <v>228000</v>
      </c>
      <c r="P19" s="46">
        <f t="shared" ca="1" si="1"/>
        <v>4.1304347826086954E-2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input_432100!A$2</f>
        <v>432100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input_432100!A$2</f>
        <v>432100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input_432100!A$2</f>
        <v>432100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input_432100!A$2</f>
        <v>432100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input_432100!A$2</f>
        <v>432100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input_432100!A$2</f>
        <v>432100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input_432100!A$2</f>
        <v>432100</v>
      </c>
      <c r="B26" s="6">
        <v>150</v>
      </c>
      <c r="C26" s="7" t="str">
        <f t="shared" si="0"/>
        <v>PremiumW3color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>color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IFERROR(VLOOKUP(B26,input_432100!L:R,7,FALSE),VLOOKUP(tables_432100!C26,input_432100!A:H,8,FALSE))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input_432100!A$2</f>
        <v>432100</v>
      </c>
      <c r="B27" s="6">
        <v>151</v>
      </c>
      <c r="C27" s="7" t="str">
        <f t="shared" si="0"/>
        <v>PremiumW4color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>color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IFERROR(VLOOKUP(B27,input_432100!L:R,7,FALSE),VLOOKUP(tables_432100!C27,input_432100!A:H,8,FALSE))</f>
        <v>228000</v>
      </c>
      <c r="P27" s="46">
        <f t="shared" ca="1" si="1"/>
        <v>4.1304347826086954E-2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input_432100!A$2</f>
        <v>432100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input_432100!A$2</f>
        <v>432100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input_432100!A$2</f>
        <v>432100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input_432100!A$2</f>
        <v>432100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input_432100!A$2</f>
        <v>432100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input_432100!A$2</f>
        <v>432100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input_432100!A$2</f>
        <v>432100</v>
      </c>
      <c r="B34" s="6">
        <v>158</v>
      </c>
      <c r="C34" s="7" t="str">
        <f t="shared" si="0"/>
        <v>PremiumW3color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>color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IFERROR(VLOOKUP(B34,input_432100!L:R,7,FALSE),VLOOKUP(tables_432100!C34,input_432100!A:H,8,FALSE))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input_432100!A$2</f>
        <v>432100</v>
      </c>
      <c r="B35" s="6">
        <v>159</v>
      </c>
      <c r="C35" s="7" t="str">
        <f t="shared" si="0"/>
        <v>PremiumW4color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>color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IFERROR(VLOOKUP(B35,input_432100!L:R,7,FALSE),VLOOKUP(tables_432100!C35,input_432100!A:H,8,FALSE))</f>
        <v>228000</v>
      </c>
      <c r="P35" s="46">
        <f t="shared" ca="1" si="1"/>
        <v>4.1304347826086954E-2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input_432100!A$2</f>
        <v>432100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input_432100!A$2</f>
        <v>432100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input_432100!A$2</f>
        <v>432100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input_432100!A$2</f>
        <v>432100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input_432100!A$2</f>
        <v>432100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input_432100!A$2</f>
        <v>432100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input_432100!A$2</f>
        <v>432100</v>
      </c>
      <c r="B42" s="6">
        <v>166</v>
      </c>
      <c r="C42" s="7" t="str">
        <f t="shared" si="0"/>
        <v>Premium3R6releasecolor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>color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IFERROR(VLOOKUP(B42,input_432100!L:R,7,FALSE),VLOOKUP(tables_432100!C42,input_432100!A:H,8,FALSE))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input_432100!A$2</f>
        <v>432100</v>
      </c>
      <c r="B43" s="6">
        <v>167</v>
      </c>
      <c r="C43" s="7" t="str">
        <f t="shared" si="0"/>
        <v>Premium4R6releasecolor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>color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IFERROR(VLOOKUP(B43,input_432100!L:R,7,FALSE),VLOOKUP(tables_432100!C43,input_432100!A:H,8,FALSE))</f>
        <v>216600</v>
      </c>
      <c r="P43" s="46">
        <f t="shared" ca="1" si="1"/>
        <v>3.923913043478261E-2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input_432100!A$2</f>
        <v>432100</v>
      </c>
      <c r="B44" s="6">
        <v>168</v>
      </c>
      <c r="C44" s="7" t="str">
        <f t="shared" si="0"/>
        <v>Premium5R6releasecolor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>color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IFERROR(VLOOKUP(B44,input_432100!L:R,7,FALSE),VLOOKUP(tables_432100!C44,input_432100!A:H,8,FALSE))</f>
        <v>11400</v>
      </c>
      <c r="P44" s="46">
        <f t="shared" ca="1" si="1"/>
        <v>2.0652173913043477E-3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input_432100!A$2</f>
        <v>432100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input_432100!A$2</f>
        <v>432100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input_432100!A$2</f>
        <v>432100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input_432100!A$2</f>
        <v>432100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input_432100!A$2</f>
        <v>432100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input_432100!A$2</f>
        <v>432100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input_432100!A$2</f>
        <v>432100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IFERROR(VLOOKUP(B51,input_432100!L:R,7,FALSE),VLOOKUP(tables_432100!C51,input_432100!A:H,8,FALSE))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input_432100!A$2</f>
        <v>432100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IFERROR(VLOOKUP(B52,input_432100!L:R,7,FALSE),VLOOKUP(tables_432100!C52,input_432100!A:H,8,FALSE))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input_432100!A$2</f>
        <v>432100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IFERROR(VLOOKUP(B53,input_432100!L:R,7,FALSE),VLOOKUP(tables_432100!C53,input_432100!A:H,8,FALSE))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input_432100!A$2</f>
        <v>432100</v>
      </c>
      <c r="B54" s="6">
        <v>178</v>
      </c>
      <c r="C54" s="7" t="str">
        <f t="shared" si="0"/>
        <v>Premium3color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>color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IFERROR(VLOOKUP(B54,input_432100!L:R,7,FALSE),VLOOKUP(tables_432100!C54,input_432100!A:H,8,FALSE))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input_432100!A$2</f>
        <v>432100</v>
      </c>
      <c r="B55" s="6">
        <v>179</v>
      </c>
      <c r="C55" s="7" t="str">
        <f t="shared" si="0"/>
        <v>Premium4color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>color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IFERROR(VLOOKUP(B55,input_432100!L:R,7,FALSE),VLOOKUP(tables_432100!C55,input_432100!A:H,8,FALSE))</f>
        <v>222410.83332999999</v>
      </c>
      <c r="P55" s="46">
        <f t="shared" ca="1" si="1"/>
        <v>4.0291817632246374E-2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input_432100!A$2</f>
        <v>432100</v>
      </c>
      <c r="B56" s="6">
        <v>180</v>
      </c>
      <c r="C56" s="7" t="str">
        <f t="shared" si="0"/>
        <v>Premium5color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>color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IFERROR(VLOOKUP(B56,input_432100!L:R,7,FALSE),VLOOKUP(tables_432100!C56,input_432100!A:H,8,FALSE))</f>
        <v>5589.1666699999996</v>
      </c>
      <c r="P56" s="46">
        <f t="shared" ca="1" si="1"/>
        <v>1.0125301938405796E-3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input_432100!A$2</f>
        <v>432100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IFERROR(VLOOKUP(B57,input_432100!L:R,7,FALSE),VLOOKUP(tables_432100!C57,input_432100!A:H,8,FALSE))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input_432100!A$2</f>
        <v>432100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IFERROR(VLOOKUP(B58,input_432100!L:R,7,FALSE),VLOOKUP(tables_432100!C58,input_432100!A:H,8,FALSE))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input_432100!A$2</f>
        <v>432100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IFERROR(VLOOKUP(B59,input_432100!L:R,7,FALSE),VLOOKUP(tables_432100!C59,input_432100!A:H,8,FALSE))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input_432100!A$2</f>
        <v>432100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IFERROR(VLOOKUP(B60,input_432100!L:R,7,FALSE),VLOOKUP(tables_432100!C60,input_432100!A:H,8,FALSE))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input_432100!A$2</f>
        <v>432100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IFERROR(VLOOKUP(B61,input_432100!L:R,7,FALSE),VLOOKUP(tables_432100!C61,input_432100!A:H,8,FALSE))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input_432100!A$2</f>
        <v>432100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IFERROR(VLOOKUP(B62,input_432100!L:R,7,FALSE),VLOOKUP(tables_432100!C62,input_432100!A:H,8,FALSE))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input_432100!A$2</f>
        <v>432100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IFERROR(VLOOKUP(B63,input_432100!L:R,7,FALSE),VLOOKUP(tables_432100!C63,input_432100!A:H,8,FALSE))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input_432100!A$2</f>
        <v>432100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IFERROR(VLOOKUP(B64,input_432100!L:R,7,FALSE),VLOOKUP(tables_432100!C64,input_432100!A:H,8,FALSE))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input_432100!A$2</f>
        <v>432100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IFERROR(VLOOKUP(B65,input_432100!L:R,7,FALSE),VLOOKUP(tables_432100!C65,input_432100!A:H,8,FALSE))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input_432100!A$2</f>
        <v>432100</v>
      </c>
      <c r="B66" s="6">
        <v>190</v>
      </c>
      <c r="C66" s="7" t="str">
        <f t="shared" ref="C66:C129" si="4">D66&amp;J66&amp;E66&amp;F66&amp;G66</f>
        <v>Premium3color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>color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IFERROR(VLOOKUP(B66,input_432100!L:R,7,FALSE),VLOOKUP(tables_432100!C66,input_432100!A:H,8,FALSE))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input_432100!A$2</f>
        <v>432100</v>
      </c>
      <c r="B67" s="6">
        <v>191</v>
      </c>
      <c r="C67" s="7" t="str">
        <f t="shared" si="4"/>
        <v>Premium4color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IF(K67="red","color","")</f>
        <v>color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IFERROR(VLOOKUP(B67,input_432100!L:R,7,FALSE),VLOOKUP(tables_432100!C67,input_432100!A:H,8,FALSE))</f>
        <v>222410.83332999999</v>
      </c>
      <c r="P67" s="46">
        <f t="shared" ca="1" si="5"/>
        <v>4.0291817632246374E-2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input_432100!A$2</f>
        <v>432100</v>
      </c>
      <c r="B68" s="6">
        <v>192</v>
      </c>
      <c r="C68" s="7" t="str">
        <f t="shared" si="4"/>
        <v>Premium5color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>color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IFERROR(VLOOKUP(B68,input_432100!L:R,7,FALSE),VLOOKUP(tables_432100!C68,input_432100!A:H,8,FALSE))</f>
        <v>5589.1666699999996</v>
      </c>
      <c r="P68" s="46">
        <f t="shared" ca="1" si="5"/>
        <v>1.0125301938405796E-3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input_432100!A$2</f>
        <v>432100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IFERROR(VLOOKUP(B69,input_432100!L:R,7,FALSE),VLOOKUP(tables_432100!C69,input_432100!A:H,8,FALSE))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input_432100!A$2</f>
        <v>432100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IFERROR(VLOOKUP(B70,input_432100!L:R,7,FALSE),VLOOKUP(tables_432100!C70,input_432100!A:H,8,FALSE))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input_432100!A$2</f>
        <v>432100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IFERROR(VLOOKUP(B71,input_432100!L:R,7,FALSE),VLOOKUP(tables_432100!C71,input_432100!A:H,8,FALSE))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input_432100!A$2</f>
        <v>432100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IFERROR(VLOOKUP(B72,input_432100!L:R,7,FALSE),VLOOKUP(tables_432100!C72,input_432100!A:H,8,FALSE))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input_432100!A$2</f>
        <v>432100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IFERROR(VLOOKUP(B73,input_432100!L:R,7,FALSE),VLOOKUP(tables_432100!C73,input_432100!A:H,8,FALSE))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input_432100!A$2</f>
        <v>432100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IFERROR(VLOOKUP(B74,input_432100!L:R,7,FALSE),VLOOKUP(tables_432100!C74,input_432100!A:H,8,FALSE))</f>
        <v>0</v>
      </c>
      <c r="P74" s="46">
        <f t="shared" ca="1" si="5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input_432100!A$2</f>
        <v>432100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IFERROR(VLOOKUP(B75,input_432100!L:R,7,FALSE),VLOOKUP(tables_432100!C75,input_432100!A:H,8,FALSE))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input_432100!A$2</f>
        <v>432100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IFERROR(VLOOKUP(B76,input_432100!L:R,7,FALSE),VLOOKUP(tables_432100!C76,input_432100!A:H,8,FALSE))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input_432100!A$2</f>
        <v>432100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IFERROR(VLOOKUP(B77,input_432100!L:R,7,FALSE),VLOOKUP(tables_432100!C77,input_432100!A:H,8,FALSE))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input_432100!A$2</f>
        <v>432100</v>
      </c>
      <c r="B78" s="5">
        <v>202</v>
      </c>
      <c r="C78" s="7" t="str">
        <f t="shared" si="4"/>
        <v>Premium3color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>color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IFERROR(VLOOKUP(B78,input_432100!L:R,7,FALSE),VLOOKUP(tables_432100!C78,input_432100!A:H,8,FALSE))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input_432100!A$2</f>
        <v>432100</v>
      </c>
      <c r="B79" s="5">
        <v>203</v>
      </c>
      <c r="C79" s="7" t="str">
        <f t="shared" si="4"/>
        <v>Premium4color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>color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IFERROR(VLOOKUP(B79,input_432100!L:R,7,FALSE),VLOOKUP(tables_432100!C79,input_432100!A:H,8,FALSE))</f>
        <v>222410.83332999999</v>
      </c>
      <c r="P79" s="46">
        <f t="shared" ca="1" si="5"/>
        <v>4.0291817632246374E-2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input_432100!A$2</f>
        <v>432100</v>
      </c>
      <c r="B80" s="5">
        <v>204</v>
      </c>
      <c r="C80" s="7" t="str">
        <f t="shared" si="4"/>
        <v>Premium5color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>color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IFERROR(VLOOKUP(B80,input_432100!L:R,7,FALSE),VLOOKUP(tables_432100!C80,input_432100!A:H,8,FALSE))</f>
        <v>5589.1666699999996</v>
      </c>
      <c r="P80" s="46">
        <f t="shared" ca="1" si="5"/>
        <v>1.0125301938405796E-3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input_432100!A$2</f>
        <v>432100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IFERROR(VLOOKUP(B81,input_432100!L:R,7,FALSE),VLOOKUP(tables_432100!C81,input_432100!A:H,8,FALSE))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input_432100!A$2</f>
        <v>432100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IFERROR(VLOOKUP(B82,input_432100!L:R,7,FALSE),VLOOKUP(tables_432100!C82,input_432100!A:H,8,FALSE))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input_432100!A$2</f>
        <v>432100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IFERROR(VLOOKUP(B83,input_432100!L:R,7,FALSE),VLOOKUP(tables_432100!C83,input_432100!A:H,8,FALSE))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input_432100!A$2</f>
        <v>432100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IFERROR(VLOOKUP(B84,input_432100!L:R,7,FALSE),VLOOKUP(tables_432100!C84,input_432100!A:H,8,FALSE))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input_432100!A$2</f>
        <v>432100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IFERROR(VLOOKUP(B85,input_432100!L:R,7,FALSE),VLOOKUP(tables_432100!C85,input_432100!A:H,8,FALSE))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input_432100!A$2</f>
        <v>432100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IFERROR(VLOOKUP(B86,input_432100!L:R,7,FALSE),VLOOKUP(tables_432100!C86,input_432100!A:H,8,FALSE))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input_432100!A$2</f>
        <v>432100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IFERROR(VLOOKUP(B87,input_432100!L:R,7,FALSE),VLOOKUP(tables_432100!C87,input_432100!A:H,8,FALSE))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input_432100!A$2</f>
        <v>432100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IFERROR(VLOOKUP(B88,input_432100!L:R,7,FALSE),VLOOKUP(tables_432100!C88,input_432100!A:H,8,FALSE))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input_432100!A$2</f>
        <v>432100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IFERROR(VLOOKUP(B89,input_432100!L:R,7,FALSE),VLOOKUP(tables_432100!C89,input_432100!A:H,8,FALSE))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input_432100!A$2</f>
        <v>432100</v>
      </c>
      <c r="B90" s="5">
        <v>214</v>
      </c>
      <c r="C90" s="7" t="str">
        <f t="shared" si="4"/>
        <v>Premium3color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>color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IFERROR(VLOOKUP(B90,input_432100!L:R,7,FALSE),VLOOKUP(tables_432100!C90,input_432100!A:H,8,FALSE))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input_432100!A$2</f>
        <v>432100</v>
      </c>
      <c r="B91" s="5">
        <v>215</v>
      </c>
      <c r="C91" s="7" t="str">
        <f t="shared" si="4"/>
        <v>Premium4color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>color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IFERROR(VLOOKUP(B91,input_432100!L:R,7,FALSE),VLOOKUP(tables_432100!C91,input_432100!A:H,8,FALSE))</f>
        <v>222410.83332999999</v>
      </c>
      <c r="P91" s="46">
        <f t="shared" ca="1" si="5"/>
        <v>4.0291817632246374E-2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input_432100!A$2</f>
        <v>432100</v>
      </c>
      <c r="B92" s="5">
        <v>216</v>
      </c>
      <c r="C92" s="7" t="str">
        <f t="shared" si="4"/>
        <v>Premium5color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>color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IFERROR(VLOOKUP(B92,input_432100!L:R,7,FALSE),VLOOKUP(tables_432100!C92,input_432100!A:H,8,FALSE))</f>
        <v>5589.1666699999996</v>
      </c>
      <c r="P92" s="46">
        <f t="shared" ca="1" si="5"/>
        <v>1.0125301938405796E-3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input_432100!A$2</f>
        <v>432100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IFERROR(VLOOKUP(B93,input_432100!L:R,7,FALSE),VLOOKUP(tables_432100!C93,input_432100!A:H,8,FALSE))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input_432100!A$2</f>
        <v>432100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IFERROR(VLOOKUP(B94,input_432100!L:R,7,FALSE),VLOOKUP(tables_432100!C94,input_432100!A:H,8,FALSE))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input_432100!A$2</f>
        <v>432100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IFERROR(VLOOKUP(B95,input_432100!L:R,7,FALSE),VLOOKUP(tables_432100!C95,input_432100!A:H,8,FALSE))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input_432100!A$2</f>
        <v>432100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IFERROR(VLOOKUP(B96,input_432100!L:R,7,FALSE),VLOOKUP(tables_432100!C96,input_432100!A:H,8,FALSE))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input_432100!A$2</f>
        <v>432100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IFERROR(VLOOKUP(B97,input_432100!L:R,7,FALSE),VLOOKUP(tables_432100!C97,input_432100!A:H,8,FALSE))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input_432100!A$2</f>
        <v>432100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IFERROR(VLOOKUP(B98,input_432100!L:R,7,FALSE),VLOOKUP(tables_432100!C98,input_432100!A:H,8,FALSE))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input_432100!A$2</f>
        <v>432100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IFERROR(VLOOKUP(B99,input_432100!L:R,7,FALSE),VLOOKUP(tables_432100!C99,input_432100!A:H,8,FALSE))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input_432100!A$2</f>
        <v>432100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IFERROR(VLOOKUP(B100,input_432100!L:R,7,FALSE),VLOOKUP(tables_432100!C100,input_432100!A:H,8,FALSE))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input_432100!A$2</f>
        <v>432100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IFERROR(VLOOKUP(B101,input_432100!L:R,7,FALSE),VLOOKUP(tables_432100!C101,input_432100!A:H,8,FALSE))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input_432100!A$2</f>
        <v>432100</v>
      </c>
      <c r="B102" s="5">
        <v>226</v>
      </c>
      <c r="C102" s="7" t="str">
        <f t="shared" si="4"/>
        <v>Premium3color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>color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IFERROR(VLOOKUP(B102,input_432100!L:R,7,FALSE),VLOOKUP(tables_432100!C102,input_432100!A:H,8,FALSE))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input_432100!A$2</f>
        <v>432100</v>
      </c>
      <c r="B103" s="5">
        <v>227</v>
      </c>
      <c r="C103" s="7" t="str">
        <f t="shared" si="4"/>
        <v>Premium4color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>color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IFERROR(VLOOKUP(B103,input_432100!L:R,7,FALSE),VLOOKUP(tables_432100!C103,input_432100!A:H,8,FALSE))</f>
        <v>222410.83332999999</v>
      </c>
      <c r="P103" s="46">
        <f t="shared" ca="1" si="5"/>
        <v>4.0291817632246374E-2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input_432100!A$2</f>
        <v>432100</v>
      </c>
      <c r="B104" s="5">
        <v>228</v>
      </c>
      <c r="C104" s="7" t="str">
        <f t="shared" si="4"/>
        <v>Premium5color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>color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IFERROR(VLOOKUP(B104,input_432100!L:R,7,FALSE),VLOOKUP(tables_432100!C104,input_432100!A:H,8,FALSE))</f>
        <v>5589.1666699999996</v>
      </c>
      <c r="P104" s="46">
        <f t="shared" ca="1" si="5"/>
        <v>1.0125301938405796E-3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input_432100!A$2</f>
        <v>432100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IFERROR(VLOOKUP(B105,input_432100!L:R,7,FALSE),VLOOKUP(tables_432100!C105,input_432100!A:H,8,FALSE))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input_432100!A$2</f>
        <v>432100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IFERROR(VLOOKUP(B106,input_432100!L:R,7,FALSE),VLOOKUP(tables_432100!C106,input_432100!A:H,8,FALSE))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input_432100!A$2</f>
        <v>432100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IFERROR(VLOOKUP(B107,input_432100!L:R,7,FALSE),VLOOKUP(tables_432100!C107,input_432100!A:H,8,FALSE))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input_432100!A$2</f>
        <v>432100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IFERROR(VLOOKUP(B108,input_432100!L:R,7,FALSE),VLOOKUP(tables_432100!C108,input_432100!A:H,8,FALSE))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input_432100!A$2</f>
        <v>432100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IFERROR(VLOOKUP(B109,input_432100!L:R,7,FALSE),VLOOKUP(tables_432100!C109,input_432100!A:H,8,FALSE))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input_432100!A$2</f>
        <v>432100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IFERROR(VLOOKUP(B110,input_432100!L:R,7,FALSE),VLOOKUP(tables_432100!C110,input_432100!A:H,8,FALSE))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input_432100!A$2</f>
        <v>432100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input_432100!A$2</f>
        <v>432100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input_432100!A$2</f>
        <v>432100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input_432100!A$2</f>
        <v>432100</v>
      </c>
      <c r="B114" s="5">
        <v>238</v>
      </c>
      <c r="C114" s="7" t="str">
        <f t="shared" si="4"/>
        <v>Premium3color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>color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IFERROR(VLOOKUP(B114,input_432100!L:R,7,FALSE),VLOOKUP(tables_432100!C114,input_432100!A:H,8,FALSE))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input_432100!A$2</f>
        <v>432100</v>
      </c>
      <c r="B115" s="5">
        <v>239</v>
      </c>
      <c r="C115" s="7" t="str">
        <f t="shared" si="4"/>
        <v>Premium4color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>color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IFERROR(VLOOKUP(B115,input_432100!L:R,7,FALSE),VLOOKUP(tables_432100!C115,input_432100!A:H,8,FALSE))</f>
        <v>222410.83332999999</v>
      </c>
      <c r="P115" s="46">
        <f t="shared" ca="1" si="5"/>
        <v>4.0291817632246374E-2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input_432100!A$2</f>
        <v>432100</v>
      </c>
      <c r="B116" s="5">
        <v>240</v>
      </c>
      <c r="C116" s="7" t="str">
        <f t="shared" si="4"/>
        <v>Premium5color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>color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IFERROR(VLOOKUP(B116,input_432100!L:R,7,FALSE),VLOOKUP(tables_432100!C116,input_432100!A:H,8,FALSE))</f>
        <v>5589.1666699999996</v>
      </c>
      <c r="P116" s="46">
        <f t="shared" ca="1" si="5"/>
        <v>1.0125301938405796E-3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input_432100!A$2</f>
        <v>432100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IFERROR(VLOOKUP(B117,input_432100!L:R,7,FALSE),VLOOKUP(tables_432100!C117,input_432100!A:H,8,FALSE))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input_432100!A$2</f>
        <v>432100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IFERROR(VLOOKUP(B118,input_432100!L:R,7,FALSE),VLOOKUP(tables_432100!C118,input_432100!A:H,8,FALSE))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input_432100!A$2</f>
        <v>432100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IFERROR(VLOOKUP(B119,input_432100!L:R,7,FALSE),VLOOKUP(tables_432100!C119,input_432100!A:H,8,FALSE))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input_432100!A$2</f>
        <v>432100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IFERROR(VLOOKUP(B120,input_432100!L:R,7,FALSE),VLOOKUP(tables_432100!C120,input_432100!A:H,8,FALSE))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input_432100!A$2</f>
        <v>432100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IFERROR(VLOOKUP(B121,input_432100!L:R,7,FALSE),VLOOKUP(tables_432100!C121,input_432100!A:H,8,FALSE))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input_432100!A$2</f>
        <v>432100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IFERROR(VLOOKUP(B122,input_432100!L:R,7,FALSE),VLOOKUP(tables_432100!C122,input_432100!A:H,8,FALSE))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input_432100!A$2</f>
        <v>432100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IFERROR(VLOOKUP(B123,input_432100!L:R,7,FALSE),VLOOKUP(tables_432100!C123,input_432100!A:H,8,FALSE))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input_432100!A$2</f>
        <v>432100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IFERROR(VLOOKUP(B124,input_432100!L:R,7,FALSE),VLOOKUP(tables_432100!C124,input_432100!A:H,8,FALSE))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input_432100!A$2</f>
        <v>432100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IFERROR(VLOOKUP(B125,input_432100!L:R,7,FALSE),VLOOKUP(tables_432100!C125,input_432100!A:H,8,FALSE))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input_432100!A$2</f>
        <v>432100</v>
      </c>
      <c r="B126" s="6">
        <v>250</v>
      </c>
      <c r="C126" s="7" t="str">
        <f t="shared" si="4"/>
        <v>Premium3color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>color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IFERROR(VLOOKUP(B126,input_432100!L:R,7,FALSE),VLOOKUP(tables_432100!C126,input_432100!A:H,8,FALSE))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input_432100!A$2</f>
        <v>432100</v>
      </c>
      <c r="B127" s="6">
        <v>251</v>
      </c>
      <c r="C127" s="7" t="str">
        <f t="shared" si="4"/>
        <v>Premium4color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>color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IFERROR(VLOOKUP(B127,input_432100!L:R,7,FALSE),VLOOKUP(tables_432100!C127,input_432100!A:H,8,FALSE))</f>
        <v>222410.83332999999</v>
      </c>
      <c r="P127" s="46">
        <f t="shared" ca="1" si="5"/>
        <v>4.0291817632246374E-2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input_432100!A$2</f>
        <v>432100</v>
      </c>
      <c r="B128" s="6">
        <v>252</v>
      </c>
      <c r="C128" s="7" t="str">
        <f t="shared" si="4"/>
        <v>Premium5color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>color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IFERROR(VLOOKUP(B128,input_432100!L:R,7,FALSE),VLOOKUP(tables_432100!C128,input_432100!A:H,8,FALSE))</f>
        <v>5589.1666699999996</v>
      </c>
      <c r="P128" s="46">
        <f t="shared" ca="1" si="5"/>
        <v>1.0125301938405796E-3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input_432100!A$2</f>
        <v>432100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IFERROR(VLOOKUP(B129,input_432100!L:R,7,FALSE),VLOOKUP(tables_432100!C129,input_432100!A:H,8,FALSE))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input_432100!A$2</f>
        <v>432100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IFERROR(VLOOKUP(B130,input_432100!L:R,7,FALSE),VLOOKUP(tables_432100!C130,input_432100!A:H,8,FALSE))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input_432100!A$2</f>
        <v>432100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IF(K131="red","color","")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IFERROR(VLOOKUP(B131,input_432100!L:R,7,FALSE),VLOOKUP(tables_432100!C131,input_432100!A:H,8,FALSE))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input_432100!A$2</f>
        <v>432100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IFERROR(VLOOKUP(B132,input_432100!L:R,7,FALSE),VLOOKUP(tables_432100!C132,input_432100!A:H,8,FALSE))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input_432100!A$2</f>
        <v>432100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IFERROR(VLOOKUP(B133,input_432100!L:R,7,FALSE),VLOOKUP(tables_432100!C133,input_432100!A:H,8,FALSE))</f>
        <v>0</v>
      </c>
      <c r="P133" s="46">
        <f t="shared" ca="1" si="9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input_432100!A$2</f>
        <v>432100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IFERROR(VLOOKUP(B134,input_432100!L:R,7,FALSE),VLOOKUP(tables_432100!C134,input_432100!A:H,8,FALSE))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input_432100!A$2</f>
        <v>432100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IFERROR(VLOOKUP(B135,input_432100!L:R,7,FALSE),VLOOKUP(tables_432100!C135,input_432100!A:H,8,FALSE))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input_432100!A$2</f>
        <v>432100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IFERROR(VLOOKUP(B136,input_432100!L:R,7,FALSE),VLOOKUP(tables_432100!C136,input_432100!A:H,8,FALSE))</f>
        <v>0</v>
      </c>
      <c r="P136" s="46">
        <f t="shared" ca="1" si="9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input_432100!A$2</f>
        <v>432100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IFERROR(VLOOKUP(B137,input_432100!L:R,7,FALSE),VLOOKUP(tables_432100!C137,input_432100!A:H,8,FALSE))</f>
        <v>0</v>
      </c>
      <c r="P137" s="46">
        <f t="shared" ca="1" si="9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input_432100!A$2</f>
        <v>432100</v>
      </c>
      <c r="B138" s="6">
        <v>320</v>
      </c>
      <c r="C138" s="7" t="str">
        <f t="shared" si="8"/>
        <v>PremiumSS4color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>color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IFERROR(VLOOKUP(B138,input_432100!L:R,7,FALSE),VLOOKUP(tables_432100!C138,input_432100!A:H,8,FALSE))</f>
        <v>4370</v>
      </c>
      <c r="P138" s="46">
        <f t="shared" ca="1" si="9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input_432100!A$2</f>
        <v>432100</v>
      </c>
      <c r="B139" s="6">
        <v>321</v>
      </c>
      <c r="C139" s="7" t="str">
        <f t="shared" si="8"/>
        <v>PremiumSS5color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>color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IFERROR(VLOOKUP(B139,input_432100!L:R,7,FALSE),VLOOKUP(tables_432100!C139,input_432100!A:H,8,FALSE))</f>
        <v>230</v>
      </c>
      <c r="P139" s="46">
        <f t="shared" ca="1" si="9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input_432100!A$2</f>
        <v>432100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IFERROR(VLOOKUP(B140,input_432100!L:R,7,FALSE),VLOOKUP(tables_432100!C140,input_432100!A:H,8,FALSE))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input_432100!A$2</f>
        <v>432100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IFERROR(VLOOKUP(B141,input_432100!L:R,7,FALSE),VLOOKUP(tables_432100!C141,input_432100!A:H,8,FALSE))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input_432100!A$2</f>
        <v>432100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IFERROR(VLOOKUP(B142,input_432100!L:R,7,FALSE),VLOOKUP(tables_432100!C142,input_432100!A:H,8,FALSE))</f>
        <v>0</v>
      </c>
      <c r="P142" s="46">
        <f t="shared" ca="1" si="9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input_432100!A$2</f>
        <v>432100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IFERROR(VLOOKUP(B143,input_432100!L:R,7,FALSE),VLOOKUP(tables_432100!C143,input_432100!A:H,8,FALSE))</f>
        <v>0</v>
      </c>
      <c r="P143" s="46">
        <f t="shared" ca="1" si="9"/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input_432100!A$2</f>
        <v>432100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IFERROR(VLOOKUP(B144,input_432100!L:R,7,FALSE),VLOOKUP(tables_432100!C144,input_432100!A:H,8,FALSE))</f>
        <v>0</v>
      </c>
      <c r="P144" s="46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input_432100!A$2</f>
        <v>432100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IFERROR(VLOOKUP(B145,input_432100!L:R,7,FALSE),VLOOKUP(tables_432100!C145,input_432100!A:H,8,FALSE))</f>
        <v>0</v>
      </c>
      <c r="P145" s="46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input_432100!A$2</f>
        <v>432100</v>
      </c>
      <c r="B146" s="6">
        <v>380</v>
      </c>
      <c r="C146" s="7" t="str">
        <f t="shared" si="8"/>
        <v>Premium3color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>color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IFERROR(VLOOKUP(B146,input_432100!L:R,7,FALSE),VLOOKUP(tables_432100!C146,input_432100!A:H,8,FALSE))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input_432100!A$2</f>
        <v>432100</v>
      </c>
      <c r="B147" s="6">
        <v>381</v>
      </c>
      <c r="C147" s="7" t="str">
        <f t="shared" si="8"/>
        <v>Premium4color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>color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IFERROR(VLOOKUP(B147,input_432100!L:R,7,FALSE),VLOOKUP(tables_432100!C147,input_432100!A:H,8,FALSE))</f>
        <v>222410.83332999999</v>
      </c>
      <c r="P147" s="46">
        <f t="shared" ca="1" si="9"/>
        <v>4.0291817632246374E-2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input_432100!A$2</f>
        <v>432100</v>
      </c>
      <c r="B148" s="6">
        <v>382</v>
      </c>
      <c r="C148" s="7" t="str">
        <f t="shared" si="8"/>
        <v>Premium5color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>color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IFERROR(VLOOKUP(B148,input_432100!L:R,7,FALSE),VLOOKUP(tables_432100!C148,input_432100!A:H,8,FALSE))</f>
        <v>5589.1666699999996</v>
      </c>
      <c r="P148" s="46">
        <f t="shared" ca="1" si="9"/>
        <v>1.0125301938405796E-3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input_432100!A$2</f>
        <v>432100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IFERROR(VLOOKUP(B149,input_432100!L:R,7,FALSE),VLOOKUP(tables_432100!C149,input_432100!A:H,8,FALSE))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input_432100!A$2</f>
        <v>432100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IFERROR(VLOOKUP(B150,input_432100!L:R,7,FALSE),VLOOKUP(tables_432100!C150,input_432100!A:H,8,FALSE))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input_432100!A$2</f>
        <v>432100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IFERROR(VLOOKUP(B151,input_432100!L:R,7,FALSE),VLOOKUP(tables_432100!C151,input_432100!A:H,8,FALSE))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input_432100!A$2</f>
        <v>432100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IFERROR(VLOOKUP(B152,input_432100!L:R,7,FALSE),VLOOKUP(tables_432100!C152,input_432100!A:H,8,FALSE))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input_432100!A$2</f>
        <v>432100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IFERROR(VLOOKUP(B153,input_432100!L:R,7,FALSE),VLOOKUP(tables_432100!C153,input_432100!A:H,8,FALSE))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input_432100!A$2</f>
        <v>432100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IFERROR(VLOOKUP(B154,input_432100!L:R,7,FALSE),VLOOKUP(tables_432100!C154,input_432100!A:H,8,FALSE))</f>
        <v>0</v>
      </c>
      <c r="P154" s="46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input_432100!A$2</f>
        <v>432100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IFERROR(VLOOKUP(B155,input_432100!L:R,7,FALSE),VLOOKUP(tables_432100!C155,input_432100!A:H,8,FALSE))</f>
        <v>0</v>
      </c>
      <c r="P155" s="46">
        <f t="shared" ca="1" si="9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input_432100!A$2</f>
        <v>432100</v>
      </c>
      <c r="B156" s="6">
        <v>390</v>
      </c>
      <c r="C156" s="7" t="str">
        <f t="shared" si="8"/>
        <v>PremiumSS4color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>color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IFERROR(VLOOKUP(B156,input_432100!L:R,7,FALSE),VLOOKUP(tables_432100!C156,input_432100!A:H,8,FALSE))</f>
        <v>4370</v>
      </c>
      <c r="P156" s="46">
        <f t="shared" ca="1" si="9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input_432100!A$2</f>
        <v>432100</v>
      </c>
      <c r="B157" s="6">
        <v>391</v>
      </c>
      <c r="C157" s="7" t="str">
        <f t="shared" si="8"/>
        <v>PremiumSS5color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>color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IFERROR(VLOOKUP(B157,input_432100!L:R,7,FALSE),VLOOKUP(tables_432100!C157,input_432100!A:H,8,FALSE))</f>
        <v>230</v>
      </c>
      <c r="P157" s="46">
        <f t="shared" ca="1" si="9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input_432100!A$2</f>
        <v>432100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IFERROR(VLOOKUP(B158,input_432100!L:R,7,FALSE),VLOOKUP(tables_432100!C158,input_432100!A:H,8,FALSE))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input_432100!A$2</f>
        <v>432100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IFERROR(VLOOKUP(B159,input_432100!L:R,7,FALSE),VLOOKUP(tables_432100!C159,input_432100!A:H,8,FALSE))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input_432100!A$2</f>
        <v>432100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IFERROR(VLOOKUP(B160,input_432100!L:R,7,FALSE),VLOOKUP(tables_432100!C160,input_432100!A:H,8,FALSE))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input_432100!A$2</f>
        <v>432100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IFERROR(VLOOKUP(B161,input_432100!L:R,7,FALSE),VLOOKUP(tables_432100!C161,input_432100!A:H,8,FALSE))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input_432100!A$2</f>
        <v>432100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IFERROR(VLOOKUP(B162,input_432100!L:R,7,FALSE),VLOOKUP(tables_432100!C162,input_432100!A:H,8,FALSE))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input_432100!A$2</f>
        <v>432100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IFERROR(VLOOKUP(B163,input_432100!L:R,7,FALSE),VLOOKUP(tables_432100!C163,input_432100!A:H,8,FALSE))</f>
        <v>0</v>
      </c>
      <c r="P163" s="46">
        <f t="shared" ca="1" si="9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input_432100!A$2</f>
        <v>432100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IFERROR(VLOOKUP(B164,input_432100!L:R,7,FALSE),VLOOKUP(tables_432100!C164,input_432100!A:H,8,FALSE))</f>
        <v>0</v>
      </c>
      <c r="P164" s="46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input_432100!A$2</f>
        <v>432100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IFERROR(VLOOKUP(B165,input_432100!L:R,7,FALSE),VLOOKUP(tables_432100!C165,input_432100!A:H,8,FALSE))</f>
        <v>0</v>
      </c>
      <c r="P165" s="46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input_432100!A$2</f>
        <v>432100</v>
      </c>
      <c r="B166" s="6">
        <v>400</v>
      </c>
      <c r="C166" s="7" t="str">
        <f t="shared" si="8"/>
        <v>Premium3color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>color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IFERROR(VLOOKUP(B166,input_432100!L:R,7,FALSE),VLOOKUP(tables_432100!C166,input_432100!A:H,8,FALSE))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input_432100!A$2</f>
        <v>432100</v>
      </c>
      <c r="B167" s="6">
        <v>401</v>
      </c>
      <c r="C167" s="7" t="str">
        <f t="shared" si="8"/>
        <v>Premium4color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>color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IFERROR(VLOOKUP(B167,input_432100!L:R,7,FALSE),VLOOKUP(tables_432100!C167,input_432100!A:H,8,FALSE))</f>
        <v>222410.83332999999</v>
      </c>
      <c r="P167" s="46">
        <f t="shared" ca="1" si="9"/>
        <v>4.0291817632246374E-2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input_432100!A$2</f>
        <v>432100</v>
      </c>
      <c r="B168" s="6">
        <v>402</v>
      </c>
      <c r="C168" s="7" t="str">
        <f t="shared" si="8"/>
        <v>Premium5color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>color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IFERROR(VLOOKUP(B168,input_432100!L:R,7,FALSE),VLOOKUP(tables_432100!C168,input_432100!A:H,8,FALSE))</f>
        <v>5589.1666699999996</v>
      </c>
      <c r="P168" s="46">
        <f t="shared" ca="1" si="9"/>
        <v>1.0125301938405796E-3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input_432100!A$2</f>
        <v>432100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IFERROR(VLOOKUP(B169,input_432100!L:R,7,FALSE),VLOOKUP(tables_432100!C169,input_432100!A:H,8,FALSE))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input_432100!A$2</f>
        <v>432100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IFERROR(VLOOKUP(B170,input_432100!L:R,7,FALSE),VLOOKUP(tables_432100!C170,input_432100!A:H,8,FALSE))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input_432100!A$2</f>
        <v>432100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IFERROR(VLOOKUP(B171,input_432100!L:R,7,FALSE),VLOOKUP(tables_432100!C171,input_432100!A:H,8,FALSE))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input_432100!A$2</f>
        <v>432100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IFERROR(VLOOKUP(B172,input_432100!L:R,7,FALSE),VLOOKUP(tables_432100!C172,input_432100!A:H,8,FALSE))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input_432100!A$2</f>
        <v>432100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IFERROR(VLOOKUP(B173,input_432100!L:R,7,FALSE),VLOOKUP(tables_432100!C173,input_432100!A:H,8,FALSE))</f>
        <v>0</v>
      </c>
      <c r="P173" s="46">
        <f t="shared" ca="1" si="9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input_432100!A$2</f>
        <v>432100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IFERROR(VLOOKUP(B174,input_432100!L:R,7,FALSE),VLOOKUP(tables_432100!C174,input_432100!A:H,8,FALSE))</f>
        <v>0</v>
      </c>
      <c r="P174" s="46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input_432100!A$2</f>
        <v>432100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IFERROR(VLOOKUP(B175,input_432100!L:R,7,FALSE),VLOOKUP(tables_432100!C175,input_432100!A:H,8,FALSE))</f>
        <v>0</v>
      </c>
      <c r="P175" s="46">
        <f t="shared" ca="1" si="9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input_432100!A$2</f>
        <v>432100</v>
      </c>
      <c r="B176" s="6">
        <v>434</v>
      </c>
      <c r="C176" s="7" t="str">
        <f t="shared" si="8"/>
        <v>PremiumSS4color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>color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IFERROR(VLOOKUP(B176,input_432100!L:R,7,FALSE),VLOOKUP(tables_432100!C176,input_432100!A:H,8,FALSE))</f>
        <v>4370</v>
      </c>
      <c r="P176" s="46">
        <f t="shared" ca="1" si="9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input_432100!A$2</f>
        <v>432100</v>
      </c>
      <c r="B177" s="6">
        <v>435</v>
      </c>
      <c r="C177" s="7" t="str">
        <f t="shared" si="8"/>
        <v>PremiumSS5color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>color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IFERROR(VLOOKUP(B177,input_432100!L:R,7,FALSE),VLOOKUP(tables_432100!C177,input_432100!A:H,8,FALSE))</f>
        <v>230</v>
      </c>
      <c r="P177" s="46">
        <f t="shared" ca="1" si="9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input_432100!A$2</f>
        <v>432100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IFERROR(VLOOKUP(B178,input_432100!L:R,7,FALSE),VLOOKUP(tables_432100!C178,input_432100!A:H,8,FALSE))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input_432100!A$2</f>
        <v>432100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IFERROR(VLOOKUP(B179,input_432100!L:R,7,FALSE),VLOOKUP(tables_432100!C179,input_432100!A:H,8,FALSE))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input_432100!A$2</f>
        <v>432100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IFERROR(VLOOKUP(B180,input_432100!L:R,7,FALSE),VLOOKUP(tables_432100!C180,input_432100!A:H,8,FALSE))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input_432100!A$2</f>
        <v>432100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IFERROR(VLOOKUP(B181,input_432100!L:R,7,FALSE),VLOOKUP(tables_432100!C181,input_432100!A:H,8,FALSE))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input_432100!A$2</f>
        <v>432100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IFERROR(VLOOKUP(B182,input_432100!L:R,7,FALSE),VLOOKUP(tables_432100!C182,input_432100!A:H,8,FALSE))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input_432100!A$2</f>
        <v>432100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IFERROR(VLOOKUP(B183,input_432100!L:R,7,FALSE),VLOOKUP(tables_432100!C183,input_432100!A:H,8,FALSE))</f>
        <v>0</v>
      </c>
      <c r="P183" s="46">
        <f t="shared" ca="1" si="9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input_432100!A$2</f>
        <v>432100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IFERROR(VLOOKUP(B184,input_432100!L:R,7,FALSE),VLOOKUP(tables_432100!C184,input_432100!A:H,8,FALSE))</f>
        <v>0</v>
      </c>
      <c r="P184" s="46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input_432100!A$2</f>
        <v>432100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IFERROR(VLOOKUP(B185,input_432100!L:R,7,FALSE),VLOOKUP(tables_432100!C185,input_432100!A:H,8,FALSE))</f>
        <v>0</v>
      </c>
      <c r="P185" s="46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input_432100!A$2</f>
        <v>432100</v>
      </c>
      <c r="B186" s="8">
        <v>462</v>
      </c>
      <c r="C186" s="7" t="str">
        <f t="shared" si="8"/>
        <v>Premium3color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>color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IFERROR(VLOOKUP(B186,input_432100!L:R,7,FALSE),VLOOKUP(tables_432100!C186,input_432100!A:H,8,FALSE))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input_432100!A$2</f>
        <v>432100</v>
      </c>
      <c r="B187" s="8">
        <v>463</v>
      </c>
      <c r="C187" s="7" t="str">
        <f t="shared" si="8"/>
        <v>Premium4color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>color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IFERROR(VLOOKUP(B187,input_432100!L:R,7,FALSE),VLOOKUP(tables_432100!C187,input_432100!A:H,8,FALSE))</f>
        <v>222410.83332999999</v>
      </c>
      <c r="P187" s="46">
        <f t="shared" ca="1" si="9"/>
        <v>4.0291817632246374E-2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input_432100!A$2</f>
        <v>432100</v>
      </c>
      <c r="B188" s="8">
        <v>464</v>
      </c>
      <c r="C188" s="7" t="str">
        <f t="shared" si="8"/>
        <v>Premium5color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>color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IFERROR(VLOOKUP(B188,input_432100!L:R,7,FALSE),VLOOKUP(tables_432100!C188,input_432100!A:H,8,FALSE))</f>
        <v>5589.1666699999996</v>
      </c>
      <c r="P188" s="46">
        <f t="shared" ca="1" si="9"/>
        <v>1.0125301938405796E-3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input_432100!A$2</f>
        <v>432100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IFERROR(VLOOKUP(B189,input_432100!L:R,7,FALSE),VLOOKUP(tables_432100!C189,input_432100!A:H,8,FALSE))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input_432100!A$2</f>
        <v>432100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IFERROR(VLOOKUP(B190,input_432100!L:R,7,FALSE),VLOOKUP(tables_432100!C190,input_432100!A:H,8,FALSE))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input_432100!A$2</f>
        <v>432100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IFERROR(VLOOKUP(B191,input_432100!L:R,7,FALSE),VLOOKUP(tables_432100!C191,input_432100!A:H,8,FALSE))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input_432100!A$2</f>
        <v>432100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IFERROR(VLOOKUP(B192,input_432100!L:R,7,FALSE),VLOOKUP(tables_432100!C192,input_432100!A:H,8,FALSE))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input_432100!A$2</f>
        <v>432100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IFERROR(VLOOKUP(B193,input_432100!L:R,7,FALSE),VLOOKUP(tables_432100!C193,input_432100!A:H,8,FALSE))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input_432100!A$2</f>
        <v>432100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IFERROR(VLOOKUP(B194,input_432100!L:R,7,FALSE),VLOOKUP(tables_432100!C194,input_432100!A:H,8,FALSE))</f>
        <v>0</v>
      </c>
      <c r="P194" s="46">
        <f t="shared" ref="P194:P257" ca="1" si="13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input_432100!A$2</f>
        <v>432100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IF(K195="red","color","")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IFERROR(VLOOKUP(B195,input_432100!L:R,7,FALSE),VLOOKUP(tables_432100!C195,input_432100!A:H,8,FALSE))</f>
        <v>0</v>
      </c>
      <c r="P195" s="46">
        <f t="shared" ca="1" si="13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input_432100!A$2</f>
        <v>432100</v>
      </c>
      <c r="B196" s="6">
        <v>474</v>
      </c>
      <c r="C196" s="7" t="str">
        <f t="shared" si="12"/>
        <v>PremiumSS4color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>color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IFERROR(VLOOKUP(B196,input_432100!L:R,7,FALSE),VLOOKUP(tables_432100!C196,input_432100!A:H,8,FALSE))</f>
        <v>104880</v>
      </c>
      <c r="P196" s="46">
        <f t="shared" ca="1" si="13"/>
        <v>1.9E-2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input_432100!A$2</f>
        <v>432100</v>
      </c>
      <c r="B197" s="6">
        <v>475</v>
      </c>
      <c r="C197" s="7" t="str">
        <f t="shared" si="12"/>
        <v>PremiumSS5color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>color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IFERROR(VLOOKUP(B197,input_432100!L:R,7,FALSE),VLOOKUP(tables_432100!C197,input_432100!A:H,8,FALSE))</f>
        <v>5520</v>
      </c>
      <c r="P197" s="46">
        <f t="shared" ca="1" si="13"/>
        <v>1E-3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input_432100!A$2</f>
        <v>432100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IFERROR(VLOOKUP(B198,input_432100!L:R,7,FALSE),VLOOKUP(tables_432100!C198,input_432100!A:H,8,FALSE))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input_432100!A$2</f>
        <v>432100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IFERROR(VLOOKUP(B199,input_432100!L:R,7,FALSE),VLOOKUP(tables_432100!C199,input_432100!A:H,8,FALSE))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input_432100!A$2</f>
        <v>432100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IFERROR(VLOOKUP(B200,input_432100!L:R,7,FALSE),VLOOKUP(tables_432100!C200,input_432100!A:H,8,FALSE))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input_432100!A$2</f>
        <v>432100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IFERROR(VLOOKUP(B201,input_432100!L:R,7,FALSE),VLOOKUP(tables_432100!C201,input_432100!A:H,8,FALSE))</f>
        <v>0</v>
      </c>
      <c r="P201" s="46">
        <f t="shared" ca="1" si="13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input_432100!A$2</f>
        <v>432100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IFERROR(VLOOKUP(B202,input_432100!L:R,7,FALSE),VLOOKUP(tables_432100!C202,input_432100!A:H,8,FALSE))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input_432100!A$2</f>
        <v>432100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IFERROR(VLOOKUP(B203,input_432100!L:R,7,FALSE),VLOOKUP(tables_432100!C203,input_432100!A:H,8,FALSE))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input_432100!A$2</f>
        <v>432100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IFERROR(VLOOKUP(B204,input_432100!L:R,7,FALSE),VLOOKUP(tables_432100!C204,input_432100!A:H,8,FALSE))</f>
        <v>0</v>
      </c>
      <c r="P204" s="46">
        <f t="shared" ca="1" si="13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input_432100!A$2</f>
        <v>432100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IFERROR(VLOOKUP(B205,input_432100!L:R,7,FALSE),VLOOKUP(tables_432100!C205,input_432100!A:H,8,FALSE))</f>
        <v>0</v>
      </c>
      <c r="P205" s="46">
        <f t="shared" ca="1" si="13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input_432100!A$2</f>
        <v>432100</v>
      </c>
      <c r="B206" s="6">
        <v>492</v>
      </c>
      <c r="C206" s="7" t="str">
        <f t="shared" si="12"/>
        <v>PremiumSS4color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>color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IFERROR(VLOOKUP(B206,input_432100!L:R,7,FALSE),VLOOKUP(tables_432100!C206,input_432100!A:H,8,FALSE))</f>
        <v>4370</v>
      </c>
      <c r="P206" s="46">
        <f t="shared" ca="1" si="13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input_432100!A$2</f>
        <v>432100</v>
      </c>
      <c r="B207" s="6">
        <v>493</v>
      </c>
      <c r="C207" s="7" t="str">
        <f t="shared" si="12"/>
        <v>PremiumSS5color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>color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IFERROR(VLOOKUP(B207,input_432100!L:R,7,FALSE),VLOOKUP(tables_432100!C207,input_432100!A:H,8,FALSE))</f>
        <v>230</v>
      </c>
      <c r="P207" s="46">
        <f t="shared" ca="1" si="13"/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input_432100!A$2</f>
        <v>432100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IFERROR(VLOOKUP(B208,input_432100!L:R,7,FALSE),VLOOKUP(tables_432100!C208,input_432100!A:H,8,FALSE))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input_432100!A$2</f>
        <v>432100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IFERROR(VLOOKUP(B209,input_432100!L:R,7,FALSE),VLOOKUP(tables_432100!C209,input_432100!A:H,8,FALSE))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input_432100!A$2</f>
        <v>432100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IFERROR(VLOOKUP(B210,input_432100!L:R,7,FALSE),VLOOKUP(tables_432100!C210,input_432100!A:H,8,FALSE))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input_432100!A$2</f>
        <v>432100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IFERROR(VLOOKUP(B211,input_432100!L:R,7,FALSE),VLOOKUP(tables_432100!C211,input_432100!A:H,8,FALSE))</f>
        <v>0</v>
      </c>
      <c r="P211" s="46">
        <f t="shared" ca="1" si="13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input_432100!A$2</f>
        <v>432100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IFERROR(VLOOKUP(B212,input_432100!L:R,7,FALSE),VLOOKUP(tables_432100!C212,input_432100!A:H,8,FALSE))</f>
        <v>0</v>
      </c>
      <c r="P212" s="46">
        <f t="shared" ca="1" si="13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input_432100!A$2</f>
        <v>432100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IFERROR(VLOOKUP(B213,input_432100!L:R,7,FALSE),VLOOKUP(tables_432100!C213,input_432100!A:H,8,FALSE))</f>
        <v>0</v>
      </c>
      <c r="P213" s="46">
        <f t="shared" ca="1" si="13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input_432100!A$2</f>
        <v>432100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IFERROR(VLOOKUP(B214,input_432100!L:R,7,FALSE),VLOOKUP(tables_432100!C214,input_432100!A:H,8,FALSE))</f>
        <v>0</v>
      </c>
      <c r="P214" s="46">
        <f t="shared" ca="1" si="13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input_432100!A$2</f>
        <v>432100</v>
      </c>
      <c r="B215" s="6">
        <v>586</v>
      </c>
      <c r="C215" s="7" t="str">
        <f t="shared" si="12"/>
        <v>PremiumSS4color</v>
      </c>
      <c r="D215" s="7" t="str">
        <f t="shared" si="14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 t="str">
        <f t="shared" si="15"/>
        <v>color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IFERROR(VLOOKUP(B215,input_432100!L:R,7,FALSE),VLOOKUP(tables_432100!C215,input_432100!A:H,8,FALSE))</f>
        <v>4370</v>
      </c>
      <c r="P215" s="46">
        <f t="shared" ca="1" si="13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input_432100!A$2</f>
        <v>432100</v>
      </c>
      <c r="B216" s="6">
        <v>587</v>
      </c>
      <c r="C216" s="7" t="str">
        <f t="shared" si="12"/>
        <v>PremiumSS5color</v>
      </c>
      <c r="D216" s="7" t="str">
        <f t="shared" si="14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IFERROR(VLOOKUP(B216,input_432100!L:R,7,FALSE),VLOOKUP(tables_432100!C216,input_432100!A:H,8,FALSE))</f>
        <v>230</v>
      </c>
      <c r="P216" s="46">
        <f t="shared" ca="1" si="13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input_432100!A$2</f>
        <v>432100</v>
      </c>
      <c r="B217" s="6">
        <v>588</v>
      </c>
      <c r="C217" s="7" t="str">
        <f t="shared" si="12"/>
        <v>Premium3</v>
      </c>
      <c r="D217" s="7" t="str">
        <f t="shared" si="14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IFERROR(VLOOKUP(B217,input_432100!L:R,7,FALSE),VLOOKUP(tables_432100!C217,input_432100!A:H,8,FALSE))</f>
        <v>0</v>
      </c>
      <c r="P217" s="46">
        <f t="shared" ca="1" si="13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input_432100!A$2</f>
        <v>432100</v>
      </c>
      <c r="B218" s="6">
        <v>589</v>
      </c>
      <c r="C218" s="7" t="str">
        <f t="shared" si="12"/>
        <v>Premium4</v>
      </c>
      <c r="D218" s="7" t="str">
        <f t="shared" si="14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IFERROR(VLOOKUP(B218,input_432100!L:R,7,FALSE),VLOOKUP(tables_432100!C218,input_432100!A:H,8,FALSE))</f>
        <v>0</v>
      </c>
      <c r="P218" s="46">
        <f t="shared" ca="1" si="13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input_432100!A$2</f>
        <v>432100</v>
      </c>
      <c r="B219" s="6">
        <v>590</v>
      </c>
      <c r="C219" s="7" t="str">
        <f t="shared" si="12"/>
        <v>Premium5</v>
      </c>
      <c r="D219" s="7" t="str">
        <f t="shared" si="14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IFERROR(VLOOKUP(B219,input_432100!L:R,7,FALSE),VLOOKUP(tables_432100!C219,input_432100!A:H,8,FALSE))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input_432100!A$2</f>
        <v>432100</v>
      </c>
      <c r="B220" s="6">
        <v>591</v>
      </c>
      <c r="C220" s="7" t="str">
        <f t="shared" si="12"/>
        <v>Premium3</v>
      </c>
      <c r="D220" s="7" t="str">
        <f t="shared" si="14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IFERROR(VLOOKUP(B220,input_432100!L:R,7,FALSE),VLOOKUP(tables_432100!C220,input_432100!A:H,8,FALSE))</f>
        <v>0</v>
      </c>
      <c r="P220" s="46">
        <f t="shared" ca="1" si="13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input_432100!A$2</f>
        <v>432100</v>
      </c>
      <c r="B221" s="6">
        <v>592</v>
      </c>
      <c r="C221" s="7" t="str">
        <f t="shared" si="12"/>
        <v>Premium4</v>
      </c>
      <c r="D221" s="7" t="str">
        <f t="shared" si="14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IFERROR(VLOOKUP(B221,input_432100!L:R,7,FALSE),VLOOKUP(tables_432100!C221,input_432100!A:H,8,FALSE))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input_432100!A$2</f>
        <v>432100</v>
      </c>
      <c r="B222" s="6">
        <v>593</v>
      </c>
      <c r="C222" s="7" t="str">
        <f t="shared" si="12"/>
        <v>Premium5</v>
      </c>
      <c r="D222" s="7" t="str">
        <f t="shared" si="14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IFERROR(VLOOKUP(B222,input_432100!L:R,7,FALSE),VLOOKUP(tables_432100!C222,input_432100!A:H,8,FALSE))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input_432100!A$2</f>
        <v>432100</v>
      </c>
      <c r="B223" s="6">
        <v>594</v>
      </c>
      <c r="C223" s="7" t="str">
        <f t="shared" si="12"/>
        <v>PremiumSS4</v>
      </c>
      <c r="D223" s="7" t="str">
        <f t="shared" si="14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IFERROR(VLOOKUP(B223,input_432100!L:R,7,FALSE),VLOOKUP(tables_432100!C223,input_432100!A:H,8,FALSE))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input_432100!A$2</f>
        <v>432100</v>
      </c>
      <c r="B224" s="6">
        <v>595</v>
      </c>
      <c r="C224" s="7" t="str">
        <f t="shared" si="12"/>
        <v>PremiumSS5</v>
      </c>
      <c r="D224" s="7" t="str">
        <f t="shared" si="14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IFERROR(VLOOKUP(B224,input_432100!L:R,7,FALSE),VLOOKUP(tables_432100!C224,input_432100!A:H,8,FALSE))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input_432100!A$2</f>
        <v>432100</v>
      </c>
      <c r="B225" s="6">
        <v>596</v>
      </c>
      <c r="C225" s="7" t="str">
        <f t="shared" si="12"/>
        <v>Premium3color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IFERROR(VLOOKUP(B225,input_432100!L:R,7,FALSE),VLOOKUP(tables_432100!C225,input_432100!A:H,8,FALSE))</f>
        <v>0</v>
      </c>
      <c r="P225" s="46">
        <f t="shared" ca="1" si="13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input_432100!A$2</f>
        <v>432100</v>
      </c>
      <c r="B226" s="6">
        <v>597</v>
      </c>
      <c r="C226" s="7" t="str">
        <f t="shared" si="12"/>
        <v>Premium4color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IFERROR(VLOOKUP(B226,input_432100!L:R,7,FALSE),VLOOKUP(tables_432100!C226,input_432100!A:H,8,FALSE))</f>
        <v>222410.83332999999</v>
      </c>
      <c r="P226" s="46">
        <f t="shared" ca="1" si="13"/>
        <v>4.0291817632246374E-2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input_432100!A$2</f>
        <v>432100</v>
      </c>
      <c r="B227" s="6">
        <v>598</v>
      </c>
      <c r="C227" s="7" t="str">
        <f t="shared" si="12"/>
        <v>Premium5color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IFERROR(VLOOKUP(B227,input_432100!L:R,7,FALSE),VLOOKUP(tables_432100!C227,input_432100!A:H,8,FALSE))</f>
        <v>5589.1666699999996</v>
      </c>
      <c r="P227" s="46">
        <f t="shared" ca="1" si="13"/>
        <v>1.0125301938405796E-3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input_432100!A$2</f>
        <v>432100</v>
      </c>
      <c r="B228" s="6">
        <v>599</v>
      </c>
      <c r="C228" s="7" t="str">
        <f t="shared" si="12"/>
        <v>Premium3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IFERROR(VLOOKUP(B228,input_432100!L:R,7,FALSE),VLOOKUP(tables_432100!C228,input_432100!A:H,8,FALSE))</f>
        <v>0</v>
      </c>
      <c r="P228" s="46">
        <f t="shared" ca="1" si="13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input_432100!A$2</f>
        <v>432100</v>
      </c>
      <c r="B229" s="6">
        <v>600</v>
      </c>
      <c r="C229" s="7" t="str">
        <f t="shared" si="12"/>
        <v>Premium4</v>
      </c>
      <c r="D229" s="7" t="str">
        <f t="shared" si="14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IFERROR(VLOOKUP(B229,input_432100!L:R,7,FALSE),VLOOKUP(tables_432100!C229,input_432100!A:H,8,FALSE))</f>
        <v>0</v>
      </c>
      <c r="P229" s="46">
        <f t="shared" ca="1" si="13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input_432100!A$2</f>
        <v>432100</v>
      </c>
      <c r="B230" s="6">
        <v>601</v>
      </c>
      <c r="C230" s="7" t="str">
        <f t="shared" si="12"/>
        <v>Premium5</v>
      </c>
      <c r="D230" s="7" t="str">
        <f t="shared" si="14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IFERROR(VLOOKUP(B230,input_432100!L:R,7,FALSE),VLOOKUP(tables_432100!C230,input_432100!A:H,8,FALSE))</f>
        <v>0</v>
      </c>
      <c r="P230" s="46">
        <f t="shared" ca="1" si="13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input_432100!A$2</f>
        <v>432100</v>
      </c>
      <c r="B231" s="6">
        <v>602</v>
      </c>
      <c r="C231" s="7" t="str">
        <f t="shared" si="12"/>
        <v>PremiumSS4</v>
      </c>
      <c r="D231" s="7" t="str">
        <f t="shared" si="14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IFERROR(VLOOKUP(B231,input_432100!L:R,7,FALSE),VLOOKUP(tables_432100!C231,input_432100!A:H,8,FALSE))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input_432100!A$2</f>
        <v>432100</v>
      </c>
      <c r="B232" s="6">
        <v>603</v>
      </c>
      <c r="C232" s="7" t="str">
        <f t="shared" si="12"/>
        <v>PremiumSS5</v>
      </c>
      <c r="D232" s="7" t="str">
        <f t="shared" si="14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IFERROR(VLOOKUP(B232,input_432100!L:R,7,FALSE),VLOOKUP(tables_432100!C232,input_432100!A:H,8,FALSE))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input_432100!A$2</f>
        <v>432100</v>
      </c>
      <c r="B233" s="6">
        <v>604</v>
      </c>
      <c r="C233" s="7" t="str">
        <f t="shared" si="12"/>
        <v>Premium3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IFERROR(VLOOKUP(B233,input_432100!L:R,7,FALSE),VLOOKUP(tables_432100!C233,input_432100!A:H,8,FALSE))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input_432100!A$2</f>
        <v>432100</v>
      </c>
      <c r="B234" s="6">
        <v>605</v>
      </c>
      <c r="C234" s="7" t="str">
        <f t="shared" si="12"/>
        <v>Premium4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IFERROR(VLOOKUP(B234,input_432100!L:R,7,FALSE),VLOOKUP(tables_432100!C234,input_432100!A:H,8,FALSE))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input_432100!A$2</f>
        <v>432100</v>
      </c>
      <c r="B235" s="6">
        <v>606</v>
      </c>
      <c r="C235" s="7" t="str">
        <f t="shared" si="12"/>
        <v>Premium5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IFERROR(VLOOKUP(B235,input_432100!L:R,7,FALSE),VLOOKUP(tables_432100!C235,input_432100!A:H,8,FALSE))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input_432100!A$2</f>
        <v>432100</v>
      </c>
      <c r="B236" s="6">
        <v>658</v>
      </c>
      <c r="C236" s="7" t="str">
        <f t="shared" si="12"/>
        <v>PremiumSS4color</v>
      </c>
      <c r="D236" s="7" t="str">
        <f t="shared" si="14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IFERROR(VLOOKUP(B236,input_432100!L:R,7,FALSE),VLOOKUP(tables_432100!C236,input_432100!A:H,8,FALSE))</f>
        <v>4370</v>
      </c>
      <c r="P236" s="46">
        <f t="shared" ca="1" si="13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input_432100!A$2</f>
        <v>432100</v>
      </c>
      <c r="B237" s="6">
        <v>659</v>
      </c>
      <c r="C237" s="7" t="str">
        <f t="shared" si="12"/>
        <v>PremiumSS5color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IFERROR(VLOOKUP(B237,input_432100!L:R,7,FALSE),VLOOKUP(tables_432100!C237,input_432100!A:H,8,FALSE))</f>
        <v>230</v>
      </c>
      <c r="P237" s="46">
        <f t="shared" ca="1" si="13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input_432100!A$2</f>
        <v>432100</v>
      </c>
      <c r="B238" s="6">
        <v>660</v>
      </c>
      <c r="C238" s="7" t="str">
        <f t="shared" si="12"/>
        <v>PremiumSS4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IFERROR(VLOOKUP(B238,input_432100!L:R,7,FALSE),VLOOKUP(tables_432100!C238,input_432100!A:H,8,FALSE))</f>
        <v>0</v>
      </c>
      <c r="P238" s="46">
        <f t="shared" ca="1" si="13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input_432100!A$2</f>
        <v>432100</v>
      </c>
      <c r="B239" s="6">
        <v>661</v>
      </c>
      <c r="C239" s="7" t="str">
        <f t="shared" si="12"/>
        <v>PremiumSS5</v>
      </c>
      <c r="D239" s="7" t="str">
        <f t="shared" si="14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IFERROR(VLOOKUP(B239,input_432100!L:R,7,FALSE),VLOOKUP(tables_432100!C239,input_432100!A:H,8,FALSE))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input_432100!A$2</f>
        <v>432100</v>
      </c>
      <c r="B240" s="6">
        <v>662</v>
      </c>
      <c r="C240" s="7" t="str">
        <f t="shared" si="12"/>
        <v>Premium3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IFERROR(VLOOKUP(B240,input_432100!L:R,7,FALSE),VLOOKUP(tables_432100!C240,input_432100!A:H,8,FALSE))</f>
        <v>0</v>
      </c>
      <c r="P240" s="46">
        <f t="shared" ca="1" si="13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input_432100!A$2</f>
        <v>432100</v>
      </c>
      <c r="B241" s="6">
        <v>663</v>
      </c>
      <c r="C241" s="7" t="str">
        <f t="shared" si="12"/>
        <v>Premium4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IFERROR(VLOOKUP(B241,input_432100!L:R,7,FALSE),VLOOKUP(tables_432100!C241,input_432100!A:H,8,FALSE))</f>
        <v>0</v>
      </c>
      <c r="P241" s="46">
        <f t="shared" ca="1" si="13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input_432100!A$2</f>
        <v>432100</v>
      </c>
      <c r="B242" s="6">
        <v>664</v>
      </c>
      <c r="C242" s="7" t="str">
        <f t="shared" si="12"/>
        <v>Premium5</v>
      </c>
      <c r="D242" s="7" t="str">
        <f t="shared" si="14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IFERROR(VLOOKUP(B242,input_432100!L:R,7,FALSE),VLOOKUP(tables_432100!C242,input_432100!A:H,8,FALSE))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input_432100!A$2</f>
        <v>432100</v>
      </c>
      <c r="B243" s="6">
        <v>665</v>
      </c>
      <c r="C243" s="7" t="str">
        <f t="shared" si="12"/>
        <v>Premium3</v>
      </c>
      <c r="D243" s="7" t="str">
        <f t="shared" si="14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IFERROR(VLOOKUP(B243,input_432100!L:R,7,FALSE),VLOOKUP(tables_432100!C243,input_432100!A:H,8,FALSE))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input_432100!A$2</f>
        <v>432100</v>
      </c>
      <c r="B244" s="6">
        <v>666</v>
      </c>
      <c r="C244" s="7" t="str">
        <f t="shared" si="12"/>
        <v>Premium4</v>
      </c>
      <c r="D244" s="7" t="str">
        <f t="shared" si="14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IFERROR(VLOOKUP(B244,input_432100!L:R,7,FALSE),VLOOKUP(tables_432100!C244,input_432100!A:H,8,FALSE))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input_432100!A$2</f>
        <v>432100</v>
      </c>
      <c r="B245" s="6">
        <v>667</v>
      </c>
      <c r="C245" s="7" t="str">
        <f t="shared" si="12"/>
        <v>Premium5</v>
      </c>
      <c r="D245" s="7" t="str">
        <f t="shared" si="14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IFERROR(VLOOKUP(B245,input_432100!L:R,7,FALSE),VLOOKUP(tables_432100!C245,input_432100!A:H,8,FALSE))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input_432100!A$2</f>
        <v>432100</v>
      </c>
      <c r="B246" s="60">
        <v>668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IFERROR(VLOOKUP(B246,input_432100!L:R,7,FALSE),VLOOKUP(tables_432100!C246,input_432100!A:H,8,FALSE))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input_432100!A$2</f>
        <v>432100</v>
      </c>
      <c r="B247" s="60">
        <v>669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IFERROR(VLOOKUP(B247,input_432100!L:R,7,FALSE),VLOOKUP(tables_432100!C247,input_432100!A:H,8,FALSE))</f>
        <v>222410.83332999999</v>
      </c>
      <c r="P247" s="46">
        <f t="shared" ca="1" si="13"/>
        <v>4.0291817632246374E-2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input_432100!A$2</f>
        <v>432100</v>
      </c>
      <c r="B248" s="60">
        <v>670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IFERROR(VLOOKUP(B248,input_432100!L:R,7,FALSE),VLOOKUP(tables_432100!C248,input_432100!A:H,8,FALSE))</f>
        <v>5589.1666699999996</v>
      </c>
      <c r="P248" s="46">
        <f t="shared" ca="1" si="13"/>
        <v>1.0125301938405796E-3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input_432100!A$2</f>
        <v>432100</v>
      </c>
      <c r="B249" s="60">
        <v>671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IFERROR(VLOOKUP(B249,input_432100!L:R,7,FALSE),VLOOKUP(tables_432100!C249,input_432100!A:H,8,FALSE))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input_432100!A$2</f>
        <v>432100</v>
      </c>
      <c r="B250" s="60">
        <v>672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IFERROR(VLOOKUP(B250,input_432100!L:R,7,FALSE),VLOOKUP(tables_432100!C250,input_432100!A:H,8,FALSE))</f>
        <v>0</v>
      </c>
      <c r="P250" s="46">
        <f t="shared" ca="1" si="13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input_432100!A$2</f>
        <v>432100</v>
      </c>
      <c r="B251" s="60">
        <v>673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IFERROR(VLOOKUP(B251,input_432100!L:R,7,FALSE),VLOOKUP(tables_432100!C251,input_432100!A:H,8,FALSE))</f>
        <v>0</v>
      </c>
      <c r="P251" s="46">
        <f t="shared" ca="1" si="13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input_432100!A$2</f>
        <v>432100</v>
      </c>
      <c r="B252" s="60">
        <v>674</v>
      </c>
      <c r="C252" s="7" t="str">
        <f t="shared" si="12"/>
        <v>PremiumSS4</v>
      </c>
      <c r="D252" s="7" t="str">
        <f t="shared" si="14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IFERROR(VLOOKUP(B252,input_432100!L:R,7,FALSE),VLOOKUP(tables_432100!C252,input_432100!A:H,8,FALSE))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input_432100!A$2</f>
        <v>432100</v>
      </c>
      <c r="B253" s="60">
        <v>675</v>
      </c>
      <c r="C253" s="7" t="str">
        <f t="shared" si="12"/>
        <v>PremiumSS5</v>
      </c>
      <c r="D253" s="7" t="str">
        <f t="shared" si="14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IFERROR(VLOOKUP(B253,input_432100!L:R,7,FALSE),VLOOKUP(tables_432100!C253,input_432100!A:H,8,FALSE))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input_432100!A$2</f>
        <v>432100</v>
      </c>
      <c r="B254" s="60">
        <v>676</v>
      </c>
      <c r="C254" s="7" t="str">
        <f t="shared" si="12"/>
        <v>PremiumSS4</v>
      </c>
      <c r="D254" s="7" t="str">
        <f t="shared" si="14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IFERROR(VLOOKUP(B254,input_432100!L:R,7,FALSE),VLOOKUP(tables_432100!C254,input_432100!A:H,8,FALSE))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input_432100!A$2</f>
        <v>432100</v>
      </c>
      <c r="B255" s="60">
        <v>677</v>
      </c>
      <c r="C255" s="7" t="str">
        <f t="shared" si="12"/>
        <v>PremiumSS5</v>
      </c>
      <c r="D255" s="7" t="str">
        <f t="shared" si="14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IFERROR(VLOOKUP(B255,input_432100!L:R,7,FALSE),VLOOKUP(tables_432100!C255,input_432100!A:H,8,FALSE))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input_432100!A$2</f>
        <v>432100</v>
      </c>
      <c r="B256" s="60">
        <v>728</v>
      </c>
      <c r="C256" s="7" t="str">
        <f t="shared" si="12"/>
        <v>Premium4R3lesscolor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IFERROR(VLOOKUP(B256,input_432100!L:R,7,FALSE),VLOOKUP(tables_432100!C256,input_432100!A:H,8,FALSE))</f>
        <v>216600</v>
      </c>
      <c r="P256" s="46">
        <f t="shared" ca="1" si="13"/>
        <v>3.923913043478261E-2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input_432100!A$2</f>
        <v>432100</v>
      </c>
      <c r="B257" s="60">
        <v>729</v>
      </c>
      <c r="C257" s="7" t="str">
        <f t="shared" si="12"/>
        <v>Premium5R3lesscolor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IFERROR(VLOOKUP(B257,input_432100!L:R,7,FALSE),VLOOKUP(tables_432100!C257,input_432100!A:H,8,FALSE))</f>
        <v>11400</v>
      </c>
      <c r="P257" s="46">
        <f t="shared" ca="1" si="13"/>
        <v>2.0652173913043477E-3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input_432100!A$2</f>
        <v>432100</v>
      </c>
      <c r="B258" s="60">
        <v>730</v>
      </c>
      <c r="C258" s="7" t="str">
        <f t="shared" ref="C258:C283" si="16">D258&amp;J258&amp;E258&amp;F258&amp;G258</f>
        <v>Premium4R3less</v>
      </c>
      <c r="D258" s="7" t="str">
        <f t="shared" si="14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v>0</v>
      </c>
      <c r="P258" s="46">
        <f t="shared" ref="P258:P294" ca="1" si="17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input_432100!A$2</f>
        <v>432100</v>
      </c>
      <c r="B259" s="60">
        <v>731</v>
      </c>
      <c r="C259" s="7" t="str">
        <f t="shared" si="16"/>
        <v>Premium5R3less</v>
      </c>
      <c r="D259" s="7" t="str">
        <f t="shared" ref="D259:D309" si="18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 t="str">
        <f t="shared" ref="G259:G322" si="19">IF(K259="red","color","")</f>
        <v/>
      </c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v>0</v>
      </c>
      <c r="P259" s="46">
        <f t="shared" ca="1" si="17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input_432100!A$2</f>
        <v>432100</v>
      </c>
      <c r="B260" s="60">
        <v>732</v>
      </c>
      <c r="C260" s="7" t="str">
        <f t="shared" si="16"/>
        <v>PremiumSS5R5only</v>
      </c>
      <c r="D260" s="7" t="str">
        <f t="shared" si="18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v>0</v>
      </c>
      <c r="P260" s="46">
        <f t="shared" ca="1" si="17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input_432100!A$2</f>
        <v>432100</v>
      </c>
      <c r="B261" s="60">
        <v>734</v>
      </c>
      <c r="C261" s="7" t="str">
        <f t="shared" si="16"/>
        <v>PremiumSS5R5only</v>
      </c>
      <c r="D261" s="7" t="str">
        <f t="shared" si="18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v>0</v>
      </c>
      <c r="P261" s="46">
        <f t="shared" ca="1" si="17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input_432100!A$2</f>
        <v>432100</v>
      </c>
      <c r="B262" s="60">
        <v>770</v>
      </c>
      <c r="C262" s="7" t="str">
        <f t="shared" si="16"/>
        <v>PremiumSS4color</v>
      </c>
      <c r="D262" s="7" t="str">
        <f t="shared" si="18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 t="str">
        <f t="shared" si="19"/>
        <v>color</v>
      </c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IFERROR(VLOOKUP(B262,input_432100!L:R,7,FALSE),VLOOKUP(tables_432100!C262,input_432100!A:H,8,FALSE))</f>
        <v>4370</v>
      </c>
      <c r="P262" s="46">
        <f t="shared" ca="1" si="17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input_432100!A$2</f>
        <v>432100</v>
      </c>
      <c r="B263" s="60">
        <v>771</v>
      </c>
      <c r="C263" s="7" t="str">
        <f t="shared" si="16"/>
        <v>PremiumSS5color</v>
      </c>
      <c r="D263" s="7" t="str">
        <f t="shared" si="18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 t="str">
        <f t="shared" si="19"/>
        <v>color</v>
      </c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IFERROR(VLOOKUP(B263,input_432100!L:R,7,FALSE),VLOOKUP(tables_432100!C263,input_432100!A:H,8,FALSE))</f>
        <v>230</v>
      </c>
      <c r="P263" s="46">
        <f t="shared" ca="1" si="17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input_432100!A$2</f>
        <v>432100</v>
      </c>
      <c r="B264" s="60">
        <v>772</v>
      </c>
      <c r="C264" s="7" t="str">
        <f t="shared" si="16"/>
        <v>PremiumSS4</v>
      </c>
      <c r="D264" s="7" t="str">
        <f t="shared" si="18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IFERROR(VLOOKUP(B264,input_432100!L:R,7,FALSE),VLOOKUP(tables_432100!C264,input_432100!A:H,8,FALSE))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input_432100!A$2</f>
        <v>432100</v>
      </c>
      <c r="B265" s="60">
        <v>773</v>
      </c>
      <c r="C265" s="7" t="str">
        <f t="shared" si="16"/>
        <v>PremiumSS5</v>
      </c>
      <c r="D265" s="7" t="str">
        <f t="shared" si="18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IFERROR(VLOOKUP(B265,input_432100!L:R,7,FALSE),VLOOKUP(tables_432100!C265,input_432100!A:H,8,FALSE))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input_432100!A$2</f>
        <v>432100</v>
      </c>
      <c r="B266" s="60">
        <v>774</v>
      </c>
      <c r="C266" s="7" t="str">
        <f t="shared" si="16"/>
        <v>Premium3</v>
      </c>
      <c r="D266" s="7" t="str">
        <f t="shared" si="18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IFERROR(VLOOKUP(B266,input_432100!L:R,7,FALSE),VLOOKUP(tables_432100!C266,input_432100!A:H,8,FALSE))</f>
        <v>0</v>
      </c>
      <c r="P266" s="46">
        <f t="shared" ca="1" si="17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input_432100!A$2</f>
        <v>432100</v>
      </c>
      <c r="B267" s="60">
        <v>775</v>
      </c>
      <c r="C267" s="7" t="str">
        <f t="shared" si="16"/>
        <v>Premium4</v>
      </c>
      <c r="D267" s="7" t="str">
        <f t="shared" si="18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IFERROR(VLOOKUP(B267,input_432100!L:R,7,FALSE),VLOOKUP(tables_432100!C267,input_432100!A:H,8,FALSE))</f>
        <v>0</v>
      </c>
      <c r="P267" s="46">
        <f t="shared" ca="1" si="17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input_432100!A$2</f>
        <v>432100</v>
      </c>
      <c r="B268" s="60">
        <v>776</v>
      </c>
      <c r="C268" s="7" t="str">
        <f t="shared" si="16"/>
        <v>Premium5</v>
      </c>
      <c r="D268" s="7" t="str">
        <f t="shared" si="18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IFERROR(VLOOKUP(B268,input_432100!L:R,7,FALSE),VLOOKUP(tables_432100!C268,input_432100!A:H,8,FALSE))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input_432100!A$2</f>
        <v>432100</v>
      </c>
      <c r="B269" s="60">
        <v>777</v>
      </c>
      <c r="C269" s="7" t="str">
        <f t="shared" si="16"/>
        <v>Premium3</v>
      </c>
      <c r="D269" s="7" t="str">
        <f t="shared" si="18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IFERROR(VLOOKUP(B269,input_432100!L:R,7,FALSE),VLOOKUP(tables_432100!C269,input_432100!A:H,8,FALSE))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input_432100!A$2</f>
        <v>432100</v>
      </c>
      <c r="B270" s="60">
        <v>778</v>
      </c>
      <c r="C270" s="7" t="str">
        <f t="shared" si="16"/>
        <v>Premium4</v>
      </c>
      <c r="D270" s="7" t="str">
        <f t="shared" si="18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IFERROR(VLOOKUP(B270,input_432100!L:R,7,FALSE),VLOOKUP(tables_432100!C270,input_432100!A:H,8,FALSE))</f>
        <v>0</v>
      </c>
      <c r="P270" s="46">
        <f t="shared" ca="1" si="17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input_432100!A$2</f>
        <v>432100</v>
      </c>
      <c r="B271" s="60">
        <v>779</v>
      </c>
      <c r="C271" s="7" t="str">
        <f t="shared" si="16"/>
        <v>Premium5</v>
      </c>
      <c r="D271" s="7" t="str">
        <f t="shared" si="18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IFERROR(VLOOKUP(B271,input_432100!L:R,7,FALSE),VLOOKUP(tables_432100!C271,input_432100!A:H,8,FALSE))</f>
        <v>0</v>
      </c>
      <c r="P271" s="46">
        <f t="shared" ca="1" si="17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input_432100!A$2</f>
        <v>432100</v>
      </c>
      <c r="B272" s="81">
        <v>848</v>
      </c>
      <c r="C272" s="7" t="str">
        <f t="shared" si="16"/>
        <v>PremiumSS5R5onlycolor</v>
      </c>
      <c r="D272" s="7" t="str">
        <f t="shared" si="18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 t="str">
        <f t="shared" si="19"/>
        <v>color</v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IFERROR(VLOOKUP(B272,input_432100!L:R,7,FALSE),VLOOKUP(tables_432100!C272,input_432100!A:H,8,FALSE))</f>
        <v>4600</v>
      </c>
      <c r="P272" s="46">
        <f t="shared" ca="1" si="17"/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input_432100!A$2</f>
        <v>432100</v>
      </c>
      <c r="B273" s="81">
        <v>850</v>
      </c>
      <c r="C273" s="7" t="str">
        <f t="shared" si="16"/>
        <v>PremiumSS5R5only</v>
      </c>
      <c r="D273" s="7" t="str">
        <f t="shared" si="18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v>0</v>
      </c>
      <c r="P273" s="46">
        <f t="shared" ca="1" si="17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input_432100!A$2</f>
        <v>432100</v>
      </c>
      <c r="B274" s="81">
        <v>852</v>
      </c>
      <c r="C274" s="7" t="str">
        <f t="shared" si="16"/>
        <v>Premium4R3less</v>
      </c>
      <c r="D274" s="7" t="str">
        <f t="shared" si="18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input_432100!A$2</f>
        <v>432100</v>
      </c>
      <c r="B275" s="81">
        <v>853</v>
      </c>
      <c r="C275" s="7" t="str">
        <f t="shared" si="16"/>
        <v>Premium5R3less</v>
      </c>
      <c r="D275" s="7" t="str">
        <f t="shared" si="18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input_432100!A$2</f>
        <v>432100</v>
      </c>
      <c r="B276" s="81">
        <v>854</v>
      </c>
      <c r="C276" s="7" t="str">
        <f t="shared" si="16"/>
        <v>Premium4R3less</v>
      </c>
      <c r="D276" s="7" t="str">
        <f t="shared" si="18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input_432100!A$2</f>
        <v>432100</v>
      </c>
      <c r="B277" s="81">
        <v>855</v>
      </c>
      <c r="C277" s="7" t="str">
        <f t="shared" si="16"/>
        <v>Premium5R3less</v>
      </c>
      <c r="D277" s="7" t="str">
        <f t="shared" si="18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input_432100!A$2</f>
        <v>432100</v>
      </c>
      <c r="B278" s="81">
        <v>862</v>
      </c>
      <c r="C278" s="7" t="str">
        <f t="shared" si="16"/>
        <v>Premium4R3lesscolor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IFERROR(VLOOKUP(B278,input_432100!L:R,7,FALSE),VLOOKUP(tables_432100!C278,input_432100!A:H,8,FALSE))</f>
        <v>216600</v>
      </c>
      <c r="P278" s="46">
        <f t="shared" ca="1" si="17"/>
        <v>3.923913043478261E-2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input_432100!A$2</f>
        <v>432100</v>
      </c>
      <c r="B279" s="81">
        <v>863</v>
      </c>
      <c r="C279" s="7" t="str">
        <f t="shared" si="16"/>
        <v>Premium5R3lesscolor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IFERROR(VLOOKUP(B279,input_432100!L:R,7,FALSE),VLOOKUP(tables_432100!C279,input_432100!A:H,8,FALSE))</f>
        <v>11400</v>
      </c>
      <c r="P279" s="46">
        <f t="shared" ca="1" si="17"/>
        <v>2.0652173913043477E-3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input_432100!A$2</f>
        <v>432100</v>
      </c>
      <c r="B280" s="81">
        <v>864</v>
      </c>
      <c r="C280" s="7" t="str">
        <f t="shared" si="16"/>
        <v>Premium4R3less</v>
      </c>
      <c r="D280" s="7" t="str">
        <f t="shared" si="18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v>0</v>
      </c>
      <c r="P280" s="46">
        <f t="shared" ca="1" si="17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input_432100!A$2</f>
        <v>432100</v>
      </c>
      <c r="B281" s="81">
        <v>865</v>
      </c>
      <c r="C281" s="7" t="str">
        <f t="shared" si="16"/>
        <v>Premium5R3less</v>
      </c>
      <c r="D281" s="7" t="str">
        <f t="shared" si="18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input_432100!A$2</f>
        <v>432100</v>
      </c>
      <c r="B282" s="81">
        <v>866</v>
      </c>
      <c r="C282" s="7" t="str">
        <f t="shared" si="16"/>
        <v>PremiumSS5R5only</v>
      </c>
      <c r="D282" s="7" t="str">
        <f t="shared" si="18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v>0</v>
      </c>
      <c r="P282" s="46">
        <f t="shared" ca="1" si="17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input_432100!A$2</f>
        <v>432100</v>
      </c>
      <c r="B283" s="81">
        <v>868</v>
      </c>
      <c r="C283" s="7" t="str">
        <f t="shared" si="16"/>
        <v>PremiumSS5R5only</v>
      </c>
      <c r="D283" s="7" t="str">
        <f t="shared" si="18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v>0</v>
      </c>
      <c r="P283" s="46">
        <f t="shared" ca="1" si="17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input_432100!A$2</f>
        <v>432100</v>
      </c>
      <c r="B284" s="91">
        <v>742</v>
      </c>
      <c r="C284" s="7" t="str">
        <f t="shared" ref="C284" si="20">D284&amp;J284&amp;E284&amp;F284&amp;G284</f>
        <v>PremiumSS5R5onlycolor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>color</v>
      </c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IFERROR(VLOOKUP(B284,input_432100!L:R,7,FALSE),VLOOKUP(tables_432100!C284,input_432100!A:H,8,FALSE))</f>
        <v>4600</v>
      </c>
      <c r="P284" s="46">
        <f t="shared" ca="1" si="17"/>
        <v>8.3333333333333339E-4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input_432100!A$2</f>
        <v>432100</v>
      </c>
      <c r="B285" s="91">
        <v>744</v>
      </c>
      <c r="C285" s="7" t="str">
        <f t="shared" ref="C285:C286" si="21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input_432100!A$2</f>
        <v>432100</v>
      </c>
      <c r="B286" s="91">
        <v>746</v>
      </c>
      <c r="C286" s="7" t="str">
        <f t="shared" si="21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v>0</v>
      </c>
      <c r="P286" s="46">
        <f t="shared" ca="1" si="17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input_432100!A$2</f>
        <v>432100</v>
      </c>
      <c r="B287" s="91">
        <v>747</v>
      </c>
      <c r="C287" s="7" t="str">
        <f t="shared" ref="C287:C289" si="22">D287&amp;J287&amp;E287&amp;F287&amp;G287</f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v>0</v>
      </c>
      <c r="P287" s="46">
        <f t="shared" ca="1" si="17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input_432100!A$2</f>
        <v>432100</v>
      </c>
      <c r="B288" s="91">
        <v>748</v>
      </c>
      <c r="C288" s="7" t="str">
        <f t="shared" si="22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v>0</v>
      </c>
      <c r="P288" s="46">
        <f t="shared" ca="1" si="17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input_432100!A$2</f>
        <v>432100</v>
      </c>
      <c r="B289" s="91">
        <v>749</v>
      </c>
      <c r="C289" s="7" t="str">
        <f t="shared" si="22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v>0</v>
      </c>
      <c r="P289" s="46">
        <f t="shared" ca="1" si="17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input_432100!A$2</f>
        <v>432100</v>
      </c>
      <c r="B290" s="5">
        <v>937</v>
      </c>
      <c r="C290" s="7" t="str">
        <f t="shared" ref="C290:C294" si="23">D290&amp;J290&amp;E290&amp;F290&amp;G290</f>
        <v>PremiumSS5R5onlycolor</v>
      </c>
      <c r="D290" s="7" t="str">
        <f t="shared" si="18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 t="str">
        <f t="shared" si="19"/>
        <v>color</v>
      </c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IFERROR(VLOOKUP(B290,input_432100!L:R,7,FALSE),VLOOKUP(tables_432100!C290,input_432100!A:H,8,FALSE))</f>
        <v>4600</v>
      </c>
      <c r="P290" s="46">
        <f t="shared" ca="1" si="17"/>
        <v>8.3333333333333339E-4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input_432100!A$2</f>
        <v>432100</v>
      </c>
      <c r="B291" s="5">
        <v>939</v>
      </c>
      <c r="C291" s="7" t="str">
        <f t="shared" si="23"/>
        <v>Premium4R3less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input_432100!A$2</f>
        <v>432100</v>
      </c>
      <c r="B292" s="5">
        <v>940</v>
      </c>
      <c r="C292" s="7" t="str">
        <f t="shared" si="23"/>
        <v>Premium5R3less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input_432100!A$2</f>
        <v>432100</v>
      </c>
      <c r="B293" s="5">
        <v>941</v>
      </c>
      <c r="C293" s="7" t="str">
        <f t="shared" si="23"/>
        <v>PremiumSS5R5only</v>
      </c>
      <c r="D293" s="7" t="str">
        <f t="shared" si="18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input_432100!A$2</f>
        <v>432100</v>
      </c>
      <c r="B294" s="5">
        <v>943</v>
      </c>
      <c r="C294" s="7" t="str">
        <f t="shared" si="23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v>0</v>
      </c>
      <c r="P294" s="46">
        <f t="shared" ca="1" si="17"/>
        <v>0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input_432100!A$2</f>
        <v>432100</v>
      </c>
      <c r="B295" s="5">
        <v>1012</v>
      </c>
      <c r="C295" s="7" t="str">
        <f t="shared" ref="C295:C299" si="24">D295&amp;J295&amp;E295&amp;F295&amp;G295</f>
        <v>PremiumSS5R5onlycolor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>color</v>
      </c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IFERROR(VLOOKUP(B295,input_432100!L:R,7,FALSE),VLOOKUP(tables_432100!C295,input_432100!A:H,8,FALSE))</f>
        <v>4600</v>
      </c>
      <c r="P295" s="46">
        <f t="shared" ref="P295:P299" ca="1" si="25">O295/SUM(O:O)</f>
        <v>8.3333333333333339E-4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input_432100!A$2</f>
        <v>432100</v>
      </c>
      <c r="B296" s="5">
        <v>1014</v>
      </c>
      <c r="C296" s="7" t="str">
        <f t="shared" si="24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v>0</v>
      </c>
      <c r="P296" s="46">
        <f t="shared" ca="1" si="25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input_432100!A$2</f>
        <v>432100</v>
      </c>
      <c r="B297" s="5">
        <v>1016</v>
      </c>
      <c r="C297" s="7" t="str">
        <f t="shared" si="24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v>0</v>
      </c>
      <c r="P297" s="46">
        <f t="shared" ca="1" si="25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input_432100!A$2</f>
        <v>432100</v>
      </c>
      <c r="B298" s="5">
        <v>1017</v>
      </c>
      <c r="C298" s="7" t="str">
        <f t="shared" si="24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v>0</v>
      </c>
      <c r="P298" s="46">
        <f t="shared" ca="1" si="25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input_432100!A$2</f>
        <v>432100</v>
      </c>
      <c r="B299" s="5">
        <v>1018</v>
      </c>
      <c r="C299" s="7" t="str">
        <f t="shared" si="24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v>0</v>
      </c>
      <c r="P299" s="46">
        <f t="shared" ca="1" si="25"/>
        <v>0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input_432100!A$2</f>
        <v>432100</v>
      </c>
      <c r="B300" s="5">
        <v>1026</v>
      </c>
      <c r="C300" s="7" t="str">
        <f t="shared" ref="C300:C304" si="26">D300&amp;J300&amp;E300&amp;F300&amp;G300</f>
        <v>Premium4R3lesscolor</v>
      </c>
      <c r="D300" s="7" t="str">
        <f t="shared" si="18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IFERROR(VLOOKUP(B300,input_432100!L:R,7,FALSE),VLOOKUP(tables_432100!C300,input_432100!A:H,8,FALSE))</f>
        <v>216600</v>
      </c>
      <c r="P300" s="46">
        <f t="shared" ref="P300:P304" ca="1" si="27">O300/SUM(O:O)</f>
        <v>3.923913043478261E-2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input_432100!A$2</f>
        <v>432100</v>
      </c>
      <c r="B301" s="5">
        <v>1027</v>
      </c>
      <c r="C301" s="7" t="str">
        <f t="shared" si="26"/>
        <v>Premium5R3lesscolor</v>
      </c>
      <c r="D301" s="7" t="str">
        <f t="shared" si="18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 t="str">
        <f t="shared" si="19"/>
        <v>color</v>
      </c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IFERROR(VLOOKUP(B301,input_432100!L:R,7,FALSE),VLOOKUP(tables_432100!C301,input_432100!A:H,8,FALSE))</f>
        <v>11400</v>
      </c>
      <c r="P301" s="46">
        <f t="shared" ca="1" si="27"/>
        <v>2.0652173913043477E-3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input_432100!A$2</f>
        <v>432100</v>
      </c>
      <c r="B302" s="5">
        <v>1028</v>
      </c>
      <c r="C302" s="7" t="str">
        <f t="shared" si="2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v>0</v>
      </c>
      <c r="P302" s="46">
        <f t="shared" ca="1" si="27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input_432100!A$2</f>
        <v>432100</v>
      </c>
      <c r="B303" s="5">
        <v>1031</v>
      </c>
      <c r="C303" s="7" t="str">
        <f t="shared" si="26"/>
        <v>PremiumSS5R5only</v>
      </c>
      <c r="D303" s="7" t="str">
        <f t="shared" si="18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v>0</v>
      </c>
      <c r="P303" s="46">
        <f t="shared" ca="1" si="27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input_432100!A$2</f>
        <v>432100</v>
      </c>
      <c r="B304" s="5">
        <v>1033</v>
      </c>
      <c r="C304" s="7" t="str">
        <f t="shared" si="26"/>
        <v>PremiumSS5R5only</v>
      </c>
      <c r="D304" s="7" t="str">
        <f t="shared" si="18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v>0</v>
      </c>
      <c r="P304" s="46">
        <f t="shared" ca="1" si="27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input_432100!A$2</f>
        <v>432100</v>
      </c>
      <c r="B305" s="5">
        <v>1067</v>
      </c>
      <c r="C305" s="7" t="str">
        <f t="shared" ref="C305:C308" si="28">D305&amp;J305&amp;E305&amp;F305&amp;G305</f>
        <v>Premium4R3lesscolor</v>
      </c>
      <c r="D305" s="7" t="str">
        <f t="shared" si="18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IFERROR(VLOOKUP(B305,input_432100!L:R,7,FALSE),VLOOKUP(tables_432100!C305,input_432100!A:H,8,FALSE))</f>
        <v>216600</v>
      </c>
      <c r="P305" s="46">
        <f t="shared" ref="P305:P308" ca="1" si="29">O305/SUM(O:O)</f>
        <v>3.923913043478261E-2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input_432100!A$2</f>
        <v>432100</v>
      </c>
      <c r="B306" s="5">
        <v>1068</v>
      </c>
      <c r="C306" s="7" t="str">
        <f t="shared" si="28"/>
        <v>Premium5R3lesscolor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>color</v>
      </c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IFERROR(VLOOKUP(B306,input_432100!L:R,7,FALSE),VLOOKUP(tables_432100!C306,input_432100!A:H,8,FALSE))</f>
        <v>11400</v>
      </c>
      <c r="P306" s="46">
        <f t="shared" ca="1" si="29"/>
        <v>2.0652173913043477E-3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input_432100!A$2</f>
        <v>432100</v>
      </c>
      <c r="B307" s="5">
        <v>1069</v>
      </c>
      <c r="C307" s="7" t="str">
        <f t="shared" si="28"/>
        <v>PremiumSS5R5only</v>
      </c>
      <c r="D307" s="7" t="str">
        <f t="shared" si="18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v>0</v>
      </c>
      <c r="P307" s="46">
        <f t="shared" ca="1" si="29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input_432100!A$2</f>
        <v>432100</v>
      </c>
      <c r="B308" s="5">
        <v>1072</v>
      </c>
      <c r="C308" s="7" t="str">
        <f t="shared" si="28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v>0</v>
      </c>
      <c r="P308" s="46">
        <f t="shared" ca="1" si="29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input_432100!A$2</f>
        <v>432100</v>
      </c>
      <c r="B309" s="5">
        <v>1074</v>
      </c>
      <c r="C309" s="7" t="str">
        <f t="shared" ref="C309" si="30">D309&amp;J309&amp;E309&amp;F309&amp;G309</f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v>0</v>
      </c>
      <c r="P309" s="46">
        <f t="shared" ref="P309" ca="1" si="31">O309/SUM(O:O)</f>
        <v>0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input_432100!A$2</f>
        <v>432100</v>
      </c>
      <c r="B310" s="5">
        <v>1104</v>
      </c>
      <c r="C310" s="7" t="str">
        <f t="shared" ref="C310:C314" si="32">D310&amp;J310&amp;E310&amp;F310&amp;G310</f>
        <v>Premium4R3less</v>
      </c>
      <c r="D310" s="7" t="str">
        <f t="shared" ref="D310:D314" si="33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v>0</v>
      </c>
      <c r="P310" s="46">
        <f t="shared" ref="P310:P314" ca="1" si="34">O310/SUM(O:O)</f>
        <v>0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input_432100!A$2</f>
        <v>432100</v>
      </c>
      <c r="B311" s="5">
        <v>1105</v>
      </c>
      <c r="C311" s="7" t="str">
        <f t="shared" si="32"/>
        <v>Premium5R3less</v>
      </c>
      <c r="D311" s="7" t="str">
        <f t="shared" si="33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v>0</v>
      </c>
      <c r="P311" s="46">
        <f t="shared" ca="1" si="34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input_432100!A$2</f>
        <v>432100</v>
      </c>
      <c r="B312" s="5">
        <v>1106</v>
      </c>
      <c r="C312" s="7" t="str">
        <f t="shared" si="32"/>
        <v>PremiumSS5R5only</v>
      </c>
      <c r="D312" s="7" t="str">
        <f t="shared" si="33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v>0</v>
      </c>
      <c r="P312" s="46">
        <f t="shared" ca="1" si="34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input_432100!A$2</f>
        <v>432100</v>
      </c>
      <c r="B313" s="5">
        <v>1102</v>
      </c>
      <c r="C313" s="7" t="str">
        <f t="shared" si="32"/>
        <v>PremiumSS5R5only</v>
      </c>
      <c r="D313" s="7" t="str">
        <f t="shared" si="33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v>0</v>
      </c>
      <c r="P313" s="46">
        <f t="shared" ca="1" si="34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input_432100!A$2</f>
        <v>432100</v>
      </c>
      <c r="B314" s="5">
        <v>1100</v>
      </c>
      <c r="C314" s="7" t="str">
        <f t="shared" si="32"/>
        <v>PremiumSS5R5onlycolor</v>
      </c>
      <c r="D314" s="7" t="str">
        <f t="shared" si="33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>IFERROR(VLOOKUP(B314,input_432100!L:R,7,FALSE),VLOOKUP(tables_432100!C314,input_432100!A:H,8,FALSE))</f>
        <v>110400</v>
      </c>
      <c r="P314" s="46">
        <f t="shared" ca="1" si="34"/>
        <v>0.02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input_432100!A$2</f>
        <v>432100</v>
      </c>
      <c r="B315" s="5">
        <v>1137</v>
      </c>
      <c r="C315" s="7" t="str">
        <f t="shared" ref="C315:C319" si="35">D315&amp;J315&amp;E315&amp;F315&amp;G315</f>
        <v>PremiumSS5R5onlycolor</v>
      </c>
      <c r="D315" s="7" t="str">
        <f t="shared" ref="D315:D319" si="36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>color</v>
      </c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IFERROR(VLOOKUP(B315,input_432100!L:R,7,FALSE),VLOOKUP(tables_432100!C315,input_432100!A:H,8,FALSE))</f>
        <v>4600</v>
      </c>
      <c r="P315" s="46">
        <f t="shared" ref="P315:P319" ca="1" si="37">O315/SUM(O:O)</f>
        <v>8.3333333333333339E-4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input_432100!A$2</f>
        <v>432100</v>
      </c>
      <c r="B316" s="5">
        <v>1139</v>
      </c>
      <c r="C316" s="7" t="str">
        <f t="shared" si="35"/>
        <v>PremiumSS5R5only</v>
      </c>
      <c r="D316" s="7" t="str">
        <f t="shared" si="36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v>0</v>
      </c>
      <c r="P316" s="46">
        <f t="shared" ca="1" si="37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input_432100!A$2</f>
        <v>432100</v>
      </c>
      <c r="B317" s="5">
        <v>1141</v>
      </c>
      <c r="C317" s="7" t="str">
        <f t="shared" si="35"/>
        <v>PremiumSS5R5only</v>
      </c>
      <c r="D317" s="7" t="str">
        <f t="shared" si="36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v>0</v>
      </c>
      <c r="P317" s="46">
        <f t="shared" ca="1" si="37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input_432100!A$2</f>
        <v>432100</v>
      </c>
      <c r="B318" s="5">
        <v>1143</v>
      </c>
      <c r="C318" s="7" t="str">
        <f t="shared" si="35"/>
        <v>Premium4R3less</v>
      </c>
      <c r="D318" s="7" t="str">
        <f t="shared" si="36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v>0</v>
      </c>
      <c r="P318" s="46">
        <f t="shared" ca="1" si="37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input_432100!A$2</f>
        <v>432100</v>
      </c>
      <c r="B319" s="5">
        <v>1144</v>
      </c>
      <c r="C319" s="7" t="str">
        <f t="shared" si="35"/>
        <v>Premium5R3less</v>
      </c>
      <c r="D319" s="7" t="str">
        <f t="shared" si="36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v>0</v>
      </c>
      <c r="P319" s="46">
        <f t="shared" ca="1" si="37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input_432100!A$2</f>
        <v>432100</v>
      </c>
      <c r="B320" s="5">
        <v>1153</v>
      </c>
      <c r="C320" s="7" t="str">
        <f t="shared" ref="C320:C324" si="38">D320&amp;J320&amp;E320&amp;F320&amp;G320</f>
        <v>PremiumSS5R5only</v>
      </c>
      <c r="D320" s="7" t="str">
        <f t="shared" ref="D320:D324" si="39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ラクシュミー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v>0</v>
      </c>
      <c r="P320" s="46">
        <f t="shared" ref="P320:P324" ca="1" si="40">O320/SUM(O:O)</f>
        <v>0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input_432100!A$2</f>
        <v>432100</v>
      </c>
      <c r="B321" s="5">
        <v>1155</v>
      </c>
      <c r="C321" s="7" t="str">
        <f t="shared" si="38"/>
        <v>PremiumSS5R5only</v>
      </c>
      <c r="D321" s="7" t="str">
        <f t="shared" si="3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v>0</v>
      </c>
      <c r="P321" s="46">
        <f t="shared" ca="1" si="40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input_432100!A$2</f>
        <v>432100</v>
      </c>
      <c r="B322" s="5">
        <v>1157</v>
      </c>
      <c r="C322" s="7" t="str">
        <f t="shared" si="38"/>
        <v>PremiumSS5R5only</v>
      </c>
      <c r="D322" s="7" t="str">
        <f t="shared" si="3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v>0</v>
      </c>
      <c r="P322" s="46">
        <f t="shared" ca="1" si="40"/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input_432100!A$2</f>
        <v>432100</v>
      </c>
      <c r="B323" s="5">
        <v>1151</v>
      </c>
      <c r="C323" s="7" t="str">
        <f t="shared" si="38"/>
        <v>Premium4R3lesscolor</v>
      </c>
      <c r="D323" s="7" t="str">
        <f t="shared" si="39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 t="str">
        <f t="shared" ref="G323:G324" si="41">IF(K323="red","color","")</f>
        <v>color</v>
      </c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IFERROR(VLOOKUP(B323,input_432100!L:R,7,FALSE),VLOOKUP(tables_432100!C323,input_432100!A:H,8,FALSE))</f>
        <v>216600</v>
      </c>
      <c r="P323" s="46">
        <f t="shared" ca="1" si="40"/>
        <v>3.923913043478261E-2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input_432100!A$2</f>
        <v>432100</v>
      </c>
      <c r="B324" s="5">
        <v>1152</v>
      </c>
      <c r="C324" s="7" t="str">
        <f t="shared" si="38"/>
        <v>Premium5R3lesscolor</v>
      </c>
      <c r="D324" s="7" t="str">
        <f t="shared" si="3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41"/>
        <v>color</v>
      </c>
      <c r="H324" s="7" t="str">
        <f>VLOOKUP(B324,[1]characters!$A:$C,3,FALSE)</f>
        <v>衆知の富益神 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IFERROR(VLOOKUP(B324,input_432100!L:R,7,FALSE),VLOOKUP(tables_432100!C324,input_432100!A:H,8,FALSE))</f>
        <v>11400</v>
      </c>
      <c r="P324" s="46">
        <f t="shared" ca="1" si="40"/>
        <v>2.0652173913043477E-3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R45" sqref="R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432105</v>
      </c>
      <c r="B2" s="60">
        <v>1100</v>
      </c>
      <c r="C2" s="7" t="str">
        <f t="shared" ref="C2:C4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北斎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v>20</v>
      </c>
      <c r="P2" s="46">
        <f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432105</v>
      </c>
      <c r="B3" s="60">
        <v>474</v>
      </c>
      <c r="C3" s="7" t="str">
        <f t="shared" si="0"/>
        <v>PremiumSS4</v>
      </c>
      <c r="D3" s="7" t="str">
        <f t="shared" ref="D3:D4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キング・ドライグ</v>
      </c>
      <c r="I3" s="7" t="str">
        <f>VLOOKUP(B3,[1]characters!$A:$J,10,FALSE)</f>
        <v>PremiumSS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dragon</v>
      </c>
      <c r="N3" s="7" t="str">
        <f>VLOOKUP(B3,[1]characters!$A:$G,7,FALSE)</f>
        <v>不明</v>
      </c>
      <c r="O3" s="45">
        <v>18</v>
      </c>
      <c r="P3" s="46">
        <f>O3/SUM(O:O)</f>
        <v>0.45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432105</v>
      </c>
      <c r="B4" s="94">
        <v>475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緋王 キング・ドライグ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dragon</v>
      </c>
      <c r="N4" s="7" t="str">
        <f>VLOOKUP(B4,[1]characters!$A:$G,7,FALSE)</f>
        <v>不明</v>
      </c>
      <c r="O4" s="45">
        <v>2</v>
      </c>
      <c r="P4" s="46">
        <f>O4/SUM(O:O)</f>
        <v>0.05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input_432010</vt:lpstr>
      <vt:lpstr>tables_432010</vt:lpstr>
      <vt:lpstr>input_432100</vt:lpstr>
      <vt:lpstr>tables_432100</vt:lpstr>
      <vt:lpstr>tables_settle_432105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2016-10-17T02:46:50Z</dcterms:modified>
</cp:coreProperties>
</file>