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3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horimotokeita/BULL_data/master_excel/"/>
    </mc:Choice>
  </mc:AlternateContent>
  <bookViews>
    <workbookView xWindow="0" yWindow="460" windowWidth="28800" windowHeight="15800" tabRatio="943" activeTab="2"/>
  </bookViews>
  <sheets>
    <sheet name="確率の考え方" sheetId="110" r:id="rId1"/>
    <sheet name="Sheet1" sheetId="107" r:id="rId2"/>
    <sheet name="output" sheetId="103" r:id="rId3"/>
    <sheet name="input_405010" sheetId="157" r:id="rId4"/>
    <sheet name="input_405011" sheetId="160" r:id="rId5"/>
    <sheet name="tables_405010" sheetId="158" r:id="rId6"/>
    <sheet name="tables_405011" sheetId="161" r:id="rId7"/>
    <sheet name="input_405100" sheetId="153" r:id="rId8"/>
    <sheet name="tables_405100" sheetId="154" r:id="rId9"/>
    <sheet name="tables_settle_405100" sheetId="159" r:id="rId10"/>
    <sheet name="gacha_bonus_tables" sheetId="98" r:id="rId11"/>
    <sheet name="R6追加前" sheetId="111" r:id="rId12"/>
    <sheet name="R6開放" sheetId="112" r:id="rId13"/>
  </sheets>
  <externalReferences>
    <externalReference r:id="rId14"/>
  </externalReferences>
  <definedNames>
    <definedName name="_xlnm._FilterDatabase" localSheetId="10" hidden="1">gacha_bonus_tables!$A$1:$F$1</definedName>
    <definedName name="_xlnm._FilterDatabase" localSheetId="5" hidden="1">tables_405010!$A$1:$V$294</definedName>
    <definedName name="_xlnm._FilterDatabase" localSheetId="6" hidden="1">tables_405011!$A$1:$V$294</definedName>
    <definedName name="_xlnm._FilterDatabase" localSheetId="8" hidden="1">tables_405100!$A$1:$V$294</definedName>
    <definedName name="_xlnm._FilterDatabase" localSheetId="9" hidden="1">tables_settle_405100!$A$1:$V$1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10" i="154" l="1"/>
  <c r="D310" i="154"/>
  <c r="J310" i="154"/>
  <c r="E310" i="154"/>
  <c r="F310" i="154"/>
  <c r="C310" i="154"/>
  <c r="H310" i="154"/>
  <c r="K310" i="154"/>
  <c r="L310" i="154"/>
  <c r="M310" i="154"/>
  <c r="N310" i="154"/>
  <c r="A2" i="153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F5" i="153"/>
  <c r="F6" i="153"/>
  <c r="A36" i="153"/>
  <c r="E6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2" i="153"/>
  <c r="E23" i="153"/>
  <c r="B23" i="153"/>
  <c r="B22" i="153"/>
  <c r="G22" i="153"/>
  <c r="H22" i="153"/>
  <c r="O310" i="154"/>
  <c r="E19" i="153"/>
  <c r="B19" i="153"/>
  <c r="E24" i="153"/>
  <c r="B24" i="153"/>
  <c r="B17" i="153"/>
  <c r="G17" i="153"/>
  <c r="E17" i="153"/>
  <c r="H17" i="153"/>
  <c r="O2" i="154"/>
  <c r="E18" i="153"/>
  <c r="B18" i="153"/>
  <c r="G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E25" i="153"/>
  <c r="B25" i="153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E20" i="153"/>
  <c r="B20" i="153"/>
  <c r="G20" i="153"/>
  <c r="H20" i="153"/>
  <c r="O52" i="154"/>
  <c r="E5" i="153"/>
  <c r="E28" i="153"/>
  <c r="B28" i="153"/>
  <c r="E29" i="153"/>
  <c r="B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E27" i="153"/>
  <c r="B27" i="153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G23" i="153"/>
  <c r="H23" i="153"/>
  <c r="O257" i="154"/>
  <c r="O258" i="154"/>
  <c r="O259" i="154"/>
  <c r="G29" i="153"/>
  <c r="H29" i="153"/>
  <c r="O260" i="154"/>
  <c r="O261" i="154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1" i="154"/>
  <c r="O312" i="154"/>
  <c r="O313" i="154"/>
  <c r="O314" i="154"/>
  <c r="P310" i="154"/>
  <c r="H311" i="154"/>
  <c r="K311" i="154"/>
  <c r="L311" i="154"/>
  <c r="M311" i="154"/>
  <c r="N311" i="154"/>
  <c r="P311" i="154"/>
  <c r="H312" i="154"/>
  <c r="K312" i="154"/>
  <c r="L312" i="154"/>
  <c r="M312" i="154"/>
  <c r="N312" i="154"/>
  <c r="P312" i="154"/>
  <c r="H313" i="154"/>
  <c r="K313" i="154"/>
  <c r="L313" i="154"/>
  <c r="M313" i="154"/>
  <c r="N313" i="154"/>
  <c r="P313" i="154"/>
  <c r="H314" i="154"/>
  <c r="K314" i="154"/>
  <c r="L314" i="154"/>
  <c r="M314" i="154"/>
  <c r="N314" i="154"/>
  <c r="P314" i="154"/>
  <c r="A310" i="154"/>
  <c r="A311" i="154"/>
  <c r="A312" i="154"/>
  <c r="A313" i="154"/>
  <c r="A314" i="154"/>
  <c r="I310" i="161"/>
  <c r="D310" i="161"/>
  <c r="J310" i="161"/>
  <c r="E310" i="161"/>
  <c r="F310" i="161"/>
  <c r="C310" i="161"/>
  <c r="H310" i="161"/>
  <c r="K310" i="161"/>
  <c r="L310" i="161"/>
  <c r="M310" i="161"/>
  <c r="N310" i="161"/>
  <c r="A2" i="160"/>
  <c r="I311" i="161"/>
  <c r="D311" i="161"/>
  <c r="J311" i="161"/>
  <c r="E311" i="161"/>
  <c r="F311" i="161"/>
  <c r="C311" i="161"/>
  <c r="I312" i="161"/>
  <c r="D312" i="161"/>
  <c r="J312" i="161"/>
  <c r="E312" i="161"/>
  <c r="F312" i="161"/>
  <c r="C312" i="161"/>
  <c r="I313" i="161"/>
  <c r="D313" i="161"/>
  <c r="J313" i="161"/>
  <c r="E313" i="161"/>
  <c r="F313" i="161"/>
  <c r="C313" i="161"/>
  <c r="I314" i="161"/>
  <c r="D314" i="161"/>
  <c r="J314" i="161"/>
  <c r="E314" i="161"/>
  <c r="F314" i="161"/>
  <c r="C314" i="161"/>
  <c r="F5" i="160"/>
  <c r="F6" i="160"/>
  <c r="A36" i="160"/>
  <c r="E6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2" i="160"/>
  <c r="E23" i="160"/>
  <c r="B23" i="160"/>
  <c r="B22" i="160"/>
  <c r="G22" i="160"/>
  <c r="H22" i="160"/>
  <c r="O310" i="161"/>
  <c r="E19" i="160"/>
  <c r="B19" i="160"/>
  <c r="E24" i="160"/>
  <c r="B24" i="160"/>
  <c r="B17" i="160"/>
  <c r="G17" i="160"/>
  <c r="E17" i="160"/>
  <c r="H17" i="160"/>
  <c r="O2" i="161"/>
  <c r="E18" i="160"/>
  <c r="B18" i="160"/>
  <c r="G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E25" i="160"/>
  <c r="B25" i="160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E20" i="160"/>
  <c r="B20" i="160"/>
  <c r="G20" i="160"/>
  <c r="H20" i="160"/>
  <c r="O52" i="161"/>
  <c r="E21" i="160"/>
  <c r="B21" i="160"/>
  <c r="G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E5" i="160"/>
  <c r="E27" i="160"/>
  <c r="B27" i="160"/>
  <c r="G27" i="160"/>
  <c r="H27" i="160"/>
  <c r="O138" i="161"/>
  <c r="E28" i="160"/>
  <c r="B28" i="160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G23" i="160"/>
  <c r="H23" i="160"/>
  <c r="O257" i="161"/>
  <c r="O258" i="161"/>
  <c r="O259" i="161"/>
  <c r="E29" i="160"/>
  <c r="B29" i="160"/>
  <c r="G29" i="160"/>
  <c r="H29" i="160"/>
  <c r="O260" i="161"/>
  <c r="O261" i="161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1" i="161"/>
  <c r="O312" i="161"/>
  <c r="O313" i="161"/>
  <c r="O314" i="161"/>
  <c r="P310" i="161"/>
  <c r="H311" i="161"/>
  <c r="K311" i="161"/>
  <c r="L311" i="161"/>
  <c r="M311" i="161"/>
  <c r="N311" i="161"/>
  <c r="P311" i="161"/>
  <c r="H312" i="161"/>
  <c r="K312" i="161"/>
  <c r="L312" i="161"/>
  <c r="M312" i="161"/>
  <c r="N312" i="161"/>
  <c r="P312" i="161"/>
  <c r="H313" i="161"/>
  <c r="K313" i="161"/>
  <c r="L313" i="161"/>
  <c r="M313" i="161"/>
  <c r="N313" i="161"/>
  <c r="P313" i="161"/>
  <c r="H314" i="161"/>
  <c r="K314" i="161"/>
  <c r="L314" i="161"/>
  <c r="M314" i="161"/>
  <c r="N314" i="161"/>
  <c r="P314" i="161"/>
  <c r="A310" i="161"/>
  <c r="A311" i="161"/>
  <c r="A312" i="161"/>
  <c r="A313" i="161"/>
  <c r="A314" i="161"/>
  <c r="B20" i="157"/>
  <c r="A2" i="157"/>
  <c r="O3" i="158"/>
  <c r="O5" i="158"/>
  <c r="O7" i="158"/>
  <c r="O9" i="158"/>
  <c r="O2" i="158"/>
  <c r="O4" i="158"/>
  <c r="O6" i="158"/>
  <c r="O8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O42" i="158"/>
  <c r="O43" i="158"/>
  <c r="O44" i="158"/>
  <c r="O45" i="158"/>
  <c r="O46" i="158"/>
  <c r="O47" i="158"/>
  <c r="O48" i="158"/>
  <c r="O49" i="158"/>
  <c r="O50" i="158"/>
  <c r="O51" i="158"/>
  <c r="G20" i="157"/>
  <c r="H20" i="157"/>
  <c r="O52" i="158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O138" i="158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F41" i="157"/>
  <c r="G41" i="157"/>
  <c r="I310" i="158"/>
  <c r="D310" i="158"/>
  <c r="J310" i="158"/>
  <c r="E310" i="158"/>
  <c r="F310" i="158"/>
  <c r="C310" i="158"/>
  <c r="H310" i="158"/>
  <c r="K310" i="158"/>
  <c r="L310" i="158"/>
  <c r="M310" i="158"/>
  <c r="N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F5" i="157"/>
  <c r="F6" i="157"/>
  <c r="A36" i="157"/>
  <c r="E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2" i="157"/>
  <c r="E23" i="157"/>
  <c r="B23" i="157"/>
  <c r="B22" i="157"/>
  <c r="G22" i="157"/>
  <c r="H22" i="157"/>
  <c r="E19" i="157"/>
  <c r="B19" i="157"/>
  <c r="E24" i="157"/>
  <c r="B24" i="157"/>
  <c r="B17" i="157"/>
  <c r="G17" i="157"/>
  <c r="E17" i="157"/>
  <c r="H17" i="157"/>
  <c r="E18" i="157"/>
  <c r="B18" i="157"/>
  <c r="G18" i="157"/>
  <c r="H18" i="157"/>
  <c r="G24" i="157"/>
  <c r="H24" i="157"/>
  <c r="E25" i="157"/>
  <c r="B25" i="157"/>
  <c r="G25" i="157"/>
  <c r="H25" i="157"/>
  <c r="E26" i="157"/>
  <c r="B26" i="157"/>
  <c r="G26" i="157"/>
  <c r="H26" i="157"/>
  <c r="G19" i="157"/>
  <c r="H19" i="157"/>
  <c r="E20" i="157"/>
  <c r="E5" i="157"/>
  <c r="E28" i="157"/>
  <c r="B28" i="157"/>
  <c r="E29" i="157"/>
  <c r="B29" i="157"/>
  <c r="B21" i="157"/>
  <c r="G21" i="157"/>
  <c r="E21" i="157"/>
  <c r="H21" i="157"/>
  <c r="E27" i="157"/>
  <c r="B27" i="157"/>
  <c r="G27" i="157"/>
  <c r="H27" i="157"/>
  <c r="G28" i="157"/>
  <c r="H28" i="157"/>
  <c r="G23" i="157"/>
  <c r="H23" i="157"/>
  <c r="G29" i="157"/>
  <c r="H29" i="157"/>
  <c r="P310" i="158"/>
  <c r="H311" i="158"/>
  <c r="K311" i="158"/>
  <c r="L311" i="158"/>
  <c r="M311" i="158"/>
  <c r="N311" i="158"/>
  <c r="P311" i="158"/>
  <c r="H312" i="158"/>
  <c r="K312" i="158"/>
  <c r="L312" i="158"/>
  <c r="M312" i="158"/>
  <c r="N312" i="158"/>
  <c r="P312" i="158"/>
  <c r="H313" i="158"/>
  <c r="K313" i="158"/>
  <c r="L313" i="158"/>
  <c r="M313" i="158"/>
  <c r="N313" i="158"/>
  <c r="P313" i="158"/>
  <c r="H314" i="158"/>
  <c r="K314" i="158"/>
  <c r="L314" i="158"/>
  <c r="M314" i="158"/>
  <c r="N314" i="158"/>
  <c r="P314" i="158"/>
  <c r="A310" i="158"/>
  <c r="A311" i="158"/>
  <c r="A312" i="158"/>
  <c r="A313" i="158"/>
  <c r="A314" i="158"/>
  <c r="I2" i="154"/>
  <c r="D2" i="154"/>
  <c r="J2" i="154"/>
  <c r="E2" i="154"/>
  <c r="C2" i="154"/>
  <c r="I3" i="154"/>
  <c r="D3" i="154"/>
  <c r="J3" i="154"/>
  <c r="E3" i="154"/>
  <c r="C3" i="154"/>
  <c r="I4" i="154"/>
  <c r="D4" i="154"/>
  <c r="J4" i="154"/>
  <c r="E4" i="154"/>
  <c r="C4" i="154"/>
  <c r="I5" i="154"/>
  <c r="D5" i="154"/>
  <c r="J5" i="154"/>
  <c r="E5" i="154"/>
  <c r="C5" i="154"/>
  <c r="I6" i="154"/>
  <c r="D6" i="154"/>
  <c r="J6" i="154"/>
  <c r="E6" i="154"/>
  <c r="C6" i="154"/>
  <c r="I7" i="154"/>
  <c r="D7" i="154"/>
  <c r="J7" i="154"/>
  <c r="E7" i="154"/>
  <c r="C7" i="154"/>
  <c r="I8" i="154"/>
  <c r="D8" i="154"/>
  <c r="J8" i="154"/>
  <c r="E8" i="154"/>
  <c r="C8" i="154"/>
  <c r="I9" i="154"/>
  <c r="D9" i="154"/>
  <c r="J9" i="154"/>
  <c r="E9" i="154"/>
  <c r="C9" i="154"/>
  <c r="I10" i="154"/>
  <c r="D10" i="154"/>
  <c r="J10" i="154"/>
  <c r="E10" i="154"/>
  <c r="C10" i="154"/>
  <c r="I11" i="154"/>
  <c r="D11" i="154"/>
  <c r="J11" i="154"/>
  <c r="E11" i="154"/>
  <c r="C11" i="154"/>
  <c r="I12" i="154"/>
  <c r="D12" i="154"/>
  <c r="J12" i="154"/>
  <c r="E12" i="154"/>
  <c r="C12" i="154"/>
  <c r="I13" i="154"/>
  <c r="D13" i="154"/>
  <c r="J13" i="154"/>
  <c r="E13" i="154"/>
  <c r="C13" i="154"/>
  <c r="I14" i="154"/>
  <c r="D14" i="154"/>
  <c r="J14" i="154"/>
  <c r="E14" i="154"/>
  <c r="C14" i="154"/>
  <c r="I15" i="154"/>
  <c r="D15" i="154"/>
  <c r="J15" i="154"/>
  <c r="E15" i="154"/>
  <c r="C15" i="154"/>
  <c r="I16" i="154"/>
  <c r="D16" i="154"/>
  <c r="J16" i="154"/>
  <c r="E16" i="154"/>
  <c r="C16" i="154"/>
  <c r="I17" i="154"/>
  <c r="D17" i="154"/>
  <c r="J17" i="154"/>
  <c r="E17" i="154"/>
  <c r="C17" i="154"/>
  <c r="I18" i="154"/>
  <c r="D18" i="154"/>
  <c r="J18" i="154"/>
  <c r="E18" i="154"/>
  <c r="C18" i="154"/>
  <c r="I19" i="154"/>
  <c r="D19" i="154"/>
  <c r="J19" i="154"/>
  <c r="E19" i="154"/>
  <c r="C19" i="154"/>
  <c r="I20" i="154"/>
  <c r="D20" i="154"/>
  <c r="J20" i="154"/>
  <c r="E20" i="154"/>
  <c r="C20" i="154"/>
  <c r="I21" i="154"/>
  <c r="D21" i="154"/>
  <c r="J21" i="154"/>
  <c r="E21" i="154"/>
  <c r="C21" i="154"/>
  <c r="I22" i="154"/>
  <c r="D22" i="154"/>
  <c r="J22" i="154"/>
  <c r="E22" i="154"/>
  <c r="C22" i="154"/>
  <c r="I23" i="154"/>
  <c r="D23" i="154"/>
  <c r="J23" i="154"/>
  <c r="E23" i="154"/>
  <c r="C23" i="154"/>
  <c r="I24" i="154"/>
  <c r="D24" i="154"/>
  <c r="J24" i="154"/>
  <c r="E24" i="154"/>
  <c r="C24" i="154"/>
  <c r="I25" i="154"/>
  <c r="D25" i="154"/>
  <c r="J25" i="154"/>
  <c r="E25" i="154"/>
  <c r="C25" i="154"/>
  <c r="I26" i="154"/>
  <c r="D26" i="154"/>
  <c r="J26" i="154"/>
  <c r="E26" i="154"/>
  <c r="C26" i="154"/>
  <c r="I27" i="154"/>
  <c r="D27" i="154"/>
  <c r="J27" i="154"/>
  <c r="E27" i="154"/>
  <c r="C27" i="154"/>
  <c r="I28" i="154"/>
  <c r="D28" i="154"/>
  <c r="J28" i="154"/>
  <c r="E28" i="154"/>
  <c r="C28" i="154"/>
  <c r="I29" i="154"/>
  <c r="D29" i="154"/>
  <c r="J29" i="154"/>
  <c r="E29" i="154"/>
  <c r="C29" i="154"/>
  <c r="I30" i="154"/>
  <c r="D30" i="154"/>
  <c r="J30" i="154"/>
  <c r="E30" i="154"/>
  <c r="C30" i="154"/>
  <c r="I31" i="154"/>
  <c r="D31" i="154"/>
  <c r="J31" i="154"/>
  <c r="E31" i="154"/>
  <c r="C31" i="154"/>
  <c r="I32" i="154"/>
  <c r="D32" i="154"/>
  <c r="J32" i="154"/>
  <c r="E32" i="154"/>
  <c r="C32" i="154"/>
  <c r="I33" i="154"/>
  <c r="D33" i="154"/>
  <c r="J33" i="154"/>
  <c r="E33" i="154"/>
  <c r="C33" i="154"/>
  <c r="I34" i="154"/>
  <c r="D34" i="154"/>
  <c r="J34" i="154"/>
  <c r="E34" i="154"/>
  <c r="C34" i="154"/>
  <c r="I35" i="154"/>
  <c r="D35" i="154"/>
  <c r="J35" i="154"/>
  <c r="E35" i="154"/>
  <c r="C35" i="154"/>
  <c r="I36" i="154"/>
  <c r="D36" i="154"/>
  <c r="J36" i="154"/>
  <c r="E36" i="154"/>
  <c r="C36" i="154"/>
  <c r="I37" i="154"/>
  <c r="D37" i="154"/>
  <c r="J37" i="154"/>
  <c r="E37" i="154"/>
  <c r="C37" i="154"/>
  <c r="I38" i="154"/>
  <c r="D38" i="154"/>
  <c r="J38" i="154"/>
  <c r="E38" i="154"/>
  <c r="C38" i="154"/>
  <c r="I39" i="154"/>
  <c r="D39" i="154"/>
  <c r="J39" i="154"/>
  <c r="E39" i="154"/>
  <c r="C39" i="154"/>
  <c r="I40" i="154"/>
  <c r="D40" i="154"/>
  <c r="J40" i="154"/>
  <c r="E40" i="154"/>
  <c r="C40" i="154"/>
  <c r="I41" i="154"/>
  <c r="D41" i="154"/>
  <c r="J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D215" i="154"/>
  <c r="J215" i="154"/>
  <c r="E215" i="154"/>
  <c r="C215" i="154"/>
  <c r="I216" i="154"/>
  <c r="D216" i="154"/>
  <c r="J216" i="154"/>
  <c r="E216" i="154"/>
  <c r="C216" i="154"/>
  <c r="I217" i="154"/>
  <c r="D217" i="154"/>
  <c r="J217" i="154"/>
  <c r="E217" i="154"/>
  <c r="C217" i="154"/>
  <c r="I218" i="154"/>
  <c r="D218" i="154"/>
  <c r="J218" i="154"/>
  <c r="E218" i="154"/>
  <c r="C218" i="154"/>
  <c r="I219" i="154"/>
  <c r="D219" i="154"/>
  <c r="J219" i="154"/>
  <c r="E219" i="154"/>
  <c r="C219" i="154"/>
  <c r="I220" i="154"/>
  <c r="D220" i="154"/>
  <c r="J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2" i="161"/>
  <c r="D2" i="161"/>
  <c r="J2" i="161"/>
  <c r="E2" i="161"/>
  <c r="C2" i="161"/>
  <c r="I3" i="161"/>
  <c r="D3" i="161"/>
  <c r="J3" i="161"/>
  <c r="E3" i="161"/>
  <c r="C3" i="161"/>
  <c r="I4" i="161"/>
  <c r="D4" i="161"/>
  <c r="J4" i="161"/>
  <c r="E4" i="161"/>
  <c r="C4" i="161"/>
  <c r="I5" i="161"/>
  <c r="D5" i="161"/>
  <c r="J5" i="161"/>
  <c r="E5" i="161"/>
  <c r="C5" i="161"/>
  <c r="I6" i="161"/>
  <c r="D6" i="161"/>
  <c r="J6" i="161"/>
  <c r="E6" i="161"/>
  <c r="C6" i="161"/>
  <c r="I7" i="161"/>
  <c r="D7" i="161"/>
  <c r="J7" i="161"/>
  <c r="E7" i="161"/>
  <c r="C7" i="161"/>
  <c r="I8" i="161"/>
  <c r="D8" i="161"/>
  <c r="J8" i="161"/>
  <c r="E8" i="161"/>
  <c r="C8" i="161"/>
  <c r="I9" i="161"/>
  <c r="D9" i="161"/>
  <c r="J9" i="161"/>
  <c r="E9" i="161"/>
  <c r="C9" i="161"/>
  <c r="I10" i="161"/>
  <c r="D10" i="161"/>
  <c r="J10" i="161"/>
  <c r="E10" i="161"/>
  <c r="C10" i="161"/>
  <c r="I11" i="161"/>
  <c r="D11" i="161"/>
  <c r="J11" i="161"/>
  <c r="E11" i="161"/>
  <c r="C11" i="161"/>
  <c r="I12" i="161"/>
  <c r="D12" i="161"/>
  <c r="J12" i="161"/>
  <c r="E12" i="161"/>
  <c r="C12" i="161"/>
  <c r="I13" i="161"/>
  <c r="D13" i="161"/>
  <c r="J13" i="161"/>
  <c r="E13" i="161"/>
  <c r="C13" i="161"/>
  <c r="I14" i="161"/>
  <c r="D14" i="161"/>
  <c r="J14" i="161"/>
  <c r="E14" i="161"/>
  <c r="C14" i="161"/>
  <c r="I15" i="161"/>
  <c r="D15" i="161"/>
  <c r="J15" i="161"/>
  <c r="E15" i="161"/>
  <c r="C15" i="161"/>
  <c r="I16" i="161"/>
  <c r="D16" i="161"/>
  <c r="J16" i="161"/>
  <c r="E16" i="161"/>
  <c r="C16" i="161"/>
  <c r="I17" i="161"/>
  <c r="D17" i="161"/>
  <c r="J17" i="161"/>
  <c r="E17" i="161"/>
  <c r="C17" i="161"/>
  <c r="I18" i="161"/>
  <c r="D18" i="161"/>
  <c r="J18" i="161"/>
  <c r="E18" i="161"/>
  <c r="C18" i="161"/>
  <c r="I19" i="161"/>
  <c r="D19" i="161"/>
  <c r="J19" i="161"/>
  <c r="E19" i="161"/>
  <c r="C19" i="161"/>
  <c r="I20" i="161"/>
  <c r="D20" i="161"/>
  <c r="J20" i="161"/>
  <c r="E20" i="161"/>
  <c r="C20" i="161"/>
  <c r="I21" i="161"/>
  <c r="D21" i="161"/>
  <c r="J21" i="161"/>
  <c r="E21" i="161"/>
  <c r="C21" i="161"/>
  <c r="I22" i="161"/>
  <c r="D22" i="161"/>
  <c r="J22" i="161"/>
  <c r="E22" i="161"/>
  <c r="C22" i="161"/>
  <c r="I23" i="161"/>
  <c r="D23" i="161"/>
  <c r="J23" i="161"/>
  <c r="E23" i="161"/>
  <c r="C23" i="161"/>
  <c r="I24" i="161"/>
  <c r="D24" i="161"/>
  <c r="J24" i="161"/>
  <c r="E24" i="161"/>
  <c r="C24" i="161"/>
  <c r="I25" i="161"/>
  <c r="D25" i="161"/>
  <c r="J25" i="161"/>
  <c r="E25" i="161"/>
  <c r="C25" i="161"/>
  <c r="I26" i="161"/>
  <c r="D26" i="161"/>
  <c r="J26" i="161"/>
  <c r="E26" i="161"/>
  <c r="C26" i="161"/>
  <c r="I27" i="161"/>
  <c r="D27" i="161"/>
  <c r="J27" i="161"/>
  <c r="E27" i="161"/>
  <c r="C27" i="161"/>
  <c r="I28" i="161"/>
  <c r="D28" i="161"/>
  <c r="J28" i="161"/>
  <c r="E28" i="161"/>
  <c r="C28" i="161"/>
  <c r="I29" i="161"/>
  <c r="D29" i="161"/>
  <c r="J29" i="161"/>
  <c r="E29" i="161"/>
  <c r="C29" i="161"/>
  <c r="I30" i="161"/>
  <c r="D30" i="161"/>
  <c r="J30" i="161"/>
  <c r="E30" i="161"/>
  <c r="C30" i="161"/>
  <c r="I31" i="161"/>
  <c r="D31" i="161"/>
  <c r="J31" i="161"/>
  <c r="E31" i="161"/>
  <c r="C31" i="161"/>
  <c r="I32" i="161"/>
  <c r="D32" i="161"/>
  <c r="J32" i="161"/>
  <c r="E32" i="161"/>
  <c r="C32" i="161"/>
  <c r="I33" i="161"/>
  <c r="D33" i="161"/>
  <c r="J33" i="161"/>
  <c r="E33" i="161"/>
  <c r="C33" i="161"/>
  <c r="I34" i="161"/>
  <c r="D34" i="161"/>
  <c r="J34" i="161"/>
  <c r="E34" i="161"/>
  <c r="C34" i="161"/>
  <c r="I35" i="161"/>
  <c r="D35" i="161"/>
  <c r="J35" i="161"/>
  <c r="E35" i="161"/>
  <c r="C35" i="161"/>
  <c r="I36" i="161"/>
  <c r="D36" i="161"/>
  <c r="J36" i="161"/>
  <c r="E36" i="161"/>
  <c r="C36" i="161"/>
  <c r="I37" i="161"/>
  <c r="D37" i="161"/>
  <c r="J37" i="161"/>
  <c r="E37" i="161"/>
  <c r="C37" i="161"/>
  <c r="I38" i="161"/>
  <c r="D38" i="161"/>
  <c r="J38" i="161"/>
  <c r="E38" i="161"/>
  <c r="C38" i="161"/>
  <c r="I39" i="161"/>
  <c r="D39" i="161"/>
  <c r="J39" i="161"/>
  <c r="E39" i="161"/>
  <c r="C39" i="161"/>
  <c r="I40" i="161"/>
  <c r="D40" i="161"/>
  <c r="J40" i="161"/>
  <c r="E40" i="161"/>
  <c r="C40" i="161"/>
  <c r="I41" i="161"/>
  <c r="D41" i="161"/>
  <c r="J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D215" i="161"/>
  <c r="J215" i="161"/>
  <c r="E215" i="161"/>
  <c r="C215" i="161"/>
  <c r="I216" i="161"/>
  <c r="D216" i="161"/>
  <c r="J216" i="161"/>
  <c r="E216" i="161"/>
  <c r="C216" i="161"/>
  <c r="I217" i="161"/>
  <c r="D217" i="161"/>
  <c r="J217" i="161"/>
  <c r="E217" i="161"/>
  <c r="C217" i="161"/>
  <c r="I218" i="161"/>
  <c r="D218" i="161"/>
  <c r="J218" i="161"/>
  <c r="E218" i="161"/>
  <c r="C218" i="161"/>
  <c r="I219" i="161"/>
  <c r="D219" i="161"/>
  <c r="J219" i="161"/>
  <c r="E219" i="161"/>
  <c r="C219" i="161"/>
  <c r="I220" i="161"/>
  <c r="D220" i="161"/>
  <c r="J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F42" i="160"/>
  <c r="G42" i="160"/>
  <c r="I2" i="158"/>
  <c r="D2" i="158"/>
  <c r="J2" i="158"/>
  <c r="E2" i="158"/>
  <c r="C2" i="158"/>
  <c r="I3" i="158"/>
  <c r="D3" i="158"/>
  <c r="J3" i="158"/>
  <c r="E3" i="158"/>
  <c r="C3" i="158"/>
  <c r="I4" i="158"/>
  <c r="D4" i="158"/>
  <c r="J4" i="158"/>
  <c r="E4" i="158"/>
  <c r="C4" i="158"/>
  <c r="I5" i="158"/>
  <c r="D5" i="158"/>
  <c r="J5" i="158"/>
  <c r="E5" i="158"/>
  <c r="C5" i="158"/>
  <c r="I6" i="158"/>
  <c r="D6" i="158"/>
  <c r="J6" i="158"/>
  <c r="E6" i="158"/>
  <c r="C6" i="158"/>
  <c r="I7" i="158"/>
  <c r="D7" i="158"/>
  <c r="J7" i="158"/>
  <c r="E7" i="158"/>
  <c r="C7" i="158"/>
  <c r="I8" i="158"/>
  <c r="D8" i="158"/>
  <c r="J8" i="158"/>
  <c r="E8" i="158"/>
  <c r="C8" i="158"/>
  <c r="I9" i="158"/>
  <c r="D9" i="158"/>
  <c r="J9" i="158"/>
  <c r="E9" i="158"/>
  <c r="C9" i="158"/>
  <c r="I10" i="158"/>
  <c r="D10" i="158"/>
  <c r="J10" i="158"/>
  <c r="E10" i="158"/>
  <c r="C10" i="158"/>
  <c r="I11" i="158"/>
  <c r="D11" i="158"/>
  <c r="J11" i="158"/>
  <c r="E11" i="158"/>
  <c r="C11" i="158"/>
  <c r="I12" i="158"/>
  <c r="D12" i="158"/>
  <c r="J12" i="158"/>
  <c r="E12" i="158"/>
  <c r="C12" i="158"/>
  <c r="I13" i="158"/>
  <c r="D13" i="158"/>
  <c r="J13" i="158"/>
  <c r="E13" i="158"/>
  <c r="C13" i="158"/>
  <c r="I14" i="158"/>
  <c r="D14" i="158"/>
  <c r="J14" i="158"/>
  <c r="E14" i="158"/>
  <c r="C14" i="158"/>
  <c r="I15" i="158"/>
  <c r="D15" i="158"/>
  <c r="J15" i="158"/>
  <c r="E15" i="158"/>
  <c r="C15" i="158"/>
  <c r="I16" i="158"/>
  <c r="D16" i="158"/>
  <c r="J16" i="158"/>
  <c r="E16" i="158"/>
  <c r="C16" i="158"/>
  <c r="I17" i="158"/>
  <c r="D17" i="158"/>
  <c r="J17" i="158"/>
  <c r="E17" i="158"/>
  <c r="C17" i="158"/>
  <c r="I18" i="158"/>
  <c r="D18" i="158"/>
  <c r="J18" i="158"/>
  <c r="E18" i="158"/>
  <c r="C18" i="158"/>
  <c r="I19" i="158"/>
  <c r="D19" i="158"/>
  <c r="J19" i="158"/>
  <c r="E19" i="158"/>
  <c r="C19" i="158"/>
  <c r="I20" i="158"/>
  <c r="D20" i="158"/>
  <c r="J20" i="158"/>
  <c r="E20" i="158"/>
  <c r="C20" i="158"/>
  <c r="I21" i="158"/>
  <c r="D21" i="158"/>
  <c r="J21" i="158"/>
  <c r="E21" i="158"/>
  <c r="C21" i="158"/>
  <c r="I22" i="158"/>
  <c r="D22" i="158"/>
  <c r="J22" i="158"/>
  <c r="E22" i="158"/>
  <c r="C22" i="158"/>
  <c r="I23" i="158"/>
  <c r="D23" i="158"/>
  <c r="J23" i="158"/>
  <c r="E23" i="158"/>
  <c r="C23" i="158"/>
  <c r="I24" i="158"/>
  <c r="D24" i="158"/>
  <c r="J24" i="158"/>
  <c r="E24" i="158"/>
  <c r="C24" i="158"/>
  <c r="I25" i="158"/>
  <c r="D25" i="158"/>
  <c r="J25" i="158"/>
  <c r="E25" i="158"/>
  <c r="C25" i="158"/>
  <c r="I26" i="158"/>
  <c r="D26" i="158"/>
  <c r="J26" i="158"/>
  <c r="E26" i="158"/>
  <c r="C26" i="158"/>
  <c r="I27" i="158"/>
  <c r="D27" i="158"/>
  <c r="J27" i="158"/>
  <c r="E27" i="158"/>
  <c r="C27" i="158"/>
  <c r="I28" i="158"/>
  <c r="D28" i="158"/>
  <c r="J28" i="158"/>
  <c r="E28" i="158"/>
  <c r="C28" i="158"/>
  <c r="I29" i="158"/>
  <c r="D29" i="158"/>
  <c r="J29" i="158"/>
  <c r="E29" i="158"/>
  <c r="C29" i="158"/>
  <c r="I30" i="158"/>
  <c r="D30" i="158"/>
  <c r="J30" i="158"/>
  <c r="E30" i="158"/>
  <c r="C30" i="158"/>
  <c r="I31" i="158"/>
  <c r="D31" i="158"/>
  <c r="J31" i="158"/>
  <c r="E31" i="158"/>
  <c r="C31" i="158"/>
  <c r="I32" i="158"/>
  <c r="D32" i="158"/>
  <c r="J32" i="158"/>
  <c r="E32" i="158"/>
  <c r="C32" i="158"/>
  <c r="I33" i="158"/>
  <c r="D33" i="158"/>
  <c r="J33" i="158"/>
  <c r="E33" i="158"/>
  <c r="C33" i="158"/>
  <c r="I34" i="158"/>
  <c r="D34" i="158"/>
  <c r="J34" i="158"/>
  <c r="E34" i="158"/>
  <c r="C34" i="158"/>
  <c r="I35" i="158"/>
  <c r="D35" i="158"/>
  <c r="J35" i="158"/>
  <c r="E35" i="158"/>
  <c r="C35" i="158"/>
  <c r="I36" i="158"/>
  <c r="D36" i="158"/>
  <c r="J36" i="158"/>
  <c r="E36" i="158"/>
  <c r="C36" i="158"/>
  <c r="I37" i="158"/>
  <c r="D37" i="158"/>
  <c r="J37" i="158"/>
  <c r="E37" i="158"/>
  <c r="C37" i="158"/>
  <c r="I38" i="158"/>
  <c r="D38" i="158"/>
  <c r="J38" i="158"/>
  <c r="E38" i="158"/>
  <c r="C38" i="158"/>
  <c r="I39" i="158"/>
  <c r="D39" i="158"/>
  <c r="J39" i="158"/>
  <c r="E39" i="158"/>
  <c r="C39" i="158"/>
  <c r="I40" i="158"/>
  <c r="D40" i="158"/>
  <c r="J40" i="158"/>
  <c r="E40" i="158"/>
  <c r="C40" i="158"/>
  <c r="I41" i="158"/>
  <c r="D41" i="158"/>
  <c r="J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D215" i="158"/>
  <c r="J215" i="158"/>
  <c r="E215" i="158"/>
  <c r="C215" i="158"/>
  <c r="I216" i="158"/>
  <c r="D216" i="158"/>
  <c r="J216" i="158"/>
  <c r="E216" i="158"/>
  <c r="C216" i="158"/>
  <c r="I217" i="158"/>
  <c r="D217" i="158"/>
  <c r="J217" i="158"/>
  <c r="E217" i="158"/>
  <c r="C217" i="158"/>
  <c r="I218" i="158"/>
  <c r="D218" i="158"/>
  <c r="J218" i="158"/>
  <c r="E218" i="158"/>
  <c r="C218" i="158"/>
  <c r="I219" i="158"/>
  <c r="D219" i="158"/>
  <c r="J219" i="158"/>
  <c r="E219" i="158"/>
  <c r="C219" i="158"/>
  <c r="I220" i="158"/>
  <c r="D220" i="158"/>
  <c r="J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" i="159"/>
  <c r="D3" i="159"/>
  <c r="E3" i="159"/>
  <c r="I4" i="159"/>
  <c r="D4" i="159"/>
  <c r="E4" i="159"/>
  <c r="I5" i="159"/>
  <c r="D5" i="159"/>
  <c r="E5" i="159"/>
  <c r="I6" i="159"/>
  <c r="D6" i="159"/>
  <c r="E6" i="159"/>
  <c r="I2" i="159"/>
  <c r="E2" i="159"/>
  <c r="D2" i="159"/>
  <c r="A309" i="154"/>
  <c r="F309" i="154"/>
  <c r="H309" i="154"/>
  <c r="K309" i="154"/>
  <c r="L309" i="154"/>
  <c r="M309" i="154"/>
  <c r="N309" i="154"/>
  <c r="F305" i="154"/>
  <c r="F306" i="154"/>
  <c r="F307" i="154"/>
  <c r="F308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61"/>
  <c r="F305" i="161"/>
  <c r="H305" i="161"/>
  <c r="K305" i="161"/>
  <c r="L305" i="161"/>
  <c r="M305" i="161"/>
  <c r="N305" i="161"/>
  <c r="F306" i="161"/>
  <c r="F307" i="161"/>
  <c r="F308" i="161"/>
  <c r="F309" i="161"/>
  <c r="A306" i="161"/>
  <c r="H306" i="161"/>
  <c r="K306" i="161"/>
  <c r="L306" i="161"/>
  <c r="M306" i="161"/>
  <c r="N306" i="161"/>
  <c r="A307" i="161"/>
  <c r="H307" i="161"/>
  <c r="K307" i="161"/>
  <c r="L307" i="161"/>
  <c r="M307" i="161"/>
  <c r="N307" i="161"/>
  <c r="A308" i="161"/>
  <c r="H308" i="161"/>
  <c r="K308" i="161"/>
  <c r="L308" i="161"/>
  <c r="M308" i="161"/>
  <c r="N308" i="161"/>
  <c r="A309" i="161"/>
  <c r="H309" i="161"/>
  <c r="K309" i="161"/>
  <c r="L309" i="161"/>
  <c r="M309" i="161"/>
  <c r="N309" i="161"/>
  <c r="A305" i="158"/>
  <c r="F305" i="158"/>
  <c r="H305" i="158"/>
  <c r="K305" i="158"/>
  <c r="L305" i="158"/>
  <c r="M305" i="158"/>
  <c r="N305" i="158"/>
  <c r="F306" i="158"/>
  <c r="F307" i="158"/>
  <c r="F308" i="158"/>
  <c r="F309" i="158"/>
  <c r="P305" i="158"/>
  <c r="A306" i="158"/>
  <c r="H306" i="158"/>
  <c r="K306" i="158"/>
  <c r="L306" i="158"/>
  <c r="M306" i="158"/>
  <c r="N306" i="158"/>
  <c r="P306" i="158"/>
  <c r="A307" i="158"/>
  <c r="H307" i="158"/>
  <c r="K307" i="158"/>
  <c r="L307" i="158"/>
  <c r="M307" i="158"/>
  <c r="N307" i="158"/>
  <c r="P307" i="158"/>
  <c r="A308" i="158"/>
  <c r="H308" i="158"/>
  <c r="K308" i="158"/>
  <c r="L308" i="158"/>
  <c r="M308" i="158"/>
  <c r="N308" i="158"/>
  <c r="P308" i="158"/>
  <c r="A309" i="158"/>
  <c r="H309" i="158"/>
  <c r="K309" i="158"/>
  <c r="L309" i="158"/>
  <c r="M309" i="158"/>
  <c r="N309" i="158"/>
  <c r="P309" i="158"/>
  <c r="F41" i="160"/>
  <c r="G41" i="160"/>
  <c r="A304" i="161"/>
  <c r="A303" i="161"/>
  <c r="A302" i="161"/>
  <c r="A301" i="161"/>
  <c r="A300" i="161"/>
  <c r="A299" i="161"/>
  <c r="A298" i="161"/>
  <c r="A297" i="161"/>
  <c r="A296" i="161"/>
  <c r="A295" i="161"/>
  <c r="A294" i="161"/>
  <c r="A293" i="161"/>
  <c r="A292" i="161"/>
  <c r="A291" i="161"/>
  <c r="A290" i="161"/>
  <c r="A289" i="161"/>
  <c r="A288" i="161"/>
  <c r="A287" i="161"/>
  <c r="A286" i="161"/>
  <c r="A285" i="161"/>
  <c r="A284" i="161"/>
  <c r="A283" i="161"/>
  <c r="A282" i="161"/>
  <c r="A281" i="161"/>
  <c r="A280" i="161"/>
  <c r="A279" i="161"/>
  <c r="A278" i="161"/>
  <c r="A277" i="161"/>
  <c r="A276" i="161"/>
  <c r="A275" i="161"/>
  <c r="A274" i="161"/>
  <c r="A273" i="161"/>
  <c r="A272" i="161"/>
  <c r="A271" i="161"/>
  <c r="A270" i="161"/>
  <c r="A269" i="161"/>
  <c r="A268" i="161"/>
  <c r="A267" i="161"/>
  <c r="A266" i="161"/>
  <c r="A265" i="161"/>
  <c r="A264" i="161"/>
  <c r="A263" i="161"/>
  <c r="A262" i="161"/>
  <c r="A261" i="161"/>
  <c r="A260" i="161"/>
  <c r="A259" i="161"/>
  <c r="A258" i="161"/>
  <c r="A257" i="161"/>
  <c r="A256" i="161"/>
  <c r="A255" i="161"/>
  <c r="A254" i="161"/>
  <c r="A253" i="161"/>
  <c r="A252" i="161"/>
  <c r="A251" i="161"/>
  <c r="A250" i="161"/>
  <c r="A249" i="161"/>
  <c r="A248" i="161"/>
  <c r="A247" i="161"/>
  <c r="A246" i="161"/>
  <c r="A245" i="161"/>
  <c r="A244" i="161"/>
  <c r="A243" i="161"/>
  <c r="A242" i="161"/>
  <c r="A241" i="161"/>
  <c r="A240" i="161"/>
  <c r="A239" i="161"/>
  <c r="A238" i="161"/>
  <c r="A237" i="161"/>
  <c r="A236" i="161"/>
  <c r="A235" i="161"/>
  <c r="A234" i="161"/>
  <c r="A233" i="161"/>
  <c r="A232" i="161"/>
  <c r="A231" i="161"/>
  <c r="A230" i="161"/>
  <c r="A229" i="161"/>
  <c r="A228" i="161"/>
  <c r="A227" i="161"/>
  <c r="A226" i="161"/>
  <c r="A225" i="161"/>
  <c r="A224" i="161"/>
  <c r="A223" i="161"/>
  <c r="A222" i="161"/>
  <c r="A221" i="161"/>
  <c r="A220" i="161"/>
  <c r="A219" i="161"/>
  <c r="A218" i="161"/>
  <c r="A217" i="161"/>
  <c r="A216" i="161"/>
  <c r="A215" i="161"/>
  <c r="A214" i="161"/>
  <c r="A213" i="161"/>
  <c r="A212" i="161"/>
  <c r="A211" i="161"/>
  <c r="A210" i="161"/>
  <c r="A209" i="161"/>
  <c r="A208" i="161"/>
  <c r="A207" i="161"/>
  <c r="A206" i="161"/>
  <c r="A205" i="161"/>
  <c r="A204" i="161"/>
  <c r="A203" i="161"/>
  <c r="A202" i="161"/>
  <c r="A201" i="161"/>
  <c r="A200" i="161"/>
  <c r="A199" i="161"/>
  <c r="A198" i="161"/>
  <c r="A197" i="161"/>
  <c r="A196" i="161"/>
  <c r="A195" i="161"/>
  <c r="A194" i="161"/>
  <c r="A193" i="161"/>
  <c r="A192" i="161"/>
  <c r="A191" i="161"/>
  <c r="A190" i="161"/>
  <c r="A189" i="161"/>
  <c r="A188" i="161"/>
  <c r="A187" i="161"/>
  <c r="A186" i="161"/>
  <c r="A185" i="161"/>
  <c r="A184" i="161"/>
  <c r="A183" i="161"/>
  <c r="A182" i="161"/>
  <c r="A181" i="161"/>
  <c r="A180" i="161"/>
  <c r="A179" i="161"/>
  <c r="A178" i="161"/>
  <c r="A177" i="161"/>
  <c r="A176" i="161"/>
  <c r="A175" i="161"/>
  <c r="A174" i="161"/>
  <c r="A173" i="161"/>
  <c r="A172" i="161"/>
  <c r="A171" i="161"/>
  <c r="A170" i="161"/>
  <c r="A169" i="161"/>
  <c r="A168" i="161"/>
  <c r="A167" i="161"/>
  <c r="A166" i="161"/>
  <c r="A165" i="161"/>
  <c r="A164" i="161"/>
  <c r="A163" i="161"/>
  <c r="A162" i="161"/>
  <c r="A161" i="161"/>
  <c r="A160" i="161"/>
  <c r="A159" i="161"/>
  <c r="A158" i="161"/>
  <c r="A157" i="161"/>
  <c r="A156" i="161"/>
  <c r="A155" i="161"/>
  <c r="A154" i="161"/>
  <c r="A153" i="161"/>
  <c r="A152" i="161"/>
  <c r="A151" i="161"/>
  <c r="A150" i="161"/>
  <c r="A149" i="161"/>
  <c r="A148" i="161"/>
  <c r="A147" i="161"/>
  <c r="A146" i="161"/>
  <c r="A145" i="161"/>
  <c r="A144" i="161"/>
  <c r="A143" i="161"/>
  <c r="A142" i="161"/>
  <c r="A141" i="161"/>
  <c r="A140" i="161"/>
  <c r="A139" i="161"/>
  <c r="A138" i="161"/>
  <c r="A137" i="161"/>
  <c r="A136" i="161"/>
  <c r="A135" i="161"/>
  <c r="A134" i="161"/>
  <c r="A133" i="161"/>
  <c r="A132" i="161"/>
  <c r="A131" i="161"/>
  <c r="A130" i="161"/>
  <c r="A129" i="161"/>
  <c r="A128" i="161"/>
  <c r="A127" i="161"/>
  <c r="A126" i="161"/>
  <c r="A125" i="161"/>
  <c r="A124" i="161"/>
  <c r="A123" i="161"/>
  <c r="A122" i="161"/>
  <c r="A121" i="161"/>
  <c r="A120" i="161"/>
  <c r="A119" i="161"/>
  <c r="A118" i="161"/>
  <c r="A117" i="161"/>
  <c r="A116" i="161"/>
  <c r="A115" i="161"/>
  <c r="A114" i="161"/>
  <c r="A113" i="161"/>
  <c r="A112" i="161"/>
  <c r="A111" i="161"/>
  <c r="A110" i="161"/>
  <c r="A109" i="161"/>
  <c r="A108" i="161"/>
  <c r="A107" i="161"/>
  <c r="A106" i="161"/>
  <c r="A105" i="161"/>
  <c r="A104" i="161"/>
  <c r="A103" i="161"/>
  <c r="A102" i="161"/>
  <c r="A101" i="161"/>
  <c r="A100" i="161"/>
  <c r="A99" i="161"/>
  <c r="A98" i="161"/>
  <c r="A97" i="161"/>
  <c r="A96" i="161"/>
  <c r="A95" i="161"/>
  <c r="A94" i="161"/>
  <c r="A93" i="161"/>
  <c r="A92" i="161"/>
  <c r="A91" i="161"/>
  <c r="A90" i="161"/>
  <c r="A89" i="161"/>
  <c r="A88" i="161"/>
  <c r="A87" i="161"/>
  <c r="A86" i="161"/>
  <c r="A85" i="161"/>
  <c r="A84" i="161"/>
  <c r="A83" i="161"/>
  <c r="A82" i="161"/>
  <c r="A81" i="161"/>
  <c r="A80" i="161"/>
  <c r="A79" i="161"/>
  <c r="A78" i="161"/>
  <c r="A77" i="161"/>
  <c r="A76" i="161"/>
  <c r="A75" i="161"/>
  <c r="A74" i="161"/>
  <c r="A73" i="161"/>
  <c r="A72" i="161"/>
  <c r="A71" i="161"/>
  <c r="A70" i="161"/>
  <c r="A69" i="161"/>
  <c r="A68" i="161"/>
  <c r="A67" i="161"/>
  <c r="A66" i="161"/>
  <c r="A65" i="161"/>
  <c r="A64" i="161"/>
  <c r="A63" i="161"/>
  <c r="A62" i="161"/>
  <c r="A61" i="161"/>
  <c r="A60" i="161"/>
  <c r="A59" i="161"/>
  <c r="A58" i="161"/>
  <c r="A57" i="161"/>
  <c r="A56" i="161"/>
  <c r="A55" i="161"/>
  <c r="A54" i="161"/>
  <c r="A53" i="161"/>
  <c r="A52" i="161"/>
  <c r="A51" i="161"/>
  <c r="A50" i="161"/>
  <c r="A49" i="161"/>
  <c r="A48" i="161"/>
  <c r="A47" i="161"/>
  <c r="A46" i="161"/>
  <c r="A45" i="161"/>
  <c r="A44" i="161"/>
  <c r="A43" i="161"/>
  <c r="A42" i="161"/>
  <c r="A41" i="161"/>
  <c r="A40" i="161"/>
  <c r="A39" i="161"/>
  <c r="A38" i="161"/>
  <c r="A37" i="161"/>
  <c r="A36" i="161"/>
  <c r="A35" i="161"/>
  <c r="A34" i="161"/>
  <c r="A33" i="161"/>
  <c r="A32" i="161"/>
  <c r="A31" i="161"/>
  <c r="A30" i="161"/>
  <c r="A29" i="161"/>
  <c r="A28" i="161"/>
  <c r="A27" i="161"/>
  <c r="A26" i="161"/>
  <c r="A25" i="161"/>
  <c r="A24" i="161"/>
  <c r="A23" i="161"/>
  <c r="A22" i="161"/>
  <c r="A21" i="161"/>
  <c r="A20" i="161"/>
  <c r="A19" i="161"/>
  <c r="A18" i="161"/>
  <c r="A17" i="161"/>
  <c r="A16" i="161"/>
  <c r="A15" i="161"/>
  <c r="A14" i="161"/>
  <c r="A13" i="161"/>
  <c r="A12" i="161"/>
  <c r="A11" i="161"/>
  <c r="A10" i="161"/>
  <c r="A9" i="161"/>
  <c r="A8" i="161"/>
  <c r="A7" i="161"/>
  <c r="A6" i="161"/>
  <c r="A5" i="161"/>
  <c r="A4" i="161"/>
  <c r="A3" i="161"/>
  <c r="A2" i="161"/>
  <c r="C4" i="103"/>
  <c r="E4" i="103"/>
  <c r="B30" i="153"/>
  <c r="B30" i="160"/>
  <c r="B30" i="157"/>
  <c r="B46" i="160"/>
  <c r="B45" i="160"/>
  <c r="B43" i="160"/>
  <c r="B42" i="160"/>
  <c r="B41" i="160"/>
  <c r="F40" i="160"/>
  <c r="B40" i="160"/>
  <c r="E31" i="160"/>
  <c r="E30" i="160"/>
  <c r="F304" i="161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N304" i="161"/>
  <c r="M304" i="161"/>
  <c r="L304" i="161"/>
  <c r="K304" i="161"/>
  <c r="H304" i="161"/>
  <c r="N303" i="161"/>
  <c r="M303" i="161"/>
  <c r="L303" i="161"/>
  <c r="K303" i="161"/>
  <c r="H303" i="161"/>
  <c r="N302" i="161"/>
  <c r="M302" i="161"/>
  <c r="L302" i="161"/>
  <c r="K302" i="161"/>
  <c r="H302" i="161"/>
  <c r="N301" i="161"/>
  <c r="M301" i="161"/>
  <c r="L301" i="161"/>
  <c r="K301" i="161"/>
  <c r="H301" i="161"/>
  <c r="N300" i="161"/>
  <c r="M300" i="161"/>
  <c r="L300" i="161"/>
  <c r="K300" i="161"/>
  <c r="H300" i="161"/>
  <c r="N299" i="161"/>
  <c r="M299" i="161"/>
  <c r="L299" i="161"/>
  <c r="K299" i="161"/>
  <c r="H299" i="161"/>
  <c r="N298" i="161"/>
  <c r="M298" i="161"/>
  <c r="L298" i="161"/>
  <c r="K298" i="161"/>
  <c r="H298" i="161"/>
  <c r="N297" i="161"/>
  <c r="M297" i="161"/>
  <c r="L297" i="161"/>
  <c r="K297" i="161"/>
  <c r="H297" i="161"/>
  <c r="N296" i="161"/>
  <c r="M296" i="161"/>
  <c r="L296" i="161"/>
  <c r="K296" i="161"/>
  <c r="H296" i="161"/>
  <c r="N295" i="161"/>
  <c r="M295" i="161"/>
  <c r="L295" i="161"/>
  <c r="K295" i="161"/>
  <c r="H295" i="161"/>
  <c r="N294" i="161"/>
  <c r="M294" i="161"/>
  <c r="L294" i="161"/>
  <c r="K294" i="161"/>
  <c r="H294" i="161"/>
  <c r="N293" i="161"/>
  <c r="M293" i="161"/>
  <c r="L293" i="161"/>
  <c r="K293" i="161"/>
  <c r="H293" i="161"/>
  <c r="N292" i="161"/>
  <c r="M292" i="161"/>
  <c r="L292" i="161"/>
  <c r="K292" i="161"/>
  <c r="H292" i="161"/>
  <c r="N291" i="161"/>
  <c r="M291" i="161"/>
  <c r="L291" i="161"/>
  <c r="K291" i="161"/>
  <c r="H291" i="161"/>
  <c r="N290" i="161"/>
  <c r="M290" i="161"/>
  <c r="L290" i="161"/>
  <c r="K290" i="161"/>
  <c r="H290" i="161"/>
  <c r="N289" i="161"/>
  <c r="M289" i="161"/>
  <c r="L289" i="161"/>
  <c r="K289" i="161"/>
  <c r="H289" i="161"/>
  <c r="N288" i="161"/>
  <c r="M288" i="161"/>
  <c r="L288" i="161"/>
  <c r="K288" i="161"/>
  <c r="H288" i="161"/>
  <c r="N287" i="161"/>
  <c r="M287" i="161"/>
  <c r="L287" i="161"/>
  <c r="K287" i="161"/>
  <c r="H287" i="161"/>
  <c r="N286" i="161"/>
  <c r="M286" i="161"/>
  <c r="L286" i="161"/>
  <c r="K286" i="161"/>
  <c r="H286" i="161"/>
  <c r="N285" i="161"/>
  <c r="M285" i="161"/>
  <c r="L285" i="161"/>
  <c r="K285" i="161"/>
  <c r="H285" i="161"/>
  <c r="N284" i="161"/>
  <c r="M284" i="161"/>
  <c r="L284" i="161"/>
  <c r="K284" i="161"/>
  <c r="H284" i="161"/>
  <c r="N283" i="161"/>
  <c r="M283" i="161"/>
  <c r="L283" i="161"/>
  <c r="K283" i="161"/>
  <c r="H283" i="161"/>
  <c r="N282" i="161"/>
  <c r="M282" i="161"/>
  <c r="L282" i="161"/>
  <c r="K282" i="161"/>
  <c r="H282" i="161"/>
  <c r="N281" i="161"/>
  <c r="M281" i="161"/>
  <c r="L281" i="161"/>
  <c r="K281" i="161"/>
  <c r="H281" i="161"/>
  <c r="N280" i="161"/>
  <c r="M280" i="161"/>
  <c r="L280" i="161"/>
  <c r="K280" i="161"/>
  <c r="H280" i="161"/>
  <c r="N279" i="161"/>
  <c r="M279" i="161"/>
  <c r="L279" i="161"/>
  <c r="K279" i="161"/>
  <c r="H279" i="161"/>
  <c r="N278" i="161"/>
  <c r="M278" i="161"/>
  <c r="L278" i="161"/>
  <c r="K278" i="161"/>
  <c r="H278" i="161"/>
  <c r="N277" i="161"/>
  <c r="M277" i="161"/>
  <c r="L277" i="161"/>
  <c r="K277" i="161"/>
  <c r="H277" i="161"/>
  <c r="N276" i="161"/>
  <c r="M276" i="161"/>
  <c r="L276" i="161"/>
  <c r="K276" i="161"/>
  <c r="H276" i="161"/>
  <c r="N275" i="161"/>
  <c r="M275" i="161"/>
  <c r="L275" i="161"/>
  <c r="K275" i="161"/>
  <c r="H275" i="161"/>
  <c r="N274" i="161"/>
  <c r="M274" i="161"/>
  <c r="L274" i="161"/>
  <c r="K274" i="161"/>
  <c r="H274" i="161"/>
  <c r="N273" i="161"/>
  <c r="M273" i="161"/>
  <c r="L273" i="161"/>
  <c r="K273" i="161"/>
  <c r="H273" i="161"/>
  <c r="N272" i="161"/>
  <c r="M272" i="161"/>
  <c r="L272" i="161"/>
  <c r="K272" i="161"/>
  <c r="H272" i="161"/>
  <c r="N271" i="161"/>
  <c r="M271" i="161"/>
  <c r="L271" i="161"/>
  <c r="K271" i="161"/>
  <c r="H271" i="161"/>
  <c r="N270" i="161"/>
  <c r="M270" i="161"/>
  <c r="L270" i="161"/>
  <c r="K270" i="161"/>
  <c r="H270" i="161"/>
  <c r="N269" i="161"/>
  <c r="M269" i="161"/>
  <c r="L269" i="161"/>
  <c r="K269" i="161"/>
  <c r="H269" i="161"/>
  <c r="N268" i="161"/>
  <c r="M268" i="161"/>
  <c r="L268" i="161"/>
  <c r="K268" i="161"/>
  <c r="H268" i="161"/>
  <c r="N267" i="161"/>
  <c r="M267" i="161"/>
  <c r="L267" i="161"/>
  <c r="K267" i="161"/>
  <c r="H267" i="161"/>
  <c r="N266" i="161"/>
  <c r="M266" i="161"/>
  <c r="L266" i="161"/>
  <c r="K266" i="161"/>
  <c r="H266" i="161"/>
  <c r="N265" i="161"/>
  <c r="M265" i="161"/>
  <c r="L265" i="161"/>
  <c r="K265" i="161"/>
  <c r="H265" i="161"/>
  <c r="N264" i="161"/>
  <c r="M264" i="161"/>
  <c r="L264" i="161"/>
  <c r="K264" i="161"/>
  <c r="H264" i="161"/>
  <c r="N263" i="161"/>
  <c r="M263" i="161"/>
  <c r="L263" i="161"/>
  <c r="K263" i="161"/>
  <c r="H263" i="161"/>
  <c r="N262" i="161"/>
  <c r="M262" i="161"/>
  <c r="L262" i="161"/>
  <c r="K262" i="161"/>
  <c r="H262" i="161"/>
  <c r="N261" i="161"/>
  <c r="M261" i="161"/>
  <c r="L261" i="161"/>
  <c r="K261" i="161"/>
  <c r="H261" i="161"/>
  <c r="N260" i="161"/>
  <c r="M260" i="161"/>
  <c r="L260" i="161"/>
  <c r="K260" i="161"/>
  <c r="H260" i="161"/>
  <c r="N259" i="161"/>
  <c r="M259" i="161"/>
  <c r="L259" i="161"/>
  <c r="K259" i="161"/>
  <c r="H259" i="161"/>
  <c r="N258" i="161"/>
  <c r="M258" i="161"/>
  <c r="L258" i="161"/>
  <c r="K258" i="161"/>
  <c r="H258" i="161"/>
  <c r="N257" i="161"/>
  <c r="M257" i="161"/>
  <c r="L257" i="161"/>
  <c r="K257" i="161"/>
  <c r="H257" i="161"/>
  <c r="N256" i="161"/>
  <c r="M256" i="161"/>
  <c r="L256" i="161"/>
  <c r="K256" i="161"/>
  <c r="H256" i="161"/>
  <c r="N255" i="161"/>
  <c r="M255" i="161"/>
  <c r="L255" i="161"/>
  <c r="K255" i="161"/>
  <c r="H255" i="161"/>
  <c r="N254" i="161"/>
  <c r="M254" i="161"/>
  <c r="L254" i="161"/>
  <c r="K254" i="161"/>
  <c r="H254" i="161"/>
  <c r="N253" i="161"/>
  <c r="M253" i="161"/>
  <c r="L253" i="161"/>
  <c r="K253" i="161"/>
  <c r="H253" i="161"/>
  <c r="N252" i="161"/>
  <c r="M252" i="161"/>
  <c r="L252" i="161"/>
  <c r="K252" i="161"/>
  <c r="H252" i="161"/>
  <c r="N251" i="161"/>
  <c r="M251" i="161"/>
  <c r="L251" i="161"/>
  <c r="K251" i="161"/>
  <c r="H251" i="161"/>
  <c r="N250" i="161"/>
  <c r="M250" i="161"/>
  <c r="L250" i="161"/>
  <c r="K250" i="161"/>
  <c r="H250" i="161"/>
  <c r="N249" i="161"/>
  <c r="M249" i="161"/>
  <c r="L249" i="161"/>
  <c r="K249" i="161"/>
  <c r="H249" i="161"/>
  <c r="N248" i="161"/>
  <c r="M248" i="161"/>
  <c r="L248" i="161"/>
  <c r="K248" i="161"/>
  <c r="H248" i="161"/>
  <c r="N247" i="161"/>
  <c r="M247" i="161"/>
  <c r="L247" i="161"/>
  <c r="K247" i="161"/>
  <c r="H247" i="161"/>
  <c r="N246" i="161"/>
  <c r="M246" i="161"/>
  <c r="L246" i="161"/>
  <c r="K246" i="161"/>
  <c r="H246" i="161"/>
  <c r="N245" i="161"/>
  <c r="M245" i="161"/>
  <c r="L245" i="161"/>
  <c r="K245" i="161"/>
  <c r="H245" i="161"/>
  <c r="N244" i="161"/>
  <c r="M244" i="161"/>
  <c r="L244" i="161"/>
  <c r="K244" i="161"/>
  <c r="H244" i="161"/>
  <c r="N243" i="161"/>
  <c r="M243" i="161"/>
  <c r="L243" i="161"/>
  <c r="K243" i="161"/>
  <c r="H243" i="161"/>
  <c r="N242" i="161"/>
  <c r="M242" i="161"/>
  <c r="L242" i="161"/>
  <c r="K242" i="161"/>
  <c r="H242" i="161"/>
  <c r="N241" i="161"/>
  <c r="M241" i="161"/>
  <c r="L241" i="161"/>
  <c r="K241" i="161"/>
  <c r="H241" i="161"/>
  <c r="N240" i="161"/>
  <c r="M240" i="161"/>
  <c r="L240" i="161"/>
  <c r="K240" i="161"/>
  <c r="H240" i="161"/>
  <c r="N239" i="161"/>
  <c r="M239" i="161"/>
  <c r="L239" i="161"/>
  <c r="K239" i="161"/>
  <c r="H239" i="161"/>
  <c r="N238" i="161"/>
  <c r="M238" i="161"/>
  <c r="L238" i="161"/>
  <c r="K238" i="161"/>
  <c r="H238" i="161"/>
  <c r="N237" i="161"/>
  <c r="M237" i="161"/>
  <c r="L237" i="161"/>
  <c r="K237" i="161"/>
  <c r="H237" i="161"/>
  <c r="N236" i="161"/>
  <c r="M236" i="161"/>
  <c r="L236" i="161"/>
  <c r="K236" i="161"/>
  <c r="H236" i="161"/>
  <c r="N235" i="161"/>
  <c r="M235" i="161"/>
  <c r="L235" i="161"/>
  <c r="K235" i="161"/>
  <c r="H235" i="161"/>
  <c r="N234" i="161"/>
  <c r="M234" i="161"/>
  <c r="L234" i="161"/>
  <c r="K234" i="161"/>
  <c r="H234" i="161"/>
  <c r="N233" i="161"/>
  <c r="M233" i="161"/>
  <c r="L233" i="161"/>
  <c r="K233" i="161"/>
  <c r="H233" i="161"/>
  <c r="N232" i="161"/>
  <c r="M232" i="161"/>
  <c r="L232" i="161"/>
  <c r="K232" i="161"/>
  <c r="H232" i="161"/>
  <c r="N231" i="161"/>
  <c r="M231" i="161"/>
  <c r="L231" i="161"/>
  <c r="K231" i="161"/>
  <c r="H231" i="161"/>
  <c r="N230" i="161"/>
  <c r="M230" i="161"/>
  <c r="L230" i="161"/>
  <c r="K230" i="161"/>
  <c r="H230" i="161"/>
  <c r="N229" i="161"/>
  <c r="M229" i="161"/>
  <c r="L229" i="161"/>
  <c r="K229" i="161"/>
  <c r="H229" i="161"/>
  <c r="N228" i="161"/>
  <c r="M228" i="161"/>
  <c r="L228" i="161"/>
  <c r="K228" i="161"/>
  <c r="H228" i="161"/>
  <c r="N227" i="161"/>
  <c r="M227" i="161"/>
  <c r="L227" i="161"/>
  <c r="K227" i="161"/>
  <c r="H227" i="161"/>
  <c r="N226" i="161"/>
  <c r="M226" i="161"/>
  <c r="L226" i="161"/>
  <c r="K226" i="161"/>
  <c r="H226" i="161"/>
  <c r="N225" i="161"/>
  <c r="M225" i="161"/>
  <c r="L225" i="161"/>
  <c r="K225" i="161"/>
  <c r="H225" i="161"/>
  <c r="N224" i="161"/>
  <c r="M224" i="161"/>
  <c r="L224" i="161"/>
  <c r="K224" i="161"/>
  <c r="H224" i="161"/>
  <c r="N223" i="161"/>
  <c r="M223" i="161"/>
  <c r="L223" i="161"/>
  <c r="K223" i="161"/>
  <c r="H223" i="161"/>
  <c r="N222" i="161"/>
  <c r="M222" i="161"/>
  <c r="L222" i="161"/>
  <c r="K222" i="161"/>
  <c r="H222" i="161"/>
  <c r="N221" i="161"/>
  <c r="M221" i="161"/>
  <c r="L221" i="161"/>
  <c r="K221" i="161"/>
  <c r="H221" i="161"/>
  <c r="N220" i="161"/>
  <c r="M220" i="161"/>
  <c r="L220" i="161"/>
  <c r="K220" i="161"/>
  <c r="H220" i="161"/>
  <c r="N219" i="161"/>
  <c r="M219" i="161"/>
  <c r="L219" i="161"/>
  <c r="K219" i="161"/>
  <c r="H219" i="161"/>
  <c r="N218" i="161"/>
  <c r="M218" i="161"/>
  <c r="L218" i="161"/>
  <c r="K218" i="161"/>
  <c r="H218" i="161"/>
  <c r="N217" i="161"/>
  <c r="M217" i="161"/>
  <c r="L217" i="161"/>
  <c r="K217" i="161"/>
  <c r="H217" i="161"/>
  <c r="N216" i="161"/>
  <c r="M216" i="161"/>
  <c r="L216" i="161"/>
  <c r="K216" i="161"/>
  <c r="H216" i="161"/>
  <c r="N215" i="161"/>
  <c r="M215" i="161"/>
  <c r="L215" i="161"/>
  <c r="K215" i="161"/>
  <c r="H215" i="161"/>
  <c r="N214" i="161"/>
  <c r="M214" i="161"/>
  <c r="L214" i="161"/>
  <c r="K214" i="161"/>
  <c r="H214" i="161"/>
  <c r="N213" i="161"/>
  <c r="M213" i="161"/>
  <c r="L213" i="161"/>
  <c r="K213" i="161"/>
  <c r="H213" i="161"/>
  <c r="N212" i="161"/>
  <c r="M212" i="161"/>
  <c r="L212" i="161"/>
  <c r="K212" i="161"/>
  <c r="H212" i="161"/>
  <c r="N211" i="161"/>
  <c r="M211" i="161"/>
  <c r="L211" i="161"/>
  <c r="K211" i="161"/>
  <c r="H211" i="161"/>
  <c r="N210" i="161"/>
  <c r="M210" i="161"/>
  <c r="L210" i="161"/>
  <c r="K210" i="161"/>
  <c r="H210" i="161"/>
  <c r="N209" i="161"/>
  <c r="M209" i="161"/>
  <c r="L209" i="161"/>
  <c r="K209" i="161"/>
  <c r="H209" i="161"/>
  <c r="N208" i="161"/>
  <c r="M208" i="161"/>
  <c r="L208" i="161"/>
  <c r="K208" i="161"/>
  <c r="H208" i="161"/>
  <c r="N207" i="161"/>
  <c r="M207" i="161"/>
  <c r="L207" i="161"/>
  <c r="K207" i="161"/>
  <c r="H207" i="161"/>
  <c r="N206" i="161"/>
  <c r="M206" i="161"/>
  <c r="L206" i="161"/>
  <c r="K206" i="161"/>
  <c r="H206" i="161"/>
  <c r="N205" i="161"/>
  <c r="M205" i="161"/>
  <c r="L205" i="161"/>
  <c r="K205" i="161"/>
  <c r="H205" i="161"/>
  <c r="N204" i="161"/>
  <c r="M204" i="161"/>
  <c r="L204" i="161"/>
  <c r="K204" i="161"/>
  <c r="H204" i="161"/>
  <c r="N203" i="161"/>
  <c r="M203" i="161"/>
  <c r="L203" i="161"/>
  <c r="K203" i="161"/>
  <c r="H203" i="161"/>
  <c r="N202" i="161"/>
  <c r="M202" i="161"/>
  <c r="L202" i="161"/>
  <c r="K202" i="161"/>
  <c r="H202" i="161"/>
  <c r="N201" i="161"/>
  <c r="M201" i="161"/>
  <c r="L201" i="161"/>
  <c r="K201" i="161"/>
  <c r="H201" i="161"/>
  <c r="N200" i="161"/>
  <c r="M200" i="161"/>
  <c r="L200" i="161"/>
  <c r="K200" i="161"/>
  <c r="H200" i="161"/>
  <c r="N199" i="161"/>
  <c r="M199" i="161"/>
  <c r="L199" i="161"/>
  <c r="K199" i="161"/>
  <c r="H199" i="161"/>
  <c r="N198" i="161"/>
  <c r="M198" i="161"/>
  <c r="L198" i="161"/>
  <c r="K198" i="161"/>
  <c r="H198" i="161"/>
  <c r="N197" i="161"/>
  <c r="M197" i="161"/>
  <c r="L197" i="161"/>
  <c r="K197" i="161"/>
  <c r="H197" i="161"/>
  <c r="N196" i="161"/>
  <c r="M196" i="161"/>
  <c r="L196" i="161"/>
  <c r="K196" i="161"/>
  <c r="H196" i="161"/>
  <c r="N195" i="161"/>
  <c r="M195" i="161"/>
  <c r="L195" i="161"/>
  <c r="K195" i="161"/>
  <c r="H195" i="161"/>
  <c r="N194" i="161"/>
  <c r="M194" i="161"/>
  <c r="L194" i="161"/>
  <c r="K194" i="161"/>
  <c r="H194" i="161"/>
  <c r="N193" i="161"/>
  <c r="M193" i="161"/>
  <c r="L193" i="161"/>
  <c r="K193" i="161"/>
  <c r="H193" i="161"/>
  <c r="N192" i="161"/>
  <c r="M192" i="161"/>
  <c r="L192" i="161"/>
  <c r="K192" i="161"/>
  <c r="H192" i="161"/>
  <c r="N191" i="161"/>
  <c r="M191" i="161"/>
  <c r="L191" i="161"/>
  <c r="K191" i="161"/>
  <c r="H191" i="161"/>
  <c r="N190" i="161"/>
  <c r="M190" i="161"/>
  <c r="L190" i="161"/>
  <c r="K190" i="161"/>
  <c r="H190" i="161"/>
  <c r="N189" i="161"/>
  <c r="M189" i="161"/>
  <c r="L189" i="161"/>
  <c r="K189" i="161"/>
  <c r="H189" i="161"/>
  <c r="N188" i="161"/>
  <c r="M188" i="161"/>
  <c r="L188" i="161"/>
  <c r="K188" i="161"/>
  <c r="H188" i="161"/>
  <c r="N187" i="161"/>
  <c r="M187" i="161"/>
  <c r="L187" i="161"/>
  <c r="K187" i="161"/>
  <c r="H187" i="161"/>
  <c r="N186" i="161"/>
  <c r="M186" i="161"/>
  <c r="L186" i="161"/>
  <c r="K186" i="161"/>
  <c r="H186" i="161"/>
  <c r="N185" i="161"/>
  <c r="M185" i="161"/>
  <c r="L185" i="161"/>
  <c r="K185" i="161"/>
  <c r="H185" i="161"/>
  <c r="N184" i="161"/>
  <c r="M184" i="161"/>
  <c r="L184" i="161"/>
  <c r="K184" i="161"/>
  <c r="H184" i="161"/>
  <c r="N183" i="161"/>
  <c r="M183" i="161"/>
  <c r="L183" i="161"/>
  <c r="K183" i="161"/>
  <c r="H183" i="161"/>
  <c r="N182" i="161"/>
  <c r="M182" i="161"/>
  <c r="L182" i="161"/>
  <c r="K182" i="161"/>
  <c r="H182" i="161"/>
  <c r="N181" i="161"/>
  <c r="M181" i="161"/>
  <c r="L181" i="161"/>
  <c r="K181" i="161"/>
  <c r="H181" i="161"/>
  <c r="N180" i="161"/>
  <c r="M180" i="161"/>
  <c r="L180" i="161"/>
  <c r="K180" i="161"/>
  <c r="H180" i="161"/>
  <c r="N179" i="161"/>
  <c r="M179" i="161"/>
  <c r="L179" i="161"/>
  <c r="K179" i="161"/>
  <c r="H179" i="161"/>
  <c r="N178" i="161"/>
  <c r="M178" i="161"/>
  <c r="L178" i="161"/>
  <c r="K178" i="161"/>
  <c r="H178" i="161"/>
  <c r="N177" i="161"/>
  <c r="M177" i="161"/>
  <c r="L177" i="161"/>
  <c r="K177" i="161"/>
  <c r="H177" i="161"/>
  <c r="N176" i="161"/>
  <c r="M176" i="161"/>
  <c r="L176" i="161"/>
  <c r="K176" i="161"/>
  <c r="H176" i="161"/>
  <c r="N175" i="161"/>
  <c r="M175" i="161"/>
  <c r="L175" i="161"/>
  <c r="K175" i="161"/>
  <c r="H175" i="161"/>
  <c r="N174" i="161"/>
  <c r="M174" i="161"/>
  <c r="L174" i="161"/>
  <c r="K174" i="161"/>
  <c r="H174" i="161"/>
  <c r="N173" i="161"/>
  <c r="M173" i="161"/>
  <c r="L173" i="161"/>
  <c r="K173" i="161"/>
  <c r="H173" i="161"/>
  <c r="N172" i="161"/>
  <c r="M172" i="161"/>
  <c r="L172" i="161"/>
  <c r="K172" i="161"/>
  <c r="H172" i="161"/>
  <c r="N171" i="161"/>
  <c r="M171" i="161"/>
  <c r="L171" i="161"/>
  <c r="K171" i="161"/>
  <c r="H171" i="161"/>
  <c r="N170" i="161"/>
  <c r="M170" i="161"/>
  <c r="L170" i="161"/>
  <c r="K170" i="161"/>
  <c r="H170" i="161"/>
  <c r="N169" i="161"/>
  <c r="M169" i="161"/>
  <c r="L169" i="161"/>
  <c r="K169" i="161"/>
  <c r="H169" i="161"/>
  <c r="N168" i="161"/>
  <c r="M168" i="161"/>
  <c r="L168" i="161"/>
  <c r="K168" i="161"/>
  <c r="H168" i="161"/>
  <c r="N167" i="161"/>
  <c r="M167" i="161"/>
  <c r="L167" i="161"/>
  <c r="K167" i="161"/>
  <c r="H167" i="161"/>
  <c r="N166" i="161"/>
  <c r="M166" i="161"/>
  <c r="L166" i="161"/>
  <c r="K166" i="161"/>
  <c r="H166" i="161"/>
  <c r="N165" i="161"/>
  <c r="M165" i="161"/>
  <c r="L165" i="161"/>
  <c r="K165" i="161"/>
  <c r="H165" i="161"/>
  <c r="N164" i="161"/>
  <c r="M164" i="161"/>
  <c r="L164" i="161"/>
  <c r="K164" i="161"/>
  <c r="H164" i="161"/>
  <c r="N163" i="161"/>
  <c r="M163" i="161"/>
  <c r="L163" i="161"/>
  <c r="K163" i="161"/>
  <c r="H163" i="161"/>
  <c r="N162" i="161"/>
  <c r="M162" i="161"/>
  <c r="L162" i="161"/>
  <c r="K162" i="161"/>
  <c r="H162" i="161"/>
  <c r="N161" i="161"/>
  <c r="M161" i="161"/>
  <c r="L161" i="161"/>
  <c r="K161" i="161"/>
  <c r="H161" i="161"/>
  <c r="N160" i="161"/>
  <c r="M160" i="161"/>
  <c r="L160" i="161"/>
  <c r="K160" i="161"/>
  <c r="H160" i="161"/>
  <c r="N159" i="161"/>
  <c r="M159" i="161"/>
  <c r="L159" i="161"/>
  <c r="K159" i="161"/>
  <c r="H159" i="161"/>
  <c r="N158" i="161"/>
  <c r="M158" i="161"/>
  <c r="L158" i="161"/>
  <c r="K158" i="161"/>
  <c r="H158" i="161"/>
  <c r="N157" i="161"/>
  <c r="M157" i="161"/>
  <c r="L157" i="161"/>
  <c r="K157" i="161"/>
  <c r="H157" i="161"/>
  <c r="N156" i="161"/>
  <c r="M156" i="161"/>
  <c r="L156" i="161"/>
  <c r="K156" i="161"/>
  <c r="H156" i="161"/>
  <c r="N155" i="161"/>
  <c r="M155" i="161"/>
  <c r="L155" i="161"/>
  <c r="K155" i="161"/>
  <c r="H155" i="161"/>
  <c r="N154" i="161"/>
  <c r="M154" i="161"/>
  <c r="L154" i="161"/>
  <c r="K154" i="161"/>
  <c r="H154" i="161"/>
  <c r="N153" i="161"/>
  <c r="M153" i="161"/>
  <c r="L153" i="161"/>
  <c r="K153" i="161"/>
  <c r="H153" i="161"/>
  <c r="N152" i="161"/>
  <c r="M152" i="161"/>
  <c r="L152" i="161"/>
  <c r="K152" i="161"/>
  <c r="H152" i="161"/>
  <c r="N151" i="161"/>
  <c r="M151" i="161"/>
  <c r="L151" i="161"/>
  <c r="K151" i="161"/>
  <c r="H151" i="161"/>
  <c r="N150" i="161"/>
  <c r="M150" i="161"/>
  <c r="L150" i="161"/>
  <c r="K150" i="161"/>
  <c r="H150" i="161"/>
  <c r="N149" i="161"/>
  <c r="M149" i="161"/>
  <c r="L149" i="161"/>
  <c r="K149" i="161"/>
  <c r="H149" i="161"/>
  <c r="N148" i="161"/>
  <c r="M148" i="161"/>
  <c r="L148" i="161"/>
  <c r="K148" i="161"/>
  <c r="H148" i="161"/>
  <c r="N147" i="161"/>
  <c r="M147" i="161"/>
  <c r="L147" i="161"/>
  <c r="K147" i="161"/>
  <c r="H147" i="161"/>
  <c r="N146" i="161"/>
  <c r="M146" i="161"/>
  <c r="L146" i="161"/>
  <c r="K146" i="161"/>
  <c r="H146" i="161"/>
  <c r="N145" i="161"/>
  <c r="M145" i="161"/>
  <c r="L145" i="161"/>
  <c r="K145" i="161"/>
  <c r="H145" i="161"/>
  <c r="N144" i="161"/>
  <c r="M144" i="161"/>
  <c r="L144" i="161"/>
  <c r="K144" i="161"/>
  <c r="H144" i="161"/>
  <c r="N143" i="161"/>
  <c r="M143" i="161"/>
  <c r="L143" i="161"/>
  <c r="K143" i="161"/>
  <c r="H143" i="161"/>
  <c r="N142" i="161"/>
  <c r="M142" i="161"/>
  <c r="L142" i="161"/>
  <c r="K142" i="161"/>
  <c r="H142" i="161"/>
  <c r="N141" i="161"/>
  <c r="M141" i="161"/>
  <c r="L141" i="161"/>
  <c r="K141" i="161"/>
  <c r="H141" i="161"/>
  <c r="N140" i="161"/>
  <c r="M140" i="161"/>
  <c r="L140" i="161"/>
  <c r="K140" i="161"/>
  <c r="H140" i="161"/>
  <c r="N139" i="161"/>
  <c r="M139" i="161"/>
  <c r="L139" i="161"/>
  <c r="K139" i="161"/>
  <c r="H139" i="161"/>
  <c r="N138" i="161"/>
  <c r="M138" i="161"/>
  <c r="L138" i="161"/>
  <c r="K138" i="161"/>
  <c r="H138" i="161"/>
  <c r="N137" i="161"/>
  <c r="M137" i="161"/>
  <c r="L137" i="161"/>
  <c r="K137" i="161"/>
  <c r="H137" i="161"/>
  <c r="N136" i="161"/>
  <c r="M136" i="161"/>
  <c r="L136" i="161"/>
  <c r="K136" i="161"/>
  <c r="H136" i="161"/>
  <c r="N135" i="161"/>
  <c r="M135" i="161"/>
  <c r="L135" i="161"/>
  <c r="K135" i="161"/>
  <c r="H135" i="161"/>
  <c r="N134" i="161"/>
  <c r="M134" i="161"/>
  <c r="L134" i="161"/>
  <c r="K134" i="161"/>
  <c r="H134" i="161"/>
  <c r="N133" i="161"/>
  <c r="M133" i="161"/>
  <c r="L133" i="161"/>
  <c r="K133" i="161"/>
  <c r="H133" i="161"/>
  <c r="N132" i="161"/>
  <c r="M132" i="161"/>
  <c r="L132" i="161"/>
  <c r="K132" i="161"/>
  <c r="H132" i="161"/>
  <c r="N131" i="161"/>
  <c r="M131" i="161"/>
  <c r="L131" i="161"/>
  <c r="K131" i="161"/>
  <c r="H131" i="161"/>
  <c r="N130" i="161"/>
  <c r="M130" i="161"/>
  <c r="L130" i="161"/>
  <c r="K130" i="161"/>
  <c r="H130" i="161"/>
  <c r="N129" i="161"/>
  <c r="M129" i="161"/>
  <c r="L129" i="161"/>
  <c r="K129" i="161"/>
  <c r="H129" i="161"/>
  <c r="N128" i="161"/>
  <c r="M128" i="161"/>
  <c r="L128" i="161"/>
  <c r="K128" i="161"/>
  <c r="H128" i="161"/>
  <c r="N127" i="161"/>
  <c r="M127" i="161"/>
  <c r="L127" i="161"/>
  <c r="K127" i="161"/>
  <c r="H127" i="161"/>
  <c r="N126" i="161"/>
  <c r="M126" i="161"/>
  <c r="L126" i="161"/>
  <c r="K126" i="161"/>
  <c r="H126" i="161"/>
  <c r="N125" i="161"/>
  <c r="M125" i="161"/>
  <c r="L125" i="161"/>
  <c r="K125" i="161"/>
  <c r="H125" i="161"/>
  <c r="N124" i="161"/>
  <c r="M124" i="161"/>
  <c r="L124" i="161"/>
  <c r="K124" i="161"/>
  <c r="H124" i="161"/>
  <c r="N123" i="161"/>
  <c r="M123" i="161"/>
  <c r="L123" i="161"/>
  <c r="K123" i="161"/>
  <c r="H123" i="161"/>
  <c r="N122" i="161"/>
  <c r="M122" i="161"/>
  <c r="L122" i="161"/>
  <c r="K122" i="161"/>
  <c r="H122" i="161"/>
  <c r="N121" i="161"/>
  <c r="M121" i="161"/>
  <c r="L121" i="161"/>
  <c r="K121" i="161"/>
  <c r="H121" i="161"/>
  <c r="N120" i="161"/>
  <c r="M120" i="161"/>
  <c r="L120" i="161"/>
  <c r="K120" i="161"/>
  <c r="H120" i="161"/>
  <c r="N119" i="161"/>
  <c r="M119" i="161"/>
  <c r="L119" i="161"/>
  <c r="K119" i="161"/>
  <c r="H119" i="161"/>
  <c r="N118" i="161"/>
  <c r="M118" i="161"/>
  <c r="L118" i="161"/>
  <c r="K118" i="161"/>
  <c r="H118" i="161"/>
  <c r="N117" i="161"/>
  <c r="M117" i="161"/>
  <c r="L117" i="161"/>
  <c r="K117" i="161"/>
  <c r="H117" i="161"/>
  <c r="N116" i="161"/>
  <c r="M116" i="161"/>
  <c r="L116" i="161"/>
  <c r="K116" i="161"/>
  <c r="H116" i="161"/>
  <c r="N115" i="161"/>
  <c r="M115" i="161"/>
  <c r="L115" i="161"/>
  <c r="K115" i="161"/>
  <c r="H115" i="161"/>
  <c r="N114" i="161"/>
  <c r="M114" i="161"/>
  <c r="L114" i="161"/>
  <c r="K114" i="161"/>
  <c r="H114" i="161"/>
  <c r="N113" i="161"/>
  <c r="M113" i="161"/>
  <c r="L113" i="161"/>
  <c r="K113" i="161"/>
  <c r="H113" i="161"/>
  <c r="N112" i="161"/>
  <c r="M112" i="161"/>
  <c r="L112" i="161"/>
  <c r="K112" i="161"/>
  <c r="H112" i="161"/>
  <c r="N111" i="161"/>
  <c r="M111" i="161"/>
  <c r="L111" i="161"/>
  <c r="K111" i="161"/>
  <c r="H111" i="161"/>
  <c r="N110" i="161"/>
  <c r="M110" i="161"/>
  <c r="L110" i="161"/>
  <c r="K110" i="161"/>
  <c r="H110" i="161"/>
  <c r="N109" i="161"/>
  <c r="M109" i="161"/>
  <c r="L109" i="161"/>
  <c r="K109" i="161"/>
  <c r="H109" i="161"/>
  <c r="N108" i="161"/>
  <c r="M108" i="161"/>
  <c r="L108" i="161"/>
  <c r="K108" i="161"/>
  <c r="H108" i="161"/>
  <c r="N107" i="161"/>
  <c r="M107" i="161"/>
  <c r="L107" i="161"/>
  <c r="K107" i="161"/>
  <c r="H107" i="161"/>
  <c r="N106" i="161"/>
  <c r="M106" i="161"/>
  <c r="L106" i="161"/>
  <c r="K106" i="161"/>
  <c r="H106" i="161"/>
  <c r="N105" i="161"/>
  <c r="M105" i="161"/>
  <c r="L105" i="161"/>
  <c r="K105" i="161"/>
  <c r="H105" i="161"/>
  <c r="N104" i="161"/>
  <c r="M104" i="161"/>
  <c r="L104" i="161"/>
  <c r="K104" i="161"/>
  <c r="H104" i="161"/>
  <c r="N103" i="161"/>
  <c r="M103" i="161"/>
  <c r="L103" i="161"/>
  <c r="K103" i="161"/>
  <c r="H103" i="161"/>
  <c r="N102" i="161"/>
  <c r="M102" i="161"/>
  <c r="L102" i="161"/>
  <c r="K102" i="161"/>
  <c r="H102" i="161"/>
  <c r="N101" i="161"/>
  <c r="M101" i="161"/>
  <c r="L101" i="161"/>
  <c r="K101" i="161"/>
  <c r="H101" i="161"/>
  <c r="N100" i="161"/>
  <c r="M100" i="161"/>
  <c r="L100" i="161"/>
  <c r="K100" i="161"/>
  <c r="H100" i="161"/>
  <c r="N99" i="161"/>
  <c r="M99" i="161"/>
  <c r="L99" i="161"/>
  <c r="K99" i="161"/>
  <c r="H99" i="161"/>
  <c r="N98" i="161"/>
  <c r="M98" i="161"/>
  <c r="L98" i="161"/>
  <c r="K98" i="161"/>
  <c r="H98" i="161"/>
  <c r="N97" i="161"/>
  <c r="M97" i="161"/>
  <c r="L97" i="161"/>
  <c r="K97" i="161"/>
  <c r="H97" i="161"/>
  <c r="N96" i="161"/>
  <c r="M96" i="161"/>
  <c r="L96" i="161"/>
  <c r="K96" i="161"/>
  <c r="H96" i="161"/>
  <c r="N95" i="161"/>
  <c r="M95" i="161"/>
  <c r="L95" i="161"/>
  <c r="K95" i="161"/>
  <c r="H95" i="161"/>
  <c r="N94" i="161"/>
  <c r="M94" i="161"/>
  <c r="L94" i="161"/>
  <c r="K94" i="161"/>
  <c r="H94" i="161"/>
  <c r="N93" i="161"/>
  <c r="M93" i="161"/>
  <c r="L93" i="161"/>
  <c r="K93" i="161"/>
  <c r="H93" i="161"/>
  <c r="N92" i="161"/>
  <c r="M92" i="161"/>
  <c r="L92" i="161"/>
  <c r="K92" i="161"/>
  <c r="H92" i="161"/>
  <c r="N91" i="161"/>
  <c r="M91" i="161"/>
  <c r="L91" i="161"/>
  <c r="K91" i="161"/>
  <c r="H91" i="161"/>
  <c r="N90" i="161"/>
  <c r="M90" i="161"/>
  <c r="L90" i="161"/>
  <c r="K90" i="161"/>
  <c r="H90" i="161"/>
  <c r="N89" i="161"/>
  <c r="M89" i="161"/>
  <c r="L89" i="161"/>
  <c r="K89" i="161"/>
  <c r="H89" i="161"/>
  <c r="N88" i="161"/>
  <c r="M88" i="161"/>
  <c r="L88" i="161"/>
  <c r="K88" i="161"/>
  <c r="H88" i="161"/>
  <c r="N87" i="161"/>
  <c r="M87" i="161"/>
  <c r="L87" i="161"/>
  <c r="K87" i="161"/>
  <c r="H87" i="161"/>
  <c r="N86" i="161"/>
  <c r="M86" i="161"/>
  <c r="L86" i="161"/>
  <c r="K86" i="161"/>
  <c r="H86" i="161"/>
  <c r="N85" i="161"/>
  <c r="M85" i="161"/>
  <c r="L85" i="161"/>
  <c r="K85" i="161"/>
  <c r="H85" i="161"/>
  <c r="N84" i="161"/>
  <c r="M84" i="161"/>
  <c r="L84" i="161"/>
  <c r="K84" i="161"/>
  <c r="H84" i="161"/>
  <c r="N83" i="161"/>
  <c r="M83" i="161"/>
  <c r="L83" i="161"/>
  <c r="K83" i="161"/>
  <c r="H83" i="161"/>
  <c r="N82" i="161"/>
  <c r="M82" i="161"/>
  <c r="L82" i="161"/>
  <c r="K82" i="161"/>
  <c r="H82" i="161"/>
  <c r="N81" i="161"/>
  <c r="M81" i="161"/>
  <c r="L81" i="161"/>
  <c r="K81" i="161"/>
  <c r="H81" i="161"/>
  <c r="N80" i="161"/>
  <c r="M80" i="161"/>
  <c r="L80" i="161"/>
  <c r="K80" i="161"/>
  <c r="H80" i="161"/>
  <c r="N79" i="161"/>
  <c r="M79" i="161"/>
  <c r="L79" i="161"/>
  <c r="K79" i="161"/>
  <c r="H79" i="161"/>
  <c r="N78" i="161"/>
  <c r="M78" i="161"/>
  <c r="L78" i="161"/>
  <c r="K78" i="161"/>
  <c r="H78" i="161"/>
  <c r="N77" i="161"/>
  <c r="M77" i="161"/>
  <c r="L77" i="161"/>
  <c r="K77" i="161"/>
  <c r="H77" i="161"/>
  <c r="N76" i="161"/>
  <c r="M76" i="161"/>
  <c r="L76" i="161"/>
  <c r="K76" i="161"/>
  <c r="H76" i="161"/>
  <c r="N75" i="161"/>
  <c r="M75" i="161"/>
  <c r="L75" i="161"/>
  <c r="K75" i="161"/>
  <c r="H75" i="161"/>
  <c r="N74" i="161"/>
  <c r="M74" i="161"/>
  <c r="L74" i="161"/>
  <c r="K74" i="161"/>
  <c r="H74" i="161"/>
  <c r="N73" i="161"/>
  <c r="M73" i="161"/>
  <c r="L73" i="161"/>
  <c r="K73" i="161"/>
  <c r="H73" i="161"/>
  <c r="N72" i="161"/>
  <c r="M72" i="161"/>
  <c r="L72" i="161"/>
  <c r="K72" i="161"/>
  <c r="H72" i="161"/>
  <c r="N71" i="161"/>
  <c r="M71" i="161"/>
  <c r="L71" i="161"/>
  <c r="K71" i="161"/>
  <c r="H71" i="161"/>
  <c r="N70" i="161"/>
  <c r="M70" i="161"/>
  <c r="L70" i="161"/>
  <c r="K70" i="161"/>
  <c r="H70" i="161"/>
  <c r="N69" i="161"/>
  <c r="M69" i="161"/>
  <c r="L69" i="161"/>
  <c r="K69" i="161"/>
  <c r="H69" i="161"/>
  <c r="N68" i="161"/>
  <c r="M68" i="161"/>
  <c r="L68" i="161"/>
  <c r="K68" i="161"/>
  <c r="H68" i="161"/>
  <c r="N67" i="161"/>
  <c r="M67" i="161"/>
  <c r="L67" i="161"/>
  <c r="K67" i="161"/>
  <c r="H67" i="161"/>
  <c r="N66" i="161"/>
  <c r="M66" i="161"/>
  <c r="L66" i="161"/>
  <c r="K66" i="161"/>
  <c r="H66" i="161"/>
  <c r="N65" i="161"/>
  <c r="M65" i="161"/>
  <c r="L65" i="161"/>
  <c r="K65" i="161"/>
  <c r="H65" i="161"/>
  <c r="N64" i="161"/>
  <c r="M64" i="161"/>
  <c r="L64" i="161"/>
  <c r="K64" i="161"/>
  <c r="H64" i="161"/>
  <c r="N63" i="161"/>
  <c r="M63" i="161"/>
  <c r="L63" i="161"/>
  <c r="K63" i="161"/>
  <c r="H63" i="161"/>
  <c r="N62" i="161"/>
  <c r="M62" i="161"/>
  <c r="L62" i="161"/>
  <c r="K62" i="161"/>
  <c r="H62" i="161"/>
  <c r="N61" i="161"/>
  <c r="M61" i="161"/>
  <c r="L61" i="161"/>
  <c r="K61" i="161"/>
  <c r="H61" i="161"/>
  <c r="N60" i="161"/>
  <c r="M60" i="161"/>
  <c r="L60" i="161"/>
  <c r="K60" i="161"/>
  <c r="H60" i="161"/>
  <c r="N59" i="161"/>
  <c r="M59" i="161"/>
  <c r="L59" i="161"/>
  <c r="K59" i="161"/>
  <c r="H59" i="161"/>
  <c r="N58" i="161"/>
  <c r="M58" i="161"/>
  <c r="L58" i="161"/>
  <c r="K58" i="161"/>
  <c r="H58" i="161"/>
  <c r="N57" i="161"/>
  <c r="M57" i="161"/>
  <c r="L57" i="161"/>
  <c r="K57" i="161"/>
  <c r="H57" i="161"/>
  <c r="N56" i="161"/>
  <c r="M56" i="161"/>
  <c r="L56" i="161"/>
  <c r="K56" i="161"/>
  <c r="H56" i="161"/>
  <c r="N55" i="161"/>
  <c r="M55" i="161"/>
  <c r="L55" i="161"/>
  <c r="K55" i="161"/>
  <c r="H55" i="161"/>
  <c r="N54" i="161"/>
  <c r="M54" i="161"/>
  <c r="L54" i="161"/>
  <c r="K54" i="161"/>
  <c r="H54" i="161"/>
  <c r="N53" i="161"/>
  <c r="M53" i="161"/>
  <c r="L53" i="161"/>
  <c r="K53" i="161"/>
  <c r="H53" i="161"/>
  <c r="N52" i="161"/>
  <c r="M52" i="161"/>
  <c r="L52" i="161"/>
  <c r="K52" i="161"/>
  <c r="H52" i="161"/>
  <c r="N51" i="161"/>
  <c r="M51" i="161"/>
  <c r="L51" i="161"/>
  <c r="K51" i="161"/>
  <c r="H51" i="161"/>
  <c r="N50" i="161"/>
  <c r="M50" i="161"/>
  <c r="L50" i="161"/>
  <c r="K50" i="161"/>
  <c r="H50" i="161"/>
  <c r="N49" i="161"/>
  <c r="M49" i="161"/>
  <c r="L49" i="161"/>
  <c r="K49" i="161"/>
  <c r="H49" i="161"/>
  <c r="N48" i="161"/>
  <c r="M48" i="161"/>
  <c r="L48" i="161"/>
  <c r="K48" i="161"/>
  <c r="H48" i="161"/>
  <c r="N47" i="161"/>
  <c r="M47" i="161"/>
  <c r="L47" i="161"/>
  <c r="K47" i="161"/>
  <c r="H47" i="161"/>
  <c r="N46" i="161"/>
  <c r="M46" i="161"/>
  <c r="L46" i="161"/>
  <c r="K46" i="161"/>
  <c r="H46" i="161"/>
  <c r="N45" i="161"/>
  <c r="M45" i="161"/>
  <c r="L45" i="161"/>
  <c r="K45" i="161"/>
  <c r="H45" i="161"/>
  <c r="N44" i="161"/>
  <c r="M44" i="161"/>
  <c r="L44" i="161"/>
  <c r="K44" i="161"/>
  <c r="H44" i="161"/>
  <c r="N43" i="161"/>
  <c r="M43" i="161"/>
  <c r="L43" i="161"/>
  <c r="K43" i="161"/>
  <c r="H43" i="161"/>
  <c r="N42" i="161"/>
  <c r="M42" i="161"/>
  <c r="L42" i="161"/>
  <c r="K42" i="161"/>
  <c r="H42" i="161"/>
  <c r="N41" i="161"/>
  <c r="M41" i="161"/>
  <c r="L41" i="161"/>
  <c r="K41" i="161"/>
  <c r="H41" i="161"/>
  <c r="N40" i="161"/>
  <c r="M40" i="161"/>
  <c r="L40" i="161"/>
  <c r="K40" i="161"/>
  <c r="H40" i="161"/>
  <c r="N39" i="161"/>
  <c r="M39" i="161"/>
  <c r="L39" i="161"/>
  <c r="K39" i="161"/>
  <c r="H39" i="161"/>
  <c r="N38" i="161"/>
  <c r="M38" i="161"/>
  <c r="L38" i="161"/>
  <c r="K38" i="161"/>
  <c r="H38" i="161"/>
  <c r="N37" i="161"/>
  <c r="M37" i="161"/>
  <c r="L37" i="161"/>
  <c r="K37" i="161"/>
  <c r="H37" i="161"/>
  <c r="N36" i="161"/>
  <c r="M36" i="161"/>
  <c r="L36" i="161"/>
  <c r="K36" i="161"/>
  <c r="H36" i="161"/>
  <c r="N35" i="161"/>
  <c r="M35" i="161"/>
  <c r="L35" i="161"/>
  <c r="K35" i="161"/>
  <c r="H35" i="161"/>
  <c r="N34" i="161"/>
  <c r="M34" i="161"/>
  <c r="L34" i="161"/>
  <c r="K34" i="161"/>
  <c r="H34" i="161"/>
  <c r="N33" i="161"/>
  <c r="M33" i="161"/>
  <c r="L33" i="161"/>
  <c r="K33" i="161"/>
  <c r="H33" i="161"/>
  <c r="N32" i="161"/>
  <c r="M32" i="161"/>
  <c r="L32" i="161"/>
  <c r="K32" i="161"/>
  <c r="H32" i="161"/>
  <c r="N31" i="161"/>
  <c r="M31" i="161"/>
  <c r="L31" i="161"/>
  <c r="K31" i="161"/>
  <c r="H31" i="161"/>
  <c r="N30" i="161"/>
  <c r="M30" i="161"/>
  <c r="L30" i="161"/>
  <c r="K30" i="161"/>
  <c r="H30" i="161"/>
  <c r="N29" i="161"/>
  <c r="M29" i="161"/>
  <c r="L29" i="161"/>
  <c r="K29" i="161"/>
  <c r="H29" i="161"/>
  <c r="N28" i="161"/>
  <c r="M28" i="161"/>
  <c r="L28" i="161"/>
  <c r="K28" i="161"/>
  <c r="H28" i="161"/>
  <c r="N27" i="161"/>
  <c r="M27" i="161"/>
  <c r="L27" i="161"/>
  <c r="K27" i="161"/>
  <c r="H27" i="161"/>
  <c r="N26" i="161"/>
  <c r="M26" i="161"/>
  <c r="L26" i="161"/>
  <c r="K26" i="161"/>
  <c r="H26" i="161"/>
  <c r="N25" i="161"/>
  <c r="M25" i="161"/>
  <c r="L25" i="161"/>
  <c r="K25" i="161"/>
  <c r="H25" i="161"/>
  <c r="N24" i="161"/>
  <c r="M24" i="161"/>
  <c r="L24" i="161"/>
  <c r="K24" i="161"/>
  <c r="H24" i="161"/>
  <c r="N23" i="161"/>
  <c r="M23" i="161"/>
  <c r="L23" i="161"/>
  <c r="K23" i="161"/>
  <c r="H23" i="161"/>
  <c r="N22" i="161"/>
  <c r="M22" i="161"/>
  <c r="L22" i="161"/>
  <c r="K22" i="161"/>
  <c r="H22" i="161"/>
  <c r="N21" i="161"/>
  <c r="M21" i="161"/>
  <c r="L21" i="161"/>
  <c r="K21" i="161"/>
  <c r="H21" i="161"/>
  <c r="N20" i="161"/>
  <c r="M20" i="161"/>
  <c r="L20" i="161"/>
  <c r="K20" i="161"/>
  <c r="H20" i="161"/>
  <c r="N19" i="161"/>
  <c r="M19" i="161"/>
  <c r="L19" i="161"/>
  <c r="K19" i="161"/>
  <c r="H19" i="161"/>
  <c r="N18" i="161"/>
  <c r="M18" i="161"/>
  <c r="L18" i="161"/>
  <c r="K18" i="161"/>
  <c r="H18" i="161"/>
  <c r="N17" i="161"/>
  <c r="M17" i="161"/>
  <c r="L17" i="161"/>
  <c r="K17" i="161"/>
  <c r="H17" i="161"/>
  <c r="N16" i="161"/>
  <c r="M16" i="161"/>
  <c r="L16" i="161"/>
  <c r="K16" i="161"/>
  <c r="H16" i="161"/>
  <c r="N15" i="161"/>
  <c r="M15" i="161"/>
  <c r="L15" i="161"/>
  <c r="K15" i="161"/>
  <c r="H15" i="161"/>
  <c r="N14" i="161"/>
  <c r="M14" i="161"/>
  <c r="L14" i="161"/>
  <c r="K14" i="161"/>
  <c r="H14" i="161"/>
  <c r="N13" i="161"/>
  <c r="M13" i="161"/>
  <c r="L13" i="161"/>
  <c r="K13" i="161"/>
  <c r="H13" i="161"/>
  <c r="N12" i="161"/>
  <c r="M12" i="161"/>
  <c r="L12" i="161"/>
  <c r="K12" i="161"/>
  <c r="H12" i="161"/>
  <c r="N11" i="161"/>
  <c r="M11" i="161"/>
  <c r="L11" i="161"/>
  <c r="K11" i="161"/>
  <c r="H11" i="161"/>
  <c r="N10" i="161"/>
  <c r="M10" i="161"/>
  <c r="L10" i="161"/>
  <c r="K10" i="161"/>
  <c r="H10" i="161"/>
  <c r="N9" i="161"/>
  <c r="M9" i="161"/>
  <c r="L9" i="161"/>
  <c r="K9" i="161"/>
  <c r="H9" i="161"/>
  <c r="N8" i="161"/>
  <c r="M8" i="161"/>
  <c r="L8" i="161"/>
  <c r="K8" i="161"/>
  <c r="H8" i="161"/>
  <c r="N7" i="161"/>
  <c r="M7" i="161"/>
  <c r="L7" i="161"/>
  <c r="K7" i="161"/>
  <c r="H7" i="161"/>
  <c r="N6" i="161"/>
  <c r="M6" i="161"/>
  <c r="L6" i="161"/>
  <c r="K6" i="161"/>
  <c r="H6" i="161"/>
  <c r="N5" i="161"/>
  <c r="M5" i="161"/>
  <c r="L5" i="161"/>
  <c r="K5" i="161"/>
  <c r="H5" i="161"/>
  <c r="N4" i="161"/>
  <c r="M4" i="161"/>
  <c r="L4" i="161"/>
  <c r="K4" i="161"/>
  <c r="H4" i="161"/>
  <c r="N3" i="161"/>
  <c r="M3" i="161"/>
  <c r="L3" i="161"/>
  <c r="K3" i="161"/>
  <c r="H3" i="161"/>
  <c r="N2" i="161"/>
  <c r="M2" i="161"/>
  <c r="L2" i="161"/>
  <c r="K2" i="161"/>
  <c r="H2" i="161"/>
  <c r="P138" i="158"/>
  <c r="P139" i="158"/>
  <c r="P140" i="158"/>
  <c r="P141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G40" i="160"/>
  <c r="B5" i="160"/>
  <c r="B10" i="160"/>
  <c r="B6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G31" i="160"/>
  <c r="H31" i="160"/>
  <c r="I31" i="160"/>
  <c r="J31" i="160"/>
  <c r="F31" i="160"/>
  <c r="D31" i="160"/>
  <c r="G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O2" i="159"/>
  <c r="O3" i="159"/>
  <c r="P6" i="159"/>
  <c r="N6" i="159"/>
  <c r="M6" i="159"/>
  <c r="L6" i="159"/>
  <c r="K6" i="159"/>
  <c r="J6" i="159"/>
  <c r="H6" i="159"/>
  <c r="F6" i="159"/>
  <c r="C6" i="159"/>
  <c r="A6" i="159"/>
  <c r="P5" i="159"/>
  <c r="N5" i="159"/>
  <c r="M5" i="159"/>
  <c r="L5" i="159"/>
  <c r="K5" i="159"/>
  <c r="J5" i="159"/>
  <c r="H5" i="159"/>
  <c r="F5" i="159"/>
  <c r="C5" i="159"/>
  <c r="A5" i="159"/>
  <c r="P4" i="159"/>
  <c r="N4" i="159"/>
  <c r="M4" i="159"/>
  <c r="L4" i="159"/>
  <c r="K4" i="159"/>
  <c r="J4" i="159"/>
  <c r="H4" i="159"/>
  <c r="F4" i="159"/>
  <c r="C4" i="159"/>
  <c r="A4" i="159"/>
  <c r="P3" i="159"/>
  <c r="N3" i="159"/>
  <c r="M3" i="159"/>
  <c r="L3" i="159"/>
  <c r="K3" i="159"/>
  <c r="J3" i="159"/>
  <c r="H3" i="159"/>
  <c r="F3" i="159"/>
  <c r="C3" i="159"/>
  <c r="A3" i="159"/>
  <c r="P2" i="159"/>
  <c r="N2" i="159"/>
  <c r="M2" i="159"/>
  <c r="L2" i="159"/>
  <c r="K2" i="159"/>
  <c r="J2" i="159"/>
  <c r="H2" i="159"/>
  <c r="F2" i="159"/>
  <c r="C2" i="159"/>
  <c r="A2" i="159"/>
  <c r="A300" i="154"/>
  <c r="F300" i="154"/>
  <c r="H300" i="154"/>
  <c r="K300" i="154"/>
  <c r="L300" i="154"/>
  <c r="M300" i="154"/>
  <c r="N300" i="154"/>
  <c r="F301" i="154"/>
  <c r="F302" i="154"/>
  <c r="F303" i="154"/>
  <c r="F304" i="154"/>
  <c r="R5" i="153"/>
  <c r="R3" i="153"/>
  <c r="R4" i="153"/>
  <c r="R6" i="153"/>
  <c r="R7" i="153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F300" i="158"/>
  <c r="H300" i="158"/>
  <c r="K300" i="158"/>
  <c r="L300" i="158"/>
  <c r="M300" i="158"/>
  <c r="N300" i="158"/>
  <c r="F301" i="158"/>
  <c r="F302" i="158"/>
  <c r="F303" i="158"/>
  <c r="F304" i="158"/>
  <c r="R3" i="157"/>
  <c r="R4" i="157"/>
  <c r="R5" i="157"/>
  <c r="R6" i="157"/>
  <c r="R7" i="157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F295" i="154"/>
  <c r="H295" i="154"/>
  <c r="K295" i="154"/>
  <c r="L295" i="154"/>
  <c r="M295" i="154"/>
  <c r="N295" i="154"/>
  <c r="F296" i="154"/>
  <c r="F297" i="154"/>
  <c r="F298" i="154"/>
  <c r="F299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F295" i="158"/>
  <c r="H295" i="158"/>
  <c r="K295" i="158"/>
  <c r="L295" i="158"/>
  <c r="M295" i="158"/>
  <c r="N295" i="158"/>
  <c r="F296" i="158"/>
  <c r="F297" i="158"/>
  <c r="F298" i="158"/>
  <c r="F299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R8" i="153"/>
  <c r="R9" i="153"/>
  <c r="R10" i="153"/>
  <c r="R8" i="157"/>
  <c r="R9" i="157"/>
  <c r="R10" i="157"/>
  <c r="H290" i="158"/>
  <c r="K290" i="158"/>
  <c r="L290" i="158"/>
  <c r="M290" i="158"/>
  <c r="N290" i="158"/>
  <c r="B10" i="157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B10" i="153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B6" i="157"/>
  <c r="B5" i="157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F48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2" i="157"/>
  <c r="G42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2" i="153"/>
  <c r="G42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M7" i="153"/>
  <c r="V6" i="153"/>
  <c r="P6" i="153"/>
  <c r="O6" i="153"/>
  <c r="M6" i="153"/>
  <c r="V5" i="153"/>
  <c r="P5" i="153"/>
  <c r="O5" i="153"/>
  <c r="M5" i="153"/>
  <c r="V4" i="153"/>
  <c r="P4" i="153"/>
  <c r="O4" i="153"/>
  <c r="M4" i="153"/>
  <c r="V3" i="153"/>
  <c r="P3" i="153"/>
  <c r="O3" i="153"/>
  <c r="M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  <c r="F48" i="153"/>
  <c r="F41" i="153"/>
  <c r="G41" i="153"/>
  <c r="D21" i="160"/>
  <c r="F21" i="160"/>
  <c r="I21" i="160"/>
  <c r="J21" i="160"/>
  <c r="B32" i="160"/>
  <c r="D32" i="160"/>
  <c r="B44" i="160"/>
  <c r="B47" i="160"/>
  <c r="C40" i="160"/>
  <c r="C41" i="160"/>
  <c r="C42" i="160"/>
  <c r="C43" i="160"/>
  <c r="C44" i="160"/>
  <c r="C45" i="160"/>
  <c r="C46" i="160"/>
  <c r="C47" i="160"/>
  <c r="P2" i="161"/>
  <c r="P3" i="161"/>
  <c r="P4" i="161"/>
  <c r="P5" i="161"/>
  <c r="P6" i="161"/>
  <c r="P7" i="161"/>
  <c r="P8" i="161"/>
  <c r="P9" i="161"/>
  <c r="P10" i="161"/>
  <c r="P11" i="161"/>
  <c r="P12" i="161"/>
  <c r="P13" i="161"/>
  <c r="P14" i="161"/>
  <c r="P15" i="161"/>
  <c r="P16" i="161"/>
  <c r="P17" i="161"/>
  <c r="P18" i="161"/>
  <c r="P19" i="161"/>
  <c r="P20" i="161"/>
  <c r="P21" i="161"/>
  <c r="P22" i="161"/>
  <c r="P23" i="161"/>
  <c r="P24" i="161"/>
  <c r="P25" i="161"/>
  <c r="P26" i="161"/>
  <c r="P27" i="161"/>
  <c r="P28" i="161"/>
  <c r="P29" i="161"/>
  <c r="P30" i="161"/>
  <c r="P31" i="161"/>
  <c r="P32" i="161"/>
  <c r="P33" i="161"/>
  <c r="P34" i="161"/>
  <c r="P35" i="161"/>
  <c r="P36" i="161"/>
  <c r="P37" i="161"/>
  <c r="P38" i="161"/>
  <c r="P39" i="161"/>
  <c r="P40" i="161"/>
  <c r="P41" i="161"/>
  <c r="P42" i="161"/>
  <c r="P43" i="161"/>
  <c r="P44" i="161"/>
  <c r="P45" i="161"/>
  <c r="P46" i="161"/>
  <c r="P47" i="161"/>
  <c r="P48" i="161"/>
  <c r="P49" i="161"/>
  <c r="P50" i="161"/>
  <c r="P51" i="161"/>
  <c r="P52" i="161"/>
  <c r="P53" i="161"/>
  <c r="P54" i="161"/>
  <c r="P55" i="161"/>
  <c r="P56" i="161"/>
  <c r="P57" i="161"/>
  <c r="P58" i="161"/>
  <c r="P59" i="161"/>
  <c r="P60" i="161"/>
  <c r="P61" i="161"/>
  <c r="P62" i="161"/>
  <c r="P63" i="161"/>
  <c r="P64" i="161"/>
  <c r="P65" i="161"/>
  <c r="P66" i="161"/>
  <c r="P67" i="161"/>
  <c r="P68" i="161"/>
  <c r="P69" i="161"/>
  <c r="P70" i="161"/>
  <c r="P71" i="161"/>
  <c r="P72" i="161"/>
  <c r="P73" i="161"/>
  <c r="P74" i="161"/>
  <c r="P75" i="161"/>
  <c r="P76" i="161"/>
  <c r="P77" i="161"/>
  <c r="P78" i="161"/>
  <c r="P79" i="161"/>
  <c r="P80" i="161"/>
  <c r="P81" i="161"/>
  <c r="P82" i="161"/>
  <c r="P83" i="161"/>
  <c r="P84" i="161"/>
  <c r="P85" i="161"/>
  <c r="P86" i="161"/>
  <c r="P87" i="161"/>
  <c r="P88" i="161"/>
  <c r="P89" i="161"/>
  <c r="P90" i="161"/>
  <c r="P91" i="161"/>
  <c r="P92" i="161"/>
  <c r="P93" i="161"/>
  <c r="P94" i="161"/>
  <c r="P95" i="161"/>
  <c r="P96" i="161"/>
  <c r="P97" i="161"/>
  <c r="P98" i="161"/>
  <c r="P99" i="161"/>
  <c r="P100" i="161"/>
  <c r="P101" i="161"/>
  <c r="P102" i="161"/>
  <c r="P103" i="161"/>
  <c r="P104" i="161"/>
  <c r="P105" i="161"/>
  <c r="P106" i="161"/>
  <c r="P107" i="161"/>
  <c r="P108" i="161"/>
  <c r="P109" i="161"/>
  <c r="P110" i="161"/>
  <c r="P111" i="161"/>
  <c r="P112" i="161"/>
  <c r="P113" i="161"/>
  <c r="P114" i="161"/>
  <c r="P115" i="161"/>
  <c r="P116" i="161"/>
  <c r="P117" i="161"/>
  <c r="P118" i="161"/>
  <c r="P119" i="161"/>
  <c r="P120" i="161"/>
  <c r="P121" i="161"/>
  <c r="P122" i="161"/>
  <c r="P123" i="161"/>
  <c r="P124" i="161"/>
  <c r="P125" i="161"/>
  <c r="P126" i="161"/>
  <c r="P127" i="161"/>
  <c r="P128" i="161"/>
  <c r="P129" i="161"/>
  <c r="P130" i="161"/>
  <c r="P131" i="161"/>
  <c r="P132" i="161"/>
  <c r="P133" i="161"/>
  <c r="P134" i="161"/>
  <c r="P135" i="161"/>
  <c r="P136" i="161"/>
  <c r="P137" i="161"/>
  <c r="P138" i="161"/>
  <c r="P139" i="161"/>
  <c r="P140" i="161"/>
  <c r="P141" i="161"/>
  <c r="P142" i="161"/>
  <c r="P143" i="161"/>
  <c r="P144" i="161"/>
  <c r="P145" i="161"/>
  <c r="P146" i="161"/>
  <c r="P147" i="161"/>
  <c r="P148" i="161"/>
  <c r="P149" i="161"/>
  <c r="P150" i="161"/>
  <c r="P151" i="161"/>
  <c r="P152" i="161"/>
  <c r="P153" i="161"/>
  <c r="P154" i="161"/>
  <c r="P155" i="161"/>
  <c r="P156" i="161"/>
  <c r="P157" i="161"/>
  <c r="P158" i="161"/>
  <c r="P159" i="161"/>
  <c r="P160" i="161"/>
  <c r="P161" i="161"/>
  <c r="P162" i="161"/>
  <c r="P163" i="161"/>
  <c r="P164" i="161"/>
  <c r="P165" i="161"/>
  <c r="P166" i="161"/>
  <c r="P167" i="161"/>
  <c r="P168" i="161"/>
  <c r="P169" i="161"/>
  <c r="P170" i="161"/>
  <c r="P171" i="161"/>
  <c r="P172" i="161"/>
  <c r="P173" i="161"/>
  <c r="P174" i="161"/>
  <c r="P175" i="161"/>
  <c r="P176" i="161"/>
  <c r="P177" i="161"/>
  <c r="P178" i="161"/>
  <c r="P179" i="161"/>
  <c r="P180" i="161"/>
  <c r="P181" i="161"/>
  <c r="P182" i="161"/>
  <c r="P183" i="161"/>
  <c r="P184" i="161"/>
  <c r="P185" i="161"/>
  <c r="P186" i="161"/>
  <c r="P187" i="161"/>
  <c r="P188" i="161"/>
  <c r="P189" i="161"/>
  <c r="P190" i="161"/>
  <c r="P191" i="161"/>
  <c r="P192" i="161"/>
  <c r="P193" i="161"/>
  <c r="P194" i="161"/>
  <c r="P195" i="161"/>
  <c r="P196" i="161"/>
  <c r="P197" i="161"/>
  <c r="P198" i="161"/>
  <c r="P199" i="161"/>
  <c r="P200" i="161"/>
  <c r="P201" i="161"/>
  <c r="P202" i="161"/>
  <c r="P203" i="161"/>
  <c r="P204" i="161"/>
  <c r="P205" i="161"/>
  <c r="P206" i="161"/>
  <c r="P207" i="161"/>
  <c r="P208" i="161"/>
  <c r="P209" i="161"/>
  <c r="P210" i="161"/>
  <c r="P211" i="161"/>
  <c r="P212" i="161"/>
  <c r="P213" i="161"/>
  <c r="P214" i="161"/>
  <c r="P215" i="161"/>
  <c r="P216" i="161"/>
  <c r="P217" i="161"/>
  <c r="P218" i="161"/>
  <c r="P219" i="161"/>
  <c r="P220" i="161"/>
  <c r="P221" i="161"/>
  <c r="P222" i="161"/>
  <c r="P223" i="161"/>
  <c r="P224" i="161"/>
  <c r="P225" i="161"/>
  <c r="P226" i="161"/>
  <c r="P227" i="161"/>
  <c r="P228" i="161"/>
  <c r="P229" i="161"/>
  <c r="P230" i="161"/>
  <c r="P231" i="161"/>
  <c r="P232" i="161"/>
  <c r="P233" i="161"/>
  <c r="P234" i="161"/>
  <c r="P235" i="161"/>
  <c r="P236" i="161"/>
  <c r="P237" i="161"/>
  <c r="P238" i="161"/>
  <c r="P239" i="161"/>
  <c r="P240" i="161"/>
  <c r="P241" i="161"/>
  <c r="P242" i="161"/>
  <c r="P243" i="161"/>
  <c r="P244" i="161"/>
  <c r="P245" i="161"/>
  <c r="P246" i="161"/>
  <c r="P247" i="161"/>
  <c r="P248" i="161"/>
  <c r="P249" i="161"/>
  <c r="P250" i="161"/>
  <c r="P251" i="161"/>
  <c r="P252" i="161"/>
  <c r="P253" i="161"/>
  <c r="P254" i="161"/>
  <c r="P255" i="161"/>
  <c r="P256" i="161"/>
  <c r="P257" i="161"/>
  <c r="P258" i="161"/>
  <c r="P259" i="161"/>
  <c r="P260" i="161"/>
  <c r="P261" i="161"/>
  <c r="P262" i="161"/>
  <c r="P263" i="161"/>
  <c r="P264" i="161"/>
  <c r="P265" i="161"/>
  <c r="P266" i="161"/>
  <c r="P267" i="161"/>
  <c r="P268" i="161"/>
  <c r="P269" i="161"/>
  <c r="P270" i="161"/>
  <c r="P271" i="161"/>
  <c r="P272" i="161"/>
  <c r="P273" i="161"/>
  <c r="P274" i="161"/>
  <c r="P275" i="161"/>
  <c r="P276" i="161"/>
  <c r="P277" i="161"/>
  <c r="P278" i="161"/>
  <c r="P279" i="161"/>
  <c r="P280" i="161"/>
  <c r="P281" i="161"/>
  <c r="P282" i="161"/>
  <c r="P283" i="161"/>
  <c r="P284" i="161"/>
  <c r="P285" i="161"/>
  <c r="P286" i="161"/>
  <c r="P287" i="161"/>
  <c r="P288" i="161"/>
  <c r="P289" i="161"/>
  <c r="P290" i="161"/>
  <c r="P291" i="161"/>
  <c r="P292" i="161"/>
  <c r="P293" i="161"/>
  <c r="P294" i="161"/>
  <c r="P295" i="161"/>
  <c r="P296" i="161"/>
  <c r="P297" i="161"/>
  <c r="P298" i="161"/>
  <c r="P299" i="161"/>
  <c r="P300" i="161"/>
  <c r="P301" i="161"/>
  <c r="P302" i="161"/>
  <c r="P303" i="161"/>
  <c r="P304" i="161"/>
  <c r="P305" i="161"/>
  <c r="P306" i="161"/>
  <c r="P307" i="161"/>
  <c r="P308" i="161"/>
  <c r="P309" i="161"/>
  <c r="F45" i="160"/>
  <c r="F46" i="160"/>
  <c r="F47" i="160"/>
  <c r="F48" i="160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5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<sst xmlns="http://schemas.openxmlformats.org/spreadsheetml/2006/main" count="646" uniqueCount="253">
  <si>
    <t>character_id</t>
  </si>
  <si>
    <t>character_id</t>
    <phoneticPr fontId="22"/>
  </si>
  <si>
    <t>weight</t>
    <phoneticPr fontId="22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</si>
  <si>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</si>
  <si>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</si>
  <si>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</si>
  <si>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</si>
  <si>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</si>
  <si>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</si>
  <si>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</si>
  <si>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2"/>
  </si>
  <si>
    <t>bonus_table_no</t>
    <phoneticPr fontId="22"/>
  </si>
  <si>
    <t>weight</t>
    <phoneticPr fontId="22"/>
  </si>
  <si>
    <t>gift_id</t>
    <phoneticPr fontId="22"/>
  </si>
  <si>
    <t>gift_id</t>
    <phoneticPr fontId="22"/>
  </si>
  <si>
    <t>gift_type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</si>
  <si>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</si>
  <si>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</si>
  <si>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</si>
  <si>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</si>
  <si>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</si>
  <si>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</si>
  <si>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gift_id</t>
    <phoneticPr fontId="22"/>
  </si>
  <si>
    <t>gift_value</t>
    <phoneticPr fontId="22"/>
  </si>
  <si>
    <t>gift_value</t>
    <phoneticPr fontId="22"/>
  </si>
  <si>
    <t>gift_count</t>
    <phoneticPr fontId="22"/>
  </si>
  <si>
    <t>language</t>
    <phoneticPr fontId="22"/>
  </si>
  <si>
    <t>title</t>
    <phoneticPr fontId="22"/>
  </si>
  <si>
    <t>detail</t>
    <phoneticPr fontId="22"/>
  </si>
  <si>
    <t>message</t>
    <phoneticPr fontId="22"/>
  </si>
  <si>
    <t>gift_type</t>
    <phoneticPr fontId="22"/>
  </si>
  <si>
    <t>備考</t>
    <rPh sb="0" eb="2">
      <t>ビコウ</t>
    </rPh>
    <phoneticPr fontId="22"/>
  </si>
  <si>
    <t>character_id</t>
    <phoneticPr fontId="22"/>
  </si>
  <si>
    <t>name</t>
    <phoneticPr fontId="22"/>
  </si>
  <si>
    <t>drop_label</t>
    <phoneticPr fontId="22"/>
  </si>
  <si>
    <t>rare</t>
    <phoneticPr fontId="22"/>
  </si>
  <si>
    <t>character_type_id</t>
    <phoneticPr fontId="22"/>
  </si>
  <si>
    <t>character_tribe_id</t>
    <phoneticPr fontId="22"/>
  </si>
  <si>
    <t>unit_level</t>
    <phoneticPr fontId="22"/>
  </si>
  <si>
    <t>接頭語</t>
    <rPh sb="0" eb="3">
      <t>セットウゴ</t>
    </rPh>
    <phoneticPr fontId="55"/>
  </si>
  <si>
    <t>識別子</t>
    <rPh sb="0" eb="3">
      <t>シキベツシ</t>
    </rPh>
    <phoneticPr fontId="55"/>
  </si>
  <si>
    <t>形式</t>
    <rPh sb="0" eb="2">
      <t>ケイシキ</t>
    </rPh>
    <phoneticPr fontId="55"/>
  </si>
  <si>
    <t>出力ファイル名</t>
    <rPh sb="0" eb="2">
      <t>シュツリョク</t>
    </rPh>
    <rPh sb="6" eb="7">
      <t>メイ</t>
    </rPh>
    <phoneticPr fontId="55"/>
  </si>
  <si>
    <t>入力シート名</t>
    <rPh sb="0" eb="2">
      <t>ニュウリョク</t>
    </rPh>
    <rPh sb="5" eb="6">
      <t>メイ</t>
    </rPh>
    <phoneticPr fontId="55"/>
  </si>
  <si>
    <t>出力データ</t>
    <rPh sb="0" eb="2">
      <t>シュツリョク</t>
    </rPh>
    <phoneticPr fontId="55"/>
  </si>
  <si>
    <t>.tmp</t>
    <phoneticPr fontId="55"/>
  </si>
  <si>
    <t>.tmp</t>
    <phoneticPr fontId="55"/>
  </si>
  <si>
    <t>gacha_bonus_tables</t>
    <phoneticPr fontId="55"/>
  </si>
  <si>
    <t>gifts_tmp_</t>
    <phoneticPr fontId="22"/>
  </si>
  <si>
    <t>gifts_i18n_</t>
    <phoneticPr fontId="22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</si>
  <si>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2"/>
  </si>
  <si>
    <t>出力flg</t>
    <rPh sb="0" eb="2">
      <t>シュツリョク</t>
    </rPh>
    <phoneticPr fontId="55"/>
  </si>
  <si>
    <t>color</t>
    <phoneticPr fontId="22"/>
  </si>
  <si>
    <t>レアリティ別確率</t>
    <rPh sb="5" eb="6">
      <t>ベツ</t>
    </rPh>
    <rPh sb="6" eb="8">
      <t>カクリツ</t>
    </rPh>
    <phoneticPr fontId="22"/>
  </si>
  <si>
    <t>ラベル別確率</t>
    <rPh sb="3" eb="4">
      <t>ベツ</t>
    </rPh>
    <rPh sb="4" eb="6">
      <t>カクリツ</t>
    </rPh>
    <phoneticPr fontId="22"/>
  </si>
  <si>
    <t>SSS</t>
    <phoneticPr fontId="22"/>
  </si>
  <si>
    <t>SS</t>
    <phoneticPr fontId="22"/>
  </si>
  <si>
    <t>ラベル*レアリティ標準確率</t>
    <rPh sb="9" eb="11">
      <t>ヒョウジュン</t>
    </rPh>
    <rPh sb="11" eb="13">
      <t>カクリツ</t>
    </rPh>
    <phoneticPr fontId="22"/>
  </si>
  <si>
    <t>性別</t>
    <rPh sb="0" eb="2">
      <t>セイベツ</t>
    </rPh>
    <phoneticPr fontId="22"/>
  </si>
  <si>
    <t>合計</t>
    <rPh sb="0" eb="2">
      <t>ゴウケイ</t>
    </rPh>
    <phoneticPr fontId="22"/>
  </si>
  <si>
    <t>グループ</t>
    <phoneticPr fontId="22"/>
  </si>
  <si>
    <t>ピックアップ確率</t>
    <rPh sb="6" eb="8">
      <t>カクリツ</t>
    </rPh>
    <phoneticPr fontId="22"/>
  </si>
  <si>
    <t>残り確率</t>
    <rPh sb="0" eb="1">
      <t>ノコ</t>
    </rPh>
    <rPh sb="2" eb="4">
      <t>カクリツ</t>
    </rPh>
    <phoneticPr fontId="22"/>
  </si>
  <si>
    <t>確率</t>
    <rPh sb="0" eb="2">
      <t>カクリツ</t>
    </rPh>
    <phoneticPr fontId="22"/>
  </si>
  <si>
    <t>所属グループ</t>
    <rPh sb="0" eb="2">
      <t>ショゾク</t>
    </rPh>
    <phoneticPr fontId="22"/>
  </si>
  <si>
    <t>名前</t>
    <rPh sb="0" eb="2">
      <t>ナマエ</t>
    </rPh>
    <phoneticPr fontId="22"/>
  </si>
  <si>
    <t>レアリティ</t>
    <phoneticPr fontId="22"/>
  </si>
  <si>
    <t>ラベル</t>
    <phoneticPr fontId="22"/>
  </si>
  <si>
    <t>R3</t>
    <phoneticPr fontId="22"/>
  </si>
  <si>
    <t>R4</t>
    <phoneticPr fontId="22"/>
  </si>
  <si>
    <t>R5</t>
    <phoneticPr fontId="22"/>
  </si>
  <si>
    <t>個別確率</t>
    <rPh sb="0" eb="4">
      <t>コベツカクリツ</t>
    </rPh>
    <phoneticPr fontId="22"/>
  </si>
  <si>
    <t>該当数(ピックアップ除く)</t>
    <rPh sb="0" eb="2">
      <t>ガイトウ</t>
    </rPh>
    <rPh sb="2" eb="3">
      <t>スウ</t>
    </rPh>
    <rPh sb="10" eb="11">
      <t>ノゾ</t>
    </rPh>
    <phoneticPr fontId="22"/>
  </si>
  <si>
    <t>個別weight</t>
    <rPh sb="0" eb="2">
      <t>コベツ</t>
    </rPh>
    <phoneticPr fontId="22"/>
  </si>
  <si>
    <t>グループweight</t>
    <phoneticPr fontId="22"/>
  </si>
  <si>
    <t>端数</t>
    <rPh sb="0" eb="2">
      <t>ハスウ</t>
    </rPh>
    <phoneticPr fontId="22"/>
  </si>
  <si>
    <t>--検算用--</t>
    <rPh sb="3" eb="6">
      <t>ケンザンヨウ</t>
    </rPh>
    <phoneticPr fontId="22"/>
  </si>
  <si>
    <t>端数逆数</t>
    <rPh sb="0" eb="2">
      <t>ハスウ</t>
    </rPh>
    <rPh sb="2" eb="4">
      <t>ギャクスウ</t>
    </rPh>
    <phoneticPr fontId="22"/>
  </si>
  <si>
    <t>テーブルを増やしたい場合</t>
    <rPh sb="5" eb="6">
      <t>フ</t>
    </rPh>
    <rPh sb="10" eb="12">
      <t>バアイ</t>
    </rPh>
    <phoneticPr fontId="22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</si>
  <si>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2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</si>
  <si>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2"/>
  </si>
  <si>
    <t>３．outputシートで２で作ったtablesを指定する</t>
    <rPh sb="14" eb="15">
      <t>ツク</t>
    </rPh>
    <rPh sb="24" eb="26">
      <t>シテイ</t>
    </rPh>
    <phoneticPr fontId="22"/>
  </si>
  <si>
    <t>テーブルid</t>
    <phoneticPr fontId="22"/>
  </si>
  <si>
    <t>→ピックアップの確率は右のほうにいます</t>
    <rPh sb="8" eb="10">
      <t>カクリツ</t>
    </rPh>
    <rPh sb="11" eb="12">
      <t>ミギ</t>
    </rPh>
    <phoneticPr fontId="22"/>
  </si>
  <si>
    <t>table_no</t>
    <phoneticPr fontId="22"/>
  </si>
  <si>
    <t>table_no</t>
    <phoneticPr fontId="22"/>
  </si>
  <si>
    <t>skill_level</t>
  </si>
  <si>
    <t>level</t>
  </si>
  <si>
    <t>hp_plus</t>
    <phoneticPr fontId="55"/>
  </si>
  <si>
    <t>attack_plus</t>
    <phoneticPr fontId="55"/>
  </si>
  <si>
    <t>heal_plus</t>
    <phoneticPr fontId="55"/>
  </si>
  <si>
    <t>defense_plus</t>
    <phoneticPr fontId="55"/>
  </si>
  <si>
    <t>level</t>
    <phoneticPr fontId="55"/>
  </si>
  <si>
    <t>skill_level</t>
    <phoneticPr fontId="55"/>
  </si>
  <si>
    <t>bug</t>
    <phoneticPr fontId="55"/>
  </si>
  <si>
    <t>drop_label2</t>
    <phoneticPr fontId="22"/>
  </si>
  <si>
    <t>Premium</t>
    <phoneticPr fontId="22"/>
  </si>
  <si>
    <t>Premium3</t>
    <phoneticPr fontId="22"/>
  </si>
  <si>
    <t>Premium4</t>
    <phoneticPr fontId="22"/>
  </si>
  <si>
    <t>Premium5</t>
    <phoneticPr fontId="22"/>
  </si>
  <si>
    <t>グループ確率</t>
    <rPh sb="4" eb="6">
      <t>カクリツ</t>
    </rPh>
    <phoneticPr fontId="22"/>
  </si>
  <si>
    <t>レア度別確率</t>
    <rPh sb="2" eb="4">
      <t>ドベツ</t>
    </rPh>
    <rPh sb="4" eb="6">
      <t>カクリツ</t>
    </rPh>
    <phoneticPr fontId="22"/>
  </si>
  <si>
    <t>color2</t>
    <phoneticPr fontId="22"/>
  </si>
  <si>
    <t>Premium3</t>
  </si>
  <si>
    <t>Premium4</t>
  </si>
  <si>
    <t>Premium5</t>
  </si>
  <si>
    <t>PremiumSS4</t>
    <phoneticPr fontId="22"/>
  </si>
  <si>
    <t>PremiumSS5</t>
    <phoneticPr fontId="22"/>
  </si>
  <si>
    <t>PremiumSSS5</t>
    <phoneticPr fontId="22"/>
  </si>
  <si>
    <t>PremiumSSS4</t>
    <phoneticPr fontId="22"/>
  </si>
  <si>
    <t>gacha_select_tables_</t>
    <phoneticPr fontId="22"/>
  </si>
  <si>
    <t>ラベル確率で考えましょう</t>
    <rPh sb="6" eb="7">
      <t>カンガエマショウ</t>
    </rPh>
    <phoneticPr fontId="55"/>
  </si>
  <si>
    <t>ラベル</t>
    <phoneticPr fontId="55"/>
  </si>
  <si>
    <t>レアリティ</t>
    <phoneticPr fontId="55"/>
  </si>
  <si>
    <t>{W}</t>
    <phoneticPr fontId="55"/>
  </si>
  <si>
    <t>{N,S}</t>
    <phoneticPr fontId="55"/>
  </si>
  <si>
    <t>{N,S}R3less</t>
    <phoneticPr fontId="55"/>
  </si>
  <si>
    <t>{N,S}R6release</t>
    <phoneticPr fontId="55"/>
  </si>
  <si>
    <t>{SS}</t>
    <phoneticPr fontId="55"/>
  </si>
  <si>
    <t>{SS}R6only</t>
    <phoneticPr fontId="55"/>
  </si>
  <si>
    <t>小計</t>
    <rPh sb="0" eb="2">
      <t>ショウケイ</t>
    </rPh>
    <phoneticPr fontId="55"/>
  </si>
  <si>
    <t>A</t>
    <phoneticPr fontId="55"/>
  </si>
  <si>
    <t>C</t>
    <phoneticPr fontId="55"/>
  </si>
  <si>
    <t>H</t>
    <phoneticPr fontId="55"/>
  </si>
  <si>
    <t>B</t>
    <phoneticPr fontId="55"/>
  </si>
  <si>
    <t>D</t>
    <phoneticPr fontId="55"/>
  </si>
  <si>
    <t>F</t>
    <phoneticPr fontId="55"/>
  </si>
  <si>
    <t>I</t>
    <phoneticPr fontId="55"/>
  </si>
  <si>
    <t>K</t>
    <phoneticPr fontId="55"/>
  </si>
  <si>
    <t>E</t>
    <phoneticPr fontId="55"/>
  </si>
  <si>
    <t>G</t>
    <phoneticPr fontId="55"/>
  </si>
  <si>
    <t>J</t>
    <phoneticPr fontId="55"/>
  </si>
  <si>
    <t>L</t>
    <phoneticPr fontId="55"/>
  </si>
  <si>
    <t>M</t>
    <phoneticPr fontId="55"/>
  </si>
  <si>
    <t>→</t>
    <phoneticPr fontId="55"/>
  </si>
  <si>
    <t>1-SS率</t>
    <rPh sb="4" eb="5">
      <t>リツ</t>
    </rPh>
    <phoneticPr fontId="55"/>
  </si>
  <si>
    <t>SS率</t>
    <rPh sb="2" eb="3">
      <t>リツ</t>
    </rPh>
    <phoneticPr fontId="55"/>
  </si>
  <si>
    <t>考え方を変える</t>
    <rPh sb="0" eb="1">
      <t>カンガエカタ</t>
    </rPh>
    <rPh sb="4" eb="5">
      <t>カエル</t>
    </rPh>
    <phoneticPr fontId="55"/>
  </si>
  <si>
    <t>SS4%は確定事項</t>
    <rPh sb="5" eb="7">
      <t>カクテイ</t>
    </rPh>
    <rPh sb="7" eb="9">
      <t>ジコウ</t>
    </rPh>
    <phoneticPr fontId="55"/>
  </si>
  <si>
    <t>当たりは分配</t>
    <rPh sb="0" eb="1">
      <t>アタリ</t>
    </rPh>
    <rPh sb="4" eb="6">
      <t>ブンパイ</t>
    </rPh>
    <phoneticPr fontId="55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</si>
  <si>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5"/>
  </si>
  <si>
    <t>=</t>
    <phoneticPr fontId="55"/>
  </si>
  <si>
    <t>X*{SS R5only}</t>
    <phoneticPr fontId="55"/>
  </si>
  <si>
    <t>K</t>
    <phoneticPr fontId="55"/>
  </si>
  <si>
    <t>=</t>
    <phoneticPr fontId="55"/>
  </si>
  <si>
    <t>X*{SS}*(R3率+R4率)</t>
    <rPh sb="10" eb="11">
      <t>リツ</t>
    </rPh>
    <rPh sb="14" eb="15">
      <t>リツ</t>
    </rPh>
    <phoneticPr fontId="55"/>
  </si>
  <si>
    <t>L</t>
    <phoneticPr fontId="55"/>
  </si>
  <si>
    <t>X*{SS}*R5率</t>
    <rPh sb="9" eb="10">
      <t>リツ</t>
    </rPh>
    <phoneticPr fontId="55"/>
  </si>
  <si>
    <t>X*{R6release}*R3率</t>
    <rPh sb="16" eb="17">
      <t>リツ</t>
    </rPh>
    <phoneticPr fontId="55"/>
  </si>
  <si>
    <t>X*{R6release}*R4率</t>
    <rPh sb="16" eb="17">
      <t>リツ</t>
    </rPh>
    <phoneticPr fontId="55"/>
  </si>
  <si>
    <t>J</t>
    <phoneticPr fontId="55"/>
  </si>
  <si>
    <t>X*{R6release}*R5率</t>
    <rPh sb="16" eb="17">
      <t>リツ</t>
    </rPh>
    <phoneticPr fontId="55"/>
  </si>
  <si>
    <t>ハズレで確率を整える</t>
    <rPh sb="4" eb="6">
      <t>カクリツ</t>
    </rPh>
    <rPh sb="7" eb="8">
      <t>トトノエル</t>
    </rPh>
    <phoneticPr fontId="55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</si>
  <si>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5"/>
  </si>
  <si>
    <t>A + C</t>
    <phoneticPr fontId="55"/>
  </si>
  <si>
    <t>=</t>
    <phoneticPr fontId="55"/>
  </si>
  <si>
    <t>50%-H</t>
    <phoneticPr fontId="55"/>
  </si>
  <si>
    <t>①</t>
    <phoneticPr fontId="55"/>
  </si>
  <si>
    <t>B + D + F</t>
    <phoneticPr fontId="55"/>
  </si>
  <si>
    <t>45%-I-K</t>
    <phoneticPr fontId="55"/>
  </si>
  <si>
    <t>②</t>
    <phoneticPr fontId="55"/>
  </si>
  <si>
    <t>E+G</t>
    <phoneticPr fontId="55"/>
  </si>
  <si>
    <t>5%-J-L-M</t>
    <phoneticPr fontId="55"/>
  </si>
  <si>
    <t>③</t>
    <phoneticPr fontId="55"/>
  </si>
  <si>
    <t>A+B</t>
    <phoneticPr fontId="55"/>
  </si>
  <si>
    <t>Y*{W}</t>
    <phoneticPr fontId="55"/>
  </si>
  <si>
    <t>④</t>
    <phoneticPr fontId="55"/>
  </si>
  <si>
    <t>C+D+E</t>
    <phoneticPr fontId="55"/>
  </si>
  <si>
    <t>Y*{N,S}</t>
    <phoneticPr fontId="55"/>
  </si>
  <si>
    <t>⑤</t>
    <phoneticPr fontId="55"/>
  </si>
  <si>
    <t>F+G</t>
    <phoneticPr fontId="55"/>
  </si>
  <si>
    <t>Y*{N,S R3less}</t>
    <phoneticPr fontId="55"/>
  </si>
  <si>
    <t>⑥</t>
    <phoneticPr fontId="55"/>
  </si>
  <si>
    <t>A+B+C+D+E+F+G</t>
    <phoneticPr fontId="55"/>
  </si>
  <si>
    <t>⑦</t>
    <phoneticPr fontId="55"/>
  </si>
  <si>
    <t>←これは4,5,6で作れるのでダメだわ</t>
    <rPh sb="10" eb="11">
      <t>ツクレル</t>
    </rPh>
    <phoneticPr fontId="55"/>
  </si>
  <si>
    <t>E*R3率/R5率</t>
    <rPh sb="4" eb="5">
      <t>リツ</t>
    </rPh>
    <rPh sb="8" eb="9">
      <t>リツ</t>
    </rPh>
    <phoneticPr fontId="55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</si>
  <si>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5"/>
  </si>
  <si>
    <t>E*R4率/R5率</t>
    <rPh sb="4" eb="5">
      <t>リツ</t>
    </rPh>
    <rPh sb="8" eb="9">
      <t>リツ</t>
    </rPh>
    <phoneticPr fontId="55"/>
  </si>
  <si>
    <t>∴</t>
    <phoneticPr fontId="55"/>
  </si>
  <si>
    <t>E</t>
    <phoneticPr fontId="55"/>
  </si>
  <si>
    <t>Y*{N,S}*R5率</t>
    <rPh sb="10" eb="11">
      <t>リツ</t>
    </rPh>
    <phoneticPr fontId="55"/>
  </si>
  <si>
    <t>Y*{N,S}*R4率</t>
    <rPh sb="10" eb="11">
      <t>リツ</t>
    </rPh>
    <phoneticPr fontId="55"/>
  </si>
  <si>
    <t>Y*{N,S}*R3率</t>
    <rPh sb="10" eb="11">
      <t>リツ</t>
    </rPh>
    <phoneticPr fontId="55"/>
  </si>
  <si>
    <t>50%-H-C</t>
    <phoneticPr fontId="55"/>
  </si>
  <si>
    <t>Y*{W}-A</t>
    <phoneticPr fontId="55"/>
  </si>
  <si>
    <t>5%-J-L-M-E</t>
    <phoneticPr fontId="55"/>
  </si>
  <si>
    <t>Y*{N,S R3less} - G</t>
    <phoneticPr fontId="55"/>
  </si>
  <si>
    <t>R6境界前後</t>
    <rPh sb="2" eb="4">
      <t>キョウカイ</t>
    </rPh>
    <rPh sb="4" eb="6">
      <t>ゼンゴ</t>
    </rPh>
    <phoneticPr fontId="22"/>
  </si>
  <si>
    <t>R6事後開放N,S</t>
    <rPh sb="2" eb="6">
      <t>ジゴカイホウ</t>
    </rPh>
    <phoneticPr fontId="22"/>
  </si>
  <si>
    <t>PremiumW3</t>
    <phoneticPr fontId="22"/>
  </si>
  <si>
    <t>PremiumW4</t>
    <phoneticPr fontId="22"/>
  </si>
  <si>
    <t>ラベル確率</t>
    <rPh sb="3" eb="5">
      <t>カクリツ</t>
    </rPh>
    <phoneticPr fontId="22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</si>
  <si>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</si>
  <si>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</si>
  <si>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</si>
  <si>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</si>
  <si>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</si>
  <si>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2"/>
  </si>
  <si>
    <t>PremiumSS5R5only</t>
  </si>
  <si>
    <t>計算用中間データ</t>
    <rPh sb="0" eb="3">
      <t>ケイサンヨウ</t>
    </rPh>
    <rPh sb="3" eb="5">
      <t>チュウカン</t>
    </rPh>
    <phoneticPr fontId="22"/>
  </si>
  <si>
    <t>X</t>
    <phoneticPr fontId="22"/>
  </si>
  <si>
    <t>Y</t>
    <phoneticPr fontId="22"/>
  </si>
  <si>
    <t>対象数</t>
    <rPh sb="0" eb="3">
      <t>タイショウスウ</t>
    </rPh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</si>
  <si>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</si>
  <si>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</si>
  <si>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</si>
  <si>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</si>
  <si>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←R6分はここから差し引く</t>
    <rPh sb="3" eb="4">
      <t>ブン</t>
    </rPh>
    <rPh sb="9" eb="10">
      <t>サシヒク</t>
    </rPh>
    <phoneticPr fontId="22"/>
  </si>
  <si>
    <t>除外確率</t>
    <rPh sb="0" eb="2">
      <t>ジョガイ</t>
    </rPh>
    <rPh sb="2" eb="4">
      <t>カクリツ</t>
    </rPh>
    <phoneticPr fontId="22"/>
  </si>
  <si>
    <t>除外数</t>
    <rPh sb="0" eb="3">
      <t>ジョガイスウ</t>
    </rPh>
    <phoneticPr fontId="22"/>
  </si>
  <si>
    <t>もうここは手で入れよう…</t>
    <rPh sb="5" eb="6">
      <t>テ</t>
    </rPh>
    <rPh sb="7" eb="8">
      <t>イレヨウ</t>
    </rPh>
    <phoneticPr fontId="22"/>
  </si>
  <si>
    <t>通常weight</t>
    <rPh sb="0" eb="2">
      <t>ツウジョウ</t>
    </rPh>
    <phoneticPr fontId="22"/>
  </si>
  <si>
    <t>A</t>
    <phoneticPr fontId="22"/>
  </si>
  <si>
    <t>B</t>
    <phoneticPr fontId="22"/>
  </si>
  <si>
    <t>PremiumW4</t>
    <phoneticPr fontId="22"/>
  </si>
  <si>
    <t>C</t>
    <phoneticPr fontId="22"/>
  </si>
  <si>
    <t>Premium3</t>
    <phoneticPr fontId="22"/>
  </si>
  <si>
    <t>D</t>
    <phoneticPr fontId="22"/>
  </si>
  <si>
    <t>Premium4</t>
    <phoneticPr fontId="22"/>
  </si>
  <si>
    <t>E</t>
    <phoneticPr fontId="22"/>
  </si>
  <si>
    <t>Premium5</t>
    <phoneticPr fontId="22"/>
  </si>
  <si>
    <t>F</t>
    <phoneticPr fontId="22"/>
  </si>
  <si>
    <t>Premium4R3less</t>
    <phoneticPr fontId="22"/>
  </si>
  <si>
    <t>G</t>
    <phoneticPr fontId="22"/>
  </si>
  <si>
    <t>Premium5R3less</t>
    <phoneticPr fontId="22"/>
  </si>
  <si>
    <t>H</t>
    <phoneticPr fontId="22"/>
  </si>
  <si>
    <t>I</t>
    <phoneticPr fontId="22"/>
  </si>
  <si>
    <t>J</t>
    <phoneticPr fontId="22"/>
  </si>
  <si>
    <t>K</t>
    <phoneticPr fontId="22"/>
  </si>
  <si>
    <t>Premium3R6release</t>
    <phoneticPr fontId="22"/>
  </si>
  <si>
    <t>Premium4R6release</t>
    <phoneticPr fontId="22"/>
  </si>
  <si>
    <t>Premium5R6release</t>
    <phoneticPr fontId="22"/>
  </si>
  <si>
    <t>PremiumSS4</t>
    <phoneticPr fontId="22"/>
  </si>
  <si>
    <t>PremiumSS5</t>
    <phoneticPr fontId="22"/>
  </si>
  <si>
    <t>L</t>
    <phoneticPr fontId="22"/>
  </si>
  <si>
    <t>M</t>
    <phoneticPr fontId="22"/>
  </si>
  <si>
    <t>PremiumSS5R5only</t>
    <phoneticPr fontId="22"/>
  </si>
  <si>
    <t>50% - H - C</t>
    <phoneticPr fontId="22"/>
  </si>
  <si>
    <t>PremiumSSS4R3less</t>
    <phoneticPr fontId="22"/>
  </si>
  <si>
    <t>PremiumSSS5R3less</t>
    <phoneticPr fontId="22"/>
  </si>
  <si>
    <t>skip</t>
    <phoneticPr fontId="22"/>
  </si>
  <si>
    <t>通常確率</t>
    <phoneticPr fontId="22"/>
  </si>
  <si>
    <t>通常確率</t>
    <phoneticPr fontId="22"/>
  </si>
  <si>
    <t>tables_363104</t>
    <phoneticPr fontId="22"/>
  </si>
  <si>
    <t>tables_363105</t>
    <phoneticPr fontId="22"/>
  </si>
  <si>
    <t>tables_363100</t>
    <phoneticPr fontId="22"/>
  </si>
  <si>
    <t>old</t>
    <phoneticPr fontId="22"/>
  </si>
  <si>
    <t>old</t>
    <phoneticPr fontId="22"/>
  </si>
  <si>
    <t>gacha_select_tables_</t>
    <phoneticPr fontId="22"/>
  </si>
  <si>
    <t>tables_405100</t>
  </si>
  <si>
    <t>tables_405010</t>
  </si>
  <si>
    <t>tables_405011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</si>
</sst>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60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4">
    <xf numFmtId="0" fontId="0" fillId="0" borderId="0"/>
    <xf numFmtId="0" fontId="21" fillId="0" borderId="0"/>
    <xf numFmtId="0" fontId="25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0" fillId="0" borderId="0"/>
    <xf numFmtId="0" fontId="32" fillId="5" borderId="2" applyNumberFormat="0" applyAlignment="0" applyProtection="0"/>
    <xf numFmtId="0" fontId="33" fillId="6" borderId="0" applyNumberFormat="0" applyBorder="0" applyAlignment="0" applyProtection="0"/>
    <xf numFmtId="0" fontId="34" fillId="7" borderId="3" applyNumberFormat="0" applyAlignment="0" applyProtection="0"/>
    <xf numFmtId="0" fontId="35" fillId="0" borderId="0" applyNumberFormat="0" applyFill="0" applyBorder="0" applyAlignment="0" applyProtection="0"/>
    <xf numFmtId="0" fontId="36" fillId="8" borderId="0" applyNumberFormat="0" applyBorder="0" applyAlignment="0" applyProtection="0"/>
    <xf numFmtId="0" fontId="37" fillId="9" borderId="4" applyNumberFormat="0" applyAlignment="0" applyProtection="0"/>
    <xf numFmtId="0" fontId="38" fillId="0" borderId="0" applyNumberFormat="0" applyFill="0" applyBorder="0" applyAlignment="0" applyProtection="0"/>
    <xf numFmtId="0" fontId="39" fillId="0" borderId="5" applyNumberFormat="0" applyFill="0" applyAlignment="0" applyProtection="0"/>
    <xf numFmtId="0" fontId="40" fillId="0" borderId="6" applyNumberFormat="0" applyFill="0" applyAlignment="0" applyProtection="0"/>
    <xf numFmtId="0" fontId="41" fillId="0" borderId="7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0" applyNumberFormat="0" applyBorder="0" applyAlignment="0" applyProtection="0"/>
    <xf numFmtId="0" fontId="42" fillId="6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1" borderId="0" applyNumberFormat="0" applyBorder="0" applyAlignment="0" applyProtection="0"/>
    <xf numFmtId="0" fontId="42" fillId="5" borderId="0" applyNumberFormat="0" applyBorder="0" applyAlignment="0" applyProtection="0"/>
    <xf numFmtId="0" fontId="42" fillId="7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3" borderId="0" applyNumberFormat="0" applyBorder="0" applyAlignment="0" applyProtection="0"/>
    <xf numFmtId="0" fontId="42" fillId="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3" fillId="10" borderId="0" applyNumberFormat="0" applyBorder="0" applyAlignment="0" applyProtection="0"/>
    <xf numFmtId="0" fontId="43" fillId="7" borderId="0" applyNumberFormat="0" applyBorder="0" applyAlignment="0" applyProtection="0"/>
    <xf numFmtId="0" fontId="43" fillId="14" borderId="0" applyNumberFormat="0" applyBorder="0" applyAlignment="0" applyProtection="0"/>
    <xf numFmtId="0" fontId="43" fillId="6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14" borderId="0" applyNumberFormat="0" applyBorder="0" applyAlignment="0" applyProtection="0"/>
    <xf numFmtId="0" fontId="43" fillId="15" borderId="0" applyNumberFormat="0" applyBorder="0" applyAlignment="0" applyProtection="0"/>
    <xf numFmtId="0" fontId="43" fillId="10" borderId="0" applyNumberFormat="0" applyBorder="0" applyAlignment="0" applyProtection="0"/>
    <xf numFmtId="0" fontId="43" fillId="16" borderId="0" applyNumberFormat="0" applyBorder="0" applyAlignment="0" applyProtection="0"/>
    <xf numFmtId="0" fontId="43" fillId="14" borderId="0" applyNumberFormat="0" applyBorder="0" applyAlignment="0" applyProtection="0"/>
    <xf numFmtId="0" fontId="43" fillId="12" borderId="0" applyNumberFormat="0" applyBorder="0" applyAlignment="0" applyProtection="0"/>
    <xf numFmtId="0" fontId="44" fillId="17" borderId="0" applyNumberFormat="0" applyBorder="0" applyAlignment="0" applyProtection="0"/>
    <xf numFmtId="0" fontId="33" fillId="6" borderId="0" applyNumberFormat="0" applyBorder="0" applyAlignment="0" applyProtection="0"/>
    <xf numFmtId="0" fontId="45" fillId="0" borderId="8" applyNumberFormat="0" applyFill="0" applyAlignment="0" applyProtection="0"/>
    <xf numFmtId="0" fontId="46" fillId="7" borderId="9" applyNumberFormat="0" applyAlignment="0" applyProtection="0"/>
    <xf numFmtId="0" fontId="46" fillId="18" borderId="9" applyNumberFormat="0" applyAlignment="0" applyProtection="0"/>
    <xf numFmtId="0" fontId="34" fillId="6" borderId="3" applyNumberFormat="0" applyAlignment="0" applyProtection="0"/>
    <xf numFmtId="0" fontId="47" fillId="0" borderId="10" applyNumberFormat="0" applyFill="0" applyAlignment="0" applyProtection="0"/>
    <xf numFmtId="0" fontId="48" fillId="18" borderId="3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11" applyNumberFormat="0" applyFill="0" applyAlignment="0" applyProtection="0"/>
    <xf numFmtId="38" fontId="20" fillId="0" borderId="0" applyFont="0" applyFill="0" applyBorder="0" applyAlignment="0" applyProtection="0">
      <alignment vertical="center"/>
    </xf>
    <xf numFmtId="0" fontId="51" fillId="19" borderId="0" applyNumberFormat="0" applyBorder="0" applyAlignment="0" applyProtection="0"/>
    <xf numFmtId="0" fontId="52" fillId="20" borderId="0" applyNumberFormat="0" applyBorder="0" applyAlignment="0" applyProtection="0"/>
    <xf numFmtId="0" fontId="20" fillId="0" borderId="0"/>
    <xf numFmtId="0" fontId="53" fillId="20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/>
    <xf numFmtId="0" fontId="56" fillId="0" borderId="0">
      <alignment vertical="center"/>
    </xf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3" fillId="0" borderId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9" fontId="5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9" fillId="0" borderId="0"/>
    <xf numFmtId="38" fontId="57" fillId="0" borderId="0" applyFont="0" applyFill="0" applyBorder="0" applyAlignment="0" applyProtection="0"/>
  </cellStyleXfs>
  <cellXfs count="100">
    <xf numFmtId="0" fontId="0" fillId="0" borderId="0" xfId="0"/>
    <xf numFmtId="0" fontId="27" fillId="0" borderId="0" xfId="2" applyFont="1" applyAlignment="1">
      <alignment vertical="center"/>
    </xf>
    <xf numFmtId="0" fontId="27" fillId="0" borderId="1" xfId="2" applyFont="1" applyBorder="1" applyAlignment="1">
      <alignment vertical="center"/>
    </xf>
    <xf numFmtId="0" fontId="27" fillId="3" borderId="1" xfId="2" applyFont="1" applyFill="1" applyBorder="1" applyAlignment="1">
      <alignment horizontal="center" vertical="center"/>
    </xf>
    <xf numFmtId="0" fontId="27" fillId="0" borderId="0" xfId="2" applyFont="1" applyAlignment="1">
      <alignment horizontal="center" vertical="center"/>
    </xf>
    <xf numFmtId="0" fontId="27" fillId="4" borderId="1" xfId="2" applyFont="1" applyFill="1" applyBorder="1" applyAlignment="1">
      <alignment vertical="center"/>
    </xf>
    <xf numFmtId="0" fontId="26" fillId="4" borderId="1" xfId="0" applyFont="1" applyFill="1" applyBorder="1" applyAlignment="1">
      <alignment horizontal="right" vertical="center"/>
    </xf>
    <xf numFmtId="0" fontId="27" fillId="3" borderId="1" xfId="2" applyFont="1" applyFill="1" applyBorder="1" applyAlignment="1">
      <alignment vertical="center"/>
    </xf>
    <xf numFmtId="0" fontId="28" fillId="4" borderId="1" xfId="0" applyFont="1" applyFill="1" applyBorder="1" applyAlignment="1">
      <alignment vertical="center"/>
    </xf>
    <xf numFmtId="0" fontId="27" fillId="0" borderId="13" xfId="2" applyFont="1" applyBorder="1" applyAlignment="1">
      <alignment vertical="center"/>
    </xf>
    <xf numFmtId="0" fontId="26" fillId="4" borderId="12" xfId="0" applyFont="1" applyFill="1" applyBorder="1" applyAlignment="1">
      <alignment horizontal="right" vertical="center"/>
    </xf>
    <xf numFmtId="0" fontId="26" fillId="4" borderId="14" xfId="0" applyFont="1" applyFill="1" applyBorder="1" applyAlignment="1">
      <alignment horizontal="right" vertical="center"/>
    </xf>
    <xf numFmtId="0" fontId="27" fillId="0" borderId="15" xfId="2" applyFont="1" applyBorder="1" applyAlignment="1">
      <alignment vertical="center"/>
    </xf>
    <xf numFmtId="0" fontId="27" fillId="2" borderId="1" xfId="2" applyFont="1" applyFill="1" applyBorder="1" applyAlignment="1">
      <alignment horizontal="left" vertical="center"/>
    </xf>
    <xf numFmtId="0" fontId="54" fillId="21" borderId="1" xfId="0" applyFont="1" applyFill="1" applyBorder="1" applyAlignment="1">
      <alignment horizontal="left" vertical="center"/>
    </xf>
    <xf numFmtId="0" fontId="27" fillId="2" borderId="1" xfId="2" applyFont="1" applyFill="1" applyBorder="1" applyAlignment="1">
      <alignment horizontal="center" vertical="center"/>
    </xf>
    <xf numFmtId="0" fontId="29" fillId="22" borderId="1" xfId="2978" applyFont="1" applyFill="1" applyBorder="1"/>
    <xf numFmtId="0" fontId="15" fillId="22" borderId="1" xfId="2978" applyFill="1" applyBorder="1"/>
    <xf numFmtId="0" fontId="15" fillId="0" borderId="0" xfId="2978"/>
    <xf numFmtId="0" fontId="15" fillId="0" borderId="1" xfId="2978" applyBorder="1"/>
    <xf numFmtId="0" fontId="15" fillId="2" borderId="1" xfId="2978" applyFill="1" applyBorder="1"/>
    <xf numFmtId="0" fontId="19" fillId="2" borderId="1" xfId="19" applyFont="1" applyFill="1" applyBorder="1"/>
    <xf numFmtId="0" fontId="20" fillId="2" borderId="1" xfId="19" applyFill="1" applyBorder="1"/>
    <xf numFmtId="0" fontId="18" fillId="2" borderId="1" xfId="19" applyFont="1" applyFill="1" applyBorder="1"/>
    <xf numFmtId="0" fontId="16" fillId="2" borderId="1" xfId="19" applyFont="1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4" fillId="0" borderId="1" xfId="2978" applyFont="1" applyBorder="1"/>
    <xf numFmtId="0" fontId="29" fillId="22" borderId="1" xfId="0" applyFont="1" applyFill="1" applyBorder="1"/>
    <xf numFmtId="0" fontId="54" fillId="23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vertical="center"/>
    </xf>
    <xf numFmtId="0" fontId="0" fillId="4" borderId="0" xfId="0" applyFill="1"/>
    <xf numFmtId="0" fontId="12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1" fillId="2" borderId="1" xfId="19" applyFont="1" applyFill="1" applyBorder="1"/>
    <xf numFmtId="0" fontId="11" fillId="4" borderId="1" xfId="2978" applyFont="1" applyFill="1" applyBorder="1"/>
    <xf numFmtId="0" fontId="0" fillId="2" borderId="0" xfId="0" applyFill="1"/>
    <xf numFmtId="0" fontId="54" fillId="30" borderId="1" xfId="0" applyFont="1" applyFill="1" applyBorder="1" applyAlignment="1">
      <alignment horizontal="left" vertical="center"/>
    </xf>
    <xf numFmtId="0" fontId="27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6" fillId="25" borderId="1" xfId="0" applyFont="1" applyFill="1" applyBorder="1" applyAlignment="1">
      <alignment horizontal="right" vertical="center"/>
    </xf>
    <xf numFmtId="0" fontId="10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9" fillId="0" borderId="0" xfId="3662"/>
    <xf numFmtId="0" fontId="9" fillId="4" borderId="0" xfId="3662" applyFill="1"/>
    <xf numFmtId="9" fontId="9" fillId="0" borderId="0" xfId="3662" applyNumberFormat="1"/>
    <xf numFmtId="0" fontId="9" fillId="0" borderId="0" xfId="3662" applyFill="1"/>
    <xf numFmtId="9" fontId="9" fillId="0" borderId="0" xfId="3662" applyNumberFormat="1" applyAlignment="1"/>
    <xf numFmtId="0" fontId="9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8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9" fillId="32" borderId="1" xfId="0" applyNumberFormat="1" applyFont="1" applyFill="1" applyBorder="1"/>
    <xf numFmtId="38" fontId="27" fillId="4" borderId="1" xfId="3663" quotePrefix="1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4" fillId="0" borderId="1" xfId="0" applyFont="1" applyBorder="1" applyAlignment="1">
      <alignment vertical="center" wrapText="1"/>
    </xf>
    <xf numFmtId="0" fontId="27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8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7" fillId="0" borderId="0" xfId="2" applyFont="1" applyFill="1" applyBorder="1" applyAlignment="1">
      <alignment vertical="center"/>
    </xf>
    <xf numFmtId="0" fontId="7" fillId="0" borderId="1" xfId="3036" applyFont="1" applyBorder="1"/>
    <xf numFmtId="0" fontId="26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6" fillId="4" borderId="1" xfId="2978" applyFont="1" applyFill="1" applyBorder="1"/>
    <xf numFmtId="0" fontId="27" fillId="33" borderId="1" xfId="2" applyFont="1" applyFill="1" applyBorder="1" applyAlignment="1">
      <alignment vertical="center"/>
    </xf>
    <xf numFmtId="0" fontId="6" fillId="0" borderId="1" xfId="3036" applyFont="1" applyBorder="1"/>
    <xf numFmtId="0" fontId="5" fillId="0" borderId="1" xfId="3036" applyFont="1" applyBorder="1"/>
    <xf numFmtId="0" fontId="28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4" fillId="0" borderId="1" xfId="3036" applyFont="1" applyBorder="1"/>
    <xf numFmtId="0" fontId="3" fillId="0" borderId="1" xfId="2978" applyFont="1" applyBorder="1"/>
    <xf numFmtId="180" fontId="0" fillId="4" borderId="1" xfId="0" applyNumberFormat="1" applyFill="1" applyBorder="1"/>
    <xf numFmtId="0" fontId="2" fillId="4" borderId="1" xfId="2978" applyFont="1" applyFill="1" applyBorder="1"/>
  </cellXfs>
  <cellStyles count="3664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externalLink" Target="externalLinks/externalLink1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未定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未定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テスラR6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DropWizN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超大型巨人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red</v>
          </cell>
          <cell r="I883">
            <v>5</v>
          </cell>
          <cell r="J883" t="str">
            <v>DropWizS</v>
          </cell>
          <cell r="K883" t="str">
            <v>hp</v>
          </cell>
          <cell r="L883" t="str">
            <v>体力タイプ</v>
          </cell>
          <cell r="M883" t="str">
            <v>unknown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さよならポアソン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さよならポアソン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demon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animal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human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human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human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１周年（名前未定)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１周年（名前未定)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１周年（名前未定)_分岐覚醒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Drop2N</v>
          </cell>
          <cell r="K1084" t="str">
            <v>balance</v>
          </cell>
          <cell r="L1084" t="str">
            <v>バランスタイプ</v>
          </cell>
          <cell r="M1084" t="str">
            <v>unknown</v>
          </cell>
        </row>
        <row r="1085">
          <cell r="A1085">
            <v>1084</v>
          </cell>
          <cell r="B1085" t="str">
            <v>ja</v>
          </cell>
          <cell r="C1085" t="str">
            <v>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Drop2N</v>
          </cell>
          <cell r="K1085" t="str">
            <v>balance</v>
          </cell>
          <cell r="L1085" t="str">
            <v>バランスタイプ</v>
          </cell>
          <cell r="M1085" t="str">
            <v>unknown</v>
          </cell>
        </row>
        <row r="1086">
          <cell r="A1086">
            <v>1085</v>
          </cell>
          <cell r="B1086" t="str">
            <v>ja</v>
          </cell>
          <cell r="C1086" t="str">
            <v>マジシャン_分岐覚醒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yellow</v>
          </cell>
          <cell r="I1086">
            <v>6</v>
          </cell>
          <cell r="J1086" t="str">
            <v>DropWizSSS</v>
          </cell>
          <cell r="K1086" t="str">
            <v>balance</v>
          </cell>
          <cell r="L1086" t="str">
            <v>バランスタイプ</v>
          </cell>
          <cell r="M1086" t="str">
            <v>unknown</v>
          </cell>
        </row>
        <row r="1087">
          <cell r="A1087">
            <v>1086</v>
          </cell>
          <cell r="B1087" t="str">
            <v>ja</v>
          </cell>
          <cell r="C1087" t="str">
            <v>コードレッド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red</v>
          </cell>
          <cell r="I1087">
            <v>5</v>
          </cell>
          <cell r="J1087" t="str">
            <v>DropWizSS</v>
          </cell>
          <cell r="K1087" t="str">
            <v>balance</v>
          </cell>
          <cell r="L1087" t="str">
            <v>バランスタイプ</v>
          </cell>
          <cell r="M1087" t="str">
            <v>unknown</v>
          </cell>
        </row>
        <row r="1088">
          <cell r="A1088">
            <v>1087</v>
          </cell>
          <cell r="B1088" t="str">
            <v>ja</v>
          </cell>
          <cell r="C1088" t="str">
            <v>コードレッド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red</v>
          </cell>
          <cell r="I1088">
            <v>6</v>
          </cell>
          <cell r="J1088" t="str">
            <v>DropWizSS</v>
          </cell>
          <cell r="K1088" t="str">
            <v>balance</v>
          </cell>
          <cell r="L1088" t="str">
            <v>バランスタイプ</v>
          </cell>
          <cell r="M1088" t="str">
            <v>unknown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ラブレター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blue</v>
          </cell>
          <cell r="I1091">
            <v>5</v>
          </cell>
          <cell r="J1091" t="str">
            <v>DropWizS</v>
          </cell>
          <cell r="K1091" t="str">
            <v>attack</v>
          </cell>
          <cell r="L1091" t="str">
            <v>攻撃タイプ</v>
          </cell>
          <cell r="M1091" t="str">
            <v>unknown</v>
          </cell>
        </row>
        <row r="1092">
          <cell r="A1092">
            <v>1091</v>
          </cell>
          <cell r="B1092" t="str">
            <v>ja</v>
          </cell>
          <cell r="C1092" t="str">
            <v>ラブレター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blue</v>
          </cell>
          <cell r="I1092">
            <v>6</v>
          </cell>
          <cell r="J1092" t="str">
            <v>DropWizS</v>
          </cell>
          <cell r="K1092" t="str">
            <v>attack</v>
          </cell>
          <cell r="L1092" t="str">
            <v>攻撃タイプ</v>
          </cell>
          <cell r="M1092" t="str">
            <v>unknown</v>
          </cell>
        </row>
        <row r="1093">
          <cell r="A1093">
            <v>1092</v>
          </cell>
          <cell r="B1093" t="str">
            <v>ja</v>
          </cell>
          <cell r="C1093" t="str">
            <v>未定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yellow</v>
          </cell>
          <cell r="I1093">
            <v>5</v>
          </cell>
          <cell r="J1093" t="str">
            <v>DropWizS</v>
          </cell>
          <cell r="K1093" t="str">
            <v>attack</v>
          </cell>
          <cell r="L1093" t="str">
            <v>攻撃タイプ</v>
          </cell>
          <cell r="M1093" t="str">
            <v>unknown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未定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5</v>
          </cell>
          <cell r="J1109" t="str">
            <v>PremiumS</v>
          </cell>
          <cell r="K1109" t="str">
            <v>technical</v>
          </cell>
          <cell r="L1109" t="str">
            <v>テクニカルタイプ</v>
          </cell>
          <cell r="M1109" t="str">
            <v>unknown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attack</v>
          </cell>
          <cell r="L1110" t="str">
            <v>攻撃タイプ</v>
          </cell>
          <cell r="M1110" t="str">
            <v>unknown</v>
          </cell>
        </row>
        <row r="1111">
          <cell r="A1111">
            <v>1110</v>
          </cell>
          <cell r="B1111" t="str">
            <v>ja</v>
          </cell>
          <cell r="C1111" t="str">
            <v>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attack</v>
          </cell>
          <cell r="L1111" t="str">
            <v>攻撃タイプ</v>
          </cell>
          <cell r="M1111" t="str">
            <v>unknown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キグナス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</v>
          </cell>
          <cell r="K1115" t="str">
            <v>technical</v>
          </cell>
          <cell r="L1115" t="str">
            <v>テクニカルタイプ</v>
          </cell>
          <cell r="M1115" t="str">
            <v>animal</v>
          </cell>
        </row>
        <row r="1116">
          <cell r="A1116">
            <v>1115</v>
          </cell>
          <cell r="B1116" t="str">
            <v>ja</v>
          </cell>
          <cell r="C1116" t="str">
            <v>幻夜の純白鳥 キグナス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</v>
          </cell>
          <cell r="K1116" t="str">
            <v>technical</v>
          </cell>
          <cell r="L1116" t="str">
            <v>テクニカルタイプ</v>
          </cell>
          <cell r="M1116" t="str">
            <v>animal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balance</v>
          </cell>
          <cell r="L1121" t="str">
            <v>バランスタイプ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balance</v>
          </cell>
          <cell r="L1126" t="str">
            <v>バランスタイプ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balance</v>
          </cell>
          <cell r="L1127" t="str">
            <v>バランスタイプ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balance</v>
          </cell>
          <cell r="L1128" t="str">
            <v>バランスタイプ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balance</v>
          </cell>
          <cell r="L1129" t="str">
            <v>バランスタイプ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6</v>
          </cell>
          <cell r="J1130" t="str">
            <v>PremiumSS</v>
          </cell>
          <cell r="K1130" t="str">
            <v>balance</v>
          </cell>
          <cell r="L1130" t="str">
            <v>バランスタイプ</v>
          </cell>
          <cell r="M1130" t="str">
            <v>academia</v>
          </cell>
        </row>
        <row r="1131">
          <cell r="A1131">
            <v>1130</v>
          </cell>
          <cell r="B1131" t="str">
            <v>ja</v>
          </cell>
          <cell r="C1131" t="str">
            <v>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green</v>
          </cell>
          <cell r="I1131">
            <v>6</v>
          </cell>
          <cell r="J1131" t="str">
            <v>PremiumSS</v>
          </cell>
          <cell r="K1131" t="str">
            <v>balance</v>
          </cell>
          <cell r="L1131" t="str">
            <v>バランスタイプ</v>
          </cell>
          <cell r="M1131" t="str">
            <v>academia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blue</v>
          </cell>
          <cell r="I1132">
            <v>6</v>
          </cell>
          <cell r="J1132" t="str">
            <v>PremiumSS</v>
          </cell>
          <cell r="K1132" t="str">
            <v>balance</v>
          </cell>
          <cell r="L1132" t="str">
            <v>バランスタイプ</v>
          </cell>
          <cell r="M1132" t="str">
            <v>academia</v>
          </cell>
        </row>
        <row r="1133">
          <cell r="A1133">
            <v>1132</v>
          </cell>
          <cell r="B1133" t="str">
            <v>ja</v>
          </cell>
          <cell r="C1133" t="str">
            <v>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yellow</v>
          </cell>
          <cell r="I1133">
            <v>6</v>
          </cell>
          <cell r="J1133" t="str">
            <v>PremiumSS</v>
          </cell>
          <cell r="K1133" t="str">
            <v>balance</v>
          </cell>
          <cell r="L1133" t="str">
            <v>バランスタイプ</v>
          </cell>
          <cell r="M1133" t="str">
            <v>academia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red</v>
          </cell>
          <cell r="I1134">
            <v>6</v>
          </cell>
          <cell r="J1134" t="str">
            <v>PremiumSS</v>
          </cell>
          <cell r="K1134" t="str">
            <v>balance</v>
          </cell>
          <cell r="L1134" t="str">
            <v>バランスタイプ</v>
          </cell>
          <cell r="M1134" t="str">
            <v>academia</v>
          </cell>
        </row>
        <row r="1135">
          <cell r="A1135">
            <v>1134</v>
          </cell>
          <cell r="B1135" t="str">
            <v>ja</v>
          </cell>
          <cell r="C1135" t="str">
            <v>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green</v>
          </cell>
          <cell r="I1135">
            <v>6</v>
          </cell>
          <cell r="J1135" t="str">
            <v>PremiumSS</v>
          </cell>
          <cell r="K1135" t="str">
            <v>balance</v>
          </cell>
          <cell r="L1135" t="str">
            <v>バランスタイプ</v>
          </cell>
          <cell r="M1135" t="str">
            <v>academia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blue</v>
          </cell>
          <cell r="I1136">
            <v>6</v>
          </cell>
          <cell r="J1136" t="str">
            <v>PremiumSS</v>
          </cell>
          <cell r="K1136" t="str">
            <v>balance</v>
          </cell>
          <cell r="L1136" t="str">
            <v>バランスタイプ</v>
          </cell>
          <cell r="M1136" t="str">
            <v>academia</v>
          </cell>
        </row>
        <row r="1137">
          <cell r="A1137">
            <v>1136</v>
          </cell>
          <cell r="B1137" t="str">
            <v>ja</v>
          </cell>
          <cell r="C1137" t="str">
            <v>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yellow</v>
          </cell>
          <cell r="I1137">
            <v>6</v>
          </cell>
          <cell r="J1137" t="str">
            <v>PremiumSS</v>
          </cell>
          <cell r="K1137" t="str">
            <v>balance</v>
          </cell>
          <cell r="L1137" t="str">
            <v>バランスタイプ</v>
          </cell>
          <cell r="M1137" t="str">
            <v>academia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6</v>
          </cell>
          <cell r="J1138" t="str">
            <v>PremiumSS</v>
          </cell>
          <cell r="K1138" t="str">
            <v>balance</v>
          </cell>
          <cell r="L1138" t="str">
            <v>バランスタイプ</v>
          </cell>
          <cell r="M1138" t="str">
            <v>academia</v>
          </cell>
        </row>
        <row r="1139">
          <cell r="A1139">
            <v>1138</v>
          </cell>
          <cell r="B1139" t="str">
            <v>ja</v>
          </cell>
          <cell r="C1139" t="str">
            <v>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green</v>
          </cell>
          <cell r="I1139">
            <v>6</v>
          </cell>
          <cell r="J1139" t="str">
            <v>PremiumSS</v>
          </cell>
          <cell r="K1139" t="str">
            <v>balance</v>
          </cell>
          <cell r="L1139" t="str">
            <v>バランスタイプ</v>
          </cell>
          <cell r="M1139" t="str">
            <v>academia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blue</v>
          </cell>
          <cell r="I1140">
            <v>6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academia</v>
          </cell>
        </row>
        <row r="1141">
          <cell r="A1141">
            <v>1140</v>
          </cell>
          <cell r="B1141" t="str">
            <v>ja</v>
          </cell>
          <cell r="C1141" t="str">
            <v>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yellow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academia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red</v>
          </cell>
          <cell r="I1142">
            <v>6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academia</v>
          </cell>
        </row>
        <row r="1143">
          <cell r="A1143">
            <v>1142</v>
          </cell>
          <cell r="B1143" t="str">
            <v>ja</v>
          </cell>
          <cell r="C1143" t="str">
            <v>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green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academia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blue</v>
          </cell>
          <cell r="I1144">
            <v>6</v>
          </cell>
          <cell r="J1144" t="str">
            <v>PremiumSS</v>
          </cell>
          <cell r="K1144" t="str">
            <v>balance</v>
          </cell>
          <cell r="L1144" t="str">
            <v>バランスタイプ</v>
          </cell>
          <cell r="M1144" t="str">
            <v>academia</v>
          </cell>
        </row>
        <row r="1145">
          <cell r="A1145">
            <v>1144</v>
          </cell>
          <cell r="B1145" t="str">
            <v>ja</v>
          </cell>
          <cell r="C1145" t="str">
            <v>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6</v>
          </cell>
          <cell r="J1145" t="str">
            <v>PremiumSS</v>
          </cell>
          <cell r="K1145" t="str">
            <v>balance</v>
          </cell>
          <cell r="L1145" t="str">
            <v>バランスタイプ</v>
          </cell>
          <cell r="M1145" t="str">
            <v>academia</v>
          </cell>
        </row>
        <row r="1146">
          <cell r="A1146">
            <v>1179</v>
          </cell>
          <cell r="B1146" t="str">
            <v>ja</v>
          </cell>
          <cell r="C1146" t="str">
            <v>厳核なる巨大炉 ハイゼンベルク</v>
          </cell>
          <cell r="D1146" t="str">
            <v>各属性相性良3・黄・R558</v>
          </cell>
          <cell r="E1146" t="str">
            <v>執行者</v>
          </cell>
          <cell r="F1146" t="str">
            <v>格好いい</v>
          </cell>
          <cell r="G1146" t="str">
            <v>男性</v>
          </cell>
          <cell r="H1146" t="str">
            <v>green</v>
          </cell>
          <cell r="I1146">
            <v>6</v>
          </cell>
          <cell r="J1146" t="str">
            <v>PremiumSSS</v>
          </cell>
          <cell r="K1146" t="str">
            <v>attack</v>
          </cell>
          <cell r="L1146" t="str">
            <v>攻撃タイプ</v>
          </cell>
          <cell r="M1146" t="str">
            <v>academia</v>
          </cell>
        </row>
        <row r="1147">
          <cell r="A1147">
            <v>1185</v>
          </cell>
          <cell r="B1147" t="str">
            <v>ja</v>
          </cell>
          <cell r="C1147" t="str">
            <v>兆銀河団の星観者 ハーシェル</v>
          </cell>
          <cell r="D1147" t="str">
            <v>超覚醒ハーシェル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6</v>
          </cell>
          <cell r="J1147" t="str">
            <v>PremiumSSS</v>
          </cell>
          <cell r="K1147" t="str">
            <v>heal</v>
          </cell>
          <cell r="L1147" t="str">
            <v>回復タイプ</v>
          </cell>
          <cell r="M1147" t="str">
            <v>academia</v>
          </cell>
        </row>
        <row r="1148">
          <cell r="A1148">
            <v>6001</v>
          </cell>
          <cell r="B1148" t="str">
            <v>ja</v>
          </cell>
          <cell r="C1148" t="str">
            <v>ジェリー</v>
          </cell>
          <cell r="D1148" t="str">
            <v>ノーマルクエスト</v>
          </cell>
          <cell r="E1148" t="str">
            <v>QoH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1</v>
          </cell>
          <cell r="J1148" t="str">
            <v>Drop1T</v>
          </cell>
          <cell r="K1148" t="str">
            <v>ra</v>
          </cell>
          <cell r="L1148" t="str">
            <v>ラグランジュチャレンジ</v>
          </cell>
          <cell r="M1148" t="str">
            <v>unknown</v>
          </cell>
        </row>
        <row r="1149">
          <cell r="A1149">
            <v>6002</v>
          </cell>
          <cell r="B1149" t="str">
            <v>ja</v>
          </cell>
          <cell r="C1149" t="str">
            <v>ヨシタカ</v>
          </cell>
          <cell r="D1149" t="str">
            <v>ノーマルクエスト</v>
          </cell>
          <cell r="E1149" t="str">
            <v>アバター</v>
          </cell>
          <cell r="F1149" t="str">
            <v>世界観</v>
          </cell>
          <cell r="G1149" t="str">
            <v>男性</v>
          </cell>
          <cell r="H1149" t="str">
            <v>red</v>
          </cell>
          <cell r="I1149">
            <v>2</v>
          </cell>
          <cell r="J1149" t="str">
            <v>Drop1N</v>
          </cell>
          <cell r="K1149" t="str">
            <v>ra</v>
          </cell>
          <cell r="L1149" t="str">
            <v>ラグランジュチャレンジ</v>
          </cell>
          <cell r="M1149" t="str">
            <v>human</v>
          </cell>
        </row>
        <row r="1150">
          <cell r="A1150">
            <v>6003</v>
          </cell>
          <cell r="B1150" t="str">
            <v>ja</v>
          </cell>
          <cell r="C1150" t="str">
            <v>朱雀</v>
          </cell>
          <cell r="D1150" t="str">
            <v>リンクガチャ:4神</v>
          </cell>
          <cell r="E1150" t="str">
            <v>守護神</v>
          </cell>
          <cell r="F1150" t="str">
            <v>格好いい</v>
          </cell>
          <cell r="G1150" t="str">
            <v>不明</v>
          </cell>
          <cell r="H1150" t="str">
            <v>red</v>
          </cell>
          <cell r="I1150">
            <v>3</v>
          </cell>
          <cell r="J1150" t="str">
            <v>Drop2N</v>
          </cell>
          <cell r="K1150" t="str">
            <v>ra</v>
          </cell>
          <cell r="L1150" t="str">
            <v>ラグランジュチャレンジ</v>
          </cell>
          <cell r="M1150" t="str">
            <v>animal</v>
          </cell>
        </row>
        <row r="1151">
          <cell r="A1151">
            <v>6004</v>
          </cell>
          <cell r="B1151" t="str">
            <v>ja</v>
          </cell>
          <cell r="C1151" t="str">
            <v>ブレット</v>
          </cell>
          <cell r="D1151" t="str">
            <v>ノーマルクエスト</v>
          </cell>
          <cell r="E1151" t="str">
            <v>アバター</v>
          </cell>
          <cell r="F1151" t="str">
            <v>世界観</v>
          </cell>
          <cell r="G1151" t="str">
            <v>不明</v>
          </cell>
          <cell r="H1151" t="str">
            <v>red</v>
          </cell>
          <cell r="I1151">
            <v>1</v>
          </cell>
          <cell r="J1151" t="str">
            <v>Drop1W</v>
          </cell>
          <cell r="K1151" t="str">
            <v>ra</v>
          </cell>
          <cell r="L1151" t="str">
            <v>ラグランジュチャレンジ</v>
          </cell>
          <cell r="M1151" t="str">
            <v>animal</v>
          </cell>
        </row>
        <row r="1152">
          <cell r="A1152">
            <v>6005</v>
          </cell>
          <cell r="B1152" t="str">
            <v>ja</v>
          </cell>
          <cell r="C1152" t="str">
            <v>孤神 テティス</v>
          </cell>
          <cell r="D1152" t="str">
            <v>初期ガチャ</v>
          </cell>
          <cell r="E1152" t="str">
            <v>管理者</v>
          </cell>
          <cell r="F1152" t="str">
            <v>美しい</v>
          </cell>
          <cell r="G1152" t="str">
            <v>女性</v>
          </cell>
          <cell r="H1152" t="str">
            <v>blue</v>
          </cell>
          <cell r="I1152">
            <v>4</v>
          </cell>
          <cell r="J1152" t="str">
            <v>PremiumN</v>
          </cell>
          <cell r="K1152" t="str">
            <v>ra</v>
          </cell>
          <cell r="L1152" t="str">
            <v>ラグランジュチャレンジ</v>
          </cell>
          <cell r="M1152" t="str">
            <v>god</v>
          </cell>
        </row>
        <row r="1153">
          <cell r="A1153">
            <v>6006</v>
          </cell>
          <cell r="B1153" t="str">
            <v>ja</v>
          </cell>
          <cell r="C1153" t="str">
            <v>海底の孤高神 テティス</v>
          </cell>
          <cell r="D1153" t="str">
            <v>初期ガチャ</v>
          </cell>
          <cell r="E1153" t="str">
            <v>管理者</v>
          </cell>
          <cell r="F1153" t="str">
            <v>美しい</v>
          </cell>
          <cell r="G1153" t="str">
            <v>女性</v>
          </cell>
          <cell r="H1153" t="str">
            <v>blue</v>
          </cell>
          <cell r="I1153">
            <v>5</v>
          </cell>
          <cell r="J1153" t="str">
            <v>PremiumN</v>
          </cell>
          <cell r="K1153" t="str">
            <v>ra</v>
          </cell>
          <cell r="L1153" t="str">
            <v>ラグランジュチャレンジ</v>
          </cell>
          <cell r="M1153" t="str">
            <v>god</v>
          </cell>
        </row>
        <row r="1154">
          <cell r="A1154">
            <v>6007</v>
          </cell>
          <cell r="B1154" t="str">
            <v>ja</v>
          </cell>
          <cell r="C1154" t="str">
            <v>番犬 ケルベロス</v>
          </cell>
          <cell r="D1154" t="str">
            <v>初期ガチャ</v>
          </cell>
          <cell r="E1154" t="str">
            <v>破界者</v>
          </cell>
          <cell r="F1154" t="str">
            <v>可愛い</v>
          </cell>
          <cell r="G1154" t="str">
            <v>女性</v>
          </cell>
          <cell r="H1154" t="str">
            <v>red</v>
          </cell>
          <cell r="I1154">
            <v>4</v>
          </cell>
          <cell r="J1154" t="str">
            <v>PremiumN</v>
          </cell>
          <cell r="K1154" t="str">
            <v>ra</v>
          </cell>
          <cell r="L1154" t="str">
            <v>ラグランジュチャレンジ</v>
          </cell>
          <cell r="M1154" t="str">
            <v>animal</v>
          </cell>
        </row>
        <row r="1155">
          <cell r="A1155">
            <v>6008</v>
          </cell>
          <cell r="B1155" t="str">
            <v>ja</v>
          </cell>
          <cell r="C1155" t="str">
            <v>焔神 プロメテウス</v>
          </cell>
          <cell r="D1155" t="str">
            <v>初期ガチャ</v>
          </cell>
          <cell r="E1155" t="str">
            <v>管理者</v>
          </cell>
          <cell r="F1155" t="str">
            <v>格好いい</v>
          </cell>
          <cell r="G1155" t="str">
            <v>男性</v>
          </cell>
          <cell r="H1155" t="str">
            <v>red</v>
          </cell>
          <cell r="I1155">
            <v>4</v>
          </cell>
          <cell r="J1155" t="str">
            <v>PremiumN</v>
          </cell>
          <cell r="K1155" t="str">
            <v>ra</v>
          </cell>
          <cell r="L1155" t="str">
            <v>ラグランジュチャレンジ</v>
          </cell>
          <cell r="M1155" t="str">
            <v>god</v>
          </cell>
        </row>
        <row r="1156">
          <cell r="A1156">
            <v>6009</v>
          </cell>
          <cell r="B1156" t="str">
            <v>ja</v>
          </cell>
          <cell r="C1156" t="str">
            <v>超越自我 ラグランジュ</v>
          </cell>
          <cell r="D1156" t="str">
            <v>ガチャ:フィーバーフェス02</v>
          </cell>
          <cell r="E1156" t="str">
            <v>執行者</v>
          </cell>
          <cell r="F1156" t="str">
            <v>格好いい</v>
          </cell>
          <cell r="G1156" t="str">
            <v>女性</v>
          </cell>
          <cell r="H1156" t="str">
            <v>red</v>
          </cell>
          <cell r="I1156">
            <v>5</v>
          </cell>
          <cell r="J1156" t="str">
            <v>PremiumSSS</v>
          </cell>
          <cell r="K1156" t="str">
            <v>ra</v>
          </cell>
          <cell r="L1156" t="str">
            <v>ラグランジュチャレンジ</v>
          </cell>
          <cell r="M1156" t="str">
            <v>human</v>
          </cell>
        </row>
        <row r="1157">
          <cell r="A1157">
            <v>6010</v>
          </cell>
          <cell r="B1157" t="str">
            <v>ja</v>
          </cell>
          <cell r="C1157" t="str">
            <v>超越凌駕 ラグランジュ</v>
          </cell>
          <cell r="D1157" t="str">
            <v>ガチャ:フィーバーフェス02</v>
          </cell>
          <cell r="E1157" t="str">
            <v>執行者</v>
          </cell>
          <cell r="F1157" t="str">
            <v>格好いい</v>
          </cell>
          <cell r="G1157" t="str">
            <v>女性</v>
          </cell>
          <cell r="H1157" t="str">
            <v>red</v>
          </cell>
          <cell r="I1157">
            <v>6</v>
          </cell>
          <cell r="J1157" t="str">
            <v>PremiumSSS</v>
          </cell>
          <cell r="K1157" t="str">
            <v>ra</v>
          </cell>
          <cell r="L1157" t="str">
            <v>ラグランジュチャレンジ</v>
          </cell>
          <cell r="M1157" t="str">
            <v>human</v>
          </cell>
        </row>
        <row r="1158">
          <cell r="A1158">
            <v>6011</v>
          </cell>
          <cell r="B1158" t="str">
            <v>ja</v>
          </cell>
          <cell r="C1158" t="str">
            <v>パトドッグリーダー ポチ</v>
          </cell>
          <cell r="D1158" t="str">
            <v>ガチャ:フィーバーフェス02</v>
          </cell>
          <cell r="E1158" t="str">
            <v>執行者</v>
          </cell>
          <cell r="F1158" t="str">
            <v>格好いい</v>
          </cell>
          <cell r="G1158" t="str">
            <v>男性</v>
          </cell>
          <cell r="H1158" t="str">
            <v>blue</v>
          </cell>
          <cell r="I1158">
            <v>2</v>
          </cell>
          <cell r="J1158" t="str">
            <v>Drop1T</v>
          </cell>
          <cell r="K1158" t="str">
            <v>ra002</v>
          </cell>
          <cell r="L1158" t="str">
            <v>ユークリッドチャレンジ</v>
          </cell>
          <cell r="M1158" t="str">
            <v>unknown</v>
          </cell>
        </row>
        <row r="1159">
          <cell r="A1159">
            <v>6012</v>
          </cell>
          <cell r="B1159" t="str">
            <v>ja</v>
          </cell>
          <cell r="C1159" t="str">
            <v>ミミ</v>
          </cell>
          <cell r="D1159" t="str">
            <v>ガチャ:フィーバーフェス02</v>
          </cell>
          <cell r="E1159" t="str">
            <v>執行者</v>
          </cell>
          <cell r="F1159" t="str">
            <v>格好いい</v>
          </cell>
          <cell r="G1159" t="str">
            <v>男性</v>
          </cell>
          <cell r="H1159" t="str">
            <v>yellow</v>
          </cell>
          <cell r="I1159">
            <v>1</v>
          </cell>
          <cell r="J1159" t="str">
            <v>Drop1W</v>
          </cell>
          <cell r="K1159" t="str">
            <v>ra002</v>
          </cell>
          <cell r="L1159" t="str">
            <v>ユークリッドチャレンジ</v>
          </cell>
          <cell r="M1159" t="str">
            <v>animal</v>
          </cell>
        </row>
        <row r="1160">
          <cell r="A1160">
            <v>6013</v>
          </cell>
          <cell r="B1160" t="str">
            <v>ja</v>
          </cell>
          <cell r="C1160" t="str">
            <v>護衛機人 スケアクロウ</v>
          </cell>
          <cell r="D1160" t="str">
            <v>ガチャ:フィーバーフェス02</v>
          </cell>
          <cell r="E1160" t="str">
            <v>執行者</v>
          </cell>
          <cell r="F1160" t="str">
            <v>格好いい</v>
          </cell>
          <cell r="G1160" t="str">
            <v>男性</v>
          </cell>
          <cell r="H1160" t="str">
            <v>blue</v>
          </cell>
          <cell r="I1160">
            <v>2</v>
          </cell>
          <cell r="J1160" t="str">
            <v>Drop1N</v>
          </cell>
          <cell r="K1160" t="str">
            <v>ra002</v>
          </cell>
          <cell r="L1160" t="str">
            <v>ユークリッドチャレンジ</v>
          </cell>
          <cell r="M1160" t="str">
            <v>machine</v>
          </cell>
        </row>
        <row r="1161">
          <cell r="A1161">
            <v>6014</v>
          </cell>
          <cell r="B1161" t="str">
            <v>ja</v>
          </cell>
          <cell r="C1161" t="str">
            <v>月下の人狼 ローレンス</v>
          </cell>
          <cell r="D1161" t="str">
            <v>ガチャ:フィーバーフェス02</v>
          </cell>
          <cell r="E1161" t="str">
            <v>執行者</v>
          </cell>
          <cell r="F1161" t="str">
            <v>格好いい</v>
          </cell>
          <cell r="G1161" t="str">
            <v>男性</v>
          </cell>
          <cell r="H1161" t="str">
            <v>blue</v>
          </cell>
          <cell r="I1161">
            <v>4</v>
          </cell>
          <cell r="J1161" t="str">
            <v>PremiumW</v>
          </cell>
          <cell r="K1161" t="str">
            <v>ra002</v>
          </cell>
          <cell r="L1161" t="str">
            <v>ユークリッドチャレンジ</v>
          </cell>
          <cell r="M1161" t="str">
            <v>animal</v>
          </cell>
        </row>
        <row r="1162">
          <cell r="A1162">
            <v>6015</v>
          </cell>
          <cell r="B1162" t="str">
            <v>ja</v>
          </cell>
          <cell r="C1162" t="str">
            <v>フレイヤ</v>
          </cell>
          <cell r="D1162" t="str">
            <v>ガチャ:フィーバーフェス02</v>
          </cell>
          <cell r="E1162" t="str">
            <v>執行者</v>
          </cell>
          <cell r="F1162" t="str">
            <v>格好いい</v>
          </cell>
          <cell r="G1162" t="str">
            <v>男性</v>
          </cell>
          <cell r="H1162" t="str">
            <v>blue</v>
          </cell>
          <cell r="I1162">
            <v>4</v>
          </cell>
          <cell r="J1162" t="str">
            <v>PremiumSS</v>
          </cell>
          <cell r="K1162" t="str">
            <v>ra002</v>
          </cell>
          <cell r="L1162" t="str">
            <v>ユークリッドチャレンジ</v>
          </cell>
          <cell r="M1162" t="str">
            <v>animal</v>
          </cell>
        </row>
        <row r="1163">
          <cell r="A1163">
            <v>6016</v>
          </cell>
          <cell r="B1163" t="str">
            <v>ja</v>
          </cell>
          <cell r="C1163" t="str">
            <v>根原論理 ユークリッド</v>
          </cell>
          <cell r="D1163" t="str">
            <v>ガチャ:フィーバーフェス02</v>
          </cell>
          <cell r="E1163" t="str">
            <v>執行者</v>
          </cell>
          <cell r="F1163" t="str">
            <v>格好いい</v>
          </cell>
          <cell r="G1163" t="str">
            <v>男性</v>
          </cell>
          <cell r="H1163" t="str">
            <v>blue</v>
          </cell>
          <cell r="I1163">
            <v>5</v>
          </cell>
          <cell r="J1163" t="str">
            <v>PremiumSSS</v>
          </cell>
          <cell r="K1163" t="str">
            <v>ra002</v>
          </cell>
          <cell r="L1163" t="str">
            <v>ユークリッドチャレンジ</v>
          </cell>
          <cell r="M1163" t="str">
            <v>human</v>
          </cell>
        </row>
        <row r="1164">
          <cell r="A1164">
            <v>6017</v>
          </cell>
          <cell r="B1164" t="str">
            <v>ja</v>
          </cell>
          <cell r="C1164" t="str">
            <v>不朽の極論 ユークリッド</v>
          </cell>
          <cell r="D1164" t="str">
            <v>ガチャ:フィーバーフェス02</v>
          </cell>
          <cell r="E1164" t="str">
            <v>執行者</v>
          </cell>
          <cell r="F1164" t="str">
            <v>格好いい</v>
          </cell>
          <cell r="G1164" t="str">
            <v>男性</v>
          </cell>
          <cell r="H1164" t="str">
            <v>blue</v>
          </cell>
          <cell r="I1164">
            <v>6</v>
          </cell>
          <cell r="J1164" t="str">
            <v>PremiumSSS</v>
          </cell>
          <cell r="K1164" t="str">
            <v>ra002</v>
          </cell>
          <cell r="L1164" t="str">
            <v>ユークリッドチャレンジ</v>
          </cell>
          <cell r="M1164" t="str">
            <v>human</v>
          </cell>
        </row>
        <row r="1165">
          <cell r="A1165">
            <v>6018</v>
          </cell>
          <cell r="B1165" t="str">
            <v>ja</v>
          </cell>
          <cell r="C1165" t="str">
            <v>ハヅル</v>
          </cell>
          <cell r="D1165" t="str">
            <v>ガチャ:フィーバーフェス02</v>
          </cell>
          <cell r="E1165" t="str">
            <v>執行者</v>
          </cell>
          <cell r="F1165" t="str">
            <v>格好いい</v>
          </cell>
          <cell r="G1165" t="str">
            <v>男性</v>
          </cell>
          <cell r="H1165" t="str">
            <v>red</v>
          </cell>
          <cell r="I1165">
            <v>4</v>
          </cell>
          <cell r="J1165" t="str">
            <v>PremiumSS</v>
          </cell>
          <cell r="K1165" t="str">
            <v>ra002</v>
          </cell>
          <cell r="L1165" t="str">
            <v>ユークリッドチャレンジ</v>
          </cell>
          <cell r="M1165" t="str">
            <v>animal</v>
          </cell>
        </row>
        <row r="1166">
          <cell r="A1166">
            <v>6019</v>
          </cell>
          <cell r="B1166" t="str">
            <v>ja</v>
          </cell>
          <cell r="C1166" t="str">
            <v>天織羽鶴 ハヅル</v>
          </cell>
          <cell r="D1166" t="str">
            <v>ガチャ:フィーバーフェス02</v>
          </cell>
          <cell r="E1166" t="str">
            <v>執行者</v>
          </cell>
          <cell r="F1166" t="str">
            <v>格好いい</v>
          </cell>
          <cell r="G1166" t="str">
            <v>男性</v>
          </cell>
          <cell r="H1166" t="str">
            <v>red</v>
          </cell>
          <cell r="I1166">
            <v>5</v>
          </cell>
          <cell r="J1166" t="str">
            <v>PremiumSS</v>
          </cell>
          <cell r="K1166" t="str">
            <v>ra002</v>
          </cell>
          <cell r="L1166" t="str">
            <v>ユークリッドチャレンジ</v>
          </cell>
          <cell r="M1166" t="str">
            <v>animal</v>
          </cell>
        </row>
        <row r="1167">
          <cell r="A1167">
            <v>6020</v>
          </cell>
          <cell r="B1167" t="str">
            <v>ja</v>
          </cell>
          <cell r="C1167" t="str">
            <v>ミズチ</v>
          </cell>
          <cell r="D1167" t="str">
            <v>ガチャ:フィーバーフェス02</v>
          </cell>
          <cell r="E1167" t="str">
            <v>執行者</v>
          </cell>
          <cell r="F1167" t="str">
            <v>格好いい</v>
          </cell>
          <cell r="G1167" t="str">
            <v>男性</v>
          </cell>
          <cell r="H1167" t="str">
            <v>blue</v>
          </cell>
          <cell r="I1167">
            <v>4</v>
          </cell>
          <cell r="J1167" t="str">
            <v>PremiumS</v>
          </cell>
          <cell r="K1167" t="str">
            <v>ra002</v>
          </cell>
          <cell r="L1167" t="str">
            <v>ユークリッドチャレンジ</v>
          </cell>
          <cell r="M1167" t="str">
            <v>dragon</v>
          </cell>
        </row>
        <row r="1168">
          <cell r="A1168">
            <v>8001</v>
          </cell>
          <cell r="B1168" t="str">
            <v>ja</v>
          </cell>
          <cell r="C1168" t="str">
            <v>媽祖</v>
          </cell>
          <cell r="D1168" t="str">
            <v>イベント:ミクコラボ01</v>
          </cell>
          <cell r="E1168" t="str">
            <v>執行者</v>
          </cell>
          <cell r="F1168" t="str">
            <v>格好いい</v>
          </cell>
          <cell r="G1168" t="str">
            <v>女性</v>
          </cell>
          <cell r="H1168" t="str">
            <v>yellow</v>
          </cell>
          <cell r="I1168">
            <v>5</v>
          </cell>
          <cell r="J1168" t="str">
            <v>PremiumSS</v>
          </cell>
          <cell r="K1168" t="str">
            <v>attack</v>
          </cell>
          <cell r="L1168" t="str">
            <v>攻撃タイプ</v>
          </cell>
          <cell r="M1168" t="str">
            <v>god</v>
          </cell>
        </row>
        <row r="1169">
          <cell r="A1169">
            <v>8002</v>
          </cell>
          <cell r="B1169" t="str">
            <v>ja</v>
          </cell>
          <cell r="C1169" t="str">
            <v>天后 媽祖</v>
          </cell>
          <cell r="D1169" t="str">
            <v>イベント:ミクコラボ01</v>
          </cell>
          <cell r="E1169" t="str">
            <v>執行者</v>
          </cell>
          <cell r="F1169" t="str">
            <v>格好いい</v>
          </cell>
          <cell r="G1169" t="str">
            <v>女性</v>
          </cell>
          <cell r="H1169" t="str">
            <v>yellow</v>
          </cell>
          <cell r="I1169">
            <v>6</v>
          </cell>
          <cell r="J1169" t="str">
            <v>PremiumSS</v>
          </cell>
          <cell r="K1169" t="str">
            <v>attack</v>
          </cell>
          <cell r="L1169" t="str">
            <v>攻撃タイプ</v>
          </cell>
          <cell r="M1169" t="str">
            <v>god</v>
          </cell>
        </row>
        <row r="1170">
          <cell r="A1170">
            <v>8003</v>
          </cell>
          <cell r="B1170" t="str">
            <v>ja</v>
          </cell>
          <cell r="C1170" t="str">
            <v>蛟龍</v>
          </cell>
          <cell r="D1170" t="str">
            <v>イベント:ミクコラボ01</v>
          </cell>
          <cell r="E1170" t="str">
            <v>執行者</v>
          </cell>
          <cell r="F1170" t="str">
            <v>格好いい</v>
          </cell>
          <cell r="G1170" t="str">
            <v>不明</v>
          </cell>
          <cell r="H1170" t="str">
            <v>blue</v>
          </cell>
          <cell r="I1170">
            <v>5</v>
          </cell>
          <cell r="J1170" t="str">
            <v>DropWizS</v>
          </cell>
          <cell r="K1170" t="str">
            <v>hp</v>
          </cell>
          <cell r="L1170" t="str">
            <v>体力タイプ</v>
          </cell>
          <cell r="M1170" t="str">
            <v>dragon</v>
          </cell>
        </row>
        <row r="1171">
          <cell r="A1171">
            <v>8004</v>
          </cell>
          <cell r="B1171" t="str">
            <v>ja</v>
          </cell>
          <cell r="C1171" t="str">
            <v>深海蛟龍怪‧晏公</v>
          </cell>
          <cell r="D1171" t="str">
            <v>イベント:ミクコラボ01</v>
          </cell>
          <cell r="E1171" t="str">
            <v>執行者</v>
          </cell>
          <cell r="F1171" t="str">
            <v>格好いい</v>
          </cell>
          <cell r="G1171" t="str">
            <v>不明</v>
          </cell>
          <cell r="H1171" t="str">
            <v>blue</v>
          </cell>
          <cell r="I1171">
            <v>6</v>
          </cell>
          <cell r="J1171" t="str">
            <v>DropWizS</v>
          </cell>
          <cell r="K1171" t="str">
            <v>hp</v>
          </cell>
          <cell r="L1171" t="str">
            <v>体力タイプ</v>
          </cell>
          <cell r="M1171" t="str">
            <v>dragon</v>
          </cell>
        </row>
        <row r="1172">
          <cell r="A1172">
            <v>8005</v>
          </cell>
          <cell r="B1172" t="str">
            <v>ja</v>
          </cell>
          <cell r="C1172" t="str">
            <v>三蔵法師</v>
          </cell>
          <cell r="D1172" t="str">
            <v>イベント:ミクコラボ01</v>
          </cell>
          <cell r="E1172" t="str">
            <v>執行者</v>
          </cell>
          <cell r="F1172" t="str">
            <v>格好いい</v>
          </cell>
          <cell r="G1172" t="str">
            <v>不明</v>
          </cell>
          <cell r="H1172" t="str">
            <v>blue</v>
          </cell>
          <cell r="I1172">
            <v>5</v>
          </cell>
          <cell r="J1172" t="str">
            <v>PremiumSS</v>
          </cell>
          <cell r="K1172" t="str">
            <v>balance</v>
          </cell>
          <cell r="L1172" t="str">
            <v>バランスタイプ</v>
          </cell>
          <cell r="M1172" t="str">
            <v>human</v>
          </cell>
        </row>
        <row r="1173">
          <cell r="A1173">
            <v>8006</v>
          </cell>
          <cell r="B1173" t="str">
            <v>ja</v>
          </cell>
          <cell r="C1173" t="str">
            <v>三蔵法師</v>
          </cell>
          <cell r="D1173" t="str">
            <v>イベント:ミクコラボ01</v>
          </cell>
          <cell r="E1173" t="str">
            <v>執行者</v>
          </cell>
          <cell r="F1173" t="str">
            <v>格好いい</v>
          </cell>
          <cell r="G1173" t="str">
            <v>不明</v>
          </cell>
          <cell r="H1173" t="str">
            <v>blue</v>
          </cell>
          <cell r="I1173">
            <v>6</v>
          </cell>
          <cell r="J1173" t="str">
            <v>PremiumSS</v>
          </cell>
          <cell r="K1173" t="str">
            <v>balance</v>
          </cell>
          <cell r="L1173" t="str">
            <v>バランスタイプ</v>
          </cell>
          <cell r="M1173" t="str">
            <v>human</v>
          </cell>
        </row>
        <row r="1174">
          <cell r="A1174">
            <v>8007</v>
          </cell>
          <cell r="B1174" t="str">
            <v>ja</v>
          </cell>
          <cell r="C1174" t="str">
            <v>孫悟空</v>
          </cell>
          <cell r="D1174" t="str">
            <v>イベント:ミクコラボ01</v>
          </cell>
          <cell r="E1174" t="str">
            <v>執行者</v>
          </cell>
          <cell r="F1174" t="str">
            <v>格好いい</v>
          </cell>
          <cell r="G1174" t="str">
            <v>不明</v>
          </cell>
          <cell r="H1174" t="str">
            <v>red</v>
          </cell>
          <cell r="I1174">
            <v>5</v>
          </cell>
          <cell r="J1174" t="str">
            <v>DropWizS</v>
          </cell>
          <cell r="K1174" t="str">
            <v>attack</v>
          </cell>
          <cell r="L1174" t="str">
            <v>攻撃タイプ</v>
          </cell>
          <cell r="M1174" t="str">
            <v>animal</v>
          </cell>
        </row>
        <row r="1175">
          <cell r="A1175">
            <v>8008</v>
          </cell>
          <cell r="B1175" t="str">
            <v>ja</v>
          </cell>
          <cell r="C1175" t="str">
            <v>孫悟空</v>
          </cell>
          <cell r="D1175" t="str">
            <v>イベント:ミクコラボ01</v>
          </cell>
          <cell r="E1175" t="str">
            <v>執行者</v>
          </cell>
          <cell r="F1175" t="str">
            <v>格好いい</v>
          </cell>
          <cell r="G1175" t="str">
            <v>不明</v>
          </cell>
          <cell r="H1175" t="str">
            <v>red</v>
          </cell>
          <cell r="I1175">
            <v>6</v>
          </cell>
          <cell r="J1175" t="str">
            <v>DropWizS</v>
          </cell>
          <cell r="K1175" t="str">
            <v>attack</v>
          </cell>
          <cell r="L1175" t="str">
            <v>攻撃タイプ</v>
          </cell>
          <cell r="M1175" t="str">
            <v>animal</v>
          </cell>
        </row>
        <row r="1176">
          <cell r="A1176">
            <v>8009</v>
          </cell>
          <cell r="B1176" t="str">
            <v>ja</v>
          </cell>
          <cell r="C1176" t="str">
            <v>西王娘娘</v>
          </cell>
          <cell r="D1176" t="str">
            <v>イベント:ミクコラボ01</v>
          </cell>
          <cell r="E1176" t="str">
            <v>執行者</v>
          </cell>
          <cell r="F1176" t="str">
            <v>格好いい</v>
          </cell>
          <cell r="G1176" t="str">
            <v>不明</v>
          </cell>
          <cell r="H1176" t="str">
            <v>green</v>
          </cell>
          <cell r="I1176">
            <v>5</v>
          </cell>
          <cell r="J1176" t="str">
            <v>PremiumSS</v>
          </cell>
          <cell r="K1176" t="str">
            <v>attack</v>
          </cell>
          <cell r="L1176" t="str">
            <v>攻撃タイプ</v>
          </cell>
          <cell r="M1176" t="str">
            <v>god</v>
          </cell>
        </row>
        <row r="1177">
          <cell r="A1177">
            <v>8010</v>
          </cell>
          <cell r="B1177" t="str">
            <v>ja</v>
          </cell>
          <cell r="C1177" t="str">
            <v>西王娘娘</v>
          </cell>
          <cell r="D1177" t="str">
            <v>イベント:ミクコラボ01</v>
          </cell>
          <cell r="E1177" t="str">
            <v>執行者</v>
          </cell>
          <cell r="F1177" t="str">
            <v>格好いい</v>
          </cell>
          <cell r="G1177" t="str">
            <v>不明</v>
          </cell>
          <cell r="H1177" t="str">
            <v>green</v>
          </cell>
          <cell r="I1177">
            <v>6</v>
          </cell>
          <cell r="J1177" t="str">
            <v>PremiumSS</v>
          </cell>
          <cell r="K1177" t="str">
            <v>attack</v>
          </cell>
          <cell r="L1177" t="str">
            <v>攻撃タイプ</v>
          </cell>
          <cell r="M1177" t="str">
            <v>god</v>
          </cell>
        </row>
        <row r="1178">
          <cell r="A1178">
            <v>8011</v>
          </cell>
          <cell r="B1178" t="str">
            <v>ja</v>
          </cell>
          <cell r="C1178" t="str">
            <v>月下老人</v>
          </cell>
          <cell r="D1178" t="str">
            <v>イベント:ミクコラボ01</v>
          </cell>
          <cell r="E1178" t="str">
            <v>執行者</v>
          </cell>
          <cell r="F1178" t="str">
            <v>格好いい</v>
          </cell>
          <cell r="G1178" t="str">
            <v>女性</v>
          </cell>
          <cell r="H1178" t="str">
            <v>yellow</v>
          </cell>
          <cell r="I1178">
            <v>5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god</v>
          </cell>
        </row>
        <row r="1179">
          <cell r="A1179">
            <v>8012</v>
          </cell>
          <cell r="B1179" t="str">
            <v>ja</v>
          </cell>
          <cell r="C1179" t="str">
            <v>良緣祈福 月下老人</v>
          </cell>
          <cell r="D1179" t="str">
            <v>イベント:ミクコラボ01</v>
          </cell>
          <cell r="E1179" t="str">
            <v>執行者</v>
          </cell>
          <cell r="F1179" t="str">
            <v>格好いい</v>
          </cell>
          <cell r="G1179" t="str">
            <v>女性</v>
          </cell>
          <cell r="H1179" t="str">
            <v>yellow</v>
          </cell>
          <cell r="I1179">
            <v>6</v>
          </cell>
          <cell r="J1179" t="str">
            <v>DropWizS</v>
          </cell>
          <cell r="K1179" t="str">
            <v>balance</v>
          </cell>
          <cell r="L1179" t="str">
            <v>バランスタイプ</v>
          </cell>
          <cell r="M1179" t="str">
            <v>god</v>
          </cell>
        </row>
        <row r="1180">
          <cell r="A1180">
            <v>8013</v>
          </cell>
          <cell r="B1180" t="str">
            <v>ja</v>
          </cell>
          <cell r="C1180" t="str">
            <v>初音ミクV3</v>
          </cell>
          <cell r="D1180" t="str">
            <v>初音ミクV3</v>
          </cell>
          <cell r="E1180" t="str">
            <v>執行者</v>
          </cell>
          <cell r="F1180" t="str">
            <v>格好いい</v>
          </cell>
          <cell r="G1180" t="str">
            <v>女性</v>
          </cell>
          <cell r="H1180" t="str">
            <v>yellow</v>
          </cell>
          <cell r="I1180">
            <v>4</v>
          </cell>
          <cell r="J1180" t="str">
            <v>DropWizS</v>
          </cell>
          <cell r="K1180" t="str">
            <v>balance</v>
          </cell>
          <cell r="L1180" t="str">
            <v>バランスタイプ</v>
          </cell>
          <cell r="M1180" t="str">
            <v>unknown</v>
          </cell>
        </row>
        <row r="1181">
          <cell r="A1181">
            <v>8014</v>
          </cell>
          <cell r="B1181" t="str">
            <v>ja</v>
          </cell>
          <cell r="C1181" t="str">
            <v>初音ミクV3</v>
          </cell>
          <cell r="D1181" t="str">
            <v>初音ミクV3</v>
          </cell>
          <cell r="E1181" t="str">
            <v>執行者</v>
          </cell>
          <cell r="F1181" t="str">
            <v>格好いい</v>
          </cell>
          <cell r="G1181" t="str">
            <v>女性</v>
          </cell>
          <cell r="H1181" t="str">
            <v>yellow</v>
          </cell>
          <cell r="I1181">
            <v>5</v>
          </cell>
          <cell r="J1181" t="str">
            <v>DropWizS</v>
          </cell>
          <cell r="K1181" t="str">
            <v>balance</v>
          </cell>
          <cell r="L1181" t="str">
            <v>バランスタイプ</v>
          </cell>
          <cell r="M1181" t="str">
            <v>unknown</v>
          </cell>
        </row>
        <row r="1182">
          <cell r="A1182">
            <v>8015</v>
          </cell>
          <cell r="B1182" t="str">
            <v>ja</v>
          </cell>
          <cell r="C1182" t="str">
            <v>初音ミク・アペンド</v>
          </cell>
          <cell r="D1182" t="str">
            <v>初音ミク・アペンド</v>
          </cell>
          <cell r="E1182" t="str">
            <v>執行者</v>
          </cell>
          <cell r="F1182" t="str">
            <v>格好いい</v>
          </cell>
          <cell r="G1182" t="str">
            <v>女性</v>
          </cell>
          <cell r="H1182" t="str">
            <v>green</v>
          </cell>
          <cell r="I1182">
            <v>4</v>
          </cell>
          <cell r="J1182" t="str">
            <v>PremiumSSS</v>
          </cell>
          <cell r="K1182" t="str">
            <v>technical</v>
          </cell>
          <cell r="L1182" t="str">
            <v>テクニカルタイプ</v>
          </cell>
          <cell r="M1182" t="str">
            <v>unknown</v>
          </cell>
        </row>
        <row r="1183">
          <cell r="A1183">
            <v>8016</v>
          </cell>
          <cell r="B1183" t="str">
            <v>ja</v>
          </cell>
          <cell r="C1183" t="str">
            <v>初音ミク・アペンド</v>
          </cell>
          <cell r="D1183" t="str">
            <v>初音ミク・アペンド</v>
          </cell>
          <cell r="E1183" t="str">
            <v>執行者</v>
          </cell>
          <cell r="F1183" t="str">
            <v>格好いい</v>
          </cell>
          <cell r="G1183" t="str">
            <v>女性</v>
          </cell>
          <cell r="H1183" t="str">
            <v>green</v>
          </cell>
          <cell r="I1183">
            <v>5</v>
          </cell>
          <cell r="J1183" t="str">
            <v>PremiumSSS</v>
          </cell>
          <cell r="K1183" t="str">
            <v>technical</v>
          </cell>
          <cell r="L1183" t="str">
            <v>テクニカルタイプ</v>
          </cell>
          <cell r="M1183" t="str">
            <v>unknown</v>
          </cell>
        </row>
        <row r="1184">
          <cell r="A1184">
            <v>8017</v>
          </cell>
          <cell r="B1184" t="str">
            <v>ja</v>
          </cell>
          <cell r="C1184" t="str">
            <v>初音ミク</v>
          </cell>
          <cell r="D1184" t="str">
            <v>初音ミク</v>
          </cell>
          <cell r="E1184" t="str">
            <v>執行者</v>
          </cell>
          <cell r="F1184" t="str">
            <v>格好いい</v>
          </cell>
          <cell r="G1184" t="str">
            <v>女性</v>
          </cell>
          <cell r="H1184" t="str">
            <v>green</v>
          </cell>
          <cell r="I1184">
            <v>4</v>
          </cell>
          <cell r="J1184" t="str">
            <v>PremiumSSS</v>
          </cell>
          <cell r="K1184" t="str">
            <v>balance</v>
          </cell>
          <cell r="L1184" t="str">
            <v>バランスタイプ</v>
          </cell>
          <cell r="M1184" t="str">
            <v>unknown</v>
          </cell>
        </row>
        <row r="1185">
          <cell r="A1185">
            <v>8018</v>
          </cell>
          <cell r="B1185" t="str">
            <v>ja</v>
          </cell>
          <cell r="C1185" t="str">
            <v>初音ミク</v>
          </cell>
          <cell r="D1185" t="str">
            <v>初音ミク</v>
          </cell>
          <cell r="E1185" t="str">
            <v>執行者</v>
          </cell>
          <cell r="F1185" t="str">
            <v>格好いい</v>
          </cell>
          <cell r="G1185" t="str">
            <v>女性</v>
          </cell>
          <cell r="H1185" t="str">
            <v>green</v>
          </cell>
          <cell r="I1185">
            <v>5</v>
          </cell>
          <cell r="J1185" t="str">
            <v>PremiumSSS</v>
          </cell>
          <cell r="K1185" t="str">
            <v>balance</v>
          </cell>
          <cell r="L1185" t="str">
            <v>バランスタイプ</v>
          </cell>
          <cell r="M1185" t="str">
            <v>unknown</v>
          </cell>
        </row>
        <row r="1186">
          <cell r="A1186">
            <v>8019</v>
          </cell>
          <cell r="B1186" t="str">
            <v>ja</v>
          </cell>
          <cell r="C1186" t="str">
            <v>鏡音リン</v>
          </cell>
          <cell r="D1186" t="str">
            <v>鏡音リン</v>
          </cell>
          <cell r="E1186" t="str">
            <v>執行者</v>
          </cell>
          <cell r="F1186" t="str">
            <v>格好いい</v>
          </cell>
          <cell r="G1186" t="str">
            <v>男性</v>
          </cell>
          <cell r="H1186" t="str">
            <v>yellow</v>
          </cell>
          <cell r="I1186">
            <v>4</v>
          </cell>
          <cell r="J1186" t="str">
            <v>PremiumSS</v>
          </cell>
          <cell r="K1186" t="str">
            <v>balance</v>
          </cell>
          <cell r="L1186" t="str">
            <v>バランスタイプ</v>
          </cell>
          <cell r="M1186" t="str">
            <v>unknown</v>
          </cell>
        </row>
        <row r="1187">
          <cell r="A1187">
            <v>8020</v>
          </cell>
          <cell r="B1187" t="str">
            <v>ja</v>
          </cell>
          <cell r="C1187" t="str">
            <v>鏡音リン</v>
          </cell>
          <cell r="D1187" t="str">
            <v>鏡音リン</v>
          </cell>
          <cell r="E1187" t="str">
            <v>執行者</v>
          </cell>
          <cell r="F1187" t="str">
            <v>格好いい</v>
          </cell>
          <cell r="G1187" t="str">
            <v>男性</v>
          </cell>
          <cell r="H1187" t="str">
            <v>yellow</v>
          </cell>
          <cell r="I1187">
            <v>5</v>
          </cell>
          <cell r="J1187" t="str">
            <v>PremiumSS</v>
          </cell>
          <cell r="K1187" t="str">
            <v>balance</v>
          </cell>
          <cell r="L1187" t="str">
            <v>バランスタイプ</v>
          </cell>
          <cell r="M1187" t="str">
            <v>unknown</v>
          </cell>
        </row>
        <row r="1188">
          <cell r="A1188">
            <v>8021</v>
          </cell>
          <cell r="B1188" t="str">
            <v>ja</v>
          </cell>
          <cell r="C1188" t="str">
            <v>鏡音レン</v>
          </cell>
          <cell r="D1188" t="str">
            <v>鏡音レン</v>
          </cell>
          <cell r="E1188" t="str">
            <v>執行者</v>
          </cell>
          <cell r="F1188" t="str">
            <v>格好いい</v>
          </cell>
          <cell r="G1188" t="str">
            <v>女性</v>
          </cell>
          <cell r="H1188" t="str">
            <v>yellow</v>
          </cell>
          <cell r="I1188">
            <v>4</v>
          </cell>
          <cell r="J1188" t="str">
            <v>PremiumSS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8022</v>
          </cell>
          <cell r="B1189" t="str">
            <v>ja</v>
          </cell>
          <cell r="C1189" t="str">
            <v>鏡音レン</v>
          </cell>
          <cell r="D1189" t="str">
            <v>鏡音レン</v>
          </cell>
          <cell r="E1189" t="str">
            <v>執行者</v>
          </cell>
          <cell r="F1189" t="str">
            <v>格好いい</v>
          </cell>
          <cell r="G1189" t="str">
            <v>女性</v>
          </cell>
          <cell r="H1189" t="str">
            <v>yellow</v>
          </cell>
          <cell r="I1189">
            <v>5</v>
          </cell>
          <cell r="J1189" t="str">
            <v>PremiumSS</v>
          </cell>
          <cell r="K1189" t="str">
            <v>heal</v>
          </cell>
          <cell r="L1189" t="str">
            <v>回復タイプ</v>
          </cell>
          <cell r="M1189" t="str">
            <v>unknown</v>
          </cell>
        </row>
        <row r="1190">
          <cell r="A1190">
            <v>8023</v>
          </cell>
          <cell r="B1190" t="str">
            <v>ja</v>
          </cell>
          <cell r="C1190" t="str">
            <v>巡音ルカ</v>
          </cell>
          <cell r="D1190" t="str">
            <v>巡音ルカ</v>
          </cell>
          <cell r="E1190" t="str">
            <v>執行者</v>
          </cell>
          <cell r="F1190" t="str">
            <v>格好いい</v>
          </cell>
          <cell r="G1190" t="str">
            <v>女性</v>
          </cell>
          <cell r="H1190" t="str">
            <v>red</v>
          </cell>
          <cell r="I1190">
            <v>3</v>
          </cell>
          <cell r="J1190" t="str">
            <v>PremiumS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8024</v>
          </cell>
          <cell r="B1191" t="str">
            <v>ja</v>
          </cell>
          <cell r="C1191" t="str">
            <v>巡音ルカ</v>
          </cell>
          <cell r="D1191" t="str">
            <v>巡音ルカ</v>
          </cell>
          <cell r="E1191" t="str">
            <v>執行者</v>
          </cell>
          <cell r="F1191" t="str">
            <v>格好いい</v>
          </cell>
          <cell r="G1191" t="str">
            <v>女性</v>
          </cell>
          <cell r="H1191" t="str">
            <v>red</v>
          </cell>
          <cell r="I1191">
            <v>4</v>
          </cell>
          <cell r="J1191" t="str">
            <v>PremiumS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8025</v>
          </cell>
          <cell r="B1192" t="str">
            <v>ja</v>
          </cell>
          <cell r="C1192" t="str">
            <v>MEIKO</v>
          </cell>
          <cell r="D1192" t="str">
            <v>MEIKO</v>
          </cell>
          <cell r="E1192" t="str">
            <v>執行者</v>
          </cell>
          <cell r="F1192" t="str">
            <v>格好いい</v>
          </cell>
          <cell r="G1192" t="str">
            <v>男性</v>
          </cell>
          <cell r="H1192" t="str">
            <v>red</v>
          </cell>
          <cell r="I1192">
            <v>3</v>
          </cell>
          <cell r="J1192" t="str">
            <v>PremiumS</v>
          </cell>
          <cell r="K1192" t="str">
            <v>hp</v>
          </cell>
          <cell r="L1192" t="str">
            <v>体力タイプ</v>
          </cell>
          <cell r="M1192" t="str">
            <v>unknown</v>
          </cell>
        </row>
        <row r="1193">
          <cell r="A1193">
            <v>8026</v>
          </cell>
          <cell r="B1193" t="str">
            <v>ja</v>
          </cell>
          <cell r="C1193" t="str">
            <v>MEIKO</v>
          </cell>
          <cell r="D1193" t="str">
            <v>MEIKO</v>
          </cell>
          <cell r="E1193" t="str">
            <v>執行者</v>
          </cell>
          <cell r="F1193" t="str">
            <v>格好いい</v>
          </cell>
          <cell r="G1193" t="str">
            <v>男性</v>
          </cell>
          <cell r="H1193" t="str">
            <v>red</v>
          </cell>
          <cell r="I1193">
            <v>4</v>
          </cell>
          <cell r="J1193" t="str">
            <v>PremiumS</v>
          </cell>
          <cell r="K1193" t="str">
            <v>hp</v>
          </cell>
          <cell r="L1193" t="str">
            <v>体力タイプ</v>
          </cell>
          <cell r="M1193" t="str">
            <v>unknown</v>
          </cell>
        </row>
        <row r="1194">
          <cell r="A1194">
            <v>8027</v>
          </cell>
          <cell r="B1194" t="str">
            <v>ja</v>
          </cell>
          <cell r="C1194" t="str">
            <v>KAITO</v>
          </cell>
          <cell r="D1194" t="str">
            <v>KAITO</v>
          </cell>
          <cell r="E1194" t="str">
            <v>執行者</v>
          </cell>
          <cell r="F1194" t="str">
            <v>格好いい</v>
          </cell>
          <cell r="G1194" t="str">
            <v>女性</v>
          </cell>
          <cell r="H1194" t="str">
            <v>blue</v>
          </cell>
          <cell r="I1194">
            <v>3</v>
          </cell>
          <cell r="J1194" t="str">
            <v>PremiumS</v>
          </cell>
          <cell r="K1194" t="str">
            <v>technical</v>
          </cell>
          <cell r="L1194" t="str">
            <v>テクニカルタイプ</v>
          </cell>
          <cell r="M1194" t="str">
            <v>unknown</v>
          </cell>
        </row>
        <row r="1195">
          <cell r="A1195">
            <v>8028</v>
          </cell>
          <cell r="B1195" t="str">
            <v>ja</v>
          </cell>
          <cell r="C1195" t="str">
            <v>KAITO</v>
          </cell>
          <cell r="D1195" t="str">
            <v>KAITO</v>
          </cell>
          <cell r="E1195" t="str">
            <v>執行者</v>
          </cell>
          <cell r="F1195" t="str">
            <v>格好いい</v>
          </cell>
          <cell r="G1195" t="str">
            <v>女性</v>
          </cell>
          <cell r="H1195" t="str">
            <v>blue</v>
          </cell>
          <cell r="I1195">
            <v>4</v>
          </cell>
          <cell r="J1195" t="str">
            <v>PremiumS</v>
          </cell>
          <cell r="K1195" t="str">
            <v>technical</v>
          </cell>
          <cell r="L1195" t="str">
            <v>テクニカルタイプ</v>
          </cell>
          <cell r="M1195" t="str">
            <v>unknown</v>
          </cell>
        </row>
        <row r="1196">
          <cell r="A1196">
            <v>8029</v>
          </cell>
          <cell r="B1196" t="str">
            <v>ja</v>
          </cell>
          <cell r="C1196" t="str">
            <v>Expoミク</v>
          </cell>
          <cell r="D1196" t="str">
            <v>Expoミク</v>
          </cell>
          <cell r="E1196" t="str">
            <v>執行者</v>
          </cell>
          <cell r="F1196" t="str">
            <v>格好いい</v>
          </cell>
          <cell r="G1196" t="str">
            <v>女性</v>
          </cell>
          <cell r="H1196" t="str">
            <v>blue</v>
          </cell>
          <cell r="I1196">
            <v>4</v>
          </cell>
          <cell r="J1196" t="str">
            <v>Drop2N</v>
          </cell>
          <cell r="K1196" t="str">
            <v>heal</v>
          </cell>
          <cell r="L1196" t="str">
            <v>回復タイプ</v>
          </cell>
          <cell r="M1196" t="str">
            <v>unknown</v>
          </cell>
        </row>
        <row r="1197">
          <cell r="A1197">
            <v>8030</v>
          </cell>
          <cell r="B1197" t="str">
            <v>ja</v>
          </cell>
          <cell r="C1197" t="str">
            <v>Expoミク</v>
          </cell>
          <cell r="D1197" t="str">
            <v>Expoミク</v>
          </cell>
          <cell r="E1197" t="str">
            <v>執行者</v>
          </cell>
          <cell r="F1197" t="str">
            <v>格好いい</v>
          </cell>
          <cell r="G1197" t="str">
            <v>女性</v>
          </cell>
          <cell r="H1197" t="str">
            <v>blue</v>
          </cell>
          <cell r="I1197">
            <v>4</v>
          </cell>
          <cell r="J1197" t="str">
            <v>Drop2N</v>
          </cell>
          <cell r="K1197" t="str">
            <v>heal</v>
          </cell>
          <cell r="L1197" t="str">
            <v>回復タイプ</v>
          </cell>
          <cell r="M1197" t="str">
            <v>unknown</v>
          </cell>
        </row>
        <row r="1198">
          <cell r="A1198">
            <v>8031</v>
          </cell>
          <cell r="B1198" t="str">
            <v>ja</v>
          </cell>
          <cell r="C1198" t="str">
            <v>閻羅王</v>
          </cell>
          <cell r="D1198" t="str">
            <v>Expoミク</v>
          </cell>
          <cell r="E1198" t="str">
            <v>執行者</v>
          </cell>
          <cell r="F1198" t="str">
            <v>格好いい</v>
          </cell>
          <cell r="G1198" t="str">
            <v>女性</v>
          </cell>
          <cell r="H1198" t="str">
            <v>red</v>
          </cell>
          <cell r="I1198">
            <v>5</v>
          </cell>
          <cell r="J1198" t="str">
            <v>PremiumSS</v>
          </cell>
          <cell r="K1198" t="str">
            <v>balance</v>
          </cell>
          <cell r="L1198" t="str">
            <v>バランスタイプ</v>
          </cell>
          <cell r="M1198" t="str">
            <v>god</v>
          </cell>
        </row>
        <row r="1199">
          <cell r="A1199">
            <v>8032</v>
          </cell>
          <cell r="B1199" t="str">
            <v>ja</v>
          </cell>
          <cell r="C1199" t="str">
            <v>十殿閻羅王</v>
          </cell>
          <cell r="D1199" t="str">
            <v>Expoミク</v>
          </cell>
          <cell r="E1199" t="str">
            <v>執行者</v>
          </cell>
          <cell r="F1199" t="str">
            <v>格好いい</v>
          </cell>
          <cell r="G1199" t="str">
            <v>女性</v>
          </cell>
          <cell r="H1199" t="str">
            <v>red</v>
          </cell>
          <cell r="I1199">
            <v>6</v>
          </cell>
          <cell r="J1199" t="str">
            <v>PremiumSS</v>
          </cell>
          <cell r="K1199" t="str">
            <v>balance</v>
          </cell>
          <cell r="L1199" t="str">
            <v>バランスタイプ</v>
          </cell>
          <cell r="M1199" t="str">
            <v>god</v>
          </cell>
        </row>
        <row r="1200">
          <cell r="A1200">
            <v>8033</v>
          </cell>
          <cell r="B1200" t="str">
            <v>ja</v>
          </cell>
          <cell r="C1200" t="str">
            <v>牛頭馬面</v>
          </cell>
          <cell r="D1200" t="str">
            <v>Expoミク</v>
          </cell>
          <cell r="E1200" t="str">
            <v>執行者</v>
          </cell>
          <cell r="F1200" t="str">
            <v>格好いい</v>
          </cell>
          <cell r="G1200" t="str">
            <v>女性</v>
          </cell>
          <cell r="H1200" t="str">
            <v>green</v>
          </cell>
          <cell r="I1200">
            <v>5</v>
          </cell>
          <cell r="J1200" t="str">
            <v>DropWizS</v>
          </cell>
          <cell r="K1200" t="str">
            <v>attack</v>
          </cell>
          <cell r="L1200" t="str">
            <v>攻撃タイプ</v>
          </cell>
          <cell r="M1200" t="str">
            <v>god</v>
          </cell>
        </row>
        <row r="1201">
          <cell r="A1201">
            <v>8034</v>
          </cell>
          <cell r="B1201" t="str">
            <v>ja</v>
          </cell>
          <cell r="C1201" t="str">
            <v>牛頭馬面</v>
          </cell>
          <cell r="D1201" t="str">
            <v>Expoミク</v>
          </cell>
          <cell r="E1201" t="str">
            <v>執行者</v>
          </cell>
          <cell r="F1201" t="str">
            <v>格好いい</v>
          </cell>
          <cell r="G1201" t="str">
            <v>女性</v>
          </cell>
          <cell r="H1201" t="str">
            <v>green</v>
          </cell>
          <cell r="I1201">
            <v>6</v>
          </cell>
          <cell r="J1201" t="str">
            <v>DropWizS</v>
          </cell>
          <cell r="K1201" t="str">
            <v>attack</v>
          </cell>
          <cell r="L1201" t="str">
            <v>攻撃タイプ</v>
          </cell>
          <cell r="M1201" t="str">
            <v>god</v>
          </cell>
        </row>
        <row r="1202">
          <cell r="A1202">
            <v>8035</v>
          </cell>
          <cell r="B1202" t="str">
            <v>ja</v>
          </cell>
          <cell r="C1202" t="str">
            <v>嫦娥</v>
          </cell>
          <cell r="D1202" t="str">
            <v>Expoミク</v>
          </cell>
          <cell r="E1202" t="str">
            <v>執行者</v>
          </cell>
          <cell r="F1202" t="str">
            <v>格好いい</v>
          </cell>
          <cell r="G1202" t="str">
            <v>女性</v>
          </cell>
          <cell r="H1202" t="str">
            <v>blue</v>
          </cell>
          <cell r="I1202">
            <v>4</v>
          </cell>
          <cell r="J1202" t="str">
            <v>Drop2N</v>
          </cell>
          <cell r="K1202" t="str">
            <v>heal</v>
          </cell>
          <cell r="L1202" t="str">
            <v>回復タイプ</v>
          </cell>
          <cell r="M1202" t="str">
            <v>unknown</v>
          </cell>
        </row>
        <row r="1203">
          <cell r="A1203">
            <v>8036</v>
          </cell>
          <cell r="B1203" t="str">
            <v>ja</v>
          </cell>
          <cell r="C1203" t="str">
            <v>嫦娥</v>
          </cell>
          <cell r="D1203" t="str">
            <v>Expoミク</v>
          </cell>
          <cell r="E1203" t="str">
            <v>執行者</v>
          </cell>
          <cell r="F1203" t="str">
            <v>格好いい</v>
          </cell>
          <cell r="G1203" t="str">
            <v>女性</v>
          </cell>
          <cell r="H1203" t="str">
            <v>blue</v>
          </cell>
          <cell r="I1203">
            <v>4</v>
          </cell>
          <cell r="J1203" t="str">
            <v>Drop2N</v>
          </cell>
          <cell r="K1203" t="str">
            <v>heal</v>
          </cell>
          <cell r="L1203" t="str">
            <v>回復タイプ</v>
          </cell>
          <cell r="M1203" t="str">
            <v>unknown</v>
          </cell>
        </row>
        <row r="1204">
          <cell r="A1204">
            <v>8037</v>
          </cell>
          <cell r="B1204" t="str">
            <v>ja</v>
          </cell>
          <cell r="C1204" t="str">
            <v>后羿</v>
          </cell>
          <cell r="D1204" t="str">
            <v>Expoミク</v>
          </cell>
          <cell r="E1204" t="str">
            <v>執行者</v>
          </cell>
          <cell r="F1204" t="str">
            <v>格好いい</v>
          </cell>
          <cell r="G1204" t="str">
            <v>女性</v>
          </cell>
          <cell r="H1204" t="str">
            <v>blue</v>
          </cell>
          <cell r="I1204">
            <v>4</v>
          </cell>
          <cell r="J1204" t="str">
            <v>Drop2N</v>
          </cell>
          <cell r="K1204" t="str">
            <v>heal</v>
          </cell>
          <cell r="L1204" t="str">
            <v>回復タイプ</v>
          </cell>
          <cell r="M1204" t="str">
            <v>unknown</v>
          </cell>
        </row>
        <row r="1205">
          <cell r="A1205">
            <v>8038</v>
          </cell>
          <cell r="B1205" t="str">
            <v>ja</v>
          </cell>
          <cell r="C1205" t="str">
            <v>后羿</v>
          </cell>
          <cell r="D1205" t="str">
            <v>Expoミク</v>
          </cell>
          <cell r="E1205" t="str">
            <v>執行者</v>
          </cell>
          <cell r="F1205" t="str">
            <v>格好いい</v>
          </cell>
          <cell r="G1205" t="str">
            <v>女性</v>
          </cell>
          <cell r="H1205" t="str">
            <v>blue</v>
          </cell>
          <cell r="I1205">
            <v>4</v>
          </cell>
          <cell r="J1205" t="str">
            <v>Drop2N</v>
          </cell>
          <cell r="K1205" t="str">
            <v>heal</v>
          </cell>
          <cell r="L1205" t="str">
            <v>回復タイプ</v>
          </cell>
          <cell r="M1205" t="str">
            <v>unknown</v>
          </cell>
        </row>
        <row r="1206">
          <cell r="A1206">
            <v>8039</v>
          </cell>
          <cell r="B1206" t="str">
            <v>ja</v>
          </cell>
          <cell r="C1206" t="str">
            <v>何仙姑</v>
          </cell>
          <cell r="D1206" t="str">
            <v>Expoミク</v>
          </cell>
          <cell r="E1206" t="str">
            <v>執行者</v>
          </cell>
          <cell r="F1206" t="str">
            <v>格好いい</v>
          </cell>
          <cell r="G1206" t="str">
            <v>女性</v>
          </cell>
          <cell r="H1206" t="str">
            <v>blue</v>
          </cell>
          <cell r="I1206">
            <v>4</v>
          </cell>
          <cell r="J1206" t="str">
            <v>Drop2N</v>
          </cell>
          <cell r="K1206" t="str">
            <v>heal</v>
          </cell>
          <cell r="L1206" t="str">
            <v>回復タイプ</v>
          </cell>
          <cell r="M1206" t="str">
            <v>unknown</v>
          </cell>
        </row>
        <row r="1207">
          <cell r="A1207">
            <v>8040</v>
          </cell>
          <cell r="B1207" t="str">
            <v>ja</v>
          </cell>
          <cell r="C1207" t="str">
            <v>何仙姑</v>
          </cell>
          <cell r="D1207" t="str">
            <v>Expoミク</v>
          </cell>
          <cell r="E1207" t="str">
            <v>執行者</v>
          </cell>
          <cell r="F1207" t="str">
            <v>格好いい</v>
          </cell>
          <cell r="G1207" t="str">
            <v>女性</v>
          </cell>
          <cell r="H1207" t="str">
            <v>blue</v>
          </cell>
          <cell r="I1207">
            <v>4</v>
          </cell>
          <cell r="J1207" t="str">
            <v>Drop2N</v>
          </cell>
          <cell r="K1207" t="str">
            <v>heal</v>
          </cell>
          <cell r="L1207" t="str">
            <v>回復タイプ</v>
          </cell>
          <cell r="M1207" t="str">
            <v>unknown</v>
          </cell>
        </row>
        <row r="1208">
          <cell r="A1208">
            <v>8041</v>
          </cell>
          <cell r="B1208" t="str">
            <v>ja</v>
          </cell>
          <cell r="C1208" t="str">
            <v>藍采和</v>
          </cell>
          <cell r="D1208" t="str">
            <v>Expoミク</v>
          </cell>
          <cell r="E1208" t="str">
            <v>執行者</v>
          </cell>
          <cell r="F1208" t="str">
            <v>格好いい</v>
          </cell>
          <cell r="G1208" t="str">
            <v>女性</v>
          </cell>
          <cell r="H1208" t="str">
            <v>blue</v>
          </cell>
          <cell r="I1208">
            <v>4</v>
          </cell>
          <cell r="J1208" t="str">
            <v>Drop2N</v>
          </cell>
          <cell r="K1208" t="str">
            <v>heal</v>
          </cell>
          <cell r="L1208" t="str">
            <v>回復タイプ</v>
          </cell>
          <cell r="M1208" t="str">
            <v>unknown</v>
          </cell>
        </row>
        <row r="1209">
          <cell r="A1209">
            <v>8042</v>
          </cell>
          <cell r="B1209" t="str">
            <v>ja</v>
          </cell>
          <cell r="C1209" t="str">
            <v>藍采和</v>
          </cell>
          <cell r="D1209" t="str">
            <v>Expoミク</v>
          </cell>
          <cell r="E1209" t="str">
            <v>執行者</v>
          </cell>
          <cell r="F1209" t="str">
            <v>格好いい</v>
          </cell>
          <cell r="G1209" t="str">
            <v>女性</v>
          </cell>
          <cell r="H1209" t="str">
            <v>blue</v>
          </cell>
          <cell r="I1209">
            <v>4</v>
          </cell>
          <cell r="J1209" t="str">
            <v>Drop2N</v>
          </cell>
          <cell r="K1209" t="str">
            <v>heal</v>
          </cell>
          <cell r="L1209" t="str">
            <v>回復タイプ</v>
          </cell>
          <cell r="M1209" t="str">
            <v>unknown</v>
          </cell>
        </row>
        <row r="1210">
          <cell r="A1210">
            <v>8043</v>
          </cell>
          <cell r="B1210" t="str">
            <v>ja</v>
          </cell>
          <cell r="C1210" t="str">
            <v>サンリオキャラ大集合+アザゼル</v>
          </cell>
          <cell r="D1210" t="str">
            <v>サンリオキャラ大集合+アザゼル</v>
          </cell>
          <cell r="E1210" t="str">
            <v>執行者</v>
          </cell>
          <cell r="F1210" t="str">
            <v>格好いい</v>
          </cell>
          <cell r="G1210" t="str">
            <v>女性</v>
          </cell>
          <cell r="H1210" t="str">
            <v>green</v>
          </cell>
          <cell r="I1210">
            <v>5</v>
          </cell>
          <cell r="J1210" t="str">
            <v>DropWizS</v>
          </cell>
          <cell r="K1210" t="str">
            <v>technical</v>
          </cell>
          <cell r="L1210" t="str">
            <v>テクニカルタイプ</v>
          </cell>
          <cell r="M1210" t="str">
            <v>ss</v>
          </cell>
        </row>
        <row r="1211">
          <cell r="A1211">
            <v>8044</v>
          </cell>
          <cell r="B1211" t="str">
            <v>ja</v>
          </cell>
          <cell r="C1211" t="str">
            <v>サンリオキャラ大集合+アザゼル</v>
          </cell>
          <cell r="D1211" t="str">
            <v>サンリオキャラ大集合+アザゼル</v>
          </cell>
          <cell r="E1211" t="str">
            <v>執行者</v>
          </cell>
          <cell r="F1211" t="str">
            <v>格好いい</v>
          </cell>
          <cell r="G1211" t="str">
            <v>女性</v>
          </cell>
          <cell r="H1211" t="str">
            <v>green</v>
          </cell>
          <cell r="I1211">
            <v>6</v>
          </cell>
          <cell r="J1211" t="str">
            <v>DropWizS</v>
          </cell>
          <cell r="K1211" t="str">
            <v>technical</v>
          </cell>
          <cell r="L1211" t="str">
            <v>テクニカルタイプ</v>
          </cell>
          <cell r="M1211" t="str">
            <v>ss</v>
          </cell>
        </row>
        <row r="1212">
          <cell r="A1212">
            <v>8045</v>
          </cell>
          <cell r="B1212" t="str">
            <v>ja</v>
          </cell>
          <cell r="C1212" t="str">
            <v>ニムダ_サンリオキャラ混じり</v>
          </cell>
          <cell r="D1212" t="str">
            <v>ニムダ_サンリオキャラ混じり</v>
          </cell>
          <cell r="E1212" t="str">
            <v>執行者</v>
          </cell>
          <cell r="F1212" t="str">
            <v>格好いい</v>
          </cell>
          <cell r="G1212" t="str">
            <v>女性</v>
          </cell>
          <cell r="H1212" t="str">
            <v>yellow</v>
          </cell>
          <cell r="I1212">
            <v>4</v>
          </cell>
          <cell r="J1212" t="str">
            <v>Drop2N</v>
          </cell>
          <cell r="K1212" t="str">
            <v>technical</v>
          </cell>
          <cell r="L1212" t="str">
            <v>テクニカルタイプ</v>
          </cell>
          <cell r="M1212" t="str">
            <v>ss</v>
          </cell>
        </row>
        <row r="1213">
          <cell r="A1213">
            <v>8046</v>
          </cell>
          <cell r="B1213" t="str">
            <v>ja</v>
          </cell>
          <cell r="C1213" t="str">
            <v>ニムダ_サンリオキャラ混じり</v>
          </cell>
          <cell r="D1213" t="str">
            <v>ニムダ_サンリオキャラ混じり</v>
          </cell>
          <cell r="E1213" t="str">
            <v>執行者</v>
          </cell>
          <cell r="F1213" t="str">
            <v>格好いい</v>
          </cell>
          <cell r="G1213" t="str">
            <v>女性</v>
          </cell>
          <cell r="H1213" t="str">
            <v>yellow</v>
          </cell>
          <cell r="I1213">
            <v>5</v>
          </cell>
          <cell r="J1213" t="str">
            <v>Drop2N</v>
          </cell>
          <cell r="K1213" t="str">
            <v>technical</v>
          </cell>
          <cell r="L1213" t="str">
            <v>テクニカルタイプ</v>
          </cell>
          <cell r="M1213" t="str">
            <v>ss</v>
          </cell>
        </row>
        <row r="1214">
          <cell r="A1214">
            <v>8047</v>
          </cell>
          <cell r="B1214" t="str">
            <v>ja</v>
          </cell>
          <cell r="C1214" t="str">
            <v>ハローキティ</v>
          </cell>
          <cell r="D1214" t="str">
            <v>ハローキティ</v>
          </cell>
          <cell r="E1214" t="str">
            <v>執行者</v>
          </cell>
          <cell r="F1214" t="str">
            <v>格好いい</v>
          </cell>
          <cell r="G1214" t="str">
            <v>女性</v>
          </cell>
          <cell r="H1214" t="str">
            <v>red</v>
          </cell>
          <cell r="I1214">
            <v>4</v>
          </cell>
          <cell r="J1214" t="str">
            <v>Drop2N</v>
          </cell>
          <cell r="K1214" t="str">
            <v>balance</v>
          </cell>
          <cell r="L1214" t="str">
            <v>バランスタイプ</v>
          </cell>
          <cell r="M1214" t="str">
            <v>ss</v>
          </cell>
        </row>
        <row r="1215">
          <cell r="A1215">
            <v>8048</v>
          </cell>
          <cell r="B1215" t="str">
            <v>ja</v>
          </cell>
          <cell r="C1215" t="str">
            <v>ハローキティ</v>
          </cell>
          <cell r="D1215" t="str">
            <v>ハローキティ</v>
          </cell>
          <cell r="E1215" t="str">
            <v>執行者</v>
          </cell>
          <cell r="F1215" t="str">
            <v>格好いい</v>
          </cell>
          <cell r="G1215" t="str">
            <v>女性</v>
          </cell>
          <cell r="H1215" t="str">
            <v>red</v>
          </cell>
          <cell r="I1215">
            <v>5</v>
          </cell>
          <cell r="J1215" t="str">
            <v>Drop2N</v>
          </cell>
          <cell r="K1215" t="str">
            <v>balance</v>
          </cell>
          <cell r="L1215" t="str">
            <v>バランスタイプ</v>
          </cell>
          <cell r="M1215" t="str">
            <v>ss</v>
          </cell>
        </row>
        <row r="1216">
          <cell r="A1216">
            <v>8049</v>
          </cell>
          <cell r="B1216" t="str">
            <v>ja</v>
          </cell>
          <cell r="C1216" t="str">
            <v>KIRIMIちゃん</v>
          </cell>
          <cell r="D1216" t="str">
            <v>KIRIMIちゃん</v>
          </cell>
          <cell r="E1216" t="str">
            <v>執行者</v>
          </cell>
          <cell r="F1216" t="str">
            <v>格好いい</v>
          </cell>
          <cell r="G1216" t="str">
            <v>女性</v>
          </cell>
          <cell r="H1216" t="str">
            <v>red</v>
          </cell>
          <cell r="I1216">
            <v>4</v>
          </cell>
          <cell r="J1216" t="str">
            <v>Drop2N</v>
          </cell>
          <cell r="K1216" t="str">
            <v>hp</v>
          </cell>
          <cell r="L1216" t="str">
            <v>体力タイプ</v>
          </cell>
          <cell r="M1216" t="str">
            <v>ss</v>
          </cell>
        </row>
        <row r="1217">
          <cell r="A1217">
            <v>8050</v>
          </cell>
          <cell r="B1217" t="str">
            <v>ja</v>
          </cell>
          <cell r="C1217" t="str">
            <v>KIRIMIちゃん</v>
          </cell>
          <cell r="D1217" t="str">
            <v>KIRIMIちゃん</v>
          </cell>
          <cell r="E1217" t="str">
            <v>執行者</v>
          </cell>
          <cell r="F1217" t="str">
            <v>格好いい</v>
          </cell>
          <cell r="G1217" t="str">
            <v>女性</v>
          </cell>
          <cell r="H1217" t="str">
            <v>red</v>
          </cell>
          <cell r="I1217">
            <v>5</v>
          </cell>
          <cell r="J1217" t="str">
            <v>Drop2N</v>
          </cell>
          <cell r="K1217" t="str">
            <v>hp</v>
          </cell>
          <cell r="L1217" t="str">
            <v>体力タイプ</v>
          </cell>
          <cell r="M1217" t="str">
            <v>ss</v>
          </cell>
        </row>
        <row r="1218">
          <cell r="A1218">
            <v>8051</v>
          </cell>
          <cell r="B1218" t="str">
            <v>ja</v>
          </cell>
          <cell r="C1218" t="str">
            <v>ハローキティのリボン</v>
          </cell>
          <cell r="D1218" t="str">
            <v>ハローキティのリボン</v>
          </cell>
          <cell r="E1218" t="str">
            <v>執行者</v>
          </cell>
          <cell r="F1218" t="str">
            <v>格好いい</v>
          </cell>
          <cell r="G1218" t="str">
            <v>女性</v>
          </cell>
          <cell r="H1218" t="str">
            <v>red</v>
          </cell>
          <cell r="I1218">
            <v>5</v>
          </cell>
          <cell r="J1218" t="str">
            <v>Drop2N</v>
          </cell>
          <cell r="K1218" t="str">
            <v>evolution</v>
          </cell>
          <cell r="L1218" t="str">
            <v>覚醒素材タイプ</v>
          </cell>
          <cell r="M1218" t="str">
            <v>ss</v>
          </cell>
        </row>
        <row r="1219">
          <cell r="A1219">
            <v>8052</v>
          </cell>
          <cell r="B1219" t="str">
            <v>ja</v>
          </cell>
          <cell r="C1219" t="str">
            <v>ママの作ったアップルパイ</v>
          </cell>
          <cell r="D1219" t="str">
            <v>ママの作ったアップルパイ</v>
          </cell>
          <cell r="E1219" t="str">
            <v>執行者</v>
          </cell>
          <cell r="F1219" t="str">
            <v>格好いい</v>
          </cell>
          <cell r="G1219" t="str">
            <v>女性</v>
          </cell>
          <cell r="H1219" t="str">
            <v>red</v>
          </cell>
          <cell r="I1219">
            <v>4</v>
          </cell>
          <cell r="J1219" t="str">
            <v>Drop2N</v>
          </cell>
          <cell r="K1219" t="str">
            <v>evolution</v>
          </cell>
          <cell r="L1219" t="str">
            <v>覚醒素材タイプ</v>
          </cell>
          <cell r="M1219" t="str">
            <v>ss</v>
          </cell>
        </row>
        <row r="1220">
          <cell r="A1220">
            <v>8053</v>
          </cell>
          <cell r="B1220" t="str">
            <v>ja</v>
          </cell>
          <cell r="C1220" t="str">
            <v>D.R.T.H__キティコスプレ</v>
          </cell>
          <cell r="D1220" t="str">
            <v>D.R.T.H__キティコスプレ</v>
          </cell>
          <cell r="E1220" t="str">
            <v>執行者</v>
          </cell>
          <cell r="F1220" t="str">
            <v>格好いい</v>
          </cell>
          <cell r="G1220" t="str">
            <v>女性</v>
          </cell>
          <cell r="H1220" t="str">
            <v>red</v>
          </cell>
          <cell r="I1220">
            <v>5</v>
          </cell>
          <cell r="J1220" t="str">
            <v>PremiumSS</v>
          </cell>
          <cell r="K1220" t="str">
            <v>balance</v>
          </cell>
          <cell r="L1220" t="str">
            <v>バランスタイプ</v>
          </cell>
          <cell r="M1220" t="str">
            <v>ss</v>
          </cell>
        </row>
        <row r="1221">
          <cell r="A1221">
            <v>8054</v>
          </cell>
          <cell r="B1221" t="str">
            <v>ja</v>
          </cell>
          <cell r="C1221" t="str">
            <v>D.R.T.H__キティコスプレ</v>
          </cell>
          <cell r="D1221" t="str">
            <v>D.R.T.H__キティコスプレ</v>
          </cell>
          <cell r="E1221" t="str">
            <v>執行者</v>
          </cell>
          <cell r="F1221" t="str">
            <v>格好いい</v>
          </cell>
          <cell r="G1221" t="str">
            <v>女性</v>
          </cell>
          <cell r="H1221" t="str">
            <v>red</v>
          </cell>
          <cell r="I1221">
            <v>6</v>
          </cell>
          <cell r="J1221" t="str">
            <v>PremiumSS</v>
          </cell>
          <cell r="K1221" t="str">
            <v>balance</v>
          </cell>
          <cell r="L1221" t="str">
            <v>バランスタイプ</v>
          </cell>
          <cell r="M1221" t="str">
            <v>ss</v>
          </cell>
        </row>
        <row r="1222">
          <cell r="A1222">
            <v>8055</v>
          </cell>
          <cell r="B1222" t="str">
            <v>ja</v>
          </cell>
          <cell r="C1222" t="str">
            <v>マイメロディ</v>
          </cell>
          <cell r="D1222" t="str">
            <v>マイメロディ</v>
          </cell>
          <cell r="E1222" t="str">
            <v>執行者</v>
          </cell>
          <cell r="F1222" t="str">
            <v>格好いい</v>
          </cell>
          <cell r="G1222" t="str">
            <v>女性</v>
          </cell>
          <cell r="H1222" t="str">
            <v>red</v>
          </cell>
          <cell r="I1222">
            <v>4</v>
          </cell>
          <cell r="J1222" t="str">
            <v>PremiumS</v>
          </cell>
          <cell r="K1222" t="str">
            <v>attack</v>
          </cell>
          <cell r="L1222" t="str">
            <v>攻撃タイプ</v>
          </cell>
          <cell r="M1222" t="str">
            <v>ss</v>
          </cell>
        </row>
        <row r="1223">
          <cell r="A1223">
            <v>8056</v>
          </cell>
          <cell r="B1223" t="str">
            <v>ja</v>
          </cell>
          <cell r="C1223" t="str">
            <v>マイメロディ</v>
          </cell>
          <cell r="D1223" t="str">
            <v>マイメロディ</v>
          </cell>
          <cell r="E1223" t="str">
            <v>執行者</v>
          </cell>
          <cell r="F1223" t="str">
            <v>格好いい</v>
          </cell>
          <cell r="G1223" t="str">
            <v>女性</v>
          </cell>
          <cell r="H1223" t="str">
            <v>red</v>
          </cell>
          <cell r="I1223">
            <v>5</v>
          </cell>
          <cell r="J1223" t="str">
            <v>PremiumS</v>
          </cell>
          <cell r="K1223" t="str">
            <v>attack</v>
          </cell>
          <cell r="L1223" t="str">
            <v>攻撃タイプ</v>
          </cell>
          <cell r="M1223" t="str">
            <v>ss</v>
          </cell>
        </row>
        <row r="1224">
          <cell r="A1224">
            <v>8057</v>
          </cell>
          <cell r="B1224" t="str">
            <v>ja</v>
          </cell>
          <cell r="C1224" t="str">
            <v>ニーベルゲン_シナモロールコスプレ</v>
          </cell>
          <cell r="D1224" t="str">
            <v>ニーベルゲン_シナモロールコスプレ</v>
          </cell>
          <cell r="E1224" t="str">
            <v>執行者</v>
          </cell>
          <cell r="F1224" t="str">
            <v>格好いい</v>
          </cell>
          <cell r="G1224" t="str">
            <v>女性</v>
          </cell>
          <cell r="H1224" t="str">
            <v>green</v>
          </cell>
          <cell r="I1224">
            <v>4</v>
          </cell>
          <cell r="J1224" t="str">
            <v>PremiumS</v>
          </cell>
          <cell r="K1224" t="str">
            <v>balance</v>
          </cell>
          <cell r="L1224" t="str">
            <v>バランスタイプ</v>
          </cell>
          <cell r="M1224" t="str">
            <v>ss</v>
          </cell>
        </row>
        <row r="1225">
          <cell r="A1225">
            <v>8058</v>
          </cell>
          <cell r="B1225" t="str">
            <v>ja</v>
          </cell>
          <cell r="C1225" t="str">
            <v>ニーベルゲン_シナモロールコスプレ</v>
          </cell>
          <cell r="D1225" t="str">
            <v>ニーベルゲン_シナモロールコスプレ</v>
          </cell>
          <cell r="E1225" t="str">
            <v>執行者</v>
          </cell>
          <cell r="F1225" t="str">
            <v>格好いい</v>
          </cell>
          <cell r="G1225" t="str">
            <v>女性</v>
          </cell>
          <cell r="H1225" t="str">
            <v>green</v>
          </cell>
          <cell r="I1225">
            <v>5</v>
          </cell>
          <cell r="J1225" t="str">
            <v>PremiumS</v>
          </cell>
          <cell r="K1225" t="str">
            <v>balance</v>
          </cell>
          <cell r="L1225" t="str">
            <v>バランスタイプ</v>
          </cell>
          <cell r="M1225" t="str">
            <v>ss</v>
          </cell>
        </row>
        <row r="1226">
          <cell r="A1226">
            <v>8059</v>
          </cell>
          <cell r="B1226" t="str">
            <v>ja</v>
          </cell>
          <cell r="C1226" t="str">
            <v>カカシ_マイメロディコスプレ</v>
          </cell>
          <cell r="D1226" t="str">
            <v>カカシ_マイメロディコスプレ</v>
          </cell>
          <cell r="E1226" t="str">
            <v>執行者</v>
          </cell>
          <cell r="F1226" t="str">
            <v>格好いい</v>
          </cell>
          <cell r="G1226" t="str">
            <v>女性</v>
          </cell>
          <cell r="H1226" t="str">
            <v>green</v>
          </cell>
          <cell r="I1226">
            <v>4</v>
          </cell>
          <cell r="J1226" t="str">
            <v>PremiumS</v>
          </cell>
          <cell r="K1226" t="str">
            <v>technical</v>
          </cell>
          <cell r="L1226" t="str">
            <v>テクニカルタイプ</v>
          </cell>
          <cell r="M1226" t="str">
            <v>ss</v>
          </cell>
        </row>
        <row r="1227">
          <cell r="A1227">
            <v>8060</v>
          </cell>
          <cell r="B1227" t="str">
            <v>ja</v>
          </cell>
          <cell r="C1227" t="str">
            <v>カカシ_マイメロディコスプレ</v>
          </cell>
          <cell r="D1227" t="str">
            <v>カカシ_マイメロディコスプレ</v>
          </cell>
          <cell r="E1227" t="str">
            <v>執行者</v>
          </cell>
          <cell r="F1227" t="str">
            <v>格好いい</v>
          </cell>
          <cell r="G1227" t="str">
            <v>女性</v>
          </cell>
          <cell r="H1227" t="str">
            <v>green</v>
          </cell>
          <cell r="I1227">
            <v>5</v>
          </cell>
          <cell r="J1227" t="str">
            <v>PremiumS</v>
          </cell>
          <cell r="K1227" t="str">
            <v>technical</v>
          </cell>
          <cell r="L1227" t="str">
            <v>テクニカルタイプ</v>
          </cell>
          <cell r="M1227" t="str">
            <v>ss</v>
          </cell>
        </row>
        <row r="1228">
          <cell r="A1228">
            <v>8061</v>
          </cell>
          <cell r="B1228" t="str">
            <v>ja</v>
          </cell>
          <cell r="C1228" t="str">
            <v>ケロケロけろっぴ</v>
          </cell>
          <cell r="D1228" t="str">
            <v>ケロケロけろっぴ</v>
          </cell>
          <cell r="E1228" t="str">
            <v>執行者</v>
          </cell>
          <cell r="F1228" t="str">
            <v>格好いい</v>
          </cell>
          <cell r="G1228" t="str">
            <v>女性</v>
          </cell>
          <cell r="H1228" t="str">
            <v>green</v>
          </cell>
          <cell r="I1228">
            <v>3</v>
          </cell>
          <cell r="J1228" t="str">
            <v>PremiumS</v>
          </cell>
          <cell r="K1228" t="str">
            <v>balance</v>
          </cell>
          <cell r="L1228" t="str">
            <v>バランスタイプ</v>
          </cell>
          <cell r="M1228" t="str">
            <v>ss</v>
          </cell>
        </row>
        <row r="1229">
          <cell r="A1229">
            <v>8062</v>
          </cell>
          <cell r="B1229" t="str">
            <v>ja</v>
          </cell>
          <cell r="C1229" t="str">
            <v>ケロケロけろっぴ</v>
          </cell>
          <cell r="D1229" t="str">
            <v>ケロケロけろっぴ</v>
          </cell>
          <cell r="E1229" t="str">
            <v>執行者</v>
          </cell>
          <cell r="F1229" t="str">
            <v>格好いい</v>
          </cell>
          <cell r="G1229" t="str">
            <v>女性</v>
          </cell>
          <cell r="H1229" t="str">
            <v>green</v>
          </cell>
          <cell r="I1229">
            <v>4</v>
          </cell>
          <cell r="J1229" t="str">
            <v>PremiumS</v>
          </cell>
          <cell r="K1229" t="str">
            <v>balance</v>
          </cell>
          <cell r="L1229" t="str">
            <v>バランスタイプ</v>
          </cell>
          <cell r="M1229" t="str">
            <v>ss</v>
          </cell>
        </row>
        <row r="1230">
          <cell r="A1230">
            <v>8063</v>
          </cell>
          <cell r="B1230" t="str">
            <v>ja</v>
          </cell>
          <cell r="C1230" t="str">
            <v>モルドレッド_ポムポムプリンコスプレ</v>
          </cell>
          <cell r="D1230" t="str">
            <v>モルドレッド_ポムポムプリンコスプレ</v>
          </cell>
          <cell r="E1230" t="str">
            <v>執行者</v>
          </cell>
          <cell r="F1230" t="str">
            <v>格好いい</v>
          </cell>
          <cell r="G1230" t="str">
            <v>女性</v>
          </cell>
          <cell r="H1230" t="str">
            <v>blue</v>
          </cell>
          <cell r="I1230">
            <v>5</v>
          </cell>
          <cell r="J1230" t="str">
            <v>PremiumSS</v>
          </cell>
          <cell r="K1230" t="str">
            <v>heal</v>
          </cell>
          <cell r="L1230" t="str">
            <v>回復タイプ</v>
          </cell>
          <cell r="M1230" t="str">
            <v>ss</v>
          </cell>
        </row>
        <row r="1231">
          <cell r="A1231">
            <v>8064</v>
          </cell>
          <cell r="B1231" t="str">
            <v>ja</v>
          </cell>
          <cell r="C1231" t="str">
            <v>モルドレッド_ポムポムプリンコスプレ</v>
          </cell>
          <cell r="D1231" t="str">
            <v>モルドレッド_ポムポムプリンコスプレ</v>
          </cell>
          <cell r="E1231" t="str">
            <v>執行者</v>
          </cell>
          <cell r="F1231" t="str">
            <v>格好いい</v>
          </cell>
          <cell r="G1231" t="str">
            <v>女性</v>
          </cell>
          <cell r="H1231" t="str">
            <v>blue</v>
          </cell>
          <cell r="I1231">
            <v>6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ss</v>
          </cell>
        </row>
        <row r="1232">
          <cell r="A1232">
            <v>8065</v>
          </cell>
          <cell r="B1232" t="str">
            <v>ja</v>
          </cell>
          <cell r="C1232" t="str">
            <v>クロミ</v>
          </cell>
          <cell r="D1232" t="str">
            <v>クロミ</v>
          </cell>
          <cell r="E1232" t="str">
            <v>執行者</v>
          </cell>
          <cell r="F1232" t="str">
            <v>格好いい</v>
          </cell>
          <cell r="G1232" t="str">
            <v>女性</v>
          </cell>
          <cell r="H1232" t="str">
            <v>blue</v>
          </cell>
          <cell r="I1232">
            <v>3</v>
          </cell>
          <cell r="J1232" t="str">
            <v>PremiumS</v>
          </cell>
          <cell r="K1232" t="str">
            <v>technical</v>
          </cell>
          <cell r="L1232" t="str">
            <v>テクニカルタイプ</v>
          </cell>
          <cell r="M1232" t="str">
            <v>ss</v>
          </cell>
        </row>
        <row r="1233">
          <cell r="A1233">
            <v>8066</v>
          </cell>
          <cell r="B1233" t="str">
            <v>ja</v>
          </cell>
          <cell r="C1233" t="str">
            <v>クロミ</v>
          </cell>
          <cell r="D1233" t="str">
            <v>クロミ</v>
          </cell>
          <cell r="E1233" t="str">
            <v>執行者</v>
          </cell>
          <cell r="F1233" t="str">
            <v>格好いい</v>
          </cell>
          <cell r="G1233" t="str">
            <v>女性</v>
          </cell>
          <cell r="H1233" t="str">
            <v>blue</v>
          </cell>
          <cell r="I1233">
            <v>4</v>
          </cell>
          <cell r="J1233" t="str">
            <v>PremiumS</v>
          </cell>
          <cell r="K1233" t="str">
            <v>technical</v>
          </cell>
          <cell r="L1233" t="str">
            <v>テクニカルタイプ</v>
          </cell>
          <cell r="M1233" t="str">
            <v>ss</v>
          </cell>
        </row>
        <row r="1234">
          <cell r="A1234">
            <v>8067</v>
          </cell>
          <cell r="B1234" t="str">
            <v>ja</v>
          </cell>
          <cell r="C1234" t="str">
            <v>バッドばつ丸</v>
          </cell>
          <cell r="D1234" t="str">
            <v>バッドばつ丸</v>
          </cell>
          <cell r="E1234" t="str">
            <v>執行者</v>
          </cell>
          <cell r="F1234" t="str">
            <v>格好いい</v>
          </cell>
          <cell r="G1234" t="str">
            <v>女性</v>
          </cell>
          <cell r="H1234" t="str">
            <v>blue</v>
          </cell>
          <cell r="I1234">
            <v>3</v>
          </cell>
          <cell r="J1234" t="str">
            <v>PremiumS</v>
          </cell>
          <cell r="K1234" t="str">
            <v>attack</v>
          </cell>
          <cell r="L1234" t="str">
            <v>攻撃タイプ</v>
          </cell>
          <cell r="M1234" t="str">
            <v>ss</v>
          </cell>
        </row>
        <row r="1235">
          <cell r="A1235">
            <v>8068</v>
          </cell>
          <cell r="B1235" t="str">
            <v>ja</v>
          </cell>
          <cell r="C1235" t="str">
            <v>バッドばつ丸</v>
          </cell>
          <cell r="D1235" t="str">
            <v>バッドばつ丸</v>
          </cell>
          <cell r="E1235" t="str">
            <v>執行者</v>
          </cell>
          <cell r="F1235" t="str">
            <v>格好いい</v>
          </cell>
          <cell r="G1235" t="str">
            <v>女性</v>
          </cell>
          <cell r="H1235" t="str">
            <v>blue</v>
          </cell>
          <cell r="I1235">
            <v>4</v>
          </cell>
          <cell r="J1235" t="str">
            <v>PremiumS</v>
          </cell>
          <cell r="K1235" t="str">
            <v>attack</v>
          </cell>
          <cell r="L1235" t="str">
            <v>攻撃タイプ</v>
          </cell>
          <cell r="M1235" t="str">
            <v>ss</v>
          </cell>
        </row>
        <row r="1236">
          <cell r="A1236">
            <v>8069</v>
          </cell>
          <cell r="B1236" t="str">
            <v>ja</v>
          </cell>
          <cell r="C1236" t="str">
            <v>シナモロール</v>
          </cell>
          <cell r="D1236" t="str">
            <v>シナモロール</v>
          </cell>
          <cell r="E1236" t="str">
            <v>執行者</v>
          </cell>
          <cell r="F1236" t="str">
            <v>格好いい</v>
          </cell>
          <cell r="G1236" t="str">
            <v>女性</v>
          </cell>
          <cell r="H1236" t="str">
            <v>yellow</v>
          </cell>
          <cell r="I1236">
            <v>4</v>
          </cell>
          <cell r="J1236" t="str">
            <v>PremiumS</v>
          </cell>
          <cell r="K1236" t="str">
            <v>heal</v>
          </cell>
          <cell r="L1236" t="str">
            <v>回復タイプ</v>
          </cell>
          <cell r="M1236" t="str">
            <v>ss</v>
          </cell>
        </row>
        <row r="1237">
          <cell r="A1237">
            <v>8070</v>
          </cell>
          <cell r="B1237" t="str">
            <v>ja</v>
          </cell>
          <cell r="C1237" t="str">
            <v>シナモロール</v>
          </cell>
          <cell r="D1237" t="str">
            <v>シナモロール</v>
          </cell>
          <cell r="E1237" t="str">
            <v>執行者</v>
          </cell>
          <cell r="F1237" t="str">
            <v>格好いい</v>
          </cell>
          <cell r="G1237" t="str">
            <v>女性</v>
          </cell>
          <cell r="H1237" t="str">
            <v>yellow</v>
          </cell>
          <cell r="I1237">
            <v>5</v>
          </cell>
          <cell r="J1237" t="str">
            <v>PremiumS</v>
          </cell>
          <cell r="K1237" t="str">
            <v>heal</v>
          </cell>
          <cell r="L1237" t="str">
            <v>回復タイプ</v>
          </cell>
          <cell r="M1237" t="str">
            <v>ss</v>
          </cell>
        </row>
        <row r="1238">
          <cell r="A1238">
            <v>8071</v>
          </cell>
          <cell r="B1238" t="str">
            <v>ja</v>
          </cell>
          <cell r="C1238" t="str">
            <v>ポムポムプリン</v>
          </cell>
          <cell r="D1238" t="str">
            <v>ポムポムプリン</v>
          </cell>
          <cell r="E1238" t="str">
            <v>執行者</v>
          </cell>
          <cell r="F1238" t="str">
            <v>格好いい</v>
          </cell>
          <cell r="G1238" t="str">
            <v>女性</v>
          </cell>
          <cell r="H1238" t="str">
            <v>yellow</v>
          </cell>
          <cell r="I1238">
            <v>3</v>
          </cell>
          <cell r="J1238" t="str">
            <v>PremiumS</v>
          </cell>
          <cell r="K1238" t="str">
            <v>hp</v>
          </cell>
          <cell r="L1238" t="str">
            <v>体力タイプ</v>
          </cell>
          <cell r="M1238" t="str">
            <v>ss</v>
          </cell>
        </row>
        <row r="1239">
          <cell r="A1239">
            <v>8072</v>
          </cell>
          <cell r="B1239" t="str">
            <v>ja</v>
          </cell>
          <cell r="C1239" t="str">
            <v>ポムポムプリン</v>
          </cell>
          <cell r="D1239" t="str">
            <v>ポムポムプリン</v>
          </cell>
          <cell r="E1239" t="str">
            <v>執行者</v>
          </cell>
          <cell r="F1239" t="str">
            <v>格好いい</v>
          </cell>
          <cell r="G1239" t="str">
            <v>女性</v>
          </cell>
          <cell r="H1239" t="str">
            <v>yellow</v>
          </cell>
          <cell r="I1239">
            <v>4</v>
          </cell>
          <cell r="J1239" t="str">
            <v>PremiumS</v>
          </cell>
          <cell r="K1239" t="str">
            <v>hp</v>
          </cell>
          <cell r="L1239" t="str">
            <v>体力タイプ</v>
          </cell>
          <cell r="M1239" t="str">
            <v>ss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2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>
      <selection activeCell="H13" sqref="H13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2" t="s">
        <v>247</v>
      </c>
      <c r="B2" s="61" t="s">
        <v>110</v>
      </c>
      <c r="C2" s="50" t="str">
        <f t="shared" ref="C2" si="0">RIGHT(F2,6)</f>
        <v>405100</v>
      </c>
      <c r="D2" s="19" t="s">
        <v>45</v>
      </c>
      <c r="E2" s="17" t="str">
        <f t="shared" ref="E2" si="1">B2&amp;C2&amp;D2</f>
        <v>gacha_select_tables_405100.tmp</v>
      </c>
      <c r="F2" s="99" t="s">
        <v>250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3" t="s">
        <v>247</v>
      </c>
      <c r="B3" s="61" t="s">
        <v>110</v>
      </c>
      <c r="C3" s="50" t="str">
        <f t="shared" ref="C3:C7" si="2">RIGHT(F3,6)</f>
        <v>405010</v>
      </c>
      <c r="D3" s="19" t="s">
        <v>45</v>
      </c>
      <c r="E3" s="17" t="str">
        <f t="shared" ref="E3:E10" si="3">B3&amp;C3&amp;D3</f>
        <v>gacha_select_tables_405010.tmp</v>
      </c>
      <c r="F3" s="99" t="s">
        <v>251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248</v>
      </c>
      <c r="B4" s="97" t="s">
        <v>249</v>
      </c>
      <c r="C4" s="50" t="str">
        <f>RIGHT(F4,6)</f>
        <v>405011</v>
      </c>
      <c r="D4" s="19" t="s">
        <v>45</v>
      </c>
      <c r="E4" s="17" t="str">
        <f>B4&amp;C4&amp;D4</f>
        <v>gacha_select_tables_405011.tmp</v>
      </c>
      <c r="F4" s="99" t="s">
        <v>252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8"/>
  <sheetViews>
    <sheetView topLeftCell="A12" workbookViewId="0">
      <selection activeCell="E34" sqref="E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VLOOKUP(L3,tables_405010!B:C,2,FALSE)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VLOOKUP(L4,tables_405010!B:C,2,FALSE)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9.8039215686274508E-4</v>
      </c>
      <c r="F5">
        <f>(COUNTIF(tables_405010!C:C,input_405010!A28)+COUNTIF(tables_405010!C:C,input_405010!A29))</f>
        <v>51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VLOOKUP(L5,tables_405010!B:C,2,FALSE)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1.0674157303370785E-2</v>
      </c>
      <c r="F6">
        <f>(COUNTIF(tables_405010!C:C,input_405010!A25)+COUNTIF(tables_405010!C:C,input_405010!A18)+COUNTIF(tables_405010!C:C,input_405010!A20)+COUNTIF(tables_405010!C:C,input_405010!A22))</f>
        <v>89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VLOOKUP(L6,tables_405010!B:C,2,FALSE)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VLOOKUP(L7,tables_405010!B:C,2,FALSE)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0.20112359550561798</v>
      </c>
      <c r="C17" s="85">
        <f t="shared" ref="C17:C31" si="2">SUMIF(Q:Q,A17,N:N)</f>
        <v>0</v>
      </c>
      <c r="D17" s="74">
        <f t="shared" ref="D17:D32" si="3">B17-C17</f>
        <v>0.20112359550561798</v>
      </c>
      <c r="E17">
        <f>COUNTIF(tables_405010!C:C,input_405010!A17)-COUNTIF(Q:Q,A17)</f>
        <v>20</v>
      </c>
      <c r="F17" s="43">
        <f>IFERROR(B17/E17,0)</f>
        <v>1.0056179775280899E-2</v>
      </c>
      <c r="G17">
        <f t="shared" ref="G17:G31" si="4">A$36*B17</f>
        <v>18258000</v>
      </c>
      <c r="H17">
        <f t="shared" ref="H17:H31" si="5">IFERROR(ROUND(G17/E17,5),0)</f>
        <v>912900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1.2359550561797716E-2</v>
      </c>
      <c r="C18" s="85">
        <f t="shared" si="2"/>
        <v>0</v>
      </c>
      <c r="D18" s="74">
        <f t="shared" si="3"/>
        <v>1.2359550561797716E-2</v>
      </c>
      <c r="E18">
        <f>COUNTIF(tables_405010!C:C,input_405010!A18)-COUNTIF(Q:Q,A18)</f>
        <v>20</v>
      </c>
      <c r="F18" s="43">
        <f>IFERROR(B18/E18,0)</f>
        <v>6.1797752808988586E-4</v>
      </c>
      <c r="G18">
        <f t="shared" si="4"/>
        <v>1121999.9999999967</v>
      </c>
      <c r="H18">
        <f t="shared" si="5"/>
        <v>56100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0.27752808988764044</v>
      </c>
      <c r="C19" s="85">
        <f t="shared" si="2"/>
        <v>0</v>
      </c>
      <c r="D19" s="74">
        <f t="shared" si="3"/>
        <v>0.27752808988764044</v>
      </c>
      <c r="E19">
        <f>COUNTIF(tables_405010!C:C,input_405010!A19)-COUNTIF(Q:Q,A19)</f>
        <v>52</v>
      </c>
      <c r="F19" s="43">
        <f t="shared" ref="F19:F31" si="8">IFERROR(B19/E19,0)</f>
        <v>5.3370786516853935E-3</v>
      </c>
      <c r="G19">
        <f t="shared" si="4"/>
        <v>25194000</v>
      </c>
      <c r="H19">
        <f t="shared" si="5"/>
        <v>484500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0.2605226922229566</v>
      </c>
      <c r="C20" s="85">
        <f t="shared" si="2"/>
        <v>0</v>
      </c>
      <c r="D20" s="74">
        <f t="shared" si="3"/>
        <v>0.2605226922229566</v>
      </c>
      <c r="E20">
        <f>COUNTIF(tables_405010!C:C,input_405010!A20)-COUNTIF(Q:Q,A20)</f>
        <v>52</v>
      </c>
      <c r="F20" s="43">
        <f t="shared" si="8"/>
        <v>5.0100517735183958E-3</v>
      </c>
      <c r="G20">
        <f t="shared" si="4"/>
        <v>23650250</v>
      </c>
      <c r="H20">
        <f t="shared" si="5"/>
        <v>454812.5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1.7005397664683859E-2</v>
      </c>
      <c r="C21" s="85">
        <f t="shared" si="2"/>
        <v>0</v>
      </c>
      <c r="D21" s="74">
        <f t="shared" si="3"/>
        <v>1.7005397664683859E-2</v>
      </c>
      <c r="E21">
        <f>COUNTIF(tables_405010!C:C,input_405010!A21)-COUNTIF(Q:Q,A21)</f>
        <v>52</v>
      </c>
      <c r="F21" s="43">
        <f t="shared" si="8"/>
        <v>3.270268781669973E-4</v>
      </c>
      <c r="G21">
        <f t="shared" si="4"/>
        <v>1543750.0000000007</v>
      </c>
      <c r="H21">
        <f t="shared" si="5"/>
        <v>29687.5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0.1318258426966292</v>
      </c>
      <c r="C22" s="85">
        <f t="shared" si="2"/>
        <v>0</v>
      </c>
      <c r="D22" s="74">
        <f t="shared" si="3"/>
        <v>0.1318258426966292</v>
      </c>
      <c r="E22">
        <f>COUNTIF(tables_405010!C:C,input_405010!A22)-COUNTIF(Q:Q,A22)</f>
        <v>13</v>
      </c>
      <c r="F22" s="43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6.9382022471910117E-3</v>
      </c>
      <c r="C23" s="85">
        <f t="shared" si="2"/>
        <v>0</v>
      </c>
      <c r="D23" s="74">
        <f t="shared" si="3"/>
        <v>6.9382022471910117E-3</v>
      </c>
      <c r="E23">
        <f>COUNTIF(tables_405010!C:C,input_405010!A23)-COUNTIF(Q:Q,A23)</f>
        <v>13</v>
      </c>
      <c r="F23" s="43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2.134831460674157E-2</v>
      </c>
      <c r="C24" s="85">
        <f t="shared" si="2"/>
        <v>0</v>
      </c>
      <c r="D24" s="74">
        <f t="shared" si="3"/>
        <v>2.134831460674157E-2</v>
      </c>
      <c r="E24">
        <f>COUNTIF(tables_405010!C:C,input_405010!A24)-COUNTIF(Q:Q,A24)</f>
        <v>4</v>
      </c>
      <c r="F24" s="43">
        <f t="shared" si="8"/>
        <v>5.3370786516853926E-3</v>
      </c>
      <c r="G24">
        <f t="shared" si="4"/>
        <v>1937999.9999999998</v>
      </c>
      <c r="H24">
        <f t="shared" si="5"/>
        <v>484500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1.9213483146067415E-2</v>
      </c>
      <c r="C25" s="85">
        <f t="shared" si="2"/>
        <v>0</v>
      </c>
      <c r="D25" s="74">
        <f t="shared" si="3"/>
        <v>1.9213483146067415E-2</v>
      </c>
      <c r="E25">
        <f>COUNTIF(tables_405010!C:C,input_405010!A25)-COUNTIF(Q:Q,A25)</f>
        <v>4</v>
      </c>
      <c r="F25" s="43">
        <f t="shared" si="8"/>
        <v>4.8033707865168538E-3</v>
      </c>
      <c r="G25">
        <f t="shared" si="4"/>
        <v>1744200</v>
      </c>
      <c r="H25">
        <f t="shared" si="5"/>
        <v>436050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2.134831460674157E-3</v>
      </c>
      <c r="C26" s="85">
        <f t="shared" si="2"/>
        <v>0</v>
      </c>
      <c r="D26" s="74">
        <f t="shared" si="3"/>
        <v>2.134831460674157E-3</v>
      </c>
      <c r="E26">
        <f>COUNTIF(tables_405010!C:C,input_405010!A26)-COUNTIF(Q:Q,A26)</f>
        <v>4</v>
      </c>
      <c r="F26" s="43">
        <f t="shared" si="8"/>
        <v>5.3370786516853926E-4</v>
      </c>
      <c r="G26">
        <f t="shared" si="4"/>
        <v>193799.99999999997</v>
      </c>
      <c r="H26">
        <f t="shared" si="5"/>
        <v>48450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2.6078431372549019E-2</v>
      </c>
      <c r="C27" s="85">
        <f t="shared" si="2"/>
        <v>0</v>
      </c>
      <c r="D27" s="74">
        <f t="shared" si="3"/>
        <v>2.6078431372549019E-2</v>
      </c>
      <c r="E27">
        <f>COUNTIF(tables_405010!C:C,input_405010!A27)-COUNTIF(Q:Q,A27)</f>
        <v>28</v>
      </c>
      <c r="F27" s="43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1.3725490196078432E-3</v>
      </c>
      <c r="C28" s="85">
        <f t="shared" si="2"/>
        <v>0</v>
      </c>
      <c r="D28" s="74">
        <f t="shared" si="3"/>
        <v>1.3725490196078432E-3</v>
      </c>
      <c r="E28">
        <f>COUNTIF(tables_405010!C:C,input_405010!A28)-COUNTIF(Q:Q,A28)</f>
        <v>28</v>
      </c>
      <c r="F28" s="43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2.2549019607843137E-2</v>
      </c>
      <c r="C29" s="85">
        <f t="shared" si="2"/>
        <v>0</v>
      </c>
      <c r="D29" s="74">
        <f t="shared" si="3"/>
        <v>2.2549019607843137E-2</v>
      </c>
      <c r="E29">
        <f>COUNTIF(tables_405010!C:C,input_405010!A29)-COUNTIF(Q:Q,A29)</f>
        <v>23</v>
      </c>
      <c r="F29" s="43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COUNTIF(tables_405010!C:C,input_405010!A30)-COUNTIF(Q:Q,A30)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COUNTIF(tables_405010!C:C,input_405010!A31)-COUNTIF(Q:Q,A31)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1.0747411324080192E-2</v>
      </c>
    </row>
    <row r="35" spans="1:7" x14ac:dyDescent="0.15">
      <c r="A35" t="s">
        <v>73</v>
      </c>
    </row>
    <row r="36" spans="1:7" x14ac:dyDescent="0.15">
      <c r="A36" s="31">
        <f>LCM(F5-I5,F6-I6)*1000*2*2*5</f>
        <v>90780000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SUMIF(tables_405010!C:C,input_405010!A40,tables_405010!O:O)</f>
        <v>25194000</v>
      </c>
      <c r="C40" s="54">
        <f t="shared" ref="C40:C46" ca="1" si="9">B40/B$47</f>
        <v>0.47643721633888048</v>
      </c>
      <c r="E40">
        <v>3</v>
      </c>
      <c r="F40">
        <f ca="1">SUMIF(tables_405010!J:J,input_405010!E40,tables_405010!O:O)</f>
        <v>45390000</v>
      </c>
      <c r="G40">
        <f ca="1">F40/A36</f>
        <v>0.5</v>
      </c>
    </row>
    <row r="41" spans="1:7" x14ac:dyDescent="0.15">
      <c r="A41" s="33" t="s">
        <v>104</v>
      </c>
      <c r="B41">
        <f ca="1">SUMIF(tables_405010!C:C,input_405010!A41,tables_405010!O:O)</f>
        <v>23650250</v>
      </c>
      <c r="C41" s="54">
        <f t="shared" ca="1" si="9"/>
        <v>0.44724375945537065</v>
      </c>
      <c r="E41">
        <v>4</v>
      </c>
      <c r="F41">
        <f ca="1">SUMIF(tables_405010!J:J,input_405010!E41,tables_405010!O:O)</f>
        <v>40851000</v>
      </c>
      <c r="G41">
        <f ca="1">F41/A36</f>
        <v>0.45</v>
      </c>
    </row>
    <row r="42" spans="1:7" x14ac:dyDescent="0.15">
      <c r="A42" s="33" t="s">
        <v>106</v>
      </c>
      <c r="B42">
        <f ca="1">SUMIF(tables_405010!C:C,input_405010!A42,tables_405010!O:O)</f>
        <v>2367400</v>
      </c>
      <c r="C42" s="54">
        <f t="shared" ca="1" si="9"/>
        <v>4.4769288956127078E-2</v>
      </c>
      <c r="E42">
        <v>5</v>
      </c>
      <c r="F42">
        <f ca="1">SUMIF(tables_405010!J:J,input_405010!E42,tables_405010!O:O)</f>
        <v>4539000</v>
      </c>
      <c r="G42">
        <f ca="1">F42/A36</f>
        <v>0.05</v>
      </c>
    </row>
    <row r="43" spans="1:7" x14ac:dyDescent="0.15">
      <c r="A43" s="33" t="s">
        <v>109</v>
      </c>
      <c r="B43">
        <f>SUMIF(tables_405010!C:C,input_405010!A43,tables_405010!O:O)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SUMIF(tables_405010!C:C,input_405010!A44,tables_405010!O:O)</f>
        <v>1543750</v>
      </c>
      <c r="C44" s="54">
        <f t="shared" ca="1" si="9"/>
        <v>2.9193456883509834E-2</v>
      </c>
      <c r="E44" t="s">
        <v>54</v>
      </c>
      <c r="F44" s="55"/>
    </row>
    <row r="45" spans="1:7" x14ac:dyDescent="0.15">
      <c r="A45" s="33" t="s">
        <v>107</v>
      </c>
      <c r="B45">
        <f ca="1">SUMIF(tables_405010!C:C,input_405010!A45,tables_405010!O:O)</f>
        <v>124600</v>
      </c>
      <c r="C45" s="54">
        <f t="shared" ca="1" si="9"/>
        <v>2.3562783661119518E-3</v>
      </c>
      <c r="E45" t="s">
        <v>204</v>
      </c>
      <c r="F45" s="55">
        <f ca="1">SUMIF(tables_405010!I:I,input_405010!E45,tables_405010!P:P)</f>
        <v>0.21348314606741572</v>
      </c>
    </row>
    <row r="46" spans="1:7" x14ac:dyDescent="0.15">
      <c r="A46" s="33" t="s">
        <v>108</v>
      </c>
      <c r="B46">
        <f>SUMIF(tables_405010!C:C,input_405010!A46,tables_405010!O:O)</f>
        <v>0</v>
      </c>
      <c r="C46" s="54">
        <f t="shared" ca="1" si="9"/>
        <v>0</v>
      </c>
      <c r="E46" t="s">
        <v>205</v>
      </c>
      <c r="F46" s="55">
        <f ca="1">SUMIF(tables_405010!I:I,input_405010!E46,tables_405010!P:P)</f>
        <v>0.2134831460674157</v>
      </c>
    </row>
    <row r="47" spans="1:7" x14ac:dyDescent="0.15">
      <c r="A47" s="39" t="s">
        <v>59</v>
      </c>
      <c r="B47">
        <f ca="1">SUM(B40:B46)</f>
        <v>52880000</v>
      </c>
      <c r="C47" s="55">
        <f ca="1">SUM(C40:C46)</f>
        <v>1</v>
      </c>
      <c r="E47" t="s">
        <v>206</v>
      </c>
      <c r="F47" s="55">
        <f ca="1">SUMIF(tables_405010!I:I,input_405010!E47,tables_405010!P:P)</f>
        <v>0.52303370786516779</v>
      </c>
    </row>
    <row r="48" spans="1:7" x14ac:dyDescent="0.15">
      <c r="E48" t="s">
        <v>207</v>
      </c>
      <c r="F48" s="55">
        <f ca="1">SUMIF(tables_405010!I:I,input_405010!E48,tables_405010!P:P)</f>
        <v>4.803921568627445E-2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48"/>
  <sheetViews>
    <sheetView topLeftCell="A7" workbookViewId="0">
      <selection activeCell="G35" sqref="G35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405011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VLOOKUP(L3,tables_405011!B:C,2,FALSE)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VLOOKUP(L4,tables_405011!B:C,2,FALSE)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50%</f>
        <v>0.5</v>
      </c>
      <c r="D5" t="s">
        <v>201</v>
      </c>
      <c r="E5" s="43">
        <f>(B11-H5)/(F5-I5)</f>
        <v>5.8823529411764701E-4</v>
      </c>
      <c r="F5">
        <f>(COUNTIF(tables_405011!C:C,input_405011!A28)+COUNTIF(tables_405011!C:C,input_405011!A29))</f>
        <v>51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VLOOKUP(L5,tables_405011!B:C,2,FALSE)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</v>
      </c>
      <c r="D6" t="s">
        <v>202</v>
      </c>
      <c r="E6" s="76">
        <f>(B10-H6)/(F6-I6)</f>
        <v>1.0898876404494382E-2</v>
      </c>
      <c r="F6">
        <f>(COUNTIF(tables_405011!C:C,input_405011!A25)+COUNTIF(tables_405011!C:C,input_405011!A18)+COUNTIF(tables_405011!C:C,input_405011!A20)+COUNTIF(tables_405011!C:C,input_405011!A22))</f>
        <v>89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VLOOKUP(L6,tables_405011!B:C,2,FALSE)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VLOOKUP(L7,tables_405011!B:C,2,FALSE)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VLOOKUP(L8,tables_405011!B:C,2,FALSE)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VLOOKUP(L9,tables_405011!B:C,2,FALSE)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0.97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VLOOKUP(L10,tables_405011!B:C,2,FALSE)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0.03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VLOOKUP(L11,tables_405011!B:C,2,FALSE)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VLOOKUP(L12,tables_405011!B:C,2,FALSE)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VLOOKUP(L13,tables_405011!B:C,2,FALSE)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VLOOKUP(L14,tables_405011!B:C,2,FALSE)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VLOOKUP(L15,tables_405011!B:C,2,FALSE)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VLOOKUP(L16,tables_405011!B:C,2,FALSE)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0.1948314606741573</v>
      </c>
      <c r="C17" s="85">
        <f t="shared" ref="C17:C31" si="2">SUMIF(Q:Q,A17,N:N)</f>
        <v>0</v>
      </c>
      <c r="D17" s="74">
        <f t="shared" ref="D17:D32" si="3">B17-C17</f>
        <v>0.1948314606741573</v>
      </c>
      <c r="E17">
        <f>COUNTIF(tables_405011!C:C,input_405011!A17)-COUNTIF(Q:Q,A17)</f>
        <v>20</v>
      </c>
      <c r="F17" s="43">
        <f>IFERROR(B17/E17,0)</f>
        <v>9.7415730337078645E-3</v>
      </c>
      <c r="G17">
        <f t="shared" ref="G17:G31" si="4">A$36*B17</f>
        <v>17686800</v>
      </c>
      <c r="H17">
        <f t="shared" ref="H17:H31" si="5">IFERROR(ROUND(G17/E17,5),0)</f>
        <v>884340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VLOOKUP(L17,tables_405011!B:C,2,FALSE)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2.3146067415730359E-2</v>
      </c>
      <c r="C18" s="85">
        <f t="shared" si="2"/>
        <v>0</v>
      </c>
      <c r="D18" s="74">
        <f t="shared" si="3"/>
        <v>2.3146067415730359E-2</v>
      </c>
      <c r="E18">
        <f>COUNTIF(tables_405011!C:C,input_405011!A18)-COUNTIF(Q:Q,A18)</f>
        <v>20</v>
      </c>
      <c r="F18" s="43">
        <f>IFERROR(B18/E18,0)</f>
        <v>1.157303370786518E-3</v>
      </c>
      <c r="G18">
        <f t="shared" si="4"/>
        <v>2101200.0000000019</v>
      </c>
      <c r="H18">
        <f t="shared" si="5"/>
        <v>105060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VLOOKUP(L18,tables_405011!B:C,2,FALSE)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0.28337078651685393</v>
      </c>
      <c r="C19" s="85">
        <f t="shared" si="2"/>
        <v>0</v>
      </c>
      <c r="D19" s="74">
        <f t="shared" si="3"/>
        <v>0.28337078651685393</v>
      </c>
      <c r="E19">
        <f>COUNTIF(tables_405011!C:C,input_405011!A19)-COUNTIF(Q:Q,A19)</f>
        <v>52</v>
      </c>
      <c r="F19" s="43">
        <f t="shared" ref="F19:F31" si="8">IFERROR(B19/E19,0)</f>
        <v>5.4494382022471912E-3</v>
      </c>
      <c r="G19">
        <f t="shared" si="4"/>
        <v>25724400</v>
      </c>
      <c r="H19">
        <f t="shared" si="5"/>
        <v>494700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VLOOKUP(L19,tables_405011!B:C,2,FALSE)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82">
        <f>E$6*E20*B$6+E34</f>
        <v>0.25588598059244128</v>
      </c>
      <c r="C20" s="85">
        <f t="shared" si="2"/>
        <v>0</v>
      </c>
      <c r="D20" s="74">
        <f t="shared" si="3"/>
        <v>0.25588598059244128</v>
      </c>
      <c r="E20">
        <f>COUNTIF(tables_405011!C:C,input_405011!A20)-COUNTIF(Q:Q,A20)</f>
        <v>52</v>
      </c>
      <c r="F20" s="43">
        <f t="shared" si="8"/>
        <v>4.9208842421623322E-3</v>
      </c>
      <c r="G20">
        <f t="shared" si="4"/>
        <v>23229329.31818182</v>
      </c>
      <c r="H20">
        <f t="shared" si="5"/>
        <v>446717.87150000001</v>
      </c>
      <c r="I20">
        <f t="shared" si="6"/>
        <v>0.8715000000083819</v>
      </c>
      <c r="J20">
        <f t="shared" si="7"/>
        <v>1.1474469305684247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VLOOKUP(L20,tables_405011!B:C,2,FALSE)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98">
        <f>E$6*E21*B$7-E34</f>
        <v>2.7484805924412672E-2</v>
      </c>
      <c r="C21" s="85">
        <f t="shared" si="2"/>
        <v>0</v>
      </c>
      <c r="D21" s="74">
        <f t="shared" si="3"/>
        <v>2.7484805924412672E-2</v>
      </c>
      <c r="E21">
        <f>COUNTIF(tables_405011!C:C,input_405011!A21)-COUNTIF(Q:Q,A21)</f>
        <v>52</v>
      </c>
      <c r="F21" s="43">
        <f t="shared" si="8"/>
        <v>5.2855396008485913E-4</v>
      </c>
      <c r="G21">
        <f t="shared" si="4"/>
        <v>2495070.6818181826</v>
      </c>
      <c r="H21">
        <f t="shared" si="5"/>
        <v>47982.128499999999</v>
      </c>
      <c r="I21">
        <f t="shared" si="6"/>
        <v>0.12849999999889405</v>
      </c>
      <c r="J21">
        <f t="shared" si="7"/>
        <v>7.7821011673821525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0.13460112359550561</v>
      </c>
      <c r="C22" s="85">
        <f t="shared" si="2"/>
        <v>0</v>
      </c>
      <c r="D22" s="74">
        <f t="shared" si="3"/>
        <v>0.13460112359550561</v>
      </c>
      <c r="E22">
        <f>COUNTIF(tables_405011!C:C,input_405011!A22)-COUNTIF(Q:Q,A22)</f>
        <v>13</v>
      </c>
      <c r="F22" s="43">
        <f t="shared" si="8"/>
        <v>1.0353932584269662E-2</v>
      </c>
      <c r="G22">
        <f t="shared" si="4"/>
        <v>12219089.999999998</v>
      </c>
      <c r="H22">
        <f t="shared" si="5"/>
        <v>939930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7.0842696629213487E-3</v>
      </c>
      <c r="C23" s="85">
        <f t="shared" si="2"/>
        <v>0</v>
      </c>
      <c r="D23" s="74">
        <f t="shared" si="3"/>
        <v>7.0842696629213487E-3</v>
      </c>
      <c r="E23">
        <f>COUNTIF(tables_405011!C:C,input_405011!A23)-COUNTIF(Q:Q,A23)</f>
        <v>13</v>
      </c>
      <c r="F23" s="43">
        <f t="shared" si="8"/>
        <v>5.4494382022471908E-4</v>
      </c>
      <c r="G23">
        <f t="shared" si="4"/>
        <v>643110</v>
      </c>
      <c r="H23">
        <f t="shared" si="5"/>
        <v>49470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2.1797752808988765E-2</v>
      </c>
      <c r="C24" s="85">
        <f t="shared" si="2"/>
        <v>0</v>
      </c>
      <c r="D24" s="74">
        <f t="shared" si="3"/>
        <v>2.1797752808988765E-2</v>
      </c>
      <c r="E24">
        <f>COUNTIF(tables_405011!C:C,input_405011!A24)-COUNTIF(Q:Q,A24)</f>
        <v>4</v>
      </c>
      <c r="F24" s="43">
        <f t="shared" si="8"/>
        <v>5.4494382022471912E-3</v>
      </c>
      <c r="G24">
        <f t="shared" si="4"/>
        <v>1978800</v>
      </c>
      <c r="H24">
        <f t="shared" si="5"/>
        <v>494700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1.961797752808989E-2</v>
      </c>
      <c r="C25" s="85">
        <f t="shared" si="2"/>
        <v>0</v>
      </c>
      <c r="D25" s="74">
        <f t="shared" si="3"/>
        <v>1.961797752808989E-2</v>
      </c>
      <c r="E25">
        <f>COUNTIF(tables_405011!C:C,input_405011!A25)-COUNTIF(Q:Q,A25)</f>
        <v>4</v>
      </c>
      <c r="F25" s="43">
        <f t="shared" si="8"/>
        <v>4.9044943820224724E-3</v>
      </c>
      <c r="G25">
        <f t="shared" si="4"/>
        <v>1780920.0000000002</v>
      </c>
      <c r="H25">
        <f t="shared" si="5"/>
        <v>445230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2.1797752808988768E-3</v>
      </c>
      <c r="C26" s="85">
        <f t="shared" si="2"/>
        <v>0</v>
      </c>
      <c r="D26" s="74">
        <f t="shared" si="3"/>
        <v>2.1797752808988768E-3</v>
      </c>
      <c r="E26">
        <f>COUNTIF(tables_405011!C:C,input_405011!A26)-COUNTIF(Q:Q,A26)</f>
        <v>4</v>
      </c>
      <c r="F26" s="43">
        <f t="shared" si="8"/>
        <v>5.4494382022471919E-4</v>
      </c>
      <c r="G26">
        <f t="shared" si="4"/>
        <v>197880.00000000003</v>
      </c>
      <c r="H26">
        <f t="shared" si="5"/>
        <v>49470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1.564705882352941E-2</v>
      </c>
      <c r="C27" s="85">
        <f t="shared" si="2"/>
        <v>0</v>
      </c>
      <c r="D27" s="74">
        <f t="shared" si="3"/>
        <v>1.564705882352941E-2</v>
      </c>
      <c r="E27">
        <f>COUNTIF(tables_405011!C:C,input_405011!A27)-COUNTIF(Q:Q,A27)</f>
        <v>28</v>
      </c>
      <c r="F27" s="43">
        <f>IFERROR(B27/E27,0)</f>
        <v>5.588235294117646E-4</v>
      </c>
      <c r="G27">
        <f t="shared" si="4"/>
        <v>1420439.9999999998</v>
      </c>
      <c r="H27">
        <f t="shared" si="5"/>
        <v>50730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8.2352941176470581E-4</v>
      </c>
      <c r="C28" s="85">
        <f t="shared" si="2"/>
        <v>0</v>
      </c>
      <c r="D28" s="74">
        <f t="shared" si="3"/>
        <v>8.2352941176470581E-4</v>
      </c>
      <c r="E28">
        <f>COUNTIF(tables_405011!C:C,input_405011!A28)-COUNTIF(Q:Q,A28)</f>
        <v>28</v>
      </c>
      <c r="F28" s="43">
        <f t="shared" si="8"/>
        <v>2.941176470588235E-5</v>
      </c>
      <c r="G28">
        <f t="shared" si="4"/>
        <v>74760</v>
      </c>
      <c r="H28">
        <f t="shared" si="5"/>
        <v>2670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1.3529411764705882E-2</v>
      </c>
      <c r="C29" s="85">
        <f t="shared" si="2"/>
        <v>0</v>
      </c>
      <c r="D29" s="74">
        <f t="shared" si="3"/>
        <v>1.3529411764705882E-2</v>
      </c>
      <c r="E29">
        <f>COUNTIF(tables_405011!C:C,input_405011!A29)-COUNTIF(Q:Q,A29)</f>
        <v>23</v>
      </c>
      <c r="F29" s="43">
        <f t="shared" si="8"/>
        <v>5.8823529411764701E-4</v>
      </c>
      <c r="G29">
        <f t="shared" si="4"/>
        <v>1228200</v>
      </c>
      <c r="H29">
        <f t="shared" si="5"/>
        <v>53400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COUNTIF(tables_405011!C:C,input_405011!A30)-COUNTIF(Q:Q,A30)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COUNTIF(tables_405011!C:C,input_405011!A31)-COUNTIF(Q:Q,A31)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8.5227272727272235E-4</v>
      </c>
    </row>
    <row r="35" spans="1:7" x14ac:dyDescent="0.15">
      <c r="A35" t="s">
        <v>73</v>
      </c>
    </row>
    <row r="36" spans="1:7" x14ac:dyDescent="0.15">
      <c r="A36" s="31">
        <f>LCM(F5-I5,F6-I6)*1000*2*2*5</f>
        <v>90780000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SUMIF(tables_405011!C:C,input_405011!A40,tables_405011!O:O)</f>
        <v>25724400</v>
      </c>
      <c r="C40" s="54">
        <f t="shared" ref="C40:C46" ca="1" si="9">B40/B$47</f>
        <v>0.48587941976427901</v>
      </c>
      <c r="E40">
        <v>3</v>
      </c>
      <c r="F40">
        <f ca="1">SUMIF(tables_405011!J:J,input_405011!E40,tables_405011!O:O)</f>
        <v>45390000</v>
      </c>
      <c r="G40">
        <f ca="1">F40/A36</f>
        <v>0.5</v>
      </c>
    </row>
    <row r="41" spans="1:7" x14ac:dyDescent="0.15">
      <c r="A41" s="33" t="s">
        <v>104</v>
      </c>
      <c r="B41">
        <f ca="1">SUMIF(tables_405011!C:C,input_405011!A41,tables_405011!O:O)</f>
        <v>23229329.318000015</v>
      </c>
      <c r="C41" s="54">
        <f t="shared" ca="1" si="9"/>
        <v>0.43875282030069518</v>
      </c>
      <c r="E41">
        <v>4</v>
      </c>
      <c r="F41">
        <f ca="1">SUMIF(tables_405011!J:J,input_405011!E41,tables_405011!O:O)</f>
        <v>40750979.318000019</v>
      </c>
      <c r="G41">
        <f ca="1">F41/A36</f>
        <v>0.44889820795329388</v>
      </c>
    </row>
    <row r="42" spans="1:7" x14ac:dyDescent="0.15">
      <c r="A42" s="33" t="s">
        <v>106</v>
      </c>
      <c r="B42">
        <f ca="1">SUMIF(tables_405011!C:C,input_405011!A42,tables_405011!O:O)</f>
        <v>1420440</v>
      </c>
      <c r="C42" s="54">
        <f t="shared" ca="1" si="9"/>
        <v>2.6829102447869436E-2</v>
      </c>
      <c r="E42">
        <v>5</v>
      </c>
      <c r="F42">
        <f ca="1">SUMIF(tables_405011!J:J,input_405011!E42,tables_405011!O:O)</f>
        <v>4639020.6820000038</v>
      </c>
      <c r="G42">
        <f ca="1">F42/A36</f>
        <v>5.1101792046706361E-2</v>
      </c>
    </row>
    <row r="43" spans="1:7" x14ac:dyDescent="0.15">
      <c r="A43" s="33" t="s">
        <v>109</v>
      </c>
      <c r="B43">
        <f>SUMIF(tables_405011!C:C,input_405011!A43,tables_405011!O:O)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SUMIF(tables_405011!C:C,input_405011!A44,tables_405011!O:O)</f>
        <v>2495070.6820000033</v>
      </c>
      <c r="C44" s="54">
        <f t="shared" ca="1" si="9"/>
        <v>4.7126599463584204E-2</v>
      </c>
      <c r="E44" t="s">
        <v>54</v>
      </c>
      <c r="F44" s="55"/>
    </row>
    <row r="45" spans="1:7" x14ac:dyDescent="0.15">
      <c r="A45" s="33" t="s">
        <v>107</v>
      </c>
      <c r="B45">
        <f ca="1">SUMIF(tables_405011!C:C,input_405011!A45,tables_405011!O:O)</f>
        <v>74760</v>
      </c>
      <c r="C45" s="54">
        <f t="shared" ca="1" si="9"/>
        <v>1.4120580235720756E-3</v>
      </c>
      <c r="E45" t="s">
        <v>204</v>
      </c>
      <c r="F45" s="55">
        <f ca="1">SUMIF(tables_405011!I:I,input_405011!E45,tables_405011!P:P)</f>
        <v>0.2179775280898876</v>
      </c>
    </row>
    <row r="46" spans="1:7" x14ac:dyDescent="0.15">
      <c r="A46" s="33" t="s">
        <v>108</v>
      </c>
      <c r="B46">
        <f>SUMIF(tables_405011!C:C,input_405011!A46,tables_405011!O:O)</f>
        <v>0</v>
      </c>
      <c r="C46" s="54">
        <f t="shared" ca="1" si="9"/>
        <v>0</v>
      </c>
      <c r="E46" t="s">
        <v>205</v>
      </c>
      <c r="F46" s="55">
        <f ca="1">SUMIF(tables_405011!I:I,input_405011!E46,tables_405011!P:P)</f>
        <v>0.21797752808988766</v>
      </c>
    </row>
    <row r="47" spans="1:7" x14ac:dyDescent="0.15">
      <c r="A47" s="39" t="s">
        <v>59</v>
      </c>
      <c r="B47">
        <f ca="1">SUM(B40:B46)</f>
        <v>52944000.000000022</v>
      </c>
      <c r="C47" s="55">
        <f ca="1">SUM(C40:C46)</f>
        <v>0.99999999999999989</v>
      </c>
      <c r="E47" t="s">
        <v>206</v>
      </c>
      <c r="F47" s="55">
        <f ca="1">SUMIF(tables_405011!I:I,input_405011!E47,tables_405011!P:P)</f>
        <v>0.53404494382022483</v>
      </c>
    </row>
    <row r="48" spans="1:7" x14ac:dyDescent="0.15">
      <c r="E48" t="s">
        <v>207</v>
      </c>
      <c r="F48" s="55">
        <f ca="1">SUMIF(tables_405011!I:I,input_405011!E48,tables_405011!P:P)</f>
        <v>2.8823529411764678E-2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B310" sqref="B310:B3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input_405010!A$2</f>
        <v>405010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IFERROR(VLOOKUP(B2,input_405010!L:R,7,FALSE),VLOOKUP(tables_405010!C2,input_405010!A:H,8,FALSE))</f>
        <v>912900</v>
      </c>
      <c r="P2" s="46">
        <f t="shared" ref="P2:P65" ca="1" si="1">O2/SUM(O:O)</f>
        <v>1.0056179775280899E-2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input_405010!A$2</f>
        <v>405010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IFERROR(VLOOKUP(B3,input_405010!L:R,7,FALSE),VLOOKUP(tables_405010!C3,input_405010!A:H,8,FALSE))</f>
        <v>56100</v>
      </c>
      <c r="P3" s="46">
        <f t="shared" ca="1" si="1"/>
        <v>6.179775280898876E-4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input_405010!A$2</f>
        <v>405010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IFERROR(VLOOKUP(B4,input_405010!L:R,7,FALSE),VLOOKUP(tables_405010!C4,input_405010!A:H,8,FALSE))</f>
        <v>912900</v>
      </c>
      <c r="P4" s="46">
        <f t="shared" ca="1" si="1"/>
        <v>1.0056179775280899E-2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input_405010!A$2</f>
        <v>405010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IFERROR(VLOOKUP(B5,input_405010!L:R,7,FALSE),VLOOKUP(tables_405010!C5,input_405010!A:H,8,FALSE))</f>
        <v>56100</v>
      </c>
      <c r="P5" s="46">
        <f t="shared" ca="1" si="1"/>
        <v>6.179775280898876E-4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input_405010!A$2</f>
        <v>405010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IFERROR(VLOOKUP(B6,input_405010!L:R,7,FALSE),VLOOKUP(tables_405010!C6,input_405010!A:H,8,FALSE))</f>
        <v>912900</v>
      </c>
      <c r="P6" s="46">
        <f t="shared" ca="1" si="1"/>
        <v>1.0056179775280899E-2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input_405010!A$2</f>
        <v>405010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IFERROR(VLOOKUP(B7,input_405010!L:R,7,FALSE),VLOOKUP(tables_405010!C7,input_405010!A:H,8,FALSE))</f>
        <v>56100</v>
      </c>
      <c r="P7" s="46">
        <f t="shared" ca="1" si="1"/>
        <v>6.179775280898876E-4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input_405010!A$2</f>
        <v>405010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IFERROR(VLOOKUP(B8,input_405010!L:R,7,FALSE),VLOOKUP(tables_405010!C8,input_405010!A:H,8,FALSE))</f>
        <v>912900</v>
      </c>
      <c r="P8" s="46">
        <f t="shared" ca="1" si="1"/>
        <v>1.0056179775280899E-2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input_405010!A$2</f>
        <v>405010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IFERROR(VLOOKUP(B9,input_405010!L:R,7,FALSE),VLOOKUP(tables_405010!C9,input_405010!A:H,8,FALSE))</f>
        <v>56100</v>
      </c>
      <c r="P9" s="46">
        <f t="shared" ca="1" si="1"/>
        <v>6.179775280898876E-4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input_405010!A$2</f>
        <v>405010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IFERROR(VLOOKUP(B10,input_405010!L:R,7,FALSE),VLOOKUP(tables_405010!C10,input_405010!A:H,8,FALSE))</f>
        <v>912900</v>
      </c>
      <c r="P10" s="46">
        <f t="shared" ca="1" si="1"/>
        <v>1.0056179775280899E-2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input_405010!A$2</f>
        <v>405010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IFERROR(VLOOKUP(B11,input_405010!L:R,7,FALSE),VLOOKUP(tables_405010!C11,input_405010!A:H,8,FALSE))</f>
        <v>56100</v>
      </c>
      <c r="P11" s="46">
        <f t="shared" ca="1" si="1"/>
        <v>6.179775280898876E-4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input_405010!A$2</f>
        <v>405010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IFERROR(VLOOKUP(B12,input_405010!L:R,7,FALSE),VLOOKUP(tables_405010!C12,input_405010!A:H,8,FALSE))</f>
        <v>912900</v>
      </c>
      <c r="P12" s="46">
        <f t="shared" ca="1" si="1"/>
        <v>1.0056179775280899E-2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input_405010!A$2</f>
        <v>405010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IFERROR(VLOOKUP(B13,input_405010!L:R,7,FALSE),VLOOKUP(tables_405010!C13,input_405010!A:H,8,FALSE))</f>
        <v>56100</v>
      </c>
      <c r="P13" s="46">
        <f t="shared" ca="1" si="1"/>
        <v>6.179775280898876E-4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input_405010!A$2</f>
        <v>405010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IFERROR(VLOOKUP(B14,input_405010!L:R,7,FALSE),VLOOKUP(tables_405010!C14,input_405010!A:H,8,FALSE))</f>
        <v>912900</v>
      </c>
      <c r="P14" s="46">
        <f t="shared" ca="1" si="1"/>
        <v>1.0056179775280899E-2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input_405010!A$2</f>
        <v>405010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IFERROR(VLOOKUP(B15,input_405010!L:R,7,FALSE),VLOOKUP(tables_405010!C15,input_405010!A:H,8,FALSE))</f>
        <v>56100</v>
      </c>
      <c r="P15" s="46">
        <f t="shared" ca="1" si="1"/>
        <v>6.179775280898876E-4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input_405010!A$2</f>
        <v>405010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IFERROR(VLOOKUP(B16,input_405010!L:R,7,FALSE),VLOOKUP(tables_405010!C16,input_405010!A:H,8,FALSE))</f>
        <v>912900</v>
      </c>
      <c r="P16" s="46">
        <f t="shared" ca="1" si="1"/>
        <v>1.0056179775280899E-2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input_405010!A$2</f>
        <v>405010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IFERROR(VLOOKUP(B17,input_405010!L:R,7,FALSE),VLOOKUP(tables_405010!C17,input_405010!A:H,8,FALSE))</f>
        <v>56100</v>
      </c>
      <c r="P17" s="46">
        <f t="shared" ca="1" si="1"/>
        <v>6.179775280898876E-4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input_405010!A$2</f>
        <v>405010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IFERROR(VLOOKUP(B18,input_405010!L:R,7,FALSE),VLOOKUP(tables_405010!C18,input_405010!A:H,8,FALSE))</f>
        <v>912900</v>
      </c>
      <c r="P18" s="46">
        <f t="shared" ca="1" si="1"/>
        <v>1.0056179775280899E-2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input_405010!A$2</f>
        <v>405010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IFERROR(VLOOKUP(B19,input_405010!L:R,7,FALSE),VLOOKUP(tables_405010!C19,input_405010!A:H,8,FALSE))</f>
        <v>56100</v>
      </c>
      <c r="P19" s="46">
        <f t="shared" ca="1" si="1"/>
        <v>6.179775280898876E-4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input_405010!A$2</f>
        <v>405010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IFERROR(VLOOKUP(B20,input_405010!L:R,7,FALSE),VLOOKUP(tables_405010!C20,input_405010!A:H,8,FALSE))</f>
        <v>912900</v>
      </c>
      <c r="P20" s="46">
        <f t="shared" ca="1" si="1"/>
        <v>1.0056179775280899E-2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input_405010!A$2</f>
        <v>405010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IFERROR(VLOOKUP(B21,input_405010!L:R,7,FALSE),VLOOKUP(tables_405010!C21,input_405010!A:H,8,FALSE))</f>
        <v>56100</v>
      </c>
      <c r="P21" s="46">
        <f t="shared" ca="1" si="1"/>
        <v>6.179775280898876E-4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input_405010!A$2</f>
        <v>405010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IFERROR(VLOOKUP(B22,input_405010!L:R,7,FALSE),VLOOKUP(tables_405010!C22,input_405010!A:H,8,FALSE))</f>
        <v>912900</v>
      </c>
      <c r="P22" s="46">
        <f t="shared" ca="1" si="1"/>
        <v>1.0056179775280899E-2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input_405010!A$2</f>
        <v>405010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IFERROR(VLOOKUP(B23,input_405010!L:R,7,FALSE),VLOOKUP(tables_405010!C23,input_405010!A:H,8,FALSE))</f>
        <v>56100</v>
      </c>
      <c r="P23" s="46">
        <f t="shared" ca="1" si="1"/>
        <v>6.179775280898876E-4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input_405010!A$2</f>
        <v>405010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IFERROR(VLOOKUP(B24,input_405010!L:R,7,FALSE),VLOOKUP(tables_405010!C24,input_405010!A:H,8,FALSE))</f>
        <v>912900</v>
      </c>
      <c r="P24" s="46">
        <f t="shared" ca="1" si="1"/>
        <v>1.0056179775280899E-2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input_405010!A$2</f>
        <v>405010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IFERROR(VLOOKUP(B25,input_405010!L:R,7,FALSE),VLOOKUP(tables_405010!C25,input_405010!A:H,8,FALSE))</f>
        <v>56100</v>
      </c>
      <c r="P25" s="46">
        <f t="shared" ca="1" si="1"/>
        <v>6.179775280898876E-4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input_405010!A$2</f>
        <v>405010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IFERROR(VLOOKUP(B26,input_405010!L:R,7,FALSE),VLOOKUP(tables_405010!C26,input_405010!A:H,8,FALSE))</f>
        <v>912900</v>
      </c>
      <c r="P26" s="46">
        <f t="shared" ca="1" si="1"/>
        <v>1.0056179775280899E-2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input_405010!A$2</f>
        <v>405010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IFERROR(VLOOKUP(B27,input_405010!L:R,7,FALSE),VLOOKUP(tables_405010!C27,input_405010!A:H,8,FALSE))</f>
        <v>56100</v>
      </c>
      <c r="P27" s="46">
        <f t="shared" ca="1" si="1"/>
        <v>6.179775280898876E-4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input_405010!A$2</f>
        <v>405010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IFERROR(VLOOKUP(B28,input_405010!L:R,7,FALSE),VLOOKUP(tables_405010!C28,input_405010!A:H,8,FALSE))</f>
        <v>912900</v>
      </c>
      <c r="P28" s="46">
        <f t="shared" ca="1" si="1"/>
        <v>1.0056179775280899E-2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input_405010!A$2</f>
        <v>405010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IFERROR(VLOOKUP(B29,input_405010!L:R,7,FALSE),VLOOKUP(tables_405010!C29,input_405010!A:H,8,FALSE))</f>
        <v>56100</v>
      </c>
      <c r="P29" s="46">
        <f t="shared" ca="1" si="1"/>
        <v>6.179775280898876E-4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input_405010!A$2</f>
        <v>405010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IFERROR(VLOOKUP(B30,input_405010!L:R,7,FALSE),VLOOKUP(tables_405010!C30,input_405010!A:H,8,FALSE))</f>
        <v>912900</v>
      </c>
      <c r="P30" s="46">
        <f t="shared" ca="1" si="1"/>
        <v>1.0056179775280899E-2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input_405010!A$2</f>
        <v>405010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IFERROR(VLOOKUP(B31,input_405010!L:R,7,FALSE),VLOOKUP(tables_405010!C31,input_405010!A:H,8,FALSE))</f>
        <v>56100</v>
      </c>
      <c r="P31" s="46">
        <f t="shared" ca="1" si="1"/>
        <v>6.179775280898876E-4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input_405010!A$2</f>
        <v>405010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IFERROR(VLOOKUP(B32,input_405010!L:R,7,FALSE),VLOOKUP(tables_405010!C32,input_405010!A:H,8,FALSE))</f>
        <v>912900</v>
      </c>
      <c r="P32" s="46">
        <f t="shared" ca="1" si="1"/>
        <v>1.0056179775280899E-2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input_405010!A$2</f>
        <v>405010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IFERROR(VLOOKUP(B33,input_405010!L:R,7,FALSE),VLOOKUP(tables_405010!C33,input_405010!A:H,8,FALSE))</f>
        <v>56100</v>
      </c>
      <c r="P33" s="46">
        <f t="shared" ca="1" si="1"/>
        <v>6.179775280898876E-4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input_405010!A$2</f>
        <v>405010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IFERROR(VLOOKUP(B34,input_405010!L:R,7,FALSE),VLOOKUP(tables_405010!C34,input_405010!A:H,8,FALSE))</f>
        <v>912900</v>
      </c>
      <c r="P34" s="46">
        <f t="shared" ca="1" si="1"/>
        <v>1.0056179775280899E-2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input_405010!A$2</f>
        <v>405010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IFERROR(VLOOKUP(B35,input_405010!L:R,7,FALSE),VLOOKUP(tables_405010!C35,input_405010!A:H,8,FALSE))</f>
        <v>56100</v>
      </c>
      <c r="P35" s="46">
        <f t="shared" ca="1" si="1"/>
        <v>6.179775280898876E-4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input_405010!A$2</f>
        <v>405010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IFERROR(VLOOKUP(B36,input_405010!L:R,7,FALSE),VLOOKUP(tables_405010!C36,input_405010!A:H,8,FALSE))</f>
        <v>912900</v>
      </c>
      <c r="P36" s="46">
        <f t="shared" ca="1" si="1"/>
        <v>1.0056179775280899E-2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input_405010!A$2</f>
        <v>405010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IFERROR(VLOOKUP(B37,input_405010!L:R,7,FALSE),VLOOKUP(tables_405010!C37,input_405010!A:H,8,FALSE))</f>
        <v>56100</v>
      </c>
      <c r="P37" s="46">
        <f t="shared" ca="1" si="1"/>
        <v>6.179775280898876E-4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input_405010!A$2</f>
        <v>405010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IFERROR(VLOOKUP(B38,input_405010!L:R,7,FALSE),VLOOKUP(tables_405010!C38,input_405010!A:H,8,FALSE))</f>
        <v>912900</v>
      </c>
      <c r="P38" s="46">
        <f t="shared" ca="1" si="1"/>
        <v>1.0056179775280899E-2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input_405010!A$2</f>
        <v>405010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IFERROR(VLOOKUP(B39,input_405010!L:R,7,FALSE),VLOOKUP(tables_405010!C39,input_405010!A:H,8,FALSE))</f>
        <v>56100</v>
      </c>
      <c r="P39" s="46">
        <f t="shared" ca="1" si="1"/>
        <v>6.179775280898876E-4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input_405010!A$2</f>
        <v>405010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IFERROR(VLOOKUP(B40,input_405010!L:R,7,FALSE),VLOOKUP(tables_405010!C40,input_405010!A:H,8,FALSE))</f>
        <v>912900</v>
      </c>
      <c r="P40" s="46">
        <f t="shared" ca="1" si="1"/>
        <v>1.0056179775280899E-2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input_405010!A$2</f>
        <v>405010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IFERROR(VLOOKUP(B41,input_405010!L:R,7,FALSE),VLOOKUP(tables_405010!C41,input_405010!A:H,8,FALSE))</f>
        <v>56100</v>
      </c>
      <c r="P41" s="46">
        <f t="shared" ca="1" si="1"/>
        <v>6.179775280898876E-4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input_405010!A$2</f>
        <v>405010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IFERROR(VLOOKUP(B42,input_405010!L:R,7,FALSE),VLOOKUP(tables_405010!C42,input_405010!A:H,8,FALSE))</f>
        <v>484500</v>
      </c>
      <c r="P42" s="46">
        <f t="shared" ca="1" si="1"/>
        <v>5.3370786516853935E-3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input_405010!A$2</f>
        <v>405010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IFERROR(VLOOKUP(B43,input_405010!L:R,7,FALSE),VLOOKUP(tables_405010!C43,input_405010!A:H,8,FALSE))</f>
        <v>436050</v>
      </c>
      <c r="P43" s="46">
        <f t="shared" ca="1" si="1"/>
        <v>4.8033707865168538E-3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input_405010!A$2</f>
        <v>405010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IFERROR(VLOOKUP(B44,input_405010!L:R,7,FALSE),VLOOKUP(tables_405010!C44,input_405010!A:H,8,FALSE))</f>
        <v>48450</v>
      </c>
      <c r="P44" s="46">
        <f t="shared" ca="1" si="1"/>
        <v>5.3370786516853937E-4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input_405010!A$2</f>
        <v>405010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IFERROR(VLOOKUP(B45,input_405010!L:R,7,FALSE),VLOOKUP(tables_405010!C45,input_405010!A:H,8,FALSE))</f>
        <v>484500</v>
      </c>
      <c r="P45" s="46">
        <f t="shared" ca="1" si="1"/>
        <v>5.3370786516853935E-3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input_405010!A$2</f>
        <v>405010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IFERROR(VLOOKUP(B46,input_405010!L:R,7,FALSE),VLOOKUP(tables_405010!C46,input_405010!A:H,8,FALSE))</f>
        <v>436050</v>
      </c>
      <c r="P46" s="46">
        <f t="shared" ca="1" si="1"/>
        <v>4.8033707865168538E-3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input_405010!A$2</f>
        <v>405010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IFERROR(VLOOKUP(B47,input_405010!L:R,7,FALSE),VLOOKUP(tables_405010!C47,input_405010!A:H,8,FALSE))</f>
        <v>48450</v>
      </c>
      <c r="P47" s="46">
        <f t="shared" ca="1" si="1"/>
        <v>5.3370786516853937E-4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input_405010!A$2</f>
        <v>405010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IFERROR(VLOOKUP(B48,input_405010!L:R,7,FALSE),VLOOKUP(tables_405010!C48,input_405010!A:H,8,FALSE))</f>
        <v>484500</v>
      </c>
      <c r="P48" s="46">
        <f t="shared" ca="1" si="1"/>
        <v>5.3370786516853935E-3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input_405010!A$2</f>
        <v>405010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IFERROR(VLOOKUP(B49,input_405010!L:R,7,FALSE),VLOOKUP(tables_405010!C49,input_405010!A:H,8,FALSE))</f>
        <v>436050</v>
      </c>
      <c r="P49" s="46">
        <f t="shared" ca="1" si="1"/>
        <v>4.8033707865168538E-3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input_405010!A$2</f>
        <v>405010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IFERROR(VLOOKUP(B50,input_405010!L:R,7,FALSE),VLOOKUP(tables_405010!C50,input_405010!A:H,8,FALSE))</f>
        <v>48450</v>
      </c>
      <c r="P50" s="46">
        <f t="shared" ca="1" si="1"/>
        <v>5.3370786516853937E-4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input_405010!A$2</f>
        <v>405010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IFERROR(VLOOKUP(B51,input_405010!L:R,7,FALSE),VLOOKUP(tables_405010!C51,input_405010!A:H,8,FALSE))</f>
        <v>484500</v>
      </c>
      <c r="P51" s="46">
        <f t="shared" ca="1" si="1"/>
        <v>5.3370786516853935E-3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input_405010!A$2</f>
        <v>405010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IFERROR(VLOOKUP(B52,input_405010!L:R,7,FALSE),VLOOKUP(tables_405010!C52,input_405010!A:H,8,FALSE))</f>
        <v>454812.5</v>
      </c>
      <c r="P52" s="46">
        <f t="shared" ca="1" si="1"/>
        <v>5.0100517735183958E-3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input_405010!A$2</f>
        <v>405010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IFERROR(VLOOKUP(B53,input_405010!L:R,7,FALSE),VLOOKUP(tables_405010!C53,input_405010!A:H,8,FALSE))</f>
        <v>29687.5</v>
      </c>
      <c r="P53" s="46">
        <f t="shared" ca="1" si="1"/>
        <v>3.2702687816699714E-4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input_405010!A$2</f>
        <v>405010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IFERROR(VLOOKUP(B54,input_405010!L:R,7,FALSE),VLOOKUP(tables_405010!C54,input_405010!A:H,8,FALSE))</f>
        <v>484500</v>
      </c>
      <c r="P54" s="46">
        <f t="shared" ca="1" si="1"/>
        <v>5.3370786516853935E-3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input_405010!A$2</f>
        <v>405010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IFERROR(VLOOKUP(B55,input_405010!L:R,7,FALSE),VLOOKUP(tables_405010!C55,input_405010!A:H,8,FALSE))</f>
        <v>454812.5</v>
      </c>
      <c r="P55" s="46">
        <f t="shared" ca="1" si="1"/>
        <v>5.0100517735183958E-3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input_405010!A$2</f>
        <v>405010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IFERROR(VLOOKUP(B56,input_405010!L:R,7,FALSE),VLOOKUP(tables_405010!C56,input_405010!A:H,8,FALSE))</f>
        <v>29687.5</v>
      </c>
      <c r="P56" s="46">
        <f t="shared" ca="1" si="1"/>
        <v>3.2702687816699714E-4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input_405010!A$2</f>
        <v>405010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IFERROR(VLOOKUP(B57,input_405010!L:R,7,FALSE),VLOOKUP(tables_405010!C57,input_405010!A:H,8,FALSE))</f>
        <v>484500</v>
      </c>
      <c r="P57" s="46">
        <f t="shared" ca="1" si="1"/>
        <v>5.3370786516853935E-3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input_405010!A$2</f>
        <v>405010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IFERROR(VLOOKUP(B58,input_405010!L:R,7,FALSE),VLOOKUP(tables_405010!C58,input_405010!A:H,8,FALSE))</f>
        <v>454812.5</v>
      </c>
      <c r="P58" s="46">
        <f t="shared" ca="1" si="1"/>
        <v>5.0100517735183958E-3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input_405010!A$2</f>
        <v>405010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IFERROR(VLOOKUP(B59,input_405010!L:R,7,FALSE),VLOOKUP(tables_405010!C59,input_405010!A:H,8,FALSE))</f>
        <v>29687.5</v>
      </c>
      <c r="P59" s="46">
        <f t="shared" ca="1" si="1"/>
        <v>3.2702687816699714E-4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input_405010!A$2</f>
        <v>405010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IFERROR(VLOOKUP(B60,input_405010!L:R,7,FALSE),VLOOKUP(tables_405010!C60,input_405010!A:H,8,FALSE))</f>
        <v>484500</v>
      </c>
      <c r="P60" s="46">
        <f t="shared" ca="1" si="1"/>
        <v>5.3370786516853935E-3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input_405010!A$2</f>
        <v>405010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IFERROR(VLOOKUP(B61,input_405010!L:R,7,FALSE),VLOOKUP(tables_405010!C61,input_405010!A:H,8,FALSE))</f>
        <v>454812.5</v>
      </c>
      <c r="P61" s="46">
        <f t="shared" ca="1" si="1"/>
        <v>5.0100517735183958E-3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input_405010!A$2</f>
        <v>405010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IFERROR(VLOOKUP(B62,input_405010!L:R,7,FALSE),VLOOKUP(tables_405010!C62,input_405010!A:H,8,FALSE))</f>
        <v>29687.5</v>
      </c>
      <c r="P62" s="46">
        <f t="shared" ca="1" si="1"/>
        <v>3.2702687816699714E-4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input_405010!A$2</f>
        <v>405010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IFERROR(VLOOKUP(B63,input_405010!L:R,7,FALSE),VLOOKUP(tables_405010!C63,input_405010!A:H,8,FALSE))</f>
        <v>484500</v>
      </c>
      <c r="P63" s="46">
        <f t="shared" ca="1" si="1"/>
        <v>5.3370786516853935E-3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input_405010!A$2</f>
        <v>405010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IFERROR(VLOOKUP(B64,input_405010!L:R,7,FALSE),VLOOKUP(tables_405010!C64,input_405010!A:H,8,FALSE))</f>
        <v>454812.5</v>
      </c>
      <c r="P64" s="46">
        <f t="shared" ca="1" si="1"/>
        <v>5.0100517735183958E-3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input_405010!A$2</f>
        <v>405010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IFERROR(VLOOKUP(B65,input_405010!L:R,7,FALSE),VLOOKUP(tables_405010!C65,input_405010!A:H,8,FALSE))</f>
        <v>29687.5</v>
      </c>
      <c r="P65" s="46">
        <f t="shared" ca="1" si="1"/>
        <v>3.2702687816699714E-4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input_405010!A$2</f>
        <v>405010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IFERROR(VLOOKUP(B66,input_405010!L:R,7,FALSE),VLOOKUP(tables_405010!C66,input_405010!A:H,8,FALSE))</f>
        <v>484500</v>
      </c>
      <c r="P66" s="46">
        <f t="shared" ref="P66:P129" ca="1" si="4">O66/SUM(O:O)</f>
        <v>5.3370786516853935E-3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input_405010!A$2</f>
        <v>405010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IFERROR(VLOOKUP(B67,input_405010!L:R,7,FALSE),VLOOKUP(tables_405010!C67,input_405010!A:H,8,FALSE))</f>
        <v>454812.5</v>
      </c>
      <c r="P67" s="46">
        <f t="shared" ca="1" si="4"/>
        <v>5.0100517735183958E-3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input_405010!A$2</f>
        <v>405010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IFERROR(VLOOKUP(B68,input_405010!L:R,7,FALSE),VLOOKUP(tables_405010!C68,input_405010!A:H,8,FALSE))</f>
        <v>29687.5</v>
      </c>
      <c r="P68" s="46">
        <f t="shared" ca="1" si="4"/>
        <v>3.2702687816699714E-4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input_405010!A$2</f>
        <v>405010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IFERROR(VLOOKUP(B69,input_405010!L:R,7,FALSE),VLOOKUP(tables_405010!C69,input_405010!A:H,8,FALSE))</f>
        <v>484500</v>
      </c>
      <c r="P69" s="46">
        <f t="shared" ca="1" si="4"/>
        <v>5.3370786516853935E-3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input_405010!A$2</f>
        <v>405010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IFERROR(VLOOKUP(B70,input_405010!L:R,7,FALSE),VLOOKUP(tables_405010!C70,input_405010!A:H,8,FALSE))</f>
        <v>454812.5</v>
      </c>
      <c r="P70" s="46">
        <f t="shared" ca="1" si="4"/>
        <v>5.0100517735183958E-3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input_405010!A$2</f>
        <v>405010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IFERROR(VLOOKUP(B71,input_405010!L:R,7,FALSE),VLOOKUP(tables_405010!C71,input_405010!A:H,8,FALSE))</f>
        <v>29687.5</v>
      </c>
      <c r="P71" s="46">
        <f t="shared" ca="1" si="4"/>
        <v>3.2702687816699714E-4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input_405010!A$2</f>
        <v>405010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IFERROR(VLOOKUP(B72,input_405010!L:R,7,FALSE),VLOOKUP(tables_405010!C72,input_405010!A:H,8,FALSE))</f>
        <v>484500</v>
      </c>
      <c r="P72" s="46">
        <f t="shared" ca="1" si="4"/>
        <v>5.3370786516853935E-3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input_405010!A$2</f>
        <v>405010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IFERROR(VLOOKUP(B73,input_405010!L:R,7,FALSE),VLOOKUP(tables_405010!C73,input_405010!A:H,8,FALSE))</f>
        <v>454812.5</v>
      </c>
      <c r="P73" s="46">
        <f t="shared" ca="1" si="4"/>
        <v>5.0100517735183958E-3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input_405010!A$2</f>
        <v>405010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IFERROR(VLOOKUP(B74,input_405010!L:R,7,FALSE),VLOOKUP(tables_405010!C74,input_405010!A:H,8,FALSE))</f>
        <v>29687.5</v>
      </c>
      <c r="P74" s="46">
        <f t="shared" ca="1" si="4"/>
        <v>3.2702687816699714E-4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input_405010!A$2</f>
        <v>405010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IFERROR(VLOOKUP(B75,input_405010!L:R,7,FALSE),VLOOKUP(tables_405010!C75,input_405010!A:H,8,FALSE))</f>
        <v>484500</v>
      </c>
      <c r="P75" s="46">
        <f t="shared" ca="1" si="4"/>
        <v>5.3370786516853935E-3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input_405010!A$2</f>
        <v>405010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IFERROR(VLOOKUP(B76,input_405010!L:R,7,FALSE),VLOOKUP(tables_405010!C76,input_405010!A:H,8,FALSE))</f>
        <v>454812.5</v>
      </c>
      <c r="P76" s="46">
        <f t="shared" ca="1" si="4"/>
        <v>5.0100517735183958E-3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input_405010!A$2</f>
        <v>405010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IFERROR(VLOOKUP(B77,input_405010!L:R,7,FALSE),VLOOKUP(tables_405010!C77,input_405010!A:H,8,FALSE))</f>
        <v>29687.5</v>
      </c>
      <c r="P77" s="46">
        <f t="shared" ca="1" si="4"/>
        <v>3.2702687816699714E-4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input_405010!A$2</f>
        <v>405010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IFERROR(VLOOKUP(B78,input_405010!L:R,7,FALSE),VLOOKUP(tables_405010!C78,input_405010!A:H,8,FALSE))</f>
        <v>484500</v>
      </c>
      <c r="P78" s="46">
        <f t="shared" ca="1" si="4"/>
        <v>5.3370786516853935E-3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input_405010!A$2</f>
        <v>405010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IFERROR(VLOOKUP(B79,input_405010!L:R,7,FALSE),VLOOKUP(tables_405010!C79,input_405010!A:H,8,FALSE))</f>
        <v>454812.5</v>
      </c>
      <c r="P79" s="46">
        <f t="shared" ca="1" si="4"/>
        <v>5.0100517735183958E-3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input_405010!A$2</f>
        <v>405010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IFERROR(VLOOKUP(B80,input_405010!L:R,7,FALSE),VLOOKUP(tables_405010!C80,input_405010!A:H,8,FALSE))</f>
        <v>29687.5</v>
      </c>
      <c r="P80" s="46">
        <f t="shared" ca="1" si="4"/>
        <v>3.2702687816699714E-4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input_405010!A$2</f>
        <v>405010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IFERROR(VLOOKUP(B81,input_405010!L:R,7,FALSE),VLOOKUP(tables_405010!C81,input_405010!A:H,8,FALSE))</f>
        <v>484500</v>
      </c>
      <c r="P81" s="46">
        <f t="shared" ca="1" si="4"/>
        <v>5.3370786516853935E-3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input_405010!A$2</f>
        <v>405010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IFERROR(VLOOKUP(B82,input_405010!L:R,7,FALSE),VLOOKUP(tables_405010!C82,input_405010!A:H,8,FALSE))</f>
        <v>454812.5</v>
      </c>
      <c r="P82" s="46">
        <f t="shared" ca="1" si="4"/>
        <v>5.0100517735183958E-3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input_405010!A$2</f>
        <v>405010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IFERROR(VLOOKUP(B83,input_405010!L:R,7,FALSE),VLOOKUP(tables_405010!C83,input_405010!A:H,8,FALSE))</f>
        <v>29687.5</v>
      </c>
      <c r="P83" s="46">
        <f t="shared" ca="1" si="4"/>
        <v>3.2702687816699714E-4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input_405010!A$2</f>
        <v>405010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IFERROR(VLOOKUP(B84,input_405010!L:R,7,FALSE),VLOOKUP(tables_405010!C84,input_405010!A:H,8,FALSE))</f>
        <v>484500</v>
      </c>
      <c r="P84" s="46">
        <f t="shared" ca="1" si="4"/>
        <v>5.3370786516853935E-3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input_405010!A$2</f>
        <v>405010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IFERROR(VLOOKUP(B85,input_405010!L:R,7,FALSE),VLOOKUP(tables_405010!C85,input_405010!A:H,8,FALSE))</f>
        <v>454812.5</v>
      </c>
      <c r="P85" s="46">
        <f t="shared" ca="1" si="4"/>
        <v>5.0100517735183958E-3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input_405010!A$2</f>
        <v>405010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IFERROR(VLOOKUP(B86,input_405010!L:R,7,FALSE),VLOOKUP(tables_405010!C86,input_405010!A:H,8,FALSE))</f>
        <v>29687.5</v>
      </c>
      <c r="P86" s="46">
        <f t="shared" ca="1" si="4"/>
        <v>3.2702687816699714E-4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input_405010!A$2</f>
        <v>405010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IFERROR(VLOOKUP(B87,input_405010!L:R,7,FALSE),VLOOKUP(tables_405010!C87,input_405010!A:H,8,FALSE))</f>
        <v>484500</v>
      </c>
      <c r="P87" s="46">
        <f t="shared" ca="1" si="4"/>
        <v>5.3370786516853935E-3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input_405010!A$2</f>
        <v>405010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IFERROR(VLOOKUP(B88,input_405010!L:R,7,FALSE),VLOOKUP(tables_405010!C88,input_405010!A:H,8,FALSE))</f>
        <v>454812.5</v>
      </c>
      <c r="P88" s="46">
        <f t="shared" ca="1" si="4"/>
        <v>5.0100517735183958E-3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input_405010!A$2</f>
        <v>405010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IFERROR(VLOOKUP(B89,input_405010!L:R,7,FALSE),VLOOKUP(tables_405010!C89,input_405010!A:H,8,FALSE))</f>
        <v>29687.5</v>
      </c>
      <c r="P89" s="46">
        <f t="shared" ca="1" si="4"/>
        <v>3.2702687816699714E-4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input_405010!A$2</f>
        <v>405010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IFERROR(VLOOKUP(B90,input_405010!L:R,7,FALSE),VLOOKUP(tables_405010!C90,input_405010!A:H,8,FALSE))</f>
        <v>484500</v>
      </c>
      <c r="P90" s="46">
        <f t="shared" ca="1" si="4"/>
        <v>5.3370786516853935E-3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input_405010!A$2</f>
        <v>405010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IFERROR(VLOOKUP(B91,input_405010!L:R,7,FALSE),VLOOKUP(tables_405010!C91,input_405010!A:H,8,FALSE))</f>
        <v>454812.5</v>
      </c>
      <c r="P91" s="46">
        <f t="shared" ca="1" si="4"/>
        <v>5.0100517735183958E-3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input_405010!A$2</f>
        <v>405010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IFERROR(VLOOKUP(B92,input_405010!L:R,7,FALSE),VLOOKUP(tables_405010!C92,input_405010!A:H,8,FALSE))</f>
        <v>29687.5</v>
      </c>
      <c r="P92" s="46">
        <f t="shared" ca="1" si="4"/>
        <v>3.2702687816699714E-4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input_405010!A$2</f>
        <v>405010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IFERROR(VLOOKUP(B93,input_405010!L:R,7,FALSE),VLOOKUP(tables_405010!C93,input_405010!A:H,8,FALSE))</f>
        <v>484500</v>
      </c>
      <c r="P93" s="46">
        <f t="shared" ca="1" si="4"/>
        <v>5.3370786516853935E-3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input_405010!A$2</f>
        <v>405010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IFERROR(VLOOKUP(B94,input_405010!L:R,7,FALSE),VLOOKUP(tables_405010!C94,input_405010!A:H,8,FALSE))</f>
        <v>454812.5</v>
      </c>
      <c r="P94" s="46">
        <f t="shared" ca="1" si="4"/>
        <v>5.0100517735183958E-3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input_405010!A$2</f>
        <v>405010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IFERROR(VLOOKUP(B95,input_405010!L:R,7,FALSE),VLOOKUP(tables_405010!C95,input_405010!A:H,8,FALSE))</f>
        <v>29687.5</v>
      </c>
      <c r="P95" s="46">
        <f t="shared" ca="1" si="4"/>
        <v>3.2702687816699714E-4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input_405010!A$2</f>
        <v>405010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IFERROR(VLOOKUP(B96,input_405010!L:R,7,FALSE),VLOOKUP(tables_405010!C96,input_405010!A:H,8,FALSE))</f>
        <v>484500</v>
      </c>
      <c r="P96" s="46">
        <f t="shared" ca="1" si="4"/>
        <v>5.3370786516853935E-3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input_405010!A$2</f>
        <v>405010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IFERROR(VLOOKUP(B97,input_405010!L:R,7,FALSE),VLOOKUP(tables_405010!C97,input_405010!A:H,8,FALSE))</f>
        <v>454812.5</v>
      </c>
      <c r="P97" s="46">
        <f t="shared" ca="1" si="4"/>
        <v>5.0100517735183958E-3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input_405010!A$2</f>
        <v>405010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IFERROR(VLOOKUP(B98,input_405010!L:R,7,FALSE),VLOOKUP(tables_405010!C98,input_405010!A:H,8,FALSE))</f>
        <v>29687.5</v>
      </c>
      <c r="P98" s="46">
        <f t="shared" ca="1" si="4"/>
        <v>3.2702687816699714E-4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input_405010!A$2</f>
        <v>405010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IFERROR(VLOOKUP(B99,input_405010!L:R,7,FALSE),VLOOKUP(tables_405010!C99,input_405010!A:H,8,FALSE))</f>
        <v>484500</v>
      </c>
      <c r="P99" s="46">
        <f t="shared" ca="1" si="4"/>
        <v>5.3370786516853935E-3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input_405010!A$2</f>
        <v>405010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IFERROR(VLOOKUP(B100,input_405010!L:R,7,FALSE),VLOOKUP(tables_405010!C100,input_405010!A:H,8,FALSE))</f>
        <v>454812.5</v>
      </c>
      <c r="P100" s="46">
        <f t="shared" ca="1" si="4"/>
        <v>5.0100517735183958E-3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input_405010!A$2</f>
        <v>405010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IFERROR(VLOOKUP(B101,input_405010!L:R,7,FALSE),VLOOKUP(tables_405010!C101,input_405010!A:H,8,FALSE))</f>
        <v>29687.5</v>
      </c>
      <c r="P101" s="46">
        <f t="shared" ca="1" si="4"/>
        <v>3.2702687816699714E-4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input_405010!A$2</f>
        <v>405010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IFERROR(VLOOKUP(B102,input_405010!L:R,7,FALSE),VLOOKUP(tables_405010!C102,input_405010!A:H,8,FALSE))</f>
        <v>484500</v>
      </c>
      <c r="P102" s="46">
        <f t="shared" ca="1" si="4"/>
        <v>5.3370786516853935E-3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input_405010!A$2</f>
        <v>405010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IFERROR(VLOOKUP(B103,input_405010!L:R,7,FALSE),VLOOKUP(tables_405010!C103,input_405010!A:H,8,FALSE))</f>
        <v>454812.5</v>
      </c>
      <c r="P103" s="46">
        <f t="shared" ca="1" si="4"/>
        <v>5.0100517735183958E-3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input_405010!A$2</f>
        <v>405010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IFERROR(VLOOKUP(B104,input_405010!L:R,7,FALSE),VLOOKUP(tables_405010!C104,input_405010!A:H,8,FALSE))</f>
        <v>29687.5</v>
      </c>
      <c r="P104" s="46">
        <f t="shared" ca="1" si="4"/>
        <v>3.2702687816699714E-4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input_405010!A$2</f>
        <v>405010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IFERROR(VLOOKUP(B105,input_405010!L:R,7,FALSE),VLOOKUP(tables_405010!C105,input_405010!A:H,8,FALSE))</f>
        <v>484500</v>
      </c>
      <c r="P105" s="46">
        <f t="shared" ca="1" si="4"/>
        <v>5.3370786516853935E-3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input_405010!A$2</f>
        <v>405010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IFERROR(VLOOKUP(B106,input_405010!L:R,7,FALSE),VLOOKUP(tables_405010!C106,input_405010!A:H,8,FALSE))</f>
        <v>454812.5</v>
      </c>
      <c r="P106" s="46">
        <f t="shared" ca="1" si="4"/>
        <v>5.0100517735183958E-3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input_405010!A$2</f>
        <v>405010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IFERROR(VLOOKUP(B107,input_405010!L:R,7,FALSE),VLOOKUP(tables_405010!C107,input_405010!A:H,8,FALSE))</f>
        <v>29687.5</v>
      </c>
      <c r="P107" s="46">
        <f t="shared" ca="1" si="4"/>
        <v>3.2702687816699714E-4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input_405010!A$2</f>
        <v>405010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IFERROR(VLOOKUP(B108,input_405010!L:R,7,FALSE),VLOOKUP(tables_405010!C108,input_405010!A:H,8,FALSE))</f>
        <v>484500</v>
      </c>
      <c r="P108" s="46">
        <f t="shared" ca="1" si="4"/>
        <v>5.3370786516853935E-3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input_405010!A$2</f>
        <v>405010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IFERROR(VLOOKUP(B109,input_405010!L:R,7,FALSE),VLOOKUP(tables_405010!C109,input_405010!A:H,8,FALSE))</f>
        <v>454812.5</v>
      </c>
      <c r="P109" s="46">
        <f t="shared" ca="1" si="4"/>
        <v>5.0100517735183958E-3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input_405010!A$2</f>
        <v>405010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IFERROR(VLOOKUP(B110,input_405010!L:R,7,FALSE),VLOOKUP(tables_405010!C110,input_405010!A:H,8,FALSE))</f>
        <v>29687.5</v>
      </c>
      <c r="P110" s="46">
        <f t="shared" ca="1" si="4"/>
        <v>3.2702687816699714E-4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input_405010!A$2</f>
        <v>405010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IFERROR(VLOOKUP(B111,input_405010!L:R,7,FALSE),VLOOKUP(tables_405010!C111,input_405010!A:H,8,FALSE))</f>
        <v>484500</v>
      </c>
      <c r="P111" s="46">
        <f t="shared" ca="1" si="4"/>
        <v>5.3370786516853935E-3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input_405010!A$2</f>
        <v>405010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IFERROR(VLOOKUP(B112,input_405010!L:R,7,FALSE),VLOOKUP(tables_405010!C112,input_405010!A:H,8,FALSE))</f>
        <v>436050</v>
      </c>
      <c r="P112" s="46">
        <f t="shared" ca="1" si="4"/>
        <v>4.8033707865168538E-3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input_405010!A$2</f>
        <v>405010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IFERROR(VLOOKUP(B113,input_405010!L:R,7,FALSE),VLOOKUP(tables_405010!C113,input_405010!A:H,8,FALSE))</f>
        <v>48450</v>
      </c>
      <c r="P113" s="46">
        <f t="shared" ca="1" si="4"/>
        <v>5.3370786516853937E-4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input_405010!A$2</f>
        <v>405010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IFERROR(VLOOKUP(B114,input_405010!L:R,7,FALSE),VLOOKUP(tables_405010!C114,input_405010!A:H,8,FALSE))</f>
        <v>484500</v>
      </c>
      <c r="P114" s="46">
        <f t="shared" ca="1" si="4"/>
        <v>5.3370786516853935E-3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input_405010!A$2</f>
        <v>405010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IFERROR(VLOOKUP(B115,input_405010!L:R,7,FALSE),VLOOKUP(tables_405010!C115,input_405010!A:H,8,FALSE))</f>
        <v>454812.5</v>
      </c>
      <c r="P115" s="46">
        <f t="shared" ca="1" si="4"/>
        <v>5.0100517735183958E-3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input_405010!A$2</f>
        <v>405010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IFERROR(VLOOKUP(B116,input_405010!L:R,7,FALSE),VLOOKUP(tables_405010!C116,input_405010!A:H,8,FALSE))</f>
        <v>29687.5</v>
      </c>
      <c r="P116" s="46">
        <f t="shared" ca="1" si="4"/>
        <v>3.2702687816699714E-4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input_405010!A$2</f>
        <v>405010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IFERROR(VLOOKUP(B117,input_405010!L:R,7,FALSE),VLOOKUP(tables_405010!C117,input_405010!A:H,8,FALSE))</f>
        <v>484500</v>
      </c>
      <c r="P117" s="46">
        <f t="shared" ca="1" si="4"/>
        <v>5.3370786516853935E-3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input_405010!A$2</f>
        <v>405010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IFERROR(VLOOKUP(B118,input_405010!L:R,7,FALSE),VLOOKUP(tables_405010!C118,input_405010!A:H,8,FALSE))</f>
        <v>454812.5</v>
      </c>
      <c r="P118" s="46">
        <f t="shared" ca="1" si="4"/>
        <v>5.0100517735183958E-3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input_405010!A$2</f>
        <v>405010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IFERROR(VLOOKUP(B119,input_405010!L:R,7,FALSE),VLOOKUP(tables_405010!C119,input_405010!A:H,8,FALSE))</f>
        <v>29687.5</v>
      </c>
      <c r="P119" s="46">
        <f t="shared" ca="1" si="4"/>
        <v>3.2702687816699714E-4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input_405010!A$2</f>
        <v>405010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IFERROR(VLOOKUP(B120,input_405010!L:R,7,FALSE),VLOOKUP(tables_405010!C120,input_405010!A:H,8,FALSE))</f>
        <v>484500</v>
      </c>
      <c r="P120" s="46">
        <f t="shared" ca="1" si="4"/>
        <v>5.3370786516853935E-3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input_405010!A$2</f>
        <v>405010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IFERROR(VLOOKUP(B121,input_405010!L:R,7,FALSE),VLOOKUP(tables_405010!C121,input_405010!A:H,8,FALSE))</f>
        <v>454812.5</v>
      </c>
      <c r="P121" s="46">
        <f t="shared" ca="1" si="4"/>
        <v>5.0100517735183958E-3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input_405010!A$2</f>
        <v>405010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IFERROR(VLOOKUP(B122,input_405010!L:R,7,FALSE),VLOOKUP(tables_405010!C122,input_405010!A:H,8,FALSE))</f>
        <v>29687.5</v>
      </c>
      <c r="P122" s="46">
        <f t="shared" ca="1" si="4"/>
        <v>3.2702687816699714E-4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input_405010!A$2</f>
        <v>405010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IFERROR(VLOOKUP(B123,input_405010!L:R,7,FALSE),VLOOKUP(tables_405010!C123,input_405010!A:H,8,FALSE))</f>
        <v>484500</v>
      </c>
      <c r="P123" s="46">
        <f t="shared" ca="1" si="4"/>
        <v>5.3370786516853935E-3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input_405010!A$2</f>
        <v>405010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IFERROR(VLOOKUP(B124,input_405010!L:R,7,FALSE),VLOOKUP(tables_405010!C124,input_405010!A:H,8,FALSE))</f>
        <v>454812.5</v>
      </c>
      <c r="P124" s="46">
        <f t="shared" ca="1" si="4"/>
        <v>5.0100517735183958E-3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input_405010!A$2</f>
        <v>405010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IFERROR(VLOOKUP(B125,input_405010!L:R,7,FALSE),VLOOKUP(tables_405010!C125,input_405010!A:H,8,FALSE))</f>
        <v>29687.5</v>
      </c>
      <c r="P125" s="46">
        <f t="shared" ca="1" si="4"/>
        <v>3.2702687816699714E-4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input_405010!A$2</f>
        <v>405010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IFERROR(VLOOKUP(B126,input_405010!L:R,7,FALSE),VLOOKUP(tables_405010!C126,input_405010!A:H,8,FALSE))</f>
        <v>484500</v>
      </c>
      <c r="P126" s="46">
        <f t="shared" ca="1" si="4"/>
        <v>5.3370786516853935E-3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input_405010!A$2</f>
        <v>405010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IFERROR(VLOOKUP(B127,input_405010!L:R,7,FALSE),VLOOKUP(tables_405010!C127,input_405010!A:H,8,FALSE))</f>
        <v>454812.5</v>
      </c>
      <c r="P127" s="46">
        <f t="shared" ca="1" si="4"/>
        <v>5.0100517735183958E-3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input_405010!A$2</f>
        <v>405010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IFERROR(VLOOKUP(B128,input_405010!L:R,7,FALSE),VLOOKUP(tables_405010!C128,input_405010!A:H,8,FALSE))</f>
        <v>29687.5</v>
      </c>
      <c r="P128" s="46">
        <f t="shared" ca="1" si="4"/>
        <v>3.2702687816699714E-4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input_405010!A$2</f>
        <v>405010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IFERROR(VLOOKUP(B129,input_405010!L:R,7,FALSE),VLOOKUP(tables_405010!C129,input_405010!A:H,8,FALSE))</f>
        <v>484500</v>
      </c>
      <c r="P129" s="46">
        <f t="shared" ca="1" si="4"/>
        <v>5.3370786516853935E-3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input_405010!A$2</f>
        <v>405010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IFERROR(VLOOKUP(B130,input_405010!L:R,7,FALSE),VLOOKUP(tables_405010!C130,input_405010!A:H,8,FALSE))</f>
        <v>454812.5</v>
      </c>
      <c r="P130" s="46">
        <f t="shared" ref="P130:P193" ca="1" si="7">O130/SUM(O:O)</f>
        <v>5.0100517735183958E-3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input_405010!A$2</f>
        <v>405010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IFERROR(VLOOKUP(B131,input_405010!L:R,7,FALSE),VLOOKUP(tables_405010!C131,input_405010!A:H,8,FALSE))</f>
        <v>29687.5</v>
      </c>
      <c r="P131" s="46">
        <f t="shared" ca="1" si="7"/>
        <v>3.2702687816699714E-4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input_405010!A$2</f>
        <v>405010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IFERROR(VLOOKUP(B132,input_405010!L:R,7,FALSE),VLOOKUP(tables_405010!C132,input_405010!A:H,8,FALSE))</f>
        <v>484500</v>
      </c>
      <c r="P132" s="46">
        <f t="shared" ca="1" si="7"/>
        <v>5.3370786516853935E-3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input_405010!A$2</f>
        <v>405010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IFERROR(VLOOKUP(B133,input_405010!L:R,7,FALSE),VLOOKUP(tables_405010!C133,input_405010!A:H,8,FALSE))</f>
        <v>454812.5</v>
      </c>
      <c r="P133" s="46">
        <f t="shared" ca="1" si="7"/>
        <v>5.0100517735183958E-3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input_405010!A$2</f>
        <v>405010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IFERROR(VLOOKUP(B134,input_405010!L:R,7,FALSE),VLOOKUP(tables_405010!C134,input_405010!A:H,8,FALSE))</f>
        <v>29687.5</v>
      </c>
      <c r="P134" s="46">
        <f t="shared" ca="1" si="7"/>
        <v>3.2702687816699714E-4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input_405010!A$2</f>
        <v>405010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IFERROR(VLOOKUP(B135,input_405010!L:R,7,FALSE),VLOOKUP(tables_405010!C135,input_405010!A:H,8,FALSE))</f>
        <v>484500</v>
      </c>
      <c r="P135" s="46">
        <f t="shared" ca="1" si="7"/>
        <v>5.3370786516853935E-3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input_405010!A$2</f>
        <v>405010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IFERROR(VLOOKUP(B136,input_405010!L:R,7,FALSE),VLOOKUP(tables_405010!C136,input_405010!A:H,8,FALSE))</f>
        <v>454812.5</v>
      </c>
      <c r="P136" s="46">
        <f t="shared" ca="1" si="7"/>
        <v>5.0100517735183958E-3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input_405010!A$2</f>
        <v>405010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IFERROR(VLOOKUP(B137,input_405010!L:R,7,FALSE),VLOOKUP(tables_405010!C137,input_405010!A:H,8,FALSE))</f>
        <v>29687.5</v>
      </c>
      <c r="P137" s="46">
        <f t="shared" ca="1" si="7"/>
        <v>3.2702687816699714E-4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input_405010!A$2</f>
        <v>405010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IFERROR(VLOOKUP(B138,input_405010!L:R,7,FALSE),VLOOKUP(tables_405010!C138,input_405010!A:H,8,FALSE))</f>
        <v>84550</v>
      </c>
      <c r="P138" s="46">
        <f t="shared" ca="1" si="7"/>
        <v>9.3137254901960785E-4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input_405010!A$2</f>
        <v>405010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IFERROR(VLOOKUP(B139,input_405010!L:R,7,FALSE),VLOOKUP(tables_405010!C139,input_405010!A:H,8,FALSE))</f>
        <v>4450</v>
      </c>
      <c r="P139" s="46">
        <f t="shared" ca="1" si="7"/>
        <v>4.9019607843137253E-5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input_405010!A$2</f>
        <v>405010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IFERROR(VLOOKUP(B140,input_405010!L:R,7,FALSE),VLOOKUP(tables_405010!C140,input_405010!A:H,8,FALSE))</f>
        <v>84550</v>
      </c>
      <c r="P140" s="46">
        <f t="shared" ca="1" si="7"/>
        <v>9.3137254901960785E-4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input_405010!A$2</f>
        <v>405010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IFERROR(VLOOKUP(B141,input_405010!L:R,7,FALSE),VLOOKUP(tables_405010!C141,input_405010!A:H,8,FALSE))</f>
        <v>4450</v>
      </c>
      <c r="P141" s="46">
        <f t="shared" ca="1" si="7"/>
        <v>4.9019607843137253E-5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input_405010!A$2</f>
        <v>405010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IFERROR(VLOOKUP(B142,input_405010!L:R,7,FALSE),VLOOKUP(tables_405010!C142,input_405010!A:H,8,FALSE))</f>
        <v>84550</v>
      </c>
      <c r="P142" s="46">
        <f t="shared" ca="1" si="7"/>
        <v>9.3137254901960785E-4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input_405010!A$2</f>
        <v>405010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IFERROR(VLOOKUP(B143,input_405010!L:R,7,FALSE),VLOOKUP(tables_405010!C143,input_405010!A:H,8,FALSE))</f>
        <v>4450</v>
      </c>
      <c r="P143" s="46">
        <f t="shared" ca="1" si="7"/>
        <v>4.9019607843137253E-5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input_405010!A$2</f>
        <v>405010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IFERROR(VLOOKUP(B144,input_405010!L:R,7,FALSE),VLOOKUP(tables_405010!C144,input_405010!A:H,8,FALSE))</f>
        <v>84550</v>
      </c>
      <c r="P144" s="46">
        <f t="shared" ca="1" si="7"/>
        <v>9.3137254901960785E-4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input_405010!A$2</f>
        <v>405010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IFERROR(VLOOKUP(B145,input_405010!L:R,7,FALSE),VLOOKUP(tables_405010!C145,input_405010!A:H,8,FALSE))</f>
        <v>4450</v>
      </c>
      <c r="P145" s="46">
        <f t="shared" ca="1" si="7"/>
        <v>4.9019607843137253E-5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input_405010!A$2</f>
        <v>405010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IFERROR(VLOOKUP(B146,input_405010!L:R,7,FALSE),VLOOKUP(tables_405010!C146,input_405010!A:H,8,FALSE))</f>
        <v>484500</v>
      </c>
      <c r="P146" s="46">
        <f t="shared" ca="1" si="7"/>
        <v>5.3370786516853935E-3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input_405010!A$2</f>
        <v>405010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IFERROR(VLOOKUP(B147,input_405010!L:R,7,FALSE),VLOOKUP(tables_405010!C147,input_405010!A:H,8,FALSE))</f>
        <v>454812.5</v>
      </c>
      <c r="P147" s="46">
        <f t="shared" ca="1" si="7"/>
        <v>5.0100517735183958E-3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input_405010!A$2</f>
        <v>405010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IFERROR(VLOOKUP(B148,input_405010!L:R,7,FALSE),VLOOKUP(tables_405010!C148,input_405010!A:H,8,FALSE))</f>
        <v>29687.5</v>
      </c>
      <c r="P148" s="46">
        <f t="shared" ca="1" si="7"/>
        <v>3.2702687816699714E-4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input_405010!A$2</f>
        <v>405010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IFERROR(VLOOKUP(B149,input_405010!L:R,7,FALSE),VLOOKUP(tables_405010!C149,input_405010!A:H,8,FALSE))</f>
        <v>84550</v>
      </c>
      <c r="P149" s="46">
        <f t="shared" ca="1" si="7"/>
        <v>9.3137254901960785E-4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input_405010!A$2</f>
        <v>405010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IFERROR(VLOOKUP(B150,input_405010!L:R,7,FALSE),VLOOKUP(tables_405010!C150,input_405010!A:H,8,FALSE))</f>
        <v>4450</v>
      </c>
      <c r="P150" s="46">
        <f t="shared" ca="1" si="7"/>
        <v>4.9019607843137253E-5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input_405010!A$2</f>
        <v>405010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IFERROR(VLOOKUP(B151,input_405010!L:R,7,FALSE),VLOOKUP(tables_405010!C151,input_405010!A:H,8,FALSE))</f>
        <v>84550</v>
      </c>
      <c r="P151" s="46">
        <f t="shared" ca="1" si="7"/>
        <v>9.3137254901960785E-4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input_405010!A$2</f>
        <v>405010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IFERROR(VLOOKUP(B152,input_405010!L:R,7,FALSE),VLOOKUP(tables_405010!C152,input_405010!A:H,8,FALSE))</f>
        <v>4450</v>
      </c>
      <c r="P152" s="46">
        <f t="shared" ca="1" si="7"/>
        <v>4.9019607843137253E-5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input_405010!A$2</f>
        <v>405010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IFERROR(VLOOKUP(B153,input_405010!L:R,7,FALSE),VLOOKUP(tables_405010!C153,input_405010!A:H,8,FALSE))</f>
        <v>484500</v>
      </c>
      <c r="P153" s="46">
        <f t="shared" ca="1" si="7"/>
        <v>5.3370786516853935E-3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input_405010!A$2</f>
        <v>405010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IFERROR(VLOOKUP(B154,input_405010!L:R,7,FALSE),VLOOKUP(tables_405010!C154,input_405010!A:H,8,FALSE))</f>
        <v>454812.5</v>
      </c>
      <c r="P154" s="46">
        <f t="shared" ca="1" si="7"/>
        <v>5.0100517735183958E-3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input_405010!A$2</f>
        <v>405010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IFERROR(VLOOKUP(B155,input_405010!L:R,7,FALSE),VLOOKUP(tables_405010!C155,input_405010!A:H,8,FALSE))</f>
        <v>29687.5</v>
      </c>
      <c r="P155" s="46">
        <f t="shared" ca="1" si="7"/>
        <v>3.2702687816699714E-4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input_405010!A$2</f>
        <v>405010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IFERROR(VLOOKUP(B156,input_405010!L:R,7,FALSE),VLOOKUP(tables_405010!C156,input_405010!A:H,8,FALSE))</f>
        <v>84550</v>
      </c>
      <c r="P156" s="46">
        <f t="shared" ca="1" si="7"/>
        <v>9.3137254901960785E-4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input_405010!A$2</f>
        <v>405010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IFERROR(VLOOKUP(B157,input_405010!L:R,7,FALSE),VLOOKUP(tables_405010!C157,input_405010!A:H,8,FALSE))</f>
        <v>4450</v>
      </c>
      <c r="P157" s="46">
        <f t="shared" ca="1" si="7"/>
        <v>4.9019607843137253E-5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input_405010!A$2</f>
        <v>405010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IFERROR(VLOOKUP(B158,input_405010!L:R,7,FALSE),VLOOKUP(tables_405010!C158,input_405010!A:H,8,FALSE))</f>
        <v>484500</v>
      </c>
      <c r="P158" s="46">
        <f t="shared" ca="1" si="7"/>
        <v>5.3370786516853935E-3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input_405010!A$2</f>
        <v>405010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IFERROR(VLOOKUP(B159,input_405010!L:R,7,FALSE),VLOOKUP(tables_405010!C159,input_405010!A:H,8,FALSE))</f>
        <v>454812.5</v>
      </c>
      <c r="P159" s="46">
        <f t="shared" ca="1" si="7"/>
        <v>5.0100517735183958E-3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input_405010!A$2</f>
        <v>405010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IFERROR(VLOOKUP(B160,input_405010!L:R,7,FALSE),VLOOKUP(tables_405010!C160,input_405010!A:H,8,FALSE))</f>
        <v>29687.5</v>
      </c>
      <c r="P160" s="46">
        <f t="shared" ca="1" si="7"/>
        <v>3.2702687816699714E-4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input_405010!A$2</f>
        <v>405010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IFERROR(VLOOKUP(B161,input_405010!L:R,7,FALSE),VLOOKUP(tables_405010!C161,input_405010!A:H,8,FALSE))</f>
        <v>484500</v>
      </c>
      <c r="P161" s="46">
        <f t="shared" ca="1" si="7"/>
        <v>5.3370786516853935E-3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input_405010!A$2</f>
        <v>405010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IFERROR(VLOOKUP(B162,input_405010!L:R,7,FALSE),VLOOKUP(tables_405010!C162,input_405010!A:H,8,FALSE))</f>
        <v>454812.5</v>
      </c>
      <c r="P162" s="46">
        <f t="shared" ca="1" si="7"/>
        <v>5.0100517735183958E-3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input_405010!A$2</f>
        <v>405010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IFERROR(VLOOKUP(B163,input_405010!L:R,7,FALSE),VLOOKUP(tables_405010!C163,input_405010!A:H,8,FALSE))</f>
        <v>29687.5</v>
      </c>
      <c r="P163" s="46">
        <f t="shared" ca="1" si="7"/>
        <v>3.2702687816699714E-4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input_405010!A$2</f>
        <v>405010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IFERROR(VLOOKUP(B164,input_405010!L:R,7,FALSE),VLOOKUP(tables_405010!C164,input_405010!A:H,8,FALSE))</f>
        <v>84550</v>
      </c>
      <c r="P164" s="46">
        <f t="shared" ca="1" si="7"/>
        <v>9.3137254901960785E-4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input_405010!A$2</f>
        <v>405010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IFERROR(VLOOKUP(B165,input_405010!L:R,7,FALSE),VLOOKUP(tables_405010!C165,input_405010!A:H,8,FALSE))</f>
        <v>4450</v>
      </c>
      <c r="P165" s="46">
        <f t="shared" ca="1" si="7"/>
        <v>4.9019607843137253E-5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input_405010!A$2</f>
        <v>405010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IFERROR(VLOOKUP(B166,input_405010!L:R,7,FALSE),VLOOKUP(tables_405010!C166,input_405010!A:H,8,FALSE))</f>
        <v>484500</v>
      </c>
      <c r="P166" s="46">
        <f t="shared" ca="1" si="7"/>
        <v>5.3370786516853935E-3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input_405010!A$2</f>
        <v>405010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IFERROR(VLOOKUP(B167,input_405010!L:R,7,FALSE),VLOOKUP(tables_405010!C167,input_405010!A:H,8,FALSE))</f>
        <v>454812.5</v>
      </c>
      <c r="P167" s="46">
        <f t="shared" ca="1" si="7"/>
        <v>5.0100517735183958E-3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input_405010!A$2</f>
        <v>405010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IFERROR(VLOOKUP(B168,input_405010!L:R,7,FALSE),VLOOKUP(tables_405010!C168,input_405010!A:H,8,FALSE))</f>
        <v>29687.5</v>
      </c>
      <c r="P168" s="46">
        <f t="shared" ca="1" si="7"/>
        <v>3.2702687816699714E-4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input_405010!A$2</f>
        <v>405010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IFERROR(VLOOKUP(B169,input_405010!L:R,7,FALSE),VLOOKUP(tables_405010!C169,input_405010!A:H,8,FALSE))</f>
        <v>84550</v>
      </c>
      <c r="P169" s="46">
        <f t="shared" ca="1" si="7"/>
        <v>9.3137254901960785E-4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input_405010!A$2</f>
        <v>405010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IFERROR(VLOOKUP(B170,input_405010!L:R,7,FALSE),VLOOKUP(tables_405010!C170,input_405010!A:H,8,FALSE))</f>
        <v>4450</v>
      </c>
      <c r="P170" s="46">
        <f t="shared" ca="1" si="7"/>
        <v>4.9019607843137253E-5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input_405010!A$2</f>
        <v>405010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IFERROR(VLOOKUP(B171,input_405010!L:R,7,FALSE),VLOOKUP(tables_405010!C171,input_405010!A:H,8,FALSE))</f>
        <v>484500</v>
      </c>
      <c r="P171" s="46">
        <f t="shared" ca="1" si="7"/>
        <v>5.3370786516853935E-3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input_405010!A$2</f>
        <v>405010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IFERROR(VLOOKUP(B172,input_405010!L:R,7,FALSE),VLOOKUP(tables_405010!C172,input_405010!A:H,8,FALSE))</f>
        <v>454812.5</v>
      </c>
      <c r="P172" s="46">
        <f t="shared" ca="1" si="7"/>
        <v>5.0100517735183958E-3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input_405010!A$2</f>
        <v>405010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IFERROR(VLOOKUP(B173,input_405010!L:R,7,FALSE),VLOOKUP(tables_405010!C173,input_405010!A:H,8,FALSE))</f>
        <v>29687.5</v>
      </c>
      <c r="P173" s="46">
        <f t="shared" ca="1" si="7"/>
        <v>3.2702687816699714E-4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input_405010!A$2</f>
        <v>405010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IFERROR(VLOOKUP(B174,input_405010!L:R,7,FALSE),VLOOKUP(tables_405010!C174,input_405010!A:H,8,FALSE))</f>
        <v>84550</v>
      </c>
      <c r="P174" s="46">
        <f t="shared" ca="1" si="7"/>
        <v>9.3137254901960785E-4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input_405010!A$2</f>
        <v>405010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IFERROR(VLOOKUP(B175,input_405010!L:R,7,FALSE),VLOOKUP(tables_405010!C175,input_405010!A:H,8,FALSE))</f>
        <v>4450</v>
      </c>
      <c r="P175" s="46">
        <f t="shared" ca="1" si="7"/>
        <v>4.9019607843137253E-5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input_405010!A$2</f>
        <v>405010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IFERROR(VLOOKUP(B176,input_405010!L:R,7,FALSE),VLOOKUP(tables_405010!C176,input_405010!A:H,8,FALSE))</f>
        <v>84550</v>
      </c>
      <c r="P176" s="46">
        <f t="shared" ca="1" si="7"/>
        <v>9.3137254901960785E-4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input_405010!A$2</f>
        <v>405010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IFERROR(VLOOKUP(B177,input_405010!L:R,7,FALSE),VLOOKUP(tables_405010!C177,input_405010!A:H,8,FALSE))</f>
        <v>4450</v>
      </c>
      <c r="P177" s="46">
        <f t="shared" ca="1" si="7"/>
        <v>4.9019607843137253E-5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input_405010!A$2</f>
        <v>405010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IFERROR(VLOOKUP(B178,input_405010!L:R,7,FALSE),VLOOKUP(tables_405010!C178,input_405010!A:H,8,FALSE))</f>
        <v>484500</v>
      </c>
      <c r="P178" s="46">
        <f t="shared" ca="1" si="7"/>
        <v>5.3370786516853935E-3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input_405010!A$2</f>
        <v>405010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IFERROR(VLOOKUP(B179,input_405010!L:R,7,FALSE),VLOOKUP(tables_405010!C179,input_405010!A:H,8,FALSE))</f>
        <v>454812.5</v>
      </c>
      <c r="P179" s="46">
        <f t="shared" ca="1" si="7"/>
        <v>5.0100517735183958E-3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input_405010!A$2</f>
        <v>405010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IFERROR(VLOOKUP(B180,input_405010!L:R,7,FALSE),VLOOKUP(tables_405010!C180,input_405010!A:H,8,FALSE))</f>
        <v>29687.5</v>
      </c>
      <c r="P180" s="46">
        <f t="shared" ca="1" si="7"/>
        <v>3.2702687816699714E-4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input_405010!A$2</f>
        <v>405010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IFERROR(VLOOKUP(B181,input_405010!L:R,7,FALSE),VLOOKUP(tables_405010!C181,input_405010!A:H,8,FALSE))</f>
        <v>484500</v>
      </c>
      <c r="P181" s="46">
        <f t="shared" ca="1" si="7"/>
        <v>5.3370786516853935E-3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input_405010!A$2</f>
        <v>405010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IFERROR(VLOOKUP(B182,input_405010!L:R,7,FALSE),VLOOKUP(tables_405010!C182,input_405010!A:H,8,FALSE))</f>
        <v>454812.5</v>
      </c>
      <c r="P182" s="46">
        <f t="shared" ca="1" si="7"/>
        <v>5.0100517735183958E-3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input_405010!A$2</f>
        <v>405010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IFERROR(VLOOKUP(B183,input_405010!L:R,7,FALSE),VLOOKUP(tables_405010!C183,input_405010!A:H,8,FALSE))</f>
        <v>29687.5</v>
      </c>
      <c r="P183" s="46">
        <f t="shared" ca="1" si="7"/>
        <v>3.2702687816699714E-4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input_405010!A$2</f>
        <v>405010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IFERROR(VLOOKUP(B184,input_405010!L:R,7,FALSE),VLOOKUP(tables_405010!C184,input_405010!A:H,8,FALSE))</f>
        <v>84550</v>
      </c>
      <c r="P184" s="46">
        <f t="shared" ca="1" si="7"/>
        <v>9.3137254901960785E-4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input_405010!A$2</f>
        <v>405010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IFERROR(VLOOKUP(B185,input_405010!L:R,7,FALSE),VLOOKUP(tables_405010!C185,input_405010!A:H,8,FALSE))</f>
        <v>4450</v>
      </c>
      <c r="P185" s="46">
        <f t="shared" ca="1" si="7"/>
        <v>4.9019607843137253E-5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input_405010!A$2</f>
        <v>405010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IFERROR(VLOOKUP(B186,input_405010!L:R,7,FALSE),VLOOKUP(tables_405010!C186,input_405010!A:H,8,FALSE))</f>
        <v>484500</v>
      </c>
      <c r="P186" s="46">
        <f t="shared" ca="1" si="7"/>
        <v>5.3370786516853935E-3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input_405010!A$2</f>
        <v>405010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IFERROR(VLOOKUP(B187,input_405010!L:R,7,FALSE),VLOOKUP(tables_405010!C187,input_405010!A:H,8,FALSE))</f>
        <v>454812.5</v>
      </c>
      <c r="P187" s="46">
        <f t="shared" ca="1" si="7"/>
        <v>5.0100517735183958E-3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input_405010!A$2</f>
        <v>405010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IFERROR(VLOOKUP(B188,input_405010!L:R,7,FALSE),VLOOKUP(tables_405010!C188,input_405010!A:H,8,FALSE))</f>
        <v>29687.5</v>
      </c>
      <c r="P188" s="46">
        <f t="shared" ca="1" si="7"/>
        <v>3.2702687816699714E-4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input_405010!A$2</f>
        <v>405010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IFERROR(VLOOKUP(B189,input_405010!L:R,7,FALSE),VLOOKUP(tables_405010!C189,input_405010!A:H,8,FALSE))</f>
        <v>84550</v>
      </c>
      <c r="P189" s="46">
        <f t="shared" ca="1" si="7"/>
        <v>9.3137254901960785E-4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input_405010!A$2</f>
        <v>405010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IFERROR(VLOOKUP(B190,input_405010!L:R,7,FALSE),VLOOKUP(tables_405010!C190,input_405010!A:H,8,FALSE))</f>
        <v>4450</v>
      </c>
      <c r="P190" s="46">
        <f t="shared" ca="1" si="7"/>
        <v>4.9019607843137253E-5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input_405010!A$2</f>
        <v>405010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IFERROR(VLOOKUP(B191,input_405010!L:R,7,FALSE),VLOOKUP(tables_405010!C191,input_405010!A:H,8,FALSE))</f>
        <v>84550</v>
      </c>
      <c r="P191" s="46">
        <f t="shared" ca="1" si="7"/>
        <v>9.3137254901960785E-4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input_405010!A$2</f>
        <v>405010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IFERROR(VLOOKUP(B192,input_405010!L:R,7,FALSE),VLOOKUP(tables_405010!C192,input_405010!A:H,8,FALSE))</f>
        <v>4450</v>
      </c>
      <c r="P192" s="46">
        <f t="shared" ca="1" si="7"/>
        <v>4.9019607843137253E-5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input_405010!A$2</f>
        <v>405010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IFERROR(VLOOKUP(B193,input_405010!L:R,7,FALSE),VLOOKUP(tables_405010!C193,input_405010!A:H,8,FALSE))</f>
        <v>484500</v>
      </c>
      <c r="P193" s="46">
        <f t="shared" ca="1" si="7"/>
        <v>5.3370786516853935E-3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input_405010!A$2</f>
        <v>405010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IFERROR(VLOOKUP(B194,input_405010!L:R,7,FALSE),VLOOKUP(tables_405010!C194,input_405010!A:H,8,FALSE))</f>
        <v>454812.5</v>
      </c>
      <c r="P194" s="46">
        <f t="shared" ref="P194:P257" ca="1" si="10">O194/SUM(O:O)</f>
        <v>5.0100517735183958E-3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input_405010!A$2</f>
        <v>405010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IFERROR(VLOOKUP(B195,input_405010!L:R,7,FALSE),VLOOKUP(tables_405010!C195,input_405010!A:H,8,FALSE))</f>
        <v>29687.5</v>
      </c>
      <c r="P195" s="46">
        <f t="shared" ca="1" si="10"/>
        <v>3.2702687816699714E-4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input_405010!A$2</f>
        <v>405010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IFERROR(VLOOKUP(B196,input_405010!L:R,7,FALSE),VLOOKUP(tables_405010!C196,input_405010!A:H,8,FALSE))</f>
        <v>84550</v>
      </c>
      <c r="P196" s="46">
        <f t="shared" ca="1" si="10"/>
        <v>9.3137254901960785E-4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input_405010!A$2</f>
        <v>405010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IFERROR(VLOOKUP(B197,input_405010!L:R,7,FALSE),VLOOKUP(tables_405010!C197,input_405010!A:H,8,FALSE))</f>
        <v>4450</v>
      </c>
      <c r="P197" s="46">
        <f t="shared" ca="1" si="10"/>
        <v>4.9019607843137253E-5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input_405010!A$2</f>
        <v>405010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IFERROR(VLOOKUP(B198,input_405010!L:R,7,FALSE),VLOOKUP(tables_405010!C198,input_405010!A:H,8,FALSE))</f>
        <v>484500</v>
      </c>
      <c r="P198" s="46">
        <f t="shared" ca="1" si="10"/>
        <v>5.3370786516853935E-3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input_405010!A$2</f>
        <v>405010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IFERROR(VLOOKUP(B199,input_405010!L:R,7,FALSE),VLOOKUP(tables_405010!C199,input_405010!A:H,8,FALSE))</f>
        <v>454812.5</v>
      </c>
      <c r="P199" s="46">
        <f t="shared" ca="1" si="10"/>
        <v>5.0100517735183958E-3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input_405010!A$2</f>
        <v>405010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IFERROR(VLOOKUP(B200,input_405010!L:R,7,FALSE),VLOOKUP(tables_405010!C200,input_405010!A:H,8,FALSE))</f>
        <v>29687.5</v>
      </c>
      <c r="P200" s="46">
        <f t="shared" ca="1" si="10"/>
        <v>3.2702687816699714E-4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input_405010!A$2</f>
        <v>405010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IFERROR(VLOOKUP(B201,input_405010!L:R,7,FALSE),VLOOKUP(tables_405010!C201,input_405010!A:H,8,FALSE))</f>
        <v>84550</v>
      </c>
      <c r="P201" s="46">
        <f t="shared" ca="1" si="10"/>
        <v>9.3137254901960785E-4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input_405010!A$2</f>
        <v>405010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IFERROR(VLOOKUP(B202,input_405010!L:R,7,FALSE),VLOOKUP(tables_405010!C202,input_405010!A:H,8,FALSE))</f>
        <v>4450</v>
      </c>
      <c r="P202" s="46">
        <f t="shared" ca="1" si="10"/>
        <v>4.9019607843137253E-5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input_405010!A$2</f>
        <v>405010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IFERROR(VLOOKUP(B203,input_405010!L:R,7,FALSE),VLOOKUP(tables_405010!C203,input_405010!A:H,8,FALSE))</f>
        <v>484500</v>
      </c>
      <c r="P203" s="46">
        <f t="shared" ca="1" si="10"/>
        <v>5.3370786516853935E-3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input_405010!A$2</f>
        <v>405010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IFERROR(VLOOKUP(B204,input_405010!L:R,7,FALSE),VLOOKUP(tables_405010!C204,input_405010!A:H,8,FALSE))</f>
        <v>454812.5</v>
      </c>
      <c r="P204" s="46">
        <f t="shared" ca="1" si="10"/>
        <v>5.0100517735183958E-3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input_405010!A$2</f>
        <v>405010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IFERROR(VLOOKUP(B205,input_405010!L:R,7,FALSE),VLOOKUP(tables_405010!C205,input_405010!A:H,8,FALSE))</f>
        <v>29687.5</v>
      </c>
      <c r="P205" s="46">
        <f t="shared" ca="1" si="10"/>
        <v>3.2702687816699714E-4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input_405010!A$2</f>
        <v>405010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IFERROR(VLOOKUP(B206,input_405010!L:R,7,FALSE),VLOOKUP(tables_405010!C206,input_405010!A:H,8,FALSE))</f>
        <v>84550</v>
      </c>
      <c r="P206" s="46">
        <f t="shared" ca="1" si="10"/>
        <v>9.3137254901960785E-4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input_405010!A$2</f>
        <v>405010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IFERROR(VLOOKUP(B207,input_405010!L:R,7,FALSE),VLOOKUP(tables_405010!C207,input_405010!A:H,8,FALSE))</f>
        <v>4450</v>
      </c>
      <c r="P207" s="46">
        <f t="shared" ca="1" si="10"/>
        <v>4.9019607843137253E-5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input_405010!A$2</f>
        <v>405010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IFERROR(VLOOKUP(B208,input_405010!L:R,7,FALSE),VLOOKUP(tables_405010!C208,input_405010!A:H,8,FALSE))</f>
        <v>84550</v>
      </c>
      <c r="P208" s="46">
        <f t="shared" ca="1" si="10"/>
        <v>9.3137254901960785E-4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input_405010!A$2</f>
        <v>405010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IFERROR(VLOOKUP(B209,input_405010!L:R,7,FALSE),VLOOKUP(tables_405010!C209,input_405010!A:H,8,FALSE))</f>
        <v>4450</v>
      </c>
      <c r="P209" s="46">
        <f t="shared" ca="1" si="10"/>
        <v>4.9019607843137253E-5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input_405010!A$2</f>
        <v>405010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IFERROR(VLOOKUP(B210,input_405010!L:R,7,FALSE),VLOOKUP(tables_405010!C210,input_405010!A:H,8,FALSE))</f>
        <v>484500</v>
      </c>
      <c r="P210" s="46">
        <f t="shared" ca="1" si="10"/>
        <v>5.3370786516853935E-3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input_405010!A$2</f>
        <v>405010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IFERROR(VLOOKUP(B211,input_405010!L:R,7,FALSE),VLOOKUP(tables_405010!C211,input_405010!A:H,8,FALSE))</f>
        <v>454812.5</v>
      </c>
      <c r="P211" s="46">
        <f t="shared" ca="1" si="10"/>
        <v>5.0100517735183958E-3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input_405010!A$2</f>
        <v>405010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IFERROR(VLOOKUP(B212,input_405010!L:R,7,FALSE),VLOOKUP(tables_405010!C212,input_405010!A:H,8,FALSE))</f>
        <v>29687.5</v>
      </c>
      <c r="P212" s="46">
        <f t="shared" ca="1" si="10"/>
        <v>3.2702687816699714E-4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input_405010!A$2</f>
        <v>405010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IFERROR(VLOOKUP(B213,input_405010!L:R,7,FALSE),VLOOKUP(tables_405010!C213,input_405010!A:H,8,FALSE))</f>
        <v>84550</v>
      </c>
      <c r="P213" s="46">
        <f t="shared" ca="1" si="10"/>
        <v>9.3137254901960785E-4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input_405010!A$2</f>
        <v>405010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IFERROR(VLOOKUP(B214,input_405010!L:R,7,FALSE),VLOOKUP(tables_405010!C214,input_405010!A:H,8,FALSE))</f>
        <v>4450</v>
      </c>
      <c r="P214" s="46">
        <f t="shared" ca="1" si="10"/>
        <v>4.9019607843137253E-5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input_405010!A$2</f>
        <v>405010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IFERROR(VLOOKUP(B215,input_405010!L:R,7,FALSE),VLOOKUP(tables_405010!C215,input_405010!A:H,8,FALSE))</f>
        <v>84550</v>
      </c>
      <c r="P215" s="46">
        <f t="shared" ca="1" si="10"/>
        <v>9.3137254901960785E-4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input_405010!A$2</f>
        <v>405010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IFERROR(VLOOKUP(B216,input_405010!L:R,7,FALSE),VLOOKUP(tables_405010!C216,input_405010!A:H,8,FALSE))</f>
        <v>4450</v>
      </c>
      <c r="P216" s="46">
        <f t="shared" ca="1" si="10"/>
        <v>4.9019607843137253E-5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input_405010!A$2</f>
        <v>405010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IFERROR(VLOOKUP(B217,input_405010!L:R,7,FALSE),VLOOKUP(tables_405010!C217,input_405010!A:H,8,FALSE))</f>
        <v>484500</v>
      </c>
      <c r="P217" s="46">
        <f t="shared" ca="1" si="10"/>
        <v>5.3370786516853935E-3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input_405010!A$2</f>
        <v>405010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IFERROR(VLOOKUP(B218,input_405010!L:R,7,FALSE),VLOOKUP(tables_405010!C218,input_405010!A:H,8,FALSE))</f>
        <v>454812.5</v>
      </c>
      <c r="P218" s="46">
        <f t="shared" ca="1" si="10"/>
        <v>5.0100517735183958E-3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input_405010!A$2</f>
        <v>405010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IFERROR(VLOOKUP(B219,input_405010!L:R,7,FALSE),VLOOKUP(tables_405010!C219,input_405010!A:H,8,FALSE))</f>
        <v>29687.5</v>
      </c>
      <c r="P219" s="46">
        <f t="shared" ca="1" si="10"/>
        <v>3.2702687816699714E-4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input_405010!A$2</f>
        <v>405010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IFERROR(VLOOKUP(B220,input_405010!L:R,7,FALSE),VLOOKUP(tables_405010!C220,input_405010!A:H,8,FALSE))</f>
        <v>484500</v>
      </c>
      <c r="P220" s="46">
        <f t="shared" ca="1" si="10"/>
        <v>5.3370786516853935E-3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input_405010!A$2</f>
        <v>405010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IFERROR(VLOOKUP(B221,input_405010!L:R,7,FALSE),VLOOKUP(tables_405010!C221,input_405010!A:H,8,FALSE))</f>
        <v>454812.5</v>
      </c>
      <c r="P221" s="46">
        <f t="shared" ca="1" si="10"/>
        <v>5.0100517735183958E-3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input_405010!A$2</f>
        <v>405010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IFERROR(VLOOKUP(B222,input_405010!L:R,7,FALSE),VLOOKUP(tables_405010!C222,input_405010!A:H,8,FALSE))</f>
        <v>29687.5</v>
      </c>
      <c r="P222" s="46">
        <f t="shared" ca="1" si="10"/>
        <v>3.2702687816699714E-4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input_405010!A$2</f>
        <v>405010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IFERROR(VLOOKUP(B223,input_405010!L:R,7,FALSE),VLOOKUP(tables_405010!C223,input_405010!A:H,8,FALSE))</f>
        <v>84550</v>
      </c>
      <c r="P223" s="46">
        <f t="shared" ca="1" si="10"/>
        <v>9.3137254901960785E-4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input_405010!A$2</f>
        <v>405010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IFERROR(VLOOKUP(B224,input_405010!L:R,7,FALSE),VLOOKUP(tables_405010!C224,input_405010!A:H,8,FALSE))</f>
        <v>4450</v>
      </c>
      <c r="P224" s="46">
        <f t="shared" ca="1" si="10"/>
        <v>4.9019607843137253E-5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input_405010!A$2</f>
        <v>405010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IFERROR(VLOOKUP(B225,input_405010!L:R,7,FALSE),VLOOKUP(tables_405010!C225,input_405010!A:H,8,FALSE))</f>
        <v>484500</v>
      </c>
      <c r="P225" s="46">
        <f t="shared" ca="1" si="10"/>
        <v>5.3370786516853935E-3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input_405010!A$2</f>
        <v>405010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IFERROR(VLOOKUP(B226,input_405010!L:R,7,FALSE),VLOOKUP(tables_405010!C226,input_405010!A:H,8,FALSE))</f>
        <v>454812.5</v>
      </c>
      <c r="P226" s="46">
        <f t="shared" ca="1" si="10"/>
        <v>5.0100517735183958E-3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input_405010!A$2</f>
        <v>405010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IFERROR(VLOOKUP(B227,input_405010!L:R,7,FALSE),VLOOKUP(tables_405010!C227,input_405010!A:H,8,FALSE))</f>
        <v>29687.5</v>
      </c>
      <c r="P227" s="46">
        <f t="shared" ca="1" si="10"/>
        <v>3.2702687816699714E-4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input_405010!A$2</f>
        <v>405010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IFERROR(VLOOKUP(B228,input_405010!L:R,7,FALSE),VLOOKUP(tables_405010!C228,input_405010!A:H,8,FALSE))</f>
        <v>484500</v>
      </c>
      <c r="P228" s="46">
        <f t="shared" ca="1" si="10"/>
        <v>5.3370786516853935E-3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input_405010!A$2</f>
        <v>405010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IFERROR(VLOOKUP(B229,input_405010!L:R,7,FALSE),VLOOKUP(tables_405010!C229,input_405010!A:H,8,FALSE))</f>
        <v>454812.5</v>
      </c>
      <c r="P229" s="46">
        <f t="shared" ca="1" si="10"/>
        <v>5.0100517735183958E-3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input_405010!A$2</f>
        <v>405010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IFERROR(VLOOKUP(B230,input_405010!L:R,7,FALSE),VLOOKUP(tables_405010!C230,input_405010!A:H,8,FALSE))</f>
        <v>29687.5</v>
      </c>
      <c r="P230" s="46">
        <f t="shared" ca="1" si="10"/>
        <v>3.2702687816699714E-4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input_405010!A$2</f>
        <v>405010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IFERROR(VLOOKUP(B231,input_405010!L:R,7,FALSE),VLOOKUP(tables_405010!C231,input_405010!A:H,8,FALSE))</f>
        <v>84550</v>
      </c>
      <c r="P231" s="46">
        <f t="shared" ca="1" si="10"/>
        <v>9.3137254901960785E-4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input_405010!A$2</f>
        <v>405010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IFERROR(VLOOKUP(B232,input_405010!L:R,7,FALSE),VLOOKUP(tables_405010!C232,input_405010!A:H,8,FALSE))</f>
        <v>4450</v>
      </c>
      <c r="P232" s="46">
        <f t="shared" ca="1" si="10"/>
        <v>4.9019607843137253E-5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input_405010!A$2</f>
        <v>405010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IFERROR(VLOOKUP(B233,input_405010!L:R,7,FALSE),VLOOKUP(tables_405010!C233,input_405010!A:H,8,FALSE))</f>
        <v>484500</v>
      </c>
      <c r="P233" s="46">
        <f t="shared" ca="1" si="10"/>
        <v>5.3370786516853935E-3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input_405010!A$2</f>
        <v>405010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IFERROR(VLOOKUP(B234,input_405010!L:R,7,FALSE),VLOOKUP(tables_405010!C234,input_405010!A:H,8,FALSE))</f>
        <v>454812.5</v>
      </c>
      <c r="P234" s="46">
        <f t="shared" ca="1" si="10"/>
        <v>5.0100517735183958E-3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input_405010!A$2</f>
        <v>405010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IFERROR(VLOOKUP(B235,input_405010!L:R,7,FALSE),VLOOKUP(tables_405010!C235,input_405010!A:H,8,FALSE))</f>
        <v>29687.5</v>
      </c>
      <c r="P235" s="46">
        <f t="shared" ca="1" si="10"/>
        <v>3.2702687816699714E-4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input_405010!A$2</f>
        <v>405010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IFERROR(VLOOKUP(B236,input_405010!L:R,7,FALSE),VLOOKUP(tables_405010!C236,input_405010!A:H,8,FALSE))</f>
        <v>84550</v>
      </c>
      <c r="P236" s="46">
        <f t="shared" ca="1" si="10"/>
        <v>9.3137254901960785E-4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input_405010!A$2</f>
        <v>405010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IFERROR(VLOOKUP(B237,input_405010!L:R,7,FALSE),VLOOKUP(tables_405010!C237,input_405010!A:H,8,FALSE))</f>
        <v>4450</v>
      </c>
      <c r="P237" s="46">
        <f t="shared" ca="1" si="10"/>
        <v>4.9019607843137253E-5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input_405010!A$2</f>
        <v>405010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IFERROR(VLOOKUP(B238,input_405010!L:R,7,FALSE),VLOOKUP(tables_405010!C238,input_405010!A:H,8,FALSE))</f>
        <v>84550</v>
      </c>
      <c r="P238" s="46">
        <f t="shared" ca="1" si="10"/>
        <v>9.3137254901960785E-4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input_405010!A$2</f>
        <v>405010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IFERROR(VLOOKUP(B239,input_405010!L:R,7,FALSE),VLOOKUP(tables_405010!C239,input_405010!A:H,8,FALSE))</f>
        <v>4450</v>
      </c>
      <c r="P239" s="46">
        <f t="shared" ca="1" si="10"/>
        <v>4.9019607843137253E-5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input_405010!A$2</f>
        <v>405010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IFERROR(VLOOKUP(B240,input_405010!L:R,7,FALSE),VLOOKUP(tables_405010!C240,input_405010!A:H,8,FALSE))</f>
        <v>484500</v>
      </c>
      <c r="P240" s="46">
        <f t="shared" ca="1" si="10"/>
        <v>5.3370786516853935E-3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input_405010!A$2</f>
        <v>405010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IFERROR(VLOOKUP(B241,input_405010!L:R,7,FALSE),VLOOKUP(tables_405010!C241,input_405010!A:H,8,FALSE))</f>
        <v>454812.5</v>
      </c>
      <c r="P241" s="46">
        <f t="shared" ca="1" si="10"/>
        <v>5.0100517735183958E-3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input_405010!A$2</f>
        <v>405010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IFERROR(VLOOKUP(B242,input_405010!L:R,7,FALSE),VLOOKUP(tables_405010!C242,input_405010!A:H,8,FALSE))</f>
        <v>29687.5</v>
      </c>
      <c r="P242" s="46">
        <f t="shared" ca="1" si="10"/>
        <v>3.2702687816699714E-4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input_405010!A$2</f>
        <v>405010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IFERROR(VLOOKUP(B243,input_405010!L:R,7,FALSE),VLOOKUP(tables_405010!C243,input_405010!A:H,8,FALSE))</f>
        <v>484500</v>
      </c>
      <c r="P243" s="46">
        <f t="shared" ca="1" si="10"/>
        <v>5.3370786516853935E-3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input_405010!A$2</f>
        <v>405010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IFERROR(VLOOKUP(B244,input_405010!L:R,7,FALSE),VLOOKUP(tables_405010!C244,input_405010!A:H,8,FALSE))</f>
        <v>454812.5</v>
      </c>
      <c r="P244" s="46">
        <f t="shared" ca="1" si="10"/>
        <v>5.0100517735183958E-3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input_405010!A$2</f>
        <v>405010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IFERROR(VLOOKUP(B245,input_405010!L:R,7,FALSE),VLOOKUP(tables_405010!C245,input_405010!A:H,8,FALSE))</f>
        <v>29687.5</v>
      </c>
      <c r="P245" s="46">
        <f t="shared" ca="1" si="10"/>
        <v>3.2702687816699714E-4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input_405010!A$2</f>
        <v>405010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IFERROR(VLOOKUP(B246,input_405010!L:R,7,FALSE),VLOOKUP(tables_405010!C246,input_405010!A:H,8,FALSE))</f>
        <v>484500</v>
      </c>
      <c r="P246" s="46">
        <f t="shared" ca="1" si="10"/>
        <v>5.3370786516853935E-3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input_405010!A$2</f>
        <v>405010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IFERROR(VLOOKUP(B247,input_405010!L:R,7,FALSE),VLOOKUP(tables_405010!C247,input_405010!A:H,8,FALSE))</f>
        <v>454812.5</v>
      </c>
      <c r="P247" s="46">
        <f t="shared" ca="1" si="10"/>
        <v>5.0100517735183958E-3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input_405010!A$2</f>
        <v>405010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IFERROR(VLOOKUP(B248,input_405010!L:R,7,FALSE),VLOOKUP(tables_405010!C248,input_405010!A:H,8,FALSE))</f>
        <v>29687.5</v>
      </c>
      <c r="P248" s="46">
        <f t="shared" ca="1" si="10"/>
        <v>3.2702687816699714E-4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input_405010!A$2</f>
        <v>405010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IFERROR(VLOOKUP(B249,input_405010!L:R,7,FALSE),VLOOKUP(tables_405010!C249,input_405010!A:H,8,FALSE))</f>
        <v>484500</v>
      </c>
      <c r="P249" s="46">
        <f t="shared" ca="1" si="10"/>
        <v>5.3370786516853935E-3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input_405010!A$2</f>
        <v>405010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IFERROR(VLOOKUP(B250,input_405010!L:R,7,FALSE),VLOOKUP(tables_405010!C250,input_405010!A:H,8,FALSE))</f>
        <v>454812.5</v>
      </c>
      <c r="P250" s="46">
        <f t="shared" ca="1" si="10"/>
        <v>5.0100517735183958E-3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input_405010!A$2</f>
        <v>405010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IFERROR(VLOOKUP(B251,input_405010!L:R,7,FALSE),VLOOKUP(tables_405010!C251,input_405010!A:H,8,FALSE))</f>
        <v>29687.5</v>
      </c>
      <c r="P251" s="46">
        <f t="shared" ca="1" si="10"/>
        <v>3.2702687816699714E-4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input_405010!A$2</f>
        <v>405010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IFERROR(VLOOKUP(B252,input_405010!L:R,7,FALSE),VLOOKUP(tables_405010!C252,input_405010!A:H,8,FALSE))</f>
        <v>84550</v>
      </c>
      <c r="P252" s="46">
        <f t="shared" ca="1" si="10"/>
        <v>9.3137254901960785E-4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input_405010!A$2</f>
        <v>405010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IFERROR(VLOOKUP(B253,input_405010!L:R,7,FALSE),VLOOKUP(tables_405010!C253,input_405010!A:H,8,FALSE))</f>
        <v>4450</v>
      </c>
      <c r="P253" s="46">
        <f t="shared" ca="1" si="10"/>
        <v>4.9019607843137253E-5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input_405010!A$2</f>
        <v>405010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IFERROR(VLOOKUP(B254,input_405010!L:R,7,FALSE),VLOOKUP(tables_405010!C254,input_405010!A:H,8,FALSE))</f>
        <v>84550</v>
      </c>
      <c r="P254" s="46">
        <f t="shared" ca="1" si="10"/>
        <v>9.3137254901960785E-4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input_405010!A$2</f>
        <v>405010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IFERROR(VLOOKUP(B255,input_405010!L:R,7,FALSE),VLOOKUP(tables_405010!C255,input_405010!A:H,8,FALSE))</f>
        <v>4450</v>
      </c>
      <c r="P255" s="46">
        <f t="shared" ca="1" si="10"/>
        <v>4.9019607843137253E-5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input_405010!A$2</f>
        <v>405010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IFERROR(VLOOKUP(B256,input_405010!L:R,7,FALSE),VLOOKUP(tables_405010!C256,input_405010!A:H,8,FALSE))</f>
        <v>920550</v>
      </c>
      <c r="P256" s="46">
        <f t="shared" ca="1" si="10"/>
        <v>1.0140449438202246E-2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input_405010!A$2</f>
        <v>405010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IFERROR(VLOOKUP(B257,input_405010!L:R,7,FALSE),VLOOKUP(tables_405010!C257,input_405010!A:H,8,FALSE))</f>
        <v>48450</v>
      </c>
      <c r="P257" s="46">
        <f t="shared" ca="1" si="10"/>
        <v>5.3370786516853937E-4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input_405010!A$2</f>
        <v>405010</v>
      </c>
      <c r="B258" s="60">
        <v>730</v>
      </c>
      <c r="C258" s="7" t="str">
        <f t="shared" ref="C258:C28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IFERROR(VLOOKUP(B258,input_405010!L:R,7,FALSE),VLOOKUP(tables_405010!C258,input_405010!A:H,8,FALSE))</f>
        <v>920550</v>
      </c>
      <c r="P258" s="46">
        <f t="shared" ref="P258:P294" ca="1" si="13">O258/SUM(O:O)</f>
        <v>1.0140449438202246E-2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input_405010!A$2</f>
        <v>405010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IFERROR(VLOOKUP(B259,input_405010!L:R,7,FALSE),VLOOKUP(tables_405010!C259,input_405010!A:H,8,FALSE))</f>
        <v>48450</v>
      </c>
      <c r="P259" s="46">
        <f t="shared" ca="1" si="13"/>
        <v>5.3370786516853937E-4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input_405010!A$2</f>
        <v>405010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IFERROR(VLOOKUP(B260,input_405010!L:R,7,FALSE),VLOOKUP(tables_405010!C260,input_405010!A:H,8,FALSE))</f>
        <v>89000</v>
      </c>
      <c r="P260" s="46">
        <f t="shared" ca="1" si="13"/>
        <v>9.8039215686274508E-4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input_405010!A$2</f>
        <v>405010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IFERROR(VLOOKUP(B261,input_405010!L:R,7,FALSE),VLOOKUP(tables_405010!C261,input_405010!A:H,8,FALSE))</f>
        <v>89000</v>
      </c>
      <c r="P261" s="46">
        <f t="shared" ca="1" si="13"/>
        <v>9.8039215686274508E-4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input_405010!A$2</f>
        <v>405010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IFERROR(VLOOKUP(B262,input_405010!L:R,7,FALSE),VLOOKUP(tables_405010!C262,input_405010!A:H,8,FALSE))</f>
        <v>84550</v>
      </c>
      <c r="P262" s="46">
        <f t="shared" ca="1" si="13"/>
        <v>9.3137254901960785E-4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input_405010!A$2</f>
        <v>405010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IFERROR(VLOOKUP(B263,input_405010!L:R,7,FALSE),VLOOKUP(tables_405010!C263,input_405010!A:H,8,FALSE))</f>
        <v>4450</v>
      </c>
      <c r="P263" s="46">
        <f t="shared" ca="1" si="13"/>
        <v>4.9019607843137253E-5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input_405010!A$2</f>
        <v>405010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IFERROR(VLOOKUP(B264,input_405010!L:R,7,FALSE),VLOOKUP(tables_405010!C264,input_405010!A:H,8,FALSE))</f>
        <v>84550</v>
      </c>
      <c r="P264" s="46">
        <f t="shared" ca="1" si="13"/>
        <v>9.3137254901960785E-4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input_405010!A$2</f>
        <v>405010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IFERROR(VLOOKUP(B265,input_405010!L:R,7,FALSE),VLOOKUP(tables_405010!C265,input_405010!A:H,8,FALSE))</f>
        <v>4450</v>
      </c>
      <c r="P265" s="46">
        <f t="shared" ca="1" si="13"/>
        <v>4.9019607843137253E-5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input_405010!A$2</f>
        <v>405010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IFERROR(VLOOKUP(B266,input_405010!L:R,7,FALSE),VLOOKUP(tables_405010!C266,input_405010!A:H,8,FALSE))</f>
        <v>484500</v>
      </c>
      <c r="P266" s="46">
        <f t="shared" ca="1" si="13"/>
        <v>5.3370786516853935E-3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input_405010!A$2</f>
        <v>405010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IFERROR(VLOOKUP(B267,input_405010!L:R,7,FALSE),VLOOKUP(tables_405010!C267,input_405010!A:H,8,FALSE))</f>
        <v>454812.5</v>
      </c>
      <c r="P267" s="46">
        <f t="shared" ca="1" si="13"/>
        <v>5.0100517735183958E-3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input_405010!A$2</f>
        <v>405010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IFERROR(VLOOKUP(B268,input_405010!L:R,7,FALSE),VLOOKUP(tables_405010!C268,input_405010!A:H,8,FALSE))</f>
        <v>29687.5</v>
      </c>
      <c r="P268" s="46">
        <f t="shared" ca="1" si="13"/>
        <v>3.2702687816699714E-4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input_405010!A$2</f>
        <v>405010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IFERROR(VLOOKUP(B269,input_405010!L:R,7,FALSE),VLOOKUP(tables_405010!C269,input_405010!A:H,8,FALSE))</f>
        <v>484500</v>
      </c>
      <c r="P269" s="46">
        <f t="shared" ca="1" si="13"/>
        <v>5.3370786516853935E-3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input_405010!A$2</f>
        <v>405010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IFERROR(VLOOKUP(B270,input_405010!L:R,7,FALSE),VLOOKUP(tables_405010!C270,input_405010!A:H,8,FALSE))</f>
        <v>454812.5</v>
      </c>
      <c r="P270" s="46">
        <f t="shared" ca="1" si="13"/>
        <v>5.0100517735183958E-3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input_405010!A$2</f>
        <v>405010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IFERROR(VLOOKUP(B271,input_405010!L:R,7,FALSE),VLOOKUP(tables_405010!C271,input_405010!A:H,8,FALSE))</f>
        <v>29687.5</v>
      </c>
      <c r="P271" s="46">
        <f t="shared" ca="1" si="13"/>
        <v>3.2702687816699714E-4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input_405010!A$2</f>
        <v>405010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IFERROR(VLOOKUP(B272,input_405010!L:R,7,FALSE),VLOOKUP(tables_405010!C272,input_405010!A:H,8,FALSE))</f>
        <v>89000</v>
      </c>
      <c r="P272" s="46">
        <f t="shared" ca="1" si="13"/>
        <v>9.8039215686274508E-4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input_405010!A$2</f>
        <v>405010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IFERROR(VLOOKUP(B273,input_405010!L:R,7,FALSE),VLOOKUP(tables_405010!C273,input_405010!A:H,8,FALSE))</f>
        <v>89000</v>
      </c>
      <c r="P273" s="46">
        <f t="shared" ca="1" si="13"/>
        <v>9.8039215686274508E-4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input_405010!A$2</f>
        <v>405010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IFERROR(VLOOKUP(B274,input_405010!L:R,7,FALSE),VLOOKUP(tables_405010!C274,input_405010!A:H,8,FALSE))</f>
        <v>920550</v>
      </c>
      <c r="P274" s="46">
        <f t="shared" ca="1" si="13"/>
        <v>1.0140449438202246E-2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input_405010!A$2</f>
        <v>405010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IFERROR(VLOOKUP(B275,input_405010!L:R,7,FALSE),VLOOKUP(tables_405010!C275,input_405010!A:H,8,FALSE))</f>
        <v>48450</v>
      </c>
      <c r="P275" s="46">
        <f t="shared" ca="1" si="13"/>
        <v>5.3370786516853937E-4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input_405010!A$2</f>
        <v>405010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IFERROR(VLOOKUP(B276,input_405010!L:R,7,FALSE),VLOOKUP(tables_405010!C276,input_405010!A:H,8,FALSE))</f>
        <v>920550</v>
      </c>
      <c r="P276" s="46">
        <f t="shared" ca="1" si="13"/>
        <v>1.0140449438202246E-2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input_405010!A$2</f>
        <v>405010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IFERROR(VLOOKUP(B277,input_405010!L:R,7,FALSE),VLOOKUP(tables_405010!C277,input_405010!A:H,8,FALSE))</f>
        <v>48450</v>
      </c>
      <c r="P277" s="46">
        <f t="shared" ca="1" si="13"/>
        <v>5.3370786516853937E-4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input_405010!A$2</f>
        <v>405010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IFERROR(VLOOKUP(B278,input_405010!L:R,7,FALSE),VLOOKUP(tables_405010!C278,input_405010!A:H,8,FALSE))</f>
        <v>920550</v>
      </c>
      <c r="P278" s="46">
        <f t="shared" ca="1" si="13"/>
        <v>1.0140449438202246E-2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input_405010!A$2</f>
        <v>405010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IFERROR(VLOOKUP(B279,input_405010!L:R,7,FALSE),VLOOKUP(tables_405010!C279,input_405010!A:H,8,FALSE))</f>
        <v>48450</v>
      </c>
      <c r="P279" s="46">
        <f t="shared" ca="1" si="13"/>
        <v>5.3370786516853937E-4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input_405010!A$2</f>
        <v>405010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IFERROR(VLOOKUP(B280,input_405010!L:R,7,FALSE),VLOOKUP(tables_405010!C280,input_405010!A:H,8,FALSE))</f>
        <v>920550</v>
      </c>
      <c r="P280" s="46">
        <f t="shared" ca="1" si="13"/>
        <v>1.0140449438202246E-2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input_405010!A$2</f>
        <v>405010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IFERROR(VLOOKUP(B281,input_405010!L:R,7,FALSE),VLOOKUP(tables_405010!C281,input_405010!A:H,8,FALSE))</f>
        <v>48450</v>
      </c>
      <c r="P281" s="46">
        <f t="shared" ca="1" si="13"/>
        <v>5.3370786516853937E-4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input_405010!A$2</f>
        <v>405010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IFERROR(VLOOKUP(B282,input_405010!L:R,7,FALSE),VLOOKUP(tables_405010!C282,input_405010!A:H,8,FALSE))</f>
        <v>89000</v>
      </c>
      <c r="P282" s="46">
        <f t="shared" ca="1" si="13"/>
        <v>9.8039215686274508E-4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input_405010!A$2</f>
        <v>405010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IFERROR(VLOOKUP(B283,input_405010!L:R,7,FALSE),VLOOKUP(tables_405010!C283,input_405010!A:H,8,FALSE))</f>
        <v>89000</v>
      </c>
      <c r="P283" s="46">
        <f t="shared" ca="1" si="13"/>
        <v>9.8039215686274508E-4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input_405010!A$2</f>
        <v>405010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IFERROR(VLOOKUP(B284,input_405010!L:R,7,FALSE),VLOOKUP(tables_405010!C284,input_405010!A:H,8,FALSE))</f>
        <v>89000</v>
      </c>
      <c r="P284" s="46">
        <f t="shared" ca="1" si="13"/>
        <v>9.8039215686274508E-4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input_405010!A$2</f>
        <v>405010</v>
      </c>
      <c r="B285" s="5">
        <v>744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IFERROR(VLOOKUP(B285,input_405010!L:R,7,FALSE),VLOOKUP(tables_405010!C285,input_405010!A:H,8,FALSE))</f>
        <v>89000</v>
      </c>
      <c r="P285" s="46">
        <f t="shared" ca="1" si="13"/>
        <v>9.8039215686274508E-4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input_405010!A$2</f>
        <v>405010</v>
      </c>
      <c r="B286" s="5">
        <v>746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IFERROR(VLOOKUP(B286,input_405010!L:R,7,FALSE),VLOOKUP(tables_405010!C286,input_405010!A:H,8,FALSE))</f>
        <v>920550</v>
      </c>
      <c r="P286" s="46">
        <f t="shared" ca="1" si="13"/>
        <v>1.0140449438202246E-2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input_405010!A$2</f>
        <v>405010</v>
      </c>
      <c r="B287" s="5">
        <v>747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IFERROR(VLOOKUP(B287,input_405010!L:R,7,FALSE),VLOOKUP(tables_405010!C287,input_405010!A:H,8,FALSE))</f>
        <v>48450</v>
      </c>
      <c r="P287" s="46">
        <f t="shared" ca="1" si="13"/>
        <v>5.3370786516853937E-4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input_405010!A$2</f>
        <v>405010</v>
      </c>
      <c r="B288" s="5">
        <v>748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IFERROR(VLOOKUP(B288,input_405010!L:R,7,FALSE),VLOOKUP(tables_405010!C288,input_405010!A:H,8,FALSE))</f>
        <v>920550</v>
      </c>
      <c r="P288" s="46">
        <f t="shared" ca="1" si="13"/>
        <v>1.0140449438202246E-2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input_405010!A$2</f>
        <v>405010</v>
      </c>
      <c r="B289" s="5">
        <v>749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IFERROR(VLOOKUP(B289,input_405010!L:R,7,FALSE),VLOOKUP(tables_405010!C289,input_405010!A:H,8,FALSE))</f>
        <v>48450</v>
      </c>
      <c r="P289" s="46">
        <f t="shared" ca="1" si="13"/>
        <v>5.3370786516853937E-4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input_405010!A$2</f>
        <v>405010</v>
      </c>
      <c r="B290" s="5">
        <v>937</v>
      </c>
      <c r="C290" s="7" t="str">
        <f t="shared" ref="C290:C294" si="16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IFERROR(VLOOKUP(B290,input_405010!L:R,7,FALSE),VLOOKUP(tables_405010!C290,input_405010!A:H,8,FALSE))</f>
        <v>89000</v>
      </c>
      <c r="P290" s="46">
        <f t="shared" ca="1" si="13"/>
        <v>9.8039215686274508E-4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input_405010!A$2</f>
        <v>405010</v>
      </c>
      <c r="B291" s="5">
        <v>939</v>
      </c>
      <c r="C291" s="7" t="str">
        <f t="shared" si="16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IFERROR(VLOOKUP(B291,input_405010!L:R,7,FALSE),VLOOKUP(tables_405010!C291,input_405010!A:H,8,FALSE))</f>
        <v>920550</v>
      </c>
      <c r="P291" s="46">
        <f t="shared" ca="1" si="13"/>
        <v>1.0140449438202246E-2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input_405010!A$2</f>
        <v>405010</v>
      </c>
      <c r="B292" s="5">
        <v>940</v>
      </c>
      <c r="C292" s="7" t="str">
        <f t="shared" si="16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IFERROR(VLOOKUP(B292,input_405010!L:R,7,FALSE),VLOOKUP(tables_405010!C292,input_405010!A:H,8,FALSE))</f>
        <v>48450</v>
      </c>
      <c r="P292" s="46">
        <f t="shared" ca="1" si="13"/>
        <v>5.3370786516853937E-4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input_405010!A$2</f>
        <v>405010</v>
      </c>
      <c r="B293" s="5">
        <v>941</v>
      </c>
      <c r="C293" s="7" t="str">
        <f t="shared" si="16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IFERROR(VLOOKUP(B293,input_405010!L:R,7,FALSE),VLOOKUP(tables_405010!C293,input_405010!A:H,8,FALSE))</f>
        <v>89000</v>
      </c>
      <c r="P293" s="46">
        <f t="shared" ca="1" si="13"/>
        <v>9.8039215686274508E-4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input_405010!A$2</f>
        <v>405010</v>
      </c>
      <c r="B294" s="5">
        <v>943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IFERROR(VLOOKUP(B294,input_405010!L:R,7,FALSE),VLOOKUP(tables_405010!C294,input_405010!A:H,8,FALSE))</f>
        <v>89000</v>
      </c>
      <c r="P294" s="46">
        <f t="shared" ca="1" si="13"/>
        <v>9.8039215686274508E-4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input_405010!A$2</f>
        <v>405010</v>
      </c>
      <c r="B295" s="5">
        <v>1012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IFERROR(VLOOKUP(B295,input_405010!L:R,7,FALSE),VLOOKUP(tables_405010!C295,input_405010!A:H,8,FALSE))</f>
        <v>89000</v>
      </c>
      <c r="P295" s="46">
        <f t="shared" ref="P295:P299" ca="1" si="18">O295/SUM(O:O)</f>
        <v>9.8039215686274508E-4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input_405010!A$2</f>
        <v>405010</v>
      </c>
      <c r="B296" s="5">
        <v>1014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IFERROR(VLOOKUP(B296,input_405010!L:R,7,FALSE),VLOOKUP(tables_405010!C296,input_405010!A:H,8,FALSE))</f>
        <v>89000</v>
      </c>
      <c r="P296" s="46">
        <f t="shared" ca="1" si="18"/>
        <v>9.8039215686274508E-4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input_405010!A$2</f>
        <v>405010</v>
      </c>
      <c r="B297" s="5">
        <v>1016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IFERROR(VLOOKUP(B297,input_405010!L:R,7,FALSE),VLOOKUP(tables_405010!C297,input_405010!A:H,8,FALSE))</f>
        <v>920550</v>
      </c>
      <c r="P297" s="46">
        <f t="shared" ca="1" si="18"/>
        <v>1.0140449438202246E-2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input_405010!A$2</f>
        <v>405010</v>
      </c>
      <c r="B298" s="5">
        <v>1017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IFERROR(VLOOKUP(B298,input_405010!L:R,7,FALSE),VLOOKUP(tables_405010!C298,input_405010!A:H,8,FALSE))</f>
        <v>48450</v>
      </c>
      <c r="P298" s="46">
        <f t="shared" ca="1" si="18"/>
        <v>5.3370786516853937E-4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input_405010!A$2</f>
        <v>405010</v>
      </c>
      <c r="B299" s="5">
        <v>1018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IFERROR(VLOOKUP(B299,input_405010!L:R,7,FALSE),VLOOKUP(tables_405010!C299,input_405010!A:H,8,FALSE))</f>
        <v>89000</v>
      </c>
      <c r="P299" s="46">
        <f t="shared" ca="1" si="18"/>
        <v>9.8039215686274508E-4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input_405010!A$2</f>
        <v>405010</v>
      </c>
      <c r="B300" s="5">
        <v>1026</v>
      </c>
      <c r="C300" s="7" t="str">
        <f t="shared" ref="C300:C304" si="19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IFERROR(VLOOKUP(B300,input_405010!L:R,7,FALSE),VLOOKUP(tables_405010!C300,input_405010!A:H,8,FALSE))</f>
        <v>920550</v>
      </c>
      <c r="P300" s="46">
        <f t="shared" ref="P300:P304" ca="1" si="20">O300/SUM(O:O)</f>
        <v>1.0140449438202246E-2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input_405010!A$2</f>
        <v>405010</v>
      </c>
      <c r="B301" s="5">
        <v>1027</v>
      </c>
      <c r="C301" s="7" t="str">
        <f t="shared" si="19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IFERROR(VLOOKUP(B301,input_405010!L:R,7,FALSE),VLOOKUP(tables_405010!C301,input_405010!A:H,8,FALSE))</f>
        <v>48450</v>
      </c>
      <c r="P301" s="46">
        <f t="shared" ca="1" si="20"/>
        <v>5.3370786516853937E-4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input_405010!A$2</f>
        <v>405010</v>
      </c>
      <c r="B302" s="5">
        <v>1028</v>
      </c>
      <c r="C302" s="7" t="str">
        <f t="shared" si="19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IFERROR(VLOOKUP(B302,input_405010!L:R,7,FALSE),VLOOKUP(tables_405010!C302,input_405010!A:H,8,FALSE))</f>
        <v>89000</v>
      </c>
      <c r="P302" s="46">
        <f t="shared" ca="1" si="20"/>
        <v>9.8039215686274508E-4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input_405010!A$2</f>
        <v>405010</v>
      </c>
      <c r="B303" s="5">
        <v>1031</v>
      </c>
      <c r="C303" s="7" t="str">
        <f t="shared" si="19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IFERROR(VLOOKUP(B303,input_405010!L:R,7,FALSE),VLOOKUP(tables_405010!C303,input_405010!A:H,8,FALSE))</f>
        <v>89000</v>
      </c>
      <c r="P303" s="46">
        <f t="shared" ca="1" si="20"/>
        <v>9.8039215686274508E-4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input_405010!A$2</f>
        <v>405010</v>
      </c>
      <c r="B304" s="5">
        <v>1033</v>
      </c>
      <c r="C304" s="7" t="str">
        <f t="shared" si="19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IFERROR(VLOOKUP(B304,input_405010!L:R,7,FALSE),VLOOKUP(tables_405010!C304,input_405010!A:H,8,FALSE))</f>
        <v>89000</v>
      </c>
      <c r="P304" s="46">
        <f t="shared" ca="1" si="20"/>
        <v>9.8039215686274508E-4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input_405010!A$2</f>
        <v>405010</v>
      </c>
      <c r="B305" s="5">
        <v>1067</v>
      </c>
      <c r="C305" s="7" t="str">
        <f t="shared" ref="C305:C309" si="21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IFERROR(VLOOKUP(B305,input_405010!L:R,7,FALSE),VLOOKUP(tables_405010!C305,input_405010!A:H,8,FALSE))</f>
        <v>920550</v>
      </c>
      <c r="P305" s="46">
        <f t="shared" ref="P305:P309" ca="1" si="22">O305/SUM(O:O)</f>
        <v>1.0140449438202246E-2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input_405010!A$2</f>
        <v>405010</v>
      </c>
      <c r="B306" s="5">
        <v>1068</v>
      </c>
      <c r="C306" s="7" t="str">
        <f t="shared" si="21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IFERROR(VLOOKUP(B306,input_405010!L:R,7,FALSE),VLOOKUP(tables_405010!C306,input_405010!A:H,8,FALSE))</f>
        <v>48450</v>
      </c>
      <c r="P306" s="46">
        <f t="shared" ca="1" si="22"/>
        <v>5.3370786516853937E-4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input_405010!A$2</f>
        <v>405010</v>
      </c>
      <c r="B307" s="5">
        <v>1069</v>
      </c>
      <c r="C307" s="7" t="str">
        <f t="shared" si="21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IFERROR(VLOOKUP(B307,input_405010!L:R,7,FALSE),VLOOKUP(tables_405010!C307,input_405010!A:H,8,FALSE))</f>
        <v>89000</v>
      </c>
      <c r="P307" s="46">
        <f t="shared" ca="1" si="22"/>
        <v>9.8039215686274508E-4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input_405010!A$2</f>
        <v>405010</v>
      </c>
      <c r="B308" s="5">
        <v>1072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IFERROR(VLOOKUP(B308,input_405010!L:R,7,FALSE),VLOOKUP(tables_405010!C308,input_405010!A:H,8,FALSE))</f>
        <v>89000</v>
      </c>
      <c r="P308" s="46">
        <f t="shared" ca="1" si="22"/>
        <v>9.8039215686274508E-4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input_405010!A$2</f>
        <v>405010</v>
      </c>
      <c r="B309" s="5">
        <v>1074</v>
      </c>
      <c r="C309" s="7" t="str">
        <f t="shared" si="21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IFERROR(VLOOKUP(B309,input_405010!L:R,7,FALSE),VLOOKUP(tables_405010!C309,input_405010!A:H,8,FALSE))</f>
        <v>89000</v>
      </c>
      <c r="P309" s="46">
        <f t="shared" ca="1" si="22"/>
        <v>9.8039215686274508E-4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input_405010!A$2</f>
        <v>405010</v>
      </c>
      <c r="B310" s="5">
        <v>1104</v>
      </c>
      <c r="C310" s="7" t="str">
        <f t="shared" ref="C310:C314" si="23">D310&amp;J310&amp;E310&amp;F310&amp;G310</f>
        <v>Premium4R3less</v>
      </c>
      <c r="D310" s="7" t="str">
        <f t="shared" ref="D310:D314" si="24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IFERROR(VLOOKUP(B310,input_405010!L:R,7,FALSE),VLOOKUP(tables_405010!C310,input_405010!A:H,8,FALSE))</f>
        <v>920550</v>
      </c>
      <c r="P310" s="46">
        <f t="shared" ref="P310:P314" ca="1" si="25">O310/SUM(O:O)</f>
        <v>1.0140449438202246E-2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input_405010!A$2</f>
        <v>405010</v>
      </c>
      <c r="B311" s="5">
        <v>1105</v>
      </c>
      <c r="C311" s="7" t="str">
        <f t="shared" si="23"/>
        <v>Premium5R3less</v>
      </c>
      <c r="D311" s="7" t="str">
        <f t="shared" si="2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IFERROR(VLOOKUP(B311,input_405010!L:R,7,FALSE),VLOOKUP(tables_405010!C311,input_405010!A:H,8,FALSE))</f>
        <v>48450</v>
      </c>
      <c r="P311" s="46">
        <f t="shared" ca="1" si="25"/>
        <v>5.3370786516853937E-4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input_405010!A$2</f>
        <v>405010</v>
      </c>
      <c r="B312" s="5">
        <v>1106</v>
      </c>
      <c r="C312" s="7" t="str">
        <f t="shared" si="23"/>
        <v>PremiumSS5R5only</v>
      </c>
      <c r="D312" s="7" t="str">
        <f t="shared" si="2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IFERROR(VLOOKUP(B312,input_405010!L:R,7,FALSE),VLOOKUP(tables_405010!C312,input_405010!A:H,8,FALSE))</f>
        <v>89000</v>
      </c>
      <c r="P312" s="46">
        <f t="shared" ca="1" si="25"/>
        <v>9.8039215686274508E-4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input_405010!A$2</f>
        <v>405010</v>
      </c>
      <c r="B313" s="5">
        <v>1102</v>
      </c>
      <c r="C313" s="7" t="str">
        <f t="shared" si="23"/>
        <v>PremiumSS5R5only</v>
      </c>
      <c r="D313" s="7" t="str">
        <f t="shared" si="2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IFERROR(VLOOKUP(B313,input_405010!L:R,7,FALSE),VLOOKUP(tables_405010!C313,input_405010!A:H,8,FALSE))</f>
        <v>89000</v>
      </c>
      <c r="P313" s="46">
        <f t="shared" ca="1" si="25"/>
        <v>9.8039215686274508E-4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input_405010!A$2</f>
        <v>405010</v>
      </c>
      <c r="B314" s="5">
        <v>1100</v>
      </c>
      <c r="C314" s="7" t="str">
        <f t="shared" si="23"/>
        <v>PremiumSS5R5only</v>
      </c>
      <c r="D314" s="7" t="str">
        <f t="shared" si="2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IFERROR(VLOOKUP(B314,input_405010!L:R,7,FALSE),VLOOKUP(tables_405010!C314,input_405010!A:H,8,FALSE))</f>
        <v>89000</v>
      </c>
      <c r="P314" s="46">
        <f t="shared" ca="1" si="25"/>
        <v>9.8039215686274508E-4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291" activePane="bottomLeft" state="frozen"/>
      <selection activeCell="H276" sqref="H276"/>
      <selection pane="bottomLeft" activeCell="C309" sqref="C309:V3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input_405011!A$2</f>
        <v>405011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IFERROR(VLOOKUP(B2,input_405011!L:R,7,FALSE),VLOOKUP(tables_405011!C2,input_405011!A:H,8,FALSE))</f>
        <v>884340</v>
      </c>
      <c r="P2" s="46">
        <f t="shared" ref="P2:P65" ca="1" si="1">O2/SUM(O:O)</f>
        <v>9.7415730337078645E-3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input_405011!A$2</f>
        <v>405011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IFERROR(VLOOKUP(B3,input_405011!L:R,7,FALSE),VLOOKUP(tables_405011!C3,input_405011!A:H,8,FALSE))</f>
        <v>105060</v>
      </c>
      <c r="P3" s="46">
        <f t="shared" ca="1" si="1"/>
        <v>1.1573033707865169E-3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input_405011!A$2</f>
        <v>405011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IFERROR(VLOOKUP(B4,input_405011!L:R,7,FALSE),VLOOKUP(tables_405011!C4,input_405011!A:H,8,FALSE))</f>
        <v>884340</v>
      </c>
      <c r="P4" s="46">
        <f t="shared" ca="1" si="1"/>
        <v>9.7415730337078645E-3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input_405011!A$2</f>
        <v>405011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IFERROR(VLOOKUP(B5,input_405011!L:R,7,FALSE),VLOOKUP(tables_405011!C5,input_405011!A:H,8,FALSE))</f>
        <v>105060</v>
      </c>
      <c r="P5" s="46">
        <f t="shared" ca="1" si="1"/>
        <v>1.1573033707865169E-3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input_405011!A$2</f>
        <v>405011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IFERROR(VLOOKUP(B6,input_405011!L:R,7,FALSE),VLOOKUP(tables_405011!C6,input_405011!A:H,8,FALSE))</f>
        <v>884340</v>
      </c>
      <c r="P6" s="46">
        <f t="shared" ca="1" si="1"/>
        <v>9.7415730337078645E-3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input_405011!A$2</f>
        <v>405011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IFERROR(VLOOKUP(B7,input_405011!L:R,7,FALSE),VLOOKUP(tables_405011!C7,input_405011!A:H,8,FALSE))</f>
        <v>105060</v>
      </c>
      <c r="P7" s="46">
        <f t="shared" ca="1" si="1"/>
        <v>1.1573033707865169E-3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input_405011!A$2</f>
        <v>405011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IFERROR(VLOOKUP(B8,input_405011!L:R,7,FALSE),VLOOKUP(tables_405011!C8,input_405011!A:H,8,FALSE))</f>
        <v>884340</v>
      </c>
      <c r="P8" s="46">
        <f t="shared" ca="1" si="1"/>
        <v>9.7415730337078645E-3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input_405011!A$2</f>
        <v>405011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IFERROR(VLOOKUP(B9,input_405011!L:R,7,FALSE),VLOOKUP(tables_405011!C9,input_405011!A:H,8,FALSE))</f>
        <v>105060</v>
      </c>
      <c r="P9" s="46">
        <f t="shared" ca="1" si="1"/>
        <v>1.1573033707865169E-3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input_405011!A$2</f>
        <v>405011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IFERROR(VLOOKUP(B10,input_405011!L:R,7,FALSE),VLOOKUP(tables_405011!C10,input_405011!A:H,8,FALSE))</f>
        <v>884340</v>
      </c>
      <c r="P10" s="46">
        <f t="shared" ca="1" si="1"/>
        <v>9.7415730337078645E-3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input_405011!A$2</f>
        <v>405011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IFERROR(VLOOKUP(B11,input_405011!L:R,7,FALSE),VLOOKUP(tables_405011!C11,input_405011!A:H,8,FALSE))</f>
        <v>105060</v>
      </c>
      <c r="P11" s="46">
        <f t="shared" ca="1" si="1"/>
        <v>1.1573033707865169E-3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input_405011!A$2</f>
        <v>405011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IFERROR(VLOOKUP(B12,input_405011!L:R,7,FALSE),VLOOKUP(tables_405011!C12,input_405011!A:H,8,FALSE))</f>
        <v>884340</v>
      </c>
      <c r="P12" s="46">
        <f t="shared" ca="1" si="1"/>
        <v>9.7415730337078645E-3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input_405011!A$2</f>
        <v>405011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IFERROR(VLOOKUP(B13,input_405011!L:R,7,FALSE),VLOOKUP(tables_405011!C13,input_405011!A:H,8,FALSE))</f>
        <v>105060</v>
      </c>
      <c r="P13" s="46">
        <f t="shared" ca="1" si="1"/>
        <v>1.1573033707865169E-3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input_405011!A$2</f>
        <v>405011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IFERROR(VLOOKUP(B14,input_405011!L:R,7,FALSE),VLOOKUP(tables_405011!C14,input_405011!A:H,8,FALSE))</f>
        <v>884340</v>
      </c>
      <c r="P14" s="46">
        <f t="shared" ca="1" si="1"/>
        <v>9.7415730337078645E-3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input_405011!A$2</f>
        <v>405011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IFERROR(VLOOKUP(B15,input_405011!L:R,7,FALSE),VLOOKUP(tables_405011!C15,input_405011!A:H,8,FALSE))</f>
        <v>105060</v>
      </c>
      <c r="P15" s="46">
        <f t="shared" ca="1" si="1"/>
        <v>1.1573033707865169E-3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input_405011!A$2</f>
        <v>405011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IFERROR(VLOOKUP(B16,input_405011!L:R,7,FALSE),VLOOKUP(tables_405011!C16,input_405011!A:H,8,FALSE))</f>
        <v>884340</v>
      </c>
      <c r="P16" s="46">
        <f t="shared" ca="1" si="1"/>
        <v>9.7415730337078645E-3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input_405011!A$2</f>
        <v>405011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IFERROR(VLOOKUP(B17,input_405011!L:R,7,FALSE),VLOOKUP(tables_405011!C17,input_405011!A:H,8,FALSE))</f>
        <v>105060</v>
      </c>
      <c r="P17" s="46">
        <f t="shared" ca="1" si="1"/>
        <v>1.1573033707865169E-3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input_405011!A$2</f>
        <v>405011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IFERROR(VLOOKUP(B18,input_405011!L:R,7,FALSE),VLOOKUP(tables_405011!C18,input_405011!A:H,8,FALSE))</f>
        <v>884340</v>
      </c>
      <c r="P18" s="46">
        <f t="shared" ca="1" si="1"/>
        <v>9.7415730337078645E-3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input_405011!A$2</f>
        <v>405011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IFERROR(VLOOKUP(B19,input_405011!L:R,7,FALSE),VLOOKUP(tables_405011!C19,input_405011!A:H,8,FALSE))</f>
        <v>105060</v>
      </c>
      <c r="P19" s="46">
        <f t="shared" ca="1" si="1"/>
        <v>1.1573033707865169E-3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input_405011!A$2</f>
        <v>405011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IFERROR(VLOOKUP(B20,input_405011!L:R,7,FALSE),VLOOKUP(tables_405011!C20,input_405011!A:H,8,FALSE))</f>
        <v>884340</v>
      </c>
      <c r="P20" s="46">
        <f t="shared" ca="1" si="1"/>
        <v>9.7415730337078645E-3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input_405011!A$2</f>
        <v>405011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IFERROR(VLOOKUP(B21,input_405011!L:R,7,FALSE),VLOOKUP(tables_405011!C21,input_405011!A:H,8,FALSE))</f>
        <v>105060</v>
      </c>
      <c r="P21" s="46">
        <f t="shared" ca="1" si="1"/>
        <v>1.1573033707865169E-3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input_405011!A$2</f>
        <v>405011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IFERROR(VLOOKUP(B22,input_405011!L:R,7,FALSE),VLOOKUP(tables_405011!C22,input_405011!A:H,8,FALSE))</f>
        <v>884340</v>
      </c>
      <c r="P22" s="46">
        <f t="shared" ca="1" si="1"/>
        <v>9.7415730337078645E-3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input_405011!A$2</f>
        <v>405011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IFERROR(VLOOKUP(B23,input_405011!L:R,7,FALSE),VLOOKUP(tables_405011!C23,input_405011!A:H,8,FALSE))</f>
        <v>105060</v>
      </c>
      <c r="P23" s="46">
        <f t="shared" ca="1" si="1"/>
        <v>1.1573033707865169E-3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input_405011!A$2</f>
        <v>405011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IFERROR(VLOOKUP(B24,input_405011!L:R,7,FALSE),VLOOKUP(tables_405011!C24,input_405011!A:H,8,FALSE))</f>
        <v>884340</v>
      </c>
      <c r="P24" s="46">
        <f t="shared" ca="1" si="1"/>
        <v>9.7415730337078645E-3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input_405011!A$2</f>
        <v>405011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IFERROR(VLOOKUP(B25,input_405011!L:R,7,FALSE),VLOOKUP(tables_405011!C25,input_405011!A:H,8,FALSE))</f>
        <v>105060</v>
      </c>
      <c r="P25" s="46">
        <f t="shared" ca="1" si="1"/>
        <v>1.1573033707865169E-3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input_405011!A$2</f>
        <v>405011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IFERROR(VLOOKUP(B26,input_405011!L:R,7,FALSE),VLOOKUP(tables_405011!C26,input_405011!A:H,8,FALSE))</f>
        <v>884340</v>
      </c>
      <c r="P26" s="46">
        <f t="shared" ca="1" si="1"/>
        <v>9.7415730337078645E-3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input_405011!A$2</f>
        <v>405011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IFERROR(VLOOKUP(B27,input_405011!L:R,7,FALSE),VLOOKUP(tables_405011!C27,input_405011!A:H,8,FALSE))</f>
        <v>105060</v>
      </c>
      <c r="P27" s="46">
        <f t="shared" ca="1" si="1"/>
        <v>1.1573033707865169E-3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input_405011!A$2</f>
        <v>405011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IFERROR(VLOOKUP(B28,input_405011!L:R,7,FALSE),VLOOKUP(tables_405011!C28,input_405011!A:H,8,FALSE))</f>
        <v>884340</v>
      </c>
      <c r="P28" s="46">
        <f t="shared" ca="1" si="1"/>
        <v>9.7415730337078645E-3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input_405011!A$2</f>
        <v>405011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IFERROR(VLOOKUP(B29,input_405011!L:R,7,FALSE),VLOOKUP(tables_405011!C29,input_405011!A:H,8,FALSE))</f>
        <v>105060</v>
      </c>
      <c r="P29" s="46">
        <f t="shared" ca="1" si="1"/>
        <v>1.1573033707865169E-3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input_405011!A$2</f>
        <v>405011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IFERROR(VLOOKUP(B30,input_405011!L:R,7,FALSE),VLOOKUP(tables_405011!C30,input_405011!A:H,8,FALSE))</f>
        <v>884340</v>
      </c>
      <c r="P30" s="46">
        <f t="shared" ca="1" si="1"/>
        <v>9.7415730337078645E-3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input_405011!A$2</f>
        <v>405011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IFERROR(VLOOKUP(B31,input_405011!L:R,7,FALSE),VLOOKUP(tables_405011!C31,input_405011!A:H,8,FALSE))</f>
        <v>105060</v>
      </c>
      <c r="P31" s="46">
        <f t="shared" ca="1" si="1"/>
        <v>1.1573033707865169E-3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input_405011!A$2</f>
        <v>405011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IFERROR(VLOOKUP(B32,input_405011!L:R,7,FALSE),VLOOKUP(tables_405011!C32,input_405011!A:H,8,FALSE))</f>
        <v>884340</v>
      </c>
      <c r="P32" s="46">
        <f t="shared" ca="1" si="1"/>
        <v>9.7415730337078645E-3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input_405011!A$2</f>
        <v>405011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IFERROR(VLOOKUP(B33,input_405011!L:R,7,FALSE),VLOOKUP(tables_405011!C33,input_405011!A:H,8,FALSE))</f>
        <v>105060</v>
      </c>
      <c r="P33" s="46">
        <f t="shared" ca="1" si="1"/>
        <v>1.1573033707865169E-3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input_405011!A$2</f>
        <v>405011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IFERROR(VLOOKUP(B34,input_405011!L:R,7,FALSE),VLOOKUP(tables_405011!C34,input_405011!A:H,8,FALSE))</f>
        <v>884340</v>
      </c>
      <c r="P34" s="46">
        <f t="shared" ca="1" si="1"/>
        <v>9.7415730337078645E-3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input_405011!A$2</f>
        <v>405011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IFERROR(VLOOKUP(B35,input_405011!L:R,7,FALSE),VLOOKUP(tables_405011!C35,input_405011!A:H,8,FALSE))</f>
        <v>105060</v>
      </c>
      <c r="P35" s="46">
        <f t="shared" ca="1" si="1"/>
        <v>1.1573033707865169E-3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input_405011!A$2</f>
        <v>405011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IFERROR(VLOOKUP(B36,input_405011!L:R,7,FALSE),VLOOKUP(tables_405011!C36,input_405011!A:H,8,FALSE))</f>
        <v>884340</v>
      </c>
      <c r="P36" s="46">
        <f t="shared" ca="1" si="1"/>
        <v>9.7415730337078645E-3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input_405011!A$2</f>
        <v>405011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IFERROR(VLOOKUP(B37,input_405011!L:R,7,FALSE),VLOOKUP(tables_405011!C37,input_405011!A:H,8,FALSE))</f>
        <v>105060</v>
      </c>
      <c r="P37" s="46">
        <f t="shared" ca="1" si="1"/>
        <v>1.1573033707865169E-3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input_405011!A$2</f>
        <v>405011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IFERROR(VLOOKUP(B38,input_405011!L:R,7,FALSE),VLOOKUP(tables_405011!C38,input_405011!A:H,8,FALSE))</f>
        <v>884340</v>
      </c>
      <c r="P38" s="46">
        <f t="shared" ca="1" si="1"/>
        <v>9.7415730337078645E-3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input_405011!A$2</f>
        <v>405011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IFERROR(VLOOKUP(B39,input_405011!L:R,7,FALSE),VLOOKUP(tables_405011!C39,input_405011!A:H,8,FALSE))</f>
        <v>105060</v>
      </c>
      <c r="P39" s="46">
        <f t="shared" ca="1" si="1"/>
        <v>1.1573033707865169E-3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input_405011!A$2</f>
        <v>405011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IFERROR(VLOOKUP(B40,input_405011!L:R,7,FALSE),VLOOKUP(tables_405011!C40,input_405011!A:H,8,FALSE))</f>
        <v>884340</v>
      </c>
      <c r="P40" s="46">
        <f t="shared" ca="1" si="1"/>
        <v>9.7415730337078645E-3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input_405011!A$2</f>
        <v>405011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IFERROR(VLOOKUP(B41,input_405011!L:R,7,FALSE),VLOOKUP(tables_405011!C41,input_405011!A:H,8,FALSE))</f>
        <v>105060</v>
      </c>
      <c r="P41" s="46">
        <f t="shared" ca="1" si="1"/>
        <v>1.1573033707865169E-3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input_405011!A$2</f>
        <v>405011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IFERROR(VLOOKUP(B42,input_405011!L:R,7,FALSE),VLOOKUP(tables_405011!C42,input_405011!A:H,8,FALSE))</f>
        <v>494700</v>
      </c>
      <c r="P42" s="46">
        <f t="shared" ca="1" si="1"/>
        <v>5.4494382022471912E-3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input_405011!A$2</f>
        <v>405011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IFERROR(VLOOKUP(B43,input_405011!L:R,7,FALSE),VLOOKUP(tables_405011!C43,input_405011!A:H,8,FALSE))</f>
        <v>445230</v>
      </c>
      <c r="P43" s="46">
        <f t="shared" ca="1" si="1"/>
        <v>4.9044943820224715E-3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input_405011!A$2</f>
        <v>405011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IFERROR(VLOOKUP(B44,input_405011!L:R,7,FALSE),VLOOKUP(tables_405011!C44,input_405011!A:H,8,FALSE))</f>
        <v>49470</v>
      </c>
      <c r="P44" s="46">
        <f t="shared" ca="1" si="1"/>
        <v>5.4494382022471908E-4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input_405011!A$2</f>
        <v>405011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IFERROR(VLOOKUP(B45,input_405011!L:R,7,FALSE),VLOOKUP(tables_405011!C45,input_405011!A:H,8,FALSE))</f>
        <v>494700</v>
      </c>
      <c r="P45" s="46">
        <f t="shared" ca="1" si="1"/>
        <v>5.4494382022471912E-3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input_405011!A$2</f>
        <v>405011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IFERROR(VLOOKUP(B46,input_405011!L:R,7,FALSE),VLOOKUP(tables_405011!C46,input_405011!A:H,8,FALSE))</f>
        <v>445230</v>
      </c>
      <c r="P46" s="46">
        <f t="shared" ca="1" si="1"/>
        <v>4.9044943820224715E-3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input_405011!A$2</f>
        <v>405011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IFERROR(VLOOKUP(B47,input_405011!L:R,7,FALSE),VLOOKUP(tables_405011!C47,input_405011!A:H,8,FALSE))</f>
        <v>49470</v>
      </c>
      <c r="P47" s="46">
        <f t="shared" ca="1" si="1"/>
        <v>5.4494382022471908E-4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input_405011!A$2</f>
        <v>405011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IFERROR(VLOOKUP(B48,input_405011!L:R,7,FALSE),VLOOKUP(tables_405011!C48,input_405011!A:H,8,FALSE))</f>
        <v>494700</v>
      </c>
      <c r="P48" s="46">
        <f t="shared" ca="1" si="1"/>
        <v>5.4494382022471912E-3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input_405011!A$2</f>
        <v>405011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IFERROR(VLOOKUP(B49,input_405011!L:R,7,FALSE),VLOOKUP(tables_405011!C49,input_405011!A:H,8,FALSE))</f>
        <v>445230</v>
      </c>
      <c r="P49" s="46">
        <f t="shared" ca="1" si="1"/>
        <v>4.9044943820224715E-3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input_405011!A$2</f>
        <v>405011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IFERROR(VLOOKUP(B50,input_405011!L:R,7,FALSE),VLOOKUP(tables_405011!C50,input_405011!A:H,8,FALSE))</f>
        <v>49470</v>
      </c>
      <c r="P50" s="46">
        <f t="shared" ca="1" si="1"/>
        <v>5.4494382022471908E-4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input_405011!A$2</f>
        <v>405011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IFERROR(VLOOKUP(B51,input_405011!L:R,7,FALSE),VLOOKUP(tables_405011!C51,input_405011!A:H,8,FALSE))</f>
        <v>494700</v>
      </c>
      <c r="P51" s="46">
        <f t="shared" ca="1" si="1"/>
        <v>5.4494382022471912E-3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input_405011!A$2</f>
        <v>405011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IFERROR(VLOOKUP(B52,input_405011!L:R,7,FALSE),VLOOKUP(tables_405011!C52,input_405011!A:H,8,FALSE))</f>
        <v>446717.87150000001</v>
      </c>
      <c r="P52" s="46">
        <f t="shared" ca="1" si="1"/>
        <v>4.9208842421238162E-3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input_405011!A$2</f>
        <v>405011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IFERROR(VLOOKUP(B53,input_405011!L:R,7,FALSE),VLOOKUP(tables_405011!C53,input_405011!A:H,8,FALSE))</f>
        <v>47982.128499999999</v>
      </c>
      <c r="P53" s="46">
        <f t="shared" ca="1" si="1"/>
        <v>5.2855396012337519E-4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input_405011!A$2</f>
        <v>405011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IFERROR(VLOOKUP(B54,input_405011!L:R,7,FALSE),VLOOKUP(tables_405011!C54,input_405011!A:H,8,FALSE))</f>
        <v>494700</v>
      </c>
      <c r="P54" s="46">
        <f t="shared" ca="1" si="1"/>
        <v>5.4494382022471912E-3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input_405011!A$2</f>
        <v>405011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IFERROR(VLOOKUP(B55,input_405011!L:R,7,FALSE),VLOOKUP(tables_405011!C55,input_405011!A:H,8,FALSE))</f>
        <v>446717.87150000001</v>
      </c>
      <c r="P55" s="46">
        <f t="shared" ca="1" si="1"/>
        <v>4.9208842421238162E-3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input_405011!A$2</f>
        <v>405011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IFERROR(VLOOKUP(B56,input_405011!L:R,7,FALSE),VLOOKUP(tables_405011!C56,input_405011!A:H,8,FALSE))</f>
        <v>47982.128499999999</v>
      </c>
      <c r="P56" s="46">
        <f t="shared" ca="1" si="1"/>
        <v>5.2855396012337519E-4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input_405011!A$2</f>
        <v>405011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IFERROR(VLOOKUP(B57,input_405011!L:R,7,FALSE),VLOOKUP(tables_405011!C57,input_405011!A:H,8,FALSE))</f>
        <v>494700</v>
      </c>
      <c r="P57" s="46">
        <f t="shared" ca="1" si="1"/>
        <v>5.4494382022471912E-3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input_405011!A$2</f>
        <v>405011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IFERROR(VLOOKUP(B58,input_405011!L:R,7,FALSE),VLOOKUP(tables_405011!C58,input_405011!A:H,8,FALSE))</f>
        <v>446717.87150000001</v>
      </c>
      <c r="P58" s="46">
        <f t="shared" ca="1" si="1"/>
        <v>4.9208842421238162E-3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input_405011!A$2</f>
        <v>405011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IFERROR(VLOOKUP(B59,input_405011!L:R,7,FALSE),VLOOKUP(tables_405011!C59,input_405011!A:H,8,FALSE))</f>
        <v>47982.128499999999</v>
      </c>
      <c r="P59" s="46">
        <f t="shared" ca="1" si="1"/>
        <v>5.2855396012337519E-4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input_405011!A$2</f>
        <v>405011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IFERROR(VLOOKUP(B60,input_405011!L:R,7,FALSE),VLOOKUP(tables_405011!C60,input_405011!A:H,8,FALSE))</f>
        <v>494700</v>
      </c>
      <c r="P60" s="46">
        <f t="shared" ca="1" si="1"/>
        <v>5.4494382022471912E-3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input_405011!A$2</f>
        <v>405011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IFERROR(VLOOKUP(B61,input_405011!L:R,7,FALSE),VLOOKUP(tables_405011!C61,input_405011!A:H,8,FALSE))</f>
        <v>446717.87150000001</v>
      </c>
      <c r="P61" s="46">
        <f t="shared" ca="1" si="1"/>
        <v>4.9208842421238162E-3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input_405011!A$2</f>
        <v>405011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IFERROR(VLOOKUP(B62,input_405011!L:R,7,FALSE),VLOOKUP(tables_405011!C62,input_405011!A:H,8,FALSE))</f>
        <v>47982.128499999999</v>
      </c>
      <c r="P62" s="46">
        <f t="shared" ca="1" si="1"/>
        <v>5.2855396012337519E-4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input_405011!A$2</f>
        <v>405011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IFERROR(VLOOKUP(B63,input_405011!L:R,7,FALSE),VLOOKUP(tables_405011!C63,input_405011!A:H,8,FALSE))</f>
        <v>494700</v>
      </c>
      <c r="P63" s="46">
        <f t="shared" ca="1" si="1"/>
        <v>5.4494382022471912E-3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input_405011!A$2</f>
        <v>405011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IFERROR(VLOOKUP(B64,input_405011!L:R,7,FALSE),VLOOKUP(tables_405011!C64,input_405011!A:H,8,FALSE))</f>
        <v>446717.87150000001</v>
      </c>
      <c r="P64" s="46">
        <f t="shared" ca="1" si="1"/>
        <v>4.9208842421238162E-3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input_405011!A$2</f>
        <v>405011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IFERROR(VLOOKUP(B65,input_405011!L:R,7,FALSE),VLOOKUP(tables_405011!C65,input_405011!A:H,8,FALSE))</f>
        <v>47982.128499999999</v>
      </c>
      <c r="P65" s="46">
        <f t="shared" ca="1" si="1"/>
        <v>5.2855396012337519E-4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input_405011!A$2</f>
        <v>405011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IFERROR(VLOOKUP(B66,input_405011!L:R,7,FALSE),VLOOKUP(tables_405011!C66,input_405011!A:H,8,FALSE))</f>
        <v>494700</v>
      </c>
      <c r="P66" s="46">
        <f t="shared" ref="P66:P129" ca="1" si="4">O66/SUM(O:O)</f>
        <v>5.4494382022471912E-3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input_405011!A$2</f>
        <v>405011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IFERROR(VLOOKUP(B67,input_405011!L:R,7,FALSE),VLOOKUP(tables_405011!C67,input_405011!A:H,8,FALSE))</f>
        <v>446717.87150000001</v>
      </c>
      <c r="P67" s="46">
        <f t="shared" ca="1" si="4"/>
        <v>4.9208842421238162E-3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input_405011!A$2</f>
        <v>405011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IFERROR(VLOOKUP(B68,input_405011!L:R,7,FALSE),VLOOKUP(tables_405011!C68,input_405011!A:H,8,FALSE))</f>
        <v>47982.128499999999</v>
      </c>
      <c r="P68" s="46">
        <f t="shared" ca="1" si="4"/>
        <v>5.2855396012337519E-4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input_405011!A$2</f>
        <v>405011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IFERROR(VLOOKUP(B69,input_405011!L:R,7,FALSE),VLOOKUP(tables_405011!C69,input_405011!A:H,8,FALSE))</f>
        <v>494700</v>
      </c>
      <c r="P69" s="46">
        <f t="shared" ca="1" si="4"/>
        <v>5.4494382022471912E-3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input_405011!A$2</f>
        <v>405011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IFERROR(VLOOKUP(B70,input_405011!L:R,7,FALSE),VLOOKUP(tables_405011!C70,input_405011!A:H,8,FALSE))</f>
        <v>446717.87150000001</v>
      </c>
      <c r="P70" s="46">
        <f t="shared" ca="1" si="4"/>
        <v>4.9208842421238162E-3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input_405011!A$2</f>
        <v>405011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IFERROR(VLOOKUP(B71,input_405011!L:R,7,FALSE),VLOOKUP(tables_405011!C71,input_405011!A:H,8,FALSE))</f>
        <v>47982.128499999999</v>
      </c>
      <c r="P71" s="46">
        <f t="shared" ca="1" si="4"/>
        <v>5.2855396012337519E-4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input_405011!A$2</f>
        <v>405011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IFERROR(VLOOKUP(B72,input_405011!L:R,7,FALSE),VLOOKUP(tables_405011!C72,input_405011!A:H,8,FALSE))</f>
        <v>494700</v>
      </c>
      <c r="P72" s="46">
        <f t="shared" ca="1" si="4"/>
        <v>5.4494382022471912E-3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input_405011!A$2</f>
        <v>405011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IFERROR(VLOOKUP(B73,input_405011!L:R,7,FALSE),VLOOKUP(tables_405011!C73,input_405011!A:H,8,FALSE))</f>
        <v>446717.87150000001</v>
      </c>
      <c r="P73" s="46">
        <f t="shared" ca="1" si="4"/>
        <v>4.9208842421238162E-3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input_405011!A$2</f>
        <v>405011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IFERROR(VLOOKUP(B74,input_405011!L:R,7,FALSE),VLOOKUP(tables_405011!C74,input_405011!A:H,8,FALSE))</f>
        <v>47982.128499999999</v>
      </c>
      <c r="P74" s="46">
        <f t="shared" ca="1" si="4"/>
        <v>5.2855396012337519E-4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input_405011!A$2</f>
        <v>405011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IFERROR(VLOOKUP(B75,input_405011!L:R,7,FALSE),VLOOKUP(tables_405011!C75,input_405011!A:H,8,FALSE))</f>
        <v>494700</v>
      </c>
      <c r="P75" s="46">
        <f t="shared" ca="1" si="4"/>
        <v>5.4494382022471912E-3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input_405011!A$2</f>
        <v>405011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IFERROR(VLOOKUP(B76,input_405011!L:R,7,FALSE),VLOOKUP(tables_405011!C76,input_405011!A:H,8,FALSE))</f>
        <v>446717.87150000001</v>
      </c>
      <c r="P76" s="46">
        <f t="shared" ca="1" si="4"/>
        <v>4.9208842421238162E-3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input_405011!A$2</f>
        <v>405011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IFERROR(VLOOKUP(B77,input_405011!L:R,7,FALSE),VLOOKUP(tables_405011!C77,input_405011!A:H,8,FALSE))</f>
        <v>47982.128499999999</v>
      </c>
      <c r="P77" s="46">
        <f t="shared" ca="1" si="4"/>
        <v>5.2855396012337519E-4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input_405011!A$2</f>
        <v>405011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IFERROR(VLOOKUP(B78,input_405011!L:R,7,FALSE),VLOOKUP(tables_405011!C78,input_405011!A:H,8,FALSE))</f>
        <v>494700</v>
      </c>
      <c r="P78" s="46">
        <f t="shared" ca="1" si="4"/>
        <v>5.4494382022471912E-3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input_405011!A$2</f>
        <v>405011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IFERROR(VLOOKUP(B79,input_405011!L:R,7,FALSE),VLOOKUP(tables_405011!C79,input_405011!A:H,8,FALSE))</f>
        <v>446717.87150000001</v>
      </c>
      <c r="P79" s="46">
        <f t="shared" ca="1" si="4"/>
        <v>4.9208842421238162E-3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input_405011!A$2</f>
        <v>405011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IFERROR(VLOOKUP(B80,input_405011!L:R,7,FALSE),VLOOKUP(tables_405011!C80,input_405011!A:H,8,FALSE))</f>
        <v>47982.128499999999</v>
      </c>
      <c r="P80" s="46">
        <f t="shared" ca="1" si="4"/>
        <v>5.2855396012337519E-4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input_405011!A$2</f>
        <v>405011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IFERROR(VLOOKUP(B81,input_405011!L:R,7,FALSE),VLOOKUP(tables_405011!C81,input_405011!A:H,8,FALSE))</f>
        <v>494700</v>
      </c>
      <c r="P81" s="46">
        <f t="shared" ca="1" si="4"/>
        <v>5.4494382022471912E-3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input_405011!A$2</f>
        <v>405011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IFERROR(VLOOKUP(B82,input_405011!L:R,7,FALSE),VLOOKUP(tables_405011!C82,input_405011!A:H,8,FALSE))</f>
        <v>446717.87150000001</v>
      </c>
      <c r="P82" s="46">
        <f t="shared" ca="1" si="4"/>
        <v>4.9208842421238162E-3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input_405011!A$2</f>
        <v>405011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IFERROR(VLOOKUP(B83,input_405011!L:R,7,FALSE),VLOOKUP(tables_405011!C83,input_405011!A:H,8,FALSE))</f>
        <v>47982.128499999999</v>
      </c>
      <c r="P83" s="46">
        <f t="shared" ca="1" si="4"/>
        <v>5.2855396012337519E-4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input_405011!A$2</f>
        <v>405011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IFERROR(VLOOKUP(B84,input_405011!L:R,7,FALSE),VLOOKUP(tables_405011!C84,input_405011!A:H,8,FALSE))</f>
        <v>494700</v>
      </c>
      <c r="P84" s="46">
        <f t="shared" ca="1" si="4"/>
        <v>5.4494382022471912E-3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input_405011!A$2</f>
        <v>405011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IFERROR(VLOOKUP(B85,input_405011!L:R,7,FALSE),VLOOKUP(tables_405011!C85,input_405011!A:H,8,FALSE))</f>
        <v>446717.87150000001</v>
      </c>
      <c r="P85" s="46">
        <f t="shared" ca="1" si="4"/>
        <v>4.9208842421238162E-3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input_405011!A$2</f>
        <v>405011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IFERROR(VLOOKUP(B86,input_405011!L:R,7,FALSE),VLOOKUP(tables_405011!C86,input_405011!A:H,8,FALSE))</f>
        <v>47982.128499999999</v>
      </c>
      <c r="P86" s="46">
        <f t="shared" ca="1" si="4"/>
        <v>5.2855396012337519E-4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input_405011!A$2</f>
        <v>405011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IFERROR(VLOOKUP(B87,input_405011!L:R,7,FALSE),VLOOKUP(tables_405011!C87,input_405011!A:H,8,FALSE))</f>
        <v>494700</v>
      </c>
      <c r="P87" s="46">
        <f t="shared" ca="1" si="4"/>
        <v>5.4494382022471912E-3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input_405011!A$2</f>
        <v>405011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IFERROR(VLOOKUP(B88,input_405011!L:R,7,FALSE),VLOOKUP(tables_405011!C88,input_405011!A:H,8,FALSE))</f>
        <v>446717.87150000001</v>
      </c>
      <c r="P88" s="46">
        <f t="shared" ca="1" si="4"/>
        <v>4.9208842421238162E-3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input_405011!A$2</f>
        <v>405011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IFERROR(VLOOKUP(B89,input_405011!L:R,7,FALSE),VLOOKUP(tables_405011!C89,input_405011!A:H,8,FALSE))</f>
        <v>47982.128499999999</v>
      </c>
      <c r="P89" s="46">
        <f t="shared" ca="1" si="4"/>
        <v>5.2855396012337519E-4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input_405011!A$2</f>
        <v>405011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IFERROR(VLOOKUP(B90,input_405011!L:R,7,FALSE),VLOOKUP(tables_405011!C90,input_405011!A:H,8,FALSE))</f>
        <v>494700</v>
      </c>
      <c r="P90" s="46">
        <f t="shared" ca="1" si="4"/>
        <v>5.4494382022471912E-3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input_405011!A$2</f>
        <v>405011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IFERROR(VLOOKUP(B91,input_405011!L:R,7,FALSE),VLOOKUP(tables_405011!C91,input_405011!A:H,8,FALSE))</f>
        <v>446717.87150000001</v>
      </c>
      <c r="P91" s="46">
        <f t="shared" ca="1" si="4"/>
        <v>4.9208842421238162E-3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input_405011!A$2</f>
        <v>405011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IFERROR(VLOOKUP(B92,input_405011!L:R,7,FALSE),VLOOKUP(tables_405011!C92,input_405011!A:H,8,FALSE))</f>
        <v>47982.128499999999</v>
      </c>
      <c r="P92" s="46">
        <f t="shared" ca="1" si="4"/>
        <v>5.2855396012337519E-4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input_405011!A$2</f>
        <v>405011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IFERROR(VLOOKUP(B93,input_405011!L:R,7,FALSE),VLOOKUP(tables_405011!C93,input_405011!A:H,8,FALSE))</f>
        <v>494700</v>
      </c>
      <c r="P93" s="46">
        <f t="shared" ca="1" si="4"/>
        <v>5.4494382022471912E-3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input_405011!A$2</f>
        <v>405011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IFERROR(VLOOKUP(B94,input_405011!L:R,7,FALSE),VLOOKUP(tables_405011!C94,input_405011!A:H,8,FALSE))</f>
        <v>446717.87150000001</v>
      </c>
      <c r="P94" s="46">
        <f t="shared" ca="1" si="4"/>
        <v>4.9208842421238162E-3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input_405011!A$2</f>
        <v>405011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IFERROR(VLOOKUP(B95,input_405011!L:R,7,FALSE),VLOOKUP(tables_405011!C95,input_405011!A:H,8,FALSE))</f>
        <v>47982.128499999999</v>
      </c>
      <c r="P95" s="46">
        <f t="shared" ca="1" si="4"/>
        <v>5.2855396012337519E-4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input_405011!A$2</f>
        <v>405011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IFERROR(VLOOKUP(B96,input_405011!L:R,7,FALSE),VLOOKUP(tables_405011!C96,input_405011!A:H,8,FALSE))</f>
        <v>494700</v>
      </c>
      <c r="P96" s="46">
        <f t="shared" ca="1" si="4"/>
        <v>5.4494382022471912E-3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input_405011!A$2</f>
        <v>405011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IFERROR(VLOOKUP(B97,input_405011!L:R,7,FALSE),VLOOKUP(tables_405011!C97,input_405011!A:H,8,FALSE))</f>
        <v>446717.87150000001</v>
      </c>
      <c r="P97" s="46">
        <f t="shared" ca="1" si="4"/>
        <v>4.9208842421238162E-3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input_405011!A$2</f>
        <v>405011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IFERROR(VLOOKUP(B98,input_405011!L:R,7,FALSE),VLOOKUP(tables_405011!C98,input_405011!A:H,8,FALSE))</f>
        <v>47982.128499999999</v>
      </c>
      <c r="P98" s="46">
        <f t="shared" ca="1" si="4"/>
        <v>5.2855396012337519E-4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input_405011!A$2</f>
        <v>405011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IFERROR(VLOOKUP(B99,input_405011!L:R,7,FALSE),VLOOKUP(tables_405011!C99,input_405011!A:H,8,FALSE))</f>
        <v>494700</v>
      </c>
      <c r="P99" s="46">
        <f t="shared" ca="1" si="4"/>
        <v>5.4494382022471912E-3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input_405011!A$2</f>
        <v>405011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IFERROR(VLOOKUP(B100,input_405011!L:R,7,FALSE),VLOOKUP(tables_405011!C100,input_405011!A:H,8,FALSE))</f>
        <v>446717.87150000001</v>
      </c>
      <c r="P100" s="46">
        <f t="shared" ca="1" si="4"/>
        <v>4.9208842421238162E-3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input_405011!A$2</f>
        <v>405011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IFERROR(VLOOKUP(B101,input_405011!L:R,7,FALSE),VLOOKUP(tables_405011!C101,input_405011!A:H,8,FALSE))</f>
        <v>47982.128499999999</v>
      </c>
      <c r="P101" s="46">
        <f t="shared" ca="1" si="4"/>
        <v>5.2855396012337519E-4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input_405011!A$2</f>
        <v>405011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IFERROR(VLOOKUP(B102,input_405011!L:R,7,FALSE),VLOOKUP(tables_405011!C102,input_405011!A:H,8,FALSE))</f>
        <v>494700</v>
      </c>
      <c r="P102" s="46">
        <f t="shared" ca="1" si="4"/>
        <v>5.4494382022471912E-3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input_405011!A$2</f>
        <v>405011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IFERROR(VLOOKUP(B103,input_405011!L:R,7,FALSE),VLOOKUP(tables_405011!C103,input_405011!A:H,8,FALSE))</f>
        <v>446717.87150000001</v>
      </c>
      <c r="P103" s="46">
        <f t="shared" ca="1" si="4"/>
        <v>4.9208842421238162E-3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input_405011!A$2</f>
        <v>405011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IFERROR(VLOOKUP(B104,input_405011!L:R,7,FALSE),VLOOKUP(tables_405011!C104,input_405011!A:H,8,FALSE))</f>
        <v>47982.128499999999</v>
      </c>
      <c r="P104" s="46">
        <f t="shared" ca="1" si="4"/>
        <v>5.2855396012337519E-4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input_405011!A$2</f>
        <v>405011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IFERROR(VLOOKUP(B105,input_405011!L:R,7,FALSE),VLOOKUP(tables_405011!C105,input_405011!A:H,8,FALSE))</f>
        <v>494700</v>
      </c>
      <c r="P105" s="46">
        <f t="shared" ca="1" si="4"/>
        <v>5.4494382022471912E-3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input_405011!A$2</f>
        <v>405011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IFERROR(VLOOKUP(B106,input_405011!L:R,7,FALSE),VLOOKUP(tables_405011!C106,input_405011!A:H,8,FALSE))</f>
        <v>446717.87150000001</v>
      </c>
      <c r="P106" s="46">
        <f t="shared" ca="1" si="4"/>
        <v>4.9208842421238162E-3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input_405011!A$2</f>
        <v>405011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IFERROR(VLOOKUP(B107,input_405011!L:R,7,FALSE),VLOOKUP(tables_405011!C107,input_405011!A:H,8,FALSE))</f>
        <v>47982.128499999999</v>
      </c>
      <c r="P107" s="46">
        <f t="shared" ca="1" si="4"/>
        <v>5.2855396012337519E-4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input_405011!A$2</f>
        <v>405011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IFERROR(VLOOKUP(B108,input_405011!L:R,7,FALSE),VLOOKUP(tables_405011!C108,input_405011!A:H,8,FALSE))</f>
        <v>494700</v>
      </c>
      <c r="P108" s="46">
        <f t="shared" ca="1" si="4"/>
        <v>5.4494382022471912E-3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input_405011!A$2</f>
        <v>405011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IFERROR(VLOOKUP(B109,input_405011!L:R,7,FALSE),VLOOKUP(tables_405011!C109,input_405011!A:H,8,FALSE))</f>
        <v>446717.87150000001</v>
      </c>
      <c r="P109" s="46">
        <f t="shared" ca="1" si="4"/>
        <v>4.9208842421238162E-3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input_405011!A$2</f>
        <v>405011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IFERROR(VLOOKUP(B110,input_405011!L:R,7,FALSE),VLOOKUP(tables_405011!C110,input_405011!A:H,8,FALSE))</f>
        <v>47982.128499999999</v>
      </c>
      <c r="P110" s="46">
        <f t="shared" ca="1" si="4"/>
        <v>5.2855396012337519E-4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input_405011!A$2</f>
        <v>405011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IFERROR(VLOOKUP(B111,input_405011!L:R,7,FALSE),VLOOKUP(tables_405011!C111,input_405011!A:H,8,FALSE))</f>
        <v>494700</v>
      </c>
      <c r="P111" s="46">
        <f t="shared" ca="1" si="4"/>
        <v>5.4494382022471912E-3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input_405011!A$2</f>
        <v>405011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IFERROR(VLOOKUP(B112,input_405011!L:R,7,FALSE),VLOOKUP(tables_405011!C112,input_405011!A:H,8,FALSE))</f>
        <v>445230</v>
      </c>
      <c r="P112" s="46">
        <f t="shared" ca="1" si="4"/>
        <v>4.9044943820224715E-3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input_405011!A$2</f>
        <v>405011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IFERROR(VLOOKUP(B113,input_405011!L:R,7,FALSE),VLOOKUP(tables_405011!C113,input_405011!A:H,8,FALSE))</f>
        <v>49470</v>
      </c>
      <c r="P113" s="46">
        <f t="shared" ca="1" si="4"/>
        <v>5.4494382022471908E-4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input_405011!A$2</f>
        <v>405011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IFERROR(VLOOKUP(B114,input_405011!L:R,7,FALSE),VLOOKUP(tables_405011!C114,input_405011!A:H,8,FALSE))</f>
        <v>494700</v>
      </c>
      <c r="P114" s="46">
        <f t="shared" ca="1" si="4"/>
        <v>5.4494382022471912E-3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input_405011!A$2</f>
        <v>405011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IFERROR(VLOOKUP(B115,input_405011!L:R,7,FALSE),VLOOKUP(tables_405011!C115,input_405011!A:H,8,FALSE))</f>
        <v>446717.87150000001</v>
      </c>
      <c r="P115" s="46">
        <f t="shared" ca="1" si="4"/>
        <v>4.9208842421238162E-3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input_405011!A$2</f>
        <v>405011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IFERROR(VLOOKUP(B116,input_405011!L:R,7,FALSE),VLOOKUP(tables_405011!C116,input_405011!A:H,8,FALSE))</f>
        <v>47982.128499999999</v>
      </c>
      <c r="P116" s="46">
        <f t="shared" ca="1" si="4"/>
        <v>5.2855396012337519E-4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input_405011!A$2</f>
        <v>405011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IFERROR(VLOOKUP(B117,input_405011!L:R,7,FALSE),VLOOKUP(tables_405011!C117,input_405011!A:H,8,FALSE))</f>
        <v>494700</v>
      </c>
      <c r="P117" s="46">
        <f t="shared" ca="1" si="4"/>
        <v>5.4494382022471912E-3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input_405011!A$2</f>
        <v>405011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IFERROR(VLOOKUP(B118,input_405011!L:R,7,FALSE),VLOOKUP(tables_405011!C118,input_405011!A:H,8,FALSE))</f>
        <v>446717.87150000001</v>
      </c>
      <c r="P118" s="46">
        <f t="shared" ca="1" si="4"/>
        <v>4.9208842421238162E-3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input_405011!A$2</f>
        <v>405011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IFERROR(VLOOKUP(B119,input_405011!L:R,7,FALSE),VLOOKUP(tables_405011!C119,input_405011!A:H,8,FALSE))</f>
        <v>47982.128499999999</v>
      </c>
      <c r="P119" s="46">
        <f t="shared" ca="1" si="4"/>
        <v>5.2855396012337519E-4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input_405011!A$2</f>
        <v>405011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IFERROR(VLOOKUP(B120,input_405011!L:R,7,FALSE),VLOOKUP(tables_405011!C120,input_405011!A:H,8,FALSE))</f>
        <v>494700</v>
      </c>
      <c r="P120" s="46">
        <f t="shared" ca="1" si="4"/>
        <v>5.4494382022471912E-3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input_405011!A$2</f>
        <v>405011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IFERROR(VLOOKUP(B121,input_405011!L:R,7,FALSE),VLOOKUP(tables_405011!C121,input_405011!A:H,8,FALSE))</f>
        <v>446717.87150000001</v>
      </c>
      <c r="P121" s="46">
        <f t="shared" ca="1" si="4"/>
        <v>4.9208842421238162E-3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input_405011!A$2</f>
        <v>405011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IFERROR(VLOOKUP(B122,input_405011!L:R,7,FALSE),VLOOKUP(tables_405011!C122,input_405011!A:H,8,FALSE))</f>
        <v>47982.128499999999</v>
      </c>
      <c r="P122" s="46">
        <f t="shared" ca="1" si="4"/>
        <v>5.2855396012337519E-4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input_405011!A$2</f>
        <v>405011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IFERROR(VLOOKUP(B123,input_405011!L:R,7,FALSE),VLOOKUP(tables_405011!C123,input_405011!A:H,8,FALSE))</f>
        <v>494700</v>
      </c>
      <c r="P123" s="46">
        <f t="shared" ca="1" si="4"/>
        <v>5.4494382022471912E-3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input_405011!A$2</f>
        <v>405011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IFERROR(VLOOKUP(B124,input_405011!L:R,7,FALSE),VLOOKUP(tables_405011!C124,input_405011!A:H,8,FALSE))</f>
        <v>446717.87150000001</v>
      </c>
      <c r="P124" s="46">
        <f t="shared" ca="1" si="4"/>
        <v>4.9208842421238162E-3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input_405011!A$2</f>
        <v>405011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IFERROR(VLOOKUP(B125,input_405011!L:R,7,FALSE),VLOOKUP(tables_405011!C125,input_405011!A:H,8,FALSE))</f>
        <v>47982.128499999999</v>
      </c>
      <c r="P125" s="46">
        <f t="shared" ca="1" si="4"/>
        <v>5.2855396012337519E-4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input_405011!A$2</f>
        <v>405011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IFERROR(VLOOKUP(B126,input_405011!L:R,7,FALSE),VLOOKUP(tables_405011!C126,input_405011!A:H,8,FALSE))</f>
        <v>494700</v>
      </c>
      <c r="P126" s="46">
        <f t="shared" ca="1" si="4"/>
        <v>5.4494382022471912E-3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input_405011!A$2</f>
        <v>405011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IFERROR(VLOOKUP(B127,input_405011!L:R,7,FALSE),VLOOKUP(tables_405011!C127,input_405011!A:H,8,FALSE))</f>
        <v>446717.87150000001</v>
      </c>
      <c r="P127" s="46">
        <f t="shared" ca="1" si="4"/>
        <v>4.9208842421238162E-3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input_405011!A$2</f>
        <v>405011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IFERROR(VLOOKUP(B128,input_405011!L:R,7,FALSE),VLOOKUP(tables_405011!C128,input_405011!A:H,8,FALSE))</f>
        <v>47982.128499999999</v>
      </c>
      <c r="P128" s="46">
        <f t="shared" ca="1" si="4"/>
        <v>5.2855396012337519E-4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input_405011!A$2</f>
        <v>405011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IFERROR(VLOOKUP(B129,input_405011!L:R,7,FALSE),VLOOKUP(tables_405011!C129,input_405011!A:H,8,FALSE))</f>
        <v>494700</v>
      </c>
      <c r="P129" s="46">
        <f t="shared" ca="1" si="4"/>
        <v>5.4494382022471912E-3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input_405011!A$2</f>
        <v>405011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IFERROR(VLOOKUP(B130,input_405011!L:R,7,FALSE),VLOOKUP(tables_405011!C130,input_405011!A:H,8,FALSE))</f>
        <v>446717.87150000001</v>
      </c>
      <c r="P130" s="46">
        <f t="shared" ref="P130:P193" ca="1" si="7">O130/SUM(O:O)</f>
        <v>4.9208842421238162E-3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input_405011!A$2</f>
        <v>405011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IFERROR(VLOOKUP(B131,input_405011!L:R,7,FALSE),VLOOKUP(tables_405011!C131,input_405011!A:H,8,FALSE))</f>
        <v>47982.128499999999</v>
      </c>
      <c r="P131" s="46">
        <f t="shared" ca="1" si="7"/>
        <v>5.2855396012337519E-4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input_405011!A$2</f>
        <v>405011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IFERROR(VLOOKUP(B132,input_405011!L:R,7,FALSE),VLOOKUP(tables_405011!C132,input_405011!A:H,8,FALSE))</f>
        <v>494700</v>
      </c>
      <c r="P132" s="46">
        <f t="shared" ca="1" si="7"/>
        <v>5.4494382022471912E-3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input_405011!A$2</f>
        <v>405011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IFERROR(VLOOKUP(B133,input_405011!L:R,7,FALSE),VLOOKUP(tables_405011!C133,input_405011!A:H,8,FALSE))</f>
        <v>446717.87150000001</v>
      </c>
      <c r="P133" s="46">
        <f t="shared" ca="1" si="7"/>
        <v>4.9208842421238162E-3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input_405011!A$2</f>
        <v>405011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IFERROR(VLOOKUP(B134,input_405011!L:R,7,FALSE),VLOOKUP(tables_405011!C134,input_405011!A:H,8,FALSE))</f>
        <v>47982.128499999999</v>
      </c>
      <c r="P134" s="46">
        <f t="shared" ca="1" si="7"/>
        <v>5.2855396012337519E-4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input_405011!A$2</f>
        <v>405011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IFERROR(VLOOKUP(B135,input_405011!L:R,7,FALSE),VLOOKUP(tables_405011!C135,input_405011!A:H,8,FALSE))</f>
        <v>494700</v>
      </c>
      <c r="P135" s="46">
        <f t="shared" ca="1" si="7"/>
        <v>5.4494382022471912E-3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input_405011!A$2</f>
        <v>405011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IFERROR(VLOOKUP(B136,input_405011!L:R,7,FALSE),VLOOKUP(tables_405011!C136,input_405011!A:H,8,FALSE))</f>
        <v>446717.87150000001</v>
      </c>
      <c r="P136" s="46">
        <f t="shared" ca="1" si="7"/>
        <v>4.9208842421238162E-3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input_405011!A$2</f>
        <v>405011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IFERROR(VLOOKUP(B137,input_405011!L:R,7,FALSE),VLOOKUP(tables_405011!C137,input_405011!A:H,8,FALSE))</f>
        <v>47982.128499999999</v>
      </c>
      <c r="P137" s="46">
        <f t="shared" ca="1" si="7"/>
        <v>5.2855396012337519E-4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input_405011!A$2</f>
        <v>405011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IFERROR(VLOOKUP(B138,input_405011!L:R,7,FALSE),VLOOKUP(tables_405011!C138,input_405011!A:H,8,FALSE))</f>
        <v>50730</v>
      </c>
      <c r="P138" s="46">
        <f t="shared" ca="1" si="7"/>
        <v>5.5882352941176471E-4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input_405011!A$2</f>
        <v>405011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IFERROR(VLOOKUP(B139,input_405011!L:R,7,FALSE),VLOOKUP(tables_405011!C139,input_405011!A:H,8,FALSE))</f>
        <v>2670</v>
      </c>
      <c r="P139" s="46">
        <f t="shared" ca="1" si="7"/>
        <v>2.9411764705882354E-5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input_405011!A$2</f>
        <v>405011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IFERROR(VLOOKUP(B140,input_405011!L:R,7,FALSE),VLOOKUP(tables_405011!C140,input_405011!A:H,8,FALSE))</f>
        <v>50730</v>
      </c>
      <c r="P140" s="46">
        <f t="shared" ca="1" si="7"/>
        <v>5.5882352941176471E-4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input_405011!A$2</f>
        <v>405011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IFERROR(VLOOKUP(B141,input_405011!L:R,7,FALSE),VLOOKUP(tables_405011!C141,input_405011!A:H,8,FALSE))</f>
        <v>2670</v>
      </c>
      <c r="P141" s="46">
        <f t="shared" ca="1" si="7"/>
        <v>2.9411764705882354E-5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input_405011!A$2</f>
        <v>405011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IFERROR(VLOOKUP(B142,input_405011!L:R,7,FALSE),VLOOKUP(tables_405011!C142,input_405011!A:H,8,FALSE))</f>
        <v>50730</v>
      </c>
      <c r="P142" s="46">
        <f t="shared" ca="1" si="7"/>
        <v>5.5882352941176471E-4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input_405011!A$2</f>
        <v>405011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IFERROR(VLOOKUP(B143,input_405011!L:R,7,FALSE),VLOOKUP(tables_405011!C143,input_405011!A:H,8,FALSE))</f>
        <v>2670</v>
      </c>
      <c r="P143" s="46">
        <f t="shared" ca="1" si="7"/>
        <v>2.9411764705882354E-5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input_405011!A$2</f>
        <v>405011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IFERROR(VLOOKUP(B144,input_405011!L:R,7,FALSE),VLOOKUP(tables_405011!C144,input_405011!A:H,8,FALSE))</f>
        <v>50730</v>
      </c>
      <c r="P144" s="46">
        <f t="shared" ca="1" si="7"/>
        <v>5.5882352941176471E-4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input_405011!A$2</f>
        <v>405011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IFERROR(VLOOKUP(B145,input_405011!L:R,7,FALSE),VLOOKUP(tables_405011!C145,input_405011!A:H,8,FALSE))</f>
        <v>2670</v>
      </c>
      <c r="P145" s="46">
        <f t="shared" ca="1" si="7"/>
        <v>2.9411764705882354E-5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input_405011!A$2</f>
        <v>405011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IFERROR(VLOOKUP(B146,input_405011!L:R,7,FALSE),VLOOKUP(tables_405011!C146,input_405011!A:H,8,FALSE))</f>
        <v>494700</v>
      </c>
      <c r="P146" s="46">
        <f t="shared" ca="1" si="7"/>
        <v>5.4494382022471912E-3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input_405011!A$2</f>
        <v>405011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IFERROR(VLOOKUP(B147,input_405011!L:R,7,FALSE),VLOOKUP(tables_405011!C147,input_405011!A:H,8,FALSE))</f>
        <v>446717.87150000001</v>
      </c>
      <c r="P147" s="46">
        <f t="shared" ca="1" si="7"/>
        <v>4.9208842421238162E-3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input_405011!A$2</f>
        <v>405011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IFERROR(VLOOKUP(B148,input_405011!L:R,7,FALSE),VLOOKUP(tables_405011!C148,input_405011!A:H,8,FALSE))</f>
        <v>47982.128499999999</v>
      </c>
      <c r="P148" s="46">
        <f t="shared" ca="1" si="7"/>
        <v>5.2855396012337519E-4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input_405011!A$2</f>
        <v>405011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IFERROR(VLOOKUP(B149,input_405011!L:R,7,FALSE),VLOOKUP(tables_405011!C149,input_405011!A:H,8,FALSE))</f>
        <v>50730</v>
      </c>
      <c r="P149" s="46">
        <f t="shared" ca="1" si="7"/>
        <v>5.5882352941176471E-4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input_405011!A$2</f>
        <v>405011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IFERROR(VLOOKUP(B150,input_405011!L:R,7,FALSE),VLOOKUP(tables_405011!C150,input_405011!A:H,8,FALSE))</f>
        <v>2670</v>
      </c>
      <c r="P150" s="46">
        <f t="shared" ca="1" si="7"/>
        <v>2.9411764705882354E-5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input_405011!A$2</f>
        <v>405011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IFERROR(VLOOKUP(B151,input_405011!L:R,7,FALSE),VLOOKUP(tables_405011!C151,input_405011!A:H,8,FALSE))</f>
        <v>50730</v>
      </c>
      <c r="P151" s="46">
        <f t="shared" ca="1" si="7"/>
        <v>5.5882352941176471E-4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input_405011!A$2</f>
        <v>405011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IFERROR(VLOOKUP(B152,input_405011!L:R,7,FALSE),VLOOKUP(tables_405011!C152,input_405011!A:H,8,FALSE))</f>
        <v>2670</v>
      </c>
      <c r="P152" s="46">
        <f t="shared" ca="1" si="7"/>
        <v>2.9411764705882354E-5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input_405011!A$2</f>
        <v>405011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IFERROR(VLOOKUP(B153,input_405011!L:R,7,FALSE),VLOOKUP(tables_405011!C153,input_405011!A:H,8,FALSE))</f>
        <v>494700</v>
      </c>
      <c r="P153" s="46">
        <f t="shared" ca="1" si="7"/>
        <v>5.4494382022471912E-3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input_405011!A$2</f>
        <v>405011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IFERROR(VLOOKUP(B154,input_405011!L:R,7,FALSE),VLOOKUP(tables_405011!C154,input_405011!A:H,8,FALSE))</f>
        <v>446717.87150000001</v>
      </c>
      <c r="P154" s="46">
        <f t="shared" ca="1" si="7"/>
        <v>4.9208842421238162E-3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input_405011!A$2</f>
        <v>405011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IFERROR(VLOOKUP(B155,input_405011!L:R,7,FALSE),VLOOKUP(tables_405011!C155,input_405011!A:H,8,FALSE))</f>
        <v>47982.128499999999</v>
      </c>
      <c r="P155" s="46">
        <f t="shared" ca="1" si="7"/>
        <v>5.2855396012337519E-4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input_405011!A$2</f>
        <v>405011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IFERROR(VLOOKUP(B156,input_405011!L:R,7,FALSE),VLOOKUP(tables_405011!C156,input_405011!A:H,8,FALSE))</f>
        <v>50730</v>
      </c>
      <c r="P156" s="46">
        <f t="shared" ca="1" si="7"/>
        <v>5.5882352941176471E-4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input_405011!A$2</f>
        <v>405011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IFERROR(VLOOKUP(B157,input_405011!L:R,7,FALSE),VLOOKUP(tables_405011!C157,input_405011!A:H,8,FALSE))</f>
        <v>2670</v>
      </c>
      <c r="P157" s="46">
        <f t="shared" ca="1" si="7"/>
        <v>2.9411764705882354E-5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input_405011!A$2</f>
        <v>405011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IFERROR(VLOOKUP(B158,input_405011!L:R,7,FALSE),VLOOKUP(tables_405011!C158,input_405011!A:H,8,FALSE))</f>
        <v>494700</v>
      </c>
      <c r="P158" s="46">
        <f t="shared" ca="1" si="7"/>
        <v>5.4494382022471912E-3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input_405011!A$2</f>
        <v>405011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IFERROR(VLOOKUP(B159,input_405011!L:R,7,FALSE),VLOOKUP(tables_405011!C159,input_405011!A:H,8,FALSE))</f>
        <v>446717.87150000001</v>
      </c>
      <c r="P159" s="46">
        <f t="shared" ca="1" si="7"/>
        <v>4.9208842421238162E-3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input_405011!A$2</f>
        <v>405011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IFERROR(VLOOKUP(B160,input_405011!L:R,7,FALSE),VLOOKUP(tables_405011!C160,input_405011!A:H,8,FALSE))</f>
        <v>47982.128499999999</v>
      </c>
      <c r="P160" s="46">
        <f t="shared" ca="1" si="7"/>
        <v>5.2855396012337519E-4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input_405011!A$2</f>
        <v>405011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IFERROR(VLOOKUP(B161,input_405011!L:R,7,FALSE),VLOOKUP(tables_405011!C161,input_405011!A:H,8,FALSE))</f>
        <v>494700</v>
      </c>
      <c r="P161" s="46">
        <f t="shared" ca="1" si="7"/>
        <v>5.4494382022471912E-3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input_405011!A$2</f>
        <v>405011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IFERROR(VLOOKUP(B162,input_405011!L:R,7,FALSE),VLOOKUP(tables_405011!C162,input_405011!A:H,8,FALSE))</f>
        <v>446717.87150000001</v>
      </c>
      <c r="P162" s="46">
        <f t="shared" ca="1" si="7"/>
        <v>4.9208842421238162E-3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input_405011!A$2</f>
        <v>405011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IFERROR(VLOOKUP(B163,input_405011!L:R,7,FALSE),VLOOKUP(tables_405011!C163,input_405011!A:H,8,FALSE))</f>
        <v>47982.128499999999</v>
      </c>
      <c r="P163" s="46">
        <f t="shared" ca="1" si="7"/>
        <v>5.2855396012337519E-4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input_405011!A$2</f>
        <v>405011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IFERROR(VLOOKUP(B164,input_405011!L:R,7,FALSE),VLOOKUP(tables_405011!C164,input_405011!A:H,8,FALSE))</f>
        <v>50730</v>
      </c>
      <c r="P164" s="46">
        <f t="shared" ca="1" si="7"/>
        <v>5.5882352941176471E-4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input_405011!A$2</f>
        <v>405011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IFERROR(VLOOKUP(B165,input_405011!L:R,7,FALSE),VLOOKUP(tables_405011!C165,input_405011!A:H,8,FALSE))</f>
        <v>2670</v>
      </c>
      <c r="P165" s="46">
        <f t="shared" ca="1" si="7"/>
        <v>2.9411764705882354E-5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input_405011!A$2</f>
        <v>405011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IFERROR(VLOOKUP(B166,input_405011!L:R,7,FALSE),VLOOKUP(tables_405011!C166,input_405011!A:H,8,FALSE))</f>
        <v>494700</v>
      </c>
      <c r="P166" s="46">
        <f t="shared" ca="1" si="7"/>
        <v>5.4494382022471912E-3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input_405011!A$2</f>
        <v>405011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IFERROR(VLOOKUP(B167,input_405011!L:R,7,FALSE),VLOOKUP(tables_405011!C167,input_405011!A:H,8,FALSE))</f>
        <v>446717.87150000001</v>
      </c>
      <c r="P167" s="46">
        <f t="shared" ca="1" si="7"/>
        <v>4.9208842421238162E-3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input_405011!A$2</f>
        <v>405011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IFERROR(VLOOKUP(B168,input_405011!L:R,7,FALSE),VLOOKUP(tables_405011!C168,input_405011!A:H,8,FALSE))</f>
        <v>47982.128499999999</v>
      </c>
      <c r="P168" s="46">
        <f t="shared" ca="1" si="7"/>
        <v>5.2855396012337519E-4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input_405011!A$2</f>
        <v>405011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IFERROR(VLOOKUP(B169,input_405011!L:R,7,FALSE),VLOOKUP(tables_405011!C169,input_405011!A:H,8,FALSE))</f>
        <v>50730</v>
      </c>
      <c r="P169" s="46">
        <f t="shared" ca="1" si="7"/>
        <v>5.5882352941176471E-4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input_405011!A$2</f>
        <v>405011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IFERROR(VLOOKUP(B170,input_405011!L:R,7,FALSE),VLOOKUP(tables_405011!C170,input_405011!A:H,8,FALSE))</f>
        <v>2670</v>
      </c>
      <c r="P170" s="46">
        <f t="shared" ca="1" si="7"/>
        <v>2.9411764705882354E-5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input_405011!A$2</f>
        <v>405011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IFERROR(VLOOKUP(B171,input_405011!L:R,7,FALSE),VLOOKUP(tables_405011!C171,input_405011!A:H,8,FALSE))</f>
        <v>494700</v>
      </c>
      <c r="P171" s="46">
        <f t="shared" ca="1" si="7"/>
        <v>5.4494382022471912E-3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input_405011!A$2</f>
        <v>405011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IFERROR(VLOOKUP(B172,input_405011!L:R,7,FALSE),VLOOKUP(tables_405011!C172,input_405011!A:H,8,FALSE))</f>
        <v>446717.87150000001</v>
      </c>
      <c r="P172" s="46">
        <f t="shared" ca="1" si="7"/>
        <v>4.9208842421238162E-3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input_405011!A$2</f>
        <v>405011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IFERROR(VLOOKUP(B173,input_405011!L:R,7,FALSE),VLOOKUP(tables_405011!C173,input_405011!A:H,8,FALSE))</f>
        <v>47982.128499999999</v>
      </c>
      <c r="P173" s="46">
        <f t="shared" ca="1" si="7"/>
        <v>5.2855396012337519E-4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input_405011!A$2</f>
        <v>405011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IFERROR(VLOOKUP(B174,input_405011!L:R,7,FALSE),VLOOKUP(tables_405011!C174,input_405011!A:H,8,FALSE))</f>
        <v>50730</v>
      </c>
      <c r="P174" s="46">
        <f t="shared" ca="1" si="7"/>
        <v>5.5882352941176471E-4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input_405011!A$2</f>
        <v>405011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IFERROR(VLOOKUP(B175,input_405011!L:R,7,FALSE),VLOOKUP(tables_405011!C175,input_405011!A:H,8,FALSE))</f>
        <v>2670</v>
      </c>
      <c r="P175" s="46">
        <f t="shared" ca="1" si="7"/>
        <v>2.9411764705882354E-5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input_405011!A$2</f>
        <v>405011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IFERROR(VLOOKUP(B176,input_405011!L:R,7,FALSE),VLOOKUP(tables_405011!C176,input_405011!A:H,8,FALSE))</f>
        <v>50730</v>
      </c>
      <c r="P176" s="46">
        <f t="shared" ca="1" si="7"/>
        <v>5.5882352941176471E-4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input_405011!A$2</f>
        <v>405011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IFERROR(VLOOKUP(B177,input_405011!L:R,7,FALSE),VLOOKUP(tables_405011!C177,input_405011!A:H,8,FALSE))</f>
        <v>2670</v>
      </c>
      <c r="P177" s="46">
        <f t="shared" ca="1" si="7"/>
        <v>2.9411764705882354E-5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input_405011!A$2</f>
        <v>405011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IFERROR(VLOOKUP(B178,input_405011!L:R,7,FALSE),VLOOKUP(tables_405011!C178,input_405011!A:H,8,FALSE))</f>
        <v>494700</v>
      </c>
      <c r="P178" s="46">
        <f t="shared" ca="1" si="7"/>
        <v>5.4494382022471912E-3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input_405011!A$2</f>
        <v>405011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IFERROR(VLOOKUP(B179,input_405011!L:R,7,FALSE),VLOOKUP(tables_405011!C179,input_405011!A:H,8,FALSE))</f>
        <v>446717.87150000001</v>
      </c>
      <c r="P179" s="46">
        <f t="shared" ca="1" si="7"/>
        <v>4.9208842421238162E-3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input_405011!A$2</f>
        <v>405011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IFERROR(VLOOKUP(B180,input_405011!L:R,7,FALSE),VLOOKUP(tables_405011!C180,input_405011!A:H,8,FALSE))</f>
        <v>47982.128499999999</v>
      </c>
      <c r="P180" s="46">
        <f t="shared" ca="1" si="7"/>
        <v>5.2855396012337519E-4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input_405011!A$2</f>
        <v>405011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IFERROR(VLOOKUP(B181,input_405011!L:R,7,FALSE),VLOOKUP(tables_405011!C181,input_405011!A:H,8,FALSE))</f>
        <v>494700</v>
      </c>
      <c r="P181" s="46">
        <f t="shared" ca="1" si="7"/>
        <v>5.4494382022471912E-3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input_405011!A$2</f>
        <v>405011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IFERROR(VLOOKUP(B182,input_405011!L:R,7,FALSE),VLOOKUP(tables_405011!C182,input_405011!A:H,8,FALSE))</f>
        <v>446717.87150000001</v>
      </c>
      <c r="P182" s="46">
        <f t="shared" ca="1" si="7"/>
        <v>4.9208842421238162E-3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input_405011!A$2</f>
        <v>405011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IFERROR(VLOOKUP(B183,input_405011!L:R,7,FALSE),VLOOKUP(tables_405011!C183,input_405011!A:H,8,FALSE))</f>
        <v>47982.128499999999</v>
      </c>
      <c r="P183" s="46">
        <f t="shared" ca="1" si="7"/>
        <v>5.2855396012337519E-4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input_405011!A$2</f>
        <v>405011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IFERROR(VLOOKUP(B184,input_405011!L:R,7,FALSE),VLOOKUP(tables_405011!C184,input_405011!A:H,8,FALSE))</f>
        <v>50730</v>
      </c>
      <c r="P184" s="46">
        <f t="shared" ca="1" si="7"/>
        <v>5.5882352941176471E-4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input_405011!A$2</f>
        <v>405011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IFERROR(VLOOKUP(B185,input_405011!L:R,7,FALSE),VLOOKUP(tables_405011!C185,input_405011!A:H,8,FALSE))</f>
        <v>2670</v>
      </c>
      <c r="P185" s="46">
        <f t="shared" ca="1" si="7"/>
        <v>2.9411764705882354E-5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input_405011!A$2</f>
        <v>405011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IFERROR(VLOOKUP(B186,input_405011!L:R,7,FALSE),VLOOKUP(tables_405011!C186,input_405011!A:H,8,FALSE))</f>
        <v>494700</v>
      </c>
      <c r="P186" s="46">
        <f t="shared" ca="1" si="7"/>
        <v>5.4494382022471912E-3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input_405011!A$2</f>
        <v>405011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IFERROR(VLOOKUP(B187,input_405011!L:R,7,FALSE),VLOOKUP(tables_405011!C187,input_405011!A:H,8,FALSE))</f>
        <v>446717.87150000001</v>
      </c>
      <c r="P187" s="46">
        <f t="shared" ca="1" si="7"/>
        <v>4.9208842421238162E-3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input_405011!A$2</f>
        <v>405011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IFERROR(VLOOKUP(B188,input_405011!L:R,7,FALSE),VLOOKUP(tables_405011!C188,input_405011!A:H,8,FALSE))</f>
        <v>47982.128499999999</v>
      </c>
      <c r="P188" s="46">
        <f t="shared" ca="1" si="7"/>
        <v>5.2855396012337519E-4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input_405011!A$2</f>
        <v>405011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IFERROR(VLOOKUP(B189,input_405011!L:R,7,FALSE),VLOOKUP(tables_405011!C189,input_405011!A:H,8,FALSE))</f>
        <v>50730</v>
      </c>
      <c r="P189" s="46">
        <f t="shared" ca="1" si="7"/>
        <v>5.5882352941176471E-4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input_405011!A$2</f>
        <v>405011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IFERROR(VLOOKUP(B190,input_405011!L:R,7,FALSE),VLOOKUP(tables_405011!C190,input_405011!A:H,8,FALSE))</f>
        <v>2670</v>
      </c>
      <c r="P190" s="46">
        <f t="shared" ca="1" si="7"/>
        <v>2.9411764705882354E-5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input_405011!A$2</f>
        <v>405011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IFERROR(VLOOKUP(B191,input_405011!L:R,7,FALSE),VLOOKUP(tables_405011!C191,input_405011!A:H,8,FALSE))</f>
        <v>50730</v>
      </c>
      <c r="P191" s="46">
        <f t="shared" ca="1" si="7"/>
        <v>5.5882352941176471E-4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input_405011!A$2</f>
        <v>405011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IFERROR(VLOOKUP(B192,input_405011!L:R,7,FALSE),VLOOKUP(tables_405011!C192,input_405011!A:H,8,FALSE))</f>
        <v>2670</v>
      </c>
      <c r="P192" s="46">
        <f t="shared" ca="1" si="7"/>
        <v>2.9411764705882354E-5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input_405011!A$2</f>
        <v>405011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IFERROR(VLOOKUP(B193,input_405011!L:R,7,FALSE),VLOOKUP(tables_405011!C193,input_405011!A:H,8,FALSE))</f>
        <v>494700</v>
      </c>
      <c r="P193" s="46">
        <f t="shared" ca="1" si="7"/>
        <v>5.4494382022471912E-3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input_405011!A$2</f>
        <v>405011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IFERROR(VLOOKUP(B194,input_405011!L:R,7,FALSE),VLOOKUP(tables_405011!C194,input_405011!A:H,8,FALSE))</f>
        <v>446717.87150000001</v>
      </c>
      <c r="P194" s="46">
        <f t="shared" ref="P194:P257" ca="1" si="10">O194/SUM(O:O)</f>
        <v>4.9208842421238162E-3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input_405011!A$2</f>
        <v>405011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IFERROR(VLOOKUP(B195,input_405011!L:R,7,FALSE),VLOOKUP(tables_405011!C195,input_405011!A:H,8,FALSE))</f>
        <v>47982.128499999999</v>
      </c>
      <c r="P195" s="46">
        <f t="shared" ca="1" si="10"/>
        <v>5.2855396012337519E-4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input_405011!A$2</f>
        <v>405011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IFERROR(VLOOKUP(B196,input_405011!L:R,7,FALSE),VLOOKUP(tables_405011!C196,input_405011!A:H,8,FALSE))</f>
        <v>50730</v>
      </c>
      <c r="P196" s="46">
        <f t="shared" ca="1" si="10"/>
        <v>5.5882352941176471E-4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input_405011!A$2</f>
        <v>405011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IFERROR(VLOOKUP(B197,input_405011!L:R,7,FALSE),VLOOKUP(tables_405011!C197,input_405011!A:H,8,FALSE))</f>
        <v>2670</v>
      </c>
      <c r="P197" s="46">
        <f t="shared" ca="1" si="10"/>
        <v>2.9411764705882354E-5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input_405011!A$2</f>
        <v>405011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IFERROR(VLOOKUP(B198,input_405011!L:R,7,FALSE),VLOOKUP(tables_405011!C198,input_405011!A:H,8,FALSE))</f>
        <v>494700</v>
      </c>
      <c r="P198" s="46">
        <f t="shared" ca="1" si="10"/>
        <v>5.4494382022471912E-3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input_405011!A$2</f>
        <v>405011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IFERROR(VLOOKUP(B199,input_405011!L:R,7,FALSE),VLOOKUP(tables_405011!C199,input_405011!A:H,8,FALSE))</f>
        <v>446717.87150000001</v>
      </c>
      <c r="P199" s="46">
        <f t="shared" ca="1" si="10"/>
        <v>4.9208842421238162E-3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input_405011!A$2</f>
        <v>405011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IFERROR(VLOOKUP(B200,input_405011!L:R,7,FALSE),VLOOKUP(tables_405011!C200,input_405011!A:H,8,FALSE))</f>
        <v>47982.128499999999</v>
      </c>
      <c r="P200" s="46">
        <f t="shared" ca="1" si="10"/>
        <v>5.2855396012337519E-4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input_405011!A$2</f>
        <v>405011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IFERROR(VLOOKUP(B201,input_405011!L:R,7,FALSE),VLOOKUP(tables_405011!C201,input_405011!A:H,8,FALSE))</f>
        <v>50730</v>
      </c>
      <c r="P201" s="46">
        <f t="shared" ca="1" si="10"/>
        <v>5.5882352941176471E-4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input_405011!A$2</f>
        <v>405011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IFERROR(VLOOKUP(B202,input_405011!L:R,7,FALSE),VLOOKUP(tables_405011!C202,input_405011!A:H,8,FALSE))</f>
        <v>2670</v>
      </c>
      <c r="P202" s="46">
        <f t="shared" ca="1" si="10"/>
        <v>2.9411764705882354E-5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input_405011!A$2</f>
        <v>405011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IFERROR(VLOOKUP(B203,input_405011!L:R,7,FALSE),VLOOKUP(tables_405011!C203,input_405011!A:H,8,FALSE))</f>
        <v>494700</v>
      </c>
      <c r="P203" s="46">
        <f t="shared" ca="1" si="10"/>
        <v>5.4494382022471912E-3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input_405011!A$2</f>
        <v>405011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IFERROR(VLOOKUP(B204,input_405011!L:R,7,FALSE),VLOOKUP(tables_405011!C204,input_405011!A:H,8,FALSE))</f>
        <v>446717.87150000001</v>
      </c>
      <c r="P204" s="46">
        <f t="shared" ca="1" si="10"/>
        <v>4.9208842421238162E-3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input_405011!A$2</f>
        <v>405011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IFERROR(VLOOKUP(B205,input_405011!L:R,7,FALSE),VLOOKUP(tables_405011!C205,input_405011!A:H,8,FALSE))</f>
        <v>47982.128499999999</v>
      </c>
      <c r="P205" s="46">
        <f t="shared" ca="1" si="10"/>
        <v>5.2855396012337519E-4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input_405011!A$2</f>
        <v>405011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IFERROR(VLOOKUP(B206,input_405011!L:R,7,FALSE),VLOOKUP(tables_405011!C206,input_405011!A:H,8,FALSE))</f>
        <v>50730</v>
      </c>
      <c r="P206" s="46">
        <f t="shared" ca="1" si="10"/>
        <v>5.5882352941176471E-4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input_405011!A$2</f>
        <v>405011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IFERROR(VLOOKUP(B207,input_405011!L:R,7,FALSE),VLOOKUP(tables_405011!C207,input_405011!A:H,8,FALSE))</f>
        <v>2670</v>
      </c>
      <c r="P207" s="46">
        <f t="shared" ca="1" si="10"/>
        <v>2.9411764705882354E-5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input_405011!A$2</f>
        <v>405011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IFERROR(VLOOKUP(B208,input_405011!L:R,7,FALSE),VLOOKUP(tables_405011!C208,input_405011!A:H,8,FALSE))</f>
        <v>50730</v>
      </c>
      <c r="P208" s="46">
        <f t="shared" ca="1" si="10"/>
        <v>5.5882352941176471E-4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input_405011!A$2</f>
        <v>405011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IFERROR(VLOOKUP(B209,input_405011!L:R,7,FALSE),VLOOKUP(tables_405011!C209,input_405011!A:H,8,FALSE))</f>
        <v>2670</v>
      </c>
      <c r="P209" s="46">
        <f t="shared" ca="1" si="10"/>
        <v>2.9411764705882354E-5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input_405011!A$2</f>
        <v>405011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IFERROR(VLOOKUP(B210,input_405011!L:R,7,FALSE),VLOOKUP(tables_405011!C210,input_405011!A:H,8,FALSE))</f>
        <v>494700</v>
      </c>
      <c r="P210" s="46">
        <f t="shared" ca="1" si="10"/>
        <v>5.4494382022471912E-3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input_405011!A$2</f>
        <v>405011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IFERROR(VLOOKUP(B211,input_405011!L:R,7,FALSE),VLOOKUP(tables_405011!C211,input_405011!A:H,8,FALSE))</f>
        <v>446717.87150000001</v>
      </c>
      <c r="P211" s="46">
        <f t="shared" ca="1" si="10"/>
        <v>4.9208842421238162E-3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input_405011!A$2</f>
        <v>405011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IFERROR(VLOOKUP(B212,input_405011!L:R,7,FALSE),VLOOKUP(tables_405011!C212,input_405011!A:H,8,FALSE))</f>
        <v>47982.128499999999</v>
      </c>
      <c r="P212" s="46">
        <f t="shared" ca="1" si="10"/>
        <v>5.2855396012337519E-4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input_405011!A$2</f>
        <v>405011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IFERROR(VLOOKUP(B213,input_405011!L:R,7,FALSE),VLOOKUP(tables_405011!C213,input_405011!A:H,8,FALSE))</f>
        <v>50730</v>
      </c>
      <c r="P213" s="46">
        <f t="shared" ca="1" si="10"/>
        <v>5.5882352941176471E-4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input_405011!A$2</f>
        <v>405011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IFERROR(VLOOKUP(B214,input_405011!L:R,7,FALSE),VLOOKUP(tables_405011!C214,input_405011!A:H,8,FALSE))</f>
        <v>2670</v>
      </c>
      <c r="P214" s="46">
        <f t="shared" ca="1" si="10"/>
        <v>2.9411764705882354E-5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input_405011!A$2</f>
        <v>405011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IFERROR(VLOOKUP(B215,input_405011!L:R,7,FALSE),VLOOKUP(tables_405011!C215,input_405011!A:H,8,FALSE))</f>
        <v>50730</v>
      </c>
      <c r="P215" s="46">
        <f t="shared" ca="1" si="10"/>
        <v>5.5882352941176471E-4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input_405011!A$2</f>
        <v>405011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IFERROR(VLOOKUP(B216,input_405011!L:R,7,FALSE),VLOOKUP(tables_405011!C216,input_405011!A:H,8,FALSE))</f>
        <v>2670</v>
      </c>
      <c r="P216" s="46">
        <f t="shared" ca="1" si="10"/>
        <v>2.9411764705882354E-5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input_405011!A$2</f>
        <v>405011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IFERROR(VLOOKUP(B217,input_405011!L:R,7,FALSE),VLOOKUP(tables_405011!C217,input_405011!A:H,8,FALSE))</f>
        <v>494700</v>
      </c>
      <c r="P217" s="46">
        <f t="shared" ca="1" si="10"/>
        <v>5.4494382022471912E-3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input_405011!A$2</f>
        <v>405011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IFERROR(VLOOKUP(B218,input_405011!L:R,7,FALSE),VLOOKUP(tables_405011!C218,input_405011!A:H,8,FALSE))</f>
        <v>446717.87150000001</v>
      </c>
      <c r="P218" s="46">
        <f t="shared" ca="1" si="10"/>
        <v>4.9208842421238162E-3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input_405011!A$2</f>
        <v>405011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IFERROR(VLOOKUP(B219,input_405011!L:R,7,FALSE),VLOOKUP(tables_405011!C219,input_405011!A:H,8,FALSE))</f>
        <v>47982.128499999999</v>
      </c>
      <c r="P219" s="46">
        <f t="shared" ca="1" si="10"/>
        <v>5.2855396012337519E-4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input_405011!A$2</f>
        <v>405011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IFERROR(VLOOKUP(B220,input_405011!L:R,7,FALSE),VLOOKUP(tables_405011!C220,input_405011!A:H,8,FALSE))</f>
        <v>494700</v>
      </c>
      <c r="P220" s="46">
        <f t="shared" ca="1" si="10"/>
        <v>5.4494382022471912E-3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input_405011!A$2</f>
        <v>405011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IFERROR(VLOOKUP(B221,input_405011!L:R,7,FALSE),VLOOKUP(tables_405011!C221,input_405011!A:H,8,FALSE))</f>
        <v>446717.87150000001</v>
      </c>
      <c r="P221" s="46">
        <f t="shared" ca="1" si="10"/>
        <v>4.9208842421238162E-3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input_405011!A$2</f>
        <v>405011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IFERROR(VLOOKUP(B222,input_405011!L:R,7,FALSE),VLOOKUP(tables_405011!C222,input_405011!A:H,8,FALSE))</f>
        <v>47982.128499999999</v>
      </c>
      <c r="P222" s="46">
        <f t="shared" ca="1" si="10"/>
        <v>5.2855396012337519E-4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input_405011!A$2</f>
        <v>405011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IFERROR(VLOOKUP(B223,input_405011!L:R,7,FALSE),VLOOKUP(tables_405011!C223,input_405011!A:H,8,FALSE))</f>
        <v>50730</v>
      </c>
      <c r="P223" s="46">
        <f t="shared" ca="1" si="10"/>
        <v>5.5882352941176471E-4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input_405011!A$2</f>
        <v>405011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IFERROR(VLOOKUP(B224,input_405011!L:R,7,FALSE),VLOOKUP(tables_405011!C224,input_405011!A:H,8,FALSE))</f>
        <v>2670</v>
      </c>
      <c r="P224" s="46">
        <f t="shared" ca="1" si="10"/>
        <v>2.9411764705882354E-5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input_405011!A$2</f>
        <v>405011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IFERROR(VLOOKUP(B225,input_405011!L:R,7,FALSE),VLOOKUP(tables_405011!C225,input_405011!A:H,8,FALSE))</f>
        <v>494700</v>
      </c>
      <c r="P225" s="46">
        <f t="shared" ca="1" si="10"/>
        <v>5.4494382022471912E-3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input_405011!A$2</f>
        <v>405011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IFERROR(VLOOKUP(B226,input_405011!L:R,7,FALSE),VLOOKUP(tables_405011!C226,input_405011!A:H,8,FALSE))</f>
        <v>446717.87150000001</v>
      </c>
      <c r="P226" s="46">
        <f t="shared" ca="1" si="10"/>
        <v>4.9208842421238162E-3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input_405011!A$2</f>
        <v>405011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IFERROR(VLOOKUP(B227,input_405011!L:R,7,FALSE),VLOOKUP(tables_405011!C227,input_405011!A:H,8,FALSE))</f>
        <v>47982.128499999999</v>
      </c>
      <c r="P227" s="46">
        <f t="shared" ca="1" si="10"/>
        <v>5.2855396012337519E-4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input_405011!A$2</f>
        <v>405011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IFERROR(VLOOKUP(B228,input_405011!L:R,7,FALSE),VLOOKUP(tables_405011!C228,input_405011!A:H,8,FALSE))</f>
        <v>494700</v>
      </c>
      <c r="P228" s="46">
        <f t="shared" ca="1" si="10"/>
        <v>5.4494382022471912E-3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input_405011!A$2</f>
        <v>405011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IFERROR(VLOOKUP(B229,input_405011!L:R,7,FALSE),VLOOKUP(tables_405011!C229,input_405011!A:H,8,FALSE))</f>
        <v>446717.87150000001</v>
      </c>
      <c r="P229" s="46">
        <f t="shared" ca="1" si="10"/>
        <v>4.9208842421238162E-3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input_405011!A$2</f>
        <v>405011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IFERROR(VLOOKUP(B230,input_405011!L:R,7,FALSE),VLOOKUP(tables_405011!C230,input_405011!A:H,8,FALSE))</f>
        <v>47982.128499999999</v>
      </c>
      <c r="P230" s="46">
        <f t="shared" ca="1" si="10"/>
        <v>5.2855396012337519E-4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input_405011!A$2</f>
        <v>405011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IFERROR(VLOOKUP(B231,input_405011!L:R,7,FALSE),VLOOKUP(tables_405011!C231,input_405011!A:H,8,FALSE))</f>
        <v>50730</v>
      </c>
      <c r="P231" s="46">
        <f t="shared" ca="1" si="10"/>
        <v>5.5882352941176471E-4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input_405011!A$2</f>
        <v>405011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IFERROR(VLOOKUP(B232,input_405011!L:R,7,FALSE),VLOOKUP(tables_405011!C232,input_405011!A:H,8,FALSE))</f>
        <v>2670</v>
      </c>
      <c r="P232" s="46">
        <f t="shared" ca="1" si="10"/>
        <v>2.9411764705882354E-5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input_405011!A$2</f>
        <v>405011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IFERROR(VLOOKUP(B233,input_405011!L:R,7,FALSE),VLOOKUP(tables_405011!C233,input_405011!A:H,8,FALSE))</f>
        <v>494700</v>
      </c>
      <c r="P233" s="46">
        <f t="shared" ca="1" si="10"/>
        <v>5.4494382022471912E-3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input_405011!A$2</f>
        <v>405011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IFERROR(VLOOKUP(B234,input_405011!L:R,7,FALSE),VLOOKUP(tables_405011!C234,input_405011!A:H,8,FALSE))</f>
        <v>446717.87150000001</v>
      </c>
      <c r="P234" s="46">
        <f t="shared" ca="1" si="10"/>
        <v>4.9208842421238162E-3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input_405011!A$2</f>
        <v>405011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IFERROR(VLOOKUP(B235,input_405011!L:R,7,FALSE),VLOOKUP(tables_405011!C235,input_405011!A:H,8,FALSE))</f>
        <v>47982.128499999999</v>
      </c>
      <c r="P235" s="46">
        <f t="shared" ca="1" si="10"/>
        <v>5.2855396012337519E-4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input_405011!A$2</f>
        <v>405011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IFERROR(VLOOKUP(B236,input_405011!L:R,7,FALSE),VLOOKUP(tables_405011!C236,input_405011!A:H,8,FALSE))</f>
        <v>50730</v>
      </c>
      <c r="P236" s="46">
        <f t="shared" ca="1" si="10"/>
        <v>5.5882352941176471E-4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input_405011!A$2</f>
        <v>405011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IFERROR(VLOOKUP(B237,input_405011!L:R,7,FALSE),VLOOKUP(tables_405011!C237,input_405011!A:H,8,FALSE))</f>
        <v>2670</v>
      </c>
      <c r="P237" s="46">
        <f t="shared" ca="1" si="10"/>
        <v>2.9411764705882354E-5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input_405011!A$2</f>
        <v>405011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IFERROR(VLOOKUP(B238,input_405011!L:R,7,FALSE),VLOOKUP(tables_405011!C238,input_405011!A:H,8,FALSE))</f>
        <v>50730</v>
      </c>
      <c r="P238" s="46">
        <f t="shared" ca="1" si="10"/>
        <v>5.5882352941176471E-4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input_405011!A$2</f>
        <v>405011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IFERROR(VLOOKUP(B239,input_405011!L:R,7,FALSE),VLOOKUP(tables_405011!C239,input_405011!A:H,8,FALSE))</f>
        <v>2670</v>
      </c>
      <c r="P239" s="46">
        <f t="shared" ca="1" si="10"/>
        <v>2.9411764705882354E-5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input_405011!A$2</f>
        <v>405011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IFERROR(VLOOKUP(B240,input_405011!L:R,7,FALSE),VLOOKUP(tables_405011!C240,input_405011!A:H,8,FALSE))</f>
        <v>494700</v>
      </c>
      <c r="P240" s="46">
        <f t="shared" ca="1" si="10"/>
        <v>5.4494382022471912E-3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input_405011!A$2</f>
        <v>405011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IFERROR(VLOOKUP(B241,input_405011!L:R,7,FALSE),VLOOKUP(tables_405011!C241,input_405011!A:H,8,FALSE))</f>
        <v>446717.87150000001</v>
      </c>
      <c r="P241" s="46">
        <f t="shared" ca="1" si="10"/>
        <v>4.9208842421238162E-3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input_405011!A$2</f>
        <v>405011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IFERROR(VLOOKUP(B242,input_405011!L:R,7,FALSE),VLOOKUP(tables_405011!C242,input_405011!A:H,8,FALSE))</f>
        <v>47982.128499999999</v>
      </c>
      <c r="P242" s="46">
        <f t="shared" ca="1" si="10"/>
        <v>5.2855396012337519E-4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input_405011!A$2</f>
        <v>405011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IFERROR(VLOOKUP(B243,input_405011!L:R,7,FALSE),VLOOKUP(tables_405011!C243,input_405011!A:H,8,FALSE))</f>
        <v>494700</v>
      </c>
      <c r="P243" s="46">
        <f t="shared" ca="1" si="10"/>
        <v>5.4494382022471912E-3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input_405011!A$2</f>
        <v>405011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IFERROR(VLOOKUP(B244,input_405011!L:R,7,FALSE),VLOOKUP(tables_405011!C244,input_405011!A:H,8,FALSE))</f>
        <v>446717.87150000001</v>
      </c>
      <c r="P244" s="46">
        <f t="shared" ca="1" si="10"/>
        <v>4.9208842421238162E-3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input_405011!A$2</f>
        <v>405011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IFERROR(VLOOKUP(B245,input_405011!L:R,7,FALSE),VLOOKUP(tables_405011!C245,input_405011!A:H,8,FALSE))</f>
        <v>47982.128499999999</v>
      </c>
      <c r="P245" s="46">
        <f t="shared" ca="1" si="10"/>
        <v>5.2855396012337519E-4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input_405011!A$2</f>
        <v>405011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IFERROR(VLOOKUP(B246,input_405011!L:R,7,FALSE),VLOOKUP(tables_405011!C246,input_405011!A:H,8,FALSE))</f>
        <v>494700</v>
      </c>
      <c r="P246" s="46">
        <f t="shared" ca="1" si="10"/>
        <v>5.4494382022471912E-3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input_405011!A$2</f>
        <v>405011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IFERROR(VLOOKUP(B247,input_405011!L:R,7,FALSE),VLOOKUP(tables_405011!C247,input_405011!A:H,8,FALSE))</f>
        <v>446717.87150000001</v>
      </c>
      <c r="P247" s="46">
        <f t="shared" ca="1" si="10"/>
        <v>4.9208842421238162E-3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input_405011!A$2</f>
        <v>405011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IFERROR(VLOOKUP(B248,input_405011!L:R,7,FALSE),VLOOKUP(tables_405011!C248,input_405011!A:H,8,FALSE))</f>
        <v>47982.128499999999</v>
      </c>
      <c r="P248" s="46">
        <f t="shared" ca="1" si="10"/>
        <v>5.2855396012337519E-4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input_405011!A$2</f>
        <v>405011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IFERROR(VLOOKUP(B249,input_405011!L:R,7,FALSE),VLOOKUP(tables_405011!C249,input_405011!A:H,8,FALSE))</f>
        <v>494700</v>
      </c>
      <c r="P249" s="46">
        <f t="shared" ca="1" si="10"/>
        <v>5.4494382022471912E-3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input_405011!A$2</f>
        <v>405011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IFERROR(VLOOKUP(B250,input_405011!L:R,7,FALSE),VLOOKUP(tables_405011!C250,input_405011!A:H,8,FALSE))</f>
        <v>446717.87150000001</v>
      </c>
      <c r="P250" s="46">
        <f t="shared" ca="1" si="10"/>
        <v>4.9208842421238162E-3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input_405011!A$2</f>
        <v>405011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IFERROR(VLOOKUP(B251,input_405011!L:R,7,FALSE),VLOOKUP(tables_405011!C251,input_405011!A:H,8,FALSE))</f>
        <v>47982.128499999999</v>
      </c>
      <c r="P251" s="46">
        <f t="shared" ca="1" si="10"/>
        <v>5.2855396012337519E-4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input_405011!A$2</f>
        <v>405011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IFERROR(VLOOKUP(B252,input_405011!L:R,7,FALSE),VLOOKUP(tables_405011!C252,input_405011!A:H,8,FALSE))</f>
        <v>50730</v>
      </c>
      <c r="P252" s="46">
        <f t="shared" ca="1" si="10"/>
        <v>5.5882352941176471E-4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input_405011!A$2</f>
        <v>405011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IFERROR(VLOOKUP(B253,input_405011!L:R,7,FALSE),VLOOKUP(tables_405011!C253,input_405011!A:H,8,FALSE))</f>
        <v>2670</v>
      </c>
      <c r="P253" s="46">
        <f t="shared" ca="1" si="10"/>
        <v>2.9411764705882354E-5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input_405011!A$2</f>
        <v>405011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IFERROR(VLOOKUP(B254,input_405011!L:R,7,FALSE),VLOOKUP(tables_405011!C254,input_405011!A:H,8,FALSE))</f>
        <v>50730</v>
      </c>
      <c r="P254" s="46">
        <f t="shared" ca="1" si="10"/>
        <v>5.5882352941176471E-4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input_405011!A$2</f>
        <v>405011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IFERROR(VLOOKUP(B255,input_405011!L:R,7,FALSE),VLOOKUP(tables_405011!C255,input_405011!A:H,8,FALSE))</f>
        <v>2670</v>
      </c>
      <c r="P255" s="46">
        <f t="shared" ca="1" si="10"/>
        <v>2.9411764705882354E-5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input_405011!A$2</f>
        <v>405011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IFERROR(VLOOKUP(B256,input_405011!L:R,7,FALSE),VLOOKUP(tables_405011!C256,input_405011!A:H,8,FALSE))</f>
        <v>939930</v>
      </c>
      <c r="P256" s="46">
        <f t="shared" ca="1" si="10"/>
        <v>1.0353932584269664E-2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input_405011!A$2</f>
        <v>405011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IFERROR(VLOOKUP(B257,input_405011!L:R,7,FALSE),VLOOKUP(tables_405011!C257,input_405011!A:H,8,FALSE))</f>
        <v>49470</v>
      </c>
      <c r="P257" s="46">
        <f t="shared" ca="1" si="10"/>
        <v>5.4494382022471908E-4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input_405011!A$2</f>
        <v>405011</v>
      </c>
      <c r="B258" s="60">
        <v>730</v>
      </c>
      <c r="C258" s="7" t="str">
        <f t="shared" ref="C258:C304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IFERROR(VLOOKUP(B258,input_405011!L:R,7,FALSE),VLOOKUP(tables_405011!C258,input_405011!A:H,8,FALSE))</f>
        <v>939930</v>
      </c>
      <c r="P258" s="46">
        <f t="shared" ref="P258:P304" ca="1" si="13">O258/SUM(O:O)</f>
        <v>1.0353932584269664E-2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input_405011!A$2</f>
        <v>405011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IFERROR(VLOOKUP(B259,input_405011!L:R,7,FALSE),VLOOKUP(tables_405011!C259,input_405011!A:H,8,FALSE))</f>
        <v>49470</v>
      </c>
      <c r="P259" s="46">
        <f t="shared" ca="1" si="13"/>
        <v>5.4494382022471908E-4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input_405011!A$2</f>
        <v>405011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IFERROR(VLOOKUP(B260,input_405011!L:R,7,FALSE),VLOOKUP(tables_405011!C260,input_405011!A:H,8,FALSE))</f>
        <v>53400</v>
      </c>
      <c r="P260" s="46">
        <f t="shared" ca="1" si="13"/>
        <v>5.8823529411764701E-4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input_405011!A$2</f>
        <v>405011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IFERROR(VLOOKUP(B261,input_405011!L:R,7,FALSE),VLOOKUP(tables_405011!C261,input_405011!A:H,8,FALSE))</f>
        <v>53400</v>
      </c>
      <c r="P261" s="46">
        <f t="shared" ca="1" si="13"/>
        <v>5.8823529411764701E-4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input_405011!A$2</f>
        <v>405011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IFERROR(VLOOKUP(B262,input_405011!L:R,7,FALSE),VLOOKUP(tables_405011!C262,input_405011!A:H,8,FALSE))</f>
        <v>50730</v>
      </c>
      <c r="P262" s="46">
        <f t="shared" ca="1" si="13"/>
        <v>5.5882352941176471E-4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input_405011!A$2</f>
        <v>405011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IFERROR(VLOOKUP(B263,input_405011!L:R,7,FALSE),VLOOKUP(tables_405011!C263,input_405011!A:H,8,FALSE))</f>
        <v>2670</v>
      </c>
      <c r="P263" s="46">
        <f t="shared" ca="1" si="13"/>
        <v>2.9411764705882354E-5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input_405011!A$2</f>
        <v>405011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IFERROR(VLOOKUP(B264,input_405011!L:R,7,FALSE),VLOOKUP(tables_405011!C264,input_405011!A:H,8,FALSE))</f>
        <v>50730</v>
      </c>
      <c r="P264" s="46">
        <f t="shared" ca="1" si="13"/>
        <v>5.5882352941176471E-4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input_405011!A$2</f>
        <v>405011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IFERROR(VLOOKUP(B265,input_405011!L:R,7,FALSE),VLOOKUP(tables_405011!C265,input_405011!A:H,8,FALSE))</f>
        <v>2670</v>
      </c>
      <c r="P265" s="46">
        <f t="shared" ca="1" si="13"/>
        <v>2.9411764705882354E-5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input_405011!A$2</f>
        <v>405011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IFERROR(VLOOKUP(B266,input_405011!L:R,7,FALSE),VLOOKUP(tables_405011!C266,input_405011!A:H,8,FALSE))</f>
        <v>494700</v>
      </c>
      <c r="P266" s="46">
        <f t="shared" ca="1" si="13"/>
        <v>5.4494382022471912E-3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input_405011!A$2</f>
        <v>405011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IFERROR(VLOOKUP(B267,input_405011!L:R,7,FALSE),VLOOKUP(tables_405011!C267,input_405011!A:H,8,FALSE))</f>
        <v>446717.87150000001</v>
      </c>
      <c r="P267" s="46">
        <f t="shared" ca="1" si="13"/>
        <v>4.9208842421238162E-3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input_405011!A$2</f>
        <v>405011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IFERROR(VLOOKUP(B268,input_405011!L:R,7,FALSE),VLOOKUP(tables_405011!C268,input_405011!A:H,8,FALSE))</f>
        <v>47982.128499999999</v>
      </c>
      <c r="P268" s="46">
        <f t="shared" ca="1" si="13"/>
        <v>5.2855396012337519E-4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input_405011!A$2</f>
        <v>405011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IFERROR(VLOOKUP(B269,input_405011!L:R,7,FALSE),VLOOKUP(tables_405011!C269,input_405011!A:H,8,FALSE))</f>
        <v>494700</v>
      </c>
      <c r="P269" s="46">
        <f t="shared" ca="1" si="13"/>
        <v>5.4494382022471912E-3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input_405011!A$2</f>
        <v>405011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IFERROR(VLOOKUP(B270,input_405011!L:R,7,FALSE),VLOOKUP(tables_405011!C270,input_405011!A:H,8,FALSE))</f>
        <v>446717.87150000001</v>
      </c>
      <c r="P270" s="46">
        <f t="shared" ca="1" si="13"/>
        <v>4.9208842421238162E-3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input_405011!A$2</f>
        <v>405011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IFERROR(VLOOKUP(B271,input_405011!L:R,7,FALSE),VLOOKUP(tables_405011!C271,input_405011!A:H,8,FALSE))</f>
        <v>47982.128499999999</v>
      </c>
      <c r="P271" s="46">
        <f t="shared" ca="1" si="13"/>
        <v>5.2855396012337519E-4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input_405011!A$2</f>
        <v>405011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IFERROR(VLOOKUP(B272,input_405011!L:R,7,FALSE),VLOOKUP(tables_405011!C272,input_405011!A:H,8,FALSE))</f>
        <v>53400</v>
      </c>
      <c r="P272" s="46">
        <f t="shared" ca="1" si="13"/>
        <v>5.8823529411764701E-4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input_405011!A$2</f>
        <v>405011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IFERROR(VLOOKUP(B273,input_405011!L:R,7,FALSE),VLOOKUP(tables_405011!C273,input_405011!A:H,8,FALSE))</f>
        <v>53400</v>
      </c>
      <c r="P273" s="46">
        <f t="shared" ca="1" si="13"/>
        <v>5.8823529411764701E-4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input_405011!A$2</f>
        <v>405011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IFERROR(VLOOKUP(B274,input_405011!L:R,7,FALSE),VLOOKUP(tables_405011!C274,input_405011!A:H,8,FALSE))</f>
        <v>939930</v>
      </c>
      <c r="P274" s="46">
        <f t="shared" ca="1" si="13"/>
        <v>1.0353932584269664E-2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input_405011!A$2</f>
        <v>405011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IFERROR(VLOOKUP(B275,input_405011!L:R,7,FALSE),VLOOKUP(tables_405011!C275,input_405011!A:H,8,FALSE))</f>
        <v>49470</v>
      </c>
      <c r="P275" s="46">
        <f t="shared" ca="1" si="13"/>
        <v>5.4494382022471908E-4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input_405011!A$2</f>
        <v>405011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IFERROR(VLOOKUP(B276,input_405011!L:R,7,FALSE),VLOOKUP(tables_405011!C276,input_405011!A:H,8,FALSE))</f>
        <v>939930</v>
      </c>
      <c r="P276" s="46">
        <f t="shared" ca="1" si="13"/>
        <v>1.0353932584269664E-2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input_405011!A$2</f>
        <v>405011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IFERROR(VLOOKUP(B277,input_405011!L:R,7,FALSE),VLOOKUP(tables_405011!C277,input_405011!A:H,8,FALSE))</f>
        <v>49470</v>
      </c>
      <c r="P277" s="46">
        <f t="shared" ca="1" si="13"/>
        <v>5.4494382022471908E-4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input_405011!A$2</f>
        <v>405011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IFERROR(VLOOKUP(B278,input_405011!L:R,7,FALSE),VLOOKUP(tables_405011!C278,input_405011!A:H,8,FALSE))</f>
        <v>939930</v>
      </c>
      <c r="P278" s="46">
        <f t="shared" ca="1" si="13"/>
        <v>1.0353932584269664E-2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input_405011!A$2</f>
        <v>405011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IFERROR(VLOOKUP(B279,input_405011!L:R,7,FALSE),VLOOKUP(tables_405011!C279,input_405011!A:H,8,FALSE))</f>
        <v>49470</v>
      </c>
      <c r="P279" s="46">
        <f t="shared" ca="1" si="13"/>
        <v>5.4494382022471908E-4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input_405011!A$2</f>
        <v>405011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IFERROR(VLOOKUP(B280,input_405011!L:R,7,FALSE),VLOOKUP(tables_405011!C280,input_405011!A:H,8,FALSE))</f>
        <v>939930</v>
      </c>
      <c r="P280" s="46">
        <f t="shared" ca="1" si="13"/>
        <v>1.0353932584269664E-2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input_405011!A$2</f>
        <v>405011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IFERROR(VLOOKUP(B281,input_405011!L:R,7,FALSE),VLOOKUP(tables_405011!C281,input_405011!A:H,8,FALSE))</f>
        <v>49470</v>
      </c>
      <c r="P281" s="46">
        <f t="shared" ca="1" si="13"/>
        <v>5.4494382022471908E-4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input_405011!A$2</f>
        <v>405011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IFERROR(VLOOKUP(B282,input_405011!L:R,7,FALSE),VLOOKUP(tables_405011!C282,input_405011!A:H,8,FALSE))</f>
        <v>53400</v>
      </c>
      <c r="P282" s="46">
        <f t="shared" ca="1" si="13"/>
        <v>5.8823529411764701E-4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input_405011!A$2</f>
        <v>405011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IFERROR(VLOOKUP(B283,input_405011!L:R,7,FALSE),VLOOKUP(tables_405011!C283,input_405011!A:H,8,FALSE))</f>
        <v>53400</v>
      </c>
      <c r="P283" s="46">
        <f t="shared" ca="1" si="13"/>
        <v>5.8823529411764701E-4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input_405011!A$2</f>
        <v>405011</v>
      </c>
      <c r="B284" s="5">
        <v>742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IFERROR(VLOOKUP(B284,input_405011!L:R,7,FALSE),VLOOKUP(tables_405011!C284,input_405011!A:H,8,FALSE))</f>
        <v>53400</v>
      </c>
      <c r="P284" s="46">
        <f t="shared" ca="1" si="13"/>
        <v>5.8823529411764701E-4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input_405011!A$2</f>
        <v>405011</v>
      </c>
      <c r="B285" s="5">
        <v>744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IFERROR(VLOOKUP(B285,input_405011!L:R,7,FALSE),VLOOKUP(tables_405011!C285,input_405011!A:H,8,FALSE))</f>
        <v>53400</v>
      </c>
      <c r="P285" s="46">
        <f t="shared" ca="1" si="13"/>
        <v>5.8823529411764701E-4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input_405011!A$2</f>
        <v>405011</v>
      </c>
      <c r="B286" s="5">
        <v>746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IFERROR(VLOOKUP(B286,input_405011!L:R,7,FALSE),VLOOKUP(tables_405011!C286,input_405011!A:H,8,FALSE))</f>
        <v>939930</v>
      </c>
      <c r="P286" s="46">
        <f t="shared" ca="1" si="13"/>
        <v>1.0353932584269664E-2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input_405011!A$2</f>
        <v>405011</v>
      </c>
      <c r="B287" s="5">
        <v>747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IFERROR(VLOOKUP(B287,input_405011!L:R,7,FALSE),VLOOKUP(tables_405011!C287,input_405011!A:H,8,FALSE))</f>
        <v>49470</v>
      </c>
      <c r="P287" s="46">
        <f t="shared" ca="1" si="13"/>
        <v>5.4494382022471908E-4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input_405011!A$2</f>
        <v>405011</v>
      </c>
      <c r="B288" s="5">
        <v>748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IFERROR(VLOOKUP(B288,input_405011!L:R,7,FALSE),VLOOKUP(tables_405011!C288,input_405011!A:H,8,FALSE))</f>
        <v>939930</v>
      </c>
      <c r="P288" s="46">
        <f t="shared" ca="1" si="13"/>
        <v>1.0353932584269664E-2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input_405011!A$2</f>
        <v>405011</v>
      </c>
      <c r="B289" s="5">
        <v>749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IFERROR(VLOOKUP(B289,input_405011!L:R,7,FALSE),VLOOKUP(tables_405011!C289,input_405011!A:H,8,FALSE))</f>
        <v>49470</v>
      </c>
      <c r="P289" s="46">
        <f t="shared" ca="1" si="13"/>
        <v>5.4494382022471908E-4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input_405011!A$2</f>
        <v>405011</v>
      </c>
      <c r="B290" s="5">
        <v>937</v>
      </c>
      <c r="C290" s="7" t="str">
        <f t="shared" si="12"/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IFERROR(VLOOKUP(B290,input_405011!L:R,7,FALSE),VLOOKUP(tables_405011!C290,input_405011!A:H,8,FALSE))</f>
        <v>53400</v>
      </c>
      <c r="P290" s="46">
        <f t="shared" ca="1" si="13"/>
        <v>5.8823529411764701E-4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input_405011!A$2</f>
        <v>405011</v>
      </c>
      <c r="B291" s="5">
        <v>939</v>
      </c>
      <c r="C291" s="7" t="str">
        <f t="shared" si="12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IFERROR(VLOOKUP(B291,input_405011!L:R,7,FALSE),VLOOKUP(tables_405011!C291,input_405011!A:H,8,FALSE))</f>
        <v>939930</v>
      </c>
      <c r="P291" s="46">
        <f t="shared" ca="1" si="13"/>
        <v>1.0353932584269664E-2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input_405011!A$2</f>
        <v>405011</v>
      </c>
      <c r="B292" s="5">
        <v>940</v>
      </c>
      <c r="C292" s="7" t="str">
        <f t="shared" si="12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IFERROR(VLOOKUP(B292,input_405011!L:R,7,FALSE),VLOOKUP(tables_405011!C292,input_405011!A:H,8,FALSE))</f>
        <v>49470</v>
      </c>
      <c r="P292" s="46">
        <f t="shared" ca="1" si="13"/>
        <v>5.4494382022471908E-4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input_405011!A$2</f>
        <v>405011</v>
      </c>
      <c r="B293" s="5">
        <v>941</v>
      </c>
      <c r="C293" s="7" t="str">
        <f t="shared" si="12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IFERROR(VLOOKUP(B293,input_405011!L:R,7,FALSE),VLOOKUP(tables_405011!C293,input_405011!A:H,8,FALSE))</f>
        <v>53400</v>
      </c>
      <c r="P293" s="46">
        <f t="shared" ca="1" si="13"/>
        <v>5.8823529411764701E-4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input_405011!A$2</f>
        <v>405011</v>
      </c>
      <c r="B294" s="5">
        <v>943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IFERROR(VLOOKUP(B294,input_405011!L:R,7,FALSE),VLOOKUP(tables_405011!C294,input_405011!A:H,8,FALSE))</f>
        <v>53400</v>
      </c>
      <c r="P294" s="46">
        <f t="shared" ca="1" si="13"/>
        <v>5.8823529411764701E-4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input_405011!A$2</f>
        <v>405011</v>
      </c>
      <c r="B295" s="5">
        <v>1012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IFERROR(VLOOKUP(B295,input_405011!L:R,7,FALSE),VLOOKUP(tables_405011!C295,input_405011!A:H,8,FALSE))</f>
        <v>53400</v>
      </c>
      <c r="P295" s="46">
        <f t="shared" ca="1" si="13"/>
        <v>5.8823529411764701E-4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input_405011!A$2</f>
        <v>405011</v>
      </c>
      <c r="B296" s="5">
        <v>1014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IFERROR(VLOOKUP(B296,input_405011!L:R,7,FALSE),VLOOKUP(tables_405011!C296,input_405011!A:H,8,FALSE))</f>
        <v>53400</v>
      </c>
      <c r="P296" s="46">
        <f t="shared" ca="1" si="13"/>
        <v>5.8823529411764701E-4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input_405011!A$2</f>
        <v>405011</v>
      </c>
      <c r="B297" s="5">
        <v>1016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IFERROR(VLOOKUP(B297,input_405011!L:R,7,FALSE),VLOOKUP(tables_405011!C297,input_405011!A:H,8,FALSE))</f>
        <v>939930</v>
      </c>
      <c r="P297" s="46">
        <f t="shared" ca="1" si="13"/>
        <v>1.0353932584269664E-2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input_405011!A$2</f>
        <v>405011</v>
      </c>
      <c r="B298" s="5">
        <v>1017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IFERROR(VLOOKUP(B298,input_405011!L:R,7,FALSE),VLOOKUP(tables_405011!C298,input_405011!A:H,8,FALSE))</f>
        <v>49470</v>
      </c>
      <c r="P298" s="46">
        <f t="shared" ca="1" si="13"/>
        <v>5.4494382022471908E-4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input_405011!A$2</f>
        <v>405011</v>
      </c>
      <c r="B299" s="5">
        <v>1018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IFERROR(VLOOKUP(B299,input_405011!L:R,7,FALSE),VLOOKUP(tables_405011!C299,input_405011!A:H,8,FALSE))</f>
        <v>53400</v>
      </c>
      <c r="P299" s="46">
        <f t="shared" ca="1" si="13"/>
        <v>5.8823529411764701E-4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input_405011!A$2</f>
        <v>405011</v>
      </c>
      <c r="B300" s="5">
        <v>1026</v>
      </c>
      <c r="C300" s="7" t="str">
        <f t="shared" si="12"/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IFERROR(VLOOKUP(B300,input_405011!L:R,7,FALSE),VLOOKUP(tables_405011!C300,input_405011!A:H,8,FALSE))</f>
        <v>939930</v>
      </c>
      <c r="P300" s="46">
        <f t="shared" ca="1" si="13"/>
        <v>1.0353932584269664E-2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input_405011!A$2</f>
        <v>405011</v>
      </c>
      <c r="B301" s="5">
        <v>1027</v>
      </c>
      <c r="C301" s="7" t="str">
        <f t="shared" si="12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IFERROR(VLOOKUP(B301,input_405011!L:R,7,FALSE),VLOOKUP(tables_405011!C301,input_405011!A:H,8,FALSE))</f>
        <v>49470</v>
      </c>
      <c r="P301" s="46">
        <f t="shared" ca="1" si="13"/>
        <v>5.4494382022471908E-4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input_405011!A$2</f>
        <v>405011</v>
      </c>
      <c r="B302" s="5">
        <v>1028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IFERROR(VLOOKUP(B302,input_405011!L:R,7,FALSE),VLOOKUP(tables_405011!C302,input_405011!A:H,8,FALSE))</f>
        <v>53400</v>
      </c>
      <c r="P302" s="46">
        <f t="shared" ca="1" si="13"/>
        <v>5.8823529411764701E-4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input_405011!A$2</f>
        <v>405011</v>
      </c>
      <c r="B303" s="5">
        <v>1031</v>
      </c>
      <c r="C303" s="7" t="str">
        <f t="shared" si="12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IFERROR(VLOOKUP(B303,input_405011!L:R,7,FALSE),VLOOKUP(tables_405011!C303,input_405011!A:H,8,FALSE))</f>
        <v>53400</v>
      </c>
      <c r="P303" s="46">
        <f t="shared" ca="1" si="13"/>
        <v>5.8823529411764701E-4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input_405011!A$2</f>
        <v>405011</v>
      </c>
      <c r="B304" s="5">
        <v>1033</v>
      </c>
      <c r="C304" s="7" t="str">
        <f t="shared" si="12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IFERROR(VLOOKUP(B304,input_405011!L:R,7,FALSE),VLOOKUP(tables_405011!C304,input_405011!A:H,8,FALSE))</f>
        <v>53400</v>
      </c>
      <c r="P304" s="46">
        <f t="shared" ca="1" si="13"/>
        <v>5.8823529411764701E-4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input_405011!A$2</f>
        <v>405011</v>
      </c>
      <c r="B305" s="5">
        <v>1067</v>
      </c>
      <c r="C305" s="7" t="str">
        <f t="shared" ref="C305:C309" si="15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IFERROR(VLOOKUP(B305,input_405011!L:R,7,FALSE),VLOOKUP(tables_405011!C305,input_405011!A:H,8,FALSE))</f>
        <v>939930</v>
      </c>
      <c r="P305" s="46">
        <f t="shared" ref="P305:P309" ca="1" si="16">O305/SUM(O:O)</f>
        <v>1.0353932584269664E-2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input_405011!A$2</f>
        <v>405011</v>
      </c>
      <c r="B306" s="5">
        <v>1068</v>
      </c>
      <c r="C306" s="7" t="str">
        <f t="shared" si="15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IFERROR(VLOOKUP(B306,input_405011!L:R,7,FALSE),VLOOKUP(tables_405011!C306,input_405011!A:H,8,FALSE))</f>
        <v>49470</v>
      </c>
      <c r="P306" s="46">
        <f t="shared" ca="1" si="16"/>
        <v>5.4494382022471908E-4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input_405011!A$2</f>
        <v>405011</v>
      </c>
      <c r="B307" s="5">
        <v>1069</v>
      </c>
      <c r="C307" s="7" t="str">
        <f t="shared" si="15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IFERROR(VLOOKUP(B307,input_405011!L:R,7,FALSE),VLOOKUP(tables_405011!C307,input_405011!A:H,8,FALSE))</f>
        <v>53400</v>
      </c>
      <c r="P307" s="46">
        <f t="shared" ca="1" si="16"/>
        <v>5.8823529411764701E-4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input_405011!A$2</f>
        <v>405011</v>
      </c>
      <c r="B308" s="5">
        <v>1072</v>
      </c>
      <c r="C308" s="7" t="str">
        <f t="shared" si="15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IFERROR(VLOOKUP(B308,input_405011!L:R,7,FALSE),VLOOKUP(tables_405011!C308,input_405011!A:H,8,FALSE))</f>
        <v>53400</v>
      </c>
      <c r="P308" s="46">
        <f t="shared" ca="1" si="16"/>
        <v>5.8823529411764701E-4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input_405011!A$2</f>
        <v>405011</v>
      </c>
      <c r="B309" s="5">
        <v>1074</v>
      </c>
      <c r="C309" s="7" t="str">
        <f t="shared" si="15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IFERROR(VLOOKUP(B309,input_405011!L:R,7,FALSE),VLOOKUP(tables_405011!C309,input_405011!A:H,8,FALSE))</f>
        <v>53400</v>
      </c>
      <c r="P309" s="46">
        <f t="shared" ca="1" si="16"/>
        <v>5.8823529411764701E-4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input_405011!A$2</f>
        <v>405011</v>
      </c>
      <c r="B310" s="5">
        <v>1104</v>
      </c>
      <c r="C310" s="7" t="str">
        <f t="shared" ref="C310:C314" si="17">D310&amp;J310&amp;E310&amp;F310&amp;G310</f>
        <v>Premium4R3less</v>
      </c>
      <c r="D310" s="7" t="str">
        <f t="shared" ref="D310:D314" si="1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IFERROR(VLOOKUP(B310,input_405011!L:R,7,FALSE),VLOOKUP(tables_405011!C310,input_405011!A:H,8,FALSE))</f>
        <v>939930</v>
      </c>
      <c r="P310" s="46">
        <f t="shared" ref="P310:P314" ca="1" si="19">O310/SUM(O:O)</f>
        <v>1.0353932584269664E-2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input_405011!A$2</f>
        <v>405011</v>
      </c>
      <c r="B311" s="5">
        <v>1105</v>
      </c>
      <c r="C311" s="7" t="str">
        <f t="shared" si="17"/>
        <v>Premium5R3less</v>
      </c>
      <c r="D311" s="7" t="str">
        <f t="shared" si="1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IFERROR(VLOOKUP(B311,input_405011!L:R,7,FALSE),VLOOKUP(tables_405011!C311,input_405011!A:H,8,FALSE))</f>
        <v>49470</v>
      </c>
      <c r="P311" s="46">
        <f t="shared" ca="1" si="19"/>
        <v>5.4494382022471908E-4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input_405011!A$2</f>
        <v>405011</v>
      </c>
      <c r="B312" s="5">
        <v>1106</v>
      </c>
      <c r="C312" s="7" t="str">
        <f t="shared" si="17"/>
        <v>PremiumSS5R5only</v>
      </c>
      <c r="D312" s="7" t="str">
        <f t="shared" si="1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IFERROR(VLOOKUP(B312,input_405011!L:R,7,FALSE),VLOOKUP(tables_405011!C312,input_405011!A:H,8,FALSE))</f>
        <v>53400</v>
      </c>
      <c r="P312" s="46">
        <f t="shared" ca="1" si="19"/>
        <v>5.8823529411764701E-4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input_405011!A$2</f>
        <v>405011</v>
      </c>
      <c r="B313" s="5">
        <v>1102</v>
      </c>
      <c r="C313" s="7" t="str">
        <f t="shared" si="17"/>
        <v>PremiumSS5R5only</v>
      </c>
      <c r="D313" s="7" t="str">
        <f t="shared" si="1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IFERROR(VLOOKUP(B313,input_405011!L:R,7,FALSE),VLOOKUP(tables_405011!C313,input_405011!A:H,8,FALSE))</f>
        <v>53400</v>
      </c>
      <c r="P313" s="46">
        <f t="shared" ca="1" si="19"/>
        <v>5.8823529411764701E-4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input_405011!A$2</f>
        <v>405011</v>
      </c>
      <c r="B314" s="5">
        <v>1100</v>
      </c>
      <c r="C314" s="7" t="str">
        <f t="shared" si="17"/>
        <v>PremiumSS5R5only</v>
      </c>
      <c r="D314" s="7" t="str">
        <f t="shared" si="1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IFERROR(VLOOKUP(B314,input_405011!L:R,7,FALSE),VLOOKUP(tables_405011!C314,input_405011!A:H,8,FALSE))</f>
        <v>53400</v>
      </c>
      <c r="P314" s="46">
        <f t="shared" ca="1" si="19"/>
        <v>5.8823529411764701E-4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8"/>
  <sheetViews>
    <sheetView topLeftCell="A7" workbookViewId="0">
      <selection activeCell="F34" sqref="F34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405100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60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VLOOKUP(L3,tables_405100!B:C,2,FALSE)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60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VLOOKUP(L4,tables_405100!B:C,2,FALSE)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9.8039215686274508E-4</v>
      </c>
      <c r="F5">
        <f>(COUNTIF(tables_405100!C:C,input_405100!A28)+COUNTIF(tables_405100!C:C,input_405100!A29))</f>
        <v>51</v>
      </c>
      <c r="H5" s="84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VLOOKUP(L5,tables_405100!B:C,2,FALSE)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0.95</v>
      </c>
      <c r="D6" t="s">
        <v>202</v>
      </c>
      <c r="E6" s="76">
        <f>(B10-H6)/(F6-I6)</f>
        <v>1.0674157303370785E-2</v>
      </c>
      <c r="F6">
        <f>(COUNTIF(tables_405100!C:C,input_405100!A25)+COUNTIF(tables_405100!C:C,input_405100!A18)+COUNTIF(tables_405100!C:C,input_405100!A20)+COUNTIF(tables_405100!C:C,input_405100!A22))</f>
        <v>89</v>
      </c>
      <c r="H6" s="89">
        <v>0</v>
      </c>
      <c r="I6" s="31">
        <v>0</v>
      </c>
      <c r="L6" s="94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VLOOKUP(L6,tables_405100!B:C,2,FALSE)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0.05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VLOOKUP(L7,tables_405100!B:C,2,FALSE)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VLOOKUP(L8,tables_405100!B:C,2,FALSE)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VLOOKUP(L9,tables_405100!B:C,2,FALSE)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0.95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VLOOKUP(L10,tables_405100!B:C,2,FALSE)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0.05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VLOOKUP(L11,tables_405100!B:C,2,FALSE)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VLOOKUP(L12,tables_405100!B:C,2,FALSE)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VLOOKUP(L13,tables_405100!B:C,2,FALSE)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VLOOKUP(L14,tables_405100!B:C,2,FALSE)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VLOOKUP(L15,tables_405100!B:C,2,FALSE)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VLOOKUP(L16,tables_405100!B:C,2,FALSE)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COUNTIF(tables_405100!C:C,input_405100!A17)-COUNTIF(Q:Q,A17)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VLOOKUP(L17,tables_405100!B:C,2,FALSE)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E$6*E18-B17</f>
        <v>0.2134831460674157</v>
      </c>
      <c r="C18" s="85">
        <f t="shared" si="2"/>
        <v>0</v>
      </c>
      <c r="D18" s="74">
        <f t="shared" si="3"/>
        <v>0.2134831460674157</v>
      </c>
      <c r="E18">
        <f>COUNTIF(tables_405100!C:C,input_405100!A18)-COUNTIF(Q:Q,A18)</f>
        <v>20</v>
      </c>
      <c r="F18" s="43">
        <f>IFERROR(B18/E18,0)</f>
        <v>1.0674157303370785E-2</v>
      </c>
      <c r="G18">
        <f t="shared" si="4"/>
        <v>19379999.999999996</v>
      </c>
      <c r="H18">
        <f t="shared" si="5"/>
        <v>969000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VLOOKUP(L18,tables_405100!B:C,2,FALSE)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COUNTIF(tables_405100!C:C,input_405100!A19)-COUNTIF(Q:Q,A19)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VLOOKUP(L19,tables_405100!B:C,2,FALSE)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5">
        <f>E$6*E20*B$6+E34</f>
        <v>0.53805078211059698</v>
      </c>
      <c r="C20" s="85">
        <f t="shared" si="2"/>
        <v>0</v>
      </c>
      <c r="D20" s="74">
        <f t="shared" si="3"/>
        <v>0.53805078211059698</v>
      </c>
      <c r="E20">
        <f>COUNTIF(tables_405100!C:C,input_405100!A20)-COUNTIF(Q:Q,A20)</f>
        <v>52</v>
      </c>
      <c r="F20" s="43">
        <f t="shared" si="8"/>
        <v>1.0347130425203788E-2</v>
      </c>
      <c r="G20">
        <f t="shared" si="4"/>
        <v>48844249.999999993</v>
      </c>
      <c r="H20">
        <f t="shared" si="5"/>
        <v>939312.5</v>
      </c>
      <c r="I20">
        <f t="shared" si="6"/>
        <v>0.5</v>
      </c>
      <c r="J20">
        <f t="shared" si="7"/>
        <v>2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VLOOKUP(L20,tables_405100!B:C,2,FALSE)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</f>
        <v>1.7005397664683859E-2</v>
      </c>
      <c r="C21" s="85">
        <f t="shared" si="2"/>
        <v>0</v>
      </c>
      <c r="D21" s="74">
        <f t="shared" si="3"/>
        <v>1.7005397664683859E-2</v>
      </c>
      <c r="E21">
        <f>COUNTIF(tables_405100!C:C,input_405100!A21)-COUNTIF(Q:Q,A21)</f>
        <v>52</v>
      </c>
      <c r="F21" s="43">
        <f t="shared" si="8"/>
        <v>3.270268781669973E-4</v>
      </c>
      <c r="G21">
        <f t="shared" si="4"/>
        <v>1543750.0000000007</v>
      </c>
      <c r="H21">
        <f t="shared" si="5"/>
        <v>29687.5</v>
      </c>
      <c r="I21">
        <f t="shared" si="6"/>
        <v>0.5</v>
      </c>
      <c r="J21">
        <f t="shared" si="7"/>
        <v>2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0.1318258426966292</v>
      </c>
      <c r="C22" s="85">
        <f t="shared" si="2"/>
        <v>0</v>
      </c>
      <c r="D22" s="74">
        <f t="shared" si="3"/>
        <v>0.1318258426966292</v>
      </c>
      <c r="E22">
        <f>COUNTIF(tables_405100!C:C,input_405100!A22)-COUNTIF(Q:Q,A22)</f>
        <v>13</v>
      </c>
      <c r="F22" s="43">
        <f t="shared" si="8"/>
        <v>1.0140449438202246E-2</v>
      </c>
      <c r="G22">
        <f t="shared" si="4"/>
        <v>11967149.999999998</v>
      </c>
      <c r="H22">
        <f t="shared" si="5"/>
        <v>920550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6.9382022471910117E-3</v>
      </c>
      <c r="C23" s="85">
        <f t="shared" si="2"/>
        <v>0</v>
      </c>
      <c r="D23" s="74">
        <f t="shared" si="3"/>
        <v>6.9382022471910117E-3</v>
      </c>
      <c r="E23">
        <f>COUNTIF(tables_405100!C:C,input_405100!A23)-COUNTIF(Q:Q,A23)</f>
        <v>13</v>
      </c>
      <c r="F23" s="43">
        <f t="shared" si="8"/>
        <v>5.3370786516853937E-4</v>
      </c>
      <c r="G23">
        <f t="shared" si="4"/>
        <v>629850</v>
      </c>
      <c r="H23">
        <f t="shared" si="5"/>
        <v>48450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COUNTIF(tables_405100!C:C,input_405100!A24)-COUNTIF(Q:Q,A24)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4.0561797752808978E-2</v>
      </c>
      <c r="C25" s="85">
        <f t="shared" si="2"/>
        <v>0</v>
      </c>
      <c r="D25" s="74">
        <f t="shared" si="3"/>
        <v>4.0561797752808978E-2</v>
      </c>
      <c r="E25">
        <f>COUNTIF(tables_405100!C:C,input_405100!A25)-COUNTIF(Q:Q,A25)</f>
        <v>4</v>
      </c>
      <c r="F25" s="43">
        <f t="shared" si="8"/>
        <v>1.0140449438202245E-2</v>
      </c>
      <c r="G25">
        <f t="shared" si="4"/>
        <v>3682199.9999999991</v>
      </c>
      <c r="H25">
        <f t="shared" si="5"/>
        <v>920550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2.134831460674157E-3</v>
      </c>
      <c r="C26" s="85">
        <f t="shared" si="2"/>
        <v>0</v>
      </c>
      <c r="D26" s="74">
        <f t="shared" si="3"/>
        <v>2.134831460674157E-3</v>
      </c>
      <c r="E26">
        <f>COUNTIF(tables_405100!C:C,input_405100!A26)-COUNTIF(Q:Q,A26)</f>
        <v>4</v>
      </c>
      <c r="F26" s="43">
        <f t="shared" si="8"/>
        <v>5.3370786516853926E-4</v>
      </c>
      <c r="G26">
        <f t="shared" si="4"/>
        <v>193799.99999999997</v>
      </c>
      <c r="H26">
        <f t="shared" si="5"/>
        <v>48450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2.6078431372549019E-2</v>
      </c>
      <c r="C27" s="85">
        <f t="shared" si="2"/>
        <v>0</v>
      </c>
      <c r="D27" s="74">
        <f t="shared" si="3"/>
        <v>2.6078431372549019E-2</v>
      </c>
      <c r="E27">
        <f>COUNTIF(tables_405100!C:C,input_405100!A27)-COUNTIF(Q:Q,A27)</f>
        <v>28</v>
      </c>
      <c r="F27" s="43">
        <f>IFERROR(B27/E27,0)</f>
        <v>9.3137254901960785E-4</v>
      </c>
      <c r="G27">
        <f t="shared" si="4"/>
        <v>2367400</v>
      </c>
      <c r="H27">
        <f t="shared" si="5"/>
        <v>84550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1.3725490196078432E-3</v>
      </c>
      <c r="C28" s="85">
        <f t="shared" si="2"/>
        <v>0</v>
      </c>
      <c r="D28" s="74">
        <f t="shared" si="3"/>
        <v>1.3725490196078432E-3</v>
      </c>
      <c r="E28">
        <f>COUNTIF(tables_405100!C:C,input_405100!A28)-COUNTIF(Q:Q,A28)</f>
        <v>28</v>
      </c>
      <c r="F28" s="43">
        <f t="shared" si="8"/>
        <v>4.9019607843137253E-5</v>
      </c>
      <c r="G28">
        <f t="shared" si="4"/>
        <v>124600</v>
      </c>
      <c r="H28">
        <f t="shared" si="5"/>
        <v>4450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2.2549019607843137E-2</v>
      </c>
      <c r="C29" s="85">
        <f t="shared" si="2"/>
        <v>0</v>
      </c>
      <c r="D29" s="74">
        <f t="shared" si="3"/>
        <v>2.2549019607843137E-2</v>
      </c>
      <c r="E29">
        <f>COUNTIF(tables_405100!C:C,input_405100!A29)-COUNTIF(Q:Q,A29)</f>
        <v>23</v>
      </c>
      <c r="F29" s="43">
        <f t="shared" si="8"/>
        <v>9.8039215686274508E-4</v>
      </c>
      <c r="G29">
        <f t="shared" si="4"/>
        <v>2047000</v>
      </c>
      <c r="H29">
        <f t="shared" si="5"/>
        <v>89000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COUNTIF(tables_405100!C:C,input_405100!A30)-COUNTIF(Q:Q,A30)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COUNTIF(tables_405100!C:C,input_405100!A31)-COUNTIF(Q:Q,A31)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1.0747411324080192E-2</v>
      </c>
    </row>
    <row r="35" spans="1:7" x14ac:dyDescent="0.15">
      <c r="A35" t="s">
        <v>73</v>
      </c>
    </row>
    <row r="36" spans="1:7" x14ac:dyDescent="0.15">
      <c r="A36" s="31">
        <f>LCM(F5-I5,F6-I6)*1000*2*2*5</f>
        <v>90780000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SUMIF(tables_405100!C:C,input_405100!A40,tables_405100!O:O)</f>
        <v>0</v>
      </c>
      <c r="C40" s="54">
        <f t="shared" ref="C40:C46" ca="1" si="9">B40/B$47</f>
        <v>0</v>
      </c>
      <c r="E40">
        <v>3</v>
      </c>
      <c r="F40">
        <f ca="1">SUMIF(tables_405100!J:J,input_405100!E40,tables_405100!O:O)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SUMIF(tables_405100!C:C,input_405100!A41,tables_405100!O:O)</f>
        <v>48844250</v>
      </c>
      <c r="C41" s="54">
        <f t="shared" ca="1" si="9"/>
        <v>0.92368097579425112</v>
      </c>
      <c r="E41">
        <v>4</v>
      </c>
      <c r="F41">
        <f ca="1">SUMIF(tables_405100!J:J,input_405100!E41,tables_405100!O:O)</f>
        <v>86241000</v>
      </c>
      <c r="G41">
        <f ca="1">F41/A36</f>
        <v>0.95</v>
      </c>
    </row>
    <row r="42" spans="1:7" x14ac:dyDescent="0.15">
      <c r="A42" s="33" t="s">
        <v>106</v>
      </c>
      <c r="B42">
        <f ca="1">SUMIF(tables_405100!C:C,input_405100!A42,tables_405100!O:O)</f>
        <v>2367400</v>
      </c>
      <c r="C42" s="54">
        <f t="shared" ca="1" si="9"/>
        <v>4.4769288956127078E-2</v>
      </c>
      <c r="E42">
        <v>5</v>
      </c>
      <c r="F42">
        <f ca="1">SUMIF(tables_405100!J:J,input_405100!E42,tables_405100!O:O)</f>
        <v>4539000</v>
      </c>
      <c r="G42">
        <f ca="1">F42/A36</f>
        <v>0.05</v>
      </c>
    </row>
    <row r="43" spans="1:7" x14ac:dyDescent="0.15">
      <c r="A43" s="33" t="s">
        <v>109</v>
      </c>
      <c r="B43">
        <f>SUMIF(tables_405100!C:C,input_405100!A43,tables_405100!O:O)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SUMIF(tables_405100!C:C,input_405100!A44,tables_405100!O:O)</f>
        <v>1543750</v>
      </c>
      <c r="C44" s="54">
        <f t="shared" ca="1" si="9"/>
        <v>2.9193456883509834E-2</v>
      </c>
      <c r="E44" t="s">
        <v>54</v>
      </c>
      <c r="F44" s="55"/>
    </row>
    <row r="45" spans="1:7" x14ac:dyDescent="0.15">
      <c r="A45" s="33" t="s">
        <v>107</v>
      </c>
      <c r="B45">
        <f ca="1">SUMIF(tables_405100!C:C,input_405100!A45,tables_405100!O:O)</f>
        <v>124600</v>
      </c>
      <c r="C45" s="54">
        <f t="shared" ca="1" si="9"/>
        <v>2.3562783661119518E-3</v>
      </c>
      <c r="E45" t="s">
        <v>204</v>
      </c>
      <c r="F45" s="55">
        <f ca="1">SUMIF(tables_405100!I:I,input_405100!E45,tables_405100!P:P)</f>
        <v>0.21348314606741578</v>
      </c>
    </row>
    <row r="46" spans="1:7" x14ac:dyDescent="0.15">
      <c r="A46" s="33" t="s">
        <v>108</v>
      </c>
      <c r="B46">
        <f>SUMIF(tables_405100!C:C,input_405100!A46,tables_405100!O:O)</f>
        <v>0</v>
      </c>
      <c r="C46" s="54">
        <f t="shared" ca="1" si="9"/>
        <v>0</v>
      </c>
      <c r="E46" t="s">
        <v>205</v>
      </c>
      <c r="F46" s="55">
        <f ca="1">SUMIF(tables_405100!I:I,input_405100!E46,tables_405100!P:P)</f>
        <v>0.2134831460674157</v>
      </c>
    </row>
    <row r="47" spans="1:7" x14ac:dyDescent="0.15">
      <c r="A47" s="39" t="s">
        <v>59</v>
      </c>
      <c r="B47">
        <f ca="1">SUM(B40:B46)</f>
        <v>52880000</v>
      </c>
      <c r="C47" s="55">
        <f ca="1">SUM(C40:C46)</f>
        <v>1</v>
      </c>
      <c r="E47" t="s">
        <v>206</v>
      </c>
      <c r="F47" s="55">
        <f ca="1">SUMIF(tables_405100!I:I,input_405100!E47,tables_405100!P:P)</f>
        <v>0.52303370786516845</v>
      </c>
    </row>
    <row r="48" spans="1:7" x14ac:dyDescent="0.15">
      <c r="E48" t="s">
        <v>207</v>
      </c>
      <c r="F48" s="55">
        <f ca="1">SUMIF(tables_405100!I:I,input_405100!E48,tables_405100!P:P)</f>
        <v>4.803921568627445E-2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14"/>
  <sheetViews>
    <sheetView showGridLines="0" zoomScale="75" zoomScaleNormal="75" zoomScalePageLayoutView="75" workbookViewId="0">
      <pane ySplit="1" topLeftCell="A287" activePane="bottomLeft" state="frozen"/>
      <selection activeCell="D34" sqref="D34"/>
      <selection pane="bottomLeft" activeCell="B310" sqref="B310:B314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input_405100!A$2</f>
        <v>405100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IF(OR(I2="PremiumSS",I2="PremiumSSw"),"PremiumSS",IF(I2="PremiumSSS",I2,IF(I2="PremiumW",I2,"Premium")))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IFERROR(VLOOKUP(B2,input_405100!L:R,7,FALSE),VLOOKUP(tables_405100!C2,input_405100!A:H,8,FALSE))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input_405100!A$2</f>
        <v>405100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IF(OR(I3="PremiumSS",I3="PremiumSSw"),"PremiumSS",IF(I3="PremiumSSS",I3,IF(I3="PremiumW",I3,"Premium")))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IFERROR(VLOOKUP(B3,input_405100!L:R,7,FALSE),VLOOKUP(tables_405100!C3,input_405100!A:H,8,FALSE))</f>
        <v>969000</v>
      </c>
      <c r="P3" s="46">
        <f t="shared" ca="1" si="1"/>
        <v>1.0674157303370787E-2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input_405100!A$2</f>
        <v>405100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IFERROR(VLOOKUP(B4,input_405100!L:R,7,FALSE),VLOOKUP(tables_405100!C4,input_405100!A:H,8,FALSE))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input_405100!A$2</f>
        <v>405100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IFERROR(VLOOKUP(B5,input_405100!L:R,7,FALSE),VLOOKUP(tables_405100!C5,input_405100!A:H,8,FALSE))</f>
        <v>969000</v>
      </c>
      <c r="P5" s="46">
        <f t="shared" ca="1" si="1"/>
        <v>1.0674157303370787E-2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input_405100!A$2</f>
        <v>405100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IFERROR(VLOOKUP(B6,input_405100!L:R,7,FALSE),VLOOKUP(tables_405100!C6,input_405100!A:H,8,FALSE))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input_405100!A$2</f>
        <v>405100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IFERROR(VLOOKUP(B7,input_405100!L:R,7,FALSE),VLOOKUP(tables_405100!C7,input_405100!A:H,8,FALSE))</f>
        <v>969000</v>
      </c>
      <c r="P7" s="46">
        <f t="shared" ca="1" si="1"/>
        <v>1.0674157303370787E-2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input_405100!A$2</f>
        <v>405100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IFERROR(VLOOKUP(B8,input_405100!L:R,7,FALSE),VLOOKUP(tables_405100!C8,input_405100!A:H,8,FALSE))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input_405100!A$2</f>
        <v>405100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IFERROR(VLOOKUP(B9,input_405100!L:R,7,FALSE),VLOOKUP(tables_405100!C9,input_405100!A:H,8,FALSE))</f>
        <v>969000</v>
      </c>
      <c r="P9" s="46">
        <f t="shared" ca="1" si="1"/>
        <v>1.0674157303370787E-2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input_405100!A$2</f>
        <v>405100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IFERROR(VLOOKUP(B10,input_405100!L:R,7,FALSE),VLOOKUP(tables_405100!C10,input_405100!A:H,8,FALSE))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input_405100!A$2</f>
        <v>405100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IFERROR(VLOOKUP(B11,input_405100!L:R,7,FALSE),VLOOKUP(tables_405100!C11,input_405100!A:H,8,FALSE))</f>
        <v>969000</v>
      </c>
      <c r="P11" s="46">
        <f t="shared" ca="1" si="1"/>
        <v>1.0674157303370787E-2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input_405100!A$2</f>
        <v>405100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IFERROR(VLOOKUP(B12,input_405100!L:R,7,FALSE),VLOOKUP(tables_405100!C12,input_405100!A:H,8,FALSE))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input_405100!A$2</f>
        <v>405100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IFERROR(VLOOKUP(B13,input_405100!L:R,7,FALSE),VLOOKUP(tables_405100!C13,input_405100!A:H,8,FALSE))</f>
        <v>969000</v>
      </c>
      <c r="P13" s="46">
        <f t="shared" ca="1" si="1"/>
        <v>1.0674157303370787E-2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input_405100!A$2</f>
        <v>405100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IFERROR(VLOOKUP(B14,input_405100!L:R,7,FALSE),VLOOKUP(tables_405100!C14,input_405100!A:H,8,FALSE))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input_405100!A$2</f>
        <v>405100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IFERROR(VLOOKUP(B15,input_405100!L:R,7,FALSE),VLOOKUP(tables_405100!C15,input_405100!A:H,8,FALSE))</f>
        <v>969000</v>
      </c>
      <c r="P15" s="46">
        <f t="shared" ca="1" si="1"/>
        <v>1.0674157303370787E-2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input_405100!A$2</f>
        <v>405100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IFERROR(VLOOKUP(B16,input_405100!L:R,7,FALSE),VLOOKUP(tables_405100!C16,input_405100!A:H,8,FALSE))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input_405100!A$2</f>
        <v>405100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IFERROR(VLOOKUP(B17,input_405100!L:R,7,FALSE),VLOOKUP(tables_405100!C17,input_405100!A:H,8,FALSE))</f>
        <v>969000</v>
      </c>
      <c r="P17" s="46">
        <f t="shared" ca="1" si="1"/>
        <v>1.0674157303370787E-2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input_405100!A$2</f>
        <v>405100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IFERROR(VLOOKUP(B18,input_405100!L:R,7,FALSE),VLOOKUP(tables_405100!C18,input_405100!A:H,8,FALSE))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input_405100!A$2</f>
        <v>405100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IFERROR(VLOOKUP(B19,input_405100!L:R,7,FALSE),VLOOKUP(tables_405100!C19,input_405100!A:H,8,FALSE))</f>
        <v>969000</v>
      </c>
      <c r="P19" s="46">
        <f t="shared" ca="1" si="1"/>
        <v>1.0674157303370787E-2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input_405100!A$2</f>
        <v>405100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IFERROR(VLOOKUP(B20,input_405100!L:R,7,FALSE),VLOOKUP(tables_405100!C20,input_405100!A:H,8,FALSE))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input_405100!A$2</f>
        <v>405100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IFERROR(VLOOKUP(B21,input_405100!L:R,7,FALSE),VLOOKUP(tables_405100!C21,input_405100!A:H,8,FALSE))</f>
        <v>969000</v>
      </c>
      <c r="P21" s="46">
        <f t="shared" ca="1" si="1"/>
        <v>1.0674157303370787E-2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input_405100!A$2</f>
        <v>405100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IFERROR(VLOOKUP(B22,input_405100!L:R,7,FALSE),VLOOKUP(tables_405100!C22,input_405100!A:H,8,FALSE))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input_405100!A$2</f>
        <v>405100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IFERROR(VLOOKUP(B23,input_405100!L:R,7,FALSE),VLOOKUP(tables_405100!C23,input_405100!A:H,8,FALSE))</f>
        <v>969000</v>
      </c>
      <c r="P23" s="46">
        <f t="shared" ca="1" si="1"/>
        <v>1.0674157303370787E-2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input_405100!A$2</f>
        <v>405100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IFERROR(VLOOKUP(B24,input_405100!L:R,7,FALSE),VLOOKUP(tables_405100!C24,input_405100!A:H,8,FALSE))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input_405100!A$2</f>
        <v>405100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IFERROR(VLOOKUP(B25,input_405100!L:R,7,FALSE),VLOOKUP(tables_405100!C25,input_405100!A:H,8,FALSE))</f>
        <v>969000</v>
      </c>
      <c r="P25" s="46">
        <f t="shared" ca="1" si="1"/>
        <v>1.0674157303370787E-2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input_405100!A$2</f>
        <v>405100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IFERROR(VLOOKUP(B26,input_405100!L:R,7,FALSE),VLOOKUP(tables_405100!C26,input_405100!A:H,8,FALSE))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input_405100!A$2</f>
        <v>405100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IFERROR(VLOOKUP(B27,input_405100!L:R,7,FALSE),VLOOKUP(tables_405100!C27,input_405100!A:H,8,FALSE))</f>
        <v>969000</v>
      </c>
      <c r="P27" s="46">
        <f t="shared" ca="1" si="1"/>
        <v>1.0674157303370787E-2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input_405100!A$2</f>
        <v>405100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IFERROR(VLOOKUP(B28,input_405100!L:R,7,FALSE),VLOOKUP(tables_405100!C28,input_405100!A:H,8,FALSE))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input_405100!A$2</f>
        <v>405100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IFERROR(VLOOKUP(B29,input_405100!L:R,7,FALSE),VLOOKUP(tables_405100!C29,input_405100!A:H,8,FALSE))</f>
        <v>969000</v>
      </c>
      <c r="P29" s="46">
        <f t="shared" ca="1" si="1"/>
        <v>1.0674157303370787E-2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input_405100!A$2</f>
        <v>405100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IFERROR(VLOOKUP(B30,input_405100!L:R,7,FALSE),VLOOKUP(tables_405100!C30,input_405100!A:H,8,FALSE))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input_405100!A$2</f>
        <v>405100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IFERROR(VLOOKUP(B31,input_405100!L:R,7,FALSE),VLOOKUP(tables_405100!C31,input_405100!A:H,8,FALSE))</f>
        <v>969000</v>
      </c>
      <c r="P31" s="46">
        <f t="shared" ca="1" si="1"/>
        <v>1.0674157303370787E-2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input_405100!A$2</f>
        <v>405100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IFERROR(VLOOKUP(B32,input_405100!L:R,7,FALSE),VLOOKUP(tables_405100!C32,input_405100!A:H,8,FALSE))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input_405100!A$2</f>
        <v>405100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IFERROR(VLOOKUP(B33,input_405100!L:R,7,FALSE),VLOOKUP(tables_405100!C33,input_405100!A:H,8,FALSE))</f>
        <v>969000</v>
      </c>
      <c r="P33" s="46">
        <f t="shared" ca="1" si="1"/>
        <v>1.0674157303370787E-2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input_405100!A$2</f>
        <v>405100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IFERROR(VLOOKUP(B34,input_405100!L:R,7,FALSE),VLOOKUP(tables_405100!C34,input_405100!A:H,8,FALSE))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input_405100!A$2</f>
        <v>405100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IFERROR(VLOOKUP(B35,input_405100!L:R,7,FALSE),VLOOKUP(tables_405100!C35,input_405100!A:H,8,FALSE))</f>
        <v>969000</v>
      </c>
      <c r="P35" s="46">
        <f t="shared" ca="1" si="1"/>
        <v>1.0674157303370787E-2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input_405100!A$2</f>
        <v>405100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IFERROR(VLOOKUP(B36,input_405100!L:R,7,FALSE),VLOOKUP(tables_405100!C36,input_405100!A:H,8,FALSE))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input_405100!A$2</f>
        <v>405100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IFERROR(VLOOKUP(B37,input_405100!L:R,7,FALSE),VLOOKUP(tables_405100!C37,input_405100!A:H,8,FALSE))</f>
        <v>969000</v>
      </c>
      <c r="P37" s="46">
        <f t="shared" ca="1" si="1"/>
        <v>1.0674157303370787E-2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input_405100!A$2</f>
        <v>405100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IFERROR(VLOOKUP(B38,input_405100!L:R,7,FALSE),VLOOKUP(tables_405100!C38,input_405100!A:H,8,FALSE))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input_405100!A$2</f>
        <v>405100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IFERROR(VLOOKUP(B39,input_405100!L:R,7,FALSE),VLOOKUP(tables_405100!C39,input_405100!A:H,8,FALSE))</f>
        <v>969000</v>
      </c>
      <c r="P39" s="46">
        <f t="shared" ca="1" si="1"/>
        <v>1.0674157303370787E-2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input_405100!A$2</f>
        <v>405100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IFERROR(VLOOKUP(B40,input_405100!L:R,7,FALSE),VLOOKUP(tables_405100!C40,input_405100!A:H,8,FALSE))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input_405100!A$2</f>
        <v>405100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IFERROR(VLOOKUP(B41,input_405100!L:R,7,FALSE),VLOOKUP(tables_405100!C41,input_405100!A:H,8,FALSE))</f>
        <v>969000</v>
      </c>
      <c r="P41" s="46">
        <f t="shared" ca="1" si="1"/>
        <v>1.0674157303370787E-2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input_405100!A$2</f>
        <v>405100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IFERROR(VLOOKUP(B42,input_405100!L:R,7,FALSE),VLOOKUP(tables_405100!C42,input_405100!A:H,8,FALSE))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input_405100!A$2</f>
        <v>405100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IFERROR(VLOOKUP(B43,input_405100!L:R,7,FALSE),VLOOKUP(tables_405100!C43,input_405100!A:H,8,FALSE))</f>
        <v>920550</v>
      </c>
      <c r="P43" s="46">
        <f t="shared" ca="1" si="1"/>
        <v>1.0140449438202246E-2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input_405100!A$2</f>
        <v>405100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IFERROR(VLOOKUP(B44,input_405100!L:R,7,FALSE),VLOOKUP(tables_405100!C44,input_405100!A:H,8,FALSE))</f>
        <v>48450</v>
      </c>
      <c r="P44" s="46">
        <f t="shared" ca="1" si="1"/>
        <v>5.3370786516853937E-4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input_405100!A$2</f>
        <v>405100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IFERROR(VLOOKUP(B45,input_405100!L:R,7,FALSE),VLOOKUP(tables_405100!C45,input_405100!A:H,8,FALSE))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input_405100!A$2</f>
        <v>405100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IFERROR(VLOOKUP(B46,input_405100!L:R,7,FALSE),VLOOKUP(tables_405100!C46,input_405100!A:H,8,FALSE))</f>
        <v>920550</v>
      </c>
      <c r="P46" s="46">
        <f t="shared" ca="1" si="1"/>
        <v>1.0140449438202246E-2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input_405100!A$2</f>
        <v>405100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IFERROR(VLOOKUP(B47,input_405100!L:R,7,FALSE),VLOOKUP(tables_405100!C47,input_405100!A:H,8,FALSE))</f>
        <v>48450</v>
      </c>
      <c r="P47" s="46">
        <f t="shared" ca="1" si="1"/>
        <v>5.3370786516853937E-4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input_405100!A$2</f>
        <v>405100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IFERROR(VLOOKUP(B48,input_405100!L:R,7,FALSE),VLOOKUP(tables_405100!C48,input_405100!A:H,8,FALSE))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input_405100!A$2</f>
        <v>405100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IFERROR(VLOOKUP(B49,input_405100!L:R,7,FALSE),VLOOKUP(tables_405100!C49,input_405100!A:H,8,FALSE))</f>
        <v>920550</v>
      </c>
      <c r="P49" s="46">
        <f t="shared" ca="1" si="1"/>
        <v>1.0140449438202246E-2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input_405100!A$2</f>
        <v>405100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IFERROR(VLOOKUP(B50,input_405100!L:R,7,FALSE),VLOOKUP(tables_405100!C50,input_405100!A:H,8,FALSE))</f>
        <v>48450</v>
      </c>
      <c r="P50" s="46">
        <f t="shared" ca="1" si="1"/>
        <v>5.3370786516853937E-4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input_405100!A$2</f>
        <v>405100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IFERROR(VLOOKUP(B51,input_405100!L:R,7,FALSE),VLOOKUP(tables_405100!C51,input_405100!A:H,8,FALSE))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input_405100!A$2</f>
        <v>405100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IFERROR(VLOOKUP(B52,input_405100!L:R,7,FALSE),VLOOKUP(tables_405100!C52,input_405100!A:H,8,FALSE))</f>
        <v>939312.5</v>
      </c>
      <c r="P52" s="46">
        <f t="shared" ca="1" si="1"/>
        <v>1.034713042520379E-2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input_405100!A$2</f>
        <v>405100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IFERROR(VLOOKUP(B53,input_405100!L:R,7,FALSE),VLOOKUP(tables_405100!C53,input_405100!A:H,8,FALSE))</f>
        <v>29687.5</v>
      </c>
      <c r="P53" s="46">
        <f t="shared" ca="1" si="1"/>
        <v>3.2702687816699714E-4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input_405100!A$2</f>
        <v>405100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IFERROR(VLOOKUP(B54,input_405100!L:R,7,FALSE),VLOOKUP(tables_405100!C54,input_405100!A:H,8,FALSE))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input_405100!A$2</f>
        <v>405100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IFERROR(VLOOKUP(B55,input_405100!L:R,7,FALSE),VLOOKUP(tables_405100!C55,input_405100!A:H,8,FALSE))</f>
        <v>939312.5</v>
      </c>
      <c r="P55" s="46">
        <f t="shared" ca="1" si="1"/>
        <v>1.034713042520379E-2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input_405100!A$2</f>
        <v>405100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IFERROR(VLOOKUP(B56,input_405100!L:R,7,FALSE),VLOOKUP(tables_405100!C56,input_405100!A:H,8,FALSE))</f>
        <v>29687.5</v>
      </c>
      <c r="P56" s="46">
        <f t="shared" ca="1" si="1"/>
        <v>3.2702687816699714E-4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input_405100!A$2</f>
        <v>405100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IFERROR(VLOOKUP(B57,input_405100!L:R,7,FALSE),VLOOKUP(tables_405100!C57,input_405100!A:H,8,FALSE))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input_405100!A$2</f>
        <v>405100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IFERROR(VLOOKUP(B58,input_405100!L:R,7,FALSE),VLOOKUP(tables_405100!C58,input_405100!A:H,8,FALSE))</f>
        <v>939312.5</v>
      </c>
      <c r="P58" s="46">
        <f t="shared" ca="1" si="1"/>
        <v>1.034713042520379E-2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input_405100!A$2</f>
        <v>405100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IFERROR(VLOOKUP(B59,input_405100!L:R,7,FALSE),VLOOKUP(tables_405100!C59,input_405100!A:H,8,FALSE))</f>
        <v>29687.5</v>
      </c>
      <c r="P59" s="46">
        <f t="shared" ca="1" si="1"/>
        <v>3.2702687816699714E-4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input_405100!A$2</f>
        <v>405100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IFERROR(VLOOKUP(B60,input_405100!L:R,7,FALSE),VLOOKUP(tables_405100!C60,input_405100!A:H,8,FALSE))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input_405100!A$2</f>
        <v>405100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IFERROR(VLOOKUP(B61,input_405100!L:R,7,FALSE),VLOOKUP(tables_405100!C61,input_405100!A:H,8,FALSE))</f>
        <v>939312.5</v>
      </c>
      <c r="P61" s="46">
        <f t="shared" ca="1" si="1"/>
        <v>1.034713042520379E-2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input_405100!A$2</f>
        <v>405100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IFERROR(VLOOKUP(B62,input_405100!L:R,7,FALSE),VLOOKUP(tables_405100!C62,input_405100!A:H,8,FALSE))</f>
        <v>29687.5</v>
      </c>
      <c r="P62" s="46">
        <f t="shared" ca="1" si="1"/>
        <v>3.2702687816699714E-4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input_405100!A$2</f>
        <v>405100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IFERROR(VLOOKUP(B63,input_405100!L:R,7,FALSE),VLOOKUP(tables_405100!C63,input_405100!A:H,8,FALSE))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input_405100!A$2</f>
        <v>405100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IFERROR(VLOOKUP(B64,input_405100!L:R,7,FALSE),VLOOKUP(tables_405100!C64,input_405100!A:H,8,FALSE))</f>
        <v>939312.5</v>
      </c>
      <c r="P64" s="46">
        <f t="shared" ca="1" si="1"/>
        <v>1.034713042520379E-2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input_405100!A$2</f>
        <v>405100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IFERROR(VLOOKUP(B65,input_405100!L:R,7,FALSE),VLOOKUP(tables_405100!C65,input_405100!A:H,8,FALSE))</f>
        <v>29687.5</v>
      </c>
      <c r="P65" s="46">
        <f t="shared" ca="1" si="1"/>
        <v>3.2702687816699714E-4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input_405100!A$2</f>
        <v>405100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IFERROR(VLOOKUP(B66,input_405100!L:R,7,FALSE),VLOOKUP(tables_405100!C66,input_405100!A:H,8,FALSE))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input_405100!A$2</f>
        <v>405100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IF(OR(I67="PremiumSS",I67="PremiumSSw"),"PremiumSS",IF(I67="PremiumSSS",I67,IF(I67="PremiumW",I67,"Premium")))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IFERROR(VLOOKUP(B67,input_405100!L:R,7,FALSE),VLOOKUP(tables_405100!C67,input_405100!A:H,8,FALSE))</f>
        <v>939312.5</v>
      </c>
      <c r="P67" s="46">
        <f t="shared" ca="1" si="4"/>
        <v>1.034713042520379E-2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input_405100!A$2</f>
        <v>405100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IFERROR(VLOOKUP(B68,input_405100!L:R,7,FALSE),VLOOKUP(tables_405100!C68,input_405100!A:H,8,FALSE))</f>
        <v>29687.5</v>
      </c>
      <c r="P68" s="46">
        <f t="shared" ca="1" si="4"/>
        <v>3.2702687816699714E-4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input_405100!A$2</f>
        <v>405100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IFERROR(VLOOKUP(B69,input_405100!L:R,7,FALSE),VLOOKUP(tables_405100!C69,input_405100!A:H,8,FALSE))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input_405100!A$2</f>
        <v>405100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IFERROR(VLOOKUP(B70,input_405100!L:R,7,FALSE),VLOOKUP(tables_405100!C70,input_405100!A:H,8,FALSE))</f>
        <v>939312.5</v>
      </c>
      <c r="P70" s="46">
        <f t="shared" ca="1" si="4"/>
        <v>1.034713042520379E-2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input_405100!A$2</f>
        <v>405100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IFERROR(VLOOKUP(B71,input_405100!L:R,7,FALSE),VLOOKUP(tables_405100!C71,input_405100!A:H,8,FALSE))</f>
        <v>29687.5</v>
      </c>
      <c r="P71" s="46">
        <f t="shared" ca="1" si="4"/>
        <v>3.2702687816699714E-4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input_405100!A$2</f>
        <v>405100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IFERROR(VLOOKUP(B72,input_405100!L:R,7,FALSE),VLOOKUP(tables_405100!C72,input_405100!A:H,8,FALSE))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input_405100!A$2</f>
        <v>405100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IFERROR(VLOOKUP(B73,input_405100!L:R,7,FALSE),VLOOKUP(tables_405100!C73,input_405100!A:H,8,FALSE))</f>
        <v>939312.5</v>
      </c>
      <c r="P73" s="46">
        <f t="shared" ca="1" si="4"/>
        <v>1.034713042520379E-2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input_405100!A$2</f>
        <v>405100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IFERROR(VLOOKUP(B74,input_405100!L:R,7,FALSE),VLOOKUP(tables_405100!C74,input_405100!A:H,8,FALSE))</f>
        <v>29687.5</v>
      </c>
      <c r="P74" s="46">
        <f t="shared" ca="1" si="4"/>
        <v>3.2702687816699714E-4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input_405100!A$2</f>
        <v>405100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IFERROR(VLOOKUP(B75,input_405100!L:R,7,FALSE),VLOOKUP(tables_405100!C75,input_405100!A:H,8,FALSE))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input_405100!A$2</f>
        <v>405100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IFERROR(VLOOKUP(B76,input_405100!L:R,7,FALSE),VLOOKUP(tables_405100!C76,input_405100!A:H,8,FALSE))</f>
        <v>939312.5</v>
      </c>
      <c r="P76" s="46">
        <f t="shared" ca="1" si="4"/>
        <v>1.034713042520379E-2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input_405100!A$2</f>
        <v>405100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IFERROR(VLOOKUP(B77,input_405100!L:R,7,FALSE),VLOOKUP(tables_405100!C77,input_405100!A:H,8,FALSE))</f>
        <v>29687.5</v>
      </c>
      <c r="P77" s="46">
        <f t="shared" ca="1" si="4"/>
        <v>3.2702687816699714E-4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input_405100!A$2</f>
        <v>405100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IFERROR(VLOOKUP(B78,input_405100!L:R,7,FALSE),VLOOKUP(tables_405100!C78,input_405100!A:H,8,FALSE))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input_405100!A$2</f>
        <v>405100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IFERROR(VLOOKUP(B79,input_405100!L:R,7,FALSE),VLOOKUP(tables_405100!C79,input_405100!A:H,8,FALSE))</f>
        <v>939312.5</v>
      </c>
      <c r="P79" s="46">
        <f t="shared" ca="1" si="4"/>
        <v>1.034713042520379E-2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input_405100!A$2</f>
        <v>405100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IFERROR(VLOOKUP(B80,input_405100!L:R,7,FALSE),VLOOKUP(tables_405100!C80,input_405100!A:H,8,FALSE))</f>
        <v>29687.5</v>
      </c>
      <c r="P80" s="46">
        <f t="shared" ca="1" si="4"/>
        <v>3.2702687816699714E-4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input_405100!A$2</f>
        <v>405100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IFERROR(VLOOKUP(B81,input_405100!L:R,7,FALSE),VLOOKUP(tables_405100!C81,input_405100!A:H,8,FALSE))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input_405100!A$2</f>
        <v>405100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IFERROR(VLOOKUP(B82,input_405100!L:R,7,FALSE),VLOOKUP(tables_405100!C82,input_405100!A:H,8,FALSE))</f>
        <v>939312.5</v>
      </c>
      <c r="P82" s="46">
        <f t="shared" ca="1" si="4"/>
        <v>1.034713042520379E-2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input_405100!A$2</f>
        <v>405100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IFERROR(VLOOKUP(B83,input_405100!L:R,7,FALSE),VLOOKUP(tables_405100!C83,input_405100!A:H,8,FALSE))</f>
        <v>29687.5</v>
      </c>
      <c r="P83" s="46">
        <f t="shared" ca="1" si="4"/>
        <v>3.2702687816699714E-4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input_405100!A$2</f>
        <v>405100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IFERROR(VLOOKUP(B84,input_405100!L:R,7,FALSE),VLOOKUP(tables_405100!C84,input_405100!A:H,8,FALSE))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input_405100!A$2</f>
        <v>405100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IFERROR(VLOOKUP(B85,input_405100!L:R,7,FALSE),VLOOKUP(tables_405100!C85,input_405100!A:H,8,FALSE))</f>
        <v>939312.5</v>
      </c>
      <c r="P85" s="46">
        <f t="shared" ca="1" si="4"/>
        <v>1.034713042520379E-2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input_405100!A$2</f>
        <v>405100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IFERROR(VLOOKUP(B86,input_405100!L:R,7,FALSE),VLOOKUP(tables_405100!C86,input_405100!A:H,8,FALSE))</f>
        <v>29687.5</v>
      </c>
      <c r="P86" s="46">
        <f t="shared" ca="1" si="4"/>
        <v>3.2702687816699714E-4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input_405100!A$2</f>
        <v>405100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IFERROR(VLOOKUP(B87,input_405100!L:R,7,FALSE),VLOOKUP(tables_405100!C87,input_405100!A:H,8,FALSE))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input_405100!A$2</f>
        <v>405100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IFERROR(VLOOKUP(B88,input_405100!L:R,7,FALSE),VLOOKUP(tables_405100!C88,input_405100!A:H,8,FALSE))</f>
        <v>939312.5</v>
      </c>
      <c r="P88" s="46">
        <f t="shared" ca="1" si="4"/>
        <v>1.034713042520379E-2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input_405100!A$2</f>
        <v>405100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IFERROR(VLOOKUP(B89,input_405100!L:R,7,FALSE),VLOOKUP(tables_405100!C89,input_405100!A:H,8,FALSE))</f>
        <v>29687.5</v>
      </c>
      <c r="P89" s="46">
        <f t="shared" ca="1" si="4"/>
        <v>3.2702687816699714E-4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input_405100!A$2</f>
        <v>405100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IFERROR(VLOOKUP(B90,input_405100!L:R,7,FALSE),VLOOKUP(tables_405100!C90,input_405100!A:H,8,FALSE))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input_405100!A$2</f>
        <v>405100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IFERROR(VLOOKUP(B91,input_405100!L:R,7,FALSE),VLOOKUP(tables_405100!C91,input_405100!A:H,8,FALSE))</f>
        <v>939312.5</v>
      </c>
      <c r="P91" s="46">
        <f t="shared" ca="1" si="4"/>
        <v>1.034713042520379E-2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input_405100!A$2</f>
        <v>405100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IFERROR(VLOOKUP(B92,input_405100!L:R,7,FALSE),VLOOKUP(tables_405100!C92,input_405100!A:H,8,FALSE))</f>
        <v>29687.5</v>
      </c>
      <c r="P92" s="46">
        <f t="shared" ca="1" si="4"/>
        <v>3.2702687816699714E-4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input_405100!A$2</f>
        <v>405100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IFERROR(VLOOKUP(B93,input_405100!L:R,7,FALSE),VLOOKUP(tables_405100!C93,input_405100!A:H,8,FALSE))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input_405100!A$2</f>
        <v>405100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IFERROR(VLOOKUP(B94,input_405100!L:R,7,FALSE),VLOOKUP(tables_405100!C94,input_405100!A:H,8,FALSE))</f>
        <v>939312.5</v>
      </c>
      <c r="P94" s="46">
        <f t="shared" ca="1" si="4"/>
        <v>1.034713042520379E-2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input_405100!A$2</f>
        <v>405100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IFERROR(VLOOKUP(B95,input_405100!L:R,7,FALSE),VLOOKUP(tables_405100!C95,input_405100!A:H,8,FALSE))</f>
        <v>29687.5</v>
      </c>
      <c r="P95" s="46">
        <f t="shared" ca="1" si="4"/>
        <v>3.2702687816699714E-4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input_405100!A$2</f>
        <v>405100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IFERROR(VLOOKUP(B96,input_405100!L:R,7,FALSE),VLOOKUP(tables_405100!C96,input_405100!A:H,8,FALSE))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input_405100!A$2</f>
        <v>405100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IFERROR(VLOOKUP(B97,input_405100!L:R,7,FALSE),VLOOKUP(tables_405100!C97,input_405100!A:H,8,FALSE))</f>
        <v>939312.5</v>
      </c>
      <c r="P97" s="46">
        <f t="shared" ca="1" si="4"/>
        <v>1.034713042520379E-2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input_405100!A$2</f>
        <v>405100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IFERROR(VLOOKUP(B98,input_405100!L:R,7,FALSE),VLOOKUP(tables_405100!C98,input_405100!A:H,8,FALSE))</f>
        <v>29687.5</v>
      </c>
      <c r="P98" s="46">
        <f t="shared" ca="1" si="4"/>
        <v>3.2702687816699714E-4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input_405100!A$2</f>
        <v>405100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IFERROR(VLOOKUP(B99,input_405100!L:R,7,FALSE),VLOOKUP(tables_405100!C99,input_405100!A:H,8,FALSE))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input_405100!A$2</f>
        <v>405100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IFERROR(VLOOKUP(B100,input_405100!L:R,7,FALSE),VLOOKUP(tables_405100!C100,input_405100!A:H,8,FALSE))</f>
        <v>939312.5</v>
      </c>
      <c r="P100" s="46">
        <f t="shared" ca="1" si="4"/>
        <v>1.034713042520379E-2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input_405100!A$2</f>
        <v>405100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IFERROR(VLOOKUP(B101,input_405100!L:R,7,FALSE),VLOOKUP(tables_405100!C101,input_405100!A:H,8,FALSE))</f>
        <v>29687.5</v>
      </c>
      <c r="P101" s="46">
        <f t="shared" ca="1" si="4"/>
        <v>3.2702687816699714E-4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input_405100!A$2</f>
        <v>405100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IFERROR(VLOOKUP(B102,input_405100!L:R,7,FALSE),VLOOKUP(tables_405100!C102,input_405100!A:H,8,FALSE))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input_405100!A$2</f>
        <v>405100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IFERROR(VLOOKUP(B103,input_405100!L:R,7,FALSE),VLOOKUP(tables_405100!C103,input_405100!A:H,8,FALSE))</f>
        <v>939312.5</v>
      </c>
      <c r="P103" s="46">
        <f t="shared" ca="1" si="4"/>
        <v>1.034713042520379E-2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input_405100!A$2</f>
        <v>405100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IFERROR(VLOOKUP(B104,input_405100!L:R,7,FALSE),VLOOKUP(tables_405100!C104,input_405100!A:H,8,FALSE))</f>
        <v>29687.5</v>
      </c>
      <c r="P104" s="46">
        <f t="shared" ca="1" si="4"/>
        <v>3.2702687816699714E-4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input_405100!A$2</f>
        <v>405100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IFERROR(VLOOKUP(B105,input_405100!L:R,7,FALSE),VLOOKUP(tables_405100!C105,input_405100!A:H,8,FALSE))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input_405100!A$2</f>
        <v>405100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IFERROR(VLOOKUP(B106,input_405100!L:R,7,FALSE),VLOOKUP(tables_405100!C106,input_405100!A:H,8,FALSE))</f>
        <v>939312.5</v>
      </c>
      <c r="P106" s="46">
        <f t="shared" ca="1" si="4"/>
        <v>1.034713042520379E-2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input_405100!A$2</f>
        <v>405100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IFERROR(VLOOKUP(B107,input_405100!L:R,7,FALSE),VLOOKUP(tables_405100!C107,input_405100!A:H,8,FALSE))</f>
        <v>29687.5</v>
      </c>
      <c r="P107" s="46">
        <f t="shared" ca="1" si="4"/>
        <v>3.2702687816699714E-4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input_405100!A$2</f>
        <v>405100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IFERROR(VLOOKUP(B108,input_405100!L:R,7,FALSE),VLOOKUP(tables_405100!C108,input_405100!A:H,8,FALSE))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input_405100!A$2</f>
        <v>405100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IFERROR(VLOOKUP(B109,input_405100!L:R,7,FALSE),VLOOKUP(tables_405100!C109,input_405100!A:H,8,FALSE))</f>
        <v>939312.5</v>
      </c>
      <c r="P109" s="46">
        <f t="shared" ca="1" si="4"/>
        <v>1.034713042520379E-2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input_405100!A$2</f>
        <v>405100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IFERROR(VLOOKUP(B110,input_405100!L:R,7,FALSE),VLOOKUP(tables_405100!C110,input_405100!A:H,8,FALSE))</f>
        <v>29687.5</v>
      </c>
      <c r="P110" s="46">
        <f t="shared" ca="1" si="4"/>
        <v>3.2702687816699714E-4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input_405100!A$2</f>
        <v>405100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IFERROR(VLOOKUP(B111,input_405100!L:R,7,FALSE),VLOOKUP(tables_405100!C111,input_405100!A:H,8,FALSE))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input_405100!A$2</f>
        <v>405100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IFERROR(VLOOKUP(B112,input_405100!L:R,7,FALSE),VLOOKUP(tables_405100!C112,input_405100!A:H,8,FALSE))</f>
        <v>920550</v>
      </c>
      <c r="P112" s="46">
        <f t="shared" ca="1" si="4"/>
        <v>1.0140449438202246E-2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input_405100!A$2</f>
        <v>405100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IFERROR(VLOOKUP(B113,input_405100!L:R,7,FALSE),VLOOKUP(tables_405100!C113,input_405100!A:H,8,FALSE))</f>
        <v>48450</v>
      </c>
      <c r="P113" s="46">
        <f t="shared" ca="1" si="4"/>
        <v>5.3370786516853937E-4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input_405100!A$2</f>
        <v>405100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IFERROR(VLOOKUP(B114,input_405100!L:R,7,FALSE),VLOOKUP(tables_405100!C114,input_405100!A:H,8,FALSE))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input_405100!A$2</f>
        <v>405100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IFERROR(VLOOKUP(B115,input_405100!L:R,7,FALSE),VLOOKUP(tables_405100!C115,input_405100!A:H,8,FALSE))</f>
        <v>939312.5</v>
      </c>
      <c r="P115" s="46">
        <f t="shared" ca="1" si="4"/>
        <v>1.034713042520379E-2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input_405100!A$2</f>
        <v>405100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IFERROR(VLOOKUP(B116,input_405100!L:R,7,FALSE),VLOOKUP(tables_405100!C116,input_405100!A:H,8,FALSE))</f>
        <v>29687.5</v>
      </c>
      <c r="P116" s="46">
        <f t="shared" ca="1" si="4"/>
        <v>3.2702687816699714E-4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input_405100!A$2</f>
        <v>405100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IFERROR(VLOOKUP(B117,input_405100!L:R,7,FALSE),VLOOKUP(tables_405100!C117,input_405100!A:H,8,FALSE))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input_405100!A$2</f>
        <v>405100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IFERROR(VLOOKUP(B118,input_405100!L:R,7,FALSE),VLOOKUP(tables_405100!C118,input_405100!A:H,8,FALSE))</f>
        <v>939312.5</v>
      </c>
      <c r="P118" s="46">
        <f t="shared" ca="1" si="4"/>
        <v>1.034713042520379E-2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input_405100!A$2</f>
        <v>405100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IFERROR(VLOOKUP(B119,input_405100!L:R,7,FALSE),VLOOKUP(tables_405100!C119,input_405100!A:H,8,FALSE))</f>
        <v>29687.5</v>
      </c>
      <c r="P119" s="46">
        <f t="shared" ca="1" si="4"/>
        <v>3.2702687816699714E-4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input_405100!A$2</f>
        <v>405100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IFERROR(VLOOKUP(B120,input_405100!L:R,7,FALSE),VLOOKUP(tables_405100!C120,input_405100!A:H,8,FALSE))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input_405100!A$2</f>
        <v>405100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IFERROR(VLOOKUP(B121,input_405100!L:R,7,FALSE),VLOOKUP(tables_405100!C121,input_405100!A:H,8,FALSE))</f>
        <v>939312.5</v>
      </c>
      <c r="P121" s="46">
        <f t="shared" ca="1" si="4"/>
        <v>1.034713042520379E-2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input_405100!A$2</f>
        <v>405100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IFERROR(VLOOKUP(B122,input_405100!L:R,7,FALSE),VLOOKUP(tables_405100!C122,input_405100!A:H,8,FALSE))</f>
        <v>29687.5</v>
      </c>
      <c r="P122" s="46">
        <f t="shared" ca="1" si="4"/>
        <v>3.2702687816699714E-4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input_405100!A$2</f>
        <v>405100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IFERROR(VLOOKUP(B123,input_405100!L:R,7,FALSE),VLOOKUP(tables_405100!C123,input_405100!A:H,8,FALSE))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input_405100!A$2</f>
        <v>405100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IFERROR(VLOOKUP(B124,input_405100!L:R,7,FALSE),VLOOKUP(tables_405100!C124,input_405100!A:H,8,FALSE))</f>
        <v>939312.5</v>
      </c>
      <c r="P124" s="46">
        <f t="shared" ca="1" si="4"/>
        <v>1.034713042520379E-2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input_405100!A$2</f>
        <v>405100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IFERROR(VLOOKUP(B125,input_405100!L:R,7,FALSE),VLOOKUP(tables_405100!C125,input_405100!A:H,8,FALSE))</f>
        <v>29687.5</v>
      </c>
      <c r="P125" s="46">
        <f t="shared" ca="1" si="4"/>
        <v>3.2702687816699714E-4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input_405100!A$2</f>
        <v>405100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IFERROR(VLOOKUP(B126,input_405100!L:R,7,FALSE),VLOOKUP(tables_405100!C126,input_405100!A:H,8,FALSE))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input_405100!A$2</f>
        <v>405100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IFERROR(VLOOKUP(B127,input_405100!L:R,7,FALSE),VLOOKUP(tables_405100!C127,input_405100!A:H,8,FALSE))</f>
        <v>939312.5</v>
      </c>
      <c r="P127" s="46">
        <f t="shared" ca="1" si="4"/>
        <v>1.034713042520379E-2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input_405100!A$2</f>
        <v>405100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IFERROR(VLOOKUP(B128,input_405100!L:R,7,FALSE),VLOOKUP(tables_405100!C128,input_405100!A:H,8,FALSE))</f>
        <v>29687.5</v>
      </c>
      <c r="P128" s="46">
        <f t="shared" ca="1" si="4"/>
        <v>3.2702687816699714E-4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input_405100!A$2</f>
        <v>405100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IFERROR(VLOOKUP(B129,input_405100!L:R,7,FALSE),VLOOKUP(tables_405100!C129,input_405100!A:H,8,FALSE))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input_405100!A$2</f>
        <v>405100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IFERROR(VLOOKUP(B130,input_405100!L:R,7,FALSE),VLOOKUP(tables_405100!C130,input_405100!A:H,8,FALSE))</f>
        <v>939312.5</v>
      </c>
      <c r="P130" s="46">
        <f t="shared" ref="P130:P193" ca="1" si="7">O130/SUM(O:O)</f>
        <v>1.034713042520379E-2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input_405100!A$2</f>
        <v>405100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IF(OR(I131="PremiumSS",I131="PremiumSSw"),"PremiumSS",IF(I131="PremiumSSS",I131,IF(I131="PremiumW",I131,"Premium")))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IFERROR(VLOOKUP(B131,input_405100!L:R,7,FALSE),VLOOKUP(tables_405100!C131,input_405100!A:H,8,FALSE))</f>
        <v>29687.5</v>
      </c>
      <c r="P131" s="46">
        <f t="shared" ca="1" si="7"/>
        <v>3.2702687816699714E-4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input_405100!A$2</f>
        <v>405100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IFERROR(VLOOKUP(B132,input_405100!L:R,7,FALSE),VLOOKUP(tables_405100!C132,input_405100!A:H,8,FALSE))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input_405100!A$2</f>
        <v>405100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IFERROR(VLOOKUP(B133,input_405100!L:R,7,FALSE),VLOOKUP(tables_405100!C133,input_405100!A:H,8,FALSE))</f>
        <v>939312.5</v>
      </c>
      <c r="P133" s="46">
        <f t="shared" ca="1" si="7"/>
        <v>1.034713042520379E-2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input_405100!A$2</f>
        <v>405100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IFERROR(VLOOKUP(B134,input_405100!L:R,7,FALSE),VLOOKUP(tables_405100!C134,input_405100!A:H,8,FALSE))</f>
        <v>29687.5</v>
      </c>
      <c r="P134" s="46">
        <f t="shared" ca="1" si="7"/>
        <v>3.2702687816699714E-4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input_405100!A$2</f>
        <v>405100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IFERROR(VLOOKUP(B135,input_405100!L:R,7,FALSE),VLOOKUP(tables_405100!C135,input_405100!A:H,8,FALSE))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input_405100!A$2</f>
        <v>405100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IFERROR(VLOOKUP(B136,input_405100!L:R,7,FALSE),VLOOKUP(tables_405100!C136,input_405100!A:H,8,FALSE))</f>
        <v>939312.5</v>
      </c>
      <c r="P136" s="46">
        <f t="shared" ca="1" si="7"/>
        <v>1.034713042520379E-2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input_405100!A$2</f>
        <v>405100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IFERROR(VLOOKUP(B137,input_405100!L:R,7,FALSE),VLOOKUP(tables_405100!C137,input_405100!A:H,8,FALSE))</f>
        <v>29687.5</v>
      </c>
      <c r="P137" s="46">
        <f t="shared" ca="1" si="7"/>
        <v>3.2702687816699714E-4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input_405100!A$2</f>
        <v>405100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IFERROR(VLOOKUP(B138,input_405100!L:R,7,FALSE),VLOOKUP(tables_405100!C138,input_405100!A:H,8,FALSE))</f>
        <v>84550</v>
      </c>
      <c r="P138" s="46">
        <f t="shared" ca="1" si="7"/>
        <v>9.3137254901960785E-4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input_405100!A$2</f>
        <v>405100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IFERROR(VLOOKUP(B139,input_405100!L:R,7,FALSE),VLOOKUP(tables_405100!C139,input_405100!A:H,8,FALSE))</f>
        <v>4450</v>
      </c>
      <c r="P139" s="46">
        <f t="shared" ca="1" si="7"/>
        <v>4.9019607843137253E-5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input_405100!A$2</f>
        <v>405100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IFERROR(VLOOKUP(B140,input_405100!L:R,7,FALSE),VLOOKUP(tables_405100!C140,input_405100!A:H,8,FALSE))</f>
        <v>84550</v>
      </c>
      <c r="P140" s="46">
        <f t="shared" ca="1" si="7"/>
        <v>9.3137254901960785E-4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input_405100!A$2</f>
        <v>405100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IFERROR(VLOOKUP(B141,input_405100!L:R,7,FALSE),VLOOKUP(tables_405100!C141,input_405100!A:H,8,FALSE))</f>
        <v>4450</v>
      </c>
      <c r="P141" s="46">
        <f t="shared" ca="1" si="7"/>
        <v>4.9019607843137253E-5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input_405100!A$2</f>
        <v>405100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IFERROR(VLOOKUP(B142,input_405100!L:R,7,FALSE),VLOOKUP(tables_405100!C142,input_405100!A:H,8,FALSE))</f>
        <v>84550</v>
      </c>
      <c r="P142" s="46">
        <f t="shared" ca="1" si="7"/>
        <v>9.3137254901960785E-4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input_405100!A$2</f>
        <v>405100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IFERROR(VLOOKUP(B143,input_405100!L:R,7,FALSE),VLOOKUP(tables_405100!C143,input_405100!A:H,8,FALSE))</f>
        <v>4450</v>
      </c>
      <c r="P143" s="46">
        <f t="shared" ca="1" si="7"/>
        <v>4.9019607843137253E-5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input_405100!A$2</f>
        <v>405100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IFERROR(VLOOKUP(B144,input_405100!L:R,7,FALSE),VLOOKUP(tables_405100!C144,input_405100!A:H,8,FALSE))</f>
        <v>84550</v>
      </c>
      <c r="P144" s="46">
        <f t="shared" ca="1" si="7"/>
        <v>9.3137254901960785E-4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input_405100!A$2</f>
        <v>405100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IFERROR(VLOOKUP(B145,input_405100!L:R,7,FALSE),VLOOKUP(tables_405100!C145,input_405100!A:H,8,FALSE))</f>
        <v>4450</v>
      </c>
      <c r="P145" s="46">
        <f t="shared" ca="1" si="7"/>
        <v>4.9019607843137253E-5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input_405100!A$2</f>
        <v>405100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IFERROR(VLOOKUP(B146,input_405100!L:R,7,FALSE),VLOOKUP(tables_405100!C146,input_405100!A:H,8,FALSE))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input_405100!A$2</f>
        <v>405100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IFERROR(VLOOKUP(B147,input_405100!L:R,7,FALSE),VLOOKUP(tables_405100!C147,input_405100!A:H,8,FALSE))</f>
        <v>939312.5</v>
      </c>
      <c r="P147" s="46">
        <f t="shared" ca="1" si="7"/>
        <v>1.034713042520379E-2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input_405100!A$2</f>
        <v>405100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IFERROR(VLOOKUP(B148,input_405100!L:R,7,FALSE),VLOOKUP(tables_405100!C148,input_405100!A:H,8,FALSE))</f>
        <v>29687.5</v>
      </c>
      <c r="P148" s="46">
        <f t="shared" ca="1" si="7"/>
        <v>3.2702687816699714E-4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input_405100!A$2</f>
        <v>405100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IFERROR(VLOOKUP(B149,input_405100!L:R,7,FALSE),VLOOKUP(tables_405100!C149,input_405100!A:H,8,FALSE))</f>
        <v>84550</v>
      </c>
      <c r="P149" s="46">
        <f t="shared" ca="1" si="7"/>
        <v>9.3137254901960785E-4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input_405100!A$2</f>
        <v>405100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IFERROR(VLOOKUP(B150,input_405100!L:R,7,FALSE),VLOOKUP(tables_405100!C150,input_405100!A:H,8,FALSE))</f>
        <v>4450</v>
      </c>
      <c r="P150" s="46">
        <f t="shared" ca="1" si="7"/>
        <v>4.9019607843137253E-5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input_405100!A$2</f>
        <v>405100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IFERROR(VLOOKUP(B151,input_405100!L:R,7,FALSE),VLOOKUP(tables_405100!C151,input_405100!A:H,8,FALSE))</f>
        <v>84550</v>
      </c>
      <c r="P151" s="46">
        <f t="shared" ca="1" si="7"/>
        <v>9.3137254901960785E-4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input_405100!A$2</f>
        <v>405100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IFERROR(VLOOKUP(B152,input_405100!L:R,7,FALSE),VLOOKUP(tables_405100!C152,input_405100!A:H,8,FALSE))</f>
        <v>4450</v>
      </c>
      <c r="P152" s="46">
        <f t="shared" ca="1" si="7"/>
        <v>4.9019607843137253E-5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input_405100!A$2</f>
        <v>405100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IFERROR(VLOOKUP(B153,input_405100!L:R,7,FALSE),VLOOKUP(tables_405100!C153,input_405100!A:H,8,FALSE))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input_405100!A$2</f>
        <v>405100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IFERROR(VLOOKUP(B154,input_405100!L:R,7,FALSE),VLOOKUP(tables_405100!C154,input_405100!A:H,8,FALSE))</f>
        <v>939312.5</v>
      </c>
      <c r="P154" s="46">
        <f t="shared" ca="1" si="7"/>
        <v>1.034713042520379E-2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input_405100!A$2</f>
        <v>405100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IFERROR(VLOOKUP(B155,input_405100!L:R,7,FALSE),VLOOKUP(tables_405100!C155,input_405100!A:H,8,FALSE))</f>
        <v>29687.5</v>
      </c>
      <c r="P155" s="46">
        <f t="shared" ca="1" si="7"/>
        <v>3.2702687816699714E-4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input_405100!A$2</f>
        <v>405100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IFERROR(VLOOKUP(B156,input_405100!L:R,7,FALSE),VLOOKUP(tables_405100!C156,input_405100!A:H,8,FALSE))</f>
        <v>84550</v>
      </c>
      <c r="P156" s="46">
        <f t="shared" ca="1" si="7"/>
        <v>9.3137254901960785E-4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input_405100!A$2</f>
        <v>405100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IFERROR(VLOOKUP(B157,input_405100!L:R,7,FALSE),VLOOKUP(tables_405100!C157,input_405100!A:H,8,FALSE))</f>
        <v>4450</v>
      </c>
      <c r="P157" s="46">
        <f t="shared" ca="1" si="7"/>
        <v>4.9019607843137253E-5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input_405100!A$2</f>
        <v>405100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IFERROR(VLOOKUP(B158,input_405100!L:R,7,FALSE),VLOOKUP(tables_405100!C158,input_405100!A:H,8,FALSE))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input_405100!A$2</f>
        <v>405100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IFERROR(VLOOKUP(B159,input_405100!L:R,7,FALSE),VLOOKUP(tables_405100!C159,input_405100!A:H,8,FALSE))</f>
        <v>939312.5</v>
      </c>
      <c r="P159" s="46">
        <f t="shared" ca="1" si="7"/>
        <v>1.034713042520379E-2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input_405100!A$2</f>
        <v>405100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IFERROR(VLOOKUP(B160,input_405100!L:R,7,FALSE),VLOOKUP(tables_405100!C160,input_405100!A:H,8,FALSE))</f>
        <v>29687.5</v>
      </c>
      <c r="P160" s="46">
        <f t="shared" ca="1" si="7"/>
        <v>3.2702687816699714E-4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input_405100!A$2</f>
        <v>405100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IFERROR(VLOOKUP(B161,input_405100!L:R,7,FALSE),VLOOKUP(tables_405100!C161,input_405100!A:H,8,FALSE))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input_405100!A$2</f>
        <v>405100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IFERROR(VLOOKUP(B162,input_405100!L:R,7,FALSE),VLOOKUP(tables_405100!C162,input_405100!A:H,8,FALSE))</f>
        <v>939312.5</v>
      </c>
      <c r="P162" s="46">
        <f t="shared" ca="1" si="7"/>
        <v>1.034713042520379E-2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input_405100!A$2</f>
        <v>405100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IFERROR(VLOOKUP(B163,input_405100!L:R,7,FALSE),VLOOKUP(tables_405100!C163,input_405100!A:H,8,FALSE))</f>
        <v>29687.5</v>
      </c>
      <c r="P163" s="46">
        <f t="shared" ca="1" si="7"/>
        <v>3.2702687816699714E-4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input_405100!A$2</f>
        <v>405100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IFERROR(VLOOKUP(B164,input_405100!L:R,7,FALSE),VLOOKUP(tables_405100!C164,input_405100!A:H,8,FALSE))</f>
        <v>84550</v>
      </c>
      <c r="P164" s="46">
        <f t="shared" ca="1" si="7"/>
        <v>9.3137254901960785E-4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input_405100!A$2</f>
        <v>405100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IFERROR(VLOOKUP(B165,input_405100!L:R,7,FALSE),VLOOKUP(tables_405100!C165,input_405100!A:H,8,FALSE))</f>
        <v>4450</v>
      </c>
      <c r="P165" s="46">
        <f t="shared" ca="1" si="7"/>
        <v>4.9019607843137253E-5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input_405100!A$2</f>
        <v>405100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IFERROR(VLOOKUP(B166,input_405100!L:R,7,FALSE),VLOOKUP(tables_405100!C166,input_405100!A:H,8,FALSE))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input_405100!A$2</f>
        <v>405100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IFERROR(VLOOKUP(B167,input_405100!L:R,7,FALSE),VLOOKUP(tables_405100!C167,input_405100!A:H,8,FALSE))</f>
        <v>939312.5</v>
      </c>
      <c r="P167" s="46">
        <f t="shared" ca="1" si="7"/>
        <v>1.034713042520379E-2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input_405100!A$2</f>
        <v>405100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IFERROR(VLOOKUP(B168,input_405100!L:R,7,FALSE),VLOOKUP(tables_405100!C168,input_405100!A:H,8,FALSE))</f>
        <v>29687.5</v>
      </c>
      <c r="P168" s="46">
        <f t="shared" ca="1" si="7"/>
        <v>3.2702687816699714E-4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input_405100!A$2</f>
        <v>405100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IFERROR(VLOOKUP(B169,input_405100!L:R,7,FALSE),VLOOKUP(tables_405100!C169,input_405100!A:H,8,FALSE))</f>
        <v>84550</v>
      </c>
      <c r="P169" s="46">
        <f t="shared" ca="1" si="7"/>
        <v>9.3137254901960785E-4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input_405100!A$2</f>
        <v>405100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IFERROR(VLOOKUP(B170,input_405100!L:R,7,FALSE),VLOOKUP(tables_405100!C170,input_405100!A:H,8,FALSE))</f>
        <v>4450</v>
      </c>
      <c r="P170" s="46">
        <f t="shared" ca="1" si="7"/>
        <v>4.9019607843137253E-5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input_405100!A$2</f>
        <v>405100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IFERROR(VLOOKUP(B171,input_405100!L:R,7,FALSE),VLOOKUP(tables_405100!C171,input_405100!A:H,8,FALSE))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input_405100!A$2</f>
        <v>405100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IFERROR(VLOOKUP(B172,input_405100!L:R,7,FALSE),VLOOKUP(tables_405100!C172,input_405100!A:H,8,FALSE))</f>
        <v>939312.5</v>
      </c>
      <c r="P172" s="46">
        <f t="shared" ca="1" si="7"/>
        <v>1.034713042520379E-2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input_405100!A$2</f>
        <v>405100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IFERROR(VLOOKUP(B173,input_405100!L:R,7,FALSE),VLOOKUP(tables_405100!C173,input_405100!A:H,8,FALSE))</f>
        <v>29687.5</v>
      </c>
      <c r="P173" s="46">
        <f t="shared" ca="1" si="7"/>
        <v>3.2702687816699714E-4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input_405100!A$2</f>
        <v>405100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IFERROR(VLOOKUP(B174,input_405100!L:R,7,FALSE),VLOOKUP(tables_405100!C174,input_405100!A:H,8,FALSE))</f>
        <v>84550</v>
      </c>
      <c r="P174" s="46">
        <f t="shared" ca="1" si="7"/>
        <v>9.3137254901960785E-4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input_405100!A$2</f>
        <v>405100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IFERROR(VLOOKUP(B175,input_405100!L:R,7,FALSE),VLOOKUP(tables_405100!C175,input_405100!A:H,8,FALSE))</f>
        <v>4450</v>
      </c>
      <c r="P175" s="46">
        <f t="shared" ca="1" si="7"/>
        <v>4.9019607843137253E-5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input_405100!A$2</f>
        <v>405100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IFERROR(VLOOKUP(B176,input_405100!L:R,7,FALSE),VLOOKUP(tables_405100!C176,input_405100!A:H,8,FALSE))</f>
        <v>84550</v>
      </c>
      <c r="P176" s="46">
        <f t="shared" ca="1" si="7"/>
        <v>9.3137254901960785E-4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input_405100!A$2</f>
        <v>405100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IFERROR(VLOOKUP(B177,input_405100!L:R,7,FALSE),VLOOKUP(tables_405100!C177,input_405100!A:H,8,FALSE))</f>
        <v>4450</v>
      </c>
      <c r="P177" s="46">
        <f t="shared" ca="1" si="7"/>
        <v>4.9019607843137253E-5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input_405100!A$2</f>
        <v>405100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IFERROR(VLOOKUP(B178,input_405100!L:R,7,FALSE),VLOOKUP(tables_405100!C178,input_405100!A:H,8,FALSE))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input_405100!A$2</f>
        <v>405100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IFERROR(VLOOKUP(B179,input_405100!L:R,7,FALSE),VLOOKUP(tables_405100!C179,input_405100!A:H,8,FALSE))</f>
        <v>939312.5</v>
      </c>
      <c r="P179" s="46">
        <f t="shared" ca="1" si="7"/>
        <v>1.034713042520379E-2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input_405100!A$2</f>
        <v>405100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IFERROR(VLOOKUP(B180,input_405100!L:R,7,FALSE),VLOOKUP(tables_405100!C180,input_405100!A:H,8,FALSE))</f>
        <v>29687.5</v>
      </c>
      <c r="P180" s="46">
        <f t="shared" ca="1" si="7"/>
        <v>3.2702687816699714E-4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input_405100!A$2</f>
        <v>405100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IFERROR(VLOOKUP(B181,input_405100!L:R,7,FALSE),VLOOKUP(tables_405100!C181,input_405100!A:H,8,FALSE))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input_405100!A$2</f>
        <v>405100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IFERROR(VLOOKUP(B182,input_405100!L:R,7,FALSE),VLOOKUP(tables_405100!C182,input_405100!A:H,8,FALSE))</f>
        <v>939312.5</v>
      </c>
      <c r="P182" s="46">
        <f t="shared" ca="1" si="7"/>
        <v>1.034713042520379E-2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input_405100!A$2</f>
        <v>405100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IFERROR(VLOOKUP(B183,input_405100!L:R,7,FALSE),VLOOKUP(tables_405100!C183,input_405100!A:H,8,FALSE))</f>
        <v>29687.5</v>
      </c>
      <c r="P183" s="46">
        <f t="shared" ca="1" si="7"/>
        <v>3.2702687816699714E-4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input_405100!A$2</f>
        <v>405100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IFERROR(VLOOKUP(B184,input_405100!L:R,7,FALSE),VLOOKUP(tables_405100!C184,input_405100!A:H,8,FALSE))</f>
        <v>84550</v>
      </c>
      <c r="P184" s="46">
        <f t="shared" ca="1" si="7"/>
        <v>9.3137254901960785E-4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input_405100!A$2</f>
        <v>405100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IFERROR(VLOOKUP(B185,input_405100!L:R,7,FALSE),VLOOKUP(tables_405100!C185,input_405100!A:H,8,FALSE))</f>
        <v>4450</v>
      </c>
      <c r="P185" s="46">
        <f t="shared" ca="1" si="7"/>
        <v>4.9019607843137253E-5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input_405100!A$2</f>
        <v>405100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IFERROR(VLOOKUP(B186,input_405100!L:R,7,FALSE),VLOOKUP(tables_405100!C186,input_405100!A:H,8,FALSE))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input_405100!A$2</f>
        <v>405100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IFERROR(VLOOKUP(B187,input_405100!L:R,7,FALSE),VLOOKUP(tables_405100!C187,input_405100!A:H,8,FALSE))</f>
        <v>939312.5</v>
      </c>
      <c r="P187" s="46">
        <f t="shared" ca="1" si="7"/>
        <v>1.034713042520379E-2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input_405100!A$2</f>
        <v>405100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IFERROR(VLOOKUP(B188,input_405100!L:R,7,FALSE),VLOOKUP(tables_405100!C188,input_405100!A:H,8,FALSE))</f>
        <v>29687.5</v>
      </c>
      <c r="P188" s="46">
        <f t="shared" ca="1" si="7"/>
        <v>3.2702687816699714E-4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input_405100!A$2</f>
        <v>405100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IFERROR(VLOOKUP(B189,input_405100!L:R,7,FALSE),VLOOKUP(tables_405100!C189,input_405100!A:H,8,FALSE))</f>
        <v>84550</v>
      </c>
      <c r="P189" s="46">
        <f t="shared" ca="1" si="7"/>
        <v>9.3137254901960785E-4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input_405100!A$2</f>
        <v>405100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IFERROR(VLOOKUP(B190,input_405100!L:R,7,FALSE),VLOOKUP(tables_405100!C190,input_405100!A:H,8,FALSE))</f>
        <v>4450</v>
      </c>
      <c r="P190" s="46">
        <f t="shared" ca="1" si="7"/>
        <v>4.9019607843137253E-5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input_405100!A$2</f>
        <v>405100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IFERROR(VLOOKUP(B191,input_405100!L:R,7,FALSE),VLOOKUP(tables_405100!C191,input_405100!A:H,8,FALSE))</f>
        <v>84550</v>
      </c>
      <c r="P191" s="46">
        <f t="shared" ca="1" si="7"/>
        <v>9.3137254901960785E-4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input_405100!A$2</f>
        <v>405100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IFERROR(VLOOKUP(B192,input_405100!L:R,7,FALSE),VLOOKUP(tables_405100!C192,input_405100!A:H,8,FALSE))</f>
        <v>4450</v>
      </c>
      <c r="P192" s="46">
        <f t="shared" ca="1" si="7"/>
        <v>4.9019607843137253E-5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input_405100!A$2</f>
        <v>405100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IFERROR(VLOOKUP(B193,input_405100!L:R,7,FALSE),VLOOKUP(tables_405100!C193,input_405100!A:H,8,FALSE))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input_405100!A$2</f>
        <v>405100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IFERROR(VLOOKUP(B194,input_405100!L:R,7,FALSE),VLOOKUP(tables_405100!C194,input_405100!A:H,8,FALSE))</f>
        <v>939312.5</v>
      </c>
      <c r="P194" s="46">
        <f t="shared" ref="P194:P257" ca="1" si="10">O194/SUM(O:O)</f>
        <v>1.034713042520379E-2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input_405100!A$2</f>
        <v>405100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IF(OR(I195="PremiumSS",I195="PremiumSSw"),"PremiumSS",IF(I195="PremiumSSS",I195,IF(I195="PremiumW",I195,"Premium")))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IFERROR(VLOOKUP(B195,input_405100!L:R,7,FALSE),VLOOKUP(tables_405100!C195,input_405100!A:H,8,FALSE))</f>
        <v>29687.5</v>
      </c>
      <c r="P195" s="46">
        <f t="shared" ca="1" si="10"/>
        <v>3.2702687816699714E-4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input_405100!A$2</f>
        <v>405100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IFERROR(VLOOKUP(B196,input_405100!L:R,7,FALSE),VLOOKUP(tables_405100!C196,input_405100!A:H,8,FALSE))</f>
        <v>84550</v>
      </c>
      <c r="P196" s="46">
        <f t="shared" ca="1" si="10"/>
        <v>9.3137254901960785E-4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input_405100!A$2</f>
        <v>405100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IFERROR(VLOOKUP(B197,input_405100!L:R,7,FALSE),VLOOKUP(tables_405100!C197,input_405100!A:H,8,FALSE))</f>
        <v>4450</v>
      </c>
      <c r="P197" s="46">
        <f t="shared" ca="1" si="10"/>
        <v>4.9019607843137253E-5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input_405100!A$2</f>
        <v>405100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IFERROR(VLOOKUP(B198,input_405100!L:R,7,FALSE),VLOOKUP(tables_405100!C198,input_405100!A:H,8,FALSE))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input_405100!A$2</f>
        <v>405100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IFERROR(VLOOKUP(B199,input_405100!L:R,7,FALSE),VLOOKUP(tables_405100!C199,input_405100!A:H,8,FALSE))</f>
        <v>939312.5</v>
      </c>
      <c r="P199" s="46">
        <f t="shared" ca="1" si="10"/>
        <v>1.034713042520379E-2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input_405100!A$2</f>
        <v>405100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IFERROR(VLOOKUP(B200,input_405100!L:R,7,FALSE),VLOOKUP(tables_405100!C200,input_405100!A:H,8,FALSE))</f>
        <v>29687.5</v>
      </c>
      <c r="P200" s="46">
        <f t="shared" ca="1" si="10"/>
        <v>3.2702687816699714E-4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input_405100!A$2</f>
        <v>405100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IFERROR(VLOOKUP(B201,input_405100!L:R,7,FALSE),VLOOKUP(tables_405100!C201,input_405100!A:H,8,FALSE))</f>
        <v>84550</v>
      </c>
      <c r="P201" s="46">
        <f t="shared" ca="1" si="10"/>
        <v>9.3137254901960785E-4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input_405100!A$2</f>
        <v>405100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IFERROR(VLOOKUP(B202,input_405100!L:R,7,FALSE),VLOOKUP(tables_405100!C202,input_405100!A:H,8,FALSE))</f>
        <v>4450</v>
      </c>
      <c r="P202" s="46">
        <f t="shared" ca="1" si="10"/>
        <v>4.9019607843137253E-5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input_405100!A$2</f>
        <v>405100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IFERROR(VLOOKUP(B203,input_405100!L:R,7,FALSE),VLOOKUP(tables_405100!C203,input_405100!A:H,8,FALSE))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input_405100!A$2</f>
        <v>405100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IFERROR(VLOOKUP(B204,input_405100!L:R,7,FALSE),VLOOKUP(tables_405100!C204,input_405100!A:H,8,FALSE))</f>
        <v>939312.5</v>
      </c>
      <c r="P204" s="46">
        <f t="shared" ca="1" si="10"/>
        <v>1.034713042520379E-2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input_405100!A$2</f>
        <v>405100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IFERROR(VLOOKUP(B205,input_405100!L:R,7,FALSE),VLOOKUP(tables_405100!C205,input_405100!A:H,8,FALSE))</f>
        <v>29687.5</v>
      </c>
      <c r="P205" s="46">
        <f t="shared" ca="1" si="10"/>
        <v>3.2702687816699714E-4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input_405100!A$2</f>
        <v>405100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IFERROR(VLOOKUP(B206,input_405100!L:R,7,FALSE),VLOOKUP(tables_405100!C206,input_405100!A:H,8,FALSE))</f>
        <v>84550</v>
      </c>
      <c r="P206" s="46">
        <f t="shared" ca="1" si="10"/>
        <v>9.3137254901960785E-4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input_405100!A$2</f>
        <v>405100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IFERROR(VLOOKUP(B207,input_405100!L:R,7,FALSE),VLOOKUP(tables_405100!C207,input_405100!A:H,8,FALSE))</f>
        <v>4450</v>
      </c>
      <c r="P207" s="46">
        <f t="shared" ca="1" si="10"/>
        <v>4.9019607843137253E-5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input_405100!A$2</f>
        <v>405100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IFERROR(VLOOKUP(B208,input_405100!L:R,7,FALSE),VLOOKUP(tables_405100!C208,input_405100!A:H,8,FALSE))</f>
        <v>84550</v>
      </c>
      <c r="P208" s="46">
        <f t="shared" ca="1" si="10"/>
        <v>9.3137254901960785E-4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input_405100!A$2</f>
        <v>405100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IFERROR(VLOOKUP(B209,input_405100!L:R,7,FALSE),VLOOKUP(tables_405100!C209,input_405100!A:H,8,FALSE))</f>
        <v>4450</v>
      </c>
      <c r="P209" s="46">
        <f t="shared" ca="1" si="10"/>
        <v>4.9019607843137253E-5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input_405100!A$2</f>
        <v>405100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IFERROR(VLOOKUP(B210,input_405100!L:R,7,FALSE),VLOOKUP(tables_405100!C210,input_405100!A:H,8,FALSE))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input_405100!A$2</f>
        <v>405100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IFERROR(VLOOKUP(B211,input_405100!L:R,7,FALSE),VLOOKUP(tables_405100!C211,input_405100!A:H,8,FALSE))</f>
        <v>939312.5</v>
      </c>
      <c r="P211" s="46">
        <f t="shared" ca="1" si="10"/>
        <v>1.034713042520379E-2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input_405100!A$2</f>
        <v>405100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IFERROR(VLOOKUP(B212,input_405100!L:R,7,FALSE),VLOOKUP(tables_405100!C212,input_405100!A:H,8,FALSE))</f>
        <v>29687.5</v>
      </c>
      <c r="P212" s="46">
        <f t="shared" ca="1" si="10"/>
        <v>3.2702687816699714E-4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input_405100!A$2</f>
        <v>405100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IFERROR(VLOOKUP(B213,input_405100!L:R,7,FALSE),VLOOKUP(tables_405100!C213,input_405100!A:H,8,FALSE))</f>
        <v>84550</v>
      </c>
      <c r="P213" s="46">
        <f t="shared" ca="1" si="10"/>
        <v>9.3137254901960785E-4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input_405100!A$2</f>
        <v>405100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IFERROR(VLOOKUP(B214,input_405100!L:R,7,FALSE),VLOOKUP(tables_405100!C214,input_405100!A:H,8,FALSE))</f>
        <v>4450</v>
      </c>
      <c r="P214" s="46">
        <f t="shared" ca="1" si="10"/>
        <v>4.9019607843137253E-5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input_405100!A$2</f>
        <v>405100</v>
      </c>
      <c r="B215" s="6">
        <v>586</v>
      </c>
      <c r="C215" s="7" t="str">
        <f t="shared" si="9"/>
        <v>PremiumSS4</v>
      </c>
      <c r="D215" s="7" t="str">
        <f t="shared" si="11"/>
        <v>PremiumSS</v>
      </c>
      <c r="E215" s="7" t="str">
        <f>IF(COUNTIF('R6追加前'!A:A,B215)=0,IF(OR(I215="PremiumSS",I215="PremiumSSw"),"R5only","R3less"),"")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5">
        <f ca="1">IFERROR(VLOOKUP(B215,input_405100!L:R,7,FALSE),VLOOKUP(tables_405100!C215,input_405100!A:H,8,FALSE))</f>
        <v>84550</v>
      </c>
      <c r="P215" s="46">
        <f t="shared" ca="1" si="10"/>
        <v>9.3137254901960785E-4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input_405100!A$2</f>
        <v>405100</v>
      </c>
      <c r="B216" s="6">
        <v>587</v>
      </c>
      <c r="C216" s="7" t="str">
        <f t="shared" si="9"/>
        <v>PremiumSS5</v>
      </c>
      <c r="D216" s="7" t="str">
        <f t="shared" si="11"/>
        <v>PremiumSS</v>
      </c>
      <c r="E216" s="7" t="str">
        <f>IF(COUNTIF('R6追加前'!A:A,B216)=0,IF(OR(I216="PremiumSS",I216="PremiumSSw"),"R5only","R3less"),"")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5">
        <f ca="1">IFERROR(VLOOKUP(B216,input_405100!L:R,7,FALSE),VLOOKUP(tables_405100!C216,input_405100!A:H,8,FALSE))</f>
        <v>4450</v>
      </c>
      <c r="P216" s="46">
        <f t="shared" ca="1" si="10"/>
        <v>4.9019607843137253E-5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input_405100!A$2</f>
        <v>405100</v>
      </c>
      <c r="B217" s="6">
        <v>588</v>
      </c>
      <c r="C217" s="7" t="str">
        <f t="shared" si="9"/>
        <v>Premium3</v>
      </c>
      <c r="D217" s="7" t="str">
        <f t="shared" si="11"/>
        <v>Premium</v>
      </c>
      <c r="E217" s="7" t="str">
        <f>IF(COUNTIF('R6追加前'!A:A,B217)=0,IF(OR(I217="PremiumSS",I217="PremiumSSw"),"R5only","R3less"),"")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5">
        <f ca="1">IFERROR(VLOOKUP(B217,input_405100!L:R,7,FALSE),VLOOKUP(tables_405100!C217,input_405100!A:H,8,FALSE))</f>
        <v>0</v>
      </c>
      <c r="P217" s="46">
        <f t="shared" ca="1" si="10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input_405100!A$2</f>
        <v>405100</v>
      </c>
      <c r="B218" s="6">
        <v>589</v>
      </c>
      <c r="C218" s="7" t="str">
        <f t="shared" si="9"/>
        <v>Premium4</v>
      </c>
      <c r="D218" s="7" t="str">
        <f t="shared" si="11"/>
        <v>Premium</v>
      </c>
      <c r="E218" s="7" t="str">
        <f>IF(COUNTIF('R6追加前'!A:A,B218)=0,IF(OR(I218="PremiumSS",I218="PremiumSSw"),"R5only","R3less"),"")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5">
        <f ca="1">IFERROR(VLOOKUP(B218,input_405100!L:R,7,FALSE),VLOOKUP(tables_405100!C218,input_405100!A:H,8,FALSE))</f>
        <v>939312.5</v>
      </c>
      <c r="P218" s="46">
        <f t="shared" ca="1" si="10"/>
        <v>1.034713042520379E-2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input_405100!A$2</f>
        <v>405100</v>
      </c>
      <c r="B219" s="6">
        <v>590</v>
      </c>
      <c r="C219" s="7" t="str">
        <f t="shared" si="9"/>
        <v>Premium5</v>
      </c>
      <c r="D219" s="7" t="str">
        <f t="shared" si="11"/>
        <v>Premium</v>
      </c>
      <c r="E219" s="7" t="str">
        <f>IF(COUNTIF('R6追加前'!A:A,B219)=0,IF(OR(I219="PremiumSS",I219="PremiumSSw"),"R5only","R3less"),"")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5">
        <f ca="1">IFERROR(VLOOKUP(B219,input_405100!L:R,7,FALSE),VLOOKUP(tables_405100!C219,input_405100!A:H,8,FALSE))</f>
        <v>29687.5</v>
      </c>
      <c r="P219" s="46">
        <f t="shared" ca="1" si="10"/>
        <v>3.2702687816699714E-4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input_405100!A$2</f>
        <v>405100</v>
      </c>
      <c r="B220" s="6">
        <v>591</v>
      </c>
      <c r="C220" s="7" t="str">
        <f t="shared" si="9"/>
        <v>Premium3</v>
      </c>
      <c r="D220" s="7" t="str">
        <f t="shared" si="11"/>
        <v>Premium</v>
      </c>
      <c r="E220" s="7" t="str">
        <f>IF(COUNTIF('R6追加前'!A:A,B220)=0,IF(OR(I220="PremiumSS",I220="PremiumSSw"),"R5only","R3less"),"")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5">
        <f ca="1">IFERROR(VLOOKUP(B220,input_405100!L:R,7,FALSE),VLOOKUP(tables_405100!C220,input_405100!A:H,8,FALSE))</f>
        <v>0</v>
      </c>
      <c r="P220" s="46">
        <f t="shared" ca="1" si="10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input_405100!A$2</f>
        <v>405100</v>
      </c>
      <c r="B221" s="6">
        <v>592</v>
      </c>
      <c r="C221" s="7" t="str">
        <f t="shared" si="9"/>
        <v>Premium4</v>
      </c>
      <c r="D221" s="7" t="str">
        <f t="shared" si="11"/>
        <v>Premium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5">
        <f ca="1">IFERROR(VLOOKUP(B221,input_405100!L:R,7,FALSE),VLOOKUP(tables_405100!C221,input_405100!A:H,8,FALSE))</f>
        <v>939312.5</v>
      </c>
      <c r="P221" s="46">
        <f t="shared" ca="1" si="10"/>
        <v>1.034713042520379E-2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input_405100!A$2</f>
        <v>405100</v>
      </c>
      <c r="B222" s="6">
        <v>593</v>
      </c>
      <c r="C222" s="7" t="str">
        <f t="shared" si="9"/>
        <v>Premium5</v>
      </c>
      <c r="D222" s="7" t="str">
        <f t="shared" si="11"/>
        <v>Premium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5">
        <f ca="1">IFERROR(VLOOKUP(B222,input_405100!L:R,7,FALSE),VLOOKUP(tables_405100!C222,input_405100!A:H,8,FALSE))</f>
        <v>29687.5</v>
      </c>
      <c r="P222" s="46">
        <f t="shared" ca="1" si="10"/>
        <v>3.2702687816699714E-4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input_405100!A$2</f>
        <v>405100</v>
      </c>
      <c r="B223" s="6">
        <v>594</v>
      </c>
      <c r="C223" s="7" t="str">
        <f t="shared" si="9"/>
        <v>PremiumSS4</v>
      </c>
      <c r="D223" s="7" t="str">
        <f t="shared" si="11"/>
        <v>PremiumSS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5">
        <f ca="1">IFERROR(VLOOKUP(B223,input_405100!L:R,7,FALSE),VLOOKUP(tables_405100!C223,input_405100!A:H,8,FALSE))</f>
        <v>84550</v>
      </c>
      <c r="P223" s="46">
        <f t="shared" ca="1" si="10"/>
        <v>9.3137254901960785E-4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input_405100!A$2</f>
        <v>405100</v>
      </c>
      <c r="B224" s="6">
        <v>595</v>
      </c>
      <c r="C224" s="7" t="str">
        <f t="shared" si="9"/>
        <v>PremiumSS5</v>
      </c>
      <c r="D224" s="7" t="str">
        <f t="shared" si="11"/>
        <v>PremiumSS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5">
        <f ca="1">IFERROR(VLOOKUP(B224,input_405100!L:R,7,FALSE),VLOOKUP(tables_405100!C224,input_405100!A:H,8,FALSE))</f>
        <v>4450</v>
      </c>
      <c r="P224" s="46">
        <f t="shared" ca="1" si="10"/>
        <v>4.9019607843137253E-5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input_405100!A$2</f>
        <v>405100</v>
      </c>
      <c r="B225" s="6">
        <v>596</v>
      </c>
      <c r="C225" s="7" t="str">
        <f t="shared" si="9"/>
        <v>Premium3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5">
        <f ca="1">IFERROR(VLOOKUP(B225,input_405100!L:R,7,FALSE),VLOOKUP(tables_405100!C225,input_405100!A:H,8,FALSE))</f>
        <v>0</v>
      </c>
      <c r="P225" s="46">
        <f t="shared" ca="1" si="10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input_405100!A$2</f>
        <v>405100</v>
      </c>
      <c r="B226" s="6">
        <v>597</v>
      </c>
      <c r="C226" s="7" t="str">
        <f t="shared" si="9"/>
        <v>Premium4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5">
        <f ca="1">IFERROR(VLOOKUP(B226,input_405100!L:R,7,FALSE),VLOOKUP(tables_405100!C226,input_405100!A:H,8,FALSE))</f>
        <v>939312.5</v>
      </c>
      <c r="P226" s="46">
        <f t="shared" ca="1" si="10"/>
        <v>1.034713042520379E-2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input_405100!A$2</f>
        <v>405100</v>
      </c>
      <c r="B227" s="6">
        <v>598</v>
      </c>
      <c r="C227" s="7" t="str">
        <f t="shared" si="9"/>
        <v>Premium5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5">
        <f ca="1">IFERROR(VLOOKUP(B227,input_405100!L:R,7,FALSE),VLOOKUP(tables_405100!C227,input_405100!A:H,8,FALSE))</f>
        <v>29687.5</v>
      </c>
      <c r="P227" s="46">
        <f t="shared" ca="1" si="10"/>
        <v>3.2702687816699714E-4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input_405100!A$2</f>
        <v>405100</v>
      </c>
      <c r="B228" s="6">
        <v>599</v>
      </c>
      <c r="C228" s="7" t="str">
        <f t="shared" si="9"/>
        <v>Premium3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IFERROR(VLOOKUP(B228,input_405100!L:R,7,FALSE),VLOOKUP(tables_405100!C228,input_405100!A:H,8,FALSE))</f>
        <v>0</v>
      </c>
      <c r="P228" s="46">
        <f t="shared" ca="1" si="10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input_405100!A$2</f>
        <v>405100</v>
      </c>
      <c r="B229" s="6">
        <v>600</v>
      </c>
      <c r="C229" s="7" t="str">
        <f t="shared" si="9"/>
        <v>Premium4</v>
      </c>
      <c r="D229" s="7" t="str">
        <f t="shared" si="11"/>
        <v>Premium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IFERROR(VLOOKUP(B229,input_405100!L:R,7,FALSE),VLOOKUP(tables_405100!C229,input_405100!A:H,8,FALSE))</f>
        <v>939312.5</v>
      </c>
      <c r="P229" s="46">
        <f t="shared" ca="1" si="10"/>
        <v>1.034713042520379E-2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input_405100!A$2</f>
        <v>405100</v>
      </c>
      <c r="B230" s="6">
        <v>601</v>
      </c>
      <c r="C230" s="7" t="str">
        <f t="shared" si="9"/>
        <v>Premium5</v>
      </c>
      <c r="D230" s="7" t="str">
        <f t="shared" si="11"/>
        <v>Premium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IFERROR(VLOOKUP(B230,input_405100!L:R,7,FALSE),VLOOKUP(tables_405100!C230,input_405100!A:H,8,FALSE))</f>
        <v>29687.5</v>
      </c>
      <c r="P230" s="46">
        <f t="shared" ca="1" si="10"/>
        <v>3.2702687816699714E-4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input_405100!A$2</f>
        <v>405100</v>
      </c>
      <c r="B231" s="6">
        <v>602</v>
      </c>
      <c r="C231" s="7" t="str">
        <f t="shared" si="9"/>
        <v>PremiumSS4</v>
      </c>
      <c r="D231" s="7" t="str">
        <f t="shared" si="11"/>
        <v>PremiumSS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5">
        <f ca="1">IFERROR(VLOOKUP(B231,input_405100!L:R,7,FALSE),VLOOKUP(tables_405100!C231,input_405100!A:H,8,FALSE))</f>
        <v>84550</v>
      </c>
      <c r="P231" s="46">
        <f t="shared" ca="1" si="10"/>
        <v>9.3137254901960785E-4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input_405100!A$2</f>
        <v>405100</v>
      </c>
      <c r="B232" s="6">
        <v>603</v>
      </c>
      <c r="C232" s="7" t="str">
        <f t="shared" si="9"/>
        <v>PremiumSS5</v>
      </c>
      <c r="D232" s="7" t="str">
        <f t="shared" si="11"/>
        <v>PremiumSS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5">
        <f ca="1">IFERROR(VLOOKUP(B232,input_405100!L:R,7,FALSE),VLOOKUP(tables_405100!C232,input_405100!A:H,8,FALSE))</f>
        <v>4450</v>
      </c>
      <c r="P232" s="46">
        <f t="shared" ca="1" si="10"/>
        <v>4.9019607843137253E-5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input_405100!A$2</f>
        <v>405100</v>
      </c>
      <c r="B233" s="6">
        <v>604</v>
      </c>
      <c r="C233" s="7" t="str">
        <f t="shared" si="9"/>
        <v>Premium3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5">
        <f ca="1">IFERROR(VLOOKUP(B233,input_405100!L:R,7,FALSE),VLOOKUP(tables_405100!C233,input_405100!A:H,8,FALSE))</f>
        <v>0</v>
      </c>
      <c r="P233" s="46">
        <f t="shared" ca="1" si="10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input_405100!A$2</f>
        <v>405100</v>
      </c>
      <c r="B234" s="6">
        <v>605</v>
      </c>
      <c r="C234" s="7" t="str">
        <f t="shared" si="9"/>
        <v>Premium4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5">
        <f ca="1">IFERROR(VLOOKUP(B234,input_405100!L:R,7,FALSE),VLOOKUP(tables_405100!C234,input_405100!A:H,8,FALSE))</f>
        <v>939312.5</v>
      </c>
      <c r="P234" s="46">
        <f t="shared" ca="1" si="10"/>
        <v>1.034713042520379E-2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input_405100!A$2</f>
        <v>405100</v>
      </c>
      <c r="B235" s="6">
        <v>606</v>
      </c>
      <c r="C235" s="7" t="str">
        <f t="shared" si="9"/>
        <v>Premium5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5">
        <f ca="1">IFERROR(VLOOKUP(B235,input_405100!L:R,7,FALSE),VLOOKUP(tables_405100!C235,input_405100!A:H,8,FALSE))</f>
        <v>29687.5</v>
      </c>
      <c r="P235" s="46">
        <f t="shared" ca="1" si="10"/>
        <v>3.2702687816699714E-4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input_405100!A$2</f>
        <v>405100</v>
      </c>
      <c r="B236" s="6">
        <v>658</v>
      </c>
      <c r="C236" s="7" t="str">
        <f t="shared" si="9"/>
        <v>PremiumSS4</v>
      </c>
      <c r="D236" s="7" t="str">
        <f t="shared" si="11"/>
        <v>PremiumSS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5">
        <f ca="1">IFERROR(VLOOKUP(B236,input_405100!L:R,7,FALSE),VLOOKUP(tables_405100!C236,input_405100!A:H,8,FALSE))</f>
        <v>84550</v>
      </c>
      <c r="P236" s="46">
        <f t="shared" ca="1" si="10"/>
        <v>9.3137254901960785E-4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input_405100!A$2</f>
        <v>405100</v>
      </c>
      <c r="B237" s="6">
        <v>659</v>
      </c>
      <c r="C237" s="7" t="str">
        <f t="shared" si="9"/>
        <v>PremiumSS5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IFERROR(VLOOKUP(B237,input_405100!L:R,7,FALSE),VLOOKUP(tables_405100!C237,input_405100!A:H,8,FALSE))</f>
        <v>4450</v>
      </c>
      <c r="P237" s="46">
        <f t="shared" ca="1" si="10"/>
        <v>4.9019607843137253E-5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input_405100!A$2</f>
        <v>405100</v>
      </c>
      <c r="B238" s="6">
        <v>660</v>
      </c>
      <c r="C238" s="7" t="str">
        <f t="shared" si="9"/>
        <v>PremiumSS4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5">
        <f ca="1">IFERROR(VLOOKUP(B238,input_405100!L:R,7,FALSE),VLOOKUP(tables_405100!C238,input_405100!A:H,8,FALSE))</f>
        <v>84550</v>
      </c>
      <c r="P238" s="46">
        <f t="shared" ca="1" si="10"/>
        <v>9.3137254901960785E-4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input_405100!A$2</f>
        <v>405100</v>
      </c>
      <c r="B239" s="6">
        <v>661</v>
      </c>
      <c r="C239" s="7" t="str">
        <f t="shared" si="9"/>
        <v>PremiumSS5</v>
      </c>
      <c r="D239" s="7" t="str">
        <f t="shared" si="11"/>
        <v>PremiumSS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5">
        <f ca="1">IFERROR(VLOOKUP(B239,input_405100!L:R,7,FALSE),VLOOKUP(tables_405100!C239,input_405100!A:H,8,FALSE))</f>
        <v>4450</v>
      </c>
      <c r="P239" s="46">
        <f t="shared" ca="1" si="10"/>
        <v>4.9019607843137253E-5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input_405100!A$2</f>
        <v>405100</v>
      </c>
      <c r="B240" s="6">
        <v>662</v>
      </c>
      <c r="C240" s="7" t="str">
        <f t="shared" si="9"/>
        <v>Premium3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5">
        <f ca="1">IFERROR(VLOOKUP(B240,input_405100!L:R,7,FALSE),VLOOKUP(tables_405100!C240,input_405100!A:H,8,FALSE))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input_405100!A$2</f>
        <v>405100</v>
      </c>
      <c r="B241" s="6">
        <v>663</v>
      </c>
      <c r="C241" s="7" t="str">
        <f t="shared" si="9"/>
        <v>Premium4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5">
        <f ca="1">IFERROR(VLOOKUP(B241,input_405100!L:R,7,FALSE),VLOOKUP(tables_405100!C241,input_405100!A:H,8,FALSE))</f>
        <v>939312.5</v>
      </c>
      <c r="P241" s="46">
        <f t="shared" ca="1" si="10"/>
        <v>1.034713042520379E-2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input_405100!A$2</f>
        <v>405100</v>
      </c>
      <c r="B242" s="6">
        <v>664</v>
      </c>
      <c r="C242" s="7" t="str">
        <f t="shared" si="9"/>
        <v>Premium5</v>
      </c>
      <c r="D242" s="7" t="str">
        <f t="shared" si="11"/>
        <v>Premium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5">
        <f ca="1">IFERROR(VLOOKUP(B242,input_405100!L:R,7,FALSE),VLOOKUP(tables_405100!C242,input_405100!A:H,8,FALSE))</f>
        <v>29687.5</v>
      </c>
      <c r="P242" s="46">
        <f t="shared" ca="1" si="10"/>
        <v>3.2702687816699714E-4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input_405100!A$2</f>
        <v>405100</v>
      </c>
      <c r="B243" s="6">
        <v>665</v>
      </c>
      <c r="C243" s="7" t="str">
        <f t="shared" si="9"/>
        <v>Premium3</v>
      </c>
      <c r="D243" s="7" t="str">
        <f t="shared" si="11"/>
        <v>Premium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5">
        <f ca="1">IFERROR(VLOOKUP(B243,input_405100!L:R,7,FALSE),VLOOKUP(tables_405100!C243,input_405100!A:H,8,FALSE))</f>
        <v>0</v>
      </c>
      <c r="P243" s="46">
        <f t="shared" ca="1" si="10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input_405100!A$2</f>
        <v>405100</v>
      </c>
      <c r="B244" s="6">
        <v>666</v>
      </c>
      <c r="C244" s="7" t="str">
        <f t="shared" si="9"/>
        <v>Premium4</v>
      </c>
      <c r="D244" s="7" t="str">
        <f t="shared" si="11"/>
        <v>Premium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5">
        <f ca="1">IFERROR(VLOOKUP(B244,input_405100!L:R,7,FALSE),VLOOKUP(tables_405100!C244,input_405100!A:H,8,FALSE))</f>
        <v>939312.5</v>
      </c>
      <c r="P244" s="46">
        <f t="shared" ca="1" si="10"/>
        <v>1.034713042520379E-2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input_405100!A$2</f>
        <v>405100</v>
      </c>
      <c r="B245" s="6">
        <v>667</v>
      </c>
      <c r="C245" s="7" t="str">
        <f t="shared" si="9"/>
        <v>Premium5</v>
      </c>
      <c r="D245" s="7" t="str">
        <f t="shared" si="11"/>
        <v>Premium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5">
        <f ca="1">IFERROR(VLOOKUP(B245,input_405100!L:R,7,FALSE),VLOOKUP(tables_405100!C245,input_405100!A:H,8,FALSE))</f>
        <v>29687.5</v>
      </c>
      <c r="P245" s="46">
        <f t="shared" ca="1" si="10"/>
        <v>3.2702687816699714E-4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input_405100!A$2</f>
        <v>405100</v>
      </c>
      <c r="B246" s="60">
        <v>668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5">
        <f ca="1">IFERROR(VLOOKUP(B246,input_405100!L:R,7,FALSE),VLOOKUP(tables_405100!C246,input_405100!A:H,8,FALSE))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input_405100!A$2</f>
        <v>405100</v>
      </c>
      <c r="B247" s="60">
        <v>669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5">
        <f ca="1">IFERROR(VLOOKUP(B247,input_405100!L:R,7,FALSE),VLOOKUP(tables_405100!C247,input_405100!A:H,8,FALSE))</f>
        <v>939312.5</v>
      </c>
      <c r="P247" s="46">
        <f t="shared" ca="1" si="10"/>
        <v>1.034713042520379E-2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input_405100!A$2</f>
        <v>405100</v>
      </c>
      <c r="B248" s="60">
        <v>670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5">
        <f ca="1">IFERROR(VLOOKUP(B248,input_405100!L:R,7,FALSE),VLOOKUP(tables_405100!C248,input_405100!A:H,8,FALSE))</f>
        <v>29687.5</v>
      </c>
      <c r="P248" s="46">
        <f t="shared" ca="1" si="10"/>
        <v>3.2702687816699714E-4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input_405100!A$2</f>
        <v>405100</v>
      </c>
      <c r="B249" s="60">
        <v>671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5">
        <f ca="1">IFERROR(VLOOKUP(B249,input_405100!L:R,7,FALSE),VLOOKUP(tables_405100!C249,input_405100!A:H,8,FALSE))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input_405100!A$2</f>
        <v>405100</v>
      </c>
      <c r="B250" s="60">
        <v>672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5">
        <f ca="1">IFERROR(VLOOKUP(B250,input_405100!L:R,7,FALSE),VLOOKUP(tables_405100!C250,input_405100!A:H,8,FALSE))</f>
        <v>939312.5</v>
      </c>
      <c r="P250" s="46">
        <f t="shared" ca="1" si="10"/>
        <v>1.034713042520379E-2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input_405100!A$2</f>
        <v>405100</v>
      </c>
      <c r="B251" s="60">
        <v>673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5">
        <f ca="1">IFERROR(VLOOKUP(B251,input_405100!L:R,7,FALSE),VLOOKUP(tables_405100!C251,input_405100!A:H,8,FALSE))</f>
        <v>29687.5</v>
      </c>
      <c r="P251" s="46">
        <f t="shared" ca="1" si="10"/>
        <v>3.2702687816699714E-4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input_405100!A$2</f>
        <v>405100</v>
      </c>
      <c r="B252" s="60">
        <v>674</v>
      </c>
      <c r="C252" s="7" t="str">
        <f t="shared" si="9"/>
        <v>PremiumSS4</v>
      </c>
      <c r="D252" s="7" t="str">
        <f t="shared" si="11"/>
        <v>PremiumSS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5">
        <f ca="1">IFERROR(VLOOKUP(B252,input_405100!L:R,7,FALSE),VLOOKUP(tables_405100!C252,input_405100!A:H,8,FALSE))</f>
        <v>84550</v>
      </c>
      <c r="P252" s="46">
        <f t="shared" ca="1" si="10"/>
        <v>9.3137254901960785E-4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input_405100!A$2</f>
        <v>405100</v>
      </c>
      <c r="B253" s="60">
        <v>675</v>
      </c>
      <c r="C253" s="7" t="str">
        <f t="shared" si="9"/>
        <v>PremiumSS5</v>
      </c>
      <c r="D253" s="7" t="str">
        <f t="shared" si="11"/>
        <v>PremiumSS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5">
        <f ca="1">IFERROR(VLOOKUP(B253,input_405100!L:R,7,FALSE),VLOOKUP(tables_405100!C253,input_405100!A:H,8,FALSE))</f>
        <v>4450</v>
      </c>
      <c r="P253" s="46">
        <f t="shared" ca="1" si="10"/>
        <v>4.9019607843137253E-5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input_405100!A$2</f>
        <v>405100</v>
      </c>
      <c r="B254" s="60">
        <v>676</v>
      </c>
      <c r="C254" s="7" t="str">
        <f t="shared" si="9"/>
        <v>PremiumSS4</v>
      </c>
      <c r="D254" s="7" t="str">
        <f t="shared" si="11"/>
        <v>PremiumSS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5">
        <f ca="1">IFERROR(VLOOKUP(B254,input_405100!L:R,7,FALSE),VLOOKUP(tables_405100!C254,input_405100!A:H,8,FALSE))</f>
        <v>84550</v>
      </c>
      <c r="P254" s="46">
        <f t="shared" ca="1" si="10"/>
        <v>9.3137254901960785E-4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input_405100!A$2</f>
        <v>405100</v>
      </c>
      <c r="B255" s="60">
        <v>677</v>
      </c>
      <c r="C255" s="7" t="str">
        <f t="shared" si="9"/>
        <v>PremiumSS5</v>
      </c>
      <c r="D255" s="7" t="str">
        <f t="shared" si="11"/>
        <v>PremiumSS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5">
        <f ca="1">IFERROR(VLOOKUP(B255,input_405100!L:R,7,FALSE),VLOOKUP(tables_405100!C255,input_405100!A:H,8,FALSE))</f>
        <v>4450</v>
      </c>
      <c r="P255" s="46">
        <f t="shared" ca="1" si="10"/>
        <v>4.9019607843137253E-5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input_405100!A$2</f>
        <v>405100</v>
      </c>
      <c r="B256" s="60">
        <v>728</v>
      </c>
      <c r="C256" s="7" t="str">
        <f t="shared" si="9"/>
        <v>Premium4R3less</v>
      </c>
      <c r="D256" s="7" t="str">
        <f t="shared" si="11"/>
        <v>Premium</v>
      </c>
      <c r="E256" s="7" t="str">
        <f>IF(COUNTIF('R6追加前'!A:A,B256)=0,IF(OR(I256="PremiumSS",I256="PremiumSSw"),"R5only","R3less"),"")</f>
        <v>R3less</v>
      </c>
      <c r="F256" s="7" t="str">
        <f>IF(COUNTIF('R6開放'!A:A,B256)&gt;0,"R6release","")</f>
        <v/>
      </c>
      <c r="G256" s="7"/>
      <c r="H256" s="7" t="str">
        <f>VLOOKUP(B256,[1]characters!$A:$C,3,FALSE)</f>
        <v>井伊直虎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human</v>
      </c>
      <c r="N256" s="7" t="str">
        <f>VLOOKUP(B256,[1]characters!$A:$G,7,FALSE)</f>
        <v>女性</v>
      </c>
      <c r="O256" s="45">
        <f ca="1">IFERROR(VLOOKUP(B256,input_405100!L:R,7,FALSE),VLOOKUP(tables_405100!C256,input_405100!A:H,8,FALSE))</f>
        <v>920550</v>
      </c>
      <c r="P256" s="46">
        <f t="shared" ca="1" si="10"/>
        <v>1.0140449438202246E-2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input_405100!A$2</f>
        <v>405100</v>
      </c>
      <c r="B257" s="60">
        <v>729</v>
      </c>
      <c r="C257" s="7" t="str">
        <f t="shared" si="9"/>
        <v>Premium5R3less</v>
      </c>
      <c r="D257" s="7" t="str">
        <f t="shared" si="11"/>
        <v>Premium</v>
      </c>
      <c r="E257" s="7" t="str">
        <f>IF(COUNTIF('R6追加前'!A:A,B257)=0,IF(OR(I257="PremiumSS",I257="PremiumSSw"),"R5only","R3less"),"")</f>
        <v>R3less</v>
      </c>
      <c r="F257" s="7" t="str">
        <f>IF(COUNTIF('R6開放'!A:A,B257)&gt;0,"R6release","")</f>
        <v/>
      </c>
      <c r="G257" s="7"/>
      <c r="H257" s="7" t="str">
        <f>VLOOKUP(B257,[1]characters!$A:$C,3,FALSE)</f>
        <v>暗厄の双刀 井伊直虎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human</v>
      </c>
      <c r="N257" s="7" t="str">
        <f>VLOOKUP(B257,[1]characters!$A:$G,7,FALSE)</f>
        <v>女性</v>
      </c>
      <c r="O257" s="45">
        <f ca="1">IFERROR(VLOOKUP(B257,input_405100!L:R,7,FALSE),VLOOKUP(tables_405100!C257,input_405100!A:H,8,FALSE))</f>
        <v>48450</v>
      </c>
      <c r="P257" s="46">
        <f t="shared" ca="1" si="10"/>
        <v>5.3370786516853937E-4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input_405100!A$2</f>
        <v>405100</v>
      </c>
      <c r="B258" s="60">
        <v>730</v>
      </c>
      <c r="C258" s="7" t="str">
        <f t="shared" ref="C258:C283" si="12">D258&amp;J258&amp;E258&amp;F258&amp;G258</f>
        <v>Premium4R3less</v>
      </c>
      <c r="D258" s="7" t="str">
        <f t="shared" si="11"/>
        <v>Premium</v>
      </c>
      <c r="E258" s="7" t="str">
        <f>IF(COUNTIF('R6追加前'!A:A,B258)=0,IF(OR(I258="PremiumSS",I258="PremiumSSw"),"R5only","R3less"),"")</f>
        <v>R3less</v>
      </c>
      <c r="F258" s="7" t="str">
        <f>IF(COUNTIF('R6開放'!A:A,B258)&gt;0,"R6release","")</f>
        <v/>
      </c>
      <c r="G258" s="7"/>
      <c r="H258" s="7" t="str">
        <f>VLOOKUP(B258,[1]characters!$A:$C,3,FALSE)</f>
        <v>ガラシャ</v>
      </c>
      <c r="I258" s="7" t="str">
        <f>VLOOKUP(B258,[1]characters!$A:$J,10,FALSE)</f>
        <v>PremiumS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heal</v>
      </c>
      <c r="M258" s="7" t="str">
        <f>VLOOKUP(B258,[1]characters!$A:$M,13,FALSE)</f>
        <v>human</v>
      </c>
      <c r="N258" s="7" t="str">
        <f>VLOOKUP(B258,[1]characters!$A:$G,7,FALSE)</f>
        <v>女性</v>
      </c>
      <c r="O258" s="45">
        <f ca="1">IFERROR(VLOOKUP(B258,input_405100!L:R,7,FALSE),VLOOKUP(tables_405100!C258,input_405100!A:H,8,FALSE))</f>
        <v>920550</v>
      </c>
      <c r="P258" s="46">
        <f t="shared" ref="P258:P294" ca="1" si="13">O258/SUM(O:O)</f>
        <v>1.0140449438202246E-2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input_405100!A$2</f>
        <v>405100</v>
      </c>
      <c r="B259" s="60">
        <v>731</v>
      </c>
      <c r="C259" s="7" t="str">
        <f t="shared" si="12"/>
        <v>Premium5R3less</v>
      </c>
      <c r="D259" s="7" t="str">
        <f t="shared" ref="D259:D309" si="14">IF(OR(I259="PremiumSS",I259="PremiumSSw"),"PremiumSS",IF(I259="PremiumSSS",I259,IF(I259="PremiumW",I259,"Premium")))</f>
        <v>Premium</v>
      </c>
      <c r="E259" s="7" t="str">
        <f>IF(COUNTIF('R6追加前'!A:A,B259)=0,IF(OR(I259="PremiumSS",I259="PremiumSSw"),"R5only","R3less"),"")</f>
        <v>R3less</v>
      </c>
      <c r="F259" s="7" t="str">
        <f>IF(COUNTIF('R6開放'!A:A,B259)&gt;0,"R6release","")</f>
        <v/>
      </c>
      <c r="G259" s="7"/>
      <c r="H259" s="7" t="str">
        <f>VLOOKUP(B259,[1]characters!$A:$C,3,FALSE)</f>
        <v>敬虔なる追銃 ガラシャ</v>
      </c>
      <c r="I259" s="7" t="str">
        <f>VLOOKUP(B259,[1]characters!$A:$J,10,FALSE)</f>
        <v>PremiumS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heal</v>
      </c>
      <c r="M259" s="7" t="str">
        <f>VLOOKUP(B259,[1]characters!$A:$M,13,FALSE)</f>
        <v>human</v>
      </c>
      <c r="N259" s="7" t="str">
        <f>VLOOKUP(B259,[1]characters!$A:$G,7,FALSE)</f>
        <v>女性</v>
      </c>
      <c r="O259" s="45">
        <f ca="1">IFERROR(VLOOKUP(B259,input_405100!L:R,7,FALSE),VLOOKUP(tables_405100!C259,input_405100!A:H,8,FALSE))</f>
        <v>48450</v>
      </c>
      <c r="P259" s="46">
        <f t="shared" ca="1" si="13"/>
        <v>5.3370786516853937E-4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input_405100!A$2</f>
        <v>405100</v>
      </c>
      <c r="B260" s="60">
        <v>732</v>
      </c>
      <c r="C260" s="7" t="str">
        <f t="shared" si="12"/>
        <v>PremiumSS5R5only</v>
      </c>
      <c r="D260" s="7" t="str">
        <f t="shared" si="14"/>
        <v>PremiumSS</v>
      </c>
      <c r="E260" s="7" t="str">
        <f>IF(COUNTIF('R6追加前'!A:A,B260)=0,IF(OR(I260="PremiumSS",I260="PremiumSSw"),"R5only","R3less"),"")</f>
        <v>R5only</v>
      </c>
      <c r="F260" s="7" t="str">
        <f>IF(COUNTIF('R6開放'!A:A,B260)&gt;0,"R6release","")</f>
        <v/>
      </c>
      <c r="G260" s="7"/>
      <c r="H260" s="7" t="str">
        <f>VLOOKUP(B260,[1]characters!$A:$C,3,FALSE)</f>
        <v>上杉謙信</v>
      </c>
      <c r="I260" s="7" t="str">
        <f>VLOOKUP(B260,[1]characters!$A:$J,10,FALSE)</f>
        <v>PremiumSS</v>
      </c>
      <c r="J260" s="7">
        <f>VLOOKUP(B260,[1]characters!$A:$I,9,FALSE)</f>
        <v>5</v>
      </c>
      <c r="K260" s="7" t="str">
        <f>VLOOKUP(B260,[1]characters!$A:$H,8,FALSE)</f>
        <v>blue</v>
      </c>
      <c r="L260" s="7" t="str">
        <f>VLOOKUP(B260,[1]characters!$A:$K,11,FALSE)</f>
        <v>attack</v>
      </c>
      <c r="M260" s="7" t="str">
        <f>VLOOKUP(B260,[1]characters!$A:$M,13,FALSE)</f>
        <v>human</v>
      </c>
      <c r="N260" s="7" t="str">
        <f>VLOOKUP(B260,[1]characters!$A:$G,7,FALSE)</f>
        <v>女性</v>
      </c>
      <c r="O260" s="45">
        <f ca="1">IFERROR(VLOOKUP(B260,input_405100!L:R,7,FALSE),VLOOKUP(tables_405100!C260,input_405100!A:H,8,FALSE))</f>
        <v>89000</v>
      </c>
      <c r="P260" s="46">
        <f t="shared" ca="1" si="13"/>
        <v>9.8039215686274508E-4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input_405100!A$2</f>
        <v>405100</v>
      </c>
      <c r="B261" s="60">
        <v>734</v>
      </c>
      <c r="C261" s="7" t="str">
        <f t="shared" si="12"/>
        <v>PremiumSS5R5only</v>
      </c>
      <c r="D261" s="7" t="str">
        <f t="shared" si="14"/>
        <v>PremiumSS</v>
      </c>
      <c r="E261" s="7" t="str">
        <f>IF(COUNTIF('R6追加前'!A:A,B261)=0,IF(OR(I261="PremiumSS",I261="PremiumSSw"),"R5only","R3less"),"")</f>
        <v>R5only</v>
      </c>
      <c r="F261" s="7" t="str">
        <f>IF(COUNTIF('R6開放'!A:A,B261)&gt;0,"R6release","")</f>
        <v/>
      </c>
      <c r="G261" s="7"/>
      <c r="H261" s="7" t="str">
        <f>VLOOKUP(B261,[1]characters!$A:$C,3,FALSE)</f>
        <v>伊達政宗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balance</v>
      </c>
      <c r="M261" s="7" t="str">
        <f>VLOOKUP(B261,[1]characters!$A:$M,13,FALSE)</f>
        <v>human</v>
      </c>
      <c r="N261" s="7" t="str">
        <f>VLOOKUP(B261,[1]characters!$A:$G,7,FALSE)</f>
        <v>男性</v>
      </c>
      <c r="O261" s="45">
        <f ca="1">IFERROR(VLOOKUP(B261,input_405100!L:R,7,FALSE),VLOOKUP(tables_405100!C261,input_405100!A:H,8,FALSE))</f>
        <v>89000</v>
      </c>
      <c r="P261" s="46">
        <f t="shared" ca="1" si="13"/>
        <v>9.8039215686274508E-4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input_405100!A$2</f>
        <v>405100</v>
      </c>
      <c r="B262" s="60">
        <v>770</v>
      </c>
      <c r="C262" s="7" t="str">
        <f t="shared" si="12"/>
        <v>PremiumSS4</v>
      </c>
      <c r="D262" s="7" t="str">
        <f t="shared" si="14"/>
        <v>PremiumSS</v>
      </c>
      <c r="E262" s="7" t="str">
        <f>IF(COUNTIF('R6追加前'!A:A,B262)=0,IF(OR(I262="PremiumSS",I262="PremiumSSw"),"R5only","R3less"),"")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ハヅル</v>
      </c>
      <c r="I262" s="7" t="str">
        <f>VLOOKUP(B262,[1]characters!$A:$J,10,FALSE)</f>
        <v>PremiumSS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animal</v>
      </c>
      <c r="N262" s="7" t="str">
        <f>VLOOKUP(B262,[1]characters!$A:$G,7,FALSE)</f>
        <v>女性</v>
      </c>
      <c r="O262" s="45">
        <f ca="1">IFERROR(VLOOKUP(B262,input_405100!L:R,7,FALSE),VLOOKUP(tables_405100!C262,input_405100!A:H,8,FALSE))</f>
        <v>84550</v>
      </c>
      <c r="P262" s="46">
        <f t="shared" ca="1" si="13"/>
        <v>9.3137254901960785E-4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input_405100!A$2</f>
        <v>405100</v>
      </c>
      <c r="B263" s="60">
        <v>771</v>
      </c>
      <c r="C263" s="7" t="str">
        <f t="shared" si="12"/>
        <v>PremiumSS5</v>
      </c>
      <c r="D263" s="7" t="str">
        <f t="shared" si="14"/>
        <v>PremiumSS</v>
      </c>
      <c r="E263" s="7" t="str">
        <f>IF(COUNTIF('R6追加前'!A:A,B263)=0,IF(OR(I263="PremiumSS",I263="PremiumSSw"),"R5only","R3less"),"")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天織羽鶴 ハヅル</v>
      </c>
      <c r="I263" s="7" t="str">
        <f>VLOOKUP(B263,[1]characters!$A:$J,10,FALSE)</f>
        <v>PremiumSS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animal</v>
      </c>
      <c r="N263" s="7" t="str">
        <f>VLOOKUP(B263,[1]characters!$A:$G,7,FALSE)</f>
        <v>女性</v>
      </c>
      <c r="O263" s="45">
        <f ca="1">IFERROR(VLOOKUP(B263,input_405100!L:R,7,FALSE),VLOOKUP(tables_405100!C263,input_405100!A:H,8,FALSE))</f>
        <v>4450</v>
      </c>
      <c r="P263" s="46">
        <f t="shared" ca="1" si="13"/>
        <v>4.9019607843137253E-5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input_405100!A$2</f>
        <v>405100</v>
      </c>
      <c r="B264" s="60">
        <v>772</v>
      </c>
      <c r="C264" s="7" t="str">
        <f t="shared" si="12"/>
        <v>PremiumSS4</v>
      </c>
      <c r="D264" s="7" t="str">
        <f t="shared" si="14"/>
        <v>PremiumSS</v>
      </c>
      <c r="E264" s="7" t="str">
        <f>IF(COUNTIF('R6追加前'!A:A,B264)=0,IF(OR(I264="PremiumSS",I264="PremiumSSw"),"R5only","R3less"),"")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イナバ</v>
      </c>
      <c r="I264" s="7" t="str">
        <f>VLOOKUP(B264,[1]characters!$A:$J,10,FALSE)</f>
        <v>PremiumSS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balance</v>
      </c>
      <c r="M264" s="7" t="str">
        <f>VLOOKUP(B264,[1]characters!$A:$M,13,FALSE)</f>
        <v>animal</v>
      </c>
      <c r="N264" s="7" t="str">
        <f>VLOOKUP(B264,[1]characters!$A:$G,7,FALSE)</f>
        <v>女性</v>
      </c>
      <c r="O264" s="45">
        <f ca="1">IFERROR(VLOOKUP(B264,input_405100!L:R,7,FALSE),VLOOKUP(tables_405100!C264,input_405100!A:H,8,FALSE))</f>
        <v>84550</v>
      </c>
      <c r="P264" s="46">
        <f t="shared" ca="1" si="13"/>
        <v>9.3137254901960785E-4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input_405100!A$2</f>
        <v>405100</v>
      </c>
      <c r="B265" s="60">
        <v>773</v>
      </c>
      <c r="C265" s="7" t="str">
        <f t="shared" si="12"/>
        <v>PremiumSS5</v>
      </c>
      <c r="D265" s="7" t="str">
        <f t="shared" si="14"/>
        <v>PremiumSS</v>
      </c>
      <c r="E265" s="7" t="str">
        <f>IF(COUNTIF('R6追加前'!A:A,B265)=0,IF(OR(I265="PremiumSS",I265="PremiumSSw"),"R5only","R3less"),"")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浮跳天兎 イナバ</v>
      </c>
      <c r="I265" s="7" t="str">
        <f>VLOOKUP(B265,[1]characters!$A:$J,10,FALSE)</f>
        <v>PremiumSS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balance</v>
      </c>
      <c r="M265" s="7" t="str">
        <f>VLOOKUP(B265,[1]characters!$A:$M,13,FALSE)</f>
        <v>animal</v>
      </c>
      <c r="N265" s="7" t="str">
        <f>VLOOKUP(B265,[1]characters!$A:$G,7,FALSE)</f>
        <v>女性</v>
      </c>
      <c r="O265" s="45">
        <f ca="1">IFERROR(VLOOKUP(B265,input_405100!L:R,7,FALSE),VLOOKUP(tables_405100!C265,input_405100!A:H,8,FALSE))</f>
        <v>4450</v>
      </c>
      <c r="P265" s="46">
        <f t="shared" ca="1" si="13"/>
        <v>4.9019607843137253E-5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input_405100!A$2</f>
        <v>405100</v>
      </c>
      <c r="B266" s="60">
        <v>774</v>
      </c>
      <c r="C266" s="7" t="str">
        <f t="shared" si="12"/>
        <v>Premium3</v>
      </c>
      <c r="D266" s="7" t="str">
        <f t="shared" si="14"/>
        <v>Premium</v>
      </c>
      <c r="E266" s="7" t="str">
        <f>IF(COUNTIF('R6追加前'!A:A,B266)=0,IF(OR(I266="PremiumSS",I266="PremiumSSw"),"R5only","R3less"),"")</f>
        <v/>
      </c>
      <c r="F266" s="7" t="str">
        <f>IF(COUNTIF('R6開放'!A:A,B266)&gt;0,"R6release","")</f>
        <v/>
      </c>
      <c r="G266" s="7"/>
      <c r="H266" s="7" t="str">
        <f>VLOOKUP(B266,[1]characters!$A:$C,3,FALSE)</f>
        <v>ミズチ</v>
      </c>
      <c r="I266" s="7" t="str">
        <f>VLOOKUP(B266,[1]characters!$A:$J,10,FALSE)</f>
        <v>PremiumS</v>
      </c>
      <c r="J266" s="7">
        <f>VLOOKUP(B266,[1]characters!$A:$I,9,FALSE)</f>
        <v>3</v>
      </c>
      <c r="K266" s="7" t="str">
        <f>VLOOKUP(B266,[1]characters!$A:$H,8,FALSE)</f>
        <v>blue</v>
      </c>
      <c r="L266" s="7" t="str">
        <f>VLOOKUP(B266,[1]characters!$A:$K,11,FALSE)</f>
        <v>heal</v>
      </c>
      <c r="M266" s="7" t="str">
        <f>VLOOKUP(B266,[1]characters!$A:$M,13,FALSE)</f>
        <v>dragon</v>
      </c>
      <c r="N266" s="7" t="str">
        <f>VLOOKUP(B266,[1]characters!$A:$G,7,FALSE)</f>
        <v>不明</v>
      </c>
      <c r="O266" s="45">
        <f ca="1">IFERROR(VLOOKUP(B266,input_405100!L:R,7,FALSE),VLOOKUP(tables_405100!C266,input_405100!A:H,8,FALSE))</f>
        <v>0</v>
      </c>
      <c r="P266" s="46">
        <f t="shared" ca="1" si="13"/>
        <v>0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input_405100!A$2</f>
        <v>405100</v>
      </c>
      <c r="B267" s="60">
        <v>775</v>
      </c>
      <c r="C267" s="7" t="str">
        <f t="shared" si="12"/>
        <v>Premium4</v>
      </c>
      <c r="D267" s="7" t="str">
        <f t="shared" si="14"/>
        <v>Premium</v>
      </c>
      <c r="E267" s="7" t="str">
        <f>IF(COUNTIF('R6追加前'!A:A,B267)=0,IF(OR(I267="PremiumSS",I267="PremiumSSw"),"R5only","R3less"),"")</f>
        <v/>
      </c>
      <c r="F267" s="7" t="str">
        <f>IF(COUNTIF('R6開放'!A:A,B267)&gt;0,"R6release","")</f>
        <v/>
      </c>
      <c r="G267" s="7"/>
      <c r="H267" s="7" t="str">
        <f>VLOOKUP(B267,[1]characters!$A:$C,3,FALSE)</f>
        <v>水底霊竜 ミズチ</v>
      </c>
      <c r="I267" s="7" t="str">
        <f>VLOOKUP(B267,[1]characters!$A:$J,10,FALSE)</f>
        <v>PremiumS</v>
      </c>
      <c r="J267" s="7">
        <f>VLOOKUP(B267,[1]characters!$A:$I,9,FALSE)</f>
        <v>4</v>
      </c>
      <c r="K267" s="7" t="str">
        <f>VLOOKUP(B267,[1]characters!$A:$H,8,FALSE)</f>
        <v>blue</v>
      </c>
      <c r="L267" s="7" t="str">
        <f>VLOOKUP(B267,[1]characters!$A:$K,11,FALSE)</f>
        <v>heal</v>
      </c>
      <c r="M267" s="7" t="str">
        <f>VLOOKUP(B267,[1]characters!$A:$M,13,FALSE)</f>
        <v>dragon</v>
      </c>
      <c r="N267" s="7" t="str">
        <f>VLOOKUP(B267,[1]characters!$A:$G,7,FALSE)</f>
        <v>不明</v>
      </c>
      <c r="O267" s="45">
        <f ca="1">IFERROR(VLOOKUP(B267,input_405100!L:R,7,FALSE),VLOOKUP(tables_405100!C267,input_405100!A:H,8,FALSE))</f>
        <v>939312.5</v>
      </c>
      <c r="P267" s="46">
        <f t="shared" ca="1" si="13"/>
        <v>1.034713042520379E-2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input_405100!A$2</f>
        <v>405100</v>
      </c>
      <c r="B268" s="60">
        <v>776</v>
      </c>
      <c r="C268" s="7" t="str">
        <f t="shared" si="12"/>
        <v>Premium5</v>
      </c>
      <c r="D268" s="7" t="str">
        <f t="shared" si="14"/>
        <v>Premium</v>
      </c>
      <c r="E268" s="7" t="str">
        <f>IF(COUNTIF('R6追加前'!A:A,B268)=0,IF(OR(I268="PremiumSS",I268="PremiumSSw"),"R5only","R3less"),"")</f>
        <v/>
      </c>
      <c r="F268" s="7" t="str">
        <f>IF(COUNTIF('R6開放'!A:A,B268)&gt;0,"R6release","")</f>
        <v/>
      </c>
      <c r="G268" s="7"/>
      <c r="H268" s="7" t="str">
        <f>VLOOKUP(B268,[1]characters!$A:$C,3,FALSE)</f>
        <v>水竜底主 ミズチ</v>
      </c>
      <c r="I268" s="7" t="str">
        <f>VLOOKUP(B268,[1]characters!$A:$J,10,FALSE)</f>
        <v>PremiumS</v>
      </c>
      <c r="J268" s="7">
        <f>VLOOKUP(B268,[1]characters!$A:$I,9,FALSE)</f>
        <v>5</v>
      </c>
      <c r="K268" s="7" t="str">
        <f>VLOOKUP(B268,[1]characters!$A:$H,8,FALSE)</f>
        <v>blue</v>
      </c>
      <c r="L268" s="7" t="str">
        <f>VLOOKUP(B268,[1]characters!$A:$K,11,FALSE)</f>
        <v>heal</v>
      </c>
      <c r="M268" s="7" t="str">
        <f>VLOOKUP(B268,[1]characters!$A:$M,13,FALSE)</f>
        <v>dragon</v>
      </c>
      <c r="N268" s="7" t="str">
        <f>VLOOKUP(B268,[1]characters!$A:$G,7,FALSE)</f>
        <v>不明</v>
      </c>
      <c r="O268" s="45">
        <f ca="1">IFERROR(VLOOKUP(B268,input_405100!L:R,7,FALSE),VLOOKUP(tables_405100!C268,input_405100!A:H,8,FALSE))</f>
        <v>29687.5</v>
      </c>
      <c r="P268" s="46">
        <f t="shared" ca="1" si="13"/>
        <v>3.2702687816699714E-4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input_405100!A$2</f>
        <v>405100</v>
      </c>
      <c r="B269" s="60">
        <v>777</v>
      </c>
      <c r="C269" s="7" t="str">
        <f t="shared" si="12"/>
        <v>Premium3</v>
      </c>
      <c r="D269" s="7" t="str">
        <f t="shared" si="14"/>
        <v>Premium</v>
      </c>
      <c r="E269" s="7" t="str">
        <f>IF(COUNTIF('R6追加前'!A:A,B269)=0,IF(OR(I269="PremiumSS",I269="PremiumSSw"),"R5only","R3less"),"")</f>
        <v/>
      </c>
      <c r="F269" s="7" t="str">
        <f>IF(COUNTIF('R6開放'!A:A,B269)&gt;0,"R6release","")</f>
        <v/>
      </c>
      <c r="G269" s="7"/>
      <c r="H269" s="7" t="str">
        <f>VLOOKUP(B269,[1]characters!$A:$C,3,FALSE)</f>
        <v>ガメック</v>
      </c>
      <c r="I269" s="7" t="str">
        <f>VLOOKUP(B269,[1]characters!$A:$J,10,FALSE)</f>
        <v>PremiumS</v>
      </c>
      <c r="J269" s="7">
        <f>VLOOKUP(B269,[1]characters!$A:$I,9,FALSE)</f>
        <v>3</v>
      </c>
      <c r="K269" s="7" t="str">
        <f>VLOOKUP(B269,[1]characters!$A:$H,8,FALSE)</f>
        <v>yellow</v>
      </c>
      <c r="L269" s="7" t="str">
        <f>VLOOKUP(B269,[1]characters!$A:$K,11,FALSE)</f>
        <v>hp</v>
      </c>
      <c r="M269" s="7" t="str">
        <f>VLOOKUP(B269,[1]characters!$A:$M,13,FALSE)</f>
        <v>animal</v>
      </c>
      <c r="N269" s="7" t="str">
        <f>VLOOKUP(B269,[1]characters!$A:$G,7,FALSE)</f>
        <v>不明</v>
      </c>
      <c r="O269" s="45">
        <f ca="1">IFERROR(VLOOKUP(B269,input_405100!L:R,7,FALSE),VLOOKUP(tables_405100!C269,input_405100!A:H,8,FALSE))</f>
        <v>0</v>
      </c>
      <c r="P269" s="46">
        <f t="shared" ca="1" si="13"/>
        <v>0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input_405100!A$2</f>
        <v>405100</v>
      </c>
      <c r="B270" s="60">
        <v>778</v>
      </c>
      <c r="C270" s="7" t="str">
        <f t="shared" si="12"/>
        <v>Premium4</v>
      </c>
      <c r="D270" s="7" t="str">
        <f t="shared" si="14"/>
        <v>Premium</v>
      </c>
      <c r="E270" s="7" t="str">
        <f>IF(COUNTIF('R6追加前'!A:A,B270)=0,IF(OR(I270="PremiumSS",I270="PremiumSSw"),"R5only","R3less"),"")</f>
        <v/>
      </c>
      <c r="F270" s="7" t="str">
        <f>IF(COUNTIF('R6開放'!A:A,B270)&gt;0,"R6release","")</f>
        <v/>
      </c>
      <c r="G270" s="7"/>
      <c r="H270" s="7" t="str">
        <f>VLOOKUP(B270,[1]characters!$A:$C,3,FALSE)</f>
        <v>一亀懸明 ガメック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yellow</v>
      </c>
      <c r="L270" s="7" t="str">
        <f>VLOOKUP(B270,[1]characters!$A:$K,11,FALSE)</f>
        <v>hp</v>
      </c>
      <c r="M270" s="7" t="str">
        <f>VLOOKUP(B270,[1]characters!$A:$M,13,FALSE)</f>
        <v>animal</v>
      </c>
      <c r="N270" s="7" t="str">
        <f>VLOOKUP(B270,[1]characters!$A:$G,7,FALSE)</f>
        <v>不明</v>
      </c>
      <c r="O270" s="45">
        <f ca="1">IFERROR(VLOOKUP(B270,input_405100!L:R,7,FALSE),VLOOKUP(tables_405100!C270,input_405100!A:H,8,FALSE))</f>
        <v>939312.5</v>
      </c>
      <c r="P270" s="46">
        <f t="shared" ca="1" si="13"/>
        <v>1.034713042520379E-2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input_405100!A$2</f>
        <v>405100</v>
      </c>
      <c r="B271" s="60">
        <v>779</v>
      </c>
      <c r="C271" s="7" t="str">
        <f t="shared" si="12"/>
        <v>Premium5</v>
      </c>
      <c r="D271" s="7" t="str">
        <f t="shared" si="14"/>
        <v>Premium</v>
      </c>
      <c r="E271" s="7" t="str">
        <f>IF(COUNTIF('R6追加前'!A:A,B271)=0,IF(OR(I271="PremiumSS",I271="PremiumSSw"),"R5only","R3less"),"")</f>
        <v/>
      </c>
      <c r="F271" s="7" t="str">
        <f>IF(COUNTIF('R6開放'!A:A,B271)&gt;0,"R6release","")</f>
        <v/>
      </c>
      <c r="G271" s="7"/>
      <c r="H271" s="7" t="str">
        <f>VLOOKUP(B271,[1]characters!$A:$C,3,FALSE)</f>
        <v>頑堅咬亀 ガメック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hp</v>
      </c>
      <c r="M271" s="7" t="str">
        <f>VLOOKUP(B271,[1]characters!$A:$M,13,FALSE)</f>
        <v>animal</v>
      </c>
      <c r="N271" s="7" t="str">
        <f>VLOOKUP(B271,[1]characters!$A:$G,7,FALSE)</f>
        <v>不明</v>
      </c>
      <c r="O271" s="45">
        <f ca="1">IFERROR(VLOOKUP(B271,input_405100!L:R,7,FALSE),VLOOKUP(tables_405100!C271,input_405100!A:H,8,FALSE))</f>
        <v>29687.5</v>
      </c>
      <c r="P271" s="46">
        <f t="shared" ca="1" si="13"/>
        <v>3.2702687816699714E-4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input_405100!A$2</f>
        <v>405100</v>
      </c>
      <c r="B272" s="81">
        <v>848</v>
      </c>
      <c r="C272" s="7" t="str">
        <f t="shared" si="12"/>
        <v>PremiumSS5R5only</v>
      </c>
      <c r="D272" s="7" t="str">
        <f t="shared" si="14"/>
        <v>PremiumSS</v>
      </c>
      <c r="E272" s="7" t="str">
        <f>IF(COUNTIF('R6追加前'!A:A,B272)=0,IF(OR(I272="PremiumSS",I272="PremiumSSw"),"R5only","R3less"),"")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5">
        <f ca="1">IFERROR(VLOOKUP(B272,input_405100!L:R,7,FALSE),VLOOKUP(tables_405100!C272,input_405100!A:H,8,FALSE))</f>
        <v>89000</v>
      </c>
      <c r="P272" s="46">
        <f t="shared" ca="1" si="13"/>
        <v>9.8039215686274508E-4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input_405100!A$2</f>
        <v>405100</v>
      </c>
      <c r="B273" s="81">
        <v>850</v>
      </c>
      <c r="C273" s="7" t="str">
        <f t="shared" si="12"/>
        <v>PremiumSS5R5only</v>
      </c>
      <c r="D273" s="7" t="str">
        <f t="shared" si="14"/>
        <v>PremiumSS</v>
      </c>
      <c r="E273" s="7" t="str">
        <f>IF(COUNTIF('R6追加前'!A:A,B273)=0,IF(OR(I273="PremiumSS",I273="PremiumSSw"),"R5only","R3less"),"")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5">
        <f ca="1">IFERROR(VLOOKUP(B273,input_405100!L:R,7,FALSE),VLOOKUP(tables_405100!C273,input_405100!A:H,8,FALSE))</f>
        <v>89000</v>
      </c>
      <c r="P273" s="46">
        <f t="shared" ca="1" si="13"/>
        <v>9.8039215686274508E-4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input_405100!A$2</f>
        <v>405100</v>
      </c>
      <c r="B274" s="81">
        <v>852</v>
      </c>
      <c r="C274" s="7" t="str">
        <f t="shared" si="12"/>
        <v>Premium4R3less</v>
      </c>
      <c r="D274" s="7" t="str">
        <f t="shared" si="14"/>
        <v>Premium</v>
      </c>
      <c r="E274" s="7" t="str">
        <f>IF(COUNTIF('R6追加前'!A:A,B274)=0,IF(OR(I274="PremiumSS",I274="PremiumSSw"),"R5only","R3less"),"")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5">
        <f ca="1">IFERROR(VLOOKUP(B274,input_405100!L:R,7,FALSE),VLOOKUP(tables_405100!C274,input_405100!A:H,8,FALSE))</f>
        <v>920550</v>
      </c>
      <c r="P274" s="46">
        <f t="shared" ca="1" si="13"/>
        <v>1.0140449438202246E-2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input_405100!A$2</f>
        <v>405100</v>
      </c>
      <c r="B275" s="81">
        <v>853</v>
      </c>
      <c r="C275" s="7" t="str">
        <f t="shared" si="12"/>
        <v>Premium5R3less</v>
      </c>
      <c r="D275" s="7" t="str">
        <f t="shared" si="14"/>
        <v>Premium</v>
      </c>
      <c r="E275" s="7" t="str">
        <f>IF(COUNTIF('R6追加前'!A:A,B275)=0,IF(OR(I275="PremiumSS",I275="PremiumSSw"),"R5only","R3less"),"")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5">
        <f ca="1">IFERROR(VLOOKUP(B275,input_405100!L:R,7,FALSE),VLOOKUP(tables_405100!C275,input_405100!A:H,8,FALSE))</f>
        <v>48450</v>
      </c>
      <c r="P275" s="46">
        <f t="shared" ca="1" si="13"/>
        <v>5.3370786516853937E-4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input_405100!A$2</f>
        <v>405100</v>
      </c>
      <c r="B276" s="81">
        <v>854</v>
      </c>
      <c r="C276" s="7" t="str">
        <f t="shared" si="12"/>
        <v>Premium4R3less</v>
      </c>
      <c r="D276" s="7" t="str">
        <f t="shared" si="14"/>
        <v>Premium</v>
      </c>
      <c r="E276" s="7" t="str">
        <f>IF(COUNTIF('R6追加前'!A:A,B276)=0,IF(OR(I276="PremiumSS",I276="PremiumSSw"),"R5only","R3less"),"")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5">
        <f ca="1">IFERROR(VLOOKUP(B276,input_405100!L:R,7,FALSE),VLOOKUP(tables_405100!C276,input_405100!A:H,8,FALSE))</f>
        <v>920550</v>
      </c>
      <c r="P276" s="46">
        <f t="shared" ca="1" si="13"/>
        <v>1.0140449438202246E-2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input_405100!A$2</f>
        <v>405100</v>
      </c>
      <c r="B277" s="81">
        <v>855</v>
      </c>
      <c r="C277" s="7" t="str">
        <f t="shared" si="12"/>
        <v>Premium5R3less</v>
      </c>
      <c r="D277" s="7" t="str">
        <f t="shared" si="14"/>
        <v>Premium</v>
      </c>
      <c r="E277" s="7" t="str">
        <f>IF(COUNTIF('R6追加前'!A:A,B277)=0,IF(OR(I277="PremiumSS",I277="PremiumSSw"),"R5only","R3less"),"")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5">
        <f ca="1">IFERROR(VLOOKUP(B277,input_405100!L:R,7,FALSE),VLOOKUP(tables_405100!C277,input_405100!A:H,8,FALSE))</f>
        <v>48450</v>
      </c>
      <c r="P277" s="46">
        <f t="shared" ca="1" si="13"/>
        <v>5.3370786516853937E-4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input_405100!A$2</f>
        <v>405100</v>
      </c>
      <c r="B278" s="81">
        <v>862</v>
      </c>
      <c r="C278" s="7" t="str">
        <f t="shared" si="12"/>
        <v>Premium4R3less</v>
      </c>
      <c r="D278" s="7" t="str">
        <f t="shared" si="14"/>
        <v>Premium</v>
      </c>
      <c r="E278" s="7" t="str">
        <f>IF(COUNTIF('R6追加前'!A:A,B278)=0,IF(OR(I278="PremiumSS",I278="PremiumSSw"),"R5only","R3less"),"")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5">
        <f ca="1">IFERROR(VLOOKUP(B278,input_405100!L:R,7,FALSE),VLOOKUP(tables_405100!C278,input_405100!A:H,8,FALSE))</f>
        <v>920550</v>
      </c>
      <c r="P278" s="46">
        <f t="shared" ca="1" si="13"/>
        <v>1.0140449438202246E-2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input_405100!A$2</f>
        <v>405100</v>
      </c>
      <c r="B279" s="81">
        <v>863</v>
      </c>
      <c r="C279" s="7" t="str">
        <f t="shared" si="12"/>
        <v>Premium5R3less</v>
      </c>
      <c r="D279" s="7" t="str">
        <f t="shared" si="14"/>
        <v>Premium</v>
      </c>
      <c r="E279" s="7" t="str">
        <f>IF(COUNTIF('R6追加前'!A:A,B279)=0,IF(OR(I279="PremiumSS",I279="PremiumSSw"),"R5only","R3less"),"")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5">
        <f ca="1">IFERROR(VLOOKUP(B279,input_405100!L:R,7,FALSE),VLOOKUP(tables_405100!C279,input_405100!A:H,8,FALSE))</f>
        <v>48450</v>
      </c>
      <c r="P279" s="46">
        <f t="shared" ca="1" si="13"/>
        <v>5.3370786516853937E-4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input_405100!A$2</f>
        <v>405100</v>
      </c>
      <c r="B280" s="81">
        <v>864</v>
      </c>
      <c r="C280" s="7" t="str">
        <f t="shared" si="12"/>
        <v>Premium4R3less</v>
      </c>
      <c r="D280" s="7" t="str">
        <f t="shared" si="14"/>
        <v>Premium</v>
      </c>
      <c r="E280" s="7" t="str">
        <f>IF(COUNTIF('R6追加前'!A:A,B280)=0,IF(OR(I280="PremiumSS",I280="PremiumSSw"),"R5only","R3less"),"")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5">
        <f ca="1">IFERROR(VLOOKUP(B280,input_405100!L:R,7,FALSE),VLOOKUP(tables_405100!C280,input_405100!A:H,8,FALSE))</f>
        <v>920550</v>
      </c>
      <c r="P280" s="46">
        <f t="shared" ca="1" si="13"/>
        <v>1.0140449438202246E-2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input_405100!A$2</f>
        <v>405100</v>
      </c>
      <c r="B281" s="81">
        <v>865</v>
      </c>
      <c r="C281" s="7" t="str">
        <f t="shared" si="12"/>
        <v>Premium5R3less</v>
      </c>
      <c r="D281" s="7" t="str">
        <f t="shared" si="14"/>
        <v>Premium</v>
      </c>
      <c r="E281" s="7" t="str">
        <f>IF(COUNTIF('R6追加前'!A:A,B281)=0,IF(OR(I281="PremiumSS",I281="PremiumSSw"),"R5only","R3less"),"")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5">
        <f ca="1">IFERROR(VLOOKUP(B281,input_405100!L:R,7,FALSE),VLOOKUP(tables_405100!C281,input_405100!A:H,8,FALSE))</f>
        <v>48450</v>
      </c>
      <c r="P281" s="46">
        <f t="shared" ca="1" si="13"/>
        <v>5.3370786516853937E-4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input_405100!A$2</f>
        <v>405100</v>
      </c>
      <c r="B282" s="81">
        <v>866</v>
      </c>
      <c r="C282" s="7" t="str">
        <f t="shared" si="12"/>
        <v>PremiumSS5R5only</v>
      </c>
      <c r="D282" s="7" t="str">
        <f t="shared" si="14"/>
        <v>PremiumSS</v>
      </c>
      <c r="E282" s="7" t="str">
        <f>IF(COUNTIF('R6追加前'!A:A,B282)=0,IF(OR(I282="PremiumSS",I282="PremiumSSw"),"R5only","R3less"),"")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5">
        <f ca="1">IFERROR(VLOOKUP(B282,input_405100!L:R,7,FALSE),VLOOKUP(tables_405100!C282,input_405100!A:H,8,FALSE))</f>
        <v>89000</v>
      </c>
      <c r="P282" s="46">
        <f t="shared" ca="1" si="13"/>
        <v>9.8039215686274508E-4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input_405100!A$2</f>
        <v>405100</v>
      </c>
      <c r="B283" s="81">
        <v>868</v>
      </c>
      <c r="C283" s="7" t="str">
        <f t="shared" si="12"/>
        <v>PremiumSS5R5only</v>
      </c>
      <c r="D283" s="7" t="str">
        <f t="shared" si="14"/>
        <v>PremiumSS</v>
      </c>
      <c r="E283" s="7" t="str">
        <f>IF(COUNTIF('R6追加前'!A:A,B283)=0,IF(OR(I283="PremiumSS",I283="PremiumSSw"),"R5only","R3less"),"")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5">
        <f ca="1">IFERROR(VLOOKUP(B283,input_405100!L:R,7,FALSE),VLOOKUP(tables_405100!C283,input_405100!A:H,8,FALSE))</f>
        <v>89000</v>
      </c>
      <c r="P283" s="46">
        <f t="shared" ca="1" si="13"/>
        <v>9.8039215686274508E-4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input_405100!A$2</f>
        <v>405100</v>
      </c>
      <c r="B284" s="91">
        <v>742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アポロン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attack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IFERROR(VLOOKUP(B284,input_405100!L:R,7,FALSE),VLOOKUP(tables_405100!C284,input_405100!A:H,8,FALSE))</f>
        <v>89000</v>
      </c>
      <c r="P284" s="46">
        <f t="shared" ca="1" si="13"/>
        <v>9.8039215686274508E-4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input_405100!A$2</f>
        <v>405100</v>
      </c>
      <c r="B285" s="91">
        <v>744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ヘルメス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IFERROR(VLOOKUP(B285,input_405100!L:R,7,FALSE),VLOOKUP(tables_405100!C285,input_405100!A:H,8,FALSE))</f>
        <v>89000</v>
      </c>
      <c r="P285" s="46">
        <f t="shared" ca="1" si="13"/>
        <v>9.8039215686274508E-4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input_405100!A$2</f>
        <v>405100</v>
      </c>
      <c r="B286" s="91">
        <v>746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ノルン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balance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IFERROR(VLOOKUP(B286,input_405100!L:R,7,FALSE),VLOOKUP(tables_405100!C286,input_405100!A:H,8,FALSE))</f>
        <v>920550</v>
      </c>
      <c r="P286" s="46">
        <f t="shared" ca="1" si="13"/>
        <v>1.0140449438202246E-2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input_405100!A$2</f>
        <v>405100</v>
      </c>
      <c r="B287" s="91">
        <v>747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潔碧の巡励神 ノルン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balance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IFERROR(VLOOKUP(B287,input_405100!L:R,7,FALSE),VLOOKUP(tables_405100!C287,input_405100!A:H,8,FALSE))</f>
        <v>48450</v>
      </c>
      <c r="P287" s="46">
        <f t="shared" ca="1" si="13"/>
        <v>5.3370786516853937E-4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input_405100!A$2</f>
        <v>405100</v>
      </c>
      <c r="B288" s="91">
        <v>748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パーン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heal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IFERROR(VLOOKUP(B288,input_405100!L:R,7,FALSE),VLOOKUP(tables_405100!C288,input_405100!A:H,8,FALSE))</f>
        <v>920550</v>
      </c>
      <c r="P288" s="46">
        <f t="shared" ca="1" si="13"/>
        <v>1.0140449438202246E-2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input_405100!A$2</f>
        <v>405100</v>
      </c>
      <c r="B289" s="91">
        <v>749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光喜の牧童 パーン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heal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IFERROR(VLOOKUP(B289,input_405100!L:R,7,FALSE),VLOOKUP(tables_405100!C289,input_405100!A:H,8,FALSE))</f>
        <v>48450</v>
      </c>
      <c r="P289" s="46">
        <f t="shared" ca="1" si="13"/>
        <v>5.3370786516853937E-4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input_405100!A$2</f>
        <v>405100</v>
      </c>
      <c r="B290" s="5">
        <v>937</v>
      </c>
      <c r="C290" s="7" t="str">
        <f t="shared" ref="C290:C294" si="18">D290&amp;J290&amp;E290&amp;F290&amp;G290</f>
        <v>PremiumSS5R5only</v>
      </c>
      <c r="D290" s="7" t="str">
        <f t="shared" si="14"/>
        <v>PremiumSS</v>
      </c>
      <c r="E290" s="7" t="str">
        <f>IF(COUNTIF('R6追加前'!A:A,B290)=0,IF(OR(I290="PremiumSS",I290="PremiumSSw"),"R5only","R3less"),"")</f>
        <v>R5only</v>
      </c>
      <c r="F290" s="7" t="str">
        <f>IF(COUNTIF('R6開放'!A:A,B290)&gt;0,"R6release","")</f>
        <v/>
      </c>
      <c r="G290" s="7"/>
      <c r="H290" s="7" t="str">
        <f>VLOOKUP(B290,[1]characters!$A:$C,3,FALSE)</f>
        <v>ナポレオン</v>
      </c>
      <c r="I290" s="7" t="str">
        <f>VLOOKUP(B290,[1]characters!$A:$J,10,FALSE)</f>
        <v>PremiumSS</v>
      </c>
      <c r="J290" s="7">
        <f>VLOOKUP(B290,[1]characters!$A:$I,9,FALSE)</f>
        <v>5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human</v>
      </c>
      <c r="N290" s="7" t="str">
        <f>VLOOKUP(B290,[1]characters!$A:$G,7,FALSE)</f>
        <v>男性</v>
      </c>
      <c r="O290" s="45">
        <f ca="1">IFERROR(VLOOKUP(B290,input_405100!L:R,7,FALSE),VLOOKUP(tables_405100!C290,input_405100!A:H,8,FALSE))</f>
        <v>89000</v>
      </c>
      <c r="P290" s="46">
        <f t="shared" ca="1" si="13"/>
        <v>9.8039215686274508E-4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input_405100!A$2</f>
        <v>405100</v>
      </c>
      <c r="B291" s="5">
        <v>939</v>
      </c>
      <c r="C291" s="7" t="str">
        <f t="shared" si="18"/>
        <v>Premium4R3less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バスティーユ</v>
      </c>
      <c r="I291" s="7" t="str">
        <f>VLOOKUP(B291,[1]characters!$A:$J,10,FALSE)</f>
        <v>PremiumS</v>
      </c>
      <c r="J291" s="7">
        <f>VLOOKUP(B291,[1]characters!$A:$I,9,FALSE)</f>
        <v>4</v>
      </c>
      <c r="K291" s="7" t="str">
        <f>VLOOKUP(B291,[1]characters!$A:$H,8,FALSE)</f>
        <v>green</v>
      </c>
      <c r="L291" s="7" t="str">
        <f>VLOOKUP(B291,[1]characters!$A:$K,11,FALSE)</f>
        <v>hp</v>
      </c>
      <c r="M291" s="7" t="str">
        <f>VLOOKUP(B291,[1]characters!$A:$M,13,FALSE)</f>
        <v>unknown</v>
      </c>
      <c r="N291" s="7" t="str">
        <f>VLOOKUP(B291,[1]characters!$A:$G,7,FALSE)</f>
        <v>男性</v>
      </c>
      <c r="O291" s="45">
        <f ca="1">IFERROR(VLOOKUP(B291,input_405100!L:R,7,FALSE),VLOOKUP(tables_405100!C291,input_405100!A:H,8,FALSE))</f>
        <v>920550</v>
      </c>
      <c r="P291" s="46">
        <f t="shared" ca="1" si="13"/>
        <v>1.0140449438202246E-2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input_405100!A$2</f>
        <v>405100</v>
      </c>
      <c r="B292" s="5">
        <v>940</v>
      </c>
      <c r="C292" s="7" t="str">
        <f t="shared" si="18"/>
        <v>Premium5R3less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不壊の大要塞 バスティーユ</v>
      </c>
      <c r="I292" s="7" t="str">
        <f>VLOOKUP(B292,[1]characters!$A:$J,10,FALSE)</f>
        <v>PremiumS</v>
      </c>
      <c r="J292" s="7">
        <f>VLOOKUP(B292,[1]characters!$A:$I,9,FALSE)</f>
        <v>5</v>
      </c>
      <c r="K292" s="7" t="str">
        <f>VLOOKUP(B292,[1]characters!$A:$H,8,FALSE)</f>
        <v>green</v>
      </c>
      <c r="L292" s="7" t="str">
        <f>VLOOKUP(B292,[1]characters!$A:$K,11,FALSE)</f>
        <v>hp</v>
      </c>
      <c r="M292" s="7" t="str">
        <f>VLOOKUP(B292,[1]characters!$A:$M,13,FALSE)</f>
        <v>unknown</v>
      </c>
      <c r="N292" s="7" t="str">
        <f>VLOOKUP(B292,[1]characters!$A:$G,7,FALSE)</f>
        <v>男性</v>
      </c>
      <c r="O292" s="45">
        <f ca="1">IFERROR(VLOOKUP(B292,input_405100!L:R,7,FALSE),VLOOKUP(tables_405100!C292,input_405100!A:H,8,FALSE))</f>
        <v>48450</v>
      </c>
      <c r="P292" s="46">
        <f t="shared" ca="1" si="13"/>
        <v>5.3370786516853937E-4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input_405100!A$2</f>
        <v>405100</v>
      </c>
      <c r="B293" s="5">
        <v>941</v>
      </c>
      <c r="C293" s="7" t="str">
        <f t="shared" si="18"/>
        <v>PremiumSS5R5only</v>
      </c>
      <c r="D293" s="7" t="str">
        <f t="shared" si="14"/>
        <v>PremiumSS</v>
      </c>
      <c r="E293" s="7" t="str">
        <f>IF(COUNTIF('R6追加前'!A:A,B293)=0,IF(OR(I293="PremiumSS",I293="PremiumSSw"),"R5only","R3less"),"")</f>
        <v>R5only</v>
      </c>
      <c r="F293" s="7" t="str">
        <f>IF(COUNTIF('R6開放'!A:A,B293)&gt;0,"R6release","")</f>
        <v/>
      </c>
      <c r="G293" s="7"/>
      <c r="H293" s="7" t="str">
        <f>VLOOKUP(B293,[1]characters!$A:$C,3,FALSE)</f>
        <v>アントワネット</v>
      </c>
      <c r="I293" s="7" t="str">
        <f>VLOOKUP(B293,[1]characters!$A:$J,10,FALSE)</f>
        <v>PremiumSS</v>
      </c>
      <c r="J293" s="7">
        <f>VLOOKUP(B293,[1]characters!$A:$I,9,FALSE)</f>
        <v>5</v>
      </c>
      <c r="K293" s="7" t="str">
        <f>VLOOKUP(B293,[1]characters!$A:$H,8,FALSE)</f>
        <v>blue</v>
      </c>
      <c r="L293" s="7" t="str">
        <f>VLOOKUP(B293,[1]characters!$A:$K,11,FALSE)</f>
        <v>technical</v>
      </c>
      <c r="M293" s="7" t="str">
        <f>VLOOKUP(B293,[1]characters!$A:$M,13,FALSE)</f>
        <v>human</v>
      </c>
      <c r="N293" s="7" t="str">
        <f>VLOOKUP(B293,[1]characters!$A:$G,7,FALSE)</f>
        <v>男性</v>
      </c>
      <c r="O293" s="45">
        <f ca="1">IFERROR(VLOOKUP(B293,input_405100!L:R,7,FALSE),VLOOKUP(tables_405100!C293,input_405100!A:H,8,FALSE))</f>
        <v>89000</v>
      </c>
      <c r="P293" s="46">
        <f t="shared" ca="1" si="13"/>
        <v>9.8039215686274508E-4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input_405100!A$2</f>
        <v>405100</v>
      </c>
      <c r="B294" s="5">
        <v>943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サンソン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yellow</v>
      </c>
      <c r="L294" s="7" t="str">
        <f>VLOOKUP(B294,[1]characters!$A:$K,11,FALSE)</f>
        <v>attack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IFERROR(VLOOKUP(B294,input_405100!L:R,7,FALSE),VLOOKUP(tables_405100!C294,input_405100!A:H,8,FALSE))</f>
        <v>89000</v>
      </c>
      <c r="P294" s="46">
        <f t="shared" ca="1" si="13"/>
        <v>9.8039215686274508E-4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input_405100!A$2</f>
        <v>405100</v>
      </c>
      <c r="B295" s="5">
        <v>1012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ラー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red</v>
      </c>
      <c r="L295" s="7" t="str">
        <f>VLOOKUP(B295,[1]characters!$A:$K,11,FALSE)</f>
        <v>balance</v>
      </c>
      <c r="M295" s="7" t="str">
        <f>VLOOKUP(B295,[1]characters!$A:$M,13,FALSE)</f>
        <v>god</v>
      </c>
      <c r="N295" s="7" t="str">
        <f>VLOOKUP(B295,[1]characters!$A:$G,7,FALSE)</f>
        <v>男性</v>
      </c>
      <c r="O295" s="45">
        <f ca="1">IFERROR(VLOOKUP(B295,input_405100!L:R,7,FALSE),VLOOKUP(tables_405100!C295,input_405100!A:H,8,FALSE))</f>
        <v>89000</v>
      </c>
      <c r="P295" s="46">
        <f t="shared" ref="P295:P299" ca="1" si="20">O295/SUM(O:O)</f>
        <v>9.8039215686274508E-4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input_405100!A$2</f>
        <v>405100</v>
      </c>
      <c r="B296" s="5">
        <v>1014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イシス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green</v>
      </c>
      <c r="L296" s="7" t="str">
        <f>VLOOKUP(B296,[1]characters!$A:$K,11,FALSE)</f>
        <v>hp</v>
      </c>
      <c r="M296" s="7" t="str">
        <f>VLOOKUP(B296,[1]characters!$A:$M,13,FALSE)</f>
        <v>god</v>
      </c>
      <c r="N296" s="7" t="str">
        <f>VLOOKUP(B296,[1]characters!$A:$G,7,FALSE)</f>
        <v>男性</v>
      </c>
      <c r="O296" s="45">
        <f ca="1">IFERROR(VLOOKUP(B296,input_405100!L:R,7,FALSE),VLOOKUP(tables_405100!C296,input_405100!A:H,8,FALSE))</f>
        <v>89000</v>
      </c>
      <c r="P296" s="46">
        <f t="shared" ca="1" si="20"/>
        <v>9.8039215686274508E-4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input_405100!A$2</f>
        <v>405100</v>
      </c>
      <c r="B297" s="5">
        <v>1016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ハトホル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blue</v>
      </c>
      <c r="L297" s="7" t="str">
        <f>VLOOKUP(B297,[1]characters!$A:$K,11,FALSE)</f>
        <v>heal</v>
      </c>
      <c r="M297" s="7" t="str">
        <f>VLOOKUP(B297,[1]characters!$A:$M,13,FALSE)</f>
        <v>god</v>
      </c>
      <c r="N297" s="7" t="str">
        <f>VLOOKUP(B297,[1]characters!$A:$G,7,FALSE)</f>
        <v>男性</v>
      </c>
      <c r="O297" s="45">
        <f ca="1">IFERROR(VLOOKUP(B297,input_405100!L:R,7,FALSE),VLOOKUP(tables_405100!C297,input_405100!A:H,8,FALSE))</f>
        <v>920550</v>
      </c>
      <c r="P297" s="46">
        <f t="shared" ca="1" si="20"/>
        <v>1.0140449438202246E-2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input_405100!A$2</f>
        <v>405100</v>
      </c>
      <c r="B298" s="5">
        <v>1017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命瞳の慈母神 ハトホル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blue</v>
      </c>
      <c r="L298" s="7" t="str">
        <f>VLOOKUP(B298,[1]characters!$A:$K,11,FALSE)</f>
        <v>heal</v>
      </c>
      <c r="M298" s="7" t="str">
        <f>VLOOKUP(B298,[1]characters!$A:$M,13,FALSE)</f>
        <v>god</v>
      </c>
      <c r="N298" s="7" t="str">
        <f>VLOOKUP(B298,[1]characters!$A:$G,7,FALSE)</f>
        <v>男性</v>
      </c>
      <c r="O298" s="45">
        <f ca="1">IFERROR(VLOOKUP(B298,input_405100!L:R,7,FALSE),VLOOKUP(tables_405100!C298,input_405100!A:H,8,FALSE))</f>
        <v>48450</v>
      </c>
      <c r="P298" s="46">
        <f t="shared" ca="1" si="20"/>
        <v>5.3370786516853937E-4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input_405100!A$2</f>
        <v>405100</v>
      </c>
      <c r="B299" s="5">
        <v>1018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バステト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yellow</v>
      </c>
      <c r="L299" s="7" t="str">
        <f>VLOOKUP(B299,[1]characters!$A:$K,11,FALSE)</f>
        <v>attack</v>
      </c>
      <c r="M299" s="7" t="str">
        <f>VLOOKUP(B299,[1]characters!$A:$M,13,FALSE)</f>
        <v>god</v>
      </c>
      <c r="N299" s="7" t="str">
        <f>VLOOKUP(B299,[1]characters!$A:$G,7,FALSE)</f>
        <v>男性</v>
      </c>
      <c r="O299" s="45">
        <f ca="1">IFERROR(VLOOKUP(B299,input_405100!L:R,7,FALSE),VLOOKUP(tables_405100!C299,input_405100!A:H,8,FALSE))</f>
        <v>89000</v>
      </c>
      <c r="P299" s="46">
        <f t="shared" ca="1" si="20"/>
        <v>9.8039215686274508E-4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input_405100!A$2</f>
        <v>405100</v>
      </c>
      <c r="B300" s="5">
        <v>1026</v>
      </c>
      <c r="C300" s="7" t="str">
        <f t="shared" ref="C300:C304" si="21">D300&amp;J300&amp;E300&amp;F300&amp;G300</f>
        <v>Premium4R3less</v>
      </c>
      <c r="D300" s="7" t="str">
        <f t="shared" si="14"/>
        <v>Premium</v>
      </c>
      <c r="E300" s="7" t="str">
        <f>IF(COUNTIF('R6追加前'!A:A,B300)=0,IF(OR(I300="PremiumSS",I300="PremiumSSw"),"R5only","R3less"),"")</f>
        <v>R3less</v>
      </c>
      <c r="F300" s="7" t="str">
        <f>IF(COUNTIF('R6開放'!A:A,B300)&gt;0,"R6release","")</f>
        <v/>
      </c>
      <c r="G300" s="7"/>
      <c r="H300" s="7" t="str">
        <f>VLOOKUP(B300,[1]characters!$A:$C,3,FALSE)</f>
        <v>蝉丸</v>
      </c>
      <c r="I300" s="7" t="str">
        <f>VLOOKUP(B300,[1]characters!$A:$J,10,FALSE)</f>
        <v>PremiumS</v>
      </c>
      <c r="J300" s="7">
        <f>VLOOKUP(B300,[1]characters!$A:$I,9,FALSE)</f>
        <v>4</v>
      </c>
      <c r="K300" s="7" t="str">
        <f>VLOOKUP(B300,[1]characters!$A:$H,8,FALSE)</f>
        <v>red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IFERROR(VLOOKUP(B300,input_405100!L:R,7,FALSE),VLOOKUP(tables_405100!C300,input_405100!A:H,8,FALSE))</f>
        <v>920550</v>
      </c>
      <c r="P300" s="46">
        <f t="shared" ref="P300:P304" ca="1" si="22">O300/SUM(O:O)</f>
        <v>1.0140449438202246E-2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input_405100!A$2</f>
        <v>405100</v>
      </c>
      <c r="B301" s="5">
        <v>1027</v>
      </c>
      <c r="C301" s="7" t="str">
        <f t="shared" si="21"/>
        <v>Premium5R3less</v>
      </c>
      <c r="D301" s="7" t="str">
        <f t="shared" si="14"/>
        <v>Premium</v>
      </c>
      <c r="E301" s="7" t="str">
        <f>IF(COUNTIF('R6追加前'!A:A,B301)=0,IF(OR(I301="PremiumSS",I301="PremiumSSw"),"R5only","R3less"),"")</f>
        <v>R3less</v>
      </c>
      <c r="F301" s="7" t="str">
        <f>IF(COUNTIF('R6開放'!A:A,B301)&gt;0,"R6release","")</f>
        <v/>
      </c>
      <c r="G301" s="7"/>
      <c r="H301" s="7" t="str">
        <f>VLOOKUP(B301,[1]characters!$A:$C,3,FALSE)</f>
        <v>弾丸多重奏 蝉丸</v>
      </c>
      <c r="I301" s="7" t="str">
        <f>VLOOKUP(B301,[1]characters!$A:$J,10,FALSE)</f>
        <v>PremiumS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attack</v>
      </c>
      <c r="M301" s="7" t="str">
        <f>VLOOKUP(B301,[1]characters!$A:$M,13,FALSE)</f>
        <v>human</v>
      </c>
      <c r="N301" s="7" t="str">
        <f>VLOOKUP(B301,[1]characters!$A:$G,7,FALSE)</f>
        <v>男性</v>
      </c>
      <c r="O301" s="45">
        <f ca="1">IFERROR(VLOOKUP(B301,input_405100!L:R,7,FALSE),VLOOKUP(tables_405100!C301,input_405100!A:H,8,FALSE))</f>
        <v>48450</v>
      </c>
      <c r="P301" s="46">
        <f t="shared" ca="1" si="22"/>
        <v>5.3370786516853937E-4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input_405100!A$2</f>
        <v>405100</v>
      </c>
      <c r="B302" s="5">
        <v>1028</v>
      </c>
      <c r="C302" s="7" t="str">
        <f t="shared" si="21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牛若丸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balance</v>
      </c>
      <c r="M302" s="7" t="str">
        <f>VLOOKUP(B302,[1]characters!$A:$M,13,FALSE)</f>
        <v>human</v>
      </c>
      <c r="N302" s="7" t="str">
        <f>VLOOKUP(B302,[1]characters!$A:$G,7,FALSE)</f>
        <v>男性</v>
      </c>
      <c r="O302" s="45">
        <f ca="1">IFERROR(VLOOKUP(B302,input_405100!L:R,7,FALSE),VLOOKUP(tables_405100!C302,input_405100!A:H,8,FALSE))</f>
        <v>89000</v>
      </c>
      <c r="P302" s="46">
        <f t="shared" ca="1" si="22"/>
        <v>9.8039215686274508E-4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input_405100!A$2</f>
        <v>405100</v>
      </c>
      <c r="B303" s="5">
        <v>1031</v>
      </c>
      <c r="C303" s="7" t="str">
        <f t="shared" si="21"/>
        <v>PremiumSS5R5only</v>
      </c>
      <c r="D303" s="7" t="str">
        <f t="shared" si="14"/>
        <v>PremiumSS</v>
      </c>
      <c r="E303" s="7" t="str">
        <f>IF(COUNTIF('R6追加前'!A:A,B303)=0,IF(OR(I303="PremiumSS",I303="PremiumSSw"),"R5only","R3less"),"")</f>
        <v>R5only</v>
      </c>
      <c r="F303" s="7" t="str">
        <f>IF(COUNTIF('R6開放'!A:A,B303)&gt;0,"R6release","")</f>
        <v/>
      </c>
      <c r="G303" s="7"/>
      <c r="H303" s="7" t="str">
        <f>VLOOKUP(B303,[1]characters!$A:$C,3,FALSE)</f>
        <v>紫式部</v>
      </c>
      <c r="I303" s="7" t="str">
        <f>VLOOKUP(B303,[1]characters!$A:$J,10,FALSE)</f>
        <v>PremiumSS</v>
      </c>
      <c r="J303" s="7">
        <f>VLOOKUP(B303,[1]characters!$A:$I,9,FALSE)</f>
        <v>5</v>
      </c>
      <c r="K303" s="7" t="str">
        <f>VLOOKUP(B303,[1]characters!$A:$H,8,FALSE)</f>
        <v>blue</v>
      </c>
      <c r="L303" s="7" t="str">
        <f>VLOOKUP(B303,[1]characters!$A:$K,11,FALSE)</f>
        <v>technical</v>
      </c>
      <c r="M303" s="7" t="str">
        <f>VLOOKUP(B303,[1]characters!$A:$M,13,FALSE)</f>
        <v>human</v>
      </c>
      <c r="N303" s="7" t="str">
        <f>VLOOKUP(B303,[1]characters!$A:$G,7,FALSE)</f>
        <v>男性</v>
      </c>
      <c r="O303" s="45">
        <f ca="1">IFERROR(VLOOKUP(B303,input_405100!L:R,7,FALSE),VLOOKUP(tables_405100!C303,input_405100!A:H,8,FALSE))</f>
        <v>89000</v>
      </c>
      <c r="P303" s="46">
        <f t="shared" ca="1" si="22"/>
        <v>9.8039215686274508E-4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input_405100!A$2</f>
        <v>405100</v>
      </c>
      <c r="B304" s="5">
        <v>1033</v>
      </c>
      <c r="C304" s="7" t="str">
        <f t="shared" si="21"/>
        <v>PremiumSS5R5only</v>
      </c>
      <c r="D304" s="7" t="str">
        <f t="shared" si="14"/>
        <v>PremiumSS</v>
      </c>
      <c r="E304" s="7" t="str">
        <f>IF(COUNTIF('R6追加前'!A:A,B304)=0,IF(OR(I304="PremiumSS",I304="PremiumSSw"),"R5only","R3less"),"")</f>
        <v>R5only</v>
      </c>
      <c r="F304" s="7" t="str">
        <f>IF(COUNTIF('R6開放'!A:A,B304)&gt;0,"R6release","")</f>
        <v/>
      </c>
      <c r="G304" s="7"/>
      <c r="H304" s="7" t="str">
        <f>VLOOKUP(B304,[1]characters!$A:$C,3,FALSE)</f>
        <v>清少納言</v>
      </c>
      <c r="I304" s="7" t="str">
        <f>VLOOKUP(B304,[1]characters!$A:$J,10,FALSE)</f>
        <v>PremiumSS</v>
      </c>
      <c r="J304" s="7">
        <f>VLOOKUP(B304,[1]characters!$A:$I,9,FALSE)</f>
        <v>5</v>
      </c>
      <c r="K304" s="7" t="str">
        <f>VLOOKUP(B304,[1]characters!$A:$H,8,FALSE)</f>
        <v>yellow</v>
      </c>
      <c r="L304" s="7" t="str">
        <f>VLOOKUP(B304,[1]characters!$A:$K,11,FALSE)</f>
        <v>heal</v>
      </c>
      <c r="M304" s="7" t="str">
        <f>VLOOKUP(B304,[1]characters!$A:$M,13,FALSE)</f>
        <v>human</v>
      </c>
      <c r="N304" s="7" t="str">
        <f>VLOOKUP(B304,[1]characters!$A:$G,7,FALSE)</f>
        <v>男性</v>
      </c>
      <c r="O304" s="45">
        <f ca="1">IFERROR(VLOOKUP(B304,input_405100!L:R,7,FALSE),VLOOKUP(tables_405100!C304,input_405100!A:H,8,FALSE))</f>
        <v>89000</v>
      </c>
      <c r="P304" s="46">
        <f t="shared" ca="1" si="22"/>
        <v>9.8039215686274508E-4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input_405100!A$2</f>
        <v>405100</v>
      </c>
      <c r="B305" s="5">
        <v>1067</v>
      </c>
      <c r="C305" s="7" t="str">
        <f t="shared" ref="C305:C308" si="23">D305&amp;J305&amp;E305&amp;F305&amp;G305</f>
        <v>Premium4R3less</v>
      </c>
      <c r="D305" s="7" t="str">
        <f t="shared" si="14"/>
        <v>Premium</v>
      </c>
      <c r="E305" s="7" t="str">
        <f>IF(COUNTIF('R6追加前'!A:A,B305)=0,IF(OR(I305="PremiumSS",I305="PremiumSSw"),"R5only","R3less"),"")</f>
        <v>R3less</v>
      </c>
      <c r="F305" s="7" t="str">
        <f>IF(COUNTIF('R6開放'!A:A,B305)&gt;0,"R6release","")</f>
        <v/>
      </c>
      <c r="G305" s="7"/>
      <c r="H305" s="7" t="str">
        <f>VLOOKUP(B305,[1]characters!$A:$C,3,FALSE)</f>
        <v>ウシュムガル</v>
      </c>
      <c r="I305" s="7" t="str">
        <f>VLOOKUP(B305,[1]characters!$A:$J,10,FALSE)</f>
        <v>PremiumS</v>
      </c>
      <c r="J305" s="7">
        <f>VLOOKUP(B305,[1]characters!$A:$I,9,FALSE)</f>
        <v>4</v>
      </c>
      <c r="K305" s="7" t="str">
        <f>VLOOKUP(B305,[1]characters!$A:$H,8,FALSE)</f>
        <v>red</v>
      </c>
      <c r="L305" s="7" t="str">
        <f>VLOOKUP(B305,[1]characters!$A:$K,11,FALSE)</f>
        <v>balance</v>
      </c>
      <c r="M305" s="7" t="str">
        <f>VLOOKUP(B305,[1]characters!$A:$M,13,FALSE)</f>
        <v>dragon</v>
      </c>
      <c r="N305" s="7" t="str">
        <f>VLOOKUP(B305,[1]characters!$A:$G,7,FALSE)</f>
        <v>男性</v>
      </c>
      <c r="O305" s="45">
        <f ca="1">IFERROR(VLOOKUP(B305,input_405100!L:R,7,FALSE),VLOOKUP(tables_405100!C305,input_405100!A:H,8,FALSE))</f>
        <v>920550</v>
      </c>
      <c r="P305" s="46">
        <f t="shared" ref="P305:P308" ca="1" si="24">O305/SUM(O:O)</f>
        <v>1.0140449438202246E-2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input_405100!A$2</f>
        <v>405100</v>
      </c>
      <c r="B306" s="5">
        <v>1068</v>
      </c>
      <c r="C306" s="7" t="str">
        <f t="shared" si="23"/>
        <v>Premium5R3less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想母の羽龍 ウシュムガル</v>
      </c>
      <c r="I306" s="7" t="str">
        <f>VLOOKUP(B306,[1]characters!$A:$J,10,FALSE)</f>
        <v>PremiumS</v>
      </c>
      <c r="J306" s="7">
        <f>VLOOKUP(B306,[1]characters!$A:$I,9,FALSE)</f>
        <v>5</v>
      </c>
      <c r="K306" s="7" t="str">
        <f>VLOOKUP(B306,[1]characters!$A:$H,8,FALSE)</f>
        <v>red</v>
      </c>
      <c r="L306" s="7" t="str">
        <f>VLOOKUP(B306,[1]characters!$A:$K,11,FALSE)</f>
        <v>balance</v>
      </c>
      <c r="M306" s="7" t="str">
        <f>VLOOKUP(B306,[1]characters!$A:$M,13,FALSE)</f>
        <v>dragon</v>
      </c>
      <c r="N306" s="7" t="str">
        <f>VLOOKUP(B306,[1]characters!$A:$G,7,FALSE)</f>
        <v>男性</v>
      </c>
      <c r="O306" s="45">
        <f ca="1">IFERROR(VLOOKUP(B306,input_405100!L:R,7,FALSE),VLOOKUP(tables_405100!C306,input_405100!A:H,8,FALSE))</f>
        <v>48450</v>
      </c>
      <c r="P306" s="46">
        <f t="shared" ca="1" si="24"/>
        <v>5.3370786516853937E-4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input_405100!A$2</f>
        <v>405100</v>
      </c>
      <c r="B307" s="5">
        <v>1069</v>
      </c>
      <c r="C307" s="7" t="str">
        <f t="shared" si="23"/>
        <v>PremiumSS5R5only</v>
      </c>
      <c r="D307" s="7" t="str">
        <f t="shared" si="14"/>
        <v>PremiumSS</v>
      </c>
      <c r="E307" s="7" t="str">
        <f>IF(COUNTIF('R6追加前'!A:A,B307)=0,IF(OR(I307="PremiumSS",I307="PremiumSSw"),"R5only","R3less"),"")</f>
        <v>R5only</v>
      </c>
      <c r="F307" s="7" t="str">
        <f>IF(COUNTIF('R6開放'!A:A,B307)&gt;0,"R6release","")</f>
        <v/>
      </c>
      <c r="G307" s="7"/>
      <c r="H307" s="7" t="str">
        <f>VLOOKUP(B307,[1]characters!$A:$C,3,FALSE)</f>
        <v>イシュタル</v>
      </c>
      <c r="I307" s="7" t="str">
        <f>VLOOKUP(B307,[1]characters!$A:$J,10,FALSE)</f>
        <v>PremiumSS</v>
      </c>
      <c r="J307" s="7">
        <f>VLOOKUP(B307,[1]characters!$A:$I,9,FALSE)</f>
        <v>5</v>
      </c>
      <c r="K307" s="7" t="str">
        <f>VLOOKUP(B307,[1]characters!$A:$H,8,FALSE)</f>
        <v>green</v>
      </c>
      <c r="L307" s="7" t="str">
        <f>VLOOKUP(B307,[1]characters!$A:$K,11,FALSE)</f>
        <v>technical</v>
      </c>
      <c r="M307" s="7" t="str">
        <f>VLOOKUP(B307,[1]characters!$A:$M,13,FALSE)</f>
        <v>god</v>
      </c>
      <c r="N307" s="7" t="str">
        <f>VLOOKUP(B307,[1]characters!$A:$G,7,FALSE)</f>
        <v>男性</v>
      </c>
      <c r="O307" s="45">
        <f ca="1">IFERROR(VLOOKUP(B307,input_405100!L:R,7,FALSE),VLOOKUP(tables_405100!C307,input_405100!A:H,8,FALSE))</f>
        <v>89000</v>
      </c>
      <c r="P307" s="46">
        <f t="shared" ca="1" si="24"/>
        <v>9.8039215686274508E-4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input_405100!A$2</f>
        <v>405100</v>
      </c>
      <c r="B308" s="5">
        <v>1072</v>
      </c>
      <c r="C308" s="7" t="str">
        <f t="shared" si="23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エンキドゥ</v>
      </c>
      <c r="I308" s="7" t="str">
        <f>VLOOKUP(B308,[1]characters!$A:$J,10,FALSE)</f>
        <v>PremiumSSw</v>
      </c>
      <c r="J308" s="7">
        <f>VLOOKUP(B308,[1]characters!$A:$I,9,FALSE)</f>
        <v>5</v>
      </c>
      <c r="K308" s="7" t="str">
        <f>VLOOKUP(B308,[1]characters!$A:$H,8,FALSE)</f>
        <v>blue</v>
      </c>
      <c r="L308" s="7" t="str">
        <f>VLOOKUP(B308,[1]characters!$A:$K,11,FALSE)</f>
        <v>attack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IFERROR(VLOOKUP(B308,input_405100!L:R,7,FALSE),VLOOKUP(tables_405100!C308,input_405100!A:H,8,FALSE))</f>
        <v>89000</v>
      </c>
      <c r="P308" s="46">
        <f t="shared" ca="1" si="24"/>
        <v>9.8039215686274508E-4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input_405100!A$2</f>
        <v>405100</v>
      </c>
      <c r="B309" s="5">
        <v>1074</v>
      </c>
      <c r="C309" s="7" t="str">
        <f t="shared" ref="C309" si="25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マルドゥク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yellow</v>
      </c>
      <c r="L309" s="7" t="str">
        <f>VLOOKUP(B309,[1]characters!$A:$K,11,FALSE)</f>
        <v>technical</v>
      </c>
      <c r="M309" s="7" t="str">
        <f>VLOOKUP(B309,[1]characters!$A:$M,13,FALSE)</f>
        <v>god</v>
      </c>
      <c r="N309" s="7" t="str">
        <f>VLOOKUP(B309,[1]characters!$A:$G,7,FALSE)</f>
        <v>男性</v>
      </c>
      <c r="O309" s="45">
        <f ca="1">IFERROR(VLOOKUP(B309,input_405100!L:R,7,FALSE),VLOOKUP(tables_405100!C309,input_405100!A:H,8,FALSE))</f>
        <v>89000</v>
      </c>
      <c r="P309" s="46">
        <f t="shared" ref="P309" ca="1" si="26">O309/SUM(O:O)</f>
        <v>9.8039215686274508E-4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input_405100!A$2</f>
        <v>405100</v>
      </c>
      <c r="B310" s="5">
        <v>1104</v>
      </c>
      <c r="C310" s="7" t="str">
        <f t="shared" ref="C310:C314" si="27">D310&amp;J310&amp;E310&amp;F310&amp;G310</f>
        <v>Premium4R3less</v>
      </c>
      <c r="D310" s="7" t="str">
        <f t="shared" ref="D310:D314" si="28">IF(OR(I310="PremiumSS",I310="PremiumSSw"),"PremiumSS",IF(I310="PremiumSSS",I310,IF(I310="PremiumW",I310,"Premium")))</f>
        <v>Premium</v>
      </c>
      <c r="E310" s="7" t="str">
        <f>IF(COUNTIF('R6追加前'!A:A,B310)=0,IF(OR(I310="PremiumSS",I310="PremiumSSw"),"R5only","R3less"),"")</f>
        <v>R3less</v>
      </c>
      <c r="F310" s="7" t="str">
        <f>IF(COUNTIF('R6開放'!A:A,B310)&gt;0,"R6release","")</f>
        <v/>
      </c>
      <c r="G310" s="7"/>
      <c r="H310" s="7" t="str">
        <f>VLOOKUP(B310,[1]characters!$A:$C,3,FALSE)</f>
        <v>クリムト</v>
      </c>
      <c r="I310" s="7" t="str">
        <f>VLOOKUP(B310,[1]characters!$A:$J,10,FALSE)</f>
        <v>PremiumS</v>
      </c>
      <c r="J310" s="7">
        <f>VLOOKUP(B310,[1]characters!$A:$I,9,FALSE)</f>
        <v>4</v>
      </c>
      <c r="K310" s="7" t="str">
        <f>VLOOKUP(B310,[1]characters!$A:$H,8,FALSE)</f>
        <v>blue</v>
      </c>
      <c r="L310" s="7" t="str">
        <f>VLOOKUP(B310,[1]characters!$A:$K,11,FALSE)</f>
        <v>technical</v>
      </c>
      <c r="M310" s="7" t="str">
        <f>VLOOKUP(B310,[1]characters!$A:$M,13,FALSE)</f>
        <v>human</v>
      </c>
      <c r="N310" s="7" t="str">
        <f>VLOOKUP(B310,[1]characters!$A:$G,7,FALSE)</f>
        <v>不明</v>
      </c>
      <c r="O310" s="45">
        <f ca="1">IFERROR(VLOOKUP(B310,input_405100!L:R,7,FALSE),VLOOKUP(tables_405100!C310,input_405100!A:H,8,FALSE))</f>
        <v>920550</v>
      </c>
      <c r="P310" s="46">
        <f t="shared" ref="P310:P314" ca="1" si="29">O310/SUM(O:O)</f>
        <v>1.0140449438202246E-2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input_405100!A$2</f>
        <v>405100</v>
      </c>
      <c r="B311" s="5">
        <v>1105</v>
      </c>
      <c r="C311" s="7" t="str">
        <f t="shared" si="27"/>
        <v>Premium5R3less</v>
      </c>
      <c r="D311" s="7" t="str">
        <f t="shared" si="28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甘美なる背徳 クリムト</v>
      </c>
      <c r="I311" s="7" t="str">
        <f>VLOOKUP(B311,[1]characters!$A:$J,10,FALSE)</f>
        <v>PremiumS</v>
      </c>
      <c r="J311" s="7">
        <f>VLOOKUP(B311,[1]characters!$A:$I,9,FALSE)</f>
        <v>5</v>
      </c>
      <c r="K311" s="7" t="str">
        <f>VLOOKUP(B311,[1]characters!$A:$H,8,FALSE)</f>
        <v>blue</v>
      </c>
      <c r="L311" s="7" t="str">
        <f>VLOOKUP(B311,[1]characters!$A:$K,11,FALSE)</f>
        <v>technical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IFERROR(VLOOKUP(B311,input_405100!L:R,7,FALSE),VLOOKUP(tables_405100!C311,input_405100!A:H,8,FALSE))</f>
        <v>48450</v>
      </c>
      <c r="P311" s="46">
        <f t="shared" ca="1" si="29"/>
        <v>5.3370786516853937E-4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input_405100!A$2</f>
        <v>405100</v>
      </c>
      <c r="B312" s="5">
        <v>1106</v>
      </c>
      <c r="C312" s="7" t="str">
        <f t="shared" si="27"/>
        <v>PremiumSS5R5only</v>
      </c>
      <c r="D312" s="7" t="str">
        <f t="shared" si="28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ラファエロ</v>
      </c>
      <c r="I312" s="7" t="str">
        <f>VLOOKUP(B312,[1]characters!$A:$J,10,FALSE)</f>
        <v>PremiumSS</v>
      </c>
      <c r="J312" s="7">
        <f>VLOOKUP(B312,[1]characters!$A:$I,9,FALSE)</f>
        <v>5</v>
      </c>
      <c r="K312" s="7" t="str">
        <f>VLOOKUP(B312,[1]characters!$A:$H,8,FALSE)</f>
        <v>yellow</v>
      </c>
      <c r="L312" s="7" t="str">
        <f>VLOOKUP(B312,[1]characters!$A:$K,11,FALSE)</f>
        <v>attack</v>
      </c>
      <c r="M312" s="7" t="str">
        <f>VLOOKUP(B312,[1]characters!$A:$M,13,FALSE)</f>
        <v>human</v>
      </c>
      <c r="N312" s="7" t="str">
        <f>VLOOKUP(B312,[1]characters!$A:$G,7,FALSE)</f>
        <v>不明</v>
      </c>
      <c r="O312" s="45">
        <f ca="1">IFERROR(VLOOKUP(B312,input_405100!L:R,7,FALSE),VLOOKUP(tables_405100!C312,input_405100!A:H,8,FALSE))</f>
        <v>89000</v>
      </c>
      <c r="P312" s="46">
        <f t="shared" ca="1" si="29"/>
        <v>9.8039215686274508E-4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input_405100!A$2</f>
        <v>405100</v>
      </c>
      <c r="B313" s="5">
        <v>1102</v>
      </c>
      <c r="C313" s="7" t="str">
        <f t="shared" si="27"/>
        <v>PremiumSS5R5only</v>
      </c>
      <c r="D313" s="7" t="str">
        <f t="shared" si="28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ドガ</v>
      </c>
      <c r="I313" s="7" t="str">
        <f>VLOOKUP(B313,[1]characters!$A:$J,10,FALSE)</f>
        <v>PremiumSSW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balance</v>
      </c>
      <c r="M313" s="7" t="str">
        <f>VLOOKUP(B313,[1]characters!$A:$M,13,FALSE)</f>
        <v>animal</v>
      </c>
      <c r="N313" s="7" t="str">
        <f>VLOOKUP(B313,[1]characters!$A:$G,7,FALSE)</f>
        <v>不明</v>
      </c>
      <c r="O313" s="45">
        <f ca="1">IFERROR(VLOOKUP(B313,input_405100!L:R,7,FALSE),VLOOKUP(tables_405100!C313,input_405100!A:H,8,FALSE))</f>
        <v>89000</v>
      </c>
      <c r="P313" s="46">
        <f t="shared" ca="1" si="29"/>
        <v>9.8039215686274508E-4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input_405100!A$2</f>
        <v>405100</v>
      </c>
      <c r="B314" s="5">
        <v>1100</v>
      </c>
      <c r="C314" s="7" t="str">
        <f t="shared" si="27"/>
        <v>PremiumSS5R5only</v>
      </c>
      <c r="D314" s="7" t="str">
        <f t="shared" si="28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北斎</v>
      </c>
      <c r="I314" s="7" t="str">
        <f>VLOOKUP(B314,[1]characters!$A:$J,10,FALSE)</f>
        <v>PremiumSS</v>
      </c>
      <c r="J314" s="7">
        <f>VLOOKUP(B314,[1]characters!$A:$I,9,FALSE)</f>
        <v>5</v>
      </c>
      <c r="K314" s="7" t="str">
        <f>VLOOKUP(B314,[1]characters!$A:$H,8,FALSE)</f>
        <v>red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IFERROR(VLOOKUP(B314,input_405100!L:R,7,FALSE),VLOOKUP(tables_405100!C314,input_405100!A:H,8,FALSE))</f>
        <v>89000</v>
      </c>
      <c r="P314" s="46">
        <f t="shared" ca="1" si="29"/>
        <v>9.8039215686274508E-4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</sheetData>
  <autoFilter ref="A1:V294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6"/>
  <sheetViews>
    <sheetView showGridLines="0" zoomScale="75" zoomScaleNormal="75" zoomScalePageLayoutView="75" workbookViewId="0">
      <pane ySplit="1" topLeftCell="A2" activePane="bottomLeft" state="frozen"/>
      <selection activeCell="D34" sqref="D34"/>
      <selection pane="bottomLeft" activeCell="B2" sqref="B2:B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input_405100!A$2</f>
        <v>405100</v>
      </c>
      <c r="B2" s="5">
        <v>1104</v>
      </c>
      <c r="C2" s="7" t="str">
        <f t="shared" ref="C2:C6" si="0">D2&amp;J2&amp;E2&amp;F2&amp;G2</f>
        <v>Premium4R3less</v>
      </c>
      <c r="D2" s="7" t="str">
        <f>IF(OR(I2="PremiumSS",I2="PremiumSSw"),"PremiumSS",IF(I2="PremiumSSS",I2,IF(I2="PremiumW",I2,"Premium")))</f>
        <v>Premium</v>
      </c>
      <c r="E2" s="7" t="str">
        <f>IF(COUNTIF('R6追加前'!A:A,B2)=0,IF(OR(I2="PremiumSS",I2="PremiumSSw"),"R5only","R3less"),"")</f>
        <v>R3less</v>
      </c>
      <c r="F2" s="7" t="str">
        <f>IF(COUNTIF('R6開放'!A:A,B2)&gt;0,"R6release","")</f>
        <v/>
      </c>
      <c r="G2" s="7"/>
      <c r="H2" s="7" t="str">
        <f>VLOOKUP(B2,[1]characters!$A:$C,3,FALSE)</f>
        <v>クリムト</v>
      </c>
      <c r="I2" s="7" t="str">
        <f>VLOOKUP(B2,[1]characters!$A:$J,10,FALSE)</f>
        <v>PremiumS</v>
      </c>
      <c r="J2" s="7">
        <f>VLOOKUP(B2,[1]characters!$A:$I,9,FALSE)</f>
        <v>4</v>
      </c>
      <c r="K2" s="7" t="str">
        <f>VLOOKUP(B2,[1]characters!$A:$H,8,FALSE)</f>
        <v>blue</v>
      </c>
      <c r="L2" s="7" t="str">
        <f>VLOOKUP(B2,[1]characters!$A:$K,11,FALSE)</f>
        <v>technical</v>
      </c>
      <c r="M2" s="7" t="str">
        <f>VLOOKUP(B2,[1]characters!$A:$M,13,FALSE)</f>
        <v>human</v>
      </c>
      <c r="N2" s="7" t="str">
        <f>VLOOKUP(B2,[1]characters!$A:$G,7,FALSE)</f>
        <v>不明</v>
      </c>
      <c r="O2" s="45">
        <f>400-O3</f>
        <v>380</v>
      </c>
      <c r="P2" s="46">
        <f>O2/SUM(O:O)</f>
        <v>0.38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input_405100!A$2</f>
        <v>405100</v>
      </c>
      <c r="B3" s="5">
        <v>1105</v>
      </c>
      <c r="C3" s="7" t="str">
        <f t="shared" si="0"/>
        <v>Premium5R3less</v>
      </c>
      <c r="D3" s="7" t="str">
        <f t="shared" ref="D3:D6" si="1">IF(OR(I3="PremiumSS",I3="PremiumSSw"),"PremiumSS",IF(I3="PremiumSSS",I3,IF(I3="PremiumW",I3,"Premium")))</f>
        <v>Premium</v>
      </c>
      <c r="E3" s="7" t="str">
        <f>IF(COUNTIF('R6追加前'!A:A,B3)=0,IF(OR(I3="PremiumSS",I3="PremiumSSw"),"R5only","R3less"),"")</f>
        <v>R3less</v>
      </c>
      <c r="F3" s="7" t="str">
        <f>IF(COUNTIF('R6開放'!A:A,B3)&gt;0,"R6release","")</f>
        <v/>
      </c>
      <c r="G3" s="7"/>
      <c r="H3" s="7" t="str">
        <f>VLOOKUP(B3,[1]characters!$A:$C,3,FALSE)</f>
        <v>甘美なる背徳 クリムト</v>
      </c>
      <c r="I3" s="7" t="str">
        <f>VLOOKUP(B3,[1]characters!$A:$J,10,FALSE)</f>
        <v>PremiumS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technical</v>
      </c>
      <c r="M3" s="7" t="str">
        <f>VLOOKUP(B3,[1]characters!$A:$M,13,FALSE)</f>
        <v>human</v>
      </c>
      <c r="N3" s="7" t="str">
        <f>VLOOKUP(B3,[1]characters!$A:$G,7,FALSE)</f>
        <v>不明</v>
      </c>
      <c r="O3" s="45">
        <f>400*0.05</f>
        <v>20</v>
      </c>
      <c r="P3" s="46">
        <f>O3/SUM(O:O)</f>
        <v>0.02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input_405100!A$2</f>
        <v>405100</v>
      </c>
      <c r="B4" s="5">
        <v>1106</v>
      </c>
      <c r="C4" s="7" t="str">
        <f t="shared" si="0"/>
        <v>PremiumSS5R5only</v>
      </c>
      <c r="D4" s="7" t="str">
        <f t="shared" si="1"/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ラファエロ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不明</v>
      </c>
      <c r="O4" s="45">
        <v>100</v>
      </c>
      <c r="P4" s="46">
        <f>O4/SUM(O:O)</f>
        <v>0.1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input_405100!A$2</f>
        <v>405100</v>
      </c>
      <c r="B5" s="5">
        <v>1102</v>
      </c>
      <c r="C5" s="7" t="str">
        <f t="shared" si="0"/>
        <v>PremiumSS5R5only</v>
      </c>
      <c r="D5" s="7" t="str">
        <f t="shared" si="1"/>
        <v>PremiumSS</v>
      </c>
      <c r="E5" s="7" t="str">
        <f>IF(COUNTIF('R6追加前'!A:A,B5)=0,IF(OR(I5="PremiumSS",I5="PremiumSSw"),"R5only","R3less"),"")</f>
        <v>R5only</v>
      </c>
      <c r="F5" s="7" t="str">
        <f>IF(COUNTIF('R6開放'!A:A,B5)&gt;0,"R6release","")</f>
        <v/>
      </c>
      <c r="G5" s="7"/>
      <c r="H5" s="7" t="str">
        <f>VLOOKUP(B5,[1]characters!$A:$C,3,FALSE)</f>
        <v>ドガ</v>
      </c>
      <c r="I5" s="7" t="str">
        <f>VLOOKUP(B5,[1]characters!$A:$J,10,FALSE)</f>
        <v>PremiumSSW</v>
      </c>
      <c r="J5" s="7">
        <f>VLOOKUP(B5,[1]characters!$A:$I,9,FALSE)</f>
        <v>5</v>
      </c>
      <c r="K5" s="7" t="str">
        <f>VLOOKUP(B5,[1]characters!$A:$H,8,FALSE)</f>
        <v>green</v>
      </c>
      <c r="L5" s="7" t="str">
        <f>VLOOKUP(B5,[1]characters!$A:$K,11,FALSE)</f>
        <v>balance</v>
      </c>
      <c r="M5" s="7" t="str">
        <f>VLOOKUP(B5,[1]characters!$A:$M,13,FALSE)</f>
        <v>animal</v>
      </c>
      <c r="N5" s="7" t="str">
        <f>VLOOKUP(B5,[1]characters!$A:$G,7,FALSE)</f>
        <v>不明</v>
      </c>
      <c r="O5" s="45">
        <v>250</v>
      </c>
      <c r="P5" s="46">
        <f>O5/SUM(O:O)</f>
        <v>0.25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input_405100!A$2</f>
        <v>405100</v>
      </c>
      <c r="B6" s="5">
        <v>1100</v>
      </c>
      <c r="C6" s="7" t="str">
        <f t="shared" si="0"/>
        <v>PremiumSS5R5only</v>
      </c>
      <c r="D6" s="7" t="str">
        <f t="shared" si="1"/>
        <v>PremiumSS</v>
      </c>
      <c r="E6" s="7" t="str">
        <f>IF(COUNTIF('R6追加前'!A:A,B6)=0,IF(OR(I6="PremiumSS",I6="PremiumSSw"),"R5only","R3less"),"")</f>
        <v>R5only</v>
      </c>
      <c r="F6" s="7" t="str">
        <f>IF(COUNTIF('R6開放'!A:A,B6)&gt;0,"R6release","")</f>
        <v/>
      </c>
      <c r="G6" s="7"/>
      <c r="H6" s="7" t="str">
        <f>VLOOKUP(B6,[1]characters!$A:$C,3,FALSE)</f>
        <v>北斎</v>
      </c>
      <c r="I6" s="7" t="str">
        <f>VLOOKUP(B6,[1]characters!$A:$J,10,FALSE)</f>
        <v>PremiumSS</v>
      </c>
      <c r="J6" s="7">
        <f>VLOOKUP(B6,[1]characters!$A:$I,9,FALSE)</f>
        <v>5</v>
      </c>
      <c r="K6" s="7" t="str">
        <f>VLOOKUP(B6,[1]characters!$A:$H,8,FALSE)</f>
        <v>red</v>
      </c>
      <c r="L6" s="7" t="str">
        <f>VLOOKUP(B6,[1]characters!$A:$K,11,FALSE)</f>
        <v>attack</v>
      </c>
      <c r="M6" s="7" t="str">
        <f>VLOOKUP(B6,[1]characters!$A:$M,13,FALSE)</f>
        <v>human</v>
      </c>
      <c r="N6" s="7" t="str">
        <f>VLOOKUP(B6,[1]characters!$A:$G,7,FALSE)</f>
        <v>不明</v>
      </c>
      <c r="O6" s="45">
        <v>250</v>
      </c>
      <c r="P6" s="46">
        <f>O6/SUM(O:O)</f>
        <v>0.25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</sheetData>
  <autoFilter ref="A1:V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2"/>
  <pageMargins left="0.75" right="0.75" top="1" bottom="1" header="0.3" footer="0.3"/>
  <pageSetup paperSize="9" orientation="portrait" horizontalDpi="4294967292" vertic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2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確率の考え方</vt:lpstr>
      <vt:lpstr>Sheet1</vt:lpstr>
      <vt:lpstr>output</vt:lpstr>
      <vt:lpstr>input_405010</vt:lpstr>
      <vt:lpstr>input_405011</vt:lpstr>
      <vt:lpstr>tables_405010</vt:lpstr>
      <vt:lpstr>tables_405011</vt:lpstr>
      <vt:lpstr>input_405100</vt:lpstr>
      <vt:lpstr>tables_405100</vt:lpstr>
      <vt:lpstr>tables_settle_405100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2016-09-14T07:14:22Z</dcterms:modified>
</cp:coreProperties>
</file>