
<file path=[Content_Types].xml><?xml version="1.0" encoding="utf-8"?>
<Types xmlns="http://schemas.openxmlformats.org/package/2006/content-types">
  <Default Extension="xml" ContentType="application/xml"/>
  <Default Extension="rels" ContentType="application/vnd.openxmlformats-package.relationships+xml"/>
  <Default Extension="bin" ContentType="application/vnd.ms-office.vbaProject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25317" codeName="{00000000-0000-0000-0000-000000000000}"/>
  <workbookPr codeName="ThisWorkbook" autoCompressPictures="0"/>
  <bookViews>
    <workbookView xWindow="560" yWindow="560" windowWidth="27180" windowHeight="15500"/>
  </bookViews>
  <sheets>
    <sheet name="floors_Tutorial" sheetId="2" r:id="rId1"/>
    <sheet name="enemy_habitats_Tutorial" sheetId="1" r:id="rId2"/>
    <sheet name="floors_Tutorial.tmp" sheetId="5" r:id="rId3"/>
    <sheet name="enemy_habitats_Tutorial.tmp" sheetId="6" r:id="rId4"/>
  </sheets>
  <externalReferences>
    <externalReference r:id="rId5"/>
    <externalReference r:id="rId6"/>
    <externalReference r:id="rId7"/>
    <externalReference r:id="rId8"/>
  </externalReferences>
  <definedNames>
    <definedName name="_xlnm._FilterDatabase" localSheetId="1" hidden="1">enemy_habitats_Tutorial!$B$1:$AE$2</definedName>
  </definedNames>
  <calcPr calcId="140001" concurrentCalc="0"/>
  <extLst>
    <ext xmlns:mx="http://schemas.microsoft.com/office/mac/excel/2008/main" uri="{7523E5D3-25F3-A5E0-1632-64F254C22452}">
      <mx:ArchID Flags="2"/>
    </ex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1" i="6" l="1"/>
  <c r="A1" i="6"/>
  <c r="X11" i="1"/>
  <c r="A11" i="1"/>
  <c r="A12" i="6"/>
  <c r="X2" i="1"/>
  <c r="A2" i="1"/>
  <c r="X6" i="1"/>
  <c r="A6" i="1"/>
  <c r="X7" i="1"/>
  <c r="A7" i="1"/>
  <c r="X8" i="1"/>
  <c r="A8" i="1"/>
  <c r="X9" i="1"/>
  <c r="A9" i="1"/>
  <c r="X10" i="1"/>
  <c r="A10" i="1"/>
  <c r="B1" i="6"/>
  <c r="J12" i="6"/>
  <c r="I12" i="6"/>
  <c r="H12" i="6"/>
  <c r="G12" i="6"/>
  <c r="A11" i="6"/>
  <c r="T10" i="1"/>
  <c r="J11" i="6"/>
  <c r="I11" i="6"/>
  <c r="H11" i="6"/>
  <c r="G11" i="6"/>
  <c r="A10" i="6"/>
  <c r="T9" i="1"/>
  <c r="J10" i="6"/>
  <c r="I10" i="6"/>
  <c r="H10" i="6"/>
  <c r="G10" i="6"/>
  <c r="A9" i="6"/>
  <c r="T8" i="1"/>
  <c r="J9" i="6"/>
  <c r="I9" i="6"/>
  <c r="H9" i="6"/>
  <c r="G9" i="6"/>
  <c r="A8" i="6"/>
  <c r="T7" i="1"/>
  <c r="J8" i="6"/>
  <c r="I8" i="6"/>
  <c r="H8" i="6"/>
  <c r="G8" i="6"/>
  <c r="A7" i="6"/>
  <c r="T6" i="1"/>
  <c r="J7" i="6"/>
  <c r="I7" i="6"/>
  <c r="H7" i="6"/>
  <c r="G7" i="6"/>
  <c r="A6" i="6"/>
  <c r="J6" i="6"/>
  <c r="I6" i="6"/>
  <c r="H6" i="6"/>
  <c r="G6" i="6"/>
  <c r="A5" i="6"/>
  <c r="T4" i="1"/>
  <c r="J5" i="6"/>
  <c r="I5" i="6"/>
  <c r="H5" i="6"/>
  <c r="G5" i="6"/>
  <c r="A4" i="6"/>
  <c r="T3" i="1"/>
  <c r="J4" i="6"/>
  <c r="I4" i="6"/>
  <c r="H4" i="6"/>
  <c r="G4" i="6"/>
  <c r="A3" i="6"/>
  <c r="I3" i="6"/>
  <c r="H3" i="6"/>
  <c r="G3" i="6"/>
  <c r="S11" i="1"/>
  <c r="S10" i="1"/>
  <c r="S9" i="1"/>
  <c r="S8" i="1"/>
  <c r="S7" i="1"/>
  <c r="S6" i="1"/>
  <c r="S5" i="1"/>
  <c r="S4" i="1"/>
  <c r="S3" i="1"/>
  <c r="T2" i="1"/>
  <c r="S2" i="1"/>
  <c r="F11" i="1"/>
  <c r="D10" i="1"/>
  <c r="F10" i="1"/>
  <c r="D9" i="1"/>
  <c r="F9" i="1"/>
  <c r="D8" i="1"/>
  <c r="F8" i="1"/>
  <c r="D7" i="1"/>
  <c r="F7" i="1"/>
  <c r="F6" i="1"/>
  <c r="F5" i="1"/>
  <c r="F4" i="1"/>
  <c r="F3" i="1"/>
  <c r="F2" i="1"/>
  <c r="G7" i="2"/>
  <c r="H7" i="2"/>
  <c r="G6" i="2"/>
  <c r="H6" i="2"/>
  <c r="G5" i="2"/>
  <c r="H5" i="2"/>
  <c r="G4" i="2"/>
  <c r="H4" i="2"/>
  <c r="G3" i="2"/>
  <c r="H3" i="2"/>
  <c r="G2" i="2"/>
  <c r="H2" i="2"/>
  <c r="S5" i="6"/>
  <c r="S6" i="6"/>
  <c r="S7" i="6"/>
  <c r="S8" i="6"/>
  <c r="A3" i="1"/>
  <c r="A4" i="1"/>
  <c r="W12" i="6"/>
  <c r="V12" i="6"/>
  <c r="U12" i="6"/>
  <c r="T12" i="6"/>
  <c r="S12" i="6"/>
  <c r="R12" i="6"/>
  <c r="Y11" i="1"/>
  <c r="AA11" i="1"/>
  <c r="AD11" i="1"/>
  <c r="Q12" i="6"/>
  <c r="P12" i="6"/>
  <c r="O12" i="6"/>
  <c r="N12" i="6"/>
  <c r="M12" i="6"/>
  <c r="L12" i="6"/>
  <c r="K12" i="6"/>
  <c r="F12" i="6"/>
  <c r="E12" i="6"/>
  <c r="D12" i="6"/>
  <c r="C12" i="6"/>
  <c r="B12" i="6"/>
  <c r="W11" i="6"/>
  <c r="V11" i="6"/>
  <c r="U11" i="6"/>
  <c r="T11" i="6"/>
  <c r="S11" i="6"/>
  <c r="R11" i="6"/>
  <c r="Y10" i="1"/>
  <c r="AA10" i="1"/>
  <c r="AD10" i="1"/>
  <c r="Q11" i="6"/>
  <c r="P11" i="6"/>
  <c r="O11" i="6"/>
  <c r="N11" i="6"/>
  <c r="M11" i="6"/>
  <c r="L11" i="6"/>
  <c r="K11" i="6"/>
  <c r="F11" i="6"/>
  <c r="E11" i="6"/>
  <c r="D11" i="6"/>
  <c r="C11" i="6"/>
  <c r="B11" i="6"/>
  <c r="W10" i="6"/>
  <c r="V10" i="6"/>
  <c r="U10" i="6"/>
  <c r="T10" i="6"/>
  <c r="R10" i="6"/>
  <c r="Y9" i="1"/>
  <c r="AA9" i="1"/>
  <c r="AD9" i="1"/>
  <c r="Q10" i="6"/>
  <c r="P10" i="6"/>
  <c r="O10" i="6"/>
  <c r="N10" i="6"/>
  <c r="M10" i="6"/>
  <c r="L10" i="6"/>
  <c r="K10" i="6"/>
  <c r="E10" i="6"/>
  <c r="D10" i="6"/>
  <c r="C10" i="6"/>
  <c r="B10" i="6"/>
  <c r="W9" i="6"/>
  <c r="V9" i="6"/>
  <c r="U9" i="6"/>
  <c r="T9" i="6"/>
  <c r="R9" i="6"/>
  <c r="Y8" i="1"/>
  <c r="AA8" i="1"/>
  <c r="AD8" i="1"/>
  <c r="Q9" i="6"/>
  <c r="P9" i="6"/>
  <c r="O9" i="6"/>
  <c r="N9" i="6"/>
  <c r="M9" i="6"/>
  <c r="L9" i="6"/>
  <c r="K9" i="6"/>
  <c r="E9" i="6"/>
  <c r="D9" i="6"/>
  <c r="C9" i="6"/>
  <c r="B9" i="6"/>
  <c r="W8" i="6"/>
  <c r="V8" i="6"/>
  <c r="U8" i="6"/>
  <c r="T8" i="6"/>
  <c r="R8" i="6"/>
  <c r="Y7" i="1"/>
  <c r="AA7" i="1"/>
  <c r="AD7" i="1"/>
  <c r="Q8" i="6"/>
  <c r="P8" i="6"/>
  <c r="O8" i="6"/>
  <c r="N8" i="6"/>
  <c r="M8" i="6"/>
  <c r="L8" i="6"/>
  <c r="K8" i="6"/>
  <c r="E8" i="6"/>
  <c r="D8" i="6"/>
  <c r="C8" i="6"/>
  <c r="B8" i="6"/>
  <c r="W7" i="6"/>
  <c r="V7" i="6"/>
  <c r="U7" i="6"/>
  <c r="T7" i="6"/>
  <c r="R7" i="6"/>
  <c r="Y6" i="1"/>
  <c r="AA6" i="1"/>
  <c r="AD6" i="1"/>
  <c r="Q7" i="6"/>
  <c r="P7" i="6"/>
  <c r="O7" i="6"/>
  <c r="N7" i="6"/>
  <c r="M7" i="6"/>
  <c r="L7" i="6"/>
  <c r="K7" i="6"/>
  <c r="E7" i="6"/>
  <c r="D7" i="6"/>
  <c r="C7" i="6"/>
  <c r="B7" i="6"/>
  <c r="W6" i="6"/>
  <c r="V6" i="6"/>
  <c r="U6" i="6"/>
  <c r="T6" i="6"/>
  <c r="R6" i="6"/>
  <c r="Y5" i="1"/>
  <c r="AA5" i="1"/>
  <c r="AD5" i="1"/>
  <c r="Q6" i="6"/>
  <c r="P6" i="6"/>
  <c r="O6" i="6"/>
  <c r="N6" i="6"/>
  <c r="M6" i="6"/>
  <c r="L6" i="6"/>
  <c r="K6" i="6"/>
  <c r="F6" i="6"/>
  <c r="E6" i="6"/>
  <c r="D6" i="6"/>
  <c r="C6" i="6"/>
  <c r="B6" i="6"/>
  <c r="W5" i="6"/>
  <c r="V5" i="6"/>
  <c r="U5" i="6"/>
  <c r="T5" i="6"/>
  <c r="R5" i="6"/>
  <c r="Y4" i="1"/>
  <c r="AA4" i="1"/>
  <c r="AD4" i="1"/>
  <c r="Q5" i="6"/>
  <c r="P5" i="6"/>
  <c r="O5" i="6"/>
  <c r="N5" i="6"/>
  <c r="M5" i="6"/>
  <c r="L5" i="6"/>
  <c r="K5" i="6"/>
  <c r="F5" i="6"/>
  <c r="E5" i="6"/>
  <c r="D5" i="6"/>
  <c r="C5" i="6"/>
  <c r="B5" i="6"/>
  <c r="W4" i="6"/>
  <c r="V4" i="6"/>
  <c r="U4" i="6"/>
  <c r="T4" i="6"/>
  <c r="S4" i="6"/>
  <c r="R4" i="6"/>
  <c r="Y3" i="1"/>
  <c r="AA3" i="1"/>
  <c r="AD3" i="1"/>
  <c r="Q4" i="6"/>
  <c r="P4" i="6"/>
  <c r="O4" i="6"/>
  <c r="N4" i="6"/>
  <c r="M4" i="6"/>
  <c r="L4" i="6"/>
  <c r="K4" i="6"/>
  <c r="F4" i="6"/>
  <c r="E4" i="6"/>
  <c r="D4" i="6"/>
  <c r="C4" i="6"/>
  <c r="B4" i="6"/>
  <c r="AB10" i="1"/>
  <c r="Z10" i="1"/>
  <c r="N10" i="1"/>
  <c r="M10" i="1"/>
  <c r="L10" i="1"/>
  <c r="K10" i="1"/>
  <c r="J10" i="1"/>
  <c r="H10" i="1"/>
  <c r="E10" i="1"/>
  <c r="AB9" i="1"/>
  <c r="Z9" i="1"/>
  <c r="N9" i="1"/>
  <c r="M9" i="1"/>
  <c r="L9" i="1"/>
  <c r="K9" i="1"/>
  <c r="J9" i="1"/>
  <c r="H9" i="1"/>
  <c r="E9" i="1"/>
  <c r="AB8" i="1"/>
  <c r="Z8" i="1"/>
  <c r="N8" i="1"/>
  <c r="M8" i="1"/>
  <c r="L8" i="1"/>
  <c r="K8" i="1"/>
  <c r="J8" i="1"/>
  <c r="H8" i="1"/>
  <c r="E8" i="1"/>
  <c r="AB7" i="1"/>
  <c r="Z7" i="1"/>
  <c r="N7" i="1"/>
  <c r="M7" i="1"/>
  <c r="L7" i="1"/>
  <c r="K7" i="1"/>
  <c r="J7" i="1"/>
  <c r="H7" i="1"/>
  <c r="E7" i="1"/>
  <c r="AB5" i="1"/>
  <c r="Z5" i="1"/>
  <c r="N5" i="1"/>
  <c r="M5" i="1"/>
  <c r="L5" i="1"/>
  <c r="K5" i="1"/>
  <c r="J5" i="1"/>
  <c r="H5" i="1"/>
  <c r="D5" i="1"/>
  <c r="E5" i="1"/>
  <c r="A5" i="1"/>
  <c r="W3" i="6"/>
  <c r="V3" i="6"/>
  <c r="U3" i="6"/>
  <c r="T3" i="6"/>
  <c r="S3" i="6"/>
  <c r="Y2" i="1"/>
  <c r="AA2" i="1"/>
  <c r="AD2" i="1"/>
  <c r="C1" i="5"/>
  <c r="D3" i="1"/>
  <c r="E3" i="1"/>
  <c r="H3" i="1"/>
  <c r="J3" i="1"/>
  <c r="K3" i="1"/>
  <c r="L3" i="1"/>
  <c r="M3" i="1"/>
  <c r="N3" i="1"/>
  <c r="Z3" i="1"/>
  <c r="AB3" i="1"/>
  <c r="D4" i="1"/>
  <c r="E4" i="1"/>
  <c r="H4" i="1"/>
  <c r="J4" i="1"/>
  <c r="K4" i="1"/>
  <c r="L4" i="1"/>
  <c r="M4" i="1"/>
  <c r="N4" i="1"/>
  <c r="Z4" i="1"/>
  <c r="AB4" i="1"/>
  <c r="D6" i="1"/>
  <c r="E6" i="1"/>
  <c r="H6" i="1"/>
  <c r="J6" i="1"/>
  <c r="K6" i="1"/>
  <c r="L6" i="1"/>
  <c r="M6" i="1"/>
  <c r="N6" i="1"/>
  <c r="Z6" i="1"/>
  <c r="AB6" i="1"/>
  <c r="D11" i="1"/>
  <c r="E11" i="1"/>
  <c r="H11" i="1"/>
  <c r="J11" i="1"/>
  <c r="K11" i="1"/>
  <c r="L11" i="1"/>
  <c r="M11" i="1"/>
  <c r="N11" i="1"/>
  <c r="Z11" i="1"/>
  <c r="AB11" i="1"/>
  <c r="A3" i="2"/>
  <c r="H2" i="1"/>
  <c r="B3" i="2"/>
  <c r="D3" i="2"/>
  <c r="E3" i="2"/>
  <c r="A4" i="2"/>
  <c r="B4" i="2"/>
  <c r="D4" i="2"/>
  <c r="E4" i="2"/>
  <c r="A5" i="2"/>
  <c r="B5" i="2"/>
  <c r="D5" i="2"/>
  <c r="E5" i="2"/>
  <c r="A6" i="2"/>
  <c r="B6" i="2"/>
  <c r="D6" i="2"/>
  <c r="E6" i="2"/>
  <c r="A7" i="2"/>
  <c r="B7" i="2"/>
  <c r="D7" i="2"/>
  <c r="E7" i="2"/>
  <c r="A2" i="2"/>
  <c r="B2" i="2"/>
  <c r="AB2" i="1"/>
  <c r="Z2" i="1"/>
  <c r="E2" i="2"/>
  <c r="D2" i="1"/>
  <c r="M2" i="1"/>
  <c r="N2" i="1"/>
  <c r="K2" i="1"/>
  <c r="L2" i="1"/>
  <c r="J2" i="1"/>
  <c r="D2" i="2"/>
  <c r="E2" i="1"/>
  <c r="R3" i="6"/>
  <c r="Q3" i="6"/>
  <c r="P3" i="6"/>
  <c r="O3" i="6"/>
  <c r="N3" i="6"/>
  <c r="M3" i="6"/>
  <c r="L3" i="6"/>
  <c r="K3" i="6"/>
  <c r="J3" i="6"/>
  <c r="F3" i="6"/>
  <c r="E3" i="6"/>
  <c r="D3" i="6"/>
  <c r="C3" i="6"/>
  <c r="B3" i="6"/>
  <c r="A1" i="5"/>
  <c r="A3" i="5"/>
  <c r="B1" i="5"/>
  <c r="C3" i="5"/>
  <c r="D3" i="5"/>
  <c r="E3" i="5"/>
  <c r="F3" i="5"/>
  <c r="A8" i="5"/>
  <c r="F8" i="5"/>
  <c r="E8" i="5"/>
  <c r="D8" i="5"/>
  <c r="C8" i="5"/>
  <c r="B8" i="5"/>
  <c r="A7" i="5"/>
  <c r="F7" i="5"/>
  <c r="E7" i="5"/>
  <c r="D7" i="5"/>
  <c r="C7" i="5"/>
  <c r="B7" i="5"/>
  <c r="A6" i="5"/>
  <c r="F6" i="5"/>
  <c r="E6" i="5"/>
  <c r="D6" i="5"/>
  <c r="C6" i="5"/>
  <c r="B6" i="5"/>
  <c r="A5" i="5"/>
  <c r="F5" i="5"/>
  <c r="E5" i="5"/>
  <c r="D5" i="5"/>
  <c r="C5" i="5"/>
  <c r="B5" i="5"/>
  <c r="A4" i="5"/>
  <c r="F4" i="5"/>
  <c r="E4" i="5"/>
  <c r="D4" i="5"/>
  <c r="C4" i="5"/>
  <c r="B4" i="5"/>
  <c r="B3" i="5"/>
</calcChain>
</file>

<file path=xl/sharedStrings.xml><?xml version="1.0" encoding="utf-8"?>
<sst xmlns="http://schemas.openxmlformats.org/spreadsheetml/2006/main" count="76" uniqueCount="55">
  <si>
    <t>quest_id</t>
  </si>
  <si>
    <t>stage_id</t>
  </si>
  <si>
    <t>character_id</t>
  </si>
  <si>
    <t>level</t>
  </si>
  <si>
    <t>skill_set_id</t>
    <phoneticPr fontId="4"/>
  </si>
  <si>
    <t>fix_count</t>
  </si>
  <si>
    <t>incidence</t>
  </si>
  <si>
    <t>boss_flg</t>
  </si>
  <si>
    <t>speed</t>
  </si>
  <si>
    <t>drop_unit_id</t>
  </si>
  <si>
    <t>drop_unit_level</t>
  </si>
  <si>
    <t>drop_unit_rare</t>
  </si>
  <si>
    <t>drop_unit_rate</t>
  </si>
  <si>
    <t>floor_id</t>
  </si>
  <si>
    <t>total_size_min</t>
  </si>
  <si>
    <t>total_size_max</t>
  </si>
  <si>
    <t>name</t>
    <phoneticPr fontId="4"/>
  </si>
  <si>
    <t>rare</t>
    <phoneticPr fontId="4"/>
  </si>
  <si>
    <t>name</t>
    <phoneticPr fontId="4"/>
  </si>
  <si>
    <t>floor_id</t>
    <phoneticPr fontId="4"/>
  </si>
  <si>
    <t>name</t>
    <phoneticPr fontId="4"/>
  </si>
  <si>
    <t>name</t>
    <phoneticPr fontId="4"/>
  </si>
  <si>
    <t>skill_set_id</t>
  </si>
  <si>
    <t>drop_label</t>
    <phoneticPr fontId="4"/>
  </si>
  <si>
    <t>color</t>
    <phoneticPr fontId="4"/>
  </si>
  <si>
    <t>size</t>
    <phoneticPr fontId="4"/>
  </si>
  <si>
    <t>character_main_tribe_id</t>
    <phoneticPr fontId="4"/>
  </si>
  <si>
    <t>drop_label</t>
    <phoneticPr fontId="6"/>
  </si>
  <si>
    <t>temp_stage</t>
    <phoneticPr fontId="4"/>
  </si>
  <si>
    <t>temp_habitats</t>
    <phoneticPr fontId="4"/>
  </si>
  <si>
    <t>temp_habitats</t>
    <phoneticPr fontId="4"/>
  </si>
  <si>
    <t>temp_floor</t>
    <phoneticPr fontId="4"/>
  </si>
  <si>
    <t>temp_floor</t>
    <phoneticPr fontId="4"/>
  </si>
  <si>
    <t>スキル</t>
    <phoneticPr fontId="4"/>
  </si>
  <si>
    <t>temp_stage</t>
    <phoneticPr fontId="4"/>
  </si>
  <si>
    <t>位置付け</t>
    <rPh sb="0" eb="3">
      <t>イチヅ</t>
    </rPh>
    <phoneticPr fontId="4"/>
  </si>
  <si>
    <t>name</t>
    <phoneticPr fontId="4"/>
  </si>
  <si>
    <t>temp_floor</t>
    <phoneticPr fontId="4"/>
  </si>
  <si>
    <t>status</t>
    <phoneticPr fontId="4"/>
  </si>
  <si>
    <t>hp_plus</t>
    <phoneticPr fontId="4"/>
  </si>
  <si>
    <t>attack_plus</t>
    <phoneticPr fontId="4"/>
  </si>
  <si>
    <t>defense_plus</t>
    <phoneticPr fontId="4"/>
  </si>
  <si>
    <t>heal_plus</t>
    <phoneticPr fontId="4"/>
  </si>
  <si>
    <t>bug</t>
    <phoneticPr fontId="4"/>
  </si>
  <si>
    <t>hp_plus</t>
  </si>
  <si>
    <t>attack_plus</t>
  </si>
  <si>
    <t>defense_plus</t>
  </si>
  <si>
    <t>heal_plus</t>
  </si>
  <si>
    <t>bug</t>
  </si>
  <si>
    <t>hp_coefficient</t>
    <phoneticPr fontId="4"/>
  </si>
  <si>
    <t>attack_coefficient</t>
    <phoneticPr fontId="4"/>
  </si>
  <si>
    <t>defense_correction</t>
    <phoneticPr fontId="4"/>
  </si>
  <si>
    <t>hp_coefficient</t>
  </si>
  <si>
    <t>attack_coefficient</t>
  </si>
  <si>
    <t>defense_correction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</si>
</sst>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3">
    <numFmt numFmtId="176" formatCode="&quot;$&quot;#&quot;:$&quot;#"/>
    <numFmt numFmtId="177" formatCode="0_);[Red]\(0\)"/>
    <numFmt numFmtId="178" formatCode="0.0"/>
  </numFmts>
  <fonts count="14" x14ac:knownFonts="1"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0"/>
      <color theme="1"/>
      <name val="ＭＳ Ｐゴシック"/>
      <family val="3"/>
      <charset val="128"/>
    </font>
    <font>
      <sz val="6"/>
      <name val="ＭＳ Ｐゴシック"/>
      <family val="2"/>
      <charset val="128"/>
      <scheme val="minor"/>
    </font>
    <font>
      <sz val="10"/>
      <name val="ＭＳ Ｐゴシック"/>
      <family val="3"/>
      <charset val="128"/>
    </font>
    <font>
      <sz val="6"/>
      <name val="ＭＳ Ｐゴシック"/>
      <family val="2"/>
      <charset val="128"/>
    </font>
    <font>
      <sz val="10"/>
      <color rgb="FF000000"/>
      <name val="ＭＳ Ｐゴシック"/>
      <family val="3"/>
      <charset val="128"/>
    </font>
    <font>
      <u/>
      <sz val="12"/>
      <color theme="10"/>
      <name val="ＭＳ Ｐゴシック"/>
      <family val="2"/>
      <charset val="128"/>
      <scheme val="minor"/>
    </font>
    <font>
      <u/>
      <sz val="12"/>
      <color theme="11"/>
      <name val="ＭＳ Ｐゴシック"/>
      <family val="2"/>
      <charset val="128"/>
      <scheme val="minor"/>
    </font>
    <font>
      <sz val="10"/>
      <color rgb="FF000000"/>
      <name val="ＭＳ Ｐゴシック"/>
      <family val="3"/>
      <charset val="128"/>
      <scheme val="minor"/>
    </font>
    <font>
      <sz val="10"/>
      <color theme="0"/>
      <name val="ＭＳ Ｐゴシック"/>
      <charset val="128"/>
    </font>
    <font>
      <sz val="12"/>
      <color theme="0"/>
      <name val="ＭＳ Ｐゴシック"/>
      <family val="2"/>
      <charset val="128"/>
      <scheme val="minor"/>
    </font>
    <font>
      <sz val="10"/>
      <color theme="0"/>
      <name val="ＭＳ Ｐゴシック"/>
      <charset val="128"/>
      <scheme val="minor"/>
    </font>
  </fonts>
  <fills count="10">
    <fill>
      <patternFill patternType="none"/>
    </fill>
    <fill>
      <patternFill patternType="gray125"/>
    </fill>
    <fill>
      <patternFill patternType="solid">
        <fgColor theme="3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14999847407452621"/>
        <bgColor indexed="59"/>
      </patternFill>
    </fill>
    <fill>
      <patternFill patternType="solid">
        <fgColor theme="0" tint="-0.14999847407452621"/>
        <bgColor indexed="2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FF00"/>
        <bgColor indexed="24"/>
      </patternFill>
    </fill>
  </fills>
  <borders count="1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indexed="8"/>
      </left>
      <right style="thin">
        <color indexed="8"/>
      </right>
      <top/>
      <bottom style="thin">
        <color indexed="8"/>
      </bottom>
      <diagonal/>
    </border>
    <border>
      <left style="thin">
        <color indexed="8"/>
      </left>
      <right style="thin">
        <color indexed="8"/>
      </right>
      <top style="thin">
        <color auto="1"/>
      </top>
      <bottom style="thin">
        <color auto="1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auto="1"/>
      </left>
      <right style="thin">
        <color indexed="8"/>
      </right>
      <top style="thin">
        <color auto="1"/>
      </top>
      <bottom style="thin">
        <color indexed="8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indexed="8"/>
      </left>
      <right/>
      <top/>
      <bottom style="thin">
        <color indexed="8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indexed="8"/>
      </right>
      <top/>
      <bottom style="thin">
        <color indexed="8"/>
      </bottom>
      <diagonal/>
    </border>
  </borders>
  <cellStyleXfs count="306">
    <xf numFmtId="0" fontId="0" fillId="0" borderId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2" fillId="0" borderId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</cellStyleXfs>
  <cellXfs count="44">
    <xf numFmtId="0" fontId="0" fillId="0" borderId="0" xfId="0"/>
    <xf numFmtId="0" fontId="3" fillId="2" borderId="1" xfId="0" applyFont="1" applyFill="1" applyBorder="1" applyAlignment="1">
      <alignment horizontal="center" vertical="center"/>
    </xf>
    <xf numFmtId="0" fontId="3" fillId="3" borderId="1" xfId="0" applyFont="1" applyFill="1" applyBorder="1" applyAlignment="1">
      <alignment horizontal="center" vertical="center"/>
    </xf>
    <xf numFmtId="0" fontId="3" fillId="2" borderId="2" xfId="0" applyFont="1" applyFill="1" applyBorder="1" applyAlignment="1">
      <alignment horizontal="center" vertical="center"/>
    </xf>
    <xf numFmtId="0" fontId="3" fillId="0" borderId="0" xfId="0" applyFont="1" applyAlignment="1">
      <alignment vertical="center"/>
    </xf>
    <xf numFmtId="0" fontId="5" fillId="5" borderId="3" xfId="0" applyFont="1" applyFill="1" applyBorder="1" applyAlignment="1">
      <alignment vertical="center"/>
    </xf>
    <xf numFmtId="0" fontId="7" fillId="0" borderId="4" xfId="0" applyFont="1" applyBorder="1" applyAlignment="1">
      <alignment vertical="center"/>
    </xf>
    <xf numFmtId="0" fontId="3" fillId="0" borderId="5" xfId="0" applyFont="1" applyBorder="1" applyAlignment="1">
      <alignment vertical="center"/>
    </xf>
    <xf numFmtId="0" fontId="3" fillId="0" borderId="1" xfId="0" applyFont="1" applyBorder="1" applyAlignment="1">
      <alignment vertical="center"/>
    </xf>
    <xf numFmtId="0" fontId="3" fillId="0" borderId="1" xfId="0" applyFont="1" applyFill="1" applyBorder="1" applyAlignment="1">
      <alignment vertical="center"/>
    </xf>
    <xf numFmtId="0" fontId="3" fillId="0" borderId="6" xfId="0" applyFont="1" applyBorder="1" applyAlignment="1">
      <alignment vertical="center"/>
    </xf>
    <xf numFmtId="0" fontId="3" fillId="0" borderId="0" xfId="0" applyFont="1" applyAlignment="1">
      <alignment horizontal="center" vertical="center"/>
    </xf>
    <xf numFmtId="0" fontId="3" fillId="0" borderId="0" xfId="0" applyFont="1" applyFill="1" applyAlignment="1">
      <alignment vertical="center"/>
    </xf>
    <xf numFmtId="0" fontId="5" fillId="5" borderId="1" xfId="0" applyFont="1" applyFill="1" applyBorder="1" applyAlignment="1">
      <alignment vertical="center"/>
    </xf>
    <xf numFmtId="0" fontId="5" fillId="0" borderId="1" xfId="0" applyFont="1" applyFill="1" applyBorder="1" applyAlignment="1">
      <alignment vertical="center"/>
    </xf>
    <xf numFmtId="0" fontId="3" fillId="3" borderId="0" xfId="0" applyFont="1" applyFill="1" applyAlignment="1">
      <alignment horizontal="center" vertical="center"/>
    </xf>
    <xf numFmtId="0" fontId="3" fillId="3" borderId="0" xfId="0" applyFont="1" applyFill="1" applyAlignment="1">
      <alignment vertical="center"/>
    </xf>
    <xf numFmtId="0" fontId="2" fillId="6" borderId="0" xfId="11" applyFont="1" applyFill="1"/>
    <xf numFmtId="176" fontId="2" fillId="6" borderId="0" xfId="11" applyNumberFormat="1" applyFont="1" applyFill="1"/>
    <xf numFmtId="0" fontId="0" fillId="7" borderId="0" xfId="0" applyFill="1"/>
    <xf numFmtId="0" fontId="10" fillId="0" borderId="0" xfId="11" applyFont="1" applyFill="1" applyBorder="1"/>
    <xf numFmtId="0" fontId="3" fillId="3" borderId="7" xfId="0" applyFont="1" applyFill="1" applyBorder="1" applyAlignment="1">
      <alignment horizontal="center" vertical="center"/>
    </xf>
    <xf numFmtId="0" fontId="11" fillId="8" borderId="0" xfId="0" applyFont="1" applyFill="1" applyAlignment="1">
      <alignment vertical="center"/>
    </xf>
    <xf numFmtId="0" fontId="5" fillId="4" borderId="7" xfId="0" applyFont="1" applyFill="1" applyBorder="1" applyAlignment="1">
      <alignment horizontal="center" vertical="center"/>
    </xf>
    <xf numFmtId="0" fontId="12" fillId="8" borderId="0" xfId="0" applyFont="1" applyFill="1"/>
    <xf numFmtId="0" fontId="13" fillId="8" borderId="0" xfId="11" applyFont="1" applyFill="1" applyBorder="1"/>
    <xf numFmtId="0" fontId="3" fillId="3" borderId="8" xfId="0" applyFont="1" applyFill="1" applyBorder="1" applyAlignment="1">
      <alignment horizontal="center" vertical="center"/>
    </xf>
    <xf numFmtId="0" fontId="5" fillId="5" borderId="9" xfId="0" applyFont="1" applyFill="1" applyBorder="1" applyAlignment="1">
      <alignment vertical="center"/>
    </xf>
    <xf numFmtId="0" fontId="3" fillId="3" borderId="10" xfId="0" applyFont="1" applyFill="1" applyBorder="1" applyAlignment="1">
      <alignment horizontal="center" vertical="center"/>
    </xf>
    <xf numFmtId="0" fontId="5" fillId="5" borderId="11" xfId="0" applyFont="1" applyFill="1" applyBorder="1" applyAlignment="1">
      <alignment vertical="center"/>
    </xf>
    <xf numFmtId="0" fontId="5" fillId="5" borderId="7" xfId="0" applyFont="1" applyFill="1" applyBorder="1" applyAlignment="1">
      <alignment vertical="center"/>
    </xf>
    <xf numFmtId="0" fontId="11" fillId="0" borderId="0" xfId="0" applyFont="1" applyFill="1" applyAlignment="1">
      <alignment vertical="center"/>
    </xf>
    <xf numFmtId="0" fontId="3" fillId="0" borderId="1" xfId="0" applyFont="1" applyBorder="1" applyAlignment="1">
      <alignment horizontal="center" vertical="center"/>
    </xf>
    <xf numFmtId="0" fontId="3" fillId="0" borderId="1" xfId="0" applyFont="1" applyFill="1" applyBorder="1" applyAlignment="1">
      <alignment horizontal="center" vertical="center"/>
    </xf>
    <xf numFmtId="177" fontId="3" fillId="0" borderId="3" xfId="0" applyNumberFormat="1" applyFont="1" applyFill="1" applyBorder="1" applyAlignment="1">
      <alignment horizontal="center" vertical="center"/>
    </xf>
    <xf numFmtId="0" fontId="5" fillId="3" borderId="7" xfId="0" applyFont="1" applyFill="1" applyBorder="1" applyAlignment="1">
      <alignment vertical="center"/>
    </xf>
    <xf numFmtId="0" fontId="3" fillId="3" borderId="1" xfId="0" applyFont="1" applyFill="1" applyBorder="1" applyAlignment="1">
      <alignment vertical="center"/>
    </xf>
    <xf numFmtId="0" fontId="3" fillId="2" borderId="7" xfId="0" applyFont="1" applyFill="1" applyBorder="1" applyAlignment="1">
      <alignment horizontal="center" vertical="center"/>
    </xf>
    <xf numFmtId="0" fontId="3" fillId="0" borderId="7" xfId="0" applyFont="1" applyFill="1" applyBorder="1" applyAlignment="1">
      <alignment vertical="center"/>
    </xf>
    <xf numFmtId="0" fontId="5" fillId="9" borderId="9" xfId="0" applyFont="1" applyFill="1" applyBorder="1" applyAlignment="1">
      <alignment vertical="center"/>
    </xf>
    <xf numFmtId="0" fontId="5" fillId="9" borderId="3" xfId="0" applyFont="1" applyFill="1" applyBorder="1" applyAlignment="1">
      <alignment vertical="center"/>
    </xf>
    <xf numFmtId="0" fontId="3" fillId="2" borderId="7" xfId="0" applyFont="1" applyFill="1" applyBorder="1" applyAlignment="1">
      <alignment horizontal="left" vertical="center"/>
    </xf>
    <xf numFmtId="178" fontId="7" fillId="0" borderId="4" xfId="0" applyNumberFormat="1" applyFont="1" applyBorder="1" applyAlignment="1">
      <alignment vertical="center"/>
    </xf>
    <xf numFmtId="0" fontId="1" fillId="6" borderId="0" xfId="11" applyFont="1" applyFill="1"/>
  </cellXfs>
  <cellStyles count="306">
    <cellStyle name="ハイパーリンク" xfId="1" builtinId="8" hidden="1"/>
    <cellStyle name="ハイパーリンク" xfId="3" builtinId="8" hidden="1"/>
    <cellStyle name="ハイパーリンク" xfId="5" builtinId="8" hidden="1"/>
    <cellStyle name="ハイパーリンク" xfId="7" builtinId="8" hidden="1"/>
    <cellStyle name="ハイパーリンク" xfId="9" builtinId="8" hidden="1"/>
    <cellStyle name="ハイパーリンク" xfId="12" builtinId="8" hidden="1"/>
    <cellStyle name="ハイパーリンク" xfId="14" builtinId="8" hidden="1"/>
    <cellStyle name="ハイパーリンク" xfId="16" builtinId="8" hidden="1"/>
    <cellStyle name="ハイパーリンク" xfId="18" builtinId="8" hidden="1"/>
    <cellStyle name="ハイパーリンク" xfId="20" builtinId="8" hidden="1"/>
    <cellStyle name="ハイパーリンク" xfId="22" builtinId="8" hidden="1"/>
    <cellStyle name="ハイパーリンク" xfId="24" builtinId="8" hidden="1"/>
    <cellStyle name="ハイパーリンク" xfId="26" builtinId="8" hidden="1"/>
    <cellStyle name="ハイパーリンク" xfId="28" builtinId="8" hidden="1"/>
    <cellStyle name="ハイパーリンク" xfId="30" builtinId="8" hidden="1"/>
    <cellStyle name="ハイパーリンク" xfId="32" builtinId="8" hidden="1"/>
    <cellStyle name="ハイパーリンク" xfId="34" builtinId="8" hidden="1"/>
    <cellStyle name="ハイパーリンク" xfId="36" builtinId="8" hidden="1"/>
    <cellStyle name="ハイパーリンク" xfId="38" builtinId="8" hidden="1"/>
    <cellStyle name="ハイパーリンク" xfId="40" builtinId="8" hidden="1"/>
    <cellStyle name="ハイパーリンク" xfId="42" builtinId="8" hidden="1"/>
    <cellStyle name="ハイパーリンク" xfId="44" builtinId="8" hidden="1"/>
    <cellStyle name="ハイパーリンク" xfId="46" builtinId="8" hidden="1"/>
    <cellStyle name="ハイパーリンク" xfId="48" builtinId="8" hidden="1"/>
    <cellStyle name="ハイパーリンク" xfId="50" builtinId="8" hidden="1"/>
    <cellStyle name="ハイパーリンク" xfId="52" builtinId="8" hidden="1"/>
    <cellStyle name="ハイパーリンク" xfId="54" builtinId="8" hidden="1"/>
    <cellStyle name="ハイパーリンク" xfId="56" builtinId="8" hidden="1"/>
    <cellStyle name="ハイパーリンク" xfId="58" builtinId="8" hidden="1"/>
    <cellStyle name="ハイパーリンク" xfId="60" builtinId="8" hidden="1"/>
    <cellStyle name="ハイパーリンク" xfId="62" builtinId="8" hidden="1"/>
    <cellStyle name="ハイパーリンク" xfId="64" builtinId="8" hidden="1"/>
    <cellStyle name="ハイパーリンク" xfId="66" builtinId="8" hidden="1"/>
    <cellStyle name="ハイパーリンク" xfId="68" builtinId="8" hidden="1"/>
    <cellStyle name="ハイパーリンク" xfId="70" builtinId="8" hidden="1"/>
    <cellStyle name="ハイパーリンク" xfId="72" builtinId="8" hidden="1"/>
    <cellStyle name="ハイパーリンク" xfId="74" builtinId="8" hidden="1"/>
    <cellStyle name="ハイパーリンク" xfId="76" builtinId="8" hidden="1"/>
    <cellStyle name="ハイパーリンク" xfId="78" builtinId="8" hidden="1"/>
    <cellStyle name="ハイパーリンク" xfId="80" builtinId="8" hidden="1"/>
    <cellStyle name="ハイパーリンク" xfId="82" builtinId="8" hidden="1"/>
    <cellStyle name="ハイパーリンク" xfId="84" builtinId="8" hidden="1"/>
    <cellStyle name="ハイパーリンク" xfId="86" builtinId="8" hidden="1"/>
    <cellStyle name="ハイパーリンク" xfId="88" builtinId="8" hidden="1"/>
    <cellStyle name="ハイパーリンク" xfId="90" builtinId="8" hidden="1"/>
    <cellStyle name="ハイパーリンク" xfId="92" builtinId="8" hidden="1"/>
    <cellStyle name="ハイパーリンク" xfId="94" builtinId="8" hidden="1"/>
    <cellStyle name="ハイパーリンク" xfId="96" builtinId="8" hidden="1"/>
    <cellStyle name="ハイパーリンク" xfId="98" builtinId="8" hidden="1"/>
    <cellStyle name="ハイパーリンク" xfId="100" builtinId="8" hidden="1"/>
    <cellStyle name="ハイパーリンク" xfId="102" builtinId="8" hidden="1"/>
    <cellStyle name="ハイパーリンク" xfId="104" builtinId="8" hidden="1"/>
    <cellStyle name="ハイパーリンク" xfId="106" builtinId="8" hidden="1"/>
    <cellStyle name="ハイパーリンク" xfId="108" builtinId="8" hidden="1"/>
    <cellStyle name="ハイパーリンク" xfId="110" builtinId="8" hidden="1"/>
    <cellStyle name="ハイパーリンク" xfId="112" builtinId="8" hidden="1"/>
    <cellStyle name="ハイパーリンク" xfId="114" builtinId="8" hidden="1"/>
    <cellStyle name="ハイパーリンク" xfId="116" builtinId="8" hidden="1"/>
    <cellStyle name="ハイパーリンク" xfId="118" builtinId="8" hidden="1"/>
    <cellStyle name="ハイパーリンク" xfId="120" builtinId="8" hidden="1"/>
    <cellStyle name="ハイパーリンク" xfId="122" builtinId="8" hidden="1"/>
    <cellStyle name="ハイパーリンク" xfId="124" builtinId="8" hidden="1"/>
    <cellStyle name="ハイパーリンク" xfId="126" builtinId="8" hidden="1"/>
    <cellStyle name="ハイパーリンク" xfId="128" builtinId="8" hidden="1"/>
    <cellStyle name="ハイパーリンク" xfId="130" builtinId="8" hidden="1"/>
    <cellStyle name="ハイパーリンク" xfId="132" builtinId="8" hidden="1"/>
    <cellStyle name="ハイパーリンク" xfId="134" builtinId="8" hidden="1"/>
    <cellStyle name="ハイパーリンク" xfId="136" builtinId="8" hidden="1"/>
    <cellStyle name="ハイパーリンク" xfId="138" builtinId="8" hidden="1"/>
    <cellStyle name="ハイパーリンク" xfId="140" builtinId="8" hidden="1"/>
    <cellStyle name="ハイパーリンク" xfId="142" builtinId="8" hidden="1"/>
    <cellStyle name="ハイパーリンク" xfId="144" builtinId="8" hidden="1"/>
    <cellStyle name="ハイパーリンク" xfId="146" builtinId="8" hidden="1"/>
    <cellStyle name="ハイパーリンク" xfId="148" builtinId="8" hidden="1"/>
    <cellStyle name="ハイパーリンク" xfId="150" builtinId="8" hidden="1"/>
    <cellStyle name="ハイパーリンク" xfId="152" builtinId="8" hidden="1"/>
    <cellStyle name="ハイパーリンク" xfId="154" builtinId="8" hidden="1"/>
    <cellStyle name="ハイパーリンク" xfId="156" builtinId="8" hidden="1"/>
    <cellStyle name="ハイパーリンク" xfId="158" builtinId="8" hidden="1"/>
    <cellStyle name="ハイパーリンク" xfId="160" builtinId="8" hidden="1"/>
    <cellStyle name="ハイパーリンク" xfId="162" builtinId="8" hidden="1"/>
    <cellStyle name="ハイパーリンク" xfId="164" builtinId="8" hidden="1"/>
    <cellStyle name="ハイパーリンク" xfId="166" builtinId="8" hidden="1"/>
    <cellStyle name="ハイパーリンク" xfId="168" builtinId="8" hidden="1"/>
    <cellStyle name="ハイパーリンク" xfId="170" builtinId="8" hidden="1"/>
    <cellStyle name="ハイパーリンク" xfId="172" builtinId="8" hidden="1"/>
    <cellStyle name="ハイパーリンク" xfId="174" builtinId="8" hidden="1"/>
    <cellStyle name="ハイパーリンク" xfId="176" builtinId="8" hidden="1"/>
    <cellStyle name="ハイパーリンク" xfId="178" builtinId="8" hidden="1"/>
    <cellStyle name="ハイパーリンク" xfId="180" builtinId="8" hidden="1"/>
    <cellStyle name="ハイパーリンク" xfId="182" builtinId="8" hidden="1"/>
    <cellStyle name="ハイパーリンク" xfId="184" builtinId="8" hidden="1"/>
    <cellStyle name="ハイパーリンク" xfId="186" builtinId="8" hidden="1"/>
    <cellStyle name="ハイパーリンク" xfId="188" builtinId="8" hidden="1"/>
    <cellStyle name="ハイパーリンク" xfId="190" builtinId="8" hidden="1"/>
    <cellStyle name="ハイパーリンク" xfId="192" builtinId="8" hidden="1"/>
    <cellStyle name="ハイパーリンク" xfId="194" builtinId="8" hidden="1"/>
    <cellStyle name="ハイパーリンク" xfId="196" builtinId="8" hidden="1"/>
    <cellStyle name="ハイパーリンク" xfId="198" builtinId="8" hidden="1"/>
    <cellStyle name="ハイパーリンク" xfId="200" builtinId="8" hidden="1"/>
    <cellStyle name="ハイパーリンク" xfId="202" builtinId="8" hidden="1"/>
    <cellStyle name="ハイパーリンク" xfId="204" builtinId="8" hidden="1"/>
    <cellStyle name="ハイパーリンク" xfId="206" builtinId="8" hidden="1"/>
    <cellStyle name="ハイパーリンク" xfId="208" builtinId="8" hidden="1"/>
    <cellStyle name="ハイパーリンク" xfId="210" builtinId="8" hidden="1"/>
    <cellStyle name="ハイパーリンク" xfId="212" builtinId="8" hidden="1"/>
    <cellStyle name="ハイパーリンク" xfId="214" builtinId="8" hidden="1"/>
    <cellStyle name="ハイパーリンク" xfId="216" builtinId="8" hidden="1"/>
    <cellStyle name="ハイパーリンク" xfId="218" builtinId="8" hidden="1"/>
    <cellStyle name="ハイパーリンク" xfId="220" builtinId="8" hidden="1"/>
    <cellStyle name="ハイパーリンク" xfId="222" builtinId="8" hidden="1"/>
    <cellStyle name="ハイパーリンク" xfId="224" builtinId="8" hidden="1"/>
    <cellStyle name="ハイパーリンク" xfId="226" builtinId="8" hidden="1"/>
    <cellStyle name="ハイパーリンク" xfId="228" builtinId="8" hidden="1"/>
    <cellStyle name="ハイパーリンク" xfId="230" builtinId="8" hidden="1"/>
    <cellStyle name="ハイパーリンク" xfId="232" builtinId="8" hidden="1"/>
    <cellStyle name="ハイパーリンク" xfId="234" builtinId="8" hidden="1"/>
    <cellStyle name="ハイパーリンク" xfId="236" builtinId="8" hidden="1"/>
    <cellStyle name="ハイパーリンク" xfId="238" builtinId="8" hidden="1"/>
    <cellStyle name="ハイパーリンク" xfId="240" builtinId="8" hidden="1"/>
    <cellStyle name="ハイパーリンク" xfId="242" builtinId="8" hidden="1"/>
    <cellStyle name="ハイパーリンク" xfId="244" builtinId="8" hidden="1"/>
    <cellStyle name="ハイパーリンク" xfId="246" builtinId="8" hidden="1"/>
    <cellStyle name="ハイパーリンク" xfId="248" builtinId="8" hidden="1"/>
    <cellStyle name="ハイパーリンク" xfId="250" builtinId="8" hidden="1"/>
    <cellStyle name="ハイパーリンク" xfId="252" builtinId="8" hidden="1"/>
    <cellStyle name="ハイパーリンク" xfId="254" builtinId="8" hidden="1"/>
    <cellStyle name="ハイパーリンク" xfId="256" builtinId="8" hidden="1"/>
    <cellStyle name="ハイパーリンク" xfId="258" builtinId="8" hidden="1"/>
    <cellStyle name="ハイパーリンク" xfId="260" builtinId="8" hidden="1"/>
    <cellStyle name="ハイパーリンク" xfId="262" builtinId="8" hidden="1"/>
    <cellStyle name="ハイパーリンク" xfId="264" builtinId="8" hidden="1"/>
    <cellStyle name="ハイパーリンク" xfId="266" builtinId="8" hidden="1"/>
    <cellStyle name="ハイパーリンク" xfId="268" builtinId="8" hidden="1"/>
    <cellStyle name="ハイパーリンク" xfId="270" builtinId="8" hidden="1"/>
    <cellStyle name="ハイパーリンク" xfId="272" builtinId="8" hidden="1"/>
    <cellStyle name="ハイパーリンク" xfId="274" builtinId="8" hidden="1"/>
    <cellStyle name="ハイパーリンク" xfId="276" builtinId="8" hidden="1"/>
    <cellStyle name="ハイパーリンク" xfId="278" builtinId="8" hidden="1"/>
    <cellStyle name="ハイパーリンク" xfId="280" builtinId="8" hidden="1"/>
    <cellStyle name="ハイパーリンク" xfId="282" builtinId="8" hidden="1"/>
    <cellStyle name="ハイパーリンク" xfId="284" builtinId="8" hidden="1"/>
    <cellStyle name="ハイパーリンク" xfId="286" builtinId="8" hidden="1"/>
    <cellStyle name="ハイパーリンク" xfId="288" builtinId="8" hidden="1"/>
    <cellStyle name="ハイパーリンク" xfId="290" builtinId="8" hidden="1"/>
    <cellStyle name="ハイパーリンク" xfId="292" builtinId="8" hidden="1"/>
    <cellStyle name="ハイパーリンク" xfId="294" builtinId="8" hidden="1"/>
    <cellStyle name="ハイパーリンク" xfId="296" builtinId="8" hidden="1"/>
    <cellStyle name="ハイパーリンク" xfId="298" builtinId="8" hidden="1"/>
    <cellStyle name="ハイパーリンク" xfId="300" builtinId="8" hidden="1"/>
    <cellStyle name="ハイパーリンク" xfId="302" builtinId="8" hidden="1"/>
    <cellStyle name="ハイパーリンク" xfId="304" builtinId="8" hidden="1"/>
    <cellStyle name="標準" xfId="0" builtinId="0"/>
    <cellStyle name="標準 4" xfId="11"/>
    <cellStyle name="表示済みのハイパーリンク" xfId="2" builtinId="9" hidden="1"/>
    <cellStyle name="表示済みのハイパーリンク" xfId="4" builtinId="9" hidden="1"/>
    <cellStyle name="表示済みのハイパーリンク" xfId="6" builtinId="9" hidden="1"/>
    <cellStyle name="表示済みのハイパーリンク" xfId="8" builtinId="9" hidden="1"/>
    <cellStyle name="表示済みのハイパーリンク" xfId="10" builtinId="9" hidden="1"/>
    <cellStyle name="表示済みのハイパーリンク" xfId="13" builtinId="9" hidden="1"/>
    <cellStyle name="表示済みのハイパーリンク" xfId="15" builtinId="9" hidden="1"/>
    <cellStyle name="表示済みのハイパーリンク" xfId="17" builtinId="9" hidden="1"/>
    <cellStyle name="表示済みのハイパーリンク" xfId="19" builtinId="9" hidden="1"/>
    <cellStyle name="表示済みのハイパーリンク" xfId="21" builtinId="9" hidden="1"/>
    <cellStyle name="表示済みのハイパーリンク" xfId="23" builtinId="9" hidden="1"/>
    <cellStyle name="表示済みのハイパーリンク" xfId="25" builtinId="9" hidden="1"/>
    <cellStyle name="表示済みのハイパーリンク" xfId="27" builtinId="9" hidden="1"/>
    <cellStyle name="表示済みのハイパーリンク" xfId="29" builtinId="9" hidden="1"/>
    <cellStyle name="表示済みのハイパーリンク" xfId="31" builtinId="9" hidden="1"/>
    <cellStyle name="表示済みのハイパーリンク" xfId="33" builtinId="9" hidden="1"/>
    <cellStyle name="表示済みのハイパーリンク" xfId="35" builtinId="9" hidden="1"/>
    <cellStyle name="表示済みのハイパーリンク" xfId="37" builtinId="9" hidden="1"/>
    <cellStyle name="表示済みのハイパーリンク" xfId="39" builtinId="9" hidden="1"/>
    <cellStyle name="表示済みのハイパーリンク" xfId="41" builtinId="9" hidden="1"/>
    <cellStyle name="表示済みのハイパーリンク" xfId="43" builtinId="9" hidden="1"/>
    <cellStyle name="表示済みのハイパーリンク" xfId="45" builtinId="9" hidden="1"/>
    <cellStyle name="表示済みのハイパーリンク" xfId="47" builtinId="9" hidden="1"/>
    <cellStyle name="表示済みのハイパーリンク" xfId="49" builtinId="9" hidden="1"/>
    <cellStyle name="表示済みのハイパーリンク" xfId="51" builtinId="9" hidden="1"/>
    <cellStyle name="表示済みのハイパーリンク" xfId="53" builtinId="9" hidden="1"/>
    <cellStyle name="表示済みのハイパーリンク" xfId="55" builtinId="9" hidden="1"/>
    <cellStyle name="表示済みのハイパーリンク" xfId="57" builtinId="9" hidden="1"/>
    <cellStyle name="表示済みのハイパーリンク" xfId="59" builtinId="9" hidden="1"/>
    <cellStyle name="表示済みのハイパーリンク" xfId="61" builtinId="9" hidden="1"/>
    <cellStyle name="表示済みのハイパーリンク" xfId="63" builtinId="9" hidden="1"/>
    <cellStyle name="表示済みのハイパーリンク" xfId="65" builtinId="9" hidden="1"/>
    <cellStyle name="表示済みのハイパーリンク" xfId="67" builtinId="9" hidden="1"/>
    <cellStyle name="表示済みのハイパーリンク" xfId="69" builtinId="9" hidden="1"/>
    <cellStyle name="表示済みのハイパーリンク" xfId="71" builtinId="9" hidden="1"/>
    <cellStyle name="表示済みのハイパーリンク" xfId="73" builtinId="9" hidden="1"/>
    <cellStyle name="表示済みのハイパーリンク" xfId="75" builtinId="9" hidden="1"/>
    <cellStyle name="表示済みのハイパーリンク" xfId="77" builtinId="9" hidden="1"/>
    <cellStyle name="表示済みのハイパーリンク" xfId="79" builtinId="9" hidden="1"/>
    <cellStyle name="表示済みのハイパーリンク" xfId="81" builtinId="9" hidden="1"/>
    <cellStyle name="表示済みのハイパーリンク" xfId="83" builtinId="9" hidden="1"/>
    <cellStyle name="表示済みのハイパーリンク" xfId="85" builtinId="9" hidden="1"/>
    <cellStyle name="表示済みのハイパーリンク" xfId="87" builtinId="9" hidden="1"/>
    <cellStyle name="表示済みのハイパーリンク" xfId="89" builtinId="9" hidden="1"/>
    <cellStyle name="表示済みのハイパーリンク" xfId="91" builtinId="9" hidden="1"/>
    <cellStyle name="表示済みのハイパーリンク" xfId="93" builtinId="9" hidden="1"/>
    <cellStyle name="表示済みのハイパーリンク" xfId="95" builtinId="9" hidden="1"/>
    <cellStyle name="表示済みのハイパーリンク" xfId="97" builtinId="9" hidden="1"/>
    <cellStyle name="表示済みのハイパーリンク" xfId="99" builtinId="9" hidden="1"/>
    <cellStyle name="表示済みのハイパーリンク" xfId="101" builtinId="9" hidden="1"/>
    <cellStyle name="表示済みのハイパーリンク" xfId="103" builtinId="9" hidden="1"/>
    <cellStyle name="表示済みのハイパーリンク" xfId="105" builtinId="9" hidden="1"/>
    <cellStyle name="表示済みのハイパーリンク" xfId="107" builtinId="9" hidden="1"/>
    <cellStyle name="表示済みのハイパーリンク" xfId="109" builtinId="9" hidden="1"/>
    <cellStyle name="表示済みのハイパーリンク" xfId="111" builtinId="9" hidden="1"/>
    <cellStyle name="表示済みのハイパーリンク" xfId="113" builtinId="9" hidden="1"/>
    <cellStyle name="表示済みのハイパーリンク" xfId="115" builtinId="9" hidden="1"/>
    <cellStyle name="表示済みのハイパーリンク" xfId="117" builtinId="9" hidden="1"/>
    <cellStyle name="表示済みのハイパーリンク" xfId="119" builtinId="9" hidden="1"/>
    <cellStyle name="表示済みのハイパーリンク" xfId="121" builtinId="9" hidden="1"/>
    <cellStyle name="表示済みのハイパーリンク" xfId="123" builtinId="9" hidden="1"/>
    <cellStyle name="表示済みのハイパーリンク" xfId="125" builtinId="9" hidden="1"/>
    <cellStyle name="表示済みのハイパーリンク" xfId="127" builtinId="9" hidden="1"/>
    <cellStyle name="表示済みのハイパーリンク" xfId="129" builtinId="9" hidden="1"/>
    <cellStyle name="表示済みのハイパーリンク" xfId="131" builtinId="9" hidden="1"/>
    <cellStyle name="表示済みのハイパーリンク" xfId="133" builtinId="9" hidden="1"/>
    <cellStyle name="表示済みのハイパーリンク" xfId="135" builtinId="9" hidden="1"/>
    <cellStyle name="表示済みのハイパーリンク" xfId="137" builtinId="9" hidden="1"/>
    <cellStyle name="表示済みのハイパーリンク" xfId="139" builtinId="9" hidden="1"/>
    <cellStyle name="表示済みのハイパーリンク" xfId="141" builtinId="9" hidden="1"/>
    <cellStyle name="表示済みのハイパーリンク" xfId="143" builtinId="9" hidden="1"/>
    <cellStyle name="表示済みのハイパーリンク" xfId="145" builtinId="9" hidden="1"/>
    <cellStyle name="表示済みのハイパーリンク" xfId="147" builtinId="9" hidden="1"/>
    <cellStyle name="表示済みのハイパーリンク" xfId="149" builtinId="9" hidden="1"/>
    <cellStyle name="表示済みのハイパーリンク" xfId="151" builtinId="9" hidden="1"/>
    <cellStyle name="表示済みのハイパーリンク" xfId="153" builtinId="9" hidden="1"/>
    <cellStyle name="表示済みのハイパーリンク" xfId="155" builtinId="9" hidden="1"/>
    <cellStyle name="表示済みのハイパーリンク" xfId="157" builtinId="9" hidden="1"/>
    <cellStyle name="表示済みのハイパーリンク" xfId="159" builtinId="9" hidden="1"/>
    <cellStyle name="表示済みのハイパーリンク" xfId="161" builtinId="9" hidden="1"/>
    <cellStyle name="表示済みのハイパーリンク" xfId="163" builtinId="9" hidden="1"/>
    <cellStyle name="表示済みのハイパーリンク" xfId="165" builtinId="9" hidden="1"/>
    <cellStyle name="表示済みのハイパーリンク" xfId="167" builtinId="9" hidden="1"/>
    <cellStyle name="表示済みのハイパーリンク" xfId="169" builtinId="9" hidden="1"/>
    <cellStyle name="表示済みのハイパーリンク" xfId="171" builtinId="9" hidden="1"/>
    <cellStyle name="表示済みのハイパーリンク" xfId="173" builtinId="9" hidden="1"/>
    <cellStyle name="表示済みのハイパーリンク" xfId="175" builtinId="9" hidden="1"/>
    <cellStyle name="表示済みのハイパーリンク" xfId="177" builtinId="9" hidden="1"/>
    <cellStyle name="表示済みのハイパーリンク" xfId="179" builtinId="9" hidden="1"/>
    <cellStyle name="表示済みのハイパーリンク" xfId="181" builtinId="9" hidden="1"/>
    <cellStyle name="表示済みのハイパーリンク" xfId="183" builtinId="9" hidden="1"/>
    <cellStyle name="表示済みのハイパーリンク" xfId="185" builtinId="9" hidden="1"/>
    <cellStyle name="表示済みのハイパーリンク" xfId="187" builtinId="9" hidden="1"/>
    <cellStyle name="表示済みのハイパーリンク" xfId="189" builtinId="9" hidden="1"/>
    <cellStyle name="表示済みのハイパーリンク" xfId="191" builtinId="9" hidden="1"/>
    <cellStyle name="表示済みのハイパーリンク" xfId="193" builtinId="9" hidden="1"/>
    <cellStyle name="表示済みのハイパーリンク" xfId="195" builtinId="9" hidden="1"/>
    <cellStyle name="表示済みのハイパーリンク" xfId="197" builtinId="9" hidden="1"/>
    <cellStyle name="表示済みのハイパーリンク" xfId="199" builtinId="9" hidden="1"/>
    <cellStyle name="表示済みのハイパーリンク" xfId="201" builtinId="9" hidden="1"/>
    <cellStyle name="表示済みのハイパーリンク" xfId="203" builtinId="9" hidden="1"/>
    <cellStyle name="表示済みのハイパーリンク" xfId="205" builtinId="9" hidden="1"/>
    <cellStyle name="表示済みのハイパーリンク" xfId="207" builtinId="9" hidden="1"/>
    <cellStyle name="表示済みのハイパーリンク" xfId="209" builtinId="9" hidden="1"/>
    <cellStyle name="表示済みのハイパーリンク" xfId="211" builtinId="9" hidden="1"/>
    <cellStyle name="表示済みのハイパーリンク" xfId="213" builtinId="9" hidden="1"/>
    <cellStyle name="表示済みのハイパーリンク" xfId="215" builtinId="9" hidden="1"/>
    <cellStyle name="表示済みのハイパーリンク" xfId="217" builtinId="9" hidden="1"/>
    <cellStyle name="表示済みのハイパーリンク" xfId="219" builtinId="9" hidden="1"/>
    <cellStyle name="表示済みのハイパーリンク" xfId="221" builtinId="9" hidden="1"/>
    <cellStyle name="表示済みのハイパーリンク" xfId="223" builtinId="9" hidden="1"/>
    <cellStyle name="表示済みのハイパーリンク" xfId="225" builtinId="9" hidden="1"/>
    <cellStyle name="表示済みのハイパーリンク" xfId="227" builtinId="9" hidden="1"/>
    <cellStyle name="表示済みのハイパーリンク" xfId="229" builtinId="9" hidden="1"/>
    <cellStyle name="表示済みのハイパーリンク" xfId="231" builtinId="9" hidden="1"/>
    <cellStyle name="表示済みのハイパーリンク" xfId="233" builtinId="9" hidden="1"/>
    <cellStyle name="表示済みのハイパーリンク" xfId="235" builtinId="9" hidden="1"/>
    <cellStyle name="表示済みのハイパーリンク" xfId="237" builtinId="9" hidden="1"/>
    <cellStyle name="表示済みのハイパーリンク" xfId="239" builtinId="9" hidden="1"/>
    <cellStyle name="表示済みのハイパーリンク" xfId="241" builtinId="9" hidden="1"/>
    <cellStyle name="表示済みのハイパーリンク" xfId="243" builtinId="9" hidden="1"/>
    <cellStyle name="表示済みのハイパーリンク" xfId="245" builtinId="9" hidden="1"/>
    <cellStyle name="表示済みのハイパーリンク" xfId="247" builtinId="9" hidden="1"/>
    <cellStyle name="表示済みのハイパーリンク" xfId="249" builtinId="9" hidden="1"/>
    <cellStyle name="表示済みのハイパーリンク" xfId="251" builtinId="9" hidden="1"/>
    <cellStyle name="表示済みのハイパーリンク" xfId="253" builtinId="9" hidden="1"/>
    <cellStyle name="表示済みのハイパーリンク" xfId="255" builtinId="9" hidden="1"/>
    <cellStyle name="表示済みのハイパーリンク" xfId="257" builtinId="9" hidden="1"/>
    <cellStyle name="表示済みのハイパーリンク" xfId="259" builtinId="9" hidden="1"/>
    <cellStyle name="表示済みのハイパーリンク" xfId="261" builtinId="9" hidden="1"/>
    <cellStyle name="表示済みのハイパーリンク" xfId="263" builtinId="9" hidden="1"/>
    <cellStyle name="表示済みのハイパーリンク" xfId="265" builtinId="9" hidden="1"/>
    <cellStyle name="表示済みのハイパーリンク" xfId="267" builtinId="9" hidden="1"/>
    <cellStyle name="表示済みのハイパーリンク" xfId="269" builtinId="9" hidden="1"/>
    <cellStyle name="表示済みのハイパーリンク" xfId="271" builtinId="9" hidden="1"/>
    <cellStyle name="表示済みのハイパーリンク" xfId="273" builtinId="9" hidden="1"/>
    <cellStyle name="表示済みのハイパーリンク" xfId="275" builtinId="9" hidden="1"/>
    <cellStyle name="表示済みのハイパーリンク" xfId="277" builtinId="9" hidden="1"/>
    <cellStyle name="表示済みのハイパーリンク" xfId="279" builtinId="9" hidden="1"/>
    <cellStyle name="表示済みのハイパーリンク" xfId="281" builtinId="9" hidden="1"/>
    <cellStyle name="表示済みのハイパーリンク" xfId="283" builtinId="9" hidden="1"/>
    <cellStyle name="表示済みのハイパーリンク" xfId="285" builtinId="9" hidden="1"/>
    <cellStyle name="表示済みのハイパーリンク" xfId="287" builtinId="9" hidden="1"/>
    <cellStyle name="表示済みのハイパーリンク" xfId="289" builtinId="9" hidden="1"/>
    <cellStyle name="表示済みのハイパーリンク" xfId="291" builtinId="9" hidden="1"/>
    <cellStyle name="表示済みのハイパーリンク" xfId="293" builtinId="9" hidden="1"/>
    <cellStyle name="表示済みのハイパーリンク" xfId="295" builtinId="9" hidden="1"/>
    <cellStyle name="表示済みのハイパーリンク" xfId="297" builtinId="9" hidden="1"/>
    <cellStyle name="表示済みのハイパーリンク" xfId="299" builtinId="9" hidden="1"/>
    <cellStyle name="表示済みのハイパーリンク" xfId="301" builtinId="9" hidden="1"/>
    <cellStyle name="表示済みのハイパーリンク" xfId="303" builtinId="9" hidden="1"/>
    <cellStyle name="表示済みのハイパーリンク" xfId="305" builtinId="9" hidde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1" Type="http://schemas.openxmlformats.org/officeDocument/2006/relationships/sharedStrings" Target="sharedStrings.xml"/><Relationship Id="rId12" Type="http://schemas.openxmlformats.org/officeDocument/2006/relationships/calcChain" Target="calcChain.xml"/><Relationship Id="rId13" Type="http://schemas.microsoft.com/office/2006/relationships/vbaProject" Target="vbaProject.bin"/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Relationship Id="rId3" Type="http://schemas.openxmlformats.org/officeDocument/2006/relationships/worksheet" Target="worksheets/sheet3.xml"/><Relationship Id="rId4" Type="http://schemas.openxmlformats.org/officeDocument/2006/relationships/worksheet" Target="worksheets/sheet4.xml"/><Relationship Id="rId5" Type="http://schemas.openxmlformats.org/officeDocument/2006/relationships/externalLink" Target="externalLinks/externalLink1.xml"/><Relationship Id="rId6" Type="http://schemas.openxmlformats.org/officeDocument/2006/relationships/externalLink" Target="externalLinks/externalLink2.xml"/><Relationship Id="rId7" Type="http://schemas.openxmlformats.org/officeDocument/2006/relationships/externalLink" Target="externalLinks/externalLink3.xml"/><Relationship Id="rId8" Type="http://schemas.openxmlformats.org/officeDocument/2006/relationships/externalLink" Target="externalLinks/externalLink4.xml"/><Relationship Id="rId9" Type="http://schemas.openxmlformats.org/officeDocument/2006/relationships/theme" Target="theme/theme1.xml"/><Relationship Id="rId10" Type="http://schemas.openxmlformats.org/officeDocument/2006/relationships/styles" Target="styles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QuestMasterData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EnemyMasterData.xlsm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CharacterMasterData.xlsm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EnemySkillMasterData.xlsm" TargetMode="External"/></Relationships>
</file>

<file path=xl/externalLinks/externalLink1.xml><?xml version="1.0" encoding="utf-8"?>
<externalLink xmlns="http://schemas.openxmlformats.org/spreadsheetml/2006/main">
  <externalBook xmlns:r="http://schemas.openxmlformats.org/officeDocument/2006/relationships" r:id="rId1">
    <sheetNames>
      <sheetName val="マスタ"/>
      <sheetName val="quests"/>
      <sheetName val="stages"/>
      <sheetName val="weekly_quests"/>
      <sheetName val="rank_quests"/>
      <sheetName val="event_quests"/>
      <sheetName val="guerilla_quests"/>
      <sheetName val="noon_guerilla_times"/>
      <sheetName val="night_guerilla_times"/>
      <sheetName val="quest_bonuses"/>
      <sheetName val="automatic_quest_bonuses"/>
      <sheetName val="quests.csv"/>
      <sheetName val="quests_i18n.csv"/>
      <sheetName val="stages.csv"/>
      <sheetName val="stages_i18n.csv"/>
      <sheetName val="weekly_quests.csv"/>
      <sheetName val="rank_quests.csv"/>
      <sheetName val="event_quests.csv"/>
      <sheetName val="guerilla_quests.csv"/>
      <sheetName val="noon_guerilla_times.csv"/>
      <sheetName val="night_guerilla_times.csv"/>
      <sheetName val="quest_bonuses.csv"/>
      <sheetName val="automatic_quest_bonuses.csv"/>
    </sheetNames>
    <sheetDataSet>
      <sheetData sheetId="0"/>
      <sheetData sheetId="1">
        <row r="1">
          <cell r="A1" t="str">
            <v>quest_id</v>
          </cell>
          <cell r="B1" t="str">
            <v>quest_type</v>
          </cell>
          <cell r="C1" t="str">
            <v>name</v>
          </cell>
          <cell r="D1" t="str">
            <v>detail</v>
          </cell>
          <cell r="E1" t="str">
            <v>valid_flg</v>
          </cell>
          <cell r="F1" t="str">
            <v>位置付け</v>
          </cell>
          <cell r="G1" t="str">
            <v>備考</v>
          </cell>
        </row>
        <row r="2">
          <cell r="A2">
            <v>0</v>
          </cell>
        </row>
        <row r="3">
          <cell r="A3">
            <v>1</v>
          </cell>
        </row>
        <row r="4">
          <cell r="A4">
            <v>2</v>
          </cell>
        </row>
        <row r="5">
          <cell r="A5">
            <v>3</v>
          </cell>
        </row>
        <row r="6">
          <cell r="A6">
            <v>4</v>
          </cell>
        </row>
        <row r="7">
          <cell r="A7">
            <v>5</v>
          </cell>
        </row>
        <row r="8">
          <cell r="A8">
            <v>6</v>
          </cell>
        </row>
        <row r="9">
          <cell r="A9">
            <v>7</v>
          </cell>
        </row>
        <row r="10">
          <cell r="A10">
            <v>8</v>
          </cell>
        </row>
        <row r="11">
          <cell r="A11">
            <v>9</v>
          </cell>
        </row>
        <row r="12">
          <cell r="A12">
            <v>10</v>
          </cell>
        </row>
        <row r="13">
          <cell r="A13">
            <v>11</v>
          </cell>
        </row>
        <row r="14">
          <cell r="A14">
            <v>12</v>
          </cell>
        </row>
        <row r="15">
          <cell r="A15">
            <v>13</v>
          </cell>
        </row>
        <row r="16">
          <cell r="A16">
            <v>14</v>
          </cell>
        </row>
        <row r="17">
          <cell r="A17">
            <v>15</v>
          </cell>
        </row>
        <row r="18">
          <cell r="A18">
            <v>16</v>
          </cell>
        </row>
        <row r="19">
          <cell r="A19">
            <v>17</v>
          </cell>
        </row>
        <row r="20">
          <cell r="A20">
            <v>18</v>
          </cell>
        </row>
        <row r="21">
          <cell r="A21">
            <v>19</v>
          </cell>
        </row>
        <row r="22">
          <cell r="A22">
            <v>20</v>
          </cell>
        </row>
        <row r="23">
          <cell r="A23">
            <v>21</v>
          </cell>
        </row>
        <row r="24">
          <cell r="A24">
            <v>22</v>
          </cell>
        </row>
        <row r="25">
          <cell r="A25">
            <v>23</v>
          </cell>
        </row>
        <row r="26">
          <cell r="A26">
            <v>24</v>
          </cell>
        </row>
        <row r="27">
          <cell r="A27">
            <v>25</v>
          </cell>
        </row>
        <row r="28">
          <cell r="A28">
            <v>26</v>
          </cell>
        </row>
        <row r="29">
          <cell r="A29">
            <v>27</v>
          </cell>
        </row>
        <row r="30">
          <cell r="A30">
            <v>28</v>
          </cell>
        </row>
        <row r="31">
          <cell r="A31">
            <v>29</v>
          </cell>
        </row>
        <row r="32">
          <cell r="A32">
            <v>30</v>
          </cell>
        </row>
        <row r="33">
          <cell r="A33">
            <v>31</v>
          </cell>
        </row>
        <row r="34">
          <cell r="A34">
            <v>10008</v>
          </cell>
        </row>
        <row r="35">
          <cell r="A35">
            <v>10010</v>
          </cell>
        </row>
        <row r="36">
          <cell r="A36">
            <v>10015</v>
          </cell>
        </row>
        <row r="37">
          <cell r="A37">
            <v>10020</v>
          </cell>
        </row>
        <row r="38">
          <cell r="A38">
            <v>10025</v>
          </cell>
        </row>
        <row r="39">
          <cell r="A39">
            <v>10030</v>
          </cell>
        </row>
        <row r="40">
          <cell r="A40">
            <v>10035</v>
          </cell>
        </row>
        <row r="41">
          <cell r="A41">
            <v>10040</v>
          </cell>
        </row>
        <row r="42">
          <cell r="A42">
            <v>10045</v>
          </cell>
        </row>
        <row r="43">
          <cell r="A43">
            <v>10050</v>
          </cell>
        </row>
        <row r="44">
          <cell r="A44">
            <v>10055</v>
          </cell>
        </row>
        <row r="45">
          <cell r="A45">
            <v>10060</v>
          </cell>
        </row>
        <row r="46">
          <cell r="A46">
            <v>10090</v>
          </cell>
        </row>
        <row r="47">
          <cell r="A47">
            <v>10100</v>
          </cell>
        </row>
        <row r="48">
          <cell r="A48">
            <v>11001</v>
          </cell>
        </row>
        <row r="49">
          <cell r="A49">
            <v>11002</v>
          </cell>
        </row>
        <row r="50">
          <cell r="A50">
            <v>11003</v>
          </cell>
        </row>
        <row r="51">
          <cell r="A51">
            <v>11004</v>
          </cell>
        </row>
        <row r="52">
          <cell r="A52">
            <v>11005</v>
          </cell>
        </row>
        <row r="53">
          <cell r="A53">
            <v>11006</v>
          </cell>
        </row>
        <row r="54">
          <cell r="A54">
            <v>12001</v>
          </cell>
        </row>
        <row r="55">
          <cell r="A55">
            <v>13001</v>
          </cell>
        </row>
        <row r="56">
          <cell r="A56">
            <v>20001</v>
          </cell>
        </row>
        <row r="57">
          <cell r="A57">
            <v>20002</v>
          </cell>
        </row>
        <row r="58">
          <cell r="A58">
            <v>20003</v>
          </cell>
        </row>
        <row r="59">
          <cell r="A59">
            <v>20004</v>
          </cell>
        </row>
        <row r="60">
          <cell r="A60">
            <v>20005</v>
          </cell>
        </row>
        <row r="61">
          <cell r="A61">
            <v>20006</v>
          </cell>
        </row>
        <row r="62">
          <cell r="A62">
            <v>20007</v>
          </cell>
        </row>
        <row r="63">
          <cell r="A63">
            <v>20008</v>
          </cell>
        </row>
        <row r="64">
          <cell r="A64">
            <v>20009</v>
          </cell>
        </row>
        <row r="65">
          <cell r="A65">
            <v>20010</v>
          </cell>
        </row>
        <row r="66">
          <cell r="A66">
            <v>20011</v>
          </cell>
        </row>
        <row r="67">
          <cell r="A67">
            <v>20012</v>
          </cell>
        </row>
        <row r="68">
          <cell r="A68">
            <v>30001</v>
          </cell>
        </row>
        <row r="69">
          <cell r="A69">
            <v>30002</v>
          </cell>
        </row>
        <row r="70">
          <cell r="A70">
            <v>30003</v>
          </cell>
        </row>
        <row r="71">
          <cell r="A71">
            <v>30004</v>
          </cell>
        </row>
        <row r="72">
          <cell r="A72">
            <v>30005</v>
          </cell>
        </row>
        <row r="73">
          <cell r="A73">
            <v>30006</v>
          </cell>
        </row>
        <row r="74">
          <cell r="A74">
            <v>30007</v>
          </cell>
        </row>
        <row r="75">
          <cell r="A75">
            <v>30008</v>
          </cell>
        </row>
        <row r="76">
          <cell r="A76">
            <v>30009</v>
          </cell>
        </row>
        <row r="77">
          <cell r="A77">
            <v>30010</v>
          </cell>
        </row>
        <row r="78">
          <cell r="A78">
            <v>30011</v>
          </cell>
        </row>
        <row r="79">
          <cell r="A79">
            <v>30012</v>
          </cell>
        </row>
        <row r="80">
          <cell r="A80">
            <v>40001</v>
          </cell>
        </row>
        <row r="81">
          <cell r="A81">
            <v>40002</v>
          </cell>
        </row>
        <row r="82">
          <cell r="A82">
            <v>40003</v>
          </cell>
        </row>
      </sheetData>
      <sheetData sheetId="2">
        <row r="1">
          <cell r="A1" t="str">
            <v>ID</v>
          </cell>
        </row>
        <row r="2">
          <cell r="A2" t="str">
            <v>temp_stage</v>
          </cell>
          <cell r="B2" t="str">
            <v>valid_flg</v>
          </cell>
          <cell r="C2" t="str">
            <v>quest_id</v>
          </cell>
          <cell r="D2" t="str">
            <v>クエスト名</v>
          </cell>
          <cell r="E2" t="str">
            <v>位置付け</v>
          </cell>
          <cell r="F2" t="str">
            <v>stage_id</v>
          </cell>
          <cell r="G2" t="str">
            <v>name</v>
          </cell>
          <cell r="H2" t="str">
            <v>位置付け</v>
          </cell>
          <cell r="I2" t="str">
            <v>thumbnail_character_id</v>
          </cell>
          <cell r="J2" t="str">
            <v>stamina</v>
          </cell>
          <cell r="K2" t="str">
            <v>rank_exp</v>
          </cell>
          <cell r="L2" t="str">
            <v>red_flg</v>
          </cell>
          <cell r="M2" t="str">
            <v>blue_flg</v>
          </cell>
          <cell r="N2" t="str">
            <v>green_flg</v>
          </cell>
          <cell r="O2" t="str">
            <v>yellow_flg</v>
          </cell>
          <cell r="P2" t="str">
            <v>heal_flg</v>
          </cell>
          <cell r="Q2" t="str">
            <v>attack_count</v>
          </cell>
          <cell r="R2" t="str">
            <v>treasure_type</v>
          </cell>
          <cell r="S2" t="str">
            <v>treasure_value</v>
          </cell>
          <cell r="T2" t="str">
            <v>prev_quest_id</v>
          </cell>
          <cell r="U2" t="str">
            <v>prev_stage_id</v>
          </cell>
          <cell r="V2" t="str">
            <v>name</v>
          </cell>
          <cell r="W2" t="str">
            <v>completable_time</v>
          </cell>
          <cell r="X2" t="str">
            <v>background</v>
          </cell>
        </row>
        <row r="3">
          <cell r="A3" t="str">
            <v>0_1</v>
          </cell>
        </row>
        <row r="4">
          <cell r="A4" t="str">
            <v>0_2</v>
          </cell>
        </row>
        <row r="5">
          <cell r="A5" t="str">
            <v>1_1</v>
          </cell>
        </row>
        <row r="6">
          <cell r="A6" t="str">
            <v>1_2</v>
          </cell>
        </row>
        <row r="7">
          <cell r="A7" t="str">
            <v>1_3</v>
          </cell>
        </row>
        <row r="8">
          <cell r="A8" t="str">
            <v>1_4</v>
          </cell>
        </row>
        <row r="9">
          <cell r="A9" t="str">
            <v>2_1</v>
          </cell>
        </row>
        <row r="10">
          <cell r="A10" t="str">
            <v>2_2</v>
          </cell>
        </row>
        <row r="11">
          <cell r="A11" t="str">
            <v>2_3</v>
          </cell>
        </row>
        <row r="12">
          <cell r="A12" t="str">
            <v>2_4</v>
          </cell>
        </row>
        <row r="13">
          <cell r="A13" t="str">
            <v>3_1</v>
          </cell>
        </row>
        <row r="14">
          <cell r="A14" t="str">
            <v>3_2</v>
          </cell>
        </row>
        <row r="15">
          <cell r="A15" t="str">
            <v>3_3</v>
          </cell>
        </row>
        <row r="16">
          <cell r="A16" t="str">
            <v>3_4</v>
          </cell>
        </row>
        <row r="17">
          <cell r="A17" t="str">
            <v>4_1</v>
          </cell>
        </row>
        <row r="18">
          <cell r="A18" t="str">
            <v>4_2</v>
          </cell>
        </row>
        <row r="19">
          <cell r="A19" t="str">
            <v>4_3</v>
          </cell>
        </row>
        <row r="20">
          <cell r="A20" t="str">
            <v>4_4</v>
          </cell>
        </row>
        <row r="21">
          <cell r="A21" t="str">
            <v>5_1</v>
          </cell>
        </row>
        <row r="22">
          <cell r="A22" t="str">
            <v>5_2</v>
          </cell>
        </row>
        <row r="23">
          <cell r="A23" t="str">
            <v>5_3</v>
          </cell>
        </row>
        <row r="24">
          <cell r="A24" t="str">
            <v>5_4</v>
          </cell>
        </row>
        <row r="25">
          <cell r="A25" t="str">
            <v>6_1</v>
          </cell>
        </row>
        <row r="26">
          <cell r="A26" t="str">
            <v>6_2</v>
          </cell>
        </row>
        <row r="27">
          <cell r="A27" t="str">
            <v>6_3</v>
          </cell>
        </row>
        <row r="28">
          <cell r="A28" t="str">
            <v>6_4</v>
          </cell>
        </row>
        <row r="29">
          <cell r="A29" t="str">
            <v>6_5</v>
          </cell>
        </row>
        <row r="30">
          <cell r="A30" t="str">
            <v>6_6</v>
          </cell>
        </row>
        <row r="31">
          <cell r="A31" t="str">
            <v>7_1</v>
          </cell>
        </row>
        <row r="32">
          <cell r="A32" t="str">
            <v>7_2</v>
          </cell>
        </row>
        <row r="33">
          <cell r="A33" t="str">
            <v>7_3</v>
          </cell>
        </row>
        <row r="34">
          <cell r="A34" t="str">
            <v>7_4</v>
          </cell>
        </row>
        <row r="35">
          <cell r="A35" t="str">
            <v>7_5</v>
          </cell>
        </row>
        <row r="36">
          <cell r="A36" t="str">
            <v>7_6</v>
          </cell>
        </row>
        <row r="37">
          <cell r="A37" t="str">
            <v>8_1</v>
          </cell>
        </row>
        <row r="38">
          <cell r="A38" t="str">
            <v>8_2</v>
          </cell>
        </row>
        <row r="39">
          <cell r="A39" t="str">
            <v>8_3</v>
          </cell>
        </row>
        <row r="40">
          <cell r="A40" t="str">
            <v>8_4</v>
          </cell>
        </row>
        <row r="41">
          <cell r="A41" t="str">
            <v>8_5</v>
          </cell>
        </row>
        <row r="42">
          <cell r="A42" t="str">
            <v>8_6</v>
          </cell>
        </row>
        <row r="43">
          <cell r="A43" t="str">
            <v>9_1</v>
          </cell>
        </row>
        <row r="44">
          <cell r="A44" t="str">
            <v>9_2</v>
          </cell>
        </row>
        <row r="45">
          <cell r="A45" t="str">
            <v>9_3</v>
          </cell>
        </row>
        <row r="46">
          <cell r="A46" t="str">
            <v>9_4</v>
          </cell>
        </row>
        <row r="47">
          <cell r="A47" t="str">
            <v>9_5</v>
          </cell>
        </row>
        <row r="48">
          <cell r="A48" t="str">
            <v>9_6</v>
          </cell>
        </row>
        <row r="49">
          <cell r="A49" t="str">
            <v>10_1</v>
          </cell>
        </row>
        <row r="50">
          <cell r="A50" t="str">
            <v>10_2</v>
          </cell>
        </row>
        <row r="51">
          <cell r="A51" t="str">
            <v>10_3</v>
          </cell>
        </row>
        <row r="52">
          <cell r="A52" t="str">
            <v>10_4</v>
          </cell>
        </row>
        <row r="53">
          <cell r="A53" t="str">
            <v>10_5</v>
          </cell>
        </row>
        <row r="54">
          <cell r="A54" t="str">
            <v>10_6</v>
          </cell>
        </row>
        <row r="55">
          <cell r="A55" t="str">
            <v>11_1</v>
          </cell>
        </row>
        <row r="56">
          <cell r="A56" t="str">
            <v>11_2</v>
          </cell>
        </row>
        <row r="57">
          <cell r="A57" t="str">
            <v>11_3</v>
          </cell>
        </row>
        <row r="58">
          <cell r="A58" t="str">
            <v>11_4</v>
          </cell>
        </row>
        <row r="59">
          <cell r="A59" t="str">
            <v>11_5</v>
          </cell>
        </row>
        <row r="60">
          <cell r="A60" t="str">
            <v>11_6</v>
          </cell>
        </row>
        <row r="61">
          <cell r="A61" t="str">
            <v>12_1</v>
          </cell>
        </row>
        <row r="62">
          <cell r="A62" t="str">
            <v>12_2</v>
          </cell>
        </row>
        <row r="63">
          <cell r="A63" t="str">
            <v>12_3</v>
          </cell>
        </row>
        <row r="64">
          <cell r="A64" t="str">
            <v>12_4</v>
          </cell>
        </row>
        <row r="65">
          <cell r="A65" t="str">
            <v>12_5</v>
          </cell>
        </row>
        <row r="66">
          <cell r="A66" t="str">
            <v>12_6</v>
          </cell>
        </row>
        <row r="67">
          <cell r="A67" t="str">
            <v>13_1</v>
          </cell>
        </row>
        <row r="68">
          <cell r="A68" t="str">
            <v>13_2</v>
          </cell>
        </row>
        <row r="69">
          <cell r="A69" t="str">
            <v>13_3</v>
          </cell>
        </row>
        <row r="70">
          <cell r="A70" t="str">
            <v>13_4</v>
          </cell>
        </row>
        <row r="71">
          <cell r="A71" t="str">
            <v>13_5</v>
          </cell>
        </row>
        <row r="72">
          <cell r="A72" t="str">
            <v>13_6</v>
          </cell>
        </row>
        <row r="73">
          <cell r="A73" t="str">
            <v>14_1</v>
          </cell>
        </row>
        <row r="74">
          <cell r="A74" t="str">
            <v>14_2</v>
          </cell>
        </row>
        <row r="75">
          <cell r="A75" t="str">
            <v>14_3</v>
          </cell>
        </row>
        <row r="76">
          <cell r="A76" t="str">
            <v>14_4</v>
          </cell>
        </row>
        <row r="77">
          <cell r="A77" t="str">
            <v>14_5</v>
          </cell>
        </row>
        <row r="78">
          <cell r="A78" t="str">
            <v>14_6</v>
          </cell>
        </row>
        <row r="79">
          <cell r="A79" t="str">
            <v>15_1</v>
          </cell>
        </row>
        <row r="80">
          <cell r="A80" t="str">
            <v>15_2</v>
          </cell>
        </row>
        <row r="81">
          <cell r="A81" t="str">
            <v>15_3</v>
          </cell>
        </row>
        <row r="82">
          <cell r="A82" t="str">
            <v>15_4</v>
          </cell>
        </row>
        <row r="83">
          <cell r="A83" t="str">
            <v>15_5</v>
          </cell>
        </row>
        <row r="84">
          <cell r="A84" t="str">
            <v>15_6</v>
          </cell>
        </row>
        <row r="85">
          <cell r="A85" t="str">
            <v>16_1</v>
          </cell>
        </row>
        <row r="86">
          <cell r="A86" t="str">
            <v>16_2</v>
          </cell>
        </row>
        <row r="87">
          <cell r="A87" t="str">
            <v>16_3</v>
          </cell>
        </row>
        <row r="88">
          <cell r="A88" t="str">
            <v>16_4</v>
          </cell>
        </row>
        <row r="89">
          <cell r="A89" t="str">
            <v>16_5</v>
          </cell>
        </row>
        <row r="90">
          <cell r="A90" t="str">
            <v>16_6</v>
          </cell>
        </row>
        <row r="91">
          <cell r="A91" t="str">
            <v>17_1</v>
          </cell>
        </row>
        <row r="92">
          <cell r="A92" t="str">
            <v>17_2</v>
          </cell>
        </row>
        <row r="93">
          <cell r="A93" t="str">
            <v>17_3</v>
          </cell>
        </row>
        <row r="94">
          <cell r="A94" t="str">
            <v>17_4</v>
          </cell>
        </row>
        <row r="95">
          <cell r="A95" t="str">
            <v>17_5</v>
          </cell>
        </row>
        <row r="96">
          <cell r="A96" t="str">
            <v>17_6</v>
          </cell>
        </row>
        <row r="97">
          <cell r="A97" t="str">
            <v>18_1</v>
          </cell>
        </row>
        <row r="98">
          <cell r="A98" t="str">
            <v>18_2</v>
          </cell>
        </row>
        <row r="99">
          <cell r="A99" t="str">
            <v>18_3</v>
          </cell>
        </row>
        <row r="100">
          <cell r="A100" t="str">
            <v>18_4</v>
          </cell>
        </row>
        <row r="101">
          <cell r="A101" t="str">
            <v>18_5</v>
          </cell>
        </row>
        <row r="102">
          <cell r="A102" t="str">
            <v>18_6</v>
          </cell>
        </row>
        <row r="103">
          <cell r="A103" t="str">
            <v>19_1</v>
          </cell>
        </row>
        <row r="104">
          <cell r="A104" t="str">
            <v>19_2</v>
          </cell>
        </row>
        <row r="105">
          <cell r="A105" t="str">
            <v>19_3</v>
          </cell>
        </row>
        <row r="106">
          <cell r="A106" t="str">
            <v>19_4</v>
          </cell>
        </row>
        <row r="107">
          <cell r="A107" t="str">
            <v>19_5</v>
          </cell>
        </row>
        <row r="108">
          <cell r="A108" t="str">
            <v>19_6</v>
          </cell>
        </row>
        <row r="109">
          <cell r="A109" t="str">
            <v>20_1</v>
          </cell>
        </row>
        <row r="110">
          <cell r="A110" t="str">
            <v>20_2</v>
          </cell>
        </row>
        <row r="111">
          <cell r="A111" t="str">
            <v>20_3</v>
          </cell>
        </row>
        <row r="112">
          <cell r="A112" t="str">
            <v>20_4</v>
          </cell>
        </row>
        <row r="113">
          <cell r="A113" t="str">
            <v>20_5</v>
          </cell>
        </row>
        <row r="114">
          <cell r="A114" t="str">
            <v>20_6</v>
          </cell>
        </row>
        <row r="115">
          <cell r="A115" t="str">
            <v>21_1</v>
          </cell>
        </row>
        <row r="116">
          <cell r="A116" t="str">
            <v>21_2</v>
          </cell>
        </row>
        <row r="117">
          <cell r="A117" t="str">
            <v>21_3</v>
          </cell>
        </row>
        <row r="118">
          <cell r="A118" t="str">
            <v>21_4</v>
          </cell>
        </row>
        <row r="119">
          <cell r="A119" t="str">
            <v>21_5</v>
          </cell>
        </row>
        <row r="120">
          <cell r="A120" t="str">
            <v>21_6</v>
          </cell>
        </row>
        <row r="121">
          <cell r="A121" t="str">
            <v>22_1</v>
          </cell>
        </row>
        <row r="122">
          <cell r="A122" t="str">
            <v>22_2</v>
          </cell>
        </row>
        <row r="123">
          <cell r="A123" t="str">
            <v>22_3</v>
          </cell>
        </row>
        <row r="124">
          <cell r="A124" t="str">
            <v>22_4</v>
          </cell>
        </row>
        <row r="125">
          <cell r="A125" t="str">
            <v>22_5</v>
          </cell>
        </row>
        <row r="126">
          <cell r="A126" t="str">
            <v>22_6</v>
          </cell>
        </row>
        <row r="127">
          <cell r="A127" t="str">
            <v>23_1</v>
          </cell>
        </row>
        <row r="128">
          <cell r="A128" t="str">
            <v>23_2</v>
          </cell>
        </row>
        <row r="129">
          <cell r="A129" t="str">
            <v>23_3</v>
          </cell>
        </row>
        <row r="130">
          <cell r="A130" t="str">
            <v>23_4</v>
          </cell>
        </row>
        <row r="131">
          <cell r="A131" t="str">
            <v>23_5</v>
          </cell>
        </row>
        <row r="132">
          <cell r="A132" t="str">
            <v>23_6</v>
          </cell>
        </row>
        <row r="133">
          <cell r="A133" t="str">
            <v>24_1</v>
          </cell>
        </row>
        <row r="134">
          <cell r="A134" t="str">
            <v>24_2</v>
          </cell>
        </row>
        <row r="135">
          <cell r="A135" t="str">
            <v>24_3</v>
          </cell>
        </row>
        <row r="136">
          <cell r="A136" t="str">
            <v>24_4</v>
          </cell>
        </row>
        <row r="137">
          <cell r="A137" t="str">
            <v>24_5</v>
          </cell>
        </row>
        <row r="138">
          <cell r="A138" t="str">
            <v>24_6</v>
          </cell>
        </row>
        <row r="139">
          <cell r="A139" t="str">
            <v>25_1</v>
          </cell>
        </row>
        <row r="140">
          <cell r="A140" t="str">
            <v>25_2</v>
          </cell>
        </row>
        <row r="141">
          <cell r="A141" t="str">
            <v>25_3</v>
          </cell>
        </row>
        <row r="142">
          <cell r="A142" t="str">
            <v>25_4</v>
          </cell>
        </row>
        <row r="143">
          <cell r="A143" t="str">
            <v>25_5</v>
          </cell>
        </row>
        <row r="144">
          <cell r="A144" t="str">
            <v>25_6</v>
          </cell>
        </row>
        <row r="145">
          <cell r="A145" t="str">
            <v>26_1</v>
          </cell>
        </row>
        <row r="146">
          <cell r="A146" t="str">
            <v>26_2</v>
          </cell>
        </row>
        <row r="147">
          <cell r="A147" t="str">
            <v>26_3</v>
          </cell>
        </row>
        <row r="148">
          <cell r="A148" t="str">
            <v>26_4</v>
          </cell>
        </row>
        <row r="149">
          <cell r="A149" t="str">
            <v>26_5</v>
          </cell>
        </row>
        <row r="150">
          <cell r="A150" t="str">
            <v>26_6</v>
          </cell>
        </row>
        <row r="151">
          <cell r="A151" t="str">
            <v>27_1</v>
          </cell>
        </row>
        <row r="152">
          <cell r="A152" t="str">
            <v>27_2</v>
          </cell>
        </row>
        <row r="153">
          <cell r="A153" t="str">
            <v>27_3</v>
          </cell>
        </row>
        <row r="154">
          <cell r="A154" t="str">
            <v>27_4</v>
          </cell>
        </row>
        <row r="155">
          <cell r="A155" t="str">
            <v>27_5</v>
          </cell>
        </row>
        <row r="156">
          <cell r="A156" t="str">
            <v>27_6</v>
          </cell>
        </row>
        <row r="157">
          <cell r="A157" t="str">
            <v>28_1</v>
          </cell>
        </row>
        <row r="158">
          <cell r="A158" t="str">
            <v>28_2</v>
          </cell>
        </row>
        <row r="159">
          <cell r="A159" t="str">
            <v>28_3</v>
          </cell>
        </row>
        <row r="160">
          <cell r="A160" t="str">
            <v>28_4</v>
          </cell>
        </row>
        <row r="161">
          <cell r="A161" t="str">
            <v>28_5</v>
          </cell>
        </row>
        <row r="162">
          <cell r="A162" t="str">
            <v>28_6</v>
          </cell>
        </row>
        <row r="163">
          <cell r="A163" t="str">
            <v>29_1</v>
          </cell>
        </row>
        <row r="164">
          <cell r="A164" t="str">
            <v>29_2</v>
          </cell>
        </row>
        <row r="165">
          <cell r="A165" t="str">
            <v>29_3</v>
          </cell>
        </row>
        <row r="166">
          <cell r="A166" t="str">
            <v>29_4</v>
          </cell>
        </row>
        <row r="167">
          <cell r="A167" t="str">
            <v>29_5</v>
          </cell>
        </row>
        <row r="168">
          <cell r="A168" t="str">
            <v>29_6</v>
          </cell>
        </row>
        <row r="169">
          <cell r="A169" t="str">
            <v>30_1</v>
          </cell>
        </row>
        <row r="170">
          <cell r="A170" t="str">
            <v>30_2</v>
          </cell>
        </row>
        <row r="171">
          <cell r="A171" t="str">
            <v>30_3</v>
          </cell>
        </row>
        <row r="172">
          <cell r="A172" t="str">
            <v>30_4</v>
          </cell>
        </row>
        <row r="173">
          <cell r="A173" t="str">
            <v>30_5</v>
          </cell>
        </row>
        <row r="174">
          <cell r="A174" t="str">
            <v>30_6</v>
          </cell>
        </row>
        <row r="175">
          <cell r="A175" t="str">
            <v>31_1</v>
          </cell>
        </row>
        <row r="176">
          <cell r="A176" t="str">
            <v>31_2</v>
          </cell>
        </row>
        <row r="177">
          <cell r="A177" t="str">
            <v>31_3</v>
          </cell>
        </row>
        <row r="178">
          <cell r="A178" t="str">
            <v>31_4</v>
          </cell>
        </row>
        <row r="179">
          <cell r="A179" t="str">
            <v>31_5</v>
          </cell>
        </row>
        <row r="180">
          <cell r="A180" t="str">
            <v>31_6</v>
          </cell>
        </row>
        <row r="181">
          <cell r="A181" t="str">
            <v>10008_1</v>
          </cell>
        </row>
        <row r="182">
          <cell r="A182" t="str">
            <v>10010_1</v>
          </cell>
        </row>
        <row r="183">
          <cell r="A183" t="str">
            <v>10015_1</v>
          </cell>
        </row>
        <row r="184">
          <cell r="A184" t="str">
            <v>10020_1</v>
          </cell>
        </row>
        <row r="185">
          <cell r="A185" t="str">
            <v>10025_1</v>
          </cell>
        </row>
        <row r="186">
          <cell r="A186" t="str">
            <v>10030_1</v>
          </cell>
        </row>
        <row r="187">
          <cell r="A187" t="str">
            <v>10035_1</v>
          </cell>
        </row>
        <row r="188">
          <cell r="A188" t="str">
            <v>10040_1</v>
          </cell>
        </row>
        <row r="189">
          <cell r="A189" t="str">
            <v>10045_1</v>
          </cell>
        </row>
        <row r="190">
          <cell r="A190" t="str">
            <v>10050_1</v>
          </cell>
        </row>
        <row r="191">
          <cell r="A191" t="str">
            <v>10055_1</v>
          </cell>
        </row>
        <row r="192">
          <cell r="A192" t="str">
            <v>10060_1</v>
          </cell>
        </row>
        <row r="193">
          <cell r="A193" t="str">
            <v>10090_1</v>
          </cell>
        </row>
        <row r="194">
          <cell r="A194" t="str">
            <v>10100_1</v>
          </cell>
        </row>
        <row r="195">
          <cell r="A195" t="str">
            <v>11001_1</v>
          </cell>
        </row>
        <row r="196">
          <cell r="A196" t="str">
            <v>11001_2</v>
          </cell>
        </row>
        <row r="197">
          <cell r="A197" t="str">
            <v>11001_3</v>
          </cell>
        </row>
        <row r="198">
          <cell r="A198" t="str">
            <v>11002_1</v>
          </cell>
        </row>
        <row r="199">
          <cell r="A199" t="str">
            <v>11002_2</v>
          </cell>
        </row>
        <row r="200">
          <cell r="A200" t="str">
            <v>11002_3</v>
          </cell>
        </row>
        <row r="201">
          <cell r="A201" t="str">
            <v>11003_1</v>
          </cell>
        </row>
        <row r="202">
          <cell r="A202" t="str">
            <v>11003_2</v>
          </cell>
        </row>
        <row r="203">
          <cell r="A203" t="str">
            <v>11003_3</v>
          </cell>
        </row>
        <row r="204">
          <cell r="A204" t="str">
            <v>11004_1</v>
          </cell>
        </row>
        <row r="205">
          <cell r="A205" t="str">
            <v>11004_2</v>
          </cell>
        </row>
        <row r="206">
          <cell r="A206" t="str">
            <v>11004_3</v>
          </cell>
        </row>
        <row r="207">
          <cell r="A207" t="str">
            <v>11005_1</v>
          </cell>
        </row>
        <row r="208">
          <cell r="A208" t="str">
            <v>11005_2</v>
          </cell>
        </row>
        <row r="209">
          <cell r="A209" t="str">
            <v>11005_3</v>
          </cell>
        </row>
        <row r="210">
          <cell r="A210" t="str">
            <v>11005_4</v>
          </cell>
        </row>
        <row r="211">
          <cell r="A211" t="str">
            <v>11006_1</v>
          </cell>
        </row>
        <row r="212">
          <cell r="A212" t="str">
            <v>11006_2</v>
          </cell>
        </row>
        <row r="213">
          <cell r="A213" t="str">
            <v>11006_3</v>
          </cell>
        </row>
        <row r="214">
          <cell r="A214" t="str">
            <v>12001_1</v>
          </cell>
        </row>
        <row r="215">
          <cell r="A215" t="str">
            <v>12001_2</v>
          </cell>
        </row>
        <row r="216">
          <cell r="A216" t="str">
            <v>13001_1</v>
          </cell>
        </row>
        <row r="217">
          <cell r="A217" t="str">
            <v>13001_2</v>
          </cell>
        </row>
        <row r="218">
          <cell r="A218" t="str">
            <v>13001_3</v>
          </cell>
        </row>
        <row r="219">
          <cell r="A219" t="str">
            <v>13001_4</v>
          </cell>
        </row>
        <row r="220">
          <cell r="A220" t="str">
            <v>13001_5</v>
          </cell>
        </row>
        <row r="221">
          <cell r="A221" t="str">
            <v>13001_6</v>
          </cell>
        </row>
        <row r="222">
          <cell r="A222" t="str">
            <v>13001_7</v>
          </cell>
        </row>
        <row r="223">
          <cell r="A223" t="str">
            <v>13001_8</v>
          </cell>
        </row>
        <row r="224">
          <cell r="A224" t="str">
            <v>13001_9</v>
          </cell>
        </row>
        <row r="225">
          <cell r="A225" t="str">
            <v>13001_10</v>
          </cell>
        </row>
        <row r="226">
          <cell r="A226" t="str">
            <v>13001_11</v>
          </cell>
        </row>
        <row r="227">
          <cell r="A227" t="str">
            <v>13001_12</v>
          </cell>
        </row>
        <row r="228">
          <cell r="A228" t="str">
            <v>13001_13</v>
          </cell>
        </row>
        <row r="229">
          <cell r="A229" t="str">
            <v>13001_14</v>
          </cell>
        </row>
        <row r="230">
          <cell r="A230" t="str">
            <v>13001_15</v>
          </cell>
        </row>
        <row r="231">
          <cell r="A231" t="str">
            <v>13001_16</v>
          </cell>
        </row>
        <row r="232">
          <cell r="A232" t="str">
            <v>13001_17</v>
          </cell>
        </row>
        <row r="233">
          <cell r="A233" t="str">
            <v>13001_18</v>
          </cell>
        </row>
        <row r="234">
          <cell r="A234" t="str">
            <v>13001_19</v>
          </cell>
        </row>
        <row r="235">
          <cell r="A235" t="str">
            <v>13001_20</v>
          </cell>
        </row>
        <row r="236">
          <cell r="A236" t="str">
            <v>20001_1</v>
          </cell>
        </row>
        <row r="237">
          <cell r="A237" t="str">
            <v>20001_2</v>
          </cell>
        </row>
        <row r="238">
          <cell r="A238" t="str">
            <v>20001_3</v>
          </cell>
        </row>
        <row r="239">
          <cell r="A239" t="str">
            <v>20002_1</v>
          </cell>
        </row>
        <row r="240">
          <cell r="A240" t="str">
            <v>20002_2</v>
          </cell>
        </row>
        <row r="241">
          <cell r="A241" t="str">
            <v>20002_3</v>
          </cell>
        </row>
        <row r="242">
          <cell r="A242" t="str">
            <v>20003_1</v>
          </cell>
        </row>
        <row r="243">
          <cell r="A243" t="str">
            <v>20003_2</v>
          </cell>
        </row>
        <row r="244">
          <cell r="A244" t="str">
            <v>20003_3</v>
          </cell>
        </row>
        <row r="245">
          <cell r="A245" t="str">
            <v>20004_1</v>
          </cell>
        </row>
        <row r="246">
          <cell r="A246" t="str">
            <v>20004_2</v>
          </cell>
        </row>
        <row r="247">
          <cell r="A247" t="str">
            <v>20004_3</v>
          </cell>
        </row>
        <row r="248">
          <cell r="A248" t="str">
            <v>20005_1</v>
          </cell>
        </row>
        <row r="249">
          <cell r="A249" t="str">
            <v>20005_2</v>
          </cell>
        </row>
        <row r="250">
          <cell r="A250" t="str">
            <v>20005_3</v>
          </cell>
        </row>
        <row r="251">
          <cell r="A251" t="str">
            <v>20006_1</v>
          </cell>
        </row>
        <row r="252">
          <cell r="A252" t="str">
            <v>20006_2</v>
          </cell>
        </row>
        <row r="253">
          <cell r="A253" t="str">
            <v>20006_3</v>
          </cell>
        </row>
        <row r="254">
          <cell r="A254" t="str">
            <v>20007_1</v>
          </cell>
        </row>
        <row r="255">
          <cell r="A255" t="str">
            <v>20007_2</v>
          </cell>
        </row>
        <row r="256">
          <cell r="A256" t="str">
            <v>20007_3</v>
          </cell>
        </row>
        <row r="257">
          <cell r="A257" t="str">
            <v>20008_1</v>
          </cell>
        </row>
        <row r="258">
          <cell r="A258" t="str">
            <v>20008_2</v>
          </cell>
        </row>
        <row r="259">
          <cell r="A259" t="str">
            <v>20008_3</v>
          </cell>
        </row>
        <row r="260">
          <cell r="A260" t="str">
            <v>20009_1</v>
          </cell>
        </row>
        <row r="261">
          <cell r="A261" t="str">
            <v>20009_2</v>
          </cell>
        </row>
        <row r="262">
          <cell r="A262" t="str">
            <v>20009_3</v>
          </cell>
        </row>
        <row r="263">
          <cell r="A263" t="str">
            <v>20010_1</v>
          </cell>
        </row>
        <row r="264">
          <cell r="A264" t="str">
            <v>20010_2</v>
          </cell>
        </row>
        <row r="265">
          <cell r="A265" t="str">
            <v>20010_3</v>
          </cell>
        </row>
        <row r="266">
          <cell r="A266" t="str">
            <v>20011_1</v>
          </cell>
        </row>
        <row r="267">
          <cell r="A267" t="str">
            <v>20011_2</v>
          </cell>
        </row>
        <row r="268">
          <cell r="A268" t="str">
            <v>20011_3</v>
          </cell>
        </row>
        <row r="269">
          <cell r="A269" t="str">
            <v>20012_1</v>
          </cell>
        </row>
        <row r="270">
          <cell r="A270" t="str">
            <v>20012_2</v>
          </cell>
        </row>
        <row r="271">
          <cell r="A271" t="str">
            <v>20012_3</v>
          </cell>
        </row>
        <row r="272">
          <cell r="A272" t="str">
            <v>30001_1</v>
          </cell>
        </row>
        <row r="273">
          <cell r="A273" t="str">
            <v>30001_2</v>
          </cell>
        </row>
        <row r="274">
          <cell r="A274" t="str">
            <v>30001_3</v>
          </cell>
        </row>
        <row r="275">
          <cell r="A275" t="str">
            <v>30002_1</v>
          </cell>
        </row>
        <row r="276">
          <cell r="A276" t="str">
            <v>30002_2</v>
          </cell>
        </row>
        <row r="277">
          <cell r="A277" t="str">
            <v>30002_3</v>
          </cell>
        </row>
        <row r="278">
          <cell r="A278" t="str">
            <v>30003_1</v>
          </cell>
        </row>
        <row r="279">
          <cell r="A279" t="str">
            <v>30003_2</v>
          </cell>
        </row>
        <row r="280">
          <cell r="A280" t="str">
            <v>30003_3</v>
          </cell>
        </row>
        <row r="281">
          <cell r="A281" t="str">
            <v>30004_1</v>
          </cell>
        </row>
        <row r="282">
          <cell r="A282" t="str">
            <v>30004_2</v>
          </cell>
        </row>
        <row r="283">
          <cell r="A283" t="str">
            <v>30004_3</v>
          </cell>
        </row>
        <row r="284">
          <cell r="A284" t="str">
            <v>30005_1</v>
          </cell>
        </row>
        <row r="285">
          <cell r="A285" t="str">
            <v>30005_2</v>
          </cell>
        </row>
        <row r="286">
          <cell r="A286" t="str">
            <v>30005_3</v>
          </cell>
        </row>
        <row r="287">
          <cell r="A287" t="str">
            <v>30006_1</v>
          </cell>
        </row>
        <row r="288">
          <cell r="A288" t="str">
            <v>30006_2</v>
          </cell>
        </row>
        <row r="289">
          <cell r="A289" t="str">
            <v>30006_3</v>
          </cell>
        </row>
        <row r="290">
          <cell r="A290" t="str">
            <v>30007_1</v>
          </cell>
        </row>
        <row r="291">
          <cell r="A291" t="str">
            <v>30007_2</v>
          </cell>
        </row>
        <row r="292">
          <cell r="A292" t="str">
            <v>30007_3</v>
          </cell>
        </row>
        <row r="293">
          <cell r="A293" t="str">
            <v>30008_1</v>
          </cell>
        </row>
        <row r="294">
          <cell r="A294" t="str">
            <v>30008_2</v>
          </cell>
        </row>
        <row r="295">
          <cell r="A295" t="str">
            <v>30008_3</v>
          </cell>
        </row>
        <row r="296">
          <cell r="A296" t="str">
            <v>30009_1</v>
          </cell>
        </row>
        <row r="297">
          <cell r="A297" t="str">
            <v>30009_2</v>
          </cell>
        </row>
        <row r="298">
          <cell r="A298" t="str">
            <v>30009_3</v>
          </cell>
        </row>
        <row r="299">
          <cell r="A299" t="str">
            <v>30010_1</v>
          </cell>
        </row>
        <row r="300">
          <cell r="A300" t="str">
            <v>30010_2</v>
          </cell>
        </row>
        <row r="301">
          <cell r="A301" t="str">
            <v>30010_3</v>
          </cell>
        </row>
        <row r="302">
          <cell r="A302" t="str">
            <v>30011_1</v>
          </cell>
        </row>
        <row r="303">
          <cell r="A303" t="str">
            <v>30011_2</v>
          </cell>
        </row>
        <row r="304">
          <cell r="A304" t="str">
            <v>30011_3</v>
          </cell>
        </row>
        <row r="305">
          <cell r="A305" t="str">
            <v>30012_1</v>
          </cell>
        </row>
        <row r="306">
          <cell r="A306" t="str">
            <v>30012_2</v>
          </cell>
        </row>
        <row r="307">
          <cell r="A307" t="str">
            <v>30012_3</v>
          </cell>
        </row>
        <row r="308">
          <cell r="A308" t="str">
            <v>40001_1</v>
          </cell>
        </row>
        <row r="309">
          <cell r="A309" t="str">
            <v>40002_1</v>
          </cell>
        </row>
        <row r="310">
          <cell r="A310" t="str">
            <v>40003_1</v>
          </cell>
        </row>
      </sheetData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</sheetDataSet>
  </externalBook>
</externalLink>
</file>

<file path=xl/externalLinks/externalLink2.xml><?xml version="1.0" encoding="utf-8"?>
<externalLink xmlns="http://schemas.openxmlformats.org/spreadsheetml/2006/main">
  <externalBook xmlns:r="http://schemas.openxmlformats.org/officeDocument/2006/relationships" r:id="rId1">
    <sheetNames>
      <sheetName val="enemies"/>
      <sheetName val="enemy_base_stats"/>
      <sheetName val="enemies.csv"/>
      <sheetName val="enemy_base_stats.dat"/>
      <sheetName val="enemy_levels_calc.dat"/>
      <sheetName val="サイズ別係数"/>
      <sheetName val="ラベル別係数"/>
      <sheetName val="ターン数別攻撃係数"/>
      <sheetName val="特殊モンスターレベル"/>
    </sheetNames>
    <sheetDataSet>
      <sheetData sheetId="0">
        <row r="1">
          <cell r="A1" t="str">
            <v>別ファイル</v>
          </cell>
        </row>
        <row r="2">
          <cell r="A2" t="str">
            <v>character_id</v>
          </cell>
          <cell r="B2" t="str">
            <v>name</v>
          </cell>
          <cell r="C2" t="str">
            <v>rare</v>
          </cell>
          <cell r="D2" t="str">
            <v>color</v>
          </cell>
          <cell r="E2" t="str">
            <v>HP係数</v>
          </cell>
          <cell r="F2" t="str">
            <v>攻撃係数</v>
          </cell>
          <cell r="G2" t="str">
            <v>防御系数</v>
          </cell>
          <cell r="H2" t="str">
            <v>character_type_id</v>
          </cell>
          <cell r="I2" t="str">
            <v>name</v>
          </cell>
          <cell r="J2" t="str">
            <v>HP係数</v>
          </cell>
          <cell r="K2" t="str">
            <v>攻撃係数</v>
          </cell>
          <cell r="L2" t="str">
            <v>防御係数</v>
          </cell>
          <cell r="M2" t="str">
            <v>character_main_tribe_id</v>
          </cell>
          <cell r="N2" t="str">
            <v>name</v>
          </cell>
          <cell r="O2" t="str">
            <v>HP係数</v>
          </cell>
          <cell r="P2" t="str">
            <v>攻撃係数</v>
          </cell>
          <cell r="Q2" t="str">
            <v>防御係数</v>
          </cell>
          <cell r="R2" t="str">
            <v>ラベル</v>
          </cell>
          <cell r="S2" t="str">
            <v>HP係数</v>
          </cell>
          <cell r="T2" t="str">
            <v>攻撃係数</v>
          </cell>
          <cell r="U2" t="str">
            <v>防御係数</v>
          </cell>
          <cell r="V2" t="str">
            <v>speed</v>
          </cell>
          <cell r="W2" t="str">
            <v>攻撃系数</v>
          </cell>
          <cell r="X2" t="str">
            <v>size</v>
          </cell>
          <cell r="Y2" t="str">
            <v>HP係数</v>
          </cell>
          <cell r="Z2" t="str">
            <v>攻撃係数</v>
          </cell>
          <cell r="AA2" t="str">
            <v>防御係数</v>
          </cell>
          <cell r="AB2" t="str">
            <v>skill_set_id</v>
          </cell>
          <cell r="AC2" t="str">
            <v>代表スキル</v>
          </cell>
          <cell r="AD2" t="str">
            <v>HP係数</v>
          </cell>
          <cell r="AE2" t="str">
            <v>攻撃係数</v>
          </cell>
          <cell r="AF2" t="str">
            <v>防御係数</v>
          </cell>
          <cell r="AG2" t="str">
            <v>min_hp</v>
          </cell>
          <cell r="AH2" t="str">
            <v>min_attack</v>
          </cell>
          <cell r="AI2" t="str">
            <v>min_defense</v>
          </cell>
          <cell r="AJ2" t="str">
            <v>max_hp</v>
          </cell>
          <cell r="AK2" t="str">
            <v>max_attack</v>
          </cell>
          <cell r="AL2" t="str">
            <v>max_defense</v>
          </cell>
          <cell r="AM2" t="str">
            <v>base_reward_bits</v>
          </cell>
          <cell r="AN2" t="str">
            <v>base_reward_exp</v>
          </cell>
          <cell r="AO2" t="str">
            <v>skip</v>
          </cell>
          <cell r="AP2" t="str">
            <v>level_test</v>
          </cell>
        </row>
        <row r="3">
          <cell r="A3">
            <v>1</v>
          </cell>
        </row>
        <row r="4">
          <cell r="A4">
            <v>2</v>
          </cell>
        </row>
        <row r="5">
          <cell r="A5">
            <v>3</v>
          </cell>
        </row>
        <row r="6">
          <cell r="A6">
            <v>4</v>
          </cell>
        </row>
        <row r="7">
          <cell r="A7">
            <v>5</v>
          </cell>
        </row>
        <row r="8">
          <cell r="A8">
            <v>6</v>
          </cell>
        </row>
        <row r="9">
          <cell r="A9">
            <v>7</v>
          </cell>
        </row>
        <row r="10">
          <cell r="A10">
            <v>8</v>
          </cell>
        </row>
        <row r="11">
          <cell r="A11">
            <v>9</v>
          </cell>
        </row>
        <row r="12">
          <cell r="A12">
            <v>10</v>
          </cell>
        </row>
        <row r="13">
          <cell r="A13">
            <v>11</v>
          </cell>
        </row>
        <row r="14">
          <cell r="A14">
            <v>12</v>
          </cell>
        </row>
        <row r="15">
          <cell r="A15">
            <v>13</v>
          </cell>
        </row>
        <row r="16">
          <cell r="A16">
            <v>14</v>
          </cell>
        </row>
        <row r="17">
          <cell r="A17">
            <v>15</v>
          </cell>
        </row>
        <row r="18">
          <cell r="A18">
            <v>16</v>
          </cell>
        </row>
        <row r="19">
          <cell r="A19">
            <v>17</v>
          </cell>
        </row>
        <row r="20">
          <cell r="A20">
            <v>18</v>
          </cell>
        </row>
        <row r="21">
          <cell r="A21">
            <v>19</v>
          </cell>
        </row>
        <row r="22">
          <cell r="A22">
            <v>20</v>
          </cell>
        </row>
        <row r="23">
          <cell r="A23">
            <v>21</v>
          </cell>
        </row>
        <row r="24">
          <cell r="A24">
            <v>22</v>
          </cell>
        </row>
        <row r="25">
          <cell r="A25">
            <v>23</v>
          </cell>
        </row>
        <row r="26">
          <cell r="A26">
            <v>24</v>
          </cell>
        </row>
        <row r="27">
          <cell r="A27">
            <v>25</v>
          </cell>
        </row>
        <row r="28">
          <cell r="A28">
            <v>26</v>
          </cell>
        </row>
        <row r="29">
          <cell r="A29">
            <v>27</v>
          </cell>
        </row>
        <row r="30">
          <cell r="A30">
            <v>28</v>
          </cell>
        </row>
        <row r="31">
          <cell r="A31">
            <v>29</v>
          </cell>
        </row>
        <row r="32">
          <cell r="A32">
            <v>30</v>
          </cell>
        </row>
        <row r="33">
          <cell r="A33">
            <v>31</v>
          </cell>
        </row>
        <row r="34">
          <cell r="A34">
            <v>32</v>
          </cell>
        </row>
        <row r="35">
          <cell r="A35">
            <v>33</v>
          </cell>
        </row>
        <row r="36">
          <cell r="A36">
            <v>34</v>
          </cell>
        </row>
        <row r="37">
          <cell r="A37">
            <v>35</v>
          </cell>
        </row>
        <row r="38">
          <cell r="A38">
            <v>36</v>
          </cell>
        </row>
        <row r="39">
          <cell r="A39">
            <v>37</v>
          </cell>
        </row>
        <row r="40">
          <cell r="A40">
            <v>38</v>
          </cell>
        </row>
        <row r="41">
          <cell r="A41">
            <v>39</v>
          </cell>
        </row>
        <row r="42">
          <cell r="A42">
            <v>40</v>
          </cell>
        </row>
        <row r="43">
          <cell r="A43">
            <v>41</v>
          </cell>
        </row>
        <row r="44">
          <cell r="A44">
            <v>42</v>
          </cell>
        </row>
        <row r="45">
          <cell r="A45">
            <v>43</v>
          </cell>
        </row>
        <row r="46">
          <cell r="A46">
            <v>44</v>
          </cell>
        </row>
        <row r="47">
          <cell r="A47">
            <v>45</v>
          </cell>
        </row>
        <row r="48">
          <cell r="A48">
            <v>46</v>
          </cell>
        </row>
        <row r="49">
          <cell r="A49">
            <v>47</v>
          </cell>
        </row>
        <row r="50">
          <cell r="A50">
            <v>48</v>
          </cell>
        </row>
        <row r="51">
          <cell r="A51">
            <v>49</v>
          </cell>
        </row>
        <row r="52">
          <cell r="A52">
            <v>50</v>
          </cell>
        </row>
        <row r="53">
          <cell r="A53">
            <v>51</v>
          </cell>
        </row>
        <row r="54">
          <cell r="A54">
            <v>52</v>
          </cell>
        </row>
        <row r="55">
          <cell r="A55">
            <v>53</v>
          </cell>
        </row>
        <row r="56">
          <cell r="A56">
            <v>54</v>
          </cell>
        </row>
        <row r="57">
          <cell r="A57">
            <v>55</v>
          </cell>
        </row>
        <row r="58">
          <cell r="A58">
            <v>56</v>
          </cell>
        </row>
        <row r="59">
          <cell r="A59">
            <v>57</v>
          </cell>
        </row>
        <row r="60">
          <cell r="A60">
            <v>58</v>
          </cell>
        </row>
        <row r="61">
          <cell r="A61">
            <v>59</v>
          </cell>
        </row>
        <row r="62">
          <cell r="A62">
            <v>60</v>
          </cell>
        </row>
        <row r="63">
          <cell r="A63">
            <v>61</v>
          </cell>
        </row>
        <row r="64">
          <cell r="A64">
            <v>62</v>
          </cell>
        </row>
        <row r="65">
          <cell r="A65">
            <v>63</v>
          </cell>
        </row>
        <row r="66">
          <cell r="A66">
            <v>64</v>
          </cell>
        </row>
        <row r="67">
          <cell r="A67">
            <v>65</v>
          </cell>
        </row>
        <row r="68">
          <cell r="A68">
            <v>66</v>
          </cell>
        </row>
        <row r="69">
          <cell r="A69">
            <v>67</v>
          </cell>
        </row>
        <row r="70">
          <cell r="A70">
            <v>68</v>
          </cell>
        </row>
        <row r="71">
          <cell r="A71">
            <v>69</v>
          </cell>
        </row>
        <row r="72">
          <cell r="A72">
            <v>70</v>
          </cell>
        </row>
        <row r="73">
          <cell r="A73">
            <v>71</v>
          </cell>
        </row>
        <row r="74">
          <cell r="A74">
            <v>72</v>
          </cell>
        </row>
        <row r="75">
          <cell r="A75">
            <v>73</v>
          </cell>
        </row>
        <row r="76">
          <cell r="A76">
            <v>74</v>
          </cell>
        </row>
        <row r="77">
          <cell r="A77">
            <v>75</v>
          </cell>
        </row>
        <row r="78">
          <cell r="A78">
            <v>76</v>
          </cell>
        </row>
        <row r="79">
          <cell r="A79">
            <v>77</v>
          </cell>
        </row>
        <row r="80">
          <cell r="A80">
            <v>78</v>
          </cell>
        </row>
        <row r="81">
          <cell r="A81">
            <v>79</v>
          </cell>
        </row>
        <row r="82">
          <cell r="A82">
            <v>80</v>
          </cell>
        </row>
        <row r="83">
          <cell r="A83">
            <v>81</v>
          </cell>
        </row>
        <row r="84">
          <cell r="A84">
            <v>82</v>
          </cell>
        </row>
        <row r="85">
          <cell r="A85">
            <v>83</v>
          </cell>
        </row>
        <row r="86">
          <cell r="A86">
            <v>84</v>
          </cell>
        </row>
        <row r="87">
          <cell r="A87">
            <v>85</v>
          </cell>
        </row>
        <row r="88">
          <cell r="A88">
            <v>86</v>
          </cell>
        </row>
        <row r="89">
          <cell r="A89">
            <v>87</v>
          </cell>
        </row>
        <row r="90">
          <cell r="A90">
            <v>88</v>
          </cell>
        </row>
        <row r="91">
          <cell r="A91">
            <v>89</v>
          </cell>
        </row>
        <row r="92">
          <cell r="A92">
            <v>90</v>
          </cell>
        </row>
        <row r="93">
          <cell r="A93">
            <v>91</v>
          </cell>
        </row>
        <row r="94">
          <cell r="A94">
            <v>92</v>
          </cell>
        </row>
        <row r="95">
          <cell r="A95">
            <v>93</v>
          </cell>
        </row>
        <row r="96">
          <cell r="A96">
            <v>94</v>
          </cell>
        </row>
        <row r="97">
          <cell r="A97">
            <v>95</v>
          </cell>
        </row>
        <row r="98">
          <cell r="A98">
            <v>96</v>
          </cell>
        </row>
        <row r="99">
          <cell r="A99">
            <v>97</v>
          </cell>
        </row>
        <row r="100">
          <cell r="A100">
            <v>98</v>
          </cell>
        </row>
        <row r="101">
          <cell r="A101">
            <v>99</v>
          </cell>
        </row>
        <row r="102">
          <cell r="A102">
            <v>100</v>
          </cell>
        </row>
        <row r="103">
          <cell r="A103">
            <v>101</v>
          </cell>
        </row>
        <row r="104">
          <cell r="A104">
            <v>102</v>
          </cell>
        </row>
        <row r="105">
          <cell r="A105">
            <v>103</v>
          </cell>
        </row>
        <row r="106">
          <cell r="A106">
            <v>104</v>
          </cell>
        </row>
        <row r="107">
          <cell r="A107">
            <v>105</v>
          </cell>
        </row>
        <row r="108">
          <cell r="A108">
            <v>106</v>
          </cell>
        </row>
        <row r="109">
          <cell r="A109">
            <v>107</v>
          </cell>
        </row>
        <row r="110">
          <cell r="A110">
            <v>108</v>
          </cell>
        </row>
        <row r="111">
          <cell r="A111">
            <v>109</v>
          </cell>
        </row>
        <row r="112">
          <cell r="A112">
            <v>110</v>
          </cell>
        </row>
        <row r="113">
          <cell r="A113">
            <v>111</v>
          </cell>
        </row>
        <row r="114">
          <cell r="A114">
            <v>112</v>
          </cell>
        </row>
        <row r="115">
          <cell r="A115">
            <v>113</v>
          </cell>
        </row>
        <row r="116">
          <cell r="A116">
            <v>114</v>
          </cell>
        </row>
        <row r="117">
          <cell r="A117">
            <v>115</v>
          </cell>
        </row>
        <row r="118">
          <cell r="A118">
            <v>116</v>
          </cell>
        </row>
        <row r="119">
          <cell r="A119">
            <v>117</v>
          </cell>
        </row>
        <row r="120">
          <cell r="A120">
            <v>118</v>
          </cell>
        </row>
        <row r="121">
          <cell r="A121">
            <v>119</v>
          </cell>
        </row>
        <row r="122">
          <cell r="A122">
            <v>120</v>
          </cell>
        </row>
        <row r="123">
          <cell r="A123">
            <v>121</v>
          </cell>
        </row>
        <row r="124">
          <cell r="A124">
            <v>122</v>
          </cell>
        </row>
        <row r="125">
          <cell r="A125">
            <v>123</v>
          </cell>
        </row>
        <row r="126">
          <cell r="A126">
            <v>124</v>
          </cell>
        </row>
        <row r="127">
          <cell r="A127">
            <v>125</v>
          </cell>
        </row>
        <row r="128">
          <cell r="A128">
            <v>126</v>
          </cell>
        </row>
        <row r="129">
          <cell r="A129">
            <v>127</v>
          </cell>
        </row>
        <row r="130">
          <cell r="A130">
            <v>128</v>
          </cell>
        </row>
        <row r="131">
          <cell r="A131">
            <v>129</v>
          </cell>
        </row>
        <row r="132">
          <cell r="A132">
            <v>130</v>
          </cell>
        </row>
        <row r="133">
          <cell r="A133">
            <v>131</v>
          </cell>
        </row>
        <row r="134">
          <cell r="A134">
            <v>132</v>
          </cell>
        </row>
        <row r="135">
          <cell r="A135">
            <v>133</v>
          </cell>
        </row>
        <row r="136">
          <cell r="A136">
            <v>134</v>
          </cell>
        </row>
        <row r="137">
          <cell r="A137">
            <v>135</v>
          </cell>
        </row>
        <row r="138">
          <cell r="A138">
            <v>136</v>
          </cell>
        </row>
        <row r="139">
          <cell r="A139">
            <v>137</v>
          </cell>
        </row>
        <row r="140">
          <cell r="A140">
            <v>138</v>
          </cell>
        </row>
        <row r="141">
          <cell r="A141">
            <v>139</v>
          </cell>
        </row>
        <row r="142">
          <cell r="A142">
            <v>140</v>
          </cell>
        </row>
        <row r="143">
          <cell r="A143">
            <v>141</v>
          </cell>
        </row>
        <row r="144">
          <cell r="A144">
            <v>142</v>
          </cell>
        </row>
        <row r="145">
          <cell r="A145">
            <v>143</v>
          </cell>
        </row>
        <row r="146">
          <cell r="A146">
            <v>144</v>
          </cell>
        </row>
        <row r="147">
          <cell r="A147">
            <v>145</v>
          </cell>
        </row>
        <row r="148">
          <cell r="A148">
            <v>146</v>
          </cell>
        </row>
        <row r="149">
          <cell r="A149">
            <v>147</v>
          </cell>
        </row>
        <row r="150">
          <cell r="A150">
            <v>148</v>
          </cell>
        </row>
        <row r="151">
          <cell r="A151">
            <v>149</v>
          </cell>
        </row>
        <row r="152">
          <cell r="A152">
            <v>150</v>
          </cell>
        </row>
        <row r="153">
          <cell r="A153">
            <v>151</v>
          </cell>
        </row>
        <row r="154">
          <cell r="A154">
            <v>152</v>
          </cell>
        </row>
        <row r="155">
          <cell r="A155">
            <v>153</v>
          </cell>
        </row>
        <row r="156">
          <cell r="A156">
            <v>154</v>
          </cell>
        </row>
        <row r="157">
          <cell r="A157">
            <v>155</v>
          </cell>
        </row>
        <row r="158">
          <cell r="A158">
            <v>156</v>
          </cell>
        </row>
        <row r="159">
          <cell r="A159">
            <v>157</v>
          </cell>
        </row>
        <row r="160">
          <cell r="A160">
            <v>158</v>
          </cell>
        </row>
        <row r="161">
          <cell r="A161">
            <v>159</v>
          </cell>
        </row>
        <row r="162">
          <cell r="A162">
            <v>160</v>
          </cell>
        </row>
        <row r="163">
          <cell r="A163">
            <v>161</v>
          </cell>
        </row>
        <row r="164">
          <cell r="A164">
            <v>162</v>
          </cell>
        </row>
        <row r="165">
          <cell r="A165">
            <v>163</v>
          </cell>
        </row>
        <row r="166">
          <cell r="A166">
            <v>164</v>
          </cell>
        </row>
        <row r="167">
          <cell r="A167">
            <v>165</v>
          </cell>
        </row>
        <row r="168">
          <cell r="A168">
            <v>166</v>
          </cell>
        </row>
        <row r="169">
          <cell r="A169">
            <v>167</v>
          </cell>
        </row>
        <row r="170">
          <cell r="A170">
            <v>168</v>
          </cell>
        </row>
        <row r="171">
          <cell r="A171">
            <v>169</v>
          </cell>
        </row>
        <row r="172">
          <cell r="A172">
            <v>170</v>
          </cell>
        </row>
        <row r="173">
          <cell r="A173">
            <v>171</v>
          </cell>
        </row>
        <row r="174">
          <cell r="A174">
            <v>172</v>
          </cell>
        </row>
        <row r="175">
          <cell r="A175">
            <v>173</v>
          </cell>
        </row>
        <row r="176">
          <cell r="A176">
            <v>174</v>
          </cell>
        </row>
        <row r="177">
          <cell r="A177">
            <v>175</v>
          </cell>
        </row>
        <row r="178">
          <cell r="A178">
            <v>176</v>
          </cell>
        </row>
        <row r="179">
          <cell r="A179">
            <v>177</v>
          </cell>
        </row>
        <row r="180">
          <cell r="A180">
            <v>178</v>
          </cell>
        </row>
        <row r="181">
          <cell r="A181">
            <v>179</v>
          </cell>
        </row>
        <row r="182">
          <cell r="A182">
            <v>180</v>
          </cell>
        </row>
        <row r="183">
          <cell r="A183">
            <v>181</v>
          </cell>
        </row>
        <row r="184">
          <cell r="A184">
            <v>182</v>
          </cell>
        </row>
        <row r="185">
          <cell r="A185">
            <v>183</v>
          </cell>
        </row>
        <row r="186">
          <cell r="A186">
            <v>184</v>
          </cell>
        </row>
        <row r="187">
          <cell r="A187">
            <v>185</v>
          </cell>
        </row>
        <row r="188">
          <cell r="A188">
            <v>186</v>
          </cell>
        </row>
        <row r="189">
          <cell r="A189">
            <v>187</v>
          </cell>
        </row>
        <row r="190">
          <cell r="A190">
            <v>188</v>
          </cell>
        </row>
        <row r="191">
          <cell r="A191">
            <v>189</v>
          </cell>
        </row>
        <row r="192">
          <cell r="A192">
            <v>190</v>
          </cell>
        </row>
        <row r="193">
          <cell r="A193">
            <v>191</v>
          </cell>
        </row>
        <row r="194">
          <cell r="A194">
            <v>192</v>
          </cell>
        </row>
        <row r="195">
          <cell r="A195">
            <v>193</v>
          </cell>
        </row>
        <row r="196">
          <cell r="A196">
            <v>194</v>
          </cell>
        </row>
        <row r="197">
          <cell r="A197">
            <v>195</v>
          </cell>
        </row>
        <row r="198">
          <cell r="A198">
            <v>196</v>
          </cell>
        </row>
        <row r="199">
          <cell r="A199">
            <v>197</v>
          </cell>
        </row>
        <row r="200">
          <cell r="A200">
            <v>198</v>
          </cell>
        </row>
        <row r="201">
          <cell r="A201">
            <v>199</v>
          </cell>
        </row>
        <row r="202">
          <cell r="A202">
            <v>200</v>
          </cell>
        </row>
        <row r="203">
          <cell r="A203">
            <v>201</v>
          </cell>
        </row>
        <row r="204">
          <cell r="A204">
            <v>202</v>
          </cell>
        </row>
        <row r="205">
          <cell r="A205">
            <v>203</v>
          </cell>
        </row>
        <row r="206">
          <cell r="A206">
            <v>204</v>
          </cell>
        </row>
        <row r="207">
          <cell r="A207">
            <v>205</v>
          </cell>
        </row>
        <row r="208">
          <cell r="A208">
            <v>206</v>
          </cell>
        </row>
        <row r="209">
          <cell r="A209">
            <v>207</v>
          </cell>
        </row>
        <row r="210">
          <cell r="A210">
            <v>208</v>
          </cell>
        </row>
        <row r="211">
          <cell r="A211">
            <v>209</v>
          </cell>
        </row>
        <row r="212">
          <cell r="A212">
            <v>210</v>
          </cell>
        </row>
        <row r="213">
          <cell r="A213">
            <v>211</v>
          </cell>
        </row>
        <row r="214">
          <cell r="A214">
            <v>212</v>
          </cell>
        </row>
        <row r="215">
          <cell r="A215">
            <v>213</v>
          </cell>
        </row>
        <row r="216">
          <cell r="A216">
            <v>214</v>
          </cell>
        </row>
        <row r="217">
          <cell r="A217">
            <v>215</v>
          </cell>
        </row>
        <row r="218">
          <cell r="A218">
            <v>216</v>
          </cell>
        </row>
        <row r="219">
          <cell r="A219">
            <v>217</v>
          </cell>
        </row>
        <row r="220">
          <cell r="A220">
            <v>218</v>
          </cell>
        </row>
        <row r="221">
          <cell r="A221">
            <v>219</v>
          </cell>
        </row>
        <row r="222">
          <cell r="A222">
            <v>220</v>
          </cell>
        </row>
        <row r="223">
          <cell r="A223">
            <v>221</v>
          </cell>
        </row>
        <row r="224">
          <cell r="A224">
            <v>222</v>
          </cell>
        </row>
        <row r="225">
          <cell r="A225">
            <v>223</v>
          </cell>
        </row>
        <row r="226">
          <cell r="A226">
            <v>224</v>
          </cell>
        </row>
        <row r="227">
          <cell r="A227">
            <v>225</v>
          </cell>
        </row>
        <row r="228">
          <cell r="A228">
            <v>226</v>
          </cell>
        </row>
        <row r="229">
          <cell r="A229">
            <v>227</v>
          </cell>
        </row>
        <row r="230">
          <cell r="A230">
            <v>228</v>
          </cell>
        </row>
        <row r="231">
          <cell r="A231">
            <v>229</v>
          </cell>
        </row>
        <row r="232">
          <cell r="A232">
            <v>230</v>
          </cell>
        </row>
        <row r="233">
          <cell r="A233">
            <v>231</v>
          </cell>
        </row>
        <row r="234">
          <cell r="A234">
            <v>232</v>
          </cell>
        </row>
        <row r="235">
          <cell r="A235">
            <v>233</v>
          </cell>
        </row>
        <row r="236">
          <cell r="A236">
            <v>234</v>
          </cell>
        </row>
        <row r="237">
          <cell r="A237">
            <v>235</v>
          </cell>
        </row>
        <row r="238">
          <cell r="A238">
            <v>236</v>
          </cell>
        </row>
        <row r="239">
          <cell r="A239">
            <v>237</v>
          </cell>
        </row>
        <row r="240">
          <cell r="A240">
            <v>238</v>
          </cell>
        </row>
        <row r="241">
          <cell r="A241">
            <v>239</v>
          </cell>
        </row>
        <row r="242">
          <cell r="A242">
            <v>240</v>
          </cell>
        </row>
        <row r="243">
          <cell r="A243">
            <v>241</v>
          </cell>
        </row>
        <row r="244">
          <cell r="A244">
            <v>242</v>
          </cell>
        </row>
        <row r="245">
          <cell r="A245">
            <v>243</v>
          </cell>
        </row>
        <row r="246">
          <cell r="A246">
            <v>244</v>
          </cell>
        </row>
        <row r="247">
          <cell r="A247">
            <v>245</v>
          </cell>
        </row>
        <row r="248">
          <cell r="A248">
            <v>246</v>
          </cell>
        </row>
        <row r="249">
          <cell r="A249">
            <v>247</v>
          </cell>
        </row>
        <row r="250">
          <cell r="A250">
            <v>248</v>
          </cell>
        </row>
        <row r="251">
          <cell r="A251">
            <v>249</v>
          </cell>
        </row>
        <row r="252">
          <cell r="A252">
            <v>250</v>
          </cell>
        </row>
        <row r="253">
          <cell r="A253">
            <v>251</v>
          </cell>
        </row>
        <row r="254">
          <cell r="A254">
            <v>252</v>
          </cell>
        </row>
        <row r="255">
          <cell r="A255">
            <v>253</v>
          </cell>
        </row>
        <row r="256">
          <cell r="A256">
            <v>254</v>
          </cell>
        </row>
        <row r="257">
          <cell r="A257">
            <v>255</v>
          </cell>
        </row>
        <row r="258">
          <cell r="A258">
            <v>256</v>
          </cell>
        </row>
        <row r="259">
          <cell r="A259">
            <v>257</v>
          </cell>
        </row>
        <row r="260">
          <cell r="A260">
            <v>258</v>
          </cell>
        </row>
        <row r="261">
          <cell r="A261">
            <v>259</v>
          </cell>
        </row>
        <row r="262">
          <cell r="A262">
            <v>260</v>
          </cell>
        </row>
        <row r="263">
          <cell r="A263">
            <v>261</v>
          </cell>
        </row>
        <row r="264">
          <cell r="A264">
            <v>262</v>
          </cell>
        </row>
        <row r="265">
          <cell r="A265">
            <v>263</v>
          </cell>
        </row>
        <row r="266">
          <cell r="A266">
            <v>264</v>
          </cell>
        </row>
        <row r="267">
          <cell r="A267">
            <v>265</v>
          </cell>
        </row>
        <row r="268">
          <cell r="A268">
            <v>266</v>
          </cell>
        </row>
        <row r="269">
          <cell r="A269">
            <v>267</v>
          </cell>
        </row>
        <row r="270">
          <cell r="A270">
            <v>268</v>
          </cell>
        </row>
        <row r="271">
          <cell r="A271">
            <v>269</v>
          </cell>
        </row>
        <row r="272">
          <cell r="A272">
            <v>270</v>
          </cell>
        </row>
        <row r="273">
          <cell r="A273">
            <v>271</v>
          </cell>
        </row>
        <row r="274">
          <cell r="A274">
            <v>272</v>
          </cell>
        </row>
        <row r="275">
          <cell r="A275">
            <v>273</v>
          </cell>
        </row>
        <row r="276">
          <cell r="A276">
            <v>274</v>
          </cell>
        </row>
        <row r="277">
          <cell r="A277">
            <v>275</v>
          </cell>
        </row>
        <row r="278">
          <cell r="A278">
            <v>276</v>
          </cell>
        </row>
        <row r="279">
          <cell r="A279">
            <v>277</v>
          </cell>
        </row>
        <row r="280">
          <cell r="A280">
            <v>278</v>
          </cell>
        </row>
        <row r="281">
          <cell r="A281">
            <v>279</v>
          </cell>
        </row>
        <row r="282">
          <cell r="A282">
            <v>280</v>
          </cell>
        </row>
        <row r="283">
          <cell r="A283">
            <v>281</v>
          </cell>
        </row>
        <row r="284">
          <cell r="A284">
            <v>282</v>
          </cell>
        </row>
        <row r="285">
          <cell r="A285">
            <v>283</v>
          </cell>
        </row>
        <row r="286">
          <cell r="A286">
            <v>284</v>
          </cell>
        </row>
        <row r="287">
          <cell r="A287">
            <v>285</v>
          </cell>
        </row>
        <row r="288">
          <cell r="A288">
            <v>286</v>
          </cell>
        </row>
        <row r="289">
          <cell r="A289">
            <v>287</v>
          </cell>
        </row>
        <row r="290">
          <cell r="A290">
            <v>288</v>
          </cell>
        </row>
        <row r="291">
          <cell r="A291">
            <v>289</v>
          </cell>
        </row>
        <row r="292">
          <cell r="A292">
            <v>290</v>
          </cell>
        </row>
        <row r="293">
          <cell r="A293">
            <v>291</v>
          </cell>
        </row>
        <row r="294">
          <cell r="A294">
            <v>292</v>
          </cell>
        </row>
        <row r="295">
          <cell r="A295">
            <v>293</v>
          </cell>
        </row>
        <row r="296">
          <cell r="A296">
            <v>294</v>
          </cell>
        </row>
        <row r="297">
          <cell r="A297">
            <v>295</v>
          </cell>
        </row>
        <row r="298">
          <cell r="A298">
            <v>296</v>
          </cell>
        </row>
        <row r="299">
          <cell r="A299">
            <v>297</v>
          </cell>
        </row>
        <row r="300">
          <cell r="A300">
            <v>298</v>
          </cell>
        </row>
        <row r="301">
          <cell r="A301">
            <v>299</v>
          </cell>
        </row>
        <row r="302">
          <cell r="A302">
            <v>300</v>
          </cell>
        </row>
        <row r="303">
          <cell r="A303">
            <v>301</v>
          </cell>
        </row>
        <row r="304">
          <cell r="A304">
            <v>302</v>
          </cell>
        </row>
        <row r="305">
          <cell r="A305">
            <v>303</v>
          </cell>
        </row>
        <row r="306">
          <cell r="A306">
            <v>304</v>
          </cell>
        </row>
        <row r="307">
          <cell r="A307">
            <v>305</v>
          </cell>
        </row>
        <row r="308">
          <cell r="A308">
            <v>306</v>
          </cell>
        </row>
        <row r="309">
          <cell r="A309">
            <v>307</v>
          </cell>
        </row>
        <row r="310">
          <cell r="A310">
            <v>308</v>
          </cell>
        </row>
        <row r="311">
          <cell r="A311">
            <v>309</v>
          </cell>
        </row>
        <row r="312">
          <cell r="A312">
            <v>310</v>
          </cell>
        </row>
        <row r="313">
          <cell r="A313">
            <v>311</v>
          </cell>
        </row>
        <row r="314">
          <cell r="A314">
            <v>312</v>
          </cell>
        </row>
        <row r="315">
          <cell r="A315">
            <v>313</v>
          </cell>
        </row>
        <row r="316">
          <cell r="A316">
            <v>314</v>
          </cell>
        </row>
        <row r="317">
          <cell r="A317">
            <v>315</v>
          </cell>
        </row>
        <row r="318">
          <cell r="A318">
            <v>316</v>
          </cell>
        </row>
        <row r="319">
          <cell r="A319">
            <v>317</v>
          </cell>
        </row>
        <row r="320">
          <cell r="A320">
            <v>318</v>
          </cell>
        </row>
        <row r="321">
          <cell r="A321">
            <v>319</v>
          </cell>
        </row>
        <row r="322">
          <cell r="A322">
            <v>320</v>
          </cell>
        </row>
        <row r="323">
          <cell r="A323">
            <v>321</v>
          </cell>
        </row>
        <row r="324">
          <cell r="A324">
            <v>322</v>
          </cell>
        </row>
        <row r="325">
          <cell r="A325">
            <v>323</v>
          </cell>
        </row>
        <row r="326">
          <cell r="A326">
            <v>324</v>
          </cell>
        </row>
        <row r="327">
          <cell r="A327">
            <v>325</v>
          </cell>
        </row>
        <row r="328">
          <cell r="A328">
            <v>326</v>
          </cell>
        </row>
        <row r="329">
          <cell r="A329">
            <v>327</v>
          </cell>
        </row>
        <row r="330">
          <cell r="A330">
            <v>328</v>
          </cell>
        </row>
        <row r="331">
          <cell r="A331">
            <v>329</v>
          </cell>
        </row>
        <row r="332">
          <cell r="A332">
            <v>330</v>
          </cell>
        </row>
        <row r="333">
          <cell r="A333">
            <v>331</v>
          </cell>
        </row>
        <row r="334">
          <cell r="A334">
            <v>332</v>
          </cell>
        </row>
        <row r="335">
          <cell r="A335">
            <v>333</v>
          </cell>
        </row>
        <row r="336">
          <cell r="A336">
            <v>334</v>
          </cell>
        </row>
        <row r="337">
          <cell r="A337">
            <v>335</v>
          </cell>
        </row>
        <row r="338">
          <cell r="A338">
            <v>336</v>
          </cell>
        </row>
        <row r="339">
          <cell r="A339">
            <v>337</v>
          </cell>
        </row>
        <row r="340">
          <cell r="A340">
            <v>338</v>
          </cell>
        </row>
        <row r="341">
          <cell r="A341">
            <v>339</v>
          </cell>
        </row>
        <row r="342">
          <cell r="A342">
            <v>340</v>
          </cell>
        </row>
        <row r="343">
          <cell r="A343">
            <v>341</v>
          </cell>
        </row>
        <row r="344">
          <cell r="A344">
            <v>342</v>
          </cell>
        </row>
        <row r="345">
          <cell r="A345">
            <v>343</v>
          </cell>
        </row>
        <row r="346">
          <cell r="A346">
            <v>344</v>
          </cell>
        </row>
        <row r="347">
          <cell r="A347">
            <v>345</v>
          </cell>
        </row>
        <row r="348">
          <cell r="A348">
            <v>346</v>
          </cell>
        </row>
        <row r="349">
          <cell r="A349">
            <v>347</v>
          </cell>
        </row>
        <row r="350">
          <cell r="A350">
            <v>348</v>
          </cell>
        </row>
        <row r="351">
          <cell r="A351">
            <v>349</v>
          </cell>
        </row>
        <row r="352">
          <cell r="A352">
            <v>350</v>
          </cell>
        </row>
        <row r="353">
          <cell r="A353">
            <v>351</v>
          </cell>
        </row>
        <row r="354">
          <cell r="A354">
            <v>352</v>
          </cell>
        </row>
        <row r="355">
          <cell r="A355">
            <v>353</v>
          </cell>
        </row>
        <row r="356">
          <cell r="A356">
            <v>354</v>
          </cell>
        </row>
        <row r="357">
          <cell r="A357">
            <v>355</v>
          </cell>
        </row>
        <row r="358">
          <cell r="A358">
            <v>356</v>
          </cell>
        </row>
        <row r="359">
          <cell r="A359">
            <v>357</v>
          </cell>
        </row>
        <row r="360">
          <cell r="A360">
            <v>358</v>
          </cell>
        </row>
        <row r="361">
          <cell r="A361">
            <v>359</v>
          </cell>
        </row>
        <row r="362">
          <cell r="A362">
            <v>360</v>
          </cell>
        </row>
        <row r="363">
          <cell r="A363">
            <v>361</v>
          </cell>
        </row>
        <row r="364">
          <cell r="A364">
            <v>362</v>
          </cell>
        </row>
        <row r="365">
          <cell r="A365">
            <v>363</v>
          </cell>
        </row>
        <row r="366">
          <cell r="A366">
            <v>364</v>
          </cell>
        </row>
        <row r="367">
          <cell r="A367">
            <v>365</v>
          </cell>
        </row>
        <row r="368">
          <cell r="A368">
            <v>366</v>
          </cell>
        </row>
        <row r="369">
          <cell r="A369">
            <v>367</v>
          </cell>
        </row>
      </sheetData>
      <sheetData sheetId="1"/>
      <sheetData sheetId="2"/>
      <sheetData sheetId="3"/>
      <sheetData sheetId="4"/>
      <sheetData sheetId="5"/>
      <sheetData sheetId="6"/>
      <sheetData sheetId="7"/>
      <sheetData sheetId="8"/>
    </sheetDataSet>
  </externalBook>
</externalLink>
</file>

<file path=xl/externalLinks/externalLink3.xml><?xml version="1.0" encoding="utf-8"?>
<externalLink xmlns="http://schemas.openxmlformats.org/spreadsheetml/2006/main">
  <externalBook xmlns:r="http://schemas.openxmlformats.org/officeDocument/2006/relationships" r:id="rId1">
    <sheetNames>
      <sheetName val="ステータス"/>
      <sheetName val="属性"/>
      <sheetName val="characters"/>
      <sheetName val="characters_i18n"/>
      <sheetName val="character_type_i18n"/>
      <sheetName val="character_tribe_i18n"/>
      <sheetName val="characters.csv"/>
      <sheetName val="characters_i18n.csv"/>
      <sheetName val="character_type_i18n.csv"/>
      <sheetName val="character_tribe_i18n.csv"/>
    </sheetNames>
    <sheetDataSet>
      <sheetData sheetId="0"/>
      <sheetData sheetId="1"/>
      <sheetData sheetId="2">
        <row r="1">
          <cell r="A1" t="str">
            <v>ID</v>
          </cell>
        </row>
        <row r="2">
          <cell r="A2" t="str">
            <v>character_id</v>
          </cell>
          <cell r="B2" t="str">
            <v>name</v>
          </cell>
          <cell r="C2" t="str">
            <v>特徴</v>
          </cell>
          <cell r="D2" t="str">
            <v>勢力</v>
          </cell>
          <cell r="E2" t="str">
            <v>訴求軸</v>
          </cell>
          <cell r="F2" t="str">
            <v>性別</v>
          </cell>
          <cell r="G2" t="str">
            <v>color</v>
          </cell>
          <cell r="H2" t="str">
            <v>rare</v>
          </cell>
          <cell r="I2" t="str">
            <v>drop_label</v>
          </cell>
          <cell r="J2" t="str">
            <v>character_type_id</v>
          </cell>
          <cell r="K2" t="str">
            <v>name</v>
          </cell>
          <cell r="L2" t="str">
            <v>character_main_tribe_id</v>
          </cell>
          <cell r="M2" t="str">
            <v>name</v>
          </cell>
          <cell r="N2" t="str">
            <v>character_sub_tribe_id</v>
          </cell>
          <cell r="O2" t="str">
            <v>name</v>
          </cell>
          <cell r="P2" t="str">
            <v>スキルタイプ</v>
          </cell>
          <cell r="Q2" t="str">
            <v>valid_flg</v>
          </cell>
        </row>
        <row r="3">
          <cell r="A3">
            <v>1</v>
          </cell>
        </row>
        <row r="4">
          <cell r="A4">
            <v>2</v>
          </cell>
        </row>
        <row r="5">
          <cell r="A5">
            <v>3</v>
          </cell>
        </row>
        <row r="6">
          <cell r="A6">
            <v>4</v>
          </cell>
        </row>
        <row r="7">
          <cell r="A7">
            <v>5</v>
          </cell>
        </row>
        <row r="8">
          <cell r="A8">
            <v>6</v>
          </cell>
        </row>
        <row r="9">
          <cell r="A9">
            <v>7</v>
          </cell>
        </row>
        <row r="10">
          <cell r="A10">
            <v>8</v>
          </cell>
        </row>
        <row r="11">
          <cell r="A11">
            <v>9</v>
          </cell>
        </row>
        <row r="12">
          <cell r="A12">
            <v>10</v>
          </cell>
        </row>
        <row r="13">
          <cell r="A13">
            <v>11</v>
          </cell>
        </row>
        <row r="14">
          <cell r="A14">
            <v>12</v>
          </cell>
        </row>
        <row r="15">
          <cell r="A15">
            <v>13</v>
          </cell>
        </row>
        <row r="16">
          <cell r="A16">
            <v>14</v>
          </cell>
        </row>
        <row r="17">
          <cell r="A17">
            <v>15</v>
          </cell>
        </row>
        <row r="18">
          <cell r="A18">
            <v>16</v>
          </cell>
        </row>
        <row r="19">
          <cell r="A19">
            <v>17</v>
          </cell>
        </row>
        <row r="20">
          <cell r="A20">
            <v>18</v>
          </cell>
        </row>
        <row r="21">
          <cell r="A21">
            <v>19</v>
          </cell>
        </row>
        <row r="22">
          <cell r="A22">
            <v>20</v>
          </cell>
        </row>
        <row r="23">
          <cell r="A23">
            <v>21</v>
          </cell>
        </row>
        <row r="24">
          <cell r="A24">
            <v>22</v>
          </cell>
        </row>
        <row r="25">
          <cell r="A25">
            <v>23</v>
          </cell>
        </row>
        <row r="26">
          <cell r="A26">
            <v>24</v>
          </cell>
        </row>
        <row r="27">
          <cell r="A27">
            <v>25</v>
          </cell>
        </row>
        <row r="28">
          <cell r="A28">
            <v>26</v>
          </cell>
        </row>
        <row r="29">
          <cell r="A29">
            <v>27</v>
          </cell>
        </row>
        <row r="30">
          <cell r="A30">
            <v>28</v>
          </cell>
        </row>
        <row r="31">
          <cell r="A31">
            <v>29</v>
          </cell>
        </row>
        <row r="32">
          <cell r="A32">
            <v>30</v>
          </cell>
        </row>
        <row r="33">
          <cell r="A33">
            <v>31</v>
          </cell>
        </row>
        <row r="34">
          <cell r="A34">
            <v>32</v>
          </cell>
        </row>
        <row r="35">
          <cell r="A35">
            <v>33</v>
          </cell>
        </row>
        <row r="36">
          <cell r="A36">
            <v>34</v>
          </cell>
        </row>
        <row r="37">
          <cell r="A37">
            <v>35</v>
          </cell>
        </row>
        <row r="38">
          <cell r="A38">
            <v>36</v>
          </cell>
        </row>
        <row r="39">
          <cell r="A39">
            <v>37</v>
          </cell>
        </row>
        <row r="40">
          <cell r="A40">
            <v>38</v>
          </cell>
        </row>
        <row r="41">
          <cell r="A41">
            <v>39</v>
          </cell>
        </row>
        <row r="42">
          <cell r="A42">
            <v>40</v>
          </cell>
        </row>
        <row r="43">
          <cell r="A43">
            <v>41</v>
          </cell>
        </row>
        <row r="44">
          <cell r="A44">
            <v>42</v>
          </cell>
        </row>
        <row r="45">
          <cell r="A45">
            <v>43</v>
          </cell>
        </row>
        <row r="46">
          <cell r="A46">
            <v>44</v>
          </cell>
        </row>
        <row r="47">
          <cell r="A47">
            <v>45</v>
          </cell>
        </row>
        <row r="48">
          <cell r="A48">
            <v>46</v>
          </cell>
        </row>
        <row r="49">
          <cell r="A49">
            <v>47</v>
          </cell>
        </row>
        <row r="50">
          <cell r="A50">
            <v>48</v>
          </cell>
        </row>
        <row r="51">
          <cell r="A51">
            <v>49</v>
          </cell>
        </row>
        <row r="52">
          <cell r="A52">
            <v>50</v>
          </cell>
        </row>
        <row r="53">
          <cell r="A53">
            <v>51</v>
          </cell>
        </row>
        <row r="54">
          <cell r="A54">
            <v>52</v>
          </cell>
        </row>
        <row r="55">
          <cell r="A55">
            <v>53</v>
          </cell>
        </row>
        <row r="56">
          <cell r="A56">
            <v>54</v>
          </cell>
        </row>
        <row r="57">
          <cell r="A57">
            <v>55</v>
          </cell>
        </row>
        <row r="58">
          <cell r="A58">
            <v>56</v>
          </cell>
        </row>
        <row r="59">
          <cell r="A59">
            <v>57</v>
          </cell>
        </row>
        <row r="60">
          <cell r="A60">
            <v>58</v>
          </cell>
        </row>
        <row r="61">
          <cell r="A61">
            <v>59</v>
          </cell>
        </row>
        <row r="62">
          <cell r="A62">
            <v>60</v>
          </cell>
        </row>
        <row r="63">
          <cell r="A63">
            <v>61</v>
          </cell>
        </row>
        <row r="64">
          <cell r="A64">
            <v>62</v>
          </cell>
        </row>
        <row r="65">
          <cell r="A65">
            <v>63</v>
          </cell>
        </row>
        <row r="66">
          <cell r="A66">
            <v>64</v>
          </cell>
        </row>
        <row r="67">
          <cell r="A67">
            <v>65</v>
          </cell>
        </row>
        <row r="68">
          <cell r="A68">
            <v>66</v>
          </cell>
        </row>
        <row r="69">
          <cell r="A69">
            <v>67</v>
          </cell>
        </row>
        <row r="70">
          <cell r="A70">
            <v>68</v>
          </cell>
        </row>
        <row r="71">
          <cell r="A71">
            <v>69</v>
          </cell>
        </row>
        <row r="72">
          <cell r="A72">
            <v>70</v>
          </cell>
        </row>
        <row r="73">
          <cell r="A73">
            <v>71</v>
          </cell>
        </row>
        <row r="74">
          <cell r="A74">
            <v>72</v>
          </cell>
        </row>
        <row r="75">
          <cell r="A75">
            <v>73</v>
          </cell>
        </row>
        <row r="76">
          <cell r="A76">
            <v>74</v>
          </cell>
        </row>
        <row r="77">
          <cell r="A77">
            <v>75</v>
          </cell>
        </row>
        <row r="78">
          <cell r="A78">
            <v>76</v>
          </cell>
        </row>
        <row r="79">
          <cell r="A79">
            <v>77</v>
          </cell>
        </row>
        <row r="80">
          <cell r="A80">
            <v>78</v>
          </cell>
        </row>
        <row r="81">
          <cell r="A81">
            <v>79</v>
          </cell>
        </row>
        <row r="82">
          <cell r="A82">
            <v>80</v>
          </cell>
        </row>
        <row r="83">
          <cell r="A83">
            <v>81</v>
          </cell>
        </row>
        <row r="84">
          <cell r="A84">
            <v>82</v>
          </cell>
        </row>
        <row r="85">
          <cell r="A85">
            <v>83</v>
          </cell>
        </row>
        <row r="86">
          <cell r="A86">
            <v>84</v>
          </cell>
        </row>
        <row r="87">
          <cell r="A87">
            <v>85</v>
          </cell>
        </row>
        <row r="88">
          <cell r="A88">
            <v>86</v>
          </cell>
        </row>
        <row r="89">
          <cell r="A89">
            <v>87</v>
          </cell>
        </row>
        <row r="90">
          <cell r="A90">
            <v>88</v>
          </cell>
        </row>
        <row r="91">
          <cell r="A91">
            <v>89</v>
          </cell>
        </row>
        <row r="92">
          <cell r="A92">
            <v>90</v>
          </cell>
        </row>
        <row r="93">
          <cell r="A93">
            <v>91</v>
          </cell>
        </row>
        <row r="94">
          <cell r="A94">
            <v>92</v>
          </cell>
        </row>
        <row r="95">
          <cell r="A95">
            <v>93</v>
          </cell>
        </row>
        <row r="96">
          <cell r="A96">
            <v>94</v>
          </cell>
        </row>
        <row r="97">
          <cell r="A97">
            <v>95</v>
          </cell>
        </row>
        <row r="98">
          <cell r="A98">
            <v>96</v>
          </cell>
        </row>
        <row r="99">
          <cell r="A99">
            <v>97</v>
          </cell>
        </row>
        <row r="100">
          <cell r="A100">
            <v>98</v>
          </cell>
        </row>
        <row r="101">
          <cell r="A101">
            <v>99</v>
          </cell>
        </row>
        <row r="102">
          <cell r="A102">
            <v>100</v>
          </cell>
        </row>
        <row r="103">
          <cell r="A103">
            <v>101</v>
          </cell>
        </row>
        <row r="104">
          <cell r="A104">
            <v>102</v>
          </cell>
        </row>
        <row r="105">
          <cell r="A105">
            <v>103</v>
          </cell>
        </row>
        <row r="106">
          <cell r="A106">
            <v>104</v>
          </cell>
        </row>
        <row r="107">
          <cell r="A107">
            <v>105</v>
          </cell>
        </row>
        <row r="108">
          <cell r="A108">
            <v>106</v>
          </cell>
        </row>
        <row r="109">
          <cell r="A109">
            <v>107</v>
          </cell>
        </row>
        <row r="110">
          <cell r="A110">
            <v>108</v>
          </cell>
        </row>
        <row r="111">
          <cell r="A111">
            <v>109</v>
          </cell>
        </row>
        <row r="112">
          <cell r="A112">
            <v>110</v>
          </cell>
        </row>
        <row r="113">
          <cell r="A113">
            <v>111</v>
          </cell>
        </row>
        <row r="114">
          <cell r="A114">
            <v>112</v>
          </cell>
        </row>
        <row r="115">
          <cell r="A115">
            <v>113</v>
          </cell>
        </row>
        <row r="116">
          <cell r="A116">
            <v>114</v>
          </cell>
        </row>
        <row r="117">
          <cell r="A117">
            <v>115</v>
          </cell>
        </row>
        <row r="118">
          <cell r="A118">
            <v>116</v>
          </cell>
        </row>
        <row r="119">
          <cell r="A119">
            <v>117</v>
          </cell>
        </row>
        <row r="120">
          <cell r="A120">
            <v>118</v>
          </cell>
        </row>
        <row r="121">
          <cell r="A121">
            <v>119</v>
          </cell>
        </row>
        <row r="122">
          <cell r="A122">
            <v>120</v>
          </cell>
        </row>
        <row r="123">
          <cell r="A123">
            <v>121</v>
          </cell>
        </row>
        <row r="124">
          <cell r="A124">
            <v>122</v>
          </cell>
        </row>
        <row r="125">
          <cell r="A125">
            <v>123</v>
          </cell>
        </row>
        <row r="126">
          <cell r="A126">
            <v>124</v>
          </cell>
        </row>
        <row r="127">
          <cell r="A127">
            <v>125</v>
          </cell>
        </row>
        <row r="128">
          <cell r="A128">
            <v>126</v>
          </cell>
        </row>
        <row r="129">
          <cell r="A129">
            <v>127</v>
          </cell>
        </row>
        <row r="130">
          <cell r="A130">
            <v>128</v>
          </cell>
        </row>
        <row r="131">
          <cell r="A131">
            <v>129</v>
          </cell>
        </row>
        <row r="132">
          <cell r="A132">
            <v>130</v>
          </cell>
        </row>
        <row r="133">
          <cell r="A133">
            <v>131</v>
          </cell>
        </row>
        <row r="134">
          <cell r="A134">
            <v>132</v>
          </cell>
        </row>
        <row r="135">
          <cell r="A135">
            <v>133</v>
          </cell>
        </row>
        <row r="136">
          <cell r="A136">
            <v>134</v>
          </cell>
        </row>
        <row r="137">
          <cell r="A137">
            <v>135</v>
          </cell>
        </row>
        <row r="138">
          <cell r="A138">
            <v>136</v>
          </cell>
        </row>
        <row r="139">
          <cell r="A139">
            <v>137</v>
          </cell>
        </row>
        <row r="140">
          <cell r="A140">
            <v>138</v>
          </cell>
        </row>
        <row r="141">
          <cell r="A141">
            <v>139</v>
          </cell>
        </row>
        <row r="142">
          <cell r="A142">
            <v>140</v>
          </cell>
        </row>
        <row r="143">
          <cell r="A143">
            <v>141</v>
          </cell>
        </row>
        <row r="144">
          <cell r="A144">
            <v>142</v>
          </cell>
        </row>
        <row r="145">
          <cell r="A145">
            <v>143</v>
          </cell>
        </row>
        <row r="146">
          <cell r="A146">
            <v>144</v>
          </cell>
        </row>
        <row r="147">
          <cell r="A147">
            <v>145</v>
          </cell>
        </row>
        <row r="148">
          <cell r="A148">
            <v>146</v>
          </cell>
        </row>
        <row r="149">
          <cell r="A149">
            <v>147</v>
          </cell>
        </row>
        <row r="150">
          <cell r="A150">
            <v>148</v>
          </cell>
        </row>
        <row r="151">
          <cell r="A151">
            <v>149</v>
          </cell>
        </row>
        <row r="152">
          <cell r="A152">
            <v>150</v>
          </cell>
        </row>
        <row r="153">
          <cell r="A153">
            <v>151</v>
          </cell>
        </row>
        <row r="154">
          <cell r="A154">
            <v>152</v>
          </cell>
        </row>
        <row r="155">
          <cell r="A155">
            <v>153</v>
          </cell>
        </row>
        <row r="156">
          <cell r="A156">
            <v>154</v>
          </cell>
        </row>
        <row r="157">
          <cell r="A157">
            <v>155</v>
          </cell>
        </row>
        <row r="158">
          <cell r="A158">
            <v>156</v>
          </cell>
        </row>
        <row r="159">
          <cell r="A159">
            <v>157</v>
          </cell>
        </row>
        <row r="160">
          <cell r="A160">
            <v>158</v>
          </cell>
        </row>
        <row r="161">
          <cell r="A161">
            <v>159</v>
          </cell>
        </row>
        <row r="162">
          <cell r="A162">
            <v>160</v>
          </cell>
        </row>
        <row r="163">
          <cell r="A163">
            <v>161</v>
          </cell>
        </row>
        <row r="164">
          <cell r="A164">
            <v>162</v>
          </cell>
        </row>
        <row r="165">
          <cell r="A165">
            <v>163</v>
          </cell>
        </row>
        <row r="166">
          <cell r="A166">
            <v>164</v>
          </cell>
        </row>
        <row r="167">
          <cell r="A167">
            <v>165</v>
          </cell>
        </row>
        <row r="168">
          <cell r="A168">
            <v>166</v>
          </cell>
        </row>
        <row r="169">
          <cell r="A169">
            <v>167</v>
          </cell>
        </row>
        <row r="170">
          <cell r="A170">
            <v>168</v>
          </cell>
        </row>
        <row r="171">
          <cell r="A171">
            <v>169</v>
          </cell>
        </row>
        <row r="172">
          <cell r="A172">
            <v>170</v>
          </cell>
        </row>
        <row r="173">
          <cell r="A173">
            <v>171</v>
          </cell>
        </row>
        <row r="174">
          <cell r="A174">
            <v>172</v>
          </cell>
        </row>
        <row r="175">
          <cell r="A175">
            <v>173</v>
          </cell>
        </row>
        <row r="176">
          <cell r="A176">
            <v>174</v>
          </cell>
        </row>
        <row r="177">
          <cell r="A177">
            <v>175</v>
          </cell>
        </row>
        <row r="178">
          <cell r="A178">
            <v>176</v>
          </cell>
        </row>
        <row r="179">
          <cell r="A179">
            <v>177</v>
          </cell>
        </row>
        <row r="180">
          <cell r="A180">
            <v>178</v>
          </cell>
        </row>
        <row r="181">
          <cell r="A181">
            <v>179</v>
          </cell>
        </row>
        <row r="182">
          <cell r="A182">
            <v>180</v>
          </cell>
        </row>
        <row r="183">
          <cell r="A183">
            <v>181</v>
          </cell>
        </row>
        <row r="184">
          <cell r="A184">
            <v>182</v>
          </cell>
        </row>
        <row r="185">
          <cell r="A185">
            <v>183</v>
          </cell>
        </row>
        <row r="186">
          <cell r="A186">
            <v>184</v>
          </cell>
        </row>
        <row r="187">
          <cell r="A187">
            <v>185</v>
          </cell>
        </row>
        <row r="188">
          <cell r="A188">
            <v>186</v>
          </cell>
        </row>
        <row r="189">
          <cell r="A189">
            <v>187</v>
          </cell>
        </row>
        <row r="190">
          <cell r="A190">
            <v>188</v>
          </cell>
        </row>
        <row r="191">
          <cell r="A191">
            <v>189</v>
          </cell>
        </row>
        <row r="192">
          <cell r="A192">
            <v>190</v>
          </cell>
        </row>
        <row r="193">
          <cell r="A193">
            <v>191</v>
          </cell>
        </row>
        <row r="194">
          <cell r="A194">
            <v>192</v>
          </cell>
        </row>
        <row r="195">
          <cell r="A195">
            <v>193</v>
          </cell>
        </row>
        <row r="196">
          <cell r="A196">
            <v>194</v>
          </cell>
        </row>
        <row r="197">
          <cell r="A197">
            <v>195</v>
          </cell>
        </row>
        <row r="198">
          <cell r="A198">
            <v>196</v>
          </cell>
        </row>
        <row r="199">
          <cell r="A199">
            <v>197</v>
          </cell>
        </row>
        <row r="200">
          <cell r="A200">
            <v>198</v>
          </cell>
        </row>
        <row r="201">
          <cell r="A201">
            <v>199</v>
          </cell>
        </row>
        <row r="202">
          <cell r="A202">
            <v>200</v>
          </cell>
        </row>
        <row r="203">
          <cell r="A203">
            <v>201</v>
          </cell>
        </row>
        <row r="204">
          <cell r="A204">
            <v>202</v>
          </cell>
        </row>
        <row r="205">
          <cell r="A205">
            <v>203</v>
          </cell>
        </row>
        <row r="206">
          <cell r="A206">
            <v>204</v>
          </cell>
        </row>
        <row r="207">
          <cell r="A207">
            <v>205</v>
          </cell>
        </row>
        <row r="208">
          <cell r="A208">
            <v>206</v>
          </cell>
        </row>
        <row r="209">
          <cell r="A209">
            <v>207</v>
          </cell>
        </row>
        <row r="210">
          <cell r="A210">
            <v>208</v>
          </cell>
        </row>
        <row r="211">
          <cell r="A211">
            <v>209</v>
          </cell>
        </row>
        <row r="212">
          <cell r="A212">
            <v>210</v>
          </cell>
        </row>
        <row r="213">
          <cell r="A213">
            <v>211</v>
          </cell>
        </row>
        <row r="214">
          <cell r="A214">
            <v>212</v>
          </cell>
        </row>
        <row r="215">
          <cell r="A215">
            <v>213</v>
          </cell>
        </row>
        <row r="216">
          <cell r="A216">
            <v>214</v>
          </cell>
        </row>
        <row r="217">
          <cell r="A217">
            <v>215</v>
          </cell>
        </row>
        <row r="218">
          <cell r="A218">
            <v>216</v>
          </cell>
        </row>
        <row r="219">
          <cell r="A219">
            <v>217</v>
          </cell>
        </row>
        <row r="220">
          <cell r="A220">
            <v>218</v>
          </cell>
        </row>
        <row r="221">
          <cell r="A221">
            <v>219</v>
          </cell>
        </row>
        <row r="222">
          <cell r="A222">
            <v>220</v>
          </cell>
        </row>
        <row r="223">
          <cell r="A223">
            <v>221</v>
          </cell>
        </row>
        <row r="224">
          <cell r="A224">
            <v>222</v>
          </cell>
        </row>
        <row r="225">
          <cell r="A225">
            <v>223</v>
          </cell>
        </row>
        <row r="226">
          <cell r="A226">
            <v>224</v>
          </cell>
        </row>
        <row r="227">
          <cell r="A227">
            <v>225</v>
          </cell>
        </row>
        <row r="228">
          <cell r="A228">
            <v>226</v>
          </cell>
        </row>
        <row r="229">
          <cell r="A229">
            <v>227</v>
          </cell>
        </row>
        <row r="230">
          <cell r="A230">
            <v>228</v>
          </cell>
        </row>
        <row r="231">
          <cell r="A231">
            <v>229</v>
          </cell>
        </row>
        <row r="232">
          <cell r="A232">
            <v>230</v>
          </cell>
        </row>
        <row r="233">
          <cell r="A233">
            <v>231</v>
          </cell>
        </row>
        <row r="234">
          <cell r="A234">
            <v>232</v>
          </cell>
        </row>
        <row r="235">
          <cell r="A235">
            <v>233</v>
          </cell>
        </row>
        <row r="236">
          <cell r="A236">
            <v>234</v>
          </cell>
        </row>
        <row r="237">
          <cell r="A237">
            <v>235</v>
          </cell>
        </row>
        <row r="238">
          <cell r="A238">
            <v>236</v>
          </cell>
        </row>
        <row r="239">
          <cell r="A239">
            <v>237</v>
          </cell>
        </row>
        <row r="240">
          <cell r="A240">
            <v>238</v>
          </cell>
        </row>
        <row r="241">
          <cell r="A241">
            <v>239</v>
          </cell>
        </row>
        <row r="242">
          <cell r="A242">
            <v>240</v>
          </cell>
        </row>
        <row r="243">
          <cell r="A243">
            <v>241</v>
          </cell>
        </row>
        <row r="244">
          <cell r="A244">
            <v>242</v>
          </cell>
        </row>
        <row r="245">
          <cell r="A245">
            <v>243</v>
          </cell>
        </row>
        <row r="246">
          <cell r="A246">
            <v>244</v>
          </cell>
        </row>
        <row r="247">
          <cell r="A247">
            <v>245</v>
          </cell>
        </row>
        <row r="248">
          <cell r="A248">
            <v>246</v>
          </cell>
        </row>
        <row r="249">
          <cell r="A249">
            <v>247</v>
          </cell>
        </row>
        <row r="250">
          <cell r="A250">
            <v>248</v>
          </cell>
        </row>
        <row r="251">
          <cell r="A251">
            <v>249</v>
          </cell>
        </row>
        <row r="252">
          <cell r="A252">
            <v>250</v>
          </cell>
        </row>
        <row r="253">
          <cell r="A253">
            <v>251</v>
          </cell>
        </row>
        <row r="254">
          <cell r="A254">
            <v>252</v>
          </cell>
        </row>
        <row r="255">
          <cell r="A255">
            <v>253</v>
          </cell>
        </row>
        <row r="256">
          <cell r="A256">
            <v>254</v>
          </cell>
        </row>
        <row r="257">
          <cell r="A257">
            <v>255</v>
          </cell>
        </row>
        <row r="258">
          <cell r="A258">
            <v>256</v>
          </cell>
        </row>
        <row r="259">
          <cell r="A259">
            <v>257</v>
          </cell>
        </row>
        <row r="260">
          <cell r="A260">
            <v>258</v>
          </cell>
        </row>
        <row r="261">
          <cell r="A261">
            <v>259</v>
          </cell>
        </row>
        <row r="262">
          <cell r="A262">
            <v>260</v>
          </cell>
        </row>
        <row r="263">
          <cell r="A263">
            <v>261</v>
          </cell>
        </row>
        <row r="264">
          <cell r="A264">
            <v>262</v>
          </cell>
        </row>
        <row r="265">
          <cell r="A265">
            <v>263</v>
          </cell>
        </row>
        <row r="266">
          <cell r="A266">
            <v>264</v>
          </cell>
        </row>
        <row r="267">
          <cell r="A267">
            <v>265</v>
          </cell>
        </row>
        <row r="268">
          <cell r="A268">
            <v>266</v>
          </cell>
        </row>
        <row r="269">
          <cell r="A269">
            <v>267</v>
          </cell>
        </row>
        <row r="270">
          <cell r="A270">
            <v>268</v>
          </cell>
        </row>
        <row r="271">
          <cell r="A271">
            <v>269</v>
          </cell>
        </row>
        <row r="272">
          <cell r="A272">
            <v>270</v>
          </cell>
        </row>
        <row r="273">
          <cell r="A273">
            <v>271</v>
          </cell>
        </row>
        <row r="274">
          <cell r="A274">
            <v>272</v>
          </cell>
        </row>
        <row r="275">
          <cell r="A275">
            <v>273</v>
          </cell>
        </row>
        <row r="276">
          <cell r="A276">
            <v>274</v>
          </cell>
        </row>
        <row r="277">
          <cell r="A277">
            <v>275</v>
          </cell>
        </row>
        <row r="278">
          <cell r="A278">
            <v>276</v>
          </cell>
        </row>
        <row r="279">
          <cell r="A279">
            <v>277</v>
          </cell>
        </row>
        <row r="280">
          <cell r="A280">
            <v>278</v>
          </cell>
        </row>
        <row r="281">
          <cell r="A281">
            <v>279</v>
          </cell>
        </row>
        <row r="282">
          <cell r="A282">
            <v>280</v>
          </cell>
        </row>
        <row r="283">
          <cell r="A283">
            <v>281</v>
          </cell>
        </row>
        <row r="284">
          <cell r="A284">
            <v>282</v>
          </cell>
        </row>
        <row r="285">
          <cell r="A285">
            <v>283</v>
          </cell>
        </row>
        <row r="286">
          <cell r="A286">
            <v>284</v>
          </cell>
        </row>
        <row r="287">
          <cell r="A287">
            <v>285</v>
          </cell>
        </row>
        <row r="288">
          <cell r="A288">
            <v>286</v>
          </cell>
        </row>
        <row r="289">
          <cell r="A289">
            <v>287</v>
          </cell>
        </row>
        <row r="290">
          <cell r="A290">
            <v>288</v>
          </cell>
        </row>
        <row r="291">
          <cell r="A291">
            <v>289</v>
          </cell>
        </row>
        <row r="292">
          <cell r="A292">
            <v>290</v>
          </cell>
        </row>
        <row r="293">
          <cell r="A293">
            <v>291</v>
          </cell>
        </row>
        <row r="294">
          <cell r="A294">
            <v>292</v>
          </cell>
        </row>
        <row r="295">
          <cell r="A295">
            <v>293</v>
          </cell>
        </row>
        <row r="296">
          <cell r="A296">
            <v>294</v>
          </cell>
        </row>
        <row r="297">
          <cell r="A297">
            <v>295</v>
          </cell>
        </row>
        <row r="298">
          <cell r="A298">
            <v>296</v>
          </cell>
        </row>
        <row r="299">
          <cell r="A299">
            <v>297</v>
          </cell>
        </row>
        <row r="300">
          <cell r="A300">
            <v>298</v>
          </cell>
        </row>
        <row r="301">
          <cell r="A301">
            <v>299</v>
          </cell>
        </row>
        <row r="302">
          <cell r="A302">
            <v>300</v>
          </cell>
        </row>
        <row r="303">
          <cell r="A303">
            <v>301</v>
          </cell>
        </row>
        <row r="304">
          <cell r="A304">
            <v>302</v>
          </cell>
        </row>
        <row r="305">
          <cell r="A305">
            <v>303</v>
          </cell>
        </row>
        <row r="306">
          <cell r="A306">
            <v>304</v>
          </cell>
        </row>
        <row r="307">
          <cell r="A307">
            <v>305</v>
          </cell>
        </row>
        <row r="308">
          <cell r="A308">
            <v>306</v>
          </cell>
        </row>
        <row r="309">
          <cell r="A309">
            <v>307</v>
          </cell>
        </row>
        <row r="310">
          <cell r="A310">
            <v>308</v>
          </cell>
        </row>
        <row r="311">
          <cell r="A311">
            <v>309</v>
          </cell>
        </row>
        <row r="312">
          <cell r="A312">
            <v>310</v>
          </cell>
        </row>
        <row r="313">
          <cell r="A313">
            <v>311</v>
          </cell>
        </row>
        <row r="314">
          <cell r="A314">
            <v>312</v>
          </cell>
        </row>
        <row r="315">
          <cell r="A315">
            <v>313</v>
          </cell>
        </row>
        <row r="316">
          <cell r="A316">
            <v>314</v>
          </cell>
        </row>
        <row r="317">
          <cell r="A317">
            <v>315</v>
          </cell>
        </row>
        <row r="318">
          <cell r="A318">
            <v>316</v>
          </cell>
        </row>
        <row r="319">
          <cell r="A319">
            <v>317</v>
          </cell>
        </row>
        <row r="320">
          <cell r="A320">
            <v>318</v>
          </cell>
        </row>
        <row r="321">
          <cell r="A321">
            <v>319</v>
          </cell>
        </row>
        <row r="322">
          <cell r="A322">
            <v>320</v>
          </cell>
        </row>
        <row r="323">
          <cell r="A323">
            <v>321</v>
          </cell>
        </row>
        <row r="324">
          <cell r="A324">
            <v>322</v>
          </cell>
        </row>
        <row r="325">
          <cell r="A325">
            <v>323</v>
          </cell>
        </row>
        <row r="326">
          <cell r="A326">
            <v>324</v>
          </cell>
        </row>
        <row r="327">
          <cell r="A327">
            <v>325</v>
          </cell>
        </row>
        <row r="328">
          <cell r="A328">
            <v>326</v>
          </cell>
        </row>
        <row r="329">
          <cell r="A329">
            <v>327</v>
          </cell>
        </row>
        <row r="330">
          <cell r="A330">
            <v>328</v>
          </cell>
        </row>
        <row r="331">
          <cell r="A331">
            <v>329</v>
          </cell>
        </row>
        <row r="332">
          <cell r="A332">
            <v>330</v>
          </cell>
        </row>
        <row r="333">
          <cell r="A333">
            <v>331</v>
          </cell>
        </row>
        <row r="334">
          <cell r="A334">
            <v>332</v>
          </cell>
        </row>
        <row r="335">
          <cell r="A335">
            <v>333</v>
          </cell>
        </row>
        <row r="336">
          <cell r="A336">
            <v>334</v>
          </cell>
        </row>
        <row r="337">
          <cell r="A337">
            <v>335</v>
          </cell>
        </row>
        <row r="338">
          <cell r="A338">
            <v>336</v>
          </cell>
        </row>
        <row r="339">
          <cell r="A339">
            <v>337</v>
          </cell>
        </row>
        <row r="340">
          <cell r="A340">
            <v>338</v>
          </cell>
        </row>
        <row r="341">
          <cell r="A341">
            <v>339</v>
          </cell>
        </row>
        <row r="342">
          <cell r="A342">
            <v>340</v>
          </cell>
        </row>
        <row r="343">
          <cell r="A343">
            <v>341</v>
          </cell>
        </row>
        <row r="344">
          <cell r="A344">
            <v>342</v>
          </cell>
        </row>
        <row r="345">
          <cell r="A345">
            <v>343</v>
          </cell>
        </row>
        <row r="346">
          <cell r="A346">
            <v>344</v>
          </cell>
        </row>
        <row r="347">
          <cell r="A347">
            <v>345</v>
          </cell>
        </row>
        <row r="348">
          <cell r="A348">
            <v>346</v>
          </cell>
        </row>
        <row r="349">
          <cell r="A349">
            <v>347</v>
          </cell>
        </row>
        <row r="350">
          <cell r="A350">
            <v>348</v>
          </cell>
        </row>
        <row r="351">
          <cell r="A351">
            <v>349</v>
          </cell>
        </row>
        <row r="352">
          <cell r="A352">
            <v>350</v>
          </cell>
        </row>
        <row r="353">
          <cell r="A353">
            <v>351</v>
          </cell>
        </row>
        <row r="354">
          <cell r="A354">
            <v>352</v>
          </cell>
        </row>
        <row r="355">
          <cell r="A355">
            <v>353</v>
          </cell>
        </row>
        <row r="356">
          <cell r="A356">
            <v>354</v>
          </cell>
        </row>
        <row r="357">
          <cell r="A357">
            <v>355</v>
          </cell>
        </row>
        <row r="358">
          <cell r="A358">
            <v>356</v>
          </cell>
        </row>
        <row r="359">
          <cell r="A359">
            <v>357</v>
          </cell>
        </row>
        <row r="360">
          <cell r="A360">
            <v>358</v>
          </cell>
        </row>
        <row r="361">
          <cell r="A361">
            <v>359</v>
          </cell>
        </row>
        <row r="362">
          <cell r="A362">
            <v>360</v>
          </cell>
        </row>
        <row r="363">
          <cell r="A363">
            <v>361</v>
          </cell>
        </row>
        <row r="364">
          <cell r="A364">
            <v>362</v>
          </cell>
        </row>
        <row r="365">
          <cell r="A365">
            <v>363</v>
          </cell>
        </row>
        <row r="366">
          <cell r="A366">
            <v>364</v>
          </cell>
        </row>
        <row r="367">
          <cell r="A367">
            <v>365</v>
          </cell>
        </row>
        <row r="368">
          <cell r="A368">
            <v>366</v>
          </cell>
        </row>
        <row r="369">
          <cell r="A369">
            <v>367</v>
          </cell>
        </row>
      </sheetData>
      <sheetData sheetId="3"/>
      <sheetData sheetId="4"/>
      <sheetData sheetId="5"/>
      <sheetData sheetId="6"/>
      <sheetData sheetId="7"/>
      <sheetData sheetId="8"/>
      <sheetData sheetId="9"/>
    </sheetDataSet>
  </externalBook>
</externalLink>
</file>

<file path=xl/externalLinks/externalLink4.xml><?xml version="1.0" encoding="utf-8"?>
<externalLink xmlns="http://schemas.openxmlformats.org/spreadsheetml/2006/main">
  <externalBook xmlns:r="http://schemas.openxmlformats.org/officeDocument/2006/relationships" r:id="rId1">
    <sheetNames>
      <sheetName val="特殊効果"/>
      <sheetName val="スキル仕様"/>
      <sheetName val="enemy_skills"/>
      <sheetName val="enemy_skill_triggers"/>
      <sheetName val="enemy_skill_sets"/>
      <sheetName val="enemy_skills.csv"/>
      <sheetName val="enemy_skills_i18n.csv"/>
      <sheetName val="enemy_skill_triggers.csv"/>
      <sheetName val="enemy_skill_sets.csv"/>
    </sheetNames>
    <sheetDataSet>
      <sheetData sheetId="0"/>
      <sheetData sheetId="1"/>
      <sheetData sheetId="2"/>
      <sheetData sheetId="3"/>
      <sheetData sheetId="4">
        <row r="1">
          <cell r="A1" t="str">
            <v>temp_id</v>
          </cell>
          <cell r="B1" t="str">
            <v>skill_set_id</v>
          </cell>
          <cell r="C1" t="str">
            <v>skill_id</v>
          </cell>
          <cell r="D1" t="str">
            <v>name</v>
          </cell>
          <cell r="E1" t="str">
            <v>comment</v>
          </cell>
          <cell r="F1" t="str">
            <v>skill_trigger_id</v>
          </cell>
          <cell r="G1" t="str">
            <v>first_time</v>
          </cell>
          <cell r="H1" t="str">
            <v>invoke_rate</v>
          </cell>
          <cell r="I1" t="str">
            <v>hp_threshold</v>
          </cell>
          <cell r="J1" t="str">
            <v>invoke_times</v>
          </cell>
        </row>
        <row r="2">
          <cell r="B2">
            <v>0</v>
          </cell>
        </row>
        <row r="3">
          <cell r="B3">
            <v>1001</v>
          </cell>
        </row>
        <row r="4">
          <cell r="B4">
            <v>28</v>
          </cell>
        </row>
        <row r="5">
          <cell r="B5">
            <v>30</v>
          </cell>
        </row>
        <row r="6">
          <cell r="B6">
            <v>33</v>
          </cell>
        </row>
        <row r="7">
          <cell r="B7">
            <v>34</v>
          </cell>
        </row>
        <row r="8">
          <cell r="B8">
            <v>35</v>
          </cell>
        </row>
        <row r="9">
          <cell r="B9">
            <v>35</v>
          </cell>
        </row>
        <row r="10">
          <cell r="B10">
            <v>36</v>
          </cell>
        </row>
        <row r="11">
          <cell r="B11">
            <v>36</v>
          </cell>
        </row>
        <row r="12">
          <cell r="B12">
            <v>37</v>
          </cell>
        </row>
        <row r="13">
          <cell r="B13">
            <v>37</v>
          </cell>
        </row>
        <row r="14">
          <cell r="B14">
            <v>38</v>
          </cell>
        </row>
        <row r="15">
          <cell r="B15">
            <v>39</v>
          </cell>
        </row>
        <row r="16">
          <cell r="B16">
            <v>40</v>
          </cell>
        </row>
        <row r="17">
          <cell r="B17">
            <v>42</v>
          </cell>
        </row>
        <row r="18">
          <cell r="B18">
            <v>46</v>
          </cell>
        </row>
        <row r="19">
          <cell r="B19">
            <v>49</v>
          </cell>
        </row>
        <row r="20">
          <cell r="B20">
            <v>50</v>
          </cell>
        </row>
        <row r="21">
          <cell r="B21">
            <v>51</v>
          </cell>
        </row>
        <row r="22">
          <cell r="B22">
            <v>53</v>
          </cell>
        </row>
        <row r="23">
          <cell r="B23">
            <v>55</v>
          </cell>
        </row>
        <row r="24">
          <cell r="B24">
            <v>56</v>
          </cell>
        </row>
        <row r="25">
          <cell r="B25">
            <v>57</v>
          </cell>
        </row>
        <row r="26">
          <cell r="B26">
            <v>59</v>
          </cell>
        </row>
        <row r="27">
          <cell r="B27">
            <v>61</v>
          </cell>
        </row>
        <row r="28">
          <cell r="B28">
            <v>62</v>
          </cell>
        </row>
        <row r="29">
          <cell r="B29">
            <v>63</v>
          </cell>
        </row>
        <row r="30">
          <cell r="B30">
            <v>64</v>
          </cell>
        </row>
        <row r="31">
          <cell r="B31">
            <v>65</v>
          </cell>
        </row>
        <row r="32">
          <cell r="B32">
            <v>66</v>
          </cell>
        </row>
        <row r="33">
          <cell r="B33">
            <v>67</v>
          </cell>
        </row>
        <row r="34">
          <cell r="B34">
            <v>68</v>
          </cell>
        </row>
        <row r="35">
          <cell r="B35">
            <v>69</v>
          </cell>
        </row>
        <row r="36">
          <cell r="B36">
            <v>71</v>
          </cell>
        </row>
        <row r="37">
          <cell r="B37">
            <v>1071</v>
          </cell>
        </row>
        <row r="38">
          <cell r="B38">
            <v>72</v>
          </cell>
        </row>
        <row r="39">
          <cell r="B39">
            <v>74</v>
          </cell>
        </row>
        <row r="40">
          <cell r="B40">
            <v>75</v>
          </cell>
        </row>
        <row r="41">
          <cell r="B41">
            <v>76</v>
          </cell>
        </row>
        <row r="42">
          <cell r="B42">
            <v>77</v>
          </cell>
        </row>
        <row r="43">
          <cell r="B43">
            <v>79</v>
          </cell>
        </row>
        <row r="44">
          <cell r="B44">
            <v>81</v>
          </cell>
        </row>
        <row r="45">
          <cell r="B45">
            <v>83</v>
          </cell>
        </row>
        <row r="46">
          <cell r="B46">
            <v>85</v>
          </cell>
        </row>
        <row r="47">
          <cell r="B47">
            <v>86</v>
          </cell>
        </row>
        <row r="48">
          <cell r="B48">
            <v>88</v>
          </cell>
        </row>
        <row r="49">
          <cell r="B49">
            <v>89</v>
          </cell>
        </row>
        <row r="50">
          <cell r="B50">
            <v>11701</v>
          </cell>
        </row>
        <row r="51">
          <cell r="B51">
            <v>11701</v>
          </cell>
        </row>
        <row r="52">
          <cell r="B52">
            <v>11702</v>
          </cell>
        </row>
        <row r="53">
          <cell r="B53">
            <v>11703</v>
          </cell>
        </row>
        <row r="54">
          <cell r="B54">
            <v>11704</v>
          </cell>
        </row>
        <row r="55">
          <cell r="B55">
            <v>11801</v>
          </cell>
        </row>
        <row r="56">
          <cell r="B56">
            <v>11802</v>
          </cell>
        </row>
        <row r="57">
          <cell r="B57">
            <v>11803</v>
          </cell>
        </row>
        <row r="58">
          <cell r="B58">
            <v>11901</v>
          </cell>
        </row>
        <row r="59">
          <cell r="B59">
            <v>11902</v>
          </cell>
        </row>
        <row r="60">
          <cell r="B60">
            <v>11903</v>
          </cell>
        </row>
        <row r="61">
          <cell r="B61">
            <v>126</v>
          </cell>
        </row>
        <row r="62">
          <cell r="B62">
            <v>128</v>
          </cell>
        </row>
        <row r="63">
          <cell r="B63">
            <v>130</v>
          </cell>
        </row>
        <row r="64">
          <cell r="B64">
            <v>134</v>
          </cell>
        </row>
        <row r="65">
          <cell r="B65">
            <v>136</v>
          </cell>
        </row>
        <row r="66">
          <cell r="B66">
            <v>139</v>
          </cell>
        </row>
        <row r="67">
          <cell r="B67">
            <v>141</v>
          </cell>
        </row>
        <row r="68">
          <cell r="B68">
            <v>10141</v>
          </cell>
        </row>
        <row r="69">
          <cell r="B69">
            <v>146</v>
          </cell>
        </row>
        <row r="70">
          <cell r="B70">
            <v>148</v>
          </cell>
        </row>
        <row r="71">
          <cell r="B71">
            <v>148</v>
          </cell>
        </row>
        <row r="72">
          <cell r="B72">
            <v>149</v>
          </cell>
        </row>
        <row r="73">
          <cell r="B73">
            <v>149</v>
          </cell>
        </row>
        <row r="74">
          <cell r="B74">
            <v>151</v>
          </cell>
        </row>
        <row r="75">
          <cell r="B75">
            <v>151</v>
          </cell>
        </row>
        <row r="76">
          <cell r="B76">
            <v>152</v>
          </cell>
        </row>
        <row r="77">
          <cell r="B77">
            <v>152</v>
          </cell>
        </row>
        <row r="78">
          <cell r="B78">
            <v>153</v>
          </cell>
        </row>
        <row r="79">
          <cell r="B79">
            <v>153</v>
          </cell>
        </row>
        <row r="80">
          <cell r="B80">
            <v>153</v>
          </cell>
        </row>
        <row r="81">
          <cell r="B81">
            <v>154</v>
          </cell>
        </row>
        <row r="82">
          <cell r="B82">
            <v>156</v>
          </cell>
        </row>
        <row r="83">
          <cell r="B83">
            <v>156</v>
          </cell>
        </row>
        <row r="84">
          <cell r="B84">
            <v>157</v>
          </cell>
        </row>
        <row r="85">
          <cell r="B85">
            <v>160</v>
          </cell>
        </row>
        <row r="86">
          <cell r="B86">
            <v>164</v>
          </cell>
        </row>
        <row r="87">
          <cell r="B87">
            <v>164</v>
          </cell>
        </row>
        <row r="88">
          <cell r="B88">
            <v>169</v>
          </cell>
        </row>
        <row r="89">
          <cell r="B89">
            <v>172</v>
          </cell>
        </row>
        <row r="90">
          <cell r="B90">
            <v>178</v>
          </cell>
        </row>
        <row r="91">
          <cell r="B91">
            <v>182</v>
          </cell>
        </row>
        <row r="92">
          <cell r="B92">
            <v>184</v>
          </cell>
        </row>
        <row r="93">
          <cell r="B93">
            <v>185</v>
          </cell>
        </row>
        <row r="94">
          <cell r="B94">
            <v>187</v>
          </cell>
        </row>
        <row r="95">
          <cell r="B95">
            <v>193</v>
          </cell>
        </row>
        <row r="96">
          <cell r="B96">
            <v>194</v>
          </cell>
        </row>
        <row r="97">
          <cell r="B97">
            <v>197</v>
          </cell>
        </row>
        <row r="98">
          <cell r="B98">
            <v>198</v>
          </cell>
        </row>
        <row r="99">
          <cell r="B99">
            <v>197</v>
          </cell>
        </row>
        <row r="100">
          <cell r="B100">
            <v>198</v>
          </cell>
        </row>
        <row r="101">
          <cell r="B101">
            <v>10197</v>
          </cell>
        </row>
        <row r="102">
          <cell r="B102">
            <v>199</v>
          </cell>
        </row>
        <row r="103">
          <cell r="B103">
            <v>200</v>
          </cell>
        </row>
        <row r="104">
          <cell r="B104">
            <v>202</v>
          </cell>
        </row>
        <row r="105">
          <cell r="B105">
            <v>203</v>
          </cell>
        </row>
        <row r="106">
          <cell r="B106">
            <v>206</v>
          </cell>
        </row>
        <row r="107">
          <cell r="B107">
            <v>211</v>
          </cell>
        </row>
        <row r="108">
          <cell r="B108">
            <v>212</v>
          </cell>
        </row>
        <row r="109">
          <cell r="B109">
            <v>215</v>
          </cell>
        </row>
        <row r="110">
          <cell r="B110">
            <v>215</v>
          </cell>
        </row>
        <row r="111">
          <cell r="B111">
            <v>219</v>
          </cell>
        </row>
        <row r="112">
          <cell r="B112">
            <v>224</v>
          </cell>
        </row>
        <row r="113">
          <cell r="B113">
            <v>224</v>
          </cell>
        </row>
        <row r="114">
          <cell r="B114">
            <v>229</v>
          </cell>
        </row>
        <row r="115">
          <cell r="B115">
            <v>230</v>
          </cell>
        </row>
        <row r="116">
          <cell r="B116">
            <v>231</v>
          </cell>
        </row>
        <row r="117">
          <cell r="B117">
            <v>232</v>
          </cell>
        </row>
        <row r="118">
          <cell r="B118">
            <v>233</v>
          </cell>
        </row>
        <row r="119">
          <cell r="B119">
            <v>241</v>
          </cell>
        </row>
        <row r="120">
          <cell r="B120">
            <v>254</v>
          </cell>
        </row>
        <row r="121">
          <cell r="B121">
            <v>254</v>
          </cell>
        </row>
        <row r="122">
          <cell r="B122">
            <v>256</v>
          </cell>
        </row>
        <row r="123">
          <cell r="B123">
            <v>257</v>
          </cell>
        </row>
        <row r="124">
          <cell r="B124">
            <v>317</v>
          </cell>
        </row>
        <row r="125">
          <cell r="B125">
            <v>317</v>
          </cell>
        </row>
        <row r="126">
          <cell r="B126">
            <v>317</v>
          </cell>
        </row>
        <row r="127">
          <cell r="B127">
            <v>317</v>
          </cell>
        </row>
        <row r="128">
          <cell r="B128">
            <v>317</v>
          </cell>
        </row>
        <row r="129">
          <cell r="B129">
            <v>317</v>
          </cell>
        </row>
        <row r="130">
          <cell r="B130">
            <v>317</v>
          </cell>
        </row>
        <row r="131">
          <cell r="B131">
            <v>319</v>
          </cell>
        </row>
        <row r="132">
          <cell r="B132">
            <v>319</v>
          </cell>
        </row>
        <row r="133">
          <cell r="B133">
            <v>319</v>
          </cell>
        </row>
        <row r="134">
          <cell r="B134">
            <v>319</v>
          </cell>
        </row>
        <row r="135">
          <cell r="B135">
            <v>319</v>
          </cell>
        </row>
        <row r="136">
          <cell r="B136">
            <v>319</v>
          </cell>
        </row>
        <row r="137">
          <cell r="B137">
            <v>2666</v>
          </cell>
        </row>
        <row r="138">
          <cell r="B138">
            <v>20011</v>
          </cell>
        </row>
        <row r="139">
          <cell r="B139">
            <v>263</v>
          </cell>
        </row>
        <row r="140">
          <cell r="B140">
            <v>266</v>
          </cell>
        </row>
        <row r="141">
          <cell r="B141">
            <v>272</v>
          </cell>
        </row>
        <row r="142">
          <cell r="B142">
            <v>272</v>
          </cell>
        </row>
        <row r="143">
          <cell r="B143">
            <v>272</v>
          </cell>
        </row>
        <row r="144">
          <cell r="B144">
            <v>272</v>
          </cell>
        </row>
        <row r="145">
          <cell r="B145">
            <v>274</v>
          </cell>
        </row>
        <row r="146">
          <cell r="B146">
            <v>275</v>
          </cell>
        </row>
        <row r="147">
          <cell r="B147">
            <v>275</v>
          </cell>
        </row>
        <row r="148">
          <cell r="B148">
            <v>268</v>
          </cell>
        </row>
        <row r="149">
          <cell r="B149">
            <v>264</v>
          </cell>
        </row>
        <row r="150">
          <cell r="B150">
            <v>270</v>
          </cell>
        </row>
        <row r="151">
          <cell r="B151">
            <v>271</v>
          </cell>
        </row>
        <row r="152">
          <cell r="B152">
            <v>271</v>
          </cell>
        </row>
        <row r="153">
          <cell r="B153">
            <v>276</v>
          </cell>
        </row>
        <row r="154">
          <cell r="B154">
            <v>276</v>
          </cell>
        </row>
        <row r="155">
          <cell r="B155">
            <v>277</v>
          </cell>
        </row>
        <row r="156">
          <cell r="B156">
            <v>277</v>
          </cell>
        </row>
        <row r="157">
          <cell r="B157">
            <v>277</v>
          </cell>
        </row>
        <row r="158">
          <cell r="B158">
            <v>1063</v>
          </cell>
        </row>
        <row r="159">
          <cell r="B159">
            <v>1055</v>
          </cell>
        </row>
        <row r="160">
          <cell r="B160">
            <v>2063</v>
          </cell>
        </row>
        <row r="161">
          <cell r="B161">
            <v>1123</v>
          </cell>
        </row>
        <row r="162">
          <cell r="B162">
            <v>1221</v>
          </cell>
        </row>
        <row r="163">
          <cell r="B163">
            <v>1221</v>
          </cell>
        </row>
        <row r="164">
          <cell r="B164">
            <v>1211</v>
          </cell>
        </row>
        <row r="165">
          <cell r="B165">
            <v>1231</v>
          </cell>
        </row>
        <row r="166">
          <cell r="B166">
            <v>1045</v>
          </cell>
        </row>
        <row r="167">
          <cell r="B167">
            <v>278</v>
          </cell>
        </row>
        <row r="168">
          <cell r="B168">
            <v>278</v>
          </cell>
        </row>
        <row r="169">
          <cell r="B169">
            <v>279</v>
          </cell>
        </row>
        <row r="170">
          <cell r="B170">
            <v>279</v>
          </cell>
        </row>
        <row r="171">
          <cell r="B171">
            <v>135</v>
          </cell>
        </row>
        <row r="172">
          <cell r="B172">
            <v>135</v>
          </cell>
        </row>
        <row r="173">
          <cell r="B173">
            <v>135</v>
          </cell>
        </row>
        <row r="174">
          <cell r="B174">
            <v>192</v>
          </cell>
        </row>
        <row r="175">
          <cell r="B175">
            <v>266</v>
          </cell>
        </row>
        <row r="176">
          <cell r="B176">
            <v>266</v>
          </cell>
        </row>
        <row r="177">
          <cell r="B177">
            <v>266</v>
          </cell>
        </row>
        <row r="178">
          <cell r="B178">
            <v>266</v>
          </cell>
        </row>
        <row r="179">
          <cell r="B179">
            <v>28201</v>
          </cell>
        </row>
        <row r="180">
          <cell r="B180">
            <v>28202</v>
          </cell>
        </row>
        <row r="181">
          <cell r="B181">
            <v>28202</v>
          </cell>
        </row>
        <row r="182">
          <cell r="B182">
            <v>28201</v>
          </cell>
        </row>
        <row r="183">
          <cell r="B183">
            <v>28202</v>
          </cell>
        </row>
        <row r="184">
          <cell r="B184">
            <v>13201</v>
          </cell>
        </row>
        <row r="185">
          <cell r="B185">
            <v>286</v>
          </cell>
        </row>
        <row r="186">
          <cell r="B186">
            <v>286</v>
          </cell>
        </row>
        <row r="187">
          <cell r="B187">
            <v>286</v>
          </cell>
        </row>
        <row r="188">
          <cell r="B188">
            <v>22401</v>
          </cell>
        </row>
        <row r="189">
          <cell r="B189">
            <v>22401</v>
          </cell>
        </row>
        <row r="190">
          <cell r="B190">
            <v>22401</v>
          </cell>
        </row>
        <row r="191">
          <cell r="B191">
            <v>22401</v>
          </cell>
        </row>
        <row r="192">
          <cell r="B192">
            <v>20601</v>
          </cell>
        </row>
        <row r="193">
          <cell r="B193">
            <v>20601</v>
          </cell>
        </row>
        <row r="194">
          <cell r="B194">
            <v>20601</v>
          </cell>
        </row>
        <row r="195">
          <cell r="B195">
            <v>20901</v>
          </cell>
        </row>
        <row r="196">
          <cell r="B196">
            <v>20901</v>
          </cell>
        </row>
        <row r="197">
          <cell r="B197">
            <v>20901</v>
          </cell>
        </row>
        <row r="198">
          <cell r="B198">
            <v>20901</v>
          </cell>
        </row>
        <row r="199">
          <cell r="B199">
            <v>20901</v>
          </cell>
        </row>
        <row r="200">
          <cell r="B200">
            <v>19101</v>
          </cell>
        </row>
        <row r="201">
          <cell r="B201">
            <v>19101</v>
          </cell>
        </row>
        <row r="202">
          <cell r="B202">
            <v>19101</v>
          </cell>
        </row>
        <row r="203">
          <cell r="B203">
            <v>19101</v>
          </cell>
        </row>
        <row r="204">
          <cell r="B204">
            <v>19101</v>
          </cell>
        </row>
        <row r="205">
          <cell r="B205">
            <v>12901</v>
          </cell>
        </row>
        <row r="206">
          <cell r="B206">
            <v>14301</v>
          </cell>
        </row>
      </sheetData>
      <sheetData sheetId="5"/>
      <sheetData sheetId="6"/>
      <sheetData sheetId="7"/>
      <sheetData sheetId="8"/>
    </sheetDataSet>
  </externalBook>
</externalLink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xmlns="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 enableFormatConditionsCalculation="0">
    <tabColor rgb="FF0000FF"/>
    <outlinePr summaryBelow="0" summaryRight="0"/>
  </sheetPr>
  <dimension ref="A1:K7"/>
  <sheetViews>
    <sheetView showGridLines="0" tabSelected="1" workbookViewId="0">
      <pane ySplit="1" topLeftCell="A2" activePane="bottomLeft" state="frozen"/>
      <selection activeCell="V2" sqref="V2:X34"/>
      <selection pane="bottomLeft"/>
    </sheetView>
  </sheetViews>
  <sheetFormatPr baseColWidth="12" defaultColWidth="13" defaultRowHeight="21" customHeight="1" outlineLevelCol="1" x14ac:dyDescent="0"/>
  <cols>
    <col min="1" max="1" width="8.83203125" style="31" bestFit="1" customWidth="1"/>
    <col min="2" max="2" width="5" style="31" bestFit="1" customWidth="1"/>
    <col min="3" max="3" width="7.1640625" style="4" bestFit="1" customWidth="1"/>
    <col min="4" max="5" width="10.33203125" style="4" customWidth="1" outlineLevel="1"/>
    <col min="6" max="6" width="7" style="4" bestFit="1" customWidth="1"/>
    <col min="7" max="7" width="8.83203125" style="31" customWidth="1" outlineLevel="1"/>
    <col min="8" max="8" width="16.1640625" style="4" customWidth="1" outlineLevel="1"/>
    <col min="9" max="9" width="6.5" style="4" bestFit="1" customWidth="1"/>
    <col min="10" max="10" width="11" style="4" bestFit="1" customWidth="1"/>
    <col min="11" max="11" width="11.33203125" style="4" bestFit="1" customWidth="1"/>
    <col min="12" max="16384" width="13" style="4"/>
  </cols>
  <sheetData>
    <row r="1" spans="1:11" ht="21" customHeight="1">
      <c r="A1" s="22" t="s">
        <v>31</v>
      </c>
      <c r="B1" s="22" t="s">
        <v>38</v>
      </c>
      <c r="C1" s="1" t="s">
        <v>0</v>
      </c>
      <c r="D1" s="2" t="s">
        <v>18</v>
      </c>
      <c r="E1" s="21" t="s">
        <v>35</v>
      </c>
      <c r="F1" s="1" t="s">
        <v>1</v>
      </c>
      <c r="G1" s="35" t="s">
        <v>34</v>
      </c>
      <c r="H1" s="21" t="s">
        <v>36</v>
      </c>
      <c r="I1" s="1" t="s">
        <v>13</v>
      </c>
      <c r="J1" s="1" t="s">
        <v>14</v>
      </c>
      <c r="K1" s="1" t="s">
        <v>15</v>
      </c>
    </row>
    <row r="2" spans="1:11" ht="21" customHeight="1">
      <c r="A2" s="22" t="str">
        <f>G2&amp;"-"&amp;I2</f>
        <v>0_1-1</v>
      </c>
      <c r="B2" s="22" t="str">
        <f>IF(COUNTIF(enemy_habitats_Tutorial!$H:$H,A2),"OK","NG")</f>
        <v>OK</v>
      </c>
      <c r="C2" s="9">
        <v>0</v>
      </c>
      <c r="D2" s="13" t="str">
        <f ca="1">VLOOKUP($C2,OFFSET([1]quests!$A$1,0,0,COUNTA([1]quests!$A:$A),MATCH(D$1,[1]quests!$1:$1,0)-MATCH($C$1,[1]quests!$1:$1,0)+1),MATCH(D$1,[1]quests!$1:$1,0)-MATCH($C$1,[1]quests!$1:$1,0)+1,FALSE)</f>
        <v>チュートリアル</v>
      </c>
      <c r="E2" s="30" t="str">
        <f ca="1">VLOOKUP($C2,OFFSET([1]quests!$A$1,0,0,COUNTA([1]quests!$A:$A),MATCH(E$1,[1]quests!$1:$1,0)-MATCH($C$1,[1]quests!$1:$1,0)+1),MATCH(E$1,[1]quests!$1:$1,0)-MATCH($C$1,[1]quests!$1:$1,0)+1,FALSE)</f>
        <v>チュートリアル</v>
      </c>
      <c r="F2" s="33">
        <v>1</v>
      </c>
      <c r="G2" s="35" t="str">
        <f>C2&amp;"_"&amp;F2</f>
        <v>0_1</v>
      </c>
      <c r="H2" s="21" t="str">
        <f ca="1">VLOOKUP($G2,OFFSET([1]stages!$A$1,0,0,COUNTA([1]stages!$A:$A),MATCH(H$1,[1]stages!$2:$2,0)-MATCH($G$1,[1]stages!$2:$2,0)+1),MATCH(H$1,[1]stages!$2:$2,0)-MATCH($G$1,[1]stages!$2:$2,0)+1,FALSE)</f>
        <v>はじめてのクラッシュ</v>
      </c>
      <c r="I2" s="33">
        <v>1</v>
      </c>
      <c r="J2" s="14">
        <v>15</v>
      </c>
      <c r="K2" s="14">
        <v>15</v>
      </c>
    </row>
    <row r="3" spans="1:11" ht="21" customHeight="1">
      <c r="A3" s="22" t="str">
        <f t="shared" ref="A3:A7" si="0">G3&amp;"-"&amp;I3</f>
        <v>0_1-2</v>
      </c>
      <c r="B3" s="22" t="str">
        <f>IF(COUNTIF(enemy_habitats_Tutorial!$H:$H,A3),"OK","NG")</f>
        <v>OK</v>
      </c>
      <c r="C3" s="9">
        <v>0</v>
      </c>
      <c r="D3" s="13" t="str">
        <f ca="1">VLOOKUP($C3,OFFSET([1]quests!$A$1,0,0,COUNTA([1]quests!$A:$A),MATCH(D$1,[1]quests!$1:$1,0)-MATCH($C$1,[1]quests!$1:$1,0)+1),MATCH(D$1,[1]quests!$1:$1,0)-MATCH($C$1,[1]quests!$1:$1,0)+1,FALSE)</f>
        <v>チュートリアル</v>
      </c>
      <c r="E3" s="30" t="str">
        <f ca="1">VLOOKUP($C3,OFFSET([1]quests!$A$1,0,0,COUNTA([1]quests!$A:$A),MATCH(E$1,[1]quests!$1:$1,0)-MATCH($C$1,[1]quests!$1:$1,0)+1),MATCH(E$1,[1]quests!$1:$1,0)-MATCH($C$1,[1]quests!$1:$1,0)+1,FALSE)</f>
        <v>チュートリアル</v>
      </c>
      <c r="F3" s="33">
        <v>1</v>
      </c>
      <c r="G3" s="35" t="str">
        <f t="shared" ref="G3:G7" si="1">C3&amp;"_"&amp;F3</f>
        <v>0_1</v>
      </c>
      <c r="H3" s="21" t="str">
        <f ca="1">VLOOKUP($G3,OFFSET([1]stages!$A$1,0,0,COUNTA([1]stages!$A:$A),MATCH(H$1,[1]stages!$2:$2,0)-MATCH($G$1,[1]stages!$2:$2,0)+1),MATCH(H$1,[1]stages!$2:$2,0)-MATCH($G$1,[1]stages!$2:$2,0)+1,FALSE)</f>
        <v>はじめてのクラッシュ</v>
      </c>
      <c r="I3" s="33">
        <v>2</v>
      </c>
      <c r="J3" s="14">
        <v>15</v>
      </c>
      <c r="K3" s="14">
        <v>15</v>
      </c>
    </row>
    <row r="4" spans="1:11" ht="21" customHeight="1">
      <c r="A4" s="22" t="str">
        <f t="shared" si="0"/>
        <v>0_1-3</v>
      </c>
      <c r="B4" s="22" t="str">
        <f>IF(COUNTIF(enemy_habitats_Tutorial!$H:$H,A4),"OK","NG")</f>
        <v>OK</v>
      </c>
      <c r="C4" s="9">
        <v>0</v>
      </c>
      <c r="D4" s="13" t="str">
        <f ca="1">VLOOKUP($C4,OFFSET([1]quests!$A$1,0,0,COUNTA([1]quests!$A:$A),MATCH(D$1,[1]quests!$1:$1,0)-MATCH($C$1,[1]quests!$1:$1,0)+1),MATCH(D$1,[1]quests!$1:$1,0)-MATCH($C$1,[1]quests!$1:$1,0)+1,FALSE)</f>
        <v>チュートリアル</v>
      </c>
      <c r="E4" s="30" t="str">
        <f ca="1">VLOOKUP($C4,OFFSET([1]quests!$A$1,0,0,COUNTA([1]quests!$A:$A),MATCH(E$1,[1]quests!$1:$1,0)-MATCH($C$1,[1]quests!$1:$1,0)+1),MATCH(E$1,[1]quests!$1:$1,0)-MATCH($C$1,[1]quests!$1:$1,0)+1,FALSE)</f>
        <v>チュートリアル</v>
      </c>
      <c r="F4" s="33">
        <v>1</v>
      </c>
      <c r="G4" s="35" t="str">
        <f t="shared" si="1"/>
        <v>0_1</v>
      </c>
      <c r="H4" s="21" t="str">
        <f ca="1">VLOOKUP($G4,OFFSET([1]stages!$A$1,0,0,COUNTA([1]stages!$A:$A),MATCH(H$1,[1]stages!$2:$2,0)-MATCH($G$1,[1]stages!$2:$2,0)+1),MATCH(H$1,[1]stages!$2:$2,0)-MATCH($G$1,[1]stages!$2:$2,0)+1,FALSE)</f>
        <v>はじめてのクラッシュ</v>
      </c>
      <c r="I4" s="33">
        <v>3</v>
      </c>
      <c r="J4" s="14">
        <v>15</v>
      </c>
      <c r="K4" s="14">
        <v>15</v>
      </c>
    </row>
    <row r="5" spans="1:11" ht="21" customHeight="1">
      <c r="A5" s="22" t="str">
        <f t="shared" si="0"/>
        <v>0_2-1</v>
      </c>
      <c r="B5" s="22" t="str">
        <f>IF(COUNTIF(enemy_habitats_Tutorial!$H:$H,A5),"OK","NG")</f>
        <v>OK</v>
      </c>
      <c r="C5" s="9">
        <v>0</v>
      </c>
      <c r="D5" s="13" t="str">
        <f ca="1">VLOOKUP($C5,OFFSET([1]quests!$A$1,0,0,COUNTA([1]quests!$A:$A),MATCH(D$1,[1]quests!$1:$1,0)-MATCH($C$1,[1]quests!$1:$1,0)+1),MATCH(D$1,[1]quests!$1:$1,0)-MATCH($C$1,[1]quests!$1:$1,0)+1,FALSE)</f>
        <v>チュートリアル</v>
      </c>
      <c r="E5" s="30" t="str">
        <f ca="1">VLOOKUP($C5,OFFSET([1]quests!$A$1,0,0,COUNTA([1]quests!$A:$A),MATCH(E$1,[1]quests!$1:$1,0)-MATCH($C$1,[1]quests!$1:$1,0)+1),MATCH(E$1,[1]quests!$1:$1,0)-MATCH($C$1,[1]quests!$1:$1,0)+1,FALSE)</f>
        <v>チュートリアル</v>
      </c>
      <c r="F5" s="33">
        <v>2</v>
      </c>
      <c r="G5" s="35" t="str">
        <f t="shared" si="1"/>
        <v>0_2</v>
      </c>
      <c r="H5" s="21" t="str">
        <f ca="1">VLOOKUP($G5,OFFSET([1]stages!$A$1,0,0,COUNTA([1]stages!$A:$A),MATCH(H$1,[1]stages!$2:$2,0)-MATCH($G$1,[1]stages!$2:$2,0)+1),MATCH(H$1,[1]stages!$2:$2,0)-MATCH($G$1,[1]stages!$2:$2,0)+1,FALSE)</f>
        <v>練習でクラッシュ！</v>
      </c>
      <c r="I5" s="33">
        <v>1</v>
      </c>
      <c r="J5" s="14">
        <v>45</v>
      </c>
      <c r="K5" s="14">
        <v>45</v>
      </c>
    </row>
    <row r="6" spans="1:11" ht="21" customHeight="1">
      <c r="A6" s="22" t="str">
        <f t="shared" si="0"/>
        <v>0_2-2</v>
      </c>
      <c r="B6" s="22" t="str">
        <f>IF(COUNTIF(enemy_habitats_Tutorial!$H:$H,A6),"OK","NG")</f>
        <v>OK</v>
      </c>
      <c r="C6" s="9">
        <v>0</v>
      </c>
      <c r="D6" s="13" t="str">
        <f ca="1">VLOOKUP($C6,OFFSET([1]quests!$A$1,0,0,COUNTA([1]quests!$A:$A),MATCH(D$1,[1]quests!$1:$1,0)-MATCH($C$1,[1]quests!$1:$1,0)+1),MATCH(D$1,[1]quests!$1:$1,0)-MATCH($C$1,[1]quests!$1:$1,0)+1,FALSE)</f>
        <v>チュートリアル</v>
      </c>
      <c r="E6" s="30" t="str">
        <f ca="1">VLOOKUP($C6,OFFSET([1]quests!$A$1,0,0,COUNTA([1]quests!$A:$A),MATCH(E$1,[1]quests!$1:$1,0)-MATCH($C$1,[1]quests!$1:$1,0)+1),MATCH(E$1,[1]quests!$1:$1,0)-MATCH($C$1,[1]quests!$1:$1,0)+1,FALSE)</f>
        <v>チュートリアル</v>
      </c>
      <c r="F6" s="33">
        <v>2</v>
      </c>
      <c r="G6" s="35" t="str">
        <f t="shared" si="1"/>
        <v>0_2</v>
      </c>
      <c r="H6" s="21" t="str">
        <f ca="1">VLOOKUP($G6,OFFSET([1]stages!$A$1,0,0,COUNTA([1]stages!$A:$A),MATCH(H$1,[1]stages!$2:$2,0)-MATCH($G$1,[1]stages!$2:$2,0)+1),MATCH(H$1,[1]stages!$2:$2,0)-MATCH($G$1,[1]stages!$2:$2,0)+1,FALSE)</f>
        <v>練習でクラッシュ！</v>
      </c>
      <c r="I6" s="33">
        <v>2</v>
      </c>
      <c r="J6" s="14">
        <v>15</v>
      </c>
      <c r="K6" s="14">
        <v>15</v>
      </c>
    </row>
    <row r="7" spans="1:11" ht="21" customHeight="1">
      <c r="A7" s="22" t="str">
        <f t="shared" si="0"/>
        <v>0_2-3</v>
      </c>
      <c r="B7" s="22" t="str">
        <f>IF(COUNTIF(enemy_habitats_Tutorial!$H:$H,A7),"OK","NG")</f>
        <v>OK</v>
      </c>
      <c r="C7" s="9">
        <v>0</v>
      </c>
      <c r="D7" s="13" t="str">
        <f ca="1">VLOOKUP($C7,OFFSET([1]quests!$A$1,0,0,COUNTA([1]quests!$A:$A),MATCH(D$1,[1]quests!$1:$1,0)-MATCH($C$1,[1]quests!$1:$1,0)+1),MATCH(D$1,[1]quests!$1:$1,0)-MATCH($C$1,[1]quests!$1:$1,0)+1,FALSE)</f>
        <v>チュートリアル</v>
      </c>
      <c r="E7" s="30" t="str">
        <f ca="1">VLOOKUP($C7,OFFSET([1]quests!$A$1,0,0,COUNTA([1]quests!$A:$A),MATCH(E$1,[1]quests!$1:$1,0)-MATCH($C$1,[1]quests!$1:$1,0)+1),MATCH(E$1,[1]quests!$1:$1,0)-MATCH($C$1,[1]quests!$1:$1,0)+1,FALSE)</f>
        <v>チュートリアル</v>
      </c>
      <c r="F7" s="33">
        <v>2</v>
      </c>
      <c r="G7" s="35" t="str">
        <f t="shared" si="1"/>
        <v>0_2</v>
      </c>
      <c r="H7" s="21" t="str">
        <f ca="1">VLOOKUP($G7,OFFSET([1]stages!$A$1,0,0,COUNTA([1]stages!$A:$A),MATCH(H$1,[1]stages!$2:$2,0)-MATCH($G$1,[1]stages!$2:$2,0)+1),MATCH(H$1,[1]stages!$2:$2,0)-MATCH($G$1,[1]stages!$2:$2,0)+1,FALSE)</f>
        <v>練習でクラッシュ！</v>
      </c>
      <c r="I7" s="33">
        <v>3</v>
      </c>
      <c r="J7" s="14">
        <v>15</v>
      </c>
      <c r="K7" s="14">
        <v>15</v>
      </c>
    </row>
  </sheetData>
  <sheetProtection selectLockedCells="1" selectUnlockedCells="1"/>
  <phoneticPr fontId="4"/>
  <pageMargins left="0.74791666666666667" right="0.74791666666666667" top="0.98402777777777772" bottom="0.98402777777777772" header="0.51180555555555551" footer="0.51180555555555551"/>
  <pageSetup paperSize="9" firstPageNumber="0" orientation="portrait" horizontalDpi="300" verticalDpi="300"/>
  <extLst>
    <ext xmlns:mx="http://schemas.microsoft.com/office/mac/excel/2008/main" uri="{64002731-A6B0-56B0-2670-7721B7C09600}">
      <mx:PLV Mode="0" OnePage="0" WScale="0"/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 enableFormatConditionsCalculation="0">
    <tabColor rgb="FF0000FF"/>
    <outlinePr summaryBelow="0" summaryRight="0"/>
  </sheetPr>
  <dimension ref="A1:AJ11"/>
  <sheetViews>
    <sheetView showGridLines="0" zoomScale="75" zoomScaleNormal="75" zoomScalePageLayoutView="75" workbookViewId="0">
      <pane xSplit="14" ySplit="1" topLeftCell="Q2" activePane="bottomRight" state="frozen"/>
      <selection pane="topRight" activeCell="N1" sqref="N1"/>
      <selection pane="bottomLeft" activeCell="A2" sqref="A2"/>
      <selection pane="bottomRight"/>
    </sheetView>
  </sheetViews>
  <sheetFormatPr baseColWidth="12" defaultColWidth="13" defaultRowHeight="21" customHeight="1" outlineLevelCol="1" x14ac:dyDescent="0"/>
  <cols>
    <col min="1" max="1" width="12.5" style="31" bestFit="1" customWidth="1"/>
    <col min="2" max="2" width="12.5" style="4" bestFit="1" customWidth="1"/>
    <col min="3" max="3" width="12.33203125" style="4" bestFit="1" customWidth="1"/>
    <col min="4" max="4" width="14.6640625" style="16" customWidth="1" outlineLevel="1"/>
    <col min="5" max="6" width="15.6640625" style="4" customWidth="1" outlineLevel="1"/>
    <col min="7" max="7" width="11.83203125" style="4" bestFit="1" customWidth="1"/>
    <col min="8" max="8" width="11.83203125" style="4" customWidth="1" outlineLevel="1"/>
    <col min="9" max="9" width="15.33203125" style="11" bestFit="1" customWidth="1"/>
    <col min="10" max="10" width="17.6640625" style="4" customWidth="1" outlineLevel="1"/>
    <col min="11" max="11" width="10.33203125" style="4" customWidth="1" outlineLevel="1"/>
    <col min="12" max="12" width="13.6640625" style="4" customWidth="1" outlineLevel="1"/>
    <col min="13" max="13" width="22.83203125" style="4" customWidth="1" outlineLevel="1"/>
    <col min="14" max="14" width="11.6640625" style="4" customWidth="1" outlineLevel="1"/>
    <col min="15" max="15" width="10.1640625" style="4" bestFit="1" customWidth="1"/>
    <col min="16" max="16" width="14.83203125" style="4" bestFit="1" customWidth="1"/>
    <col min="17" max="17" width="17.5" style="4" bestFit="1" customWidth="1"/>
    <col min="18" max="18" width="18.33203125" style="4" bestFit="1" customWidth="1"/>
    <col min="19" max="19" width="14" style="4" customWidth="1"/>
    <col min="20" max="20" width="14" style="4" customWidth="1" outlineLevel="1"/>
    <col min="21" max="21" width="13" style="4" bestFit="1" customWidth="1"/>
    <col min="22" max="22" width="13.5" style="4" bestFit="1" customWidth="1"/>
    <col min="23" max="23" width="12.33203125" style="4" bestFit="1" customWidth="1"/>
    <col min="24" max="24" width="11" style="4" bestFit="1" customWidth="1"/>
    <col min="25" max="25" width="14.83203125" style="4" bestFit="1" customWidth="1"/>
    <col min="26" max="26" width="17.6640625" style="15" customWidth="1" outlineLevel="1"/>
    <col min="27" max="28" width="13.6640625" style="16" customWidth="1" outlineLevel="1"/>
    <col min="29" max="29" width="16.83203125" style="12" bestFit="1" customWidth="1" collapsed="1"/>
    <col min="30" max="31" width="16.5" style="4" bestFit="1" customWidth="1"/>
    <col min="32" max="32" width="15.33203125" style="4" customWidth="1"/>
    <col min="33" max="16384" width="13" style="4"/>
  </cols>
  <sheetData>
    <row r="1" spans="1:36" ht="21" customHeight="1">
      <c r="A1" s="22" t="s">
        <v>29</v>
      </c>
      <c r="B1" s="1" t="s">
        <v>0</v>
      </c>
      <c r="C1" s="1" t="s">
        <v>1</v>
      </c>
      <c r="D1" s="21" t="s">
        <v>28</v>
      </c>
      <c r="E1" s="2" t="s">
        <v>20</v>
      </c>
      <c r="F1" s="2" t="s">
        <v>20</v>
      </c>
      <c r="G1" s="1" t="s">
        <v>19</v>
      </c>
      <c r="H1" s="21" t="s">
        <v>37</v>
      </c>
      <c r="I1" s="1" t="s">
        <v>2</v>
      </c>
      <c r="J1" s="26" t="s">
        <v>21</v>
      </c>
      <c r="K1" s="21" t="s">
        <v>24</v>
      </c>
      <c r="L1" s="21" t="s">
        <v>23</v>
      </c>
      <c r="M1" s="28" t="s">
        <v>26</v>
      </c>
      <c r="N1" s="2" t="s">
        <v>25</v>
      </c>
      <c r="O1" s="1" t="s">
        <v>3</v>
      </c>
      <c r="P1" s="41" t="s">
        <v>49</v>
      </c>
      <c r="Q1" s="41" t="s">
        <v>50</v>
      </c>
      <c r="R1" s="41" t="s">
        <v>51</v>
      </c>
      <c r="S1" s="21" t="s">
        <v>33</v>
      </c>
      <c r="T1" s="1" t="s">
        <v>4</v>
      </c>
      <c r="U1" s="1" t="s">
        <v>5</v>
      </c>
      <c r="V1" s="1" t="s">
        <v>6</v>
      </c>
      <c r="W1" s="1" t="s">
        <v>7</v>
      </c>
      <c r="X1" s="1" t="s">
        <v>8</v>
      </c>
      <c r="Y1" s="3" t="s">
        <v>9</v>
      </c>
      <c r="Z1" s="23" t="s">
        <v>16</v>
      </c>
      <c r="AA1" s="23" t="s">
        <v>17</v>
      </c>
      <c r="AB1" s="23" t="s">
        <v>27</v>
      </c>
      <c r="AC1" s="3" t="s">
        <v>10</v>
      </c>
      <c r="AD1" s="1" t="s">
        <v>11</v>
      </c>
      <c r="AE1" s="1" t="s">
        <v>12</v>
      </c>
      <c r="AF1" s="37" t="s">
        <v>39</v>
      </c>
      <c r="AG1" s="37" t="s">
        <v>40</v>
      </c>
      <c r="AH1" s="37" t="s">
        <v>41</v>
      </c>
      <c r="AI1" s="37" t="s">
        <v>42</v>
      </c>
      <c r="AJ1" s="37" t="s">
        <v>43</v>
      </c>
    </row>
    <row r="2" spans="1:36" ht="21" customHeight="1">
      <c r="A2" s="22" t="str">
        <f ca="1">B2&amp;"_"&amp;C2&amp;"-"&amp;G2&amp;"/"&amp;I2&amp;"&lt;lv"&amp;O2&amp;"&gt;s"&amp;X2</f>
        <v>0_1-1/1&lt;lv1&gt;s1</v>
      </c>
      <c r="B2" s="34">
        <v>0</v>
      </c>
      <c r="C2" s="33">
        <v>1</v>
      </c>
      <c r="D2" s="2" t="str">
        <f>B2&amp;"_"&amp;C2</f>
        <v>0_1</v>
      </c>
      <c r="E2" s="5" t="str">
        <f ca="1">VLOOKUP($B2,OFFSET([1]quests!$A$1,0,0,COUNTA([1]quests!$A:$A),MATCH(E$1,[1]quests!$1:$1,0)-MATCH($B$1,[1]quests!$1:$1,0)+1),MATCH(E$1,[1]quests!$1:$1,0)-MATCH($B$1,[1]quests!$1:$1,0)+1,FALSE)</f>
        <v>チュートリアル</v>
      </c>
      <c r="F2" s="5" t="str">
        <f ca="1">VLOOKUP($D2,OFFSET([1]stages!$A$1,0,0,COUNTA([1]stages!$A:$A),MATCH(F$1,[1]stages!$2:$2,0)-MATCH($D$1,[1]stages!$2:$2,0)+1),MATCH(F$1,[1]stages!$2:$2,0)-MATCH($D$1,[1]stages!$2:$2,0)+1,FALSE)</f>
        <v>はじめてのクラッシュ</v>
      </c>
      <c r="G2" s="33">
        <v>1</v>
      </c>
      <c r="H2" s="21" t="str">
        <f>B2&amp;"_"&amp;C2&amp;"-"&amp;G2</f>
        <v>0_1-1</v>
      </c>
      <c r="I2" s="32">
        <v>1</v>
      </c>
      <c r="J2" s="27" t="str">
        <f ca="1">VLOOKUP($I2,OFFSET([2]enemies!$A$1,0,0,COUNTA([2]enemies!$A:$A),MATCH(J$1,[2]enemies!$2:$2,0)-MATCH($I$1,[2]enemies!$2:$2,0)+1),MATCH(J$1,[2]enemies!$2:$2,0)-MATCH($I$1,[2]enemies!$2:$2,0)+1,FALSE)</f>
        <v>ジェリー</v>
      </c>
      <c r="K2" s="30" t="str">
        <f ca="1">VLOOKUP($I2,OFFSET([2]enemies!$A$1,0,0,COUNTA([2]enemies!$A:$A),MATCH(K$1,[2]enemies!$2:$2,0)-MATCH($I$1,[2]enemies!$2:$2,0)+1),MATCH(K$1,[2]enemies!$2:$2,0)-MATCH($I$1,[2]enemies!$2:$2,0)+1,FALSE)</f>
        <v>red</v>
      </c>
      <c r="L2" s="30" t="str">
        <f ca="1">VLOOKUP($I2,OFFSET([3]characters!$A$1,0,0,COUNTA([3]characters!$A:$A),MATCH(L$1,[3]characters!$2:$2,0)-MATCH($I$1,[3]characters!$2:$2,0)+1),MATCH(L$1,[3]characters!$2:$2,0)-MATCH($I$1,[3]characters!$2:$2,0)+1,FALSE)</f>
        <v>Drop1T</v>
      </c>
      <c r="M2" s="29" t="str">
        <f ca="1">VLOOKUP($I2,OFFSET([3]characters!$A$1,0,0,COUNTA([3]characters!$A:$A),MATCH(M$1,[3]characters!$2:$2,0)-MATCH($I$1,[3]characters!$2:$2,0)+2),MATCH(M$1,[3]characters!$2:$2,0)-MATCH($I$1,[3]characters!$2:$2,0)+2,FALSE)</f>
        <v>Unknown</v>
      </c>
      <c r="N2" s="5">
        <f ca="1">VLOOKUP($I2,OFFSET([2]enemies!$A$1,0,0,COUNTA([2]enemies!$A:$A),MATCH(N$1,[2]enemies!$2:$2,0)-MATCH($I$1,[2]enemies!$2:$2,0)+1),MATCH(N$1,[2]enemies!$2:$2,0)-MATCH($I$1,[2]enemies!$2:$2,0)+1,FALSE)</f>
        <v>15</v>
      </c>
      <c r="O2" s="6">
        <v>1</v>
      </c>
      <c r="P2" s="42">
        <v>1</v>
      </c>
      <c r="Q2" s="42">
        <v>1</v>
      </c>
      <c r="R2" s="6">
        <v>0</v>
      </c>
      <c r="S2" s="5" t="str">
        <f ca="1">VLOOKUP($T2,OFFSET([4]enemy_skill_sets!$B$1,0,0,COUNTA([4]enemy_skill_sets!$B:$B),MATCH(J$1,[4]enemy_skill_sets!$1:$1,0)-MATCH($T$1,[4]enemy_skill_sets!$1:$1,0)+2),MATCH(J$1,[4]enemy_skill_sets!$1:$1,0)-MATCH($T$1,[4]enemy_skill_sets!$1:$1,0)+2,FALSE)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2" s="5">
        <f ca="1">VLOOKUP($I2,OFFSET([2]enemies!$A$1,0,0,COUNTA([2]enemies!$A:$A),MATCH(T$1,[2]enemies!$2:$2,0)-MATCH($I$1,[2]enemies!$2:$2,0)+1),MATCH(T$1,[2]enemies!$2:$2,0)-MATCH($I$1,[2]enemies!$2:$2,0)+1,FALSE)</f>
        <v>0</v>
      </c>
      <c r="U2" s="7">
        <v>1</v>
      </c>
      <c r="V2" s="7">
        <v>100</v>
      </c>
      <c r="W2" s="7">
        <v>0</v>
      </c>
      <c r="X2" s="27">
        <f ca="1">VLOOKUP($I2,OFFSET([2]enemies!$A$1,0,0,COUNTA([2]enemies!$A:$A),MATCH(X$1,[2]enemies!$2:$2,0)-MATCH($I$1,[2]enemies!$2:$2,0)+1),MATCH(X$1,[2]enemies!$2:$2,0)-MATCH($I$1,[2]enemies!$2:$2,0)+1,FALSE)</f>
        <v>1</v>
      </c>
      <c r="Y2" s="8">
        <f>I2</f>
        <v>1</v>
      </c>
      <c r="Z2" s="5" t="str">
        <f ca="1">IFERROR(VLOOKUP($Y2,OFFSET([3]characters!$A$1,0,0,COUNTA([3]characters!$A:$A),MATCH(Z$1,[3]characters!$2:$2,0)-MATCH("character_id",[3]characters!$2:$2,0)+1),MATCH(Z$1,[3]characters!$2:$2,0)-MATCH("character_id",[3]characters!$2:$2,0)+1,FALSE),"")</f>
        <v>ジェリー</v>
      </c>
      <c r="AA2" s="5">
        <f ca="1">IFERROR(VLOOKUP($Y2,OFFSET([3]characters!$A$1,0,0,COUNTA([3]characters!$A:$A),MATCH(AA$1,[3]characters!$2:$2,0)-MATCH("character_id",[3]characters!$2:$2,0)+1),MATCH(AA$1,[3]characters!$2:$2,0)-MATCH("character_id",[3]characters!$2:$2,0)+1,FALSE),"")</f>
        <v>1</v>
      </c>
      <c r="AB2" s="5" t="str">
        <f ca="1">IFERROR(VLOOKUP($Y2,OFFSET([3]characters!$A$1,0,0,COUNTA([3]characters!$A:$A),MATCH(AB$1,[3]characters!$2:$2,0)-MATCH("character_id",[3]characters!$2:$2,0)+1),MATCH(AB$1,[3]characters!$2:$2,0)-MATCH("character_id",[3]characters!$2:$2,0)+1,FALSE),"")</f>
        <v>Drop1T</v>
      </c>
      <c r="AC2" s="9">
        <v>1</v>
      </c>
      <c r="AD2" s="36">
        <f ca="1">AA2</f>
        <v>1</v>
      </c>
      <c r="AE2" s="10">
        <v>0</v>
      </c>
      <c r="AF2" s="38">
        <v>0</v>
      </c>
      <c r="AG2" s="38">
        <v>0</v>
      </c>
      <c r="AH2" s="38">
        <v>0</v>
      </c>
      <c r="AI2" s="38">
        <v>0</v>
      </c>
      <c r="AJ2" s="38">
        <v>1</v>
      </c>
    </row>
    <row r="3" spans="1:36" ht="21" customHeight="1">
      <c r="A3" s="22" t="str">
        <f t="shared" ref="A3:A11" si="0">B3&amp;"_"&amp;C3&amp;"-"&amp;G3&amp;"/"&amp;I3&amp;"&lt;lv"&amp;O3&amp;"&gt;s"&amp;X3</f>
        <v>0_1-2/1&lt;lv1&gt;s6</v>
      </c>
      <c r="B3" s="34">
        <v>0</v>
      </c>
      <c r="C3" s="33">
        <v>1</v>
      </c>
      <c r="D3" s="2" t="str">
        <f t="shared" ref="D3:D11" si="1">B3&amp;"_"&amp;C3</f>
        <v>0_1</v>
      </c>
      <c r="E3" s="5" t="str">
        <f ca="1">VLOOKUP($B3,OFFSET([1]quests!$A$1,0,0,COUNTA([1]quests!$A:$A),MATCH(E$1,[1]quests!$1:$1,0)-MATCH($B$1,[1]quests!$1:$1,0)+1),MATCH(E$1,[1]quests!$1:$1,0)-MATCH($B$1,[1]quests!$1:$1,0)+1,FALSE)</f>
        <v>チュートリアル</v>
      </c>
      <c r="F3" s="5" t="str">
        <f ca="1">VLOOKUP($D3,OFFSET([1]stages!$A$1,0,0,COUNTA([1]stages!$A:$A),MATCH(F$1,[1]stages!$2:$2,0)-MATCH($D$1,[1]stages!$2:$2,0)+1),MATCH(F$1,[1]stages!$2:$2,0)-MATCH($D$1,[1]stages!$2:$2,0)+1,FALSE)</f>
        <v>はじめてのクラッシュ</v>
      </c>
      <c r="G3" s="33">
        <v>2</v>
      </c>
      <c r="H3" s="21" t="str">
        <f t="shared" ref="H3:H11" si="2">B3&amp;"_"&amp;C3&amp;"-"&amp;G3</f>
        <v>0_1-2</v>
      </c>
      <c r="I3" s="32">
        <v>1</v>
      </c>
      <c r="J3" s="27" t="str">
        <f ca="1">VLOOKUP($I3,OFFSET([2]enemies!$A$1,0,0,COUNTA([2]enemies!$A:$A),MATCH(J$1,[2]enemies!$2:$2,0)-MATCH($I$1,[2]enemies!$2:$2,0)+1),MATCH(J$1,[2]enemies!$2:$2,0)-MATCH($I$1,[2]enemies!$2:$2,0)+1,FALSE)</f>
        <v>ジェリー</v>
      </c>
      <c r="K3" s="30" t="str">
        <f ca="1">VLOOKUP($I3,OFFSET([2]enemies!$A$1,0,0,COUNTA([2]enemies!$A:$A),MATCH(K$1,[2]enemies!$2:$2,0)-MATCH($I$1,[2]enemies!$2:$2,0)+1),MATCH(K$1,[2]enemies!$2:$2,0)-MATCH($I$1,[2]enemies!$2:$2,0)+1,FALSE)</f>
        <v>red</v>
      </c>
      <c r="L3" s="30" t="str">
        <f ca="1">VLOOKUP($I3,OFFSET([3]characters!$A$1,0,0,COUNTA([3]characters!$A:$A),MATCH(L$1,[3]characters!$2:$2,0)-MATCH($I$1,[3]characters!$2:$2,0)+1),MATCH(L$1,[3]characters!$2:$2,0)-MATCH($I$1,[3]characters!$2:$2,0)+1,FALSE)</f>
        <v>Drop1T</v>
      </c>
      <c r="M3" s="29" t="str">
        <f ca="1">VLOOKUP($I3,OFFSET([3]characters!$A$1,0,0,COUNTA([3]characters!$A:$A),MATCH(M$1,[3]characters!$2:$2,0)-MATCH($I$1,[3]characters!$2:$2,0)+2),MATCH(M$1,[3]characters!$2:$2,0)-MATCH($I$1,[3]characters!$2:$2,0)+2,FALSE)</f>
        <v>Unknown</v>
      </c>
      <c r="N3" s="5">
        <f ca="1">VLOOKUP($I3,OFFSET([2]enemies!$A$1,0,0,COUNTA([2]enemies!$A:$A),MATCH(N$1,[2]enemies!$2:$2,0)-MATCH($I$1,[2]enemies!$2:$2,0)+1),MATCH(N$1,[2]enemies!$2:$2,0)-MATCH($I$1,[2]enemies!$2:$2,0)+1,FALSE)</f>
        <v>15</v>
      </c>
      <c r="O3" s="6">
        <v>1</v>
      </c>
      <c r="P3" s="42">
        <v>1</v>
      </c>
      <c r="Q3" s="42">
        <v>1</v>
      </c>
      <c r="R3" s="6">
        <v>0</v>
      </c>
      <c r="S3" s="5" t="str">
        <f ca="1">VLOOKUP($T3,OFFSET([4]enemy_skill_sets!$B$1,0,0,COUNTA([4]enemy_skill_sets!$B:$B),MATCH(J$1,[4]enemy_skill_sets!$1:$1,0)-MATCH($T$1,[4]enemy_skill_sets!$1:$1,0)+2),MATCH(J$1,[4]enemy_skill_sets!$1:$1,0)-MATCH($T$1,[4]enemy_skill_sets!$1:$1,0)+2,FALSE)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3" s="5">
        <f ca="1">VLOOKUP($I3,OFFSET([2]enemies!$A$1,0,0,COUNTA([2]enemies!$A:$A),MATCH(T$1,[2]enemies!$2:$2,0)-MATCH($I$1,[2]enemies!$2:$2,0)+1),MATCH(T$1,[2]enemies!$2:$2,0)-MATCH($I$1,[2]enemies!$2:$2,0)+1,FALSE)</f>
        <v>0</v>
      </c>
      <c r="U3" s="7">
        <v>1</v>
      </c>
      <c r="V3" s="7">
        <v>100</v>
      </c>
      <c r="W3" s="7">
        <v>0</v>
      </c>
      <c r="X3" s="39">
        <v>6</v>
      </c>
      <c r="Y3" s="8">
        <f t="shared" ref="Y3:Y11" si="3">I3</f>
        <v>1</v>
      </c>
      <c r="Z3" s="5" t="str">
        <f ca="1">IFERROR(VLOOKUP($Y3,OFFSET([3]characters!$A$1,0,0,COUNTA([3]characters!$A:$A),MATCH(Z$1,[3]characters!$2:$2,0)-MATCH("character_id",[3]characters!$2:$2,0)+1),MATCH(Z$1,[3]characters!$2:$2,0)-MATCH("character_id",[3]characters!$2:$2,0)+1,FALSE),"")</f>
        <v>ジェリー</v>
      </c>
      <c r="AA3" s="5">
        <f ca="1">IFERROR(VLOOKUP($Y3,OFFSET([3]characters!$A$1,0,0,COUNTA([3]characters!$A:$A),MATCH(AA$1,[3]characters!$2:$2,0)-MATCH("character_id",[3]characters!$2:$2,0)+1),MATCH(AA$1,[3]characters!$2:$2,0)-MATCH("character_id",[3]characters!$2:$2,0)+1,FALSE),"")</f>
        <v>1</v>
      </c>
      <c r="AB3" s="5" t="str">
        <f ca="1">IFERROR(VLOOKUP($Y3,OFFSET([3]characters!$A$1,0,0,COUNTA([3]characters!$A:$A),MATCH(AB$1,[3]characters!$2:$2,0)-MATCH("character_id",[3]characters!$2:$2,0)+1),MATCH(AB$1,[3]characters!$2:$2,0)-MATCH("character_id",[3]characters!$2:$2,0)+1,FALSE),"")</f>
        <v>Drop1T</v>
      </c>
      <c r="AC3" s="9">
        <v>1</v>
      </c>
      <c r="AD3" s="36">
        <f t="shared" ref="AD3:AD11" ca="1" si="4">AA3</f>
        <v>1</v>
      </c>
      <c r="AE3" s="10">
        <v>0</v>
      </c>
      <c r="AF3" s="38">
        <v>0</v>
      </c>
      <c r="AG3" s="38">
        <v>0</v>
      </c>
      <c r="AH3" s="38">
        <v>0</v>
      </c>
      <c r="AI3" s="38">
        <v>0</v>
      </c>
      <c r="AJ3" s="38">
        <v>1</v>
      </c>
    </row>
    <row r="4" spans="1:36" ht="21" customHeight="1">
      <c r="A4" s="22" t="str">
        <f t="shared" si="0"/>
        <v>0_1-2/7&lt;lv1&gt;s6</v>
      </c>
      <c r="B4" s="34">
        <v>0</v>
      </c>
      <c r="C4" s="33">
        <v>1</v>
      </c>
      <c r="D4" s="2" t="str">
        <f t="shared" si="1"/>
        <v>0_1</v>
      </c>
      <c r="E4" s="5" t="str">
        <f ca="1">VLOOKUP($B4,OFFSET([1]quests!$A$1,0,0,COUNTA([1]quests!$A:$A),MATCH(E$1,[1]quests!$1:$1,0)-MATCH($B$1,[1]quests!$1:$1,0)+1),MATCH(E$1,[1]quests!$1:$1,0)-MATCH($B$1,[1]quests!$1:$1,0)+1,FALSE)</f>
        <v>チュートリアル</v>
      </c>
      <c r="F4" s="5" t="str">
        <f ca="1">VLOOKUP($D4,OFFSET([1]stages!$A$1,0,0,COUNTA([1]stages!$A:$A),MATCH(F$1,[1]stages!$2:$2,0)-MATCH($D$1,[1]stages!$2:$2,0)+1),MATCH(F$1,[1]stages!$2:$2,0)-MATCH($D$1,[1]stages!$2:$2,0)+1,FALSE)</f>
        <v>はじめてのクラッシュ</v>
      </c>
      <c r="G4" s="33">
        <v>2</v>
      </c>
      <c r="H4" s="21" t="str">
        <f t="shared" si="2"/>
        <v>0_1-2</v>
      </c>
      <c r="I4" s="32">
        <v>7</v>
      </c>
      <c r="J4" s="27" t="str">
        <f ca="1">VLOOKUP($I4,OFFSET([2]enemies!$A$1,0,0,COUNTA([2]enemies!$A:$A),MATCH(J$1,[2]enemies!$2:$2,0)-MATCH($I$1,[2]enemies!$2:$2,0)+1),MATCH(J$1,[2]enemies!$2:$2,0)-MATCH($I$1,[2]enemies!$2:$2,0)+1,FALSE)</f>
        <v>エレキポット</v>
      </c>
      <c r="K4" s="30" t="str">
        <f ca="1">VLOOKUP($I4,OFFSET([2]enemies!$A$1,0,0,COUNTA([2]enemies!$A:$A),MATCH(K$1,[2]enemies!$2:$2,0)-MATCH($I$1,[2]enemies!$2:$2,0)+1),MATCH(K$1,[2]enemies!$2:$2,0)-MATCH($I$1,[2]enemies!$2:$2,0)+1,FALSE)</f>
        <v>yellow</v>
      </c>
      <c r="L4" s="30" t="str">
        <f ca="1">VLOOKUP($I4,OFFSET([3]characters!$A$1,0,0,COUNTA([3]characters!$A:$A),MATCH(L$1,[3]characters!$2:$2,0)-MATCH($I$1,[3]characters!$2:$2,0)+1),MATCH(L$1,[3]characters!$2:$2,0)-MATCH($I$1,[3]characters!$2:$2,0)+1,FALSE)</f>
        <v>Drop1T</v>
      </c>
      <c r="M4" s="29" t="str">
        <f ca="1">VLOOKUP($I4,OFFSET([3]characters!$A$1,0,0,COUNTA([3]characters!$A:$A),MATCH(M$1,[3]characters!$2:$2,0)-MATCH($I$1,[3]characters!$2:$2,0)+2),MATCH(M$1,[3]characters!$2:$2,0)-MATCH($I$1,[3]characters!$2:$2,0)+2,FALSE)</f>
        <v>Unknown</v>
      </c>
      <c r="N4" s="5">
        <f ca="1">VLOOKUP($I4,OFFSET([2]enemies!$A$1,0,0,COUNTA([2]enemies!$A:$A),MATCH(N$1,[2]enemies!$2:$2,0)-MATCH($I$1,[2]enemies!$2:$2,0)+1),MATCH(N$1,[2]enemies!$2:$2,0)-MATCH($I$1,[2]enemies!$2:$2,0)+1,FALSE)</f>
        <v>15</v>
      </c>
      <c r="O4" s="6">
        <v>1</v>
      </c>
      <c r="P4" s="42">
        <v>1</v>
      </c>
      <c r="Q4" s="42">
        <v>1</v>
      </c>
      <c r="R4" s="6">
        <v>0</v>
      </c>
      <c r="S4" s="5" t="str">
        <f ca="1">VLOOKUP($T4,OFFSET([4]enemy_skill_sets!$B$1,0,0,COUNTA([4]enemy_skill_sets!$B:$B),MATCH(J$1,[4]enemy_skill_sets!$1:$1,0)-MATCH($T$1,[4]enemy_skill_sets!$1:$1,0)+2),MATCH(J$1,[4]enemy_skill_sets!$1:$1,0)-MATCH($T$1,[4]enemy_skill_sets!$1:$1,0)+2,FALSE)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4" s="5">
        <f ca="1">VLOOKUP($I4,OFFSET([2]enemies!$A$1,0,0,COUNTA([2]enemies!$A:$A),MATCH(T$1,[2]enemies!$2:$2,0)-MATCH($I$1,[2]enemies!$2:$2,0)+1),MATCH(T$1,[2]enemies!$2:$2,0)-MATCH($I$1,[2]enemies!$2:$2,0)+1,FALSE)</f>
        <v>0</v>
      </c>
      <c r="U4" s="7">
        <v>1</v>
      </c>
      <c r="V4" s="7">
        <v>100</v>
      </c>
      <c r="W4" s="7">
        <v>0</v>
      </c>
      <c r="X4" s="39">
        <v>6</v>
      </c>
      <c r="Y4" s="8">
        <f t="shared" si="3"/>
        <v>7</v>
      </c>
      <c r="Z4" s="5" t="str">
        <f ca="1">IFERROR(VLOOKUP($Y4,OFFSET([3]characters!$A$1,0,0,COUNTA([3]characters!$A:$A),MATCH(Z$1,[3]characters!$2:$2,0)-MATCH("character_id",[3]characters!$2:$2,0)+1),MATCH(Z$1,[3]characters!$2:$2,0)-MATCH("character_id",[3]characters!$2:$2,0)+1,FALSE),"")</f>
        <v>エレキポット</v>
      </c>
      <c r="AA4" s="5">
        <f ca="1">IFERROR(VLOOKUP($Y4,OFFSET([3]characters!$A$1,0,0,COUNTA([3]characters!$A:$A),MATCH(AA$1,[3]characters!$2:$2,0)-MATCH("character_id",[3]characters!$2:$2,0)+1),MATCH(AA$1,[3]characters!$2:$2,0)-MATCH("character_id",[3]characters!$2:$2,0)+1,FALSE),"")</f>
        <v>1</v>
      </c>
      <c r="AB4" s="5" t="str">
        <f ca="1">IFERROR(VLOOKUP($Y4,OFFSET([3]characters!$A$1,0,0,COUNTA([3]characters!$A:$A),MATCH(AB$1,[3]characters!$2:$2,0)-MATCH("character_id",[3]characters!$2:$2,0)+1),MATCH(AB$1,[3]characters!$2:$2,0)-MATCH("character_id",[3]characters!$2:$2,0)+1,FALSE),"")</f>
        <v>Drop1T</v>
      </c>
      <c r="AC4" s="9">
        <v>1</v>
      </c>
      <c r="AD4" s="36">
        <f t="shared" ca="1" si="4"/>
        <v>1</v>
      </c>
      <c r="AE4" s="10">
        <v>100</v>
      </c>
      <c r="AF4" s="38">
        <v>0</v>
      </c>
      <c r="AG4" s="38">
        <v>0</v>
      </c>
      <c r="AH4" s="38">
        <v>0</v>
      </c>
      <c r="AI4" s="38">
        <v>0</v>
      </c>
      <c r="AJ4" s="38">
        <v>1</v>
      </c>
    </row>
    <row r="5" spans="1:36" ht="21" customHeight="1">
      <c r="A5" s="22" t="str">
        <f t="shared" ref="A5" si="5">B5&amp;"_"&amp;C5&amp;"-"&amp;G5&amp;"/"&amp;I5&amp;"&lt;lv"&amp;O5&amp;"&gt;s"&amp;X5</f>
        <v>0_1-3/202&lt;lv1&gt;s7</v>
      </c>
      <c r="B5" s="34">
        <v>0</v>
      </c>
      <c r="C5" s="33">
        <v>1</v>
      </c>
      <c r="D5" s="2" t="str">
        <f t="shared" ref="D5" si="6">B5&amp;"_"&amp;C5</f>
        <v>0_1</v>
      </c>
      <c r="E5" s="5" t="str">
        <f ca="1">VLOOKUP($B5,OFFSET([1]quests!$A$1,0,0,COUNTA([1]quests!$A:$A),MATCH(E$1,[1]quests!$1:$1,0)-MATCH($B$1,[1]quests!$1:$1,0)+1),MATCH(E$1,[1]quests!$1:$1,0)-MATCH($B$1,[1]quests!$1:$1,0)+1,FALSE)</f>
        <v>チュートリアル</v>
      </c>
      <c r="F5" s="5" t="str">
        <f ca="1">VLOOKUP($D5,OFFSET([1]stages!$A$1,0,0,COUNTA([1]stages!$A:$A),MATCH(F$1,[1]stages!$2:$2,0)-MATCH($D$1,[1]stages!$2:$2,0)+1),MATCH(F$1,[1]stages!$2:$2,0)-MATCH($D$1,[1]stages!$2:$2,0)+1,FALSE)</f>
        <v>はじめてのクラッシュ</v>
      </c>
      <c r="G5" s="33">
        <v>3</v>
      </c>
      <c r="H5" s="21" t="str">
        <f t="shared" ref="H5" si="7">B5&amp;"_"&amp;C5&amp;"-"&amp;G5</f>
        <v>0_1-3</v>
      </c>
      <c r="I5" s="32">
        <v>202</v>
      </c>
      <c r="J5" s="27" t="str">
        <f ca="1">VLOOKUP($I5,OFFSET([2]enemies!$A$1,0,0,COUNTA([2]enemies!$A:$A),MATCH(J$1,[2]enemies!$2:$2,0)-MATCH($I$1,[2]enemies!$2:$2,0)+1),MATCH(J$1,[2]enemies!$2:$2,0)-MATCH($I$1,[2]enemies!$2:$2,0)+1,FALSE)</f>
        <v>プロメテウス</v>
      </c>
      <c r="K5" s="30" t="str">
        <f ca="1">VLOOKUP($I5,OFFSET([2]enemies!$A$1,0,0,COUNTA([2]enemies!$A:$A),MATCH(K$1,[2]enemies!$2:$2,0)-MATCH($I$1,[2]enemies!$2:$2,0)+1),MATCH(K$1,[2]enemies!$2:$2,0)-MATCH($I$1,[2]enemies!$2:$2,0)+1,FALSE)</f>
        <v>red</v>
      </c>
      <c r="L5" s="30" t="str">
        <f ca="1">VLOOKUP($I5,OFFSET([3]characters!$A$1,0,0,COUNTA([3]characters!$A:$A),MATCH(L$1,[3]characters!$2:$2,0)-MATCH($I$1,[3]characters!$2:$2,0)+1),MATCH(L$1,[3]characters!$2:$2,0)-MATCH($I$1,[3]characters!$2:$2,0)+1,FALSE)</f>
        <v>PremiumN</v>
      </c>
      <c r="M5" s="29" t="str">
        <f ca="1">VLOOKUP($I5,OFFSET([3]characters!$A$1,0,0,COUNTA([3]characters!$A:$A),MATCH(M$1,[3]characters!$2:$2,0)-MATCH($I$1,[3]characters!$2:$2,0)+2),MATCH(M$1,[3]characters!$2:$2,0)-MATCH($I$1,[3]characters!$2:$2,0)+2,FALSE)</f>
        <v>ゴッド</v>
      </c>
      <c r="N5" s="5">
        <f ca="1">VLOOKUP($I5,OFFSET([2]enemies!$A$1,0,0,COUNTA([2]enemies!$A:$A),MATCH(N$1,[2]enemies!$2:$2,0)-MATCH($I$1,[2]enemies!$2:$2,0)+1),MATCH(N$1,[2]enemies!$2:$2,0)-MATCH($I$1,[2]enemies!$2:$2,0)+1,FALSE)</f>
        <v>20</v>
      </c>
      <c r="O5" s="6">
        <v>1</v>
      </c>
      <c r="P5" s="42">
        <v>1</v>
      </c>
      <c r="Q5" s="42">
        <v>1</v>
      </c>
      <c r="R5" s="6">
        <v>0</v>
      </c>
      <c r="S5" s="40" t="str">
        <f ca="1">VLOOKUP($T5,OFFSET([4]enemy_skill_sets!$B$1,0,0,COUNTA([4]enemy_skill_sets!$B:$B),MATCH(J$1,[4]enemy_skill_sets!$1:$1,0)-MATCH($T$1,[4]enemy_skill_sets!$1:$1,0)+2),MATCH(J$1,[4]enemy_skill_sets!$1:$1,0)-MATCH($T$1,[4]enemy_skill_sets!$1:$1,0)+2,FALSE)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5" s="40">
        <v>0</v>
      </c>
      <c r="U5" s="7">
        <v>1</v>
      </c>
      <c r="V5" s="7">
        <v>100</v>
      </c>
      <c r="W5" s="7">
        <v>1</v>
      </c>
      <c r="X5" s="39">
        <v>7</v>
      </c>
      <c r="Y5" s="8">
        <f t="shared" ref="Y5" si="8">I5</f>
        <v>202</v>
      </c>
      <c r="Z5" s="5" t="str">
        <f ca="1">IFERROR(VLOOKUP($Y5,OFFSET([3]characters!$A$1,0,0,COUNTA([3]characters!$A:$A),MATCH(Z$1,[3]characters!$2:$2,0)-MATCH("character_id",[3]characters!$2:$2,0)+1),MATCH(Z$1,[3]characters!$2:$2,0)-MATCH("character_id",[3]characters!$2:$2,0)+1,FALSE),"")</f>
        <v>プロメテウス</v>
      </c>
      <c r="AA5" s="5">
        <f ca="1">IFERROR(VLOOKUP($Y5,OFFSET([3]characters!$A$1,0,0,COUNTA([3]characters!$A:$A),MATCH(AA$1,[3]characters!$2:$2,0)-MATCH("character_id",[3]characters!$2:$2,0)+1),MATCH(AA$1,[3]characters!$2:$2,0)-MATCH("character_id",[3]characters!$2:$2,0)+1,FALSE),"")</f>
        <v>3</v>
      </c>
      <c r="AB5" s="5" t="str">
        <f ca="1">IFERROR(VLOOKUP($Y5,OFFSET([3]characters!$A$1,0,0,COUNTA([3]characters!$A:$A),MATCH(AB$1,[3]characters!$2:$2,0)-MATCH("character_id",[3]characters!$2:$2,0)+1),MATCH(AB$1,[3]characters!$2:$2,0)-MATCH("character_id",[3]characters!$2:$2,0)+1,FALSE),"")</f>
        <v>PremiumN</v>
      </c>
      <c r="AC5" s="9">
        <v>1</v>
      </c>
      <c r="AD5" s="36">
        <f t="shared" ref="AD5" ca="1" si="9">AA5</f>
        <v>3</v>
      </c>
      <c r="AE5" s="10">
        <v>0</v>
      </c>
      <c r="AF5" s="38">
        <v>0</v>
      </c>
      <c r="AG5" s="38">
        <v>0</v>
      </c>
      <c r="AH5" s="38">
        <v>0</v>
      </c>
      <c r="AI5" s="38">
        <v>0</v>
      </c>
      <c r="AJ5" s="38">
        <v>1</v>
      </c>
    </row>
    <row r="6" spans="1:36" ht="21" customHeight="1">
      <c r="A6" s="22" t="str">
        <f t="shared" ca="1" si="0"/>
        <v>0_2-1/5&lt;lv1&gt;s3</v>
      </c>
      <c r="B6" s="34">
        <v>0</v>
      </c>
      <c r="C6" s="33">
        <v>2</v>
      </c>
      <c r="D6" s="2" t="str">
        <f t="shared" si="1"/>
        <v>0_2</v>
      </c>
      <c r="E6" s="5" t="str">
        <f ca="1">VLOOKUP($B6,OFFSET([1]quests!$A$1,0,0,COUNTA([1]quests!$A:$A),MATCH(E$1,[1]quests!$1:$1,0)-MATCH($B$1,[1]quests!$1:$1,0)+1),MATCH(E$1,[1]quests!$1:$1,0)-MATCH($B$1,[1]quests!$1:$1,0)+1,FALSE)</f>
        <v>チュートリアル</v>
      </c>
      <c r="F6" s="5" t="str">
        <f ca="1">VLOOKUP($D6,OFFSET([1]stages!$A$1,0,0,COUNTA([1]stages!$A:$A),MATCH(F$1,[1]stages!$2:$2,0)-MATCH($D$1,[1]stages!$2:$2,0)+1),MATCH(F$1,[1]stages!$2:$2,0)-MATCH($D$1,[1]stages!$2:$2,0)+1,FALSE)</f>
        <v>練習でクラッシュ！</v>
      </c>
      <c r="G6" s="33">
        <v>1</v>
      </c>
      <c r="H6" s="21" t="str">
        <f t="shared" si="2"/>
        <v>0_2-1</v>
      </c>
      <c r="I6" s="32">
        <v>5</v>
      </c>
      <c r="J6" s="27" t="str">
        <f ca="1">VLOOKUP($I6,OFFSET([2]enemies!$A$1,0,0,COUNTA([2]enemies!$A:$A),MATCH(J$1,[2]enemies!$2:$2,0)-MATCH($I$1,[2]enemies!$2:$2,0)+1),MATCH(J$1,[2]enemies!$2:$2,0)-MATCH($I$1,[2]enemies!$2:$2,0)+1,FALSE)</f>
        <v>パトドッグ ポチ</v>
      </c>
      <c r="K6" s="30" t="str">
        <f ca="1">VLOOKUP($I6,OFFSET([2]enemies!$A$1,0,0,COUNTA([2]enemies!$A:$A),MATCH(K$1,[2]enemies!$2:$2,0)-MATCH($I$1,[2]enemies!$2:$2,0)+1),MATCH(K$1,[2]enemies!$2:$2,0)-MATCH($I$1,[2]enemies!$2:$2,0)+1,FALSE)</f>
        <v>blue</v>
      </c>
      <c r="L6" s="30" t="str">
        <f ca="1">VLOOKUP($I6,OFFSET([3]characters!$A$1,0,0,COUNTA([3]characters!$A:$A),MATCH(L$1,[3]characters!$2:$2,0)-MATCH($I$1,[3]characters!$2:$2,0)+1),MATCH(L$1,[3]characters!$2:$2,0)-MATCH($I$1,[3]characters!$2:$2,0)+1,FALSE)</f>
        <v>Drop1T</v>
      </c>
      <c r="M6" s="29" t="str">
        <f ca="1">VLOOKUP($I6,OFFSET([3]characters!$A$1,0,0,COUNTA([3]characters!$A:$A),MATCH(M$1,[3]characters!$2:$2,0)-MATCH($I$1,[3]characters!$2:$2,0)+2),MATCH(M$1,[3]characters!$2:$2,0)-MATCH($I$1,[3]characters!$2:$2,0)+2,FALSE)</f>
        <v>Unknown</v>
      </c>
      <c r="N6" s="5">
        <f ca="1">VLOOKUP($I6,OFFSET([2]enemies!$A$1,0,0,COUNTA([2]enemies!$A:$A),MATCH(N$1,[2]enemies!$2:$2,0)-MATCH($I$1,[2]enemies!$2:$2,0)+1),MATCH(N$1,[2]enemies!$2:$2,0)-MATCH($I$1,[2]enemies!$2:$2,0)+1,FALSE)</f>
        <v>15</v>
      </c>
      <c r="O6" s="6">
        <v>1</v>
      </c>
      <c r="P6" s="42">
        <v>1</v>
      </c>
      <c r="Q6" s="42">
        <v>1</v>
      </c>
      <c r="R6" s="6">
        <v>0</v>
      </c>
      <c r="S6" s="5" t="str">
        <f ca="1">VLOOKUP($T6,OFFSET([4]enemy_skill_sets!$B$1,0,0,COUNTA([4]enemy_skill_sets!$B:$B),MATCH(J$1,[4]enemy_skill_sets!$1:$1,0)-MATCH($T$1,[4]enemy_skill_sets!$1:$1,0)+2),MATCH(J$1,[4]enemy_skill_sets!$1:$1,0)-MATCH($T$1,[4]enemy_skill_sets!$1:$1,0)+2,FALSE)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6" s="5">
        <f ca="1">VLOOKUP($I6,OFFSET([2]enemies!$A$1,0,0,COUNTA([2]enemies!$A:$A),MATCH(T$1,[2]enemies!$2:$2,0)-MATCH($I$1,[2]enemies!$2:$2,0)+1),MATCH(T$1,[2]enemies!$2:$2,0)-MATCH($I$1,[2]enemies!$2:$2,0)+1,FALSE)</f>
        <v>0</v>
      </c>
      <c r="U6" s="7">
        <v>1</v>
      </c>
      <c r="V6" s="7">
        <v>100</v>
      </c>
      <c r="W6" s="7">
        <v>0</v>
      </c>
      <c r="X6" s="27">
        <f ca="1">VLOOKUP($I6,OFFSET([2]enemies!$A$1,0,0,COUNTA([2]enemies!$A:$A),MATCH(X$1,[2]enemies!$2:$2,0)-MATCH($I$1,[2]enemies!$2:$2,0)+1),MATCH(X$1,[2]enemies!$2:$2,0)-MATCH($I$1,[2]enemies!$2:$2,0)+1,FALSE)</f>
        <v>3</v>
      </c>
      <c r="Y6" s="8">
        <f t="shared" si="3"/>
        <v>5</v>
      </c>
      <c r="Z6" s="5" t="str">
        <f ca="1">IFERROR(VLOOKUP($Y6,OFFSET([3]characters!$A$1,0,0,COUNTA([3]characters!$A:$A),MATCH(Z$1,[3]characters!$2:$2,0)-MATCH("character_id",[3]characters!$2:$2,0)+1),MATCH(Z$1,[3]characters!$2:$2,0)-MATCH("character_id",[3]characters!$2:$2,0)+1,FALSE),"")</f>
        <v>パトドッグ ポチ</v>
      </c>
      <c r="AA6" s="5">
        <f ca="1">IFERROR(VLOOKUP($Y6,OFFSET([3]characters!$A$1,0,0,COUNTA([3]characters!$A:$A),MATCH(AA$1,[3]characters!$2:$2,0)-MATCH("character_id",[3]characters!$2:$2,0)+1),MATCH(AA$1,[3]characters!$2:$2,0)-MATCH("character_id",[3]characters!$2:$2,0)+1,FALSE),"")</f>
        <v>1</v>
      </c>
      <c r="AB6" s="5" t="str">
        <f ca="1">IFERROR(VLOOKUP($Y6,OFFSET([3]characters!$A$1,0,0,COUNTA([3]characters!$A:$A),MATCH(AB$1,[3]characters!$2:$2,0)-MATCH("character_id",[3]characters!$2:$2,0)+1),MATCH(AB$1,[3]characters!$2:$2,0)-MATCH("character_id",[3]characters!$2:$2,0)+1,FALSE),"")</f>
        <v>Drop1T</v>
      </c>
      <c r="AC6" s="9">
        <v>1</v>
      </c>
      <c r="AD6" s="36">
        <f t="shared" ca="1" si="4"/>
        <v>1</v>
      </c>
      <c r="AE6" s="10">
        <v>0</v>
      </c>
      <c r="AF6" s="38">
        <v>0</v>
      </c>
      <c r="AG6" s="38">
        <v>0</v>
      </c>
      <c r="AH6" s="38">
        <v>0</v>
      </c>
      <c r="AI6" s="38">
        <v>0</v>
      </c>
      <c r="AJ6" s="38">
        <v>1</v>
      </c>
    </row>
    <row r="7" spans="1:36" ht="21" customHeight="1">
      <c r="A7" s="22" t="str">
        <f t="shared" ref="A7:A10" ca="1" si="10">B7&amp;"_"&amp;C7&amp;"-"&amp;G7&amp;"/"&amp;I7&amp;"&lt;lv"&amp;O7&amp;"&gt;s"&amp;X7</f>
        <v>0_2-1/3&lt;lv1&gt;s2</v>
      </c>
      <c r="B7" s="34">
        <v>0</v>
      </c>
      <c r="C7" s="33">
        <v>2</v>
      </c>
      <c r="D7" s="2" t="str">
        <f t="shared" ref="D7:D10" si="11">B7&amp;"_"&amp;C7</f>
        <v>0_2</v>
      </c>
      <c r="E7" s="5" t="str">
        <f ca="1">VLOOKUP($B7,OFFSET([1]quests!$A$1,0,0,COUNTA([1]quests!$A:$A),MATCH(E$1,[1]quests!$1:$1,0)-MATCH($B$1,[1]quests!$1:$1,0)+1),MATCH(E$1,[1]quests!$1:$1,0)-MATCH($B$1,[1]quests!$1:$1,0)+1,FALSE)</f>
        <v>チュートリアル</v>
      </c>
      <c r="F7" s="5" t="str">
        <f ca="1">VLOOKUP($D7,OFFSET([1]stages!$A$1,0,0,COUNTA([1]stages!$A:$A),MATCH(F$1,[1]stages!$2:$2,0)-MATCH($D$1,[1]stages!$2:$2,0)+1),MATCH(F$1,[1]stages!$2:$2,0)-MATCH($D$1,[1]stages!$2:$2,0)+1,FALSE)</f>
        <v>練習でクラッシュ！</v>
      </c>
      <c r="G7" s="33">
        <v>1</v>
      </c>
      <c r="H7" s="21" t="str">
        <f t="shared" ref="H7:H10" si="12">B7&amp;"_"&amp;C7&amp;"-"&amp;G7</f>
        <v>0_2-1</v>
      </c>
      <c r="I7" s="32">
        <v>3</v>
      </c>
      <c r="J7" s="27" t="str">
        <f ca="1">VLOOKUP($I7,OFFSET([2]enemies!$A$1,0,0,COUNTA([2]enemies!$A:$A),MATCH(J$1,[2]enemies!$2:$2,0)-MATCH($I$1,[2]enemies!$2:$2,0)+1),MATCH(J$1,[2]enemies!$2:$2,0)-MATCH($I$1,[2]enemies!$2:$2,0)+1,FALSE)</f>
        <v>エージェント ジョー</v>
      </c>
      <c r="K7" s="30" t="str">
        <f ca="1">VLOOKUP($I7,OFFSET([2]enemies!$A$1,0,0,COUNTA([2]enemies!$A:$A),MATCH(K$1,[2]enemies!$2:$2,0)-MATCH($I$1,[2]enemies!$2:$2,0)+1),MATCH(K$1,[2]enemies!$2:$2,0)-MATCH($I$1,[2]enemies!$2:$2,0)+1,FALSE)</f>
        <v>green</v>
      </c>
      <c r="L7" s="30" t="str">
        <f ca="1">VLOOKUP($I7,OFFSET([3]characters!$A$1,0,0,COUNTA([3]characters!$A:$A),MATCH(L$1,[3]characters!$2:$2,0)-MATCH($I$1,[3]characters!$2:$2,0)+1),MATCH(L$1,[3]characters!$2:$2,0)-MATCH($I$1,[3]characters!$2:$2,0)+1,FALSE)</f>
        <v>Drop1T</v>
      </c>
      <c r="M7" s="29" t="str">
        <f ca="1">VLOOKUP($I7,OFFSET([3]characters!$A$1,0,0,COUNTA([3]characters!$A:$A),MATCH(M$1,[3]characters!$2:$2,0)-MATCH($I$1,[3]characters!$2:$2,0)+2),MATCH(M$1,[3]characters!$2:$2,0)-MATCH($I$1,[3]characters!$2:$2,0)+2,FALSE)</f>
        <v>Unknown</v>
      </c>
      <c r="N7" s="5">
        <f ca="1">VLOOKUP($I7,OFFSET([2]enemies!$A$1,0,0,COUNTA([2]enemies!$A:$A),MATCH(N$1,[2]enemies!$2:$2,0)-MATCH($I$1,[2]enemies!$2:$2,0)+1),MATCH(N$1,[2]enemies!$2:$2,0)-MATCH($I$1,[2]enemies!$2:$2,0)+1,FALSE)</f>
        <v>15</v>
      </c>
      <c r="O7" s="6">
        <v>1</v>
      </c>
      <c r="P7" s="42">
        <v>1</v>
      </c>
      <c r="Q7" s="42">
        <v>1</v>
      </c>
      <c r="R7" s="6">
        <v>0</v>
      </c>
      <c r="S7" s="5" t="str">
        <f ca="1">VLOOKUP($T7,OFFSET([4]enemy_skill_sets!$B$1,0,0,COUNTA([4]enemy_skill_sets!$B:$B),MATCH(J$1,[4]enemy_skill_sets!$1:$1,0)-MATCH($T$1,[4]enemy_skill_sets!$1:$1,0)+2),MATCH(J$1,[4]enemy_skill_sets!$1:$1,0)-MATCH($T$1,[4]enemy_skill_sets!$1:$1,0)+2,FALSE)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7" s="5">
        <f ca="1">VLOOKUP($I7,OFFSET([2]enemies!$A$1,0,0,COUNTA([2]enemies!$A:$A),MATCH(T$1,[2]enemies!$2:$2,0)-MATCH($I$1,[2]enemies!$2:$2,0)+1),MATCH(T$1,[2]enemies!$2:$2,0)-MATCH($I$1,[2]enemies!$2:$2,0)+1,FALSE)</f>
        <v>0</v>
      </c>
      <c r="U7" s="7">
        <v>1</v>
      </c>
      <c r="V7" s="7">
        <v>100</v>
      </c>
      <c r="W7" s="7">
        <v>0</v>
      </c>
      <c r="X7" s="27">
        <f ca="1">VLOOKUP($I7,OFFSET([2]enemies!$A$1,0,0,COUNTA([2]enemies!$A:$A),MATCH(X$1,[2]enemies!$2:$2,0)-MATCH($I$1,[2]enemies!$2:$2,0)+1),MATCH(X$1,[2]enemies!$2:$2,0)-MATCH($I$1,[2]enemies!$2:$2,0)+1,FALSE)</f>
        <v>2</v>
      </c>
      <c r="Y7" s="8">
        <f t="shared" ref="Y7:Y10" si="13">I7</f>
        <v>3</v>
      </c>
      <c r="Z7" s="5" t="str">
        <f ca="1">IFERROR(VLOOKUP($Y7,OFFSET([3]characters!$A$1,0,0,COUNTA([3]characters!$A:$A),MATCH(Z$1,[3]characters!$2:$2,0)-MATCH("character_id",[3]characters!$2:$2,0)+1),MATCH(Z$1,[3]characters!$2:$2,0)-MATCH("character_id",[3]characters!$2:$2,0)+1,FALSE),"")</f>
        <v>エージェント ジョー</v>
      </c>
      <c r="AA7" s="5">
        <f ca="1">IFERROR(VLOOKUP($Y7,OFFSET([3]characters!$A$1,0,0,COUNTA([3]characters!$A:$A),MATCH(AA$1,[3]characters!$2:$2,0)-MATCH("character_id",[3]characters!$2:$2,0)+1),MATCH(AA$1,[3]characters!$2:$2,0)-MATCH("character_id",[3]characters!$2:$2,0)+1,FALSE),"")</f>
        <v>1</v>
      </c>
      <c r="AB7" s="5" t="str">
        <f ca="1">IFERROR(VLOOKUP($Y7,OFFSET([3]characters!$A$1,0,0,COUNTA([3]characters!$A:$A),MATCH(AB$1,[3]characters!$2:$2,0)-MATCH("character_id",[3]characters!$2:$2,0)+1),MATCH(AB$1,[3]characters!$2:$2,0)-MATCH("character_id",[3]characters!$2:$2,0)+1,FALSE),"")</f>
        <v>Drop1T</v>
      </c>
      <c r="AC7" s="9">
        <v>1</v>
      </c>
      <c r="AD7" s="36">
        <f t="shared" ref="AD7:AD10" ca="1" si="14">AA7</f>
        <v>1</v>
      </c>
      <c r="AE7" s="10">
        <v>0</v>
      </c>
      <c r="AF7" s="38">
        <v>0</v>
      </c>
      <c r="AG7" s="38">
        <v>0</v>
      </c>
      <c r="AH7" s="38">
        <v>0</v>
      </c>
      <c r="AI7" s="38">
        <v>0</v>
      </c>
      <c r="AJ7" s="38">
        <v>1</v>
      </c>
    </row>
    <row r="8" spans="1:36" ht="21" customHeight="1">
      <c r="A8" s="22" t="str">
        <f t="shared" ca="1" si="10"/>
        <v>0_2-1/7&lt;lv1&gt;s2</v>
      </c>
      <c r="B8" s="34">
        <v>0</v>
      </c>
      <c r="C8" s="33">
        <v>2</v>
      </c>
      <c r="D8" s="2" t="str">
        <f t="shared" si="11"/>
        <v>0_2</v>
      </c>
      <c r="E8" s="5" t="str">
        <f ca="1">VLOOKUP($B8,OFFSET([1]quests!$A$1,0,0,COUNTA([1]quests!$A:$A),MATCH(E$1,[1]quests!$1:$1,0)-MATCH($B$1,[1]quests!$1:$1,0)+1),MATCH(E$1,[1]quests!$1:$1,0)-MATCH($B$1,[1]quests!$1:$1,0)+1,FALSE)</f>
        <v>チュートリアル</v>
      </c>
      <c r="F8" s="5" t="str">
        <f ca="1">VLOOKUP($D8,OFFSET([1]stages!$A$1,0,0,COUNTA([1]stages!$A:$A),MATCH(F$1,[1]stages!$2:$2,0)-MATCH($D$1,[1]stages!$2:$2,0)+1),MATCH(F$1,[1]stages!$2:$2,0)-MATCH($D$1,[1]stages!$2:$2,0)+1,FALSE)</f>
        <v>練習でクラッシュ！</v>
      </c>
      <c r="G8" s="33">
        <v>1</v>
      </c>
      <c r="H8" s="21" t="str">
        <f t="shared" si="12"/>
        <v>0_2-1</v>
      </c>
      <c r="I8" s="32">
        <v>7</v>
      </c>
      <c r="J8" s="27" t="str">
        <f ca="1">VLOOKUP($I8,OFFSET([2]enemies!$A$1,0,0,COUNTA([2]enemies!$A:$A),MATCH(J$1,[2]enemies!$2:$2,0)-MATCH($I$1,[2]enemies!$2:$2,0)+1),MATCH(J$1,[2]enemies!$2:$2,0)-MATCH($I$1,[2]enemies!$2:$2,0)+1,FALSE)</f>
        <v>エレキポット</v>
      </c>
      <c r="K8" s="30" t="str">
        <f ca="1">VLOOKUP($I8,OFFSET([2]enemies!$A$1,0,0,COUNTA([2]enemies!$A:$A),MATCH(K$1,[2]enemies!$2:$2,0)-MATCH($I$1,[2]enemies!$2:$2,0)+1),MATCH(K$1,[2]enemies!$2:$2,0)-MATCH($I$1,[2]enemies!$2:$2,0)+1,FALSE)</f>
        <v>yellow</v>
      </c>
      <c r="L8" s="30" t="str">
        <f ca="1">VLOOKUP($I8,OFFSET([3]characters!$A$1,0,0,COUNTA([3]characters!$A:$A),MATCH(L$1,[3]characters!$2:$2,0)-MATCH($I$1,[3]characters!$2:$2,0)+1),MATCH(L$1,[3]characters!$2:$2,0)-MATCH($I$1,[3]characters!$2:$2,0)+1,FALSE)</f>
        <v>Drop1T</v>
      </c>
      <c r="M8" s="29" t="str">
        <f ca="1">VLOOKUP($I8,OFFSET([3]characters!$A$1,0,0,COUNTA([3]characters!$A:$A),MATCH(M$1,[3]characters!$2:$2,0)-MATCH($I$1,[3]characters!$2:$2,0)+2),MATCH(M$1,[3]characters!$2:$2,0)-MATCH($I$1,[3]characters!$2:$2,0)+2,FALSE)</f>
        <v>Unknown</v>
      </c>
      <c r="N8" s="5">
        <f ca="1">VLOOKUP($I8,OFFSET([2]enemies!$A$1,0,0,COUNTA([2]enemies!$A:$A),MATCH(N$1,[2]enemies!$2:$2,0)-MATCH($I$1,[2]enemies!$2:$2,0)+1),MATCH(N$1,[2]enemies!$2:$2,0)-MATCH($I$1,[2]enemies!$2:$2,0)+1,FALSE)</f>
        <v>15</v>
      </c>
      <c r="O8" s="6">
        <v>1</v>
      </c>
      <c r="P8" s="42">
        <v>1</v>
      </c>
      <c r="Q8" s="42">
        <v>1</v>
      </c>
      <c r="R8" s="6">
        <v>0</v>
      </c>
      <c r="S8" s="5" t="str">
        <f ca="1">VLOOKUP($T8,OFFSET([4]enemy_skill_sets!$B$1,0,0,COUNTA([4]enemy_skill_sets!$B:$B),MATCH(J$1,[4]enemy_skill_sets!$1:$1,0)-MATCH($T$1,[4]enemy_skill_sets!$1:$1,0)+2),MATCH(J$1,[4]enemy_skill_sets!$1:$1,0)-MATCH($T$1,[4]enemy_skill_sets!$1:$1,0)+2,FALSE)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8" s="5">
        <f ca="1">VLOOKUP($I8,OFFSET([2]enemies!$A$1,0,0,COUNTA([2]enemies!$A:$A),MATCH(T$1,[2]enemies!$2:$2,0)-MATCH($I$1,[2]enemies!$2:$2,0)+1),MATCH(T$1,[2]enemies!$2:$2,0)-MATCH($I$1,[2]enemies!$2:$2,0)+1,FALSE)</f>
        <v>0</v>
      </c>
      <c r="U8" s="7">
        <v>1</v>
      </c>
      <c r="V8" s="7">
        <v>100</v>
      </c>
      <c r="W8" s="7">
        <v>0</v>
      </c>
      <c r="X8" s="27">
        <f ca="1">VLOOKUP($I8,OFFSET([2]enemies!$A$1,0,0,COUNTA([2]enemies!$A:$A),MATCH(X$1,[2]enemies!$2:$2,0)-MATCH($I$1,[2]enemies!$2:$2,0)+1),MATCH(X$1,[2]enemies!$2:$2,0)-MATCH($I$1,[2]enemies!$2:$2,0)+1,FALSE)</f>
        <v>2</v>
      </c>
      <c r="Y8" s="8">
        <f t="shared" si="13"/>
        <v>7</v>
      </c>
      <c r="Z8" s="5" t="str">
        <f ca="1">IFERROR(VLOOKUP($Y8,OFFSET([3]characters!$A$1,0,0,COUNTA([3]characters!$A:$A),MATCH(Z$1,[3]characters!$2:$2,0)-MATCH("character_id",[3]characters!$2:$2,0)+1),MATCH(Z$1,[3]characters!$2:$2,0)-MATCH("character_id",[3]characters!$2:$2,0)+1,FALSE),"")</f>
        <v>エレキポット</v>
      </c>
      <c r="AA8" s="5">
        <f ca="1">IFERROR(VLOOKUP($Y8,OFFSET([3]characters!$A$1,0,0,COUNTA([3]characters!$A:$A),MATCH(AA$1,[3]characters!$2:$2,0)-MATCH("character_id",[3]characters!$2:$2,0)+1),MATCH(AA$1,[3]characters!$2:$2,0)-MATCH("character_id",[3]characters!$2:$2,0)+1,FALSE),"")</f>
        <v>1</v>
      </c>
      <c r="AB8" s="5" t="str">
        <f ca="1">IFERROR(VLOOKUP($Y8,OFFSET([3]characters!$A$1,0,0,COUNTA([3]characters!$A:$A),MATCH(AB$1,[3]characters!$2:$2,0)-MATCH("character_id",[3]characters!$2:$2,0)+1),MATCH(AB$1,[3]characters!$2:$2,0)-MATCH("character_id",[3]characters!$2:$2,0)+1,FALSE),"")</f>
        <v>Drop1T</v>
      </c>
      <c r="AC8" s="9">
        <v>1</v>
      </c>
      <c r="AD8" s="36">
        <f t="shared" ca="1" si="14"/>
        <v>1</v>
      </c>
      <c r="AE8" s="10">
        <v>0</v>
      </c>
      <c r="AF8" s="38">
        <v>0</v>
      </c>
      <c r="AG8" s="38">
        <v>0</v>
      </c>
      <c r="AH8" s="38">
        <v>0</v>
      </c>
      <c r="AI8" s="38">
        <v>0</v>
      </c>
      <c r="AJ8" s="38">
        <v>1</v>
      </c>
    </row>
    <row r="9" spans="1:36" ht="21" customHeight="1">
      <c r="A9" s="22" t="str">
        <f t="shared" ca="1" si="10"/>
        <v>0_2-1/1&lt;lv1&gt;s1</v>
      </c>
      <c r="B9" s="34">
        <v>0</v>
      </c>
      <c r="C9" s="33">
        <v>2</v>
      </c>
      <c r="D9" s="2" t="str">
        <f t="shared" si="11"/>
        <v>0_2</v>
      </c>
      <c r="E9" s="5" t="str">
        <f ca="1">VLOOKUP($B9,OFFSET([1]quests!$A$1,0,0,COUNTA([1]quests!$A:$A),MATCH(E$1,[1]quests!$1:$1,0)-MATCH($B$1,[1]quests!$1:$1,0)+1),MATCH(E$1,[1]quests!$1:$1,0)-MATCH($B$1,[1]quests!$1:$1,0)+1,FALSE)</f>
        <v>チュートリアル</v>
      </c>
      <c r="F9" s="5" t="str">
        <f ca="1">VLOOKUP($D9,OFFSET([1]stages!$A$1,0,0,COUNTA([1]stages!$A:$A),MATCH(F$1,[1]stages!$2:$2,0)-MATCH($D$1,[1]stages!$2:$2,0)+1),MATCH(F$1,[1]stages!$2:$2,0)-MATCH($D$1,[1]stages!$2:$2,0)+1,FALSE)</f>
        <v>練習でクラッシュ！</v>
      </c>
      <c r="G9" s="33">
        <v>1</v>
      </c>
      <c r="H9" s="21" t="str">
        <f t="shared" si="12"/>
        <v>0_2-1</v>
      </c>
      <c r="I9" s="32">
        <v>1</v>
      </c>
      <c r="J9" s="27" t="str">
        <f ca="1">VLOOKUP($I9,OFFSET([2]enemies!$A$1,0,0,COUNTA([2]enemies!$A:$A),MATCH(J$1,[2]enemies!$2:$2,0)-MATCH($I$1,[2]enemies!$2:$2,0)+1),MATCH(J$1,[2]enemies!$2:$2,0)-MATCH($I$1,[2]enemies!$2:$2,0)+1,FALSE)</f>
        <v>ジェリー</v>
      </c>
      <c r="K9" s="30" t="str">
        <f ca="1">VLOOKUP($I9,OFFSET([2]enemies!$A$1,0,0,COUNTA([2]enemies!$A:$A),MATCH(K$1,[2]enemies!$2:$2,0)-MATCH($I$1,[2]enemies!$2:$2,0)+1),MATCH(K$1,[2]enemies!$2:$2,0)-MATCH($I$1,[2]enemies!$2:$2,0)+1,FALSE)</f>
        <v>red</v>
      </c>
      <c r="L9" s="30" t="str">
        <f ca="1">VLOOKUP($I9,OFFSET([3]characters!$A$1,0,0,COUNTA([3]characters!$A:$A),MATCH(L$1,[3]characters!$2:$2,0)-MATCH($I$1,[3]characters!$2:$2,0)+1),MATCH(L$1,[3]characters!$2:$2,0)-MATCH($I$1,[3]characters!$2:$2,0)+1,FALSE)</f>
        <v>Drop1T</v>
      </c>
      <c r="M9" s="29" t="str">
        <f ca="1">VLOOKUP($I9,OFFSET([3]characters!$A$1,0,0,COUNTA([3]characters!$A:$A),MATCH(M$1,[3]characters!$2:$2,0)-MATCH($I$1,[3]characters!$2:$2,0)+2),MATCH(M$1,[3]characters!$2:$2,0)-MATCH($I$1,[3]characters!$2:$2,0)+2,FALSE)</f>
        <v>Unknown</v>
      </c>
      <c r="N9" s="5">
        <f ca="1">VLOOKUP($I9,OFFSET([2]enemies!$A$1,0,0,COUNTA([2]enemies!$A:$A),MATCH(N$1,[2]enemies!$2:$2,0)-MATCH($I$1,[2]enemies!$2:$2,0)+1),MATCH(N$1,[2]enemies!$2:$2,0)-MATCH($I$1,[2]enemies!$2:$2,0)+1,FALSE)</f>
        <v>15</v>
      </c>
      <c r="O9" s="6">
        <v>1</v>
      </c>
      <c r="P9" s="42">
        <v>1</v>
      </c>
      <c r="Q9" s="42">
        <v>1</v>
      </c>
      <c r="R9" s="6">
        <v>0</v>
      </c>
      <c r="S9" s="5" t="str">
        <f ca="1">VLOOKUP($T9,OFFSET([4]enemy_skill_sets!$B$1,0,0,COUNTA([4]enemy_skill_sets!$B:$B),MATCH(J$1,[4]enemy_skill_sets!$1:$1,0)-MATCH($T$1,[4]enemy_skill_sets!$1:$1,0)+2),MATCH(J$1,[4]enemy_skill_sets!$1:$1,0)-MATCH($T$1,[4]enemy_skill_sets!$1:$1,0)+2,FALSE)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9" s="5">
        <f ca="1">VLOOKUP($I9,OFFSET([2]enemies!$A$1,0,0,COUNTA([2]enemies!$A:$A),MATCH(T$1,[2]enemies!$2:$2,0)-MATCH($I$1,[2]enemies!$2:$2,0)+1),MATCH(T$1,[2]enemies!$2:$2,0)-MATCH($I$1,[2]enemies!$2:$2,0)+1,FALSE)</f>
        <v>0</v>
      </c>
      <c r="U9" s="7">
        <v>1</v>
      </c>
      <c r="V9" s="7">
        <v>100</v>
      </c>
      <c r="W9" s="7">
        <v>0</v>
      </c>
      <c r="X9" s="27">
        <f ca="1">VLOOKUP($I9,OFFSET([2]enemies!$A$1,0,0,COUNTA([2]enemies!$A:$A),MATCH(X$1,[2]enemies!$2:$2,0)-MATCH($I$1,[2]enemies!$2:$2,0)+1),MATCH(X$1,[2]enemies!$2:$2,0)-MATCH($I$1,[2]enemies!$2:$2,0)+1,FALSE)</f>
        <v>1</v>
      </c>
      <c r="Y9" s="8">
        <f t="shared" si="13"/>
        <v>1</v>
      </c>
      <c r="Z9" s="5" t="str">
        <f ca="1">IFERROR(VLOOKUP($Y9,OFFSET([3]characters!$A$1,0,0,COUNTA([3]characters!$A:$A),MATCH(Z$1,[3]characters!$2:$2,0)-MATCH("character_id",[3]characters!$2:$2,0)+1),MATCH(Z$1,[3]characters!$2:$2,0)-MATCH("character_id",[3]characters!$2:$2,0)+1,FALSE),"")</f>
        <v>ジェリー</v>
      </c>
      <c r="AA9" s="5">
        <f ca="1">IFERROR(VLOOKUP($Y9,OFFSET([3]characters!$A$1,0,0,COUNTA([3]characters!$A:$A),MATCH(AA$1,[3]characters!$2:$2,0)-MATCH("character_id",[3]characters!$2:$2,0)+1),MATCH(AA$1,[3]characters!$2:$2,0)-MATCH("character_id",[3]characters!$2:$2,0)+1,FALSE),"")</f>
        <v>1</v>
      </c>
      <c r="AB9" s="5" t="str">
        <f ca="1">IFERROR(VLOOKUP($Y9,OFFSET([3]characters!$A$1,0,0,COUNTA([3]characters!$A:$A),MATCH(AB$1,[3]characters!$2:$2,0)-MATCH("character_id",[3]characters!$2:$2,0)+1),MATCH(AB$1,[3]characters!$2:$2,0)-MATCH("character_id",[3]characters!$2:$2,0)+1,FALSE),"")</f>
        <v>Drop1T</v>
      </c>
      <c r="AC9" s="9">
        <v>1</v>
      </c>
      <c r="AD9" s="36">
        <f t="shared" ca="1" si="14"/>
        <v>1</v>
      </c>
      <c r="AE9" s="10">
        <v>0</v>
      </c>
      <c r="AF9" s="38">
        <v>0</v>
      </c>
      <c r="AG9" s="38">
        <v>0</v>
      </c>
      <c r="AH9" s="38">
        <v>0</v>
      </c>
      <c r="AI9" s="38">
        <v>0</v>
      </c>
      <c r="AJ9" s="38">
        <v>1</v>
      </c>
    </row>
    <row r="10" spans="1:36" ht="21" customHeight="1">
      <c r="A10" s="22" t="str">
        <f t="shared" ca="1" si="10"/>
        <v>0_2-2/43&lt;lv1&gt;s2</v>
      </c>
      <c r="B10" s="34">
        <v>0</v>
      </c>
      <c r="C10" s="33">
        <v>2</v>
      </c>
      <c r="D10" s="2" t="str">
        <f t="shared" si="11"/>
        <v>0_2</v>
      </c>
      <c r="E10" s="5" t="str">
        <f ca="1">VLOOKUP($B10,OFFSET([1]quests!$A$1,0,0,COUNTA([1]quests!$A:$A),MATCH(E$1,[1]quests!$1:$1,0)-MATCH($B$1,[1]quests!$1:$1,0)+1),MATCH(E$1,[1]quests!$1:$1,0)-MATCH($B$1,[1]quests!$1:$1,0)+1,FALSE)</f>
        <v>チュートリアル</v>
      </c>
      <c r="F10" s="5" t="str">
        <f ca="1">VLOOKUP($D10,OFFSET([1]stages!$A$1,0,0,COUNTA([1]stages!$A:$A),MATCH(F$1,[1]stages!$2:$2,0)-MATCH($D$1,[1]stages!$2:$2,0)+1),MATCH(F$1,[1]stages!$2:$2,0)-MATCH($D$1,[1]stages!$2:$2,0)+1,FALSE)</f>
        <v>練習でクラッシュ！</v>
      </c>
      <c r="G10" s="33">
        <v>2</v>
      </c>
      <c r="H10" s="21" t="str">
        <f t="shared" si="12"/>
        <v>0_2-2</v>
      </c>
      <c r="I10" s="32">
        <v>43</v>
      </c>
      <c r="J10" s="27" t="str">
        <f ca="1">VLOOKUP($I10,OFFSET([2]enemies!$A$1,0,0,COUNTA([2]enemies!$A:$A),MATCH(J$1,[2]enemies!$2:$2,0)-MATCH($I$1,[2]enemies!$2:$2,0)+1),MATCH(J$1,[2]enemies!$2:$2,0)-MATCH($I$1,[2]enemies!$2:$2,0)+1,FALSE)</f>
        <v>ムゥ</v>
      </c>
      <c r="K10" s="30" t="str">
        <f ca="1">VLOOKUP($I10,OFFSET([2]enemies!$A$1,0,0,COUNTA([2]enemies!$A:$A),MATCH(K$1,[2]enemies!$2:$2,0)-MATCH($I$1,[2]enemies!$2:$2,0)+1),MATCH(K$1,[2]enemies!$2:$2,0)-MATCH($I$1,[2]enemies!$2:$2,0)+1,FALSE)</f>
        <v>green</v>
      </c>
      <c r="L10" s="30" t="str">
        <f ca="1">VLOOKUP($I10,OFFSET([3]characters!$A$1,0,0,COUNTA([3]characters!$A:$A),MATCH(L$1,[3]characters!$2:$2,0)-MATCH($I$1,[3]characters!$2:$2,0)+1),MATCH(L$1,[3]characters!$2:$2,0)-MATCH($I$1,[3]characters!$2:$2,0)+1,FALSE)</f>
        <v>Drop1N</v>
      </c>
      <c r="M10" s="29" t="str">
        <f ca="1">VLOOKUP($I10,OFFSET([3]characters!$A$1,0,0,COUNTA([3]characters!$A:$A),MATCH(M$1,[3]characters!$2:$2,0)-MATCH($I$1,[3]characters!$2:$2,0)+2),MATCH(M$1,[3]characters!$2:$2,0)-MATCH($I$1,[3]characters!$2:$2,0)+2,FALSE)</f>
        <v>ドラゴン</v>
      </c>
      <c r="N10" s="5">
        <f ca="1">VLOOKUP($I10,OFFSET([2]enemies!$A$1,0,0,COUNTA([2]enemies!$A:$A),MATCH(N$1,[2]enemies!$2:$2,0)-MATCH($I$1,[2]enemies!$2:$2,0)+1),MATCH(N$1,[2]enemies!$2:$2,0)-MATCH($I$1,[2]enemies!$2:$2,0)+1,FALSE)</f>
        <v>15</v>
      </c>
      <c r="O10" s="6">
        <v>1</v>
      </c>
      <c r="P10" s="42">
        <v>1</v>
      </c>
      <c r="Q10" s="42">
        <v>1</v>
      </c>
      <c r="R10" s="6">
        <v>0</v>
      </c>
      <c r="S10" s="5" t="str">
        <f ca="1">VLOOKUP($T10,OFFSET([4]enemy_skill_sets!$B$1,0,0,COUNTA([4]enemy_skill_sets!$B:$B),MATCH(J$1,[4]enemy_skill_sets!$1:$1,0)-MATCH($T$1,[4]enemy_skill_sets!$1:$1,0)+2),MATCH(J$1,[4]enemy_skill_sets!$1:$1,0)-MATCH($T$1,[4]enemy_skill_sets!$1:$1,0)+2,FALSE)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10" s="5">
        <f ca="1">VLOOKUP($I10,OFFSET([2]enemies!$A$1,0,0,COUNTA([2]enemies!$A:$A),MATCH(T$1,[2]enemies!$2:$2,0)-MATCH($I$1,[2]enemies!$2:$2,0)+1),MATCH(T$1,[2]enemies!$2:$2,0)-MATCH($I$1,[2]enemies!$2:$2,0)+1,FALSE)</f>
        <v>0</v>
      </c>
      <c r="U10" s="7">
        <v>1</v>
      </c>
      <c r="V10" s="7">
        <v>100</v>
      </c>
      <c r="W10" s="7">
        <v>0</v>
      </c>
      <c r="X10" s="27">
        <f ca="1">VLOOKUP($I10,OFFSET([2]enemies!$A$1,0,0,COUNTA([2]enemies!$A:$A),MATCH(X$1,[2]enemies!$2:$2,0)-MATCH($I$1,[2]enemies!$2:$2,0)+1),MATCH(X$1,[2]enemies!$2:$2,0)-MATCH($I$1,[2]enemies!$2:$2,0)+1,FALSE)</f>
        <v>2</v>
      </c>
      <c r="Y10" s="8">
        <f t="shared" si="13"/>
        <v>43</v>
      </c>
      <c r="Z10" s="5" t="str">
        <f ca="1">IFERROR(VLOOKUP($Y10,OFFSET([3]characters!$A$1,0,0,COUNTA([3]characters!$A:$A),MATCH(Z$1,[3]characters!$2:$2,0)-MATCH("character_id",[3]characters!$2:$2,0)+1),MATCH(Z$1,[3]characters!$2:$2,0)-MATCH("character_id",[3]characters!$2:$2,0)+1,FALSE),"")</f>
        <v>ムゥ</v>
      </c>
      <c r="AA10" s="5">
        <f ca="1">IFERROR(VLOOKUP($Y10,OFFSET([3]characters!$A$1,0,0,COUNTA([3]characters!$A:$A),MATCH(AA$1,[3]characters!$2:$2,0)-MATCH("character_id",[3]characters!$2:$2,0)+1),MATCH(AA$1,[3]characters!$2:$2,0)-MATCH("character_id",[3]characters!$2:$2,0)+1,FALSE),"")</f>
        <v>2</v>
      </c>
      <c r="AB10" s="5" t="str">
        <f ca="1">IFERROR(VLOOKUP($Y10,OFFSET([3]characters!$A$1,0,0,COUNTA([3]characters!$A:$A),MATCH(AB$1,[3]characters!$2:$2,0)-MATCH("character_id",[3]characters!$2:$2,0)+1),MATCH(AB$1,[3]characters!$2:$2,0)-MATCH("character_id",[3]characters!$2:$2,0)+1,FALSE),"")</f>
        <v>Drop1N</v>
      </c>
      <c r="AC10" s="9">
        <v>1</v>
      </c>
      <c r="AD10" s="36">
        <f t="shared" ca="1" si="14"/>
        <v>2</v>
      </c>
      <c r="AE10" s="10">
        <v>0</v>
      </c>
      <c r="AF10" s="38">
        <v>0</v>
      </c>
      <c r="AG10" s="38">
        <v>0</v>
      </c>
      <c r="AH10" s="38">
        <v>0</v>
      </c>
      <c r="AI10" s="38">
        <v>0</v>
      </c>
      <c r="AJ10" s="38">
        <v>1</v>
      </c>
    </row>
    <row r="11" spans="1:36" ht="21" customHeight="1">
      <c r="A11" s="22" t="str">
        <f t="shared" ca="1" si="0"/>
        <v>0_2-3/237&lt;lv1&gt;s2</v>
      </c>
      <c r="B11" s="34">
        <v>0</v>
      </c>
      <c r="C11" s="33">
        <v>2</v>
      </c>
      <c r="D11" s="2" t="str">
        <f t="shared" si="1"/>
        <v>0_2</v>
      </c>
      <c r="E11" s="5" t="str">
        <f ca="1">VLOOKUP($B11,OFFSET([1]quests!$A$1,0,0,COUNTA([1]quests!$A:$A),MATCH(E$1,[1]quests!$1:$1,0)-MATCH($B$1,[1]quests!$1:$1,0)+1),MATCH(E$1,[1]quests!$1:$1,0)-MATCH($B$1,[1]quests!$1:$1,0)+1,FALSE)</f>
        <v>チュートリアル</v>
      </c>
      <c r="F11" s="5" t="str">
        <f ca="1">VLOOKUP($D11,OFFSET([1]stages!$A$1,0,0,COUNTA([1]stages!$A:$A),MATCH(F$1,[1]stages!$2:$2,0)-MATCH($D$1,[1]stages!$2:$2,0)+1),MATCH(F$1,[1]stages!$2:$2,0)-MATCH($D$1,[1]stages!$2:$2,0)+1,FALSE)</f>
        <v>練習でクラッシュ！</v>
      </c>
      <c r="G11" s="33">
        <v>3</v>
      </c>
      <c r="H11" s="21" t="str">
        <f t="shared" si="2"/>
        <v>0_2-3</v>
      </c>
      <c r="I11" s="32">
        <v>237</v>
      </c>
      <c r="J11" s="27" t="str">
        <f ca="1">VLOOKUP($I11,OFFSET([2]enemies!$A$1,0,0,COUNTA([2]enemies!$A:$A),MATCH(J$1,[2]enemies!$2:$2,0)-MATCH($I$1,[2]enemies!$2:$2,0)+1),MATCH(J$1,[2]enemies!$2:$2,0)-MATCH($I$1,[2]enemies!$2:$2,0)+1,FALSE)</f>
        <v>森羅万象の神母 イザナミ</v>
      </c>
      <c r="K11" s="30" t="str">
        <f ca="1">VLOOKUP($I11,OFFSET([2]enemies!$A$1,0,0,COUNTA([2]enemies!$A:$A),MATCH(K$1,[2]enemies!$2:$2,0)-MATCH($I$1,[2]enemies!$2:$2,0)+1),MATCH(K$1,[2]enemies!$2:$2,0)-MATCH($I$1,[2]enemies!$2:$2,0)+1,FALSE)</f>
        <v>yellow</v>
      </c>
      <c r="L11" s="30" t="str">
        <f ca="1">VLOOKUP($I11,OFFSET([3]characters!$A$1,0,0,COUNTA([3]characters!$A:$A),MATCH(L$1,[3]characters!$2:$2,0)-MATCH($I$1,[3]characters!$2:$2,0)+1),MATCH(L$1,[3]characters!$2:$2,0)-MATCH($I$1,[3]characters!$2:$2,0)+1,FALSE)</f>
        <v>PremiumS</v>
      </c>
      <c r="M11" s="29" t="str">
        <f ca="1">VLOOKUP($I11,OFFSET([3]characters!$A$1,0,0,COUNTA([3]characters!$A:$A),MATCH(M$1,[3]characters!$2:$2,0)-MATCH($I$1,[3]characters!$2:$2,0)+2),MATCH(M$1,[3]characters!$2:$2,0)-MATCH($I$1,[3]characters!$2:$2,0)+2,FALSE)</f>
        <v>ゴッド</v>
      </c>
      <c r="N11" s="5">
        <f ca="1">VLOOKUP($I11,OFFSET([2]enemies!$A$1,0,0,COUNTA([2]enemies!$A:$A),MATCH(N$1,[2]enemies!$2:$2,0)-MATCH($I$1,[2]enemies!$2:$2,0)+1),MATCH(N$1,[2]enemies!$2:$2,0)-MATCH($I$1,[2]enemies!$2:$2,0)+1,FALSE)</f>
        <v>60</v>
      </c>
      <c r="O11" s="6">
        <v>1</v>
      </c>
      <c r="P11" s="42">
        <v>1</v>
      </c>
      <c r="Q11" s="42">
        <v>1</v>
      </c>
      <c r="R11" s="6">
        <v>0</v>
      </c>
      <c r="S11" s="40" t="str">
        <f ca="1">VLOOKUP($T11,OFFSET([4]enemy_skill_sets!$B$1,0,0,COUNTA([4]enemy_skill_sets!$B:$B),MATCH(J$1,[4]enemy_skill_sets!$1:$1,0)-MATCH($T$1,[4]enemy_skill_sets!$1:$1,0)+2),MATCH(J$1,[4]enemy_skill_sets!$1:$1,0)-MATCH($T$1,[4]enemy_skill_sets!$1:$1,0)+2,FALSE)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11" s="40">
        <v>0</v>
      </c>
      <c r="U11" s="7">
        <v>1</v>
      </c>
      <c r="V11" s="7">
        <v>100</v>
      </c>
      <c r="W11" s="7">
        <v>1</v>
      </c>
      <c r="X11" s="27">
        <f ca="1">VLOOKUP($I11,OFFSET([2]enemies!$A$1,0,0,COUNTA([2]enemies!$A:$A),MATCH(X$1,[2]enemies!$2:$2,0)-MATCH($I$1,[2]enemies!$2:$2,0)+1),MATCH(X$1,[2]enemies!$2:$2,0)-MATCH($I$1,[2]enemies!$2:$2,0)+1,FALSE)</f>
        <v>2</v>
      </c>
      <c r="Y11" s="8">
        <f t="shared" si="3"/>
        <v>237</v>
      </c>
      <c r="Z11" s="5" t="str">
        <f ca="1">IFERROR(VLOOKUP($Y11,OFFSET([3]characters!$A$1,0,0,COUNTA([3]characters!$A:$A),MATCH(Z$1,[3]characters!$2:$2,0)-MATCH("character_id",[3]characters!$2:$2,0)+1),MATCH(Z$1,[3]characters!$2:$2,0)-MATCH("character_id",[3]characters!$2:$2,0)+1,FALSE),"")</f>
        <v>森羅万象の神母 イザナミ</v>
      </c>
      <c r="AA11" s="5">
        <f ca="1">IFERROR(VLOOKUP($Y11,OFFSET([3]characters!$A$1,0,0,COUNTA([3]characters!$A:$A),MATCH(AA$1,[3]characters!$2:$2,0)-MATCH("character_id",[3]characters!$2:$2,0)+1),MATCH(AA$1,[3]characters!$2:$2,0)-MATCH("character_id",[3]characters!$2:$2,0)+1,FALSE),"")</f>
        <v>5</v>
      </c>
      <c r="AB11" s="5" t="str">
        <f ca="1">IFERROR(VLOOKUP($Y11,OFFSET([3]characters!$A$1,0,0,COUNTA([3]characters!$A:$A),MATCH(AB$1,[3]characters!$2:$2,0)-MATCH("character_id",[3]characters!$2:$2,0)+1),MATCH(AB$1,[3]characters!$2:$2,0)-MATCH("character_id",[3]characters!$2:$2,0)+1,FALSE),"")</f>
        <v>PremiumS</v>
      </c>
      <c r="AC11" s="9">
        <v>1</v>
      </c>
      <c r="AD11" s="36">
        <f t="shared" ca="1" si="4"/>
        <v>5</v>
      </c>
      <c r="AE11" s="10">
        <v>0</v>
      </c>
      <c r="AF11" s="38">
        <v>0</v>
      </c>
      <c r="AG11" s="38">
        <v>0</v>
      </c>
      <c r="AH11" s="38">
        <v>0</v>
      </c>
      <c r="AI11" s="38">
        <v>0</v>
      </c>
      <c r="AJ11" s="38">
        <v>1</v>
      </c>
    </row>
  </sheetData>
  <sheetProtection selectLockedCells="1" selectUnlockedCells="1"/>
  <autoFilter ref="B1:AE2"/>
  <phoneticPr fontId="4"/>
  <pageMargins left="0.74791666666666667" right="0.74791666666666667" top="0.98402777777777772" bottom="0.98402777777777772" header="0.51180555555555551" footer="0.51180555555555551"/>
  <pageSetup paperSize="9" firstPageNumber="0" orientation="portrait" horizontalDpi="300" verticalDpi="300"/>
  <extLst>
    <ext xmlns:mx="http://schemas.microsoft.com/office/mac/excel/2008/main" uri="{64002731-A6B0-56B0-2670-7721B7C09600}">
      <mx:PLV Mode="0" OnePage="0" WScale="0"/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 enableFormatConditionsCalculation="0"/>
  <dimension ref="A1:F8"/>
  <sheetViews>
    <sheetView workbookViewId="0">
      <pane xSplit="1" ySplit="2" topLeftCell="B3" activePane="bottomRight" state="frozen"/>
      <selection pane="topRight" activeCell="B1" sqref="B1"/>
      <selection pane="bottomLeft" activeCell="A3" sqref="A3"/>
      <selection pane="bottomRight"/>
    </sheetView>
  </sheetViews>
  <sheetFormatPr baseColWidth="12" defaultRowHeight="18" x14ac:dyDescent="0"/>
  <cols>
    <col min="1" max="1" width="10.1640625" style="24" bestFit="1" customWidth="1"/>
    <col min="2" max="2" width="8.1640625" bestFit="1" customWidth="1"/>
    <col min="3" max="3" width="10.33203125" bestFit="1" customWidth="1"/>
    <col min="4" max="4" width="7.33203125" bestFit="1" customWidth="1"/>
    <col min="5" max="5" width="12.6640625" bestFit="1" customWidth="1"/>
    <col min="6" max="6" width="13.1640625" bestFit="1" customWidth="1"/>
  </cols>
  <sheetData>
    <row r="1" spans="1:6" s="17" customFormat="1">
      <c r="A1" s="17">
        <f>MATCH(A2,INDIRECT(C1&amp;"!A:A"),0)-2</f>
        <v>-1</v>
      </c>
      <c r="B1" s="18" t="str">
        <f>"$"&amp;2+$A$1&amp;":$"&amp;2+$A$1</f>
        <v>$1:$1</v>
      </c>
      <c r="C1" s="17" t="str">
        <f>SUBSTITUTE(RIGHT(CELL("filename",$C$1),LEN(CELL("filename",$C$1))-FIND("]",CELL("filename",$C$1))),".tmp","")</f>
        <v>floors_Tutorial</v>
      </c>
    </row>
    <row r="2" spans="1:6" s="19" customFormat="1">
      <c r="A2" s="24" t="s">
        <v>32</v>
      </c>
      <c r="B2" s="19" t="s">
        <v>0</v>
      </c>
      <c r="C2" s="19" t="s">
        <v>1</v>
      </c>
      <c r="D2" s="19" t="s">
        <v>13</v>
      </c>
      <c r="E2" s="19" t="s">
        <v>14</v>
      </c>
      <c r="F2" s="19" t="s">
        <v>15</v>
      </c>
    </row>
    <row r="3" spans="1:6">
      <c r="A3" s="25" t="str">
        <f t="shared" ref="A3:A8" si="0">INDIRECT(ADDRESS(ROW()+$A$1,COLUMN(),1,TRUE,$C$1))</f>
        <v>0_1-1</v>
      </c>
      <c r="B3" s="20">
        <f>VLOOKUP($A3,OFFSET(INDIRECT($C$1&amp;"!$A1"),0,0,COUNTA(INDIRECT($C$1&amp;"!$A:$A"))+1,MATCH(B$2,INDIRECT($C$1&amp;"!"&amp;$B$1),0)-MATCH($A$2,INDIRECT($C$1&amp;"!"&amp;$B$1),0)+1),MATCH(B$2,INDIRECT($C$1&amp;"!"&amp;$B$1),0)-MATCH($A$2,INDIRECT($C$1&amp;"!"&amp;$B$1),0)+1,FALSE)</f>
        <v>0</v>
      </c>
      <c r="C3" s="20">
        <f t="shared" ref="B3:F8" si="1">VLOOKUP($A3,OFFSET(INDIRECT($C$1&amp;"!$A1"),0,0,COUNTA(INDIRECT($C$1&amp;"!$A:$A"))+1,MATCH(C$2,INDIRECT($C$1&amp;"!"&amp;$B$1),0)-MATCH($A$2,INDIRECT($C$1&amp;"!"&amp;$B$1),0)+1),MATCH(C$2,INDIRECT($C$1&amp;"!"&amp;$B$1),0)-MATCH($A$2,INDIRECT($C$1&amp;"!"&amp;$B$1),0)+1,FALSE)</f>
        <v>1</v>
      </c>
      <c r="D3" s="20">
        <f t="shared" si="1"/>
        <v>1</v>
      </c>
      <c r="E3" s="20">
        <f t="shared" si="1"/>
        <v>15</v>
      </c>
      <c r="F3" s="20">
        <f t="shared" si="1"/>
        <v>15</v>
      </c>
    </row>
    <row r="4" spans="1:6">
      <c r="A4" s="25" t="str">
        <f t="shared" si="0"/>
        <v>0_1-2</v>
      </c>
      <c r="B4" s="20">
        <f t="shared" si="1"/>
        <v>0</v>
      </c>
      <c r="C4" s="20">
        <f t="shared" si="1"/>
        <v>1</v>
      </c>
      <c r="D4" s="20">
        <f t="shared" si="1"/>
        <v>2</v>
      </c>
      <c r="E4" s="20">
        <f t="shared" si="1"/>
        <v>15</v>
      </c>
      <c r="F4" s="20">
        <f t="shared" si="1"/>
        <v>15</v>
      </c>
    </row>
    <row r="5" spans="1:6">
      <c r="A5" s="25" t="str">
        <f t="shared" si="0"/>
        <v>0_1-3</v>
      </c>
      <c r="B5" s="20">
        <f t="shared" si="1"/>
        <v>0</v>
      </c>
      <c r="C5" s="20">
        <f t="shared" si="1"/>
        <v>1</v>
      </c>
      <c r="D5" s="20">
        <f t="shared" si="1"/>
        <v>3</v>
      </c>
      <c r="E5" s="20">
        <f t="shared" si="1"/>
        <v>15</v>
      </c>
      <c r="F5" s="20">
        <f t="shared" si="1"/>
        <v>15</v>
      </c>
    </row>
    <row r="6" spans="1:6">
      <c r="A6" s="25" t="str">
        <f t="shared" si="0"/>
        <v>0_2-1</v>
      </c>
      <c r="B6" s="20">
        <f t="shared" si="1"/>
        <v>0</v>
      </c>
      <c r="C6" s="20">
        <f t="shared" si="1"/>
        <v>2</v>
      </c>
      <c r="D6" s="20">
        <f t="shared" si="1"/>
        <v>1</v>
      </c>
      <c r="E6" s="20">
        <f t="shared" si="1"/>
        <v>45</v>
      </c>
      <c r="F6" s="20">
        <f t="shared" si="1"/>
        <v>45</v>
      </c>
    </row>
    <row r="7" spans="1:6">
      <c r="A7" s="25" t="str">
        <f t="shared" si="0"/>
        <v>0_2-2</v>
      </c>
      <c r="B7" s="20">
        <f t="shared" si="1"/>
        <v>0</v>
      </c>
      <c r="C7" s="20">
        <f t="shared" si="1"/>
        <v>2</v>
      </c>
      <c r="D7" s="20">
        <f t="shared" si="1"/>
        <v>2</v>
      </c>
      <c r="E7" s="20">
        <f t="shared" si="1"/>
        <v>15</v>
      </c>
      <c r="F7" s="20">
        <f t="shared" si="1"/>
        <v>15</v>
      </c>
    </row>
    <row r="8" spans="1:6">
      <c r="A8" s="25" t="str">
        <f t="shared" si="0"/>
        <v>0_2-3</v>
      </c>
      <c r="B8" s="20">
        <f t="shared" si="1"/>
        <v>0</v>
      </c>
      <c r="C8" s="20">
        <f t="shared" si="1"/>
        <v>2</v>
      </c>
      <c r="D8" s="20">
        <f t="shared" si="1"/>
        <v>3</v>
      </c>
      <c r="E8" s="20">
        <f t="shared" si="1"/>
        <v>15</v>
      </c>
      <c r="F8" s="20">
        <f t="shared" si="1"/>
        <v>15</v>
      </c>
    </row>
  </sheetData>
  <phoneticPr fontId="4"/>
  <pageMargins left="0.7" right="0.7" top="0.75" bottom="0.75" header="0.3" footer="0.3"/>
  <pageSetup paperSize="9"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 enableFormatConditionsCalculation="0"/>
  <dimension ref="A1:W12"/>
  <sheetViews>
    <sheetView zoomScale="75" zoomScaleNormal="75" zoomScalePageLayoutView="75" workbookViewId="0">
      <pane xSplit="1" ySplit="2" topLeftCell="B3" activePane="bottomRight" state="frozen"/>
      <selection pane="topRight" activeCell="B1" sqref="B1"/>
      <selection pane="bottomLeft" activeCell="A3" sqref="A3"/>
      <selection pane="bottomRight"/>
    </sheetView>
  </sheetViews>
  <sheetFormatPr baseColWidth="12" defaultRowHeight="18" x14ac:dyDescent="0"/>
  <cols>
    <col min="1" max="1" width="13" style="24" bestFit="1" customWidth="1"/>
    <col min="2" max="2" width="8.1640625" bestFit="1" customWidth="1"/>
    <col min="3" max="3" width="18.33203125" bestFit="1" customWidth="1"/>
    <col min="4" max="4" width="7.33203125" bestFit="1" customWidth="1"/>
    <col min="5" max="5" width="11.6640625" bestFit="1" customWidth="1"/>
    <col min="6" max="6" width="5.33203125" bestFit="1" customWidth="1"/>
    <col min="7" max="7" width="13.5" bestFit="1" customWidth="1"/>
    <col min="8" max="8" width="16.6640625" bestFit="1" customWidth="1"/>
    <col min="9" max="9" width="17.6640625" bestFit="1" customWidth="1"/>
    <col min="10" max="10" width="10" bestFit="1" customWidth="1"/>
    <col min="11" max="11" width="8.83203125" bestFit="1" customWidth="1"/>
    <col min="12" max="12" width="9.5" bestFit="1" customWidth="1"/>
    <col min="13" max="13" width="8" bestFit="1" customWidth="1"/>
    <col min="14" max="14" width="6.5" bestFit="1" customWidth="1"/>
    <col min="15" max="15" width="11" bestFit="1" customWidth="1"/>
    <col min="16" max="16" width="13.5" bestFit="1" customWidth="1"/>
    <col min="17" max="18" width="13" bestFit="1" customWidth="1"/>
  </cols>
  <sheetData>
    <row r="1" spans="1:23" s="17" customFormat="1">
      <c r="A1" s="17">
        <f>MATCH(A2,INDIRECT(C1&amp;"!A:A"),0)-2</f>
        <v>-1</v>
      </c>
      <c r="B1" s="18" t="str">
        <f>"$"&amp;2+$A$1&amp;":$"&amp;2+$A$1</f>
        <v>$1:$1</v>
      </c>
      <c r="C1" s="17" t="str">
        <f>SUBSTITUTE(RIGHT(CELL("filename",$C$1),LEN(CELL("filename",$C$1))-FIND("]",CELL("filename",$C$1))),".tmp","")</f>
        <v>enemy_habitats_Tutorial</v>
      </c>
      <c r="G1" s="43"/>
      <c r="H1" s="43"/>
      <c r="I1" s="43"/>
    </row>
    <row r="2" spans="1:23" s="19" customFormat="1">
      <c r="A2" s="24" t="s">
        <v>30</v>
      </c>
      <c r="B2" s="19" t="s">
        <v>0</v>
      </c>
      <c r="C2" s="19" t="s">
        <v>1</v>
      </c>
      <c r="D2" s="19" t="s">
        <v>13</v>
      </c>
      <c r="E2" s="19" t="s">
        <v>2</v>
      </c>
      <c r="F2" s="19" t="s">
        <v>3</v>
      </c>
      <c r="G2" s="19" t="s">
        <v>52</v>
      </c>
      <c r="H2" s="19" t="s">
        <v>53</v>
      </c>
      <c r="I2" s="19" t="s">
        <v>54</v>
      </c>
      <c r="J2" s="19" t="s">
        <v>22</v>
      </c>
      <c r="K2" s="19" t="s">
        <v>5</v>
      </c>
      <c r="L2" s="19" t="s">
        <v>6</v>
      </c>
      <c r="M2" s="19" t="s">
        <v>7</v>
      </c>
      <c r="N2" s="19" t="s">
        <v>8</v>
      </c>
      <c r="O2" s="19" t="s">
        <v>9</v>
      </c>
      <c r="P2" s="19" t="s">
        <v>10</v>
      </c>
      <c r="Q2" s="19" t="s">
        <v>11</v>
      </c>
      <c r="R2" s="19" t="s">
        <v>12</v>
      </c>
      <c r="S2" s="19" t="s">
        <v>44</v>
      </c>
      <c r="T2" s="19" t="s">
        <v>45</v>
      </c>
      <c r="U2" s="19" t="s">
        <v>46</v>
      </c>
      <c r="V2" s="19" t="s">
        <v>47</v>
      </c>
      <c r="W2" s="19" t="s">
        <v>48</v>
      </c>
    </row>
    <row r="3" spans="1:23">
      <c r="A3" s="25" t="str">
        <f>INDIRECT(ADDRESS(ROW()+$A$1,COLUMN(),1,TRUE,$C$1))</f>
        <v>0_1-1/1&lt;lv1&gt;s1</v>
      </c>
      <c r="B3" s="20">
        <f t="shared" ref="B3:T12" si="0">VLOOKUP($A3,OFFSET(INDIRECT($C$1&amp;"!$A1"),0,0,COUNTA(INDIRECT($C$1&amp;"!$A:$A"))+1,MATCH(B$2,INDIRECT($C$1&amp;"!"&amp;$B$1),0)-MATCH($A$2,INDIRECT($C$1&amp;"!"&amp;$B$1),0)+1),MATCH(B$2,INDIRECT($C$1&amp;"!"&amp;$B$1),0)-MATCH($A$2,INDIRECT($C$1&amp;"!"&amp;$B$1),0)+1,FALSE)</f>
        <v>0</v>
      </c>
      <c r="C3" s="20">
        <f t="shared" si="0"/>
        <v>1</v>
      </c>
      <c r="D3" s="20">
        <f t="shared" si="0"/>
        <v>1</v>
      </c>
      <c r="E3" s="20">
        <f t="shared" si="0"/>
        <v>1</v>
      </c>
      <c r="F3" s="20">
        <f t="shared" si="0"/>
        <v>1</v>
      </c>
      <c r="G3" s="20">
        <f t="shared" si="0"/>
        <v>1</v>
      </c>
      <c r="H3" s="20">
        <f t="shared" si="0"/>
        <v>1</v>
      </c>
      <c r="I3" s="20">
        <f t="shared" si="0"/>
        <v>0</v>
      </c>
      <c r="J3" s="20">
        <f t="shared" si="0"/>
        <v>0</v>
      </c>
      <c r="K3" s="20">
        <f t="shared" si="0"/>
        <v>1</v>
      </c>
      <c r="L3" s="20">
        <f t="shared" si="0"/>
        <v>100</v>
      </c>
      <c r="M3" s="20">
        <f t="shared" si="0"/>
        <v>0</v>
      </c>
      <c r="N3" s="20">
        <f t="shared" si="0"/>
        <v>1</v>
      </c>
      <c r="O3" s="20">
        <f t="shared" si="0"/>
        <v>1</v>
      </c>
      <c r="P3" s="20">
        <f t="shared" si="0"/>
        <v>1</v>
      </c>
      <c r="Q3" s="20">
        <f t="shared" si="0"/>
        <v>1</v>
      </c>
      <c r="R3" s="20">
        <f t="shared" si="0"/>
        <v>0</v>
      </c>
      <c r="S3" s="20">
        <f t="shared" si="0"/>
        <v>0</v>
      </c>
      <c r="T3" s="20">
        <f t="shared" si="0"/>
        <v>0</v>
      </c>
      <c r="U3" s="20">
        <f t="shared" ref="U3:W12" si="1">VLOOKUP($A3,OFFSET(INDIRECT($C$1&amp;"!$A1"),0,0,COUNTA(INDIRECT($C$1&amp;"!$A:$A"))+1,MATCH(U$2,INDIRECT($C$1&amp;"!"&amp;$B$1),0)-MATCH($A$2,INDIRECT($C$1&amp;"!"&amp;$B$1),0)+1),MATCH(U$2,INDIRECT($C$1&amp;"!"&amp;$B$1),0)-MATCH($A$2,INDIRECT($C$1&amp;"!"&amp;$B$1),0)+1,FALSE)</f>
        <v>0</v>
      </c>
      <c r="V3" s="20">
        <f t="shared" si="1"/>
        <v>0</v>
      </c>
      <c r="W3" s="20">
        <f t="shared" si="1"/>
        <v>1</v>
      </c>
    </row>
    <row r="4" spans="1:23">
      <c r="A4" s="25" t="str">
        <f t="shared" ref="A4:A12" si="2">INDIRECT(ADDRESS(ROW()+$A$1,COLUMN(),1,TRUE,$C$1))</f>
        <v>0_1-2/1&lt;lv1&gt;s6</v>
      </c>
      <c r="B4" s="20">
        <f t="shared" si="0"/>
        <v>0</v>
      </c>
      <c r="C4" s="20">
        <f t="shared" si="0"/>
        <v>1</v>
      </c>
      <c r="D4" s="20">
        <f t="shared" si="0"/>
        <v>2</v>
      </c>
      <c r="E4" s="20">
        <f t="shared" si="0"/>
        <v>1</v>
      </c>
      <c r="F4" s="20">
        <f t="shared" si="0"/>
        <v>1</v>
      </c>
      <c r="G4" s="20">
        <f t="shared" si="0"/>
        <v>1</v>
      </c>
      <c r="H4" s="20">
        <f t="shared" si="0"/>
        <v>1</v>
      </c>
      <c r="I4" s="20">
        <f t="shared" si="0"/>
        <v>0</v>
      </c>
      <c r="J4" s="20">
        <f t="shared" si="0"/>
        <v>0</v>
      </c>
      <c r="K4" s="20">
        <f t="shared" si="0"/>
        <v>1</v>
      </c>
      <c r="L4" s="20">
        <f t="shared" si="0"/>
        <v>100</v>
      </c>
      <c r="M4" s="20">
        <f t="shared" si="0"/>
        <v>0</v>
      </c>
      <c r="N4" s="20">
        <f t="shared" si="0"/>
        <v>6</v>
      </c>
      <c r="O4" s="20">
        <f t="shared" si="0"/>
        <v>1</v>
      </c>
      <c r="P4" s="20">
        <f t="shared" si="0"/>
        <v>1</v>
      </c>
      <c r="Q4" s="20">
        <f t="shared" si="0"/>
        <v>1</v>
      </c>
      <c r="R4" s="20">
        <f t="shared" si="0"/>
        <v>0</v>
      </c>
      <c r="S4" s="20">
        <f t="shared" si="0"/>
        <v>0</v>
      </c>
      <c r="T4" s="20">
        <f t="shared" si="0"/>
        <v>0</v>
      </c>
      <c r="U4" s="20">
        <f t="shared" si="1"/>
        <v>0</v>
      </c>
      <c r="V4" s="20">
        <f t="shared" si="1"/>
        <v>0</v>
      </c>
      <c r="W4" s="20">
        <f t="shared" si="1"/>
        <v>1</v>
      </c>
    </row>
    <row r="5" spans="1:23">
      <c r="A5" s="25" t="str">
        <f t="shared" si="2"/>
        <v>0_1-2/7&lt;lv1&gt;s6</v>
      </c>
      <c r="B5" s="20">
        <f t="shared" si="0"/>
        <v>0</v>
      </c>
      <c r="C5" s="20">
        <f t="shared" si="0"/>
        <v>1</v>
      </c>
      <c r="D5" s="20">
        <f t="shared" si="0"/>
        <v>2</v>
      </c>
      <c r="E5" s="20">
        <f t="shared" si="0"/>
        <v>7</v>
      </c>
      <c r="F5" s="20">
        <f t="shared" si="0"/>
        <v>1</v>
      </c>
      <c r="G5" s="20">
        <f t="shared" si="0"/>
        <v>1</v>
      </c>
      <c r="H5" s="20">
        <f t="shared" si="0"/>
        <v>1</v>
      </c>
      <c r="I5" s="20">
        <f t="shared" si="0"/>
        <v>0</v>
      </c>
      <c r="J5" s="20">
        <f t="shared" si="0"/>
        <v>0</v>
      </c>
      <c r="K5" s="20">
        <f t="shared" si="0"/>
        <v>1</v>
      </c>
      <c r="L5" s="20">
        <f t="shared" si="0"/>
        <v>100</v>
      </c>
      <c r="M5" s="20">
        <f t="shared" si="0"/>
        <v>0</v>
      </c>
      <c r="N5" s="20">
        <f t="shared" si="0"/>
        <v>6</v>
      </c>
      <c r="O5" s="20">
        <f t="shared" si="0"/>
        <v>7</v>
      </c>
      <c r="P5" s="20">
        <f t="shared" si="0"/>
        <v>1</v>
      </c>
      <c r="Q5" s="20">
        <f t="shared" si="0"/>
        <v>1</v>
      </c>
      <c r="R5" s="20">
        <f t="shared" si="0"/>
        <v>100</v>
      </c>
      <c r="S5" s="20">
        <f t="shared" si="0"/>
        <v>0</v>
      </c>
      <c r="T5" s="20">
        <f t="shared" si="0"/>
        <v>0</v>
      </c>
      <c r="U5" s="20">
        <f t="shared" si="1"/>
        <v>0</v>
      </c>
      <c r="V5" s="20">
        <f t="shared" si="1"/>
        <v>0</v>
      </c>
      <c r="W5" s="20">
        <f t="shared" si="1"/>
        <v>1</v>
      </c>
    </row>
    <row r="6" spans="1:23">
      <c r="A6" s="25" t="str">
        <f t="shared" si="2"/>
        <v>0_1-3/202&lt;lv1&gt;s7</v>
      </c>
      <c r="B6" s="20">
        <f t="shared" si="0"/>
        <v>0</v>
      </c>
      <c r="C6" s="20">
        <f t="shared" si="0"/>
        <v>1</v>
      </c>
      <c r="D6" s="20">
        <f t="shared" si="0"/>
        <v>3</v>
      </c>
      <c r="E6" s="20">
        <f t="shared" si="0"/>
        <v>202</v>
      </c>
      <c r="F6" s="20">
        <f t="shared" si="0"/>
        <v>1</v>
      </c>
      <c r="G6" s="20">
        <f t="shared" si="0"/>
        <v>1</v>
      </c>
      <c r="H6" s="20">
        <f t="shared" si="0"/>
        <v>1</v>
      </c>
      <c r="I6" s="20">
        <f t="shared" si="0"/>
        <v>0</v>
      </c>
      <c r="J6" s="20">
        <f t="shared" si="0"/>
        <v>0</v>
      </c>
      <c r="K6" s="20">
        <f t="shared" si="0"/>
        <v>1</v>
      </c>
      <c r="L6" s="20">
        <f t="shared" si="0"/>
        <v>100</v>
      </c>
      <c r="M6" s="20">
        <f t="shared" si="0"/>
        <v>1</v>
      </c>
      <c r="N6" s="20">
        <f t="shared" si="0"/>
        <v>7</v>
      </c>
      <c r="O6" s="20">
        <f t="shared" si="0"/>
        <v>202</v>
      </c>
      <c r="P6" s="20">
        <f t="shared" si="0"/>
        <v>1</v>
      </c>
      <c r="Q6" s="20">
        <f t="shared" si="0"/>
        <v>3</v>
      </c>
      <c r="R6" s="20">
        <f t="shared" si="0"/>
        <v>0</v>
      </c>
      <c r="S6" s="20">
        <f t="shared" si="0"/>
        <v>0</v>
      </c>
      <c r="T6" s="20">
        <f t="shared" si="0"/>
        <v>0</v>
      </c>
      <c r="U6" s="20">
        <f t="shared" si="1"/>
        <v>0</v>
      </c>
      <c r="V6" s="20">
        <f t="shared" si="1"/>
        <v>0</v>
      </c>
      <c r="W6" s="20">
        <f t="shared" si="1"/>
        <v>1</v>
      </c>
    </row>
    <row r="7" spans="1:23">
      <c r="A7" s="25" t="str">
        <f t="shared" si="2"/>
        <v>0_2-1/5&lt;lv1&gt;s3</v>
      </c>
      <c r="B7" s="20">
        <f t="shared" si="0"/>
        <v>0</v>
      </c>
      <c r="C7" s="20">
        <f t="shared" si="0"/>
        <v>2</v>
      </c>
      <c r="D7" s="20">
        <f t="shared" si="0"/>
        <v>1</v>
      </c>
      <c r="E7" s="20">
        <f t="shared" si="0"/>
        <v>5</v>
      </c>
      <c r="F7" s="20">
        <v>1</v>
      </c>
      <c r="G7" s="20">
        <f t="shared" si="0"/>
        <v>1</v>
      </c>
      <c r="H7" s="20">
        <f t="shared" si="0"/>
        <v>1</v>
      </c>
      <c r="I7" s="20">
        <f t="shared" si="0"/>
        <v>0</v>
      </c>
      <c r="J7" s="20">
        <f t="shared" si="0"/>
        <v>0</v>
      </c>
      <c r="K7" s="20">
        <f t="shared" si="0"/>
        <v>1</v>
      </c>
      <c r="L7" s="20">
        <f t="shared" si="0"/>
        <v>100</v>
      </c>
      <c r="M7" s="20">
        <f t="shared" si="0"/>
        <v>0</v>
      </c>
      <c r="N7" s="20">
        <f t="shared" si="0"/>
        <v>3</v>
      </c>
      <c r="O7" s="20">
        <f t="shared" si="0"/>
        <v>5</v>
      </c>
      <c r="P7" s="20">
        <f t="shared" si="0"/>
        <v>1</v>
      </c>
      <c r="Q7" s="20">
        <f t="shared" si="0"/>
        <v>1</v>
      </c>
      <c r="R7" s="20">
        <f t="shared" si="0"/>
        <v>0</v>
      </c>
      <c r="S7" s="20">
        <f t="shared" si="0"/>
        <v>0</v>
      </c>
      <c r="T7" s="20">
        <f t="shared" si="0"/>
        <v>0</v>
      </c>
      <c r="U7" s="20">
        <f t="shared" si="1"/>
        <v>0</v>
      </c>
      <c r="V7" s="20">
        <f t="shared" si="1"/>
        <v>0</v>
      </c>
      <c r="W7" s="20">
        <f t="shared" si="1"/>
        <v>1</v>
      </c>
    </row>
    <row r="8" spans="1:23">
      <c r="A8" s="25" t="str">
        <f t="shared" si="2"/>
        <v>0_2-1/3&lt;lv1&gt;s2</v>
      </c>
      <c r="B8" s="20">
        <f t="shared" si="0"/>
        <v>0</v>
      </c>
      <c r="C8" s="20">
        <f t="shared" si="0"/>
        <v>2</v>
      </c>
      <c r="D8" s="20">
        <f t="shared" si="0"/>
        <v>1</v>
      </c>
      <c r="E8" s="20">
        <f t="shared" si="0"/>
        <v>3</v>
      </c>
      <c r="F8" s="20">
        <v>1</v>
      </c>
      <c r="G8" s="20">
        <f t="shared" si="0"/>
        <v>1</v>
      </c>
      <c r="H8" s="20">
        <f t="shared" si="0"/>
        <v>1</v>
      </c>
      <c r="I8" s="20">
        <f t="shared" si="0"/>
        <v>0</v>
      </c>
      <c r="J8" s="20">
        <f t="shared" si="0"/>
        <v>0</v>
      </c>
      <c r="K8" s="20">
        <f t="shared" si="0"/>
        <v>1</v>
      </c>
      <c r="L8" s="20">
        <f t="shared" si="0"/>
        <v>100</v>
      </c>
      <c r="M8" s="20">
        <f t="shared" si="0"/>
        <v>0</v>
      </c>
      <c r="N8" s="20">
        <f t="shared" si="0"/>
        <v>2</v>
      </c>
      <c r="O8" s="20">
        <f t="shared" si="0"/>
        <v>3</v>
      </c>
      <c r="P8" s="20">
        <f t="shared" si="0"/>
        <v>1</v>
      </c>
      <c r="Q8" s="20">
        <f t="shared" si="0"/>
        <v>1</v>
      </c>
      <c r="R8" s="20">
        <f t="shared" si="0"/>
        <v>0</v>
      </c>
      <c r="S8" s="20">
        <f t="shared" si="0"/>
        <v>0</v>
      </c>
      <c r="T8" s="20">
        <f t="shared" si="0"/>
        <v>0</v>
      </c>
      <c r="U8" s="20">
        <f t="shared" si="1"/>
        <v>0</v>
      </c>
      <c r="V8" s="20">
        <f t="shared" si="1"/>
        <v>0</v>
      </c>
      <c r="W8" s="20">
        <f t="shared" si="1"/>
        <v>1</v>
      </c>
    </row>
    <row r="9" spans="1:23">
      <c r="A9" s="25" t="str">
        <f t="shared" si="2"/>
        <v>0_2-1/7&lt;lv1&gt;s2</v>
      </c>
      <c r="B9" s="20">
        <f t="shared" si="0"/>
        <v>0</v>
      </c>
      <c r="C9" s="20">
        <f t="shared" si="0"/>
        <v>2</v>
      </c>
      <c r="D9" s="20">
        <f t="shared" si="0"/>
        <v>1</v>
      </c>
      <c r="E9" s="20">
        <f t="shared" si="0"/>
        <v>7</v>
      </c>
      <c r="F9" s="20">
        <v>1</v>
      </c>
      <c r="G9" s="20">
        <f t="shared" si="0"/>
        <v>1</v>
      </c>
      <c r="H9" s="20">
        <f t="shared" si="0"/>
        <v>1</v>
      </c>
      <c r="I9" s="20">
        <f t="shared" si="0"/>
        <v>0</v>
      </c>
      <c r="J9" s="20">
        <f t="shared" si="0"/>
        <v>0</v>
      </c>
      <c r="K9" s="20">
        <f t="shared" si="0"/>
        <v>1</v>
      </c>
      <c r="L9" s="20">
        <f t="shared" si="0"/>
        <v>100</v>
      </c>
      <c r="M9" s="20">
        <f t="shared" si="0"/>
        <v>0</v>
      </c>
      <c r="N9" s="20">
        <f t="shared" si="0"/>
        <v>2</v>
      </c>
      <c r="O9" s="20">
        <f t="shared" si="0"/>
        <v>7</v>
      </c>
      <c r="P9" s="20">
        <f t="shared" si="0"/>
        <v>1</v>
      </c>
      <c r="Q9" s="20">
        <f t="shared" si="0"/>
        <v>1</v>
      </c>
      <c r="R9" s="20">
        <f t="shared" si="0"/>
        <v>0</v>
      </c>
      <c r="S9" s="20">
        <v>0</v>
      </c>
      <c r="T9" s="20">
        <f t="shared" si="0"/>
        <v>0</v>
      </c>
      <c r="U9" s="20">
        <f t="shared" si="1"/>
        <v>0</v>
      </c>
      <c r="V9" s="20">
        <f t="shared" si="1"/>
        <v>0</v>
      </c>
      <c r="W9" s="20">
        <f t="shared" si="1"/>
        <v>1</v>
      </c>
    </row>
    <row r="10" spans="1:23">
      <c r="A10" s="25" t="str">
        <f t="shared" si="2"/>
        <v>0_2-1/1&lt;lv1&gt;s1</v>
      </c>
      <c r="B10" s="20">
        <f t="shared" si="0"/>
        <v>0</v>
      </c>
      <c r="C10" s="20">
        <f t="shared" si="0"/>
        <v>2</v>
      </c>
      <c r="D10" s="20">
        <f t="shared" si="0"/>
        <v>1</v>
      </c>
      <c r="E10" s="20">
        <f t="shared" si="0"/>
        <v>1</v>
      </c>
      <c r="F10" s="20">
        <v>1</v>
      </c>
      <c r="G10" s="20">
        <f t="shared" si="0"/>
        <v>1</v>
      </c>
      <c r="H10" s="20">
        <f t="shared" si="0"/>
        <v>1</v>
      </c>
      <c r="I10" s="20">
        <f t="shared" si="0"/>
        <v>0</v>
      </c>
      <c r="J10" s="20">
        <f t="shared" si="0"/>
        <v>0</v>
      </c>
      <c r="K10" s="20">
        <f t="shared" si="0"/>
        <v>1</v>
      </c>
      <c r="L10" s="20">
        <f t="shared" si="0"/>
        <v>100</v>
      </c>
      <c r="M10" s="20">
        <f t="shared" si="0"/>
        <v>0</v>
      </c>
      <c r="N10" s="20">
        <f t="shared" si="0"/>
        <v>1</v>
      </c>
      <c r="O10" s="20">
        <f t="shared" si="0"/>
        <v>1</v>
      </c>
      <c r="P10" s="20">
        <f t="shared" si="0"/>
        <v>1</v>
      </c>
      <c r="Q10" s="20">
        <f t="shared" si="0"/>
        <v>1</v>
      </c>
      <c r="R10" s="20">
        <f t="shared" si="0"/>
        <v>0</v>
      </c>
      <c r="S10" s="20">
        <v>0</v>
      </c>
      <c r="T10" s="20">
        <f t="shared" si="0"/>
        <v>0</v>
      </c>
      <c r="U10" s="20">
        <f t="shared" si="1"/>
        <v>0</v>
      </c>
      <c r="V10" s="20">
        <f t="shared" si="1"/>
        <v>0</v>
      </c>
      <c r="W10" s="20">
        <f t="shared" si="1"/>
        <v>1</v>
      </c>
    </row>
    <row r="11" spans="1:23">
      <c r="A11" s="25" t="str">
        <f t="shared" si="2"/>
        <v>0_2-2/43&lt;lv1&gt;s2</v>
      </c>
      <c r="B11" s="20">
        <f t="shared" si="0"/>
        <v>0</v>
      </c>
      <c r="C11" s="20">
        <f t="shared" si="0"/>
        <v>2</v>
      </c>
      <c r="D11" s="20">
        <f t="shared" si="0"/>
        <v>2</v>
      </c>
      <c r="E11" s="20">
        <f t="shared" si="0"/>
        <v>43</v>
      </c>
      <c r="F11" s="20">
        <f t="shared" si="0"/>
        <v>1</v>
      </c>
      <c r="G11" s="20">
        <f t="shared" si="0"/>
        <v>1</v>
      </c>
      <c r="H11" s="20">
        <f t="shared" si="0"/>
        <v>1</v>
      </c>
      <c r="I11" s="20">
        <f t="shared" si="0"/>
        <v>0</v>
      </c>
      <c r="J11" s="20">
        <f t="shared" si="0"/>
        <v>0</v>
      </c>
      <c r="K11" s="20">
        <f t="shared" si="0"/>
        <v>1</v>
      </c>
      <c r="L11" s="20">
        <f t="shared" si="0"/>
        <v>100</v>
      </c>
      <c r="M11" s="20">
        <f t="shared" si="0"/>
        <v>0</v>
      </c>
      <c r="N11" s="20">
        <f t="shared" si="0"/>
        <v>2</v>
      </c>
      <c r="O11" s="20">
        <f t="shared" si="0"/>
        <v>43</v>
      </c>
      <c r="P11" s="20">
        <f t="shared" si="0"/>
        <v>1</v>
      </c>
      <c r="Q11" s="20">
        <f t="shared" si="0"/>
        <v>2</v>
      </c>
      <c r="R11" s="20">
        <f t="shared" si="0"/>
        <v>0</v>
      </c>
      <c r="S11" s="20">
        <f t="shared" si="0"/>
        <v>0</v>
      </c>
      <c r="T11" s="20">
        <f t="shared" si="0"/>
        <v>0</v>
      </c>
      <c r="U11" s="20">
        <f t="shared" si="1"/>
        <v>0</v>
      </c>
      <c r="V11" s="20">
        <f t="shared" si="1"/>
        <v>0</v>
      </c>
      <c r="W11" s="20">
        <f t="shared" si="1"/>
        <v>1</v>
      </c>
    </row>
    <row r="12" spans="1:23">
      <c r="A12" s="25" t="str">
        <f t="shared" si="2"/>
        <v>0_2-3/237&lt;lv1&gt;s2</v>
      </c>
      <c r="B12" s="20">
        <f t="shared" si="0"/>
        <v>0</v>
      </c>
      <c r="C12" s="20">
        <f t="shared" si="0"/>
        <v>2</v>
      </c>
      <c r="D12" s="20">
        <f t="shared" si="0"/>
        <v>3</v>
      </c>
      <c r="E12" s="20">
        <f t="shared" si="0"/>
        <v>237</v>
      </c>
      <c r="F12" s="20">
        <f t="shared" si="0"/>
        <v>1</v>
      </c>
      <c r="G12" s="20">
        <f t="shared" si="0"/>
        <v>1</v>
      </c>
      <c r="H12" s="20">
        <f t="shared" si="0"/>
        <v>1</v>
      </c>
      <c r="I12" s="20">
        <f t="shared" si="0"/>
        <v>0</v>
      </c>
      <c r="J12" s="20">
        <f t="shared" si="0"/>
        <v>0</v>
      </c>
      <c r="K12" s="20">
        <f t="shared" si="0"/>
        <v>1</v>
      </c>
      <c r="L12" s="20">
        <f t="shared" si="0"/>
        <v>100</v>
      </c>
      <c r="M12" s="20">
        <f t="shared" si="0"/>
        <v>1</v>
      </c>
      <c r="N12" s="20">
        <f t="shared" si="0"/>
        <v>2</v>
      </c>
      <c r="O12" s="20">
        <f t="shared" si="0"/>
        <v>237</v>
      </c>
      <c r="P12" s="20">
        <f t="shared" si="0"/>
        <v>1</v>
      </c>
      <c r="Q12" s="20">
        <f t="shared" si="0"/>
        <v>5</v>
      </c>
      <c r="R12" s="20">
        <f t="shared" si="0"/>
        <v>0</v>
      </c>
      <c r="S12" s="20">
        <f t="shared" si="0"/>
        <v>0</v>
      </c>
      <c r="T12" s="20">
        <f t="shared" si="0"/>
        <v>0</v>
      </c>
      <c r="U12" s="20">
        <f t="shared" si="1"/>
        <v>0</v>
      </c>
      <c r="V12" s="20">
        <f t="shared" si="1"/>
        <v>0</v>
      </c>
      <c r="W12" s="20">
        <f t="shared" si="1"/>
        <v>1</v>
      </c>
    </row>
  </sheetData>
  <phoneticPr fontId="4"/>
  <pageMargins left="0.7" right="0.7" top="0.75" bottom="0.75" header="0.3" footer="0.3"/>
  <pageSetup paperSize="9"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ワークシート</vt:lpstr>
      </vt:variant>
      <vt:variant>
        <vt:i4>4</vt:i4>
      </vt:variant>
    </vt:vector>
  </HeadingPairs>
  <TitlesOfParts>
    <vt:vector size="4" baseType="lpstr">
      <vt:lpstr>floors_Tutorial</vt:lpstr>
      <vt:lpstr>enemy_habitats_Tutorial</vt:lpstr>
      <vt:lpstr>floors_Tutorial.tmp</vt:lpstr>
      <vt:lpstr>enemy_habitats_Tutorial.tmp</vt:lpstr>
    </vt:vector>
  </TitlesOfParts>
  <Company/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椿秀典</dc:creator>
  <cp:lastModifiedBy>吉澤 曜祐</cp:lastModifiedBy>
  <dcterms:created xsi:type="dcterms:W3CDTF">2015-01-30T13:36:44Z</dcterms:created>
  <dcterms:modified xsi:type="dcterms:W3CDTF">2015-07-13T09:10:12Z</dcterms:modified>
</cp:coreProperties>
</file>